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收入及净利简表" sheetId="2" state="visible" r:id="rId2"/>
    <sheet xmlns:r="http://schemas.openxmlformats.org/officeDocument/2006/relationships" name="2025年销售1中心利润表" sheetId="3" state="visible" r:id="rId3"/>
    <sheet xmlns:r="http://schemas.openxmlformats.org/officeDocument/2006/relationships" name="2025年中心利润表" sheetId="4" state="visible" r:id="rId4"/>
    <sheet xmlns:r="http://schemas.openxmlformats.org/officeDocument/2006/relationships" name="2025年江苏分部利润表" sheetId="5" state="visible" r:id="rId5"/>
    <sheet xmlns:r="http://schemas.openxmlformats.org/officeDocument/2006/relationships" name="2025年浙江分部利润表" sheetId="6" state="visible" r:id="rId6"/>
    <sheet xmlns:r="http://schemas.openxmlformats.org/officeDocument/2006/relationships" name="2025年上海分部利润表" sheetId="7" state="visible" r:id="rId7"/>
    <sheet xmlns:r="http://schemas.openxmlformats.org/officeDocument/2006/relationships" name="2025年赣皖区域利润表" sheetId="8" state="visible" r:id="rId8"/>
    <sheet xmlns:r="http://schemas.openxmlformats.org/officeDocument/2006/relationships" name="2025年安徽省区利润表" sheetId="9" state="visible" r:id="rId9"/>
    <sheet xmlns:r="http://schemas.openxmlformats.org/officeDocument/2006/relationships" name="2025年江西省区利润表" sheetId="10" state="visible" r:id="rId10"/>
    <sheet xmlns:r="http://schemas.openxmlformats.org/officeDocument/2006/relationships" name="24年返利明细" sheetId="11" state="visible" r:id="rId11"/>
    <sheet xmlns:r="http://schemas.openxmlformats.org/officeDocument/2006/relationships" name="资产负债表" sheetId="12" state="visible" r:id="rId12"/>
    <sheet xmlns:r="http://schemas.openxmlformats.org/officeDocument/2006/relationships" name="销售明细" sheetId="13" state="visible" r:id="rId13"/>
    <sheet xmlns:r="http://schemas.openxmlformats.org/officeDocument/2006/relationships" name="应收账款账龄" sheetId="14" state="visible" r:id="rId14"/>
    <sheet xmlns:r="http://schemas.openxmlformats.org/officeDocument/2006/relationships" name="库存台账" sheetId="15" state="visible" r:id="rId15"/>
    <sheet xmlns:r="http://schemas.openxmlformats.org/officeDocument/2006/relationships" name="月度经营分析" sheetId="16" state="visible" r:id="rId16"/>
    <sheet xmlns:r="http://schemas.openxmlformats.org/officeDocument/2006/relationships" name="费用预算执行" sheetId="17" state="visible" r:id="rId17"/>
    <sheet xmlns:r="http://schemas.openxmlformats.org/officeDocument/2006/relationships" name="现金流量表" sheetId="18" state="visible" r:id="rId18"/>
    <sheet xmlns:r="http://schemas.openxmlformats.org/officeDocument/2006/relationships" name="超宽数据表" sheetId="19" state="visible" r:id="rId19"/>
    <sheet xmlns:r="http://schemas.openxmlformats.org/officeDocument/2006/relationships" name="混合类型测试" sheetId="20" state="visible" r:id="rId20"/>
    <sheet xmlns:r="http://schemas.openxmlformats.org/officeDocument/2006/relationships" name="空值区域测试" sheetId="21" state="visible" r:id="rId21"/>
    <sheet xmlns:r="http://schemas.openxmlformats.org/officeDocument/2006/relationships" name="跨年对比(2024-2025)" sheetId="22" state="visible" r:id="rId22"/>
    <sheet xmlns:r="http://schemas.openxmlformats.org/officeDocument/2006/relationships" name="公式测试" sheetId="23" state="visible" r:id="rId23"/>
    <sheet xmlns:r="http://schemas.openxmlformats.org/officeDocument/2006/relationships" name="纯数字列名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yyyy-mm-dd h:mm:ss"/>
    <numFmt numFmtId="166" formatCode="0.0"/>
    <numFmt numFmtId="167" formatCode="yyyy-mm-dd"/>
    <numFmt numFmtId="168" formatCode="YYYY-MM-DD"/>
    <numFmt numFmtId="169" formatCode="0.0%"/>
    <numFmt numFmtId="170" formatCode="+0.0%;-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6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5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0" fillId="0" borderId="1" pivotButton="0" quotePrefix="0" xfId="0"/>
    <xf numFmtId="168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0" fontId="0" fillId="0" borderId="0" applyAlignment="1" pivotButton="0" quotePrefix="0" xfId="0">
      <alignment horizontal="center"/>
    </xf>
    <xf numFmtId="3" fontId="0" fillId="0" borderId="1" pivotButton="0" quotePrefix="0" xfId="0"/>
    <xf numFmtId="3" fontId="2" fillId="0" borderId="1" pivotButton="0" quotePrefix="0" xfId="0"/>
    <xf numFmtId="169" fontId="2" fillId="0" borderId="1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90"/>
    </xf>
    <xf numFmtId="3" fontId="4" fillId="0" borderId="1" pivotButton="0" quotePrefix="0" xfId="0"/>
    <xf numFmtId="169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17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</cols>
  <sheetData>
    <row r="1">
      <c r="A1" s="1" t="inlineStr">
        <is>
          <t>销售1中心经营口径报表索引</t>
        </is>
      </c>
    </row>
    <row r="2">
      <c r="A2" s="2" t="inlineStr">
        <is>
          <t>序号</t>
        </is>
      </c>
      <c r="B2" s="2" t="inlineStr">
        <is>
          <t>索引</t>
        </is>
      </c>
      <c r="C2" s="2" t="inlineStr">
        <is>
          <t>报表编制说明</t>
        </is>
      </c>
    </row>
    <row r="3">
      <c r="A3" s="3" t="n">
        <v>1</v>
      </c>
      <c r="B3" s="4" t="inlineStr">
        <is>
          <t>收入及净利简表</t>
        </is>
      </c>
      <c r="C3" s="5" t="inlineStr">
        <is>
          <t>1、分部及区域的预算净利及实际净利，数据来源为本文件中分部利润表</t>
        </is>
      </c>
    </row>
    <row r="4">
      <c r="A4" s="3" t="n">
        <v>2</v>
      </c>
      <c r="B4" s="4" t="inlineStr">
        <is>
          <t>2025年销售1中心利润表</t>
        </is>
      </c>
      <c r="C4" s="5" t="inlineStr">
        <is>
          <t>编制规则同2025年销售1中心利润表</t>
        </is>
      </c>
    </row>
    <row r="5">
      <c r="A5" s="3" t="n">
        <v>3</v>
      </c>
      <c r="B5" s="4" t="inlineStr">
        <is>
          <t>2025年中心利润表</t>
        </is>
      </c>
      <c r="C5" s="5" t="inlineStr">
        <is>
          <t>编制规则同2025年销售1中心利润表</t>
        </is>
      </c>
    </row>
    <row r="6">
      <c r="A6" s="3" t="n">
        <v>4</v>
      </c>
      <c r="B6" s="4" t="inlineStr">
        <is>
          <t>2025年江苏分部利润表</t>
        </is>
      </c>
      <c r="C6" s="5" t="inlineStr">
        <is>
          <t>编制规则同2025年销售1中心利润表</t>
        </is>
      </c>
    </row>
    <row r="7">
      <c r="A7" s="3" t="n">
        <v>5</v>
      </c>
      <c r="B7" s="4" t="inlineStr">
        <is>
          <t>2025年浙江分部利润表</t>
        </is>
      </c>
      <c r="C7" s="5" t="inlineStr">
        <is>
          <t>编制规则同2025年销售1中心利润表</t>
        </is>
      </c>
    </row>
    <row r="8">
      <c r="A8" s="3" t="n">
        <v>6</v>
      </c>
      <c r="B8" s="4" t="inlineStr">
        <is>
          <t>2025年上海分部利润表</t>
        </is>
      </c>
      <c r="C8" s="5" t="inlineStr">
        <is>
          <t>编制规则同2025年销售1中心利润表</t>
        </is>
      </c>
    </row>
    <row r="9">
      <c r="A9" s="3" t="n">
        <v>7</v>
      </c>
      <c r="B9" s="4" t="inlineStr">
        <is>
          <t>2025年赣皖区域利润表</t>
        </is>
      </c>
      <c r="C9" s="5" t="inlineStr">
        <is>
          <t>编制规则同2025年销售1中心利润表</t>
        </is>
      </c>
    </row>
    <row r="10">
      <c r="A10" s="3" t="n">
        <v>8</v>
      </c>
      <c r="B10" s="4" t="inlineStr">
        <is>
          <t>2025年安徽省区利润表</t>
        </is>
      </c>
      <c r="C10" s="5" t="inlineStr">
        <is>
          <t>编制规则同2025年销售1中心利润表</t>
        </is>
      </c>
    </row>
    <row r="11">
      <c r="A11" s="3" t="n">
        <v>9</v>
      </c>
      <c r="B11" s="4" t="inlineStr">
        <is>
          <t>2025年江西省区利润表</t>
        </is>
      </c>
      <c r="C11" s="5" t="inlineStr">
        <is>
          <t>编制规则同2025年销售1中心利润表</t>
        </is>
      </c>
    </row>
    <row r="12">
      <c r="A12" s="3" t="n">
        <v>10</v>
      </c>
      <c r="B12" s="4" t="inlineStr">
        <is>
          <t>24年返利明细</t>
        </is>
      </c>
      <c r="C12" s="5" t="inlineStr"/>
    </row>
    <row r="13">
      <c r="A13" s="3" t="n">
        <v>11</v>
      </c>
      <c r="B13" s="4" t="inlineStr">
        <is>
          <t>资产负债表</t>
        </is>
      </c>
      <c r="C13" s="5" t="inlineStr"/>
    </row>
    <row r="14">
      <c r="A14" s="3" t="n">
        <v>12</v>
      </c>
      <c r="B14" s="4" t="inlineStr">
        <is>
          <t>销售明细</t>
        </is>
      </c>
      <c r="C14" s="5" t="inlineStr"/>
    </row>
    <row r="15">
      <c r="A15" s="3" t="n">
        <v>13</v>
      </c>
      <c r="B15" s="4" t="inlineStr">
        <is>
          <t>应收账款账龄</t>
        </is>
      </c>
      <c r="C15" s="5" t="inlineStr"/>
    </row>
    <row r="16">
      <c r="A16" s="3" t="n">
        <v>14</v>
      </c>
      <c r="B16" s="4" t="inlineStr">
        <is>
          <t>库存台账</t>
        </is>
      </c>
      <c r="C16" s="5" t="inlineStr"/>
    </row>
    <row r="17">
      <c r="A17" s="3" t="n">
        <v>15</v>
      </c>
      <c r="B17" s="4" t="inlineStr">
        <is>
          <t>月度经营分析</t>
        </is>
      </c>
      <c r="C17" s="5" t="inlineStr"/>
    </row>
    <row r="18">
      <c r="A18" s="3" t="n">
        <v>16</v>
      </c>
      <c r="B18" s="4" t="inlineStr">
        <is>
          <t>费用预算执行</t>
        </is>
      </c>
      <c r="C18" s="5" t="inlineStr"/>
    </row>
    <row r="19">
      <c r="A19" s="3" t="n">
        <v>17</v>
      </c>
      <c r="B19" s="4" t="inlineStr">
        <is>
          <t>现金流量表</t>
        </is>
      </c>
      <c r="C19" s="5" t="inlineStr"/>
    </row>
    <row r="20">
      <c r="A20" s="3" t="n">
        <v>18</v>
      </c>
      <c r="B20" s="4" t="inlineStr">
        <is>
          <t>超宽数据表</t>
        </is>
      </c>
      <c r="C20" s="5" t="inlineStr"/>
    </row>
    <row r="21">
      <c r="A21" s="3" t="n">
        <v>19</v>
      </c>
      <c r="B21" s="4" t="inlineStr">
        <is>
          <t>混合类型测试</t>
        </is>
      </c>
      <c r="C21" s="5" t="inlineStr"/>
    </row>
    <row r="22">
      <c r="A22" s="3" t="n">
        <v>20</v>
      </c>
      <c r="B22" s="4" t="inlineStr">
        <is>
          <t>空值区域测试</t>
        </is>
      </c>
      <c r="C22" s="5" t="inlineStr"/>
    </row>
    <row r="23">
      <c r="A23" s="3" t="n">
        <v>21</v>
      </c>
      <c r="B23" s="4" t="inlineStr">
        <is>
          <t>跨年对比(2024-2025)</t>
        </is>
      </c>
      <c r="C23" s="5" t="inlineStr"/>
    </row>
    <row r="24">
      <c r="A24" s="3" t="n">
        <v>22</v>
      </c>
      <c r="B24" s="4" t="inlineStr">
        <is>
          <t>公式测试</t>
        </is>
      </c>
      <c r="C24" s="5" t="inlineStr"/>
    </row>
    <row r="25">
      <c r="A25" s="3" t="n">
        <v>23</v>
      </c>
      <c r="B25" s="4" t="inlineStr">
        <is>
          <t>纯数字列名</t>
        </is>
      </c>
      <c r="C25" s="5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销售1中心2025年各分部及区域收入&amp;净利简表</t>
        </is>
      </c>
    </row>
    <row r="2">
      <c r="A2" s="2" t="inlineStr">
        <is>
          <t>区域</t>
        </is>
      </c>
      <c r="B2" s="2" t="inlineStr">
        <is>
          <t>1月</t>
        </is>
      </c>
      <c r="E2" s="2" t="inlineStr">
        <is>
          <t>2月</t>
        </is>
      </c>
      <c r="H2" s="2" t="inlineStr">
        <is>
          <t>3月</t>
        </is>
      </c>
      <c r="K2" s="2" t="inlineStr">
        <is>
          <t>4月</t>
        </is>
      </c>
      <c r="N2" s="2" t="inlineStr">
        <is>
          <t>5月</t>
        </is>
      </c>
      <c r="Q2" s="2" t="inlineStr">
        <is>
          <t>6月</t>
        </is>
      </c>
      <c r="T2" s="2" t="inlineStr">
        <is>
          <t>7月</t>
        </is>
      </c>
      <c r="W2" s="2" t="inlineStr">
        <is>
          <t>8月</t>
        </is>
      </c>
      <c r="Z2" s="2" t="inlineStr">
        <is>
          <t>9月</t>
        </is>
      </c>
      <c r="AC2" s="2" t="inlineStr">
        <is>
          <t>10月</t>
        </is>
      </c>
      <c r="AF2" s="2" t="inlineStr">
        <is>
          <t>11月</t>
        </is>
      </c>
      <c r="AI2" s="2" t="inlineStr">
        <is>
          <t>12月</t>
        </is>
      </c>
    </row>
    <row r="3">
      <c r="A3" s="4" t="n"/>
      <c r="B3" s="2" t="inlineStr">
        <is>
          <t>预算收入</t>
        </is>
      </c>
      <c r="C3" s="2" t="inlineStr">
        <is>
          <t>24年同期实际</t>
        </is>
      </c>
      <c r="D3" s="2" t="inlineStr">
        <is>
          <t>实际收入</t>
        </is>
      </c>
      <c r="E3" s="2" t="inlineStr">
        <is>
          <t>预算收入</t>
        </is>
      </c>
      <c r="F3" s="2" t="inlineStr">
        <is>
          <t>24年同期实际</t>
        </is>
      </c>
      <c r="G3" s="2" t="inlineStr">
        <is>
          <t>实际收入</t>
        </is>
      </c>
      <c r="H3" s="2" t="inlineStr">
        <is>
          <t>预算收入</t>
        </is>
      </c>
      <c r="I3" s="2" t="inlineStr">
        <is>
          <t>24年同期实际</t>
        </is>
      </c>
      <c r="J3" s="2" t="inlineStr">
        <is>
          <t>实际收入</t>
        </is>
      </c>
      <c r="K3" s="2" t="inlineStr">
        <is>
          <t>预算收入</t>
        </is>
      </c>
      <c r="L3" s="2" t="inlineStr">
        <is>
          <t>24年同期实际</t>
        </is>
      </c>
      <c r="M3" s="2" t="inlineStr">
        <is>
          <t>实际收入</t>
        </is>
      </c>
      <c r="N3" s="2" t="inlineStr">
        <is>
          <t>预算收入</t>
        </is>
      </c>
      <c r="O3" s="2" t="inlineStr">
        <is>
          <t>24年同期实际</t>
        </is>
      </c>
      <c r="P3" s="2" t="inlineStr">
        <is>
          <t>实际收入</t>
        </is>
      </c>
      <c r="Q3" s="2" t="inlineStr">
        <is>
          <t>预算收入</t>
        </is>
      </c>
      <c r="R3" s="2" t="inlineStr">
        <is>
          <t>24年同期实际</t>
        </is>
      </c>
      <c r="S3" s="2" t="inlineStr">
        <is>
          <t>实际收入</t>
        </is>
      </c>
      <c r="T3" s="2" t="inlineStr">
        <is>
          <t>预算收入</t>
        </is>
      </c>
      <c r="U3" s="2" t="inlineStr">
        <is>
          <t>24年同期实际</t>
        </is>
      </c>
      <c r="V3" s="2" t="inlineStr">
        <is>
          <t>实际收入</t>
        </is>
      </c>
      <c r="W3" s="2" t="inlineStr">
        <is>
          <t>预算收入</t>
        </is>
      </c>
      <c r="X3" s="2" t="inlineStr">
        <is>
          <t>24年同期实际</t>
        </is>
      </c>
      <c r="Y3" s="2" t="inlineStr">
        <is>
          <t>实际收入</t>
        </is>
      </c>
      <c r="Z3" s="2" t="inlineStr">
        <is>
          <t>预算收入</t>
        </is>
      </c>
      <c r="AA3" s="2" t="inlineStr">
        <is>
          <t>24年同期实际</t>
        </is>
      </c>
      <c r="AB3" s="2" t="inlineStr">
        <is>
          <t>实际收入</t>
        </is>
      </c>
      <c r="AC3" s="2" t="inlineStr">
        <is>
          <t>预算收入</t>
        </is>
      </c>
      <c r="AD3" s="2" t="inlineStr">
        <is>
          <t>24年同期实际</t>
        </is>
      </c>
      <c r="AE3" s="2" t="inlineStr">
        <is>
          <t>实际收入</t>
        </is>
      </c>
      <c r="AF3" s="2" t="inlineStr">
        <is>
          <t>预算收入</t>
        </is>
      </c>
      <c r="AG3" s="2" t="inlineStr">
        <is>
          <t>24年同期实际</t>
        </is>
      </c>
      <c r="AH3" s="2" t="inlineStr">
        <is>
          <t>实际收入</t>
        </is>
      </c>
      <c r="AI3" s="2" t="inlineStr">
        <is>
          <t>预算收入</t>
        </is>
      </c>
      <c r="AJ3" s="2" t="inlineStr">
        <is>
          <t>24年同期实际</t>
        </is>
      </c>
      <c r="AK3" s="2" t="inlineStr">
        <is>
          <t>实际收入</t>
        </is>
      </c>
    </row>
    <row r="4">
      <c r="A4" s="6" t="inlineStr">
        <is>
          <t>江苏分部</t>
        </is>
      </c>
      <c r="B4" s="7" t="n">
        <v>3257099.7</v>
      </c>
      <c r="C4" s="7" t="n">
        <v>1426645.5</v>
      </c>
      <c r="D4" s="7" t="n">
        <v>2276700.8</v>
      </c>
      <c r="E4" s="7" t="n">
        <v>3595061.8</v>
      </c>
      <c r="F4" s="7" t="n">
        <v>2075202.8</v>
      </c>
      <c r="G4" s="7" t="n">
        <v>2438536</v>
      </c>
      <c r="H4" s="7" t="n">
        <v>3524716.4</v>
      </c>
      <c r="I4" s="7" t="n">
        <v>2170641.7</v>
      </c>
      <c r="J4" s="7" t="n">
        <v>3023645.1</v>
      </c>
      <c r="K4" s="7" t="n">
        <v>4105055.9</v>
      </c>
      <c r="L4" s="7" t="n">
        <v>4378589.8</v>
      </c>
      <c r="M4" s="7" t="n">
        <v>3990466.4</v>
      </c>
      <c r="N4" s="7" t="n">
        <v>3424010.8</v>
      </c>
      <c r="O4" s="7" t="n">
        <v>3239497.8</v>
      </c>
      <c r="P4" s="7" t="n">
        <v>4113876.1</v>
      </c>
      <c r="Q4" s="7" t="n">
        <v>3359077.2</v>
      </c>
      <c r="R4" s="7" t="n">
        <v>2746363.7</v>
      </c>
      <c r="S4" s="7" t="n">
        <v>4472222.100000001</v>
      </c>
      <c r="T4" s="7" t="n">
        <v>3646158</v>
      </c>
      <c r="U4" s="7" t="n">
        <v>5565434.1</v>
      </c>
      <c r="V4" s="7" t="n">
        <v>5223734.199999999</v>
      </c>
      <c r="W4" s="7" t="n">
        <v>3616459.6</v>
      </c>
      <c r="X4" s="7" t="n">
        <v>3962700.6</v>
      </c>
      <c r="Y4" s="7" t="n">
        <v>3886569.9</v>
      </c>
      <c r="Z4" s="7" t="n">
        <v>3457216.4</v>
      </c>
      <c r="AA4" s="7" t="n">
        <v>3438472.1</v>
      </c>
      <c r="AB4" s="7" t="n">
        <v>3717346.1</v>
      </c>
      <c r="AC4" s="7" t="n">
        <v>3425288.5</v>
      </c>
      <c r="AD4" s="7" t="n">
        <v>4807486.6</v>
      </c>
      <c r="AE4" s="7" t="n">
        <v>4828295</v>
      </c>
      <c r="AF4" s="7" t="n">
        <v>4173484.2</v>
      </c>
      <c r="AG4" s="7" t="n">
        <v>2445683.7</v>
      </c>
      <c r="AH4" s="7" t="n">
        <v>3656824.8</v>
      </c>
      <c r="AI4" s="7" t="n">
        <v>3640066.8</v>
      </c>
      <c r="AJ4" s="7" t="n">
        <v>2089621.8</v>
      </c>
      <c r="AK4" s="7" t="n">
        <v>2810748.2</v>
      </c>
    </row>
    <row r="5">
      <c r="A5" s="6" t="inlineStr">
        <is>
          <t>浙江分部</t>
        </is>
      </c>
      <c r="B5" s="7" t="n">
        <v>3525783</v>
      </c>
      <c r="C5" s="7" t="n">
        <v>2323278.7</v>
      </c>
      <c r="D5" s="7" t="n">
        <v>2289213.4</v>
      </c>
      <c r="E5" s="7" t="n">
        <v>3982159.1</v>
      </c>
      <c r="F5" s="7" t="n">
        <v>2637685.4</v>
      </c>
      <c r="G5" s="7" t="n">
        <v>2782262.9</v>
      </c>
      <c r="H5" s="7" t="n">
        <v>3870029.8</v>
      </c>
      <c r="I5" s="7" t="n">
        <v>2208007.3</v>
      </c>
      <c r="J5" s="7" t="n">
        <v>3298505.1</v>
      </c>
      <c r="K5" s="7" t="n">
        <v>3202162.7</v>
      </c>
      <c r="L5" s="7" t="n">
        <v>3747238.6</v>
      </c>
      <c r="M5" s="7" t="n">
        <v>3933001.8</v>
      </c>
      <c r="N5" s="7" t="n">
        <v>3111637.2</v>
      </c>
      <c r="O5" s="7" t="n">
        <v>3813631.5</v>
      </c>
      <c r="P5" s="7" t="n">
        <v>4626505</v>
      </c>
      <c r="Q5" s="7" t="n">
        <v>3570851.6</v>
      </c>
      <c r="R5" s="7" t="n">
        <v>2328072.6</v>
      </c>
      <c r="S5" s="7" t="n">
        <v>3863215.5</v>
      </c>
      <c r="T5" s="7" t="n">
        <v>3696131.4</v>
      </c>
      <c r="U5" s="7" t="n">
        <v>2722707.3</v>
      </c>
      <c r="V5" s="7" t="n">
        <v>4256805</v>
      </c>
      <c r="W5" s="7" t="n">
        <v>3378634.1</v>
      </c>
      <c r="X5" s="7" t="n">
        <v>3138309</v>
      </c>
      <c r="Y5" s="7" t="n">
        <v>4311089.3</v>
      </c>
      <c r="Z5" s="7" t="n">
        <v>3893913.8</v>
      </c>
      <c r="AA5" s="7" t="n">
        <v>3431157.4</v>
      </c>
      <c r="AB5" s="7" t="n">
        <v>3372206</v>
      </c>
      <c r="AC5" s="7" t="n">
        <v>3822166.7</v>
      </c>
      <c r="AD5" s="7" t="n">
        <v>3823286.8</v>
      </c>
      <c r="AE5" s="7" t="n">
        <v>4372458.300000001</v>
      </c>
      <c r="AF5" s="7" t="n">
        <v>3738629.1</v>
      </c>
      <c r="AG5" s="7" t="n">
        <v>3080740.5</v>
      </c>
      <c r="AH5" s="7" t="n">
        <v>3197057.8</v>
      </c>
      <c r="AI5" s="7" t="n">
        <v>3260755.8</v>
      </c>
      <c r="AJ5" s="7" t="n">
        <v>2030286.2</v>
      </c>
      <c r="AK5" s="7" t="n">
        <v>2350179.1</v>
      </c>
    </row>
    <row r="6">
      <c r="A6" s="6" t="inlineStr">
        <is>
          <t>上海分部</t>
        </is>
      </c>
      <c r="B6" s="7" t="n">
        <v>3261388.3</v>
      </c>
      <c r="C6" s="7" t="n">
        <v>1550905.1</v>
      </c>
      <c r="D6" s="7" t="n">
        <v>2365650.7</v>
      </c>
      <c r="E6" s="7" t="n">
        <v>3340801.8</v>
      </c>
      <c r="F6" s="7" t="n">
        <v>1961461.5</v>
      </c>
      <c r="G6" s="7" t="n">
        <v>2636193</v>
      </c>
      <c r="H6" s="7" t="n">
        <v>3260172.6</v>
      </c>
      <c r="I6" s="7" t="n">
        <v>2585335.1</v>
      </c>
      <c r="J6" s="7" t="n">
        <v>3444469.899999999</v>
      </c>
      <c r="K6" s="7" t="n">
        <v>3719803.9</v>
      </c>
      <c r="L6" s="7" t="n">
        <v>2359729</v>
      </c>
      <c r="M6" s="7" t="n">
        <v>3782376.4</v>
      </c>
      <c r="N6" s="7" t="n">
        <v>3969681.5</v>
      </c>
      <c r="O6" s="7" t="n">
        <v>3636118.5</v>
      </c>
      <c r="P6" s="7" t="n">
        <v>4489518.7</v>
      </c>
      <c r="Q6" s="7" t="n">
        <v>3332593.7</v>
      </c>
      <c r="R6" s="7" t="n">
        <v>5157912.6</v>
      </c>
      <c r="S6" s="7" t="n">
        <v>5173694.7</v>
      </c>
      <c r="T6" s="7" t="n">
        <v>3367078.8</v>
      </c>
      <c r="U6" s="7" t="n">
        <v>3822273.2</v>
      </c>
      <c r="V6" s="7" t="n">
        <v>4613169.7</v>
      </c>
      <c r="W6" s="7" t="n">
        <v>3662762.1</v>
      </c>
      <c r="X6" s="7" t="n">
        <v>2560146.6</v>
      </c>
      <c r="Y6" s="7" t="n">
        <v>3906062.7</v>
      </c>
      <c r="Z6" s="7" t="n">
        <v>3928163.7</v>
      </c>
      <c r="AA6" s="7" t="n">
        <v>3932300.3</v>
      </c>
      <c r="AB6" s="7" t="n">
        <v>3735891.6</v>
      </c>
      <c r="AC6" s="7" t="n">
        <v>4206411.7</v>
      </c>
      <c r="AD6" s="7" t="n">
        <v>3652812.2</v>
      </c>
      <c r="AE6" s="7" t="n">
        <v>4066046.4</v>
      </c>
      <c r="AF6" s="7" t="n">
        <v>3707408.5</v>
      </c>
      <c r="AG6" s="7" t="n">
        <v>1959280.2</v>
      </c>
      <c r="AH6" s="7" t="n">
        <v>3221347</v>
      </c>
      <c r="AI6" s="7" t="n">
        <v>3440624.9</v>
      </c>
      <c r="AJ6" s="7" t="n">
        <v>2339835.6</v>
      </c>
      <c r="AK6" s="7" t="n">
        <v>2728073.6</v>
      </c>
    </row>
    <row r="7">
      <c r="A7" s="6" t="inlineStr">
        <is>
          <t>赣皖区域</t>
        </is>
      </c>
      <c r="B7" s="7" t="n">
        <v>2270804.6</v>
      </c>
      <c r="C7" s="7" t="n">
        <v>936924.8</v>
      </c>
      <c r="D7" s="7" t="n">
        <v>1299535.4</v>
      </c>
      <c r="E7" s="7" t="n">
        <v>2524340.9</v>
      </c>
      <c r="F7" s="7" t="n">
        <v>1203092.2</v>
      </c>
      <c r="G7" s="7" t="n">
        <v>1790879.7</v>
      </c>
      <c r="H7" s="7" t="n">
        <v>2493651.1</v>
      </c>
      <c r="I7" s="7" t="n">
        <v>1721454.1</v>
      </c>
      <c r="J7" s="7" t="n">
        <v>2113200.4</v>
      </c>
      <c r="K7" s="7" t="n">
        <v>2638214.7</v>
      </c>
      <c r="L7" s="7" t="n">
        <v>2268134.2</v>
      </c>
      <c r="M7" s="7" t="n">
        <v>2499583.7</v>
      </c>
      <c r="N7" s="7" t="n">
        <v>2638627.1</v>
      </c>
      <c r="O7" s="7" t="n">
        <v>1869227.4</v>
      </c>
      <c r="P7" s="7" t="n">
        <v>2595132.3</v>
      </c>
      <c r="Q7" s="7" t="n">
        <v>2643639.1</v>
      </c>
      <c r="R7" s="7" t="n">
        <v>2354389.4</v>
      </c>
      <c r="S7" s="7" t="n">
        <v>2912825.2</v>
      </c>
      <c r="T7" s="7" t="n">
        <v>2300477.9</v>
      </c>
      <c r="U7" s="7" t="n">
        <v>3040934.5</v>
      </c>
      <c r="V7" s="7" t="n">
        <v>3262155.4</v>
      </c>
      <c r="W7" s="7" t="n">
        <v>2255126</v>
      </c>
      <c r="X7" s="7" t="n">
        <v>1776085.8</v>
      </c>
      <c r="Y7" s="7" t="n">
        <v>2763015.8</v>
      </c>
      <c r="Z7" s="7" t="n">
        <v>2542963.8</v>
      </c>
      <c r="AA7" s="7" t="n">
        <v>2585253.8</v>
      </c>
      <c r="AB7" s="7" t="n">
        <v>2377622.600000001</v>
      </c>
      <c r="AC7" s="7" t="n">
        <v>2572090.4</v>
      </c>
      <c r="AD7" s="7" t="n">
        <v>1923164.2</v>
      </c>
      <c r="AE7" s="7" t="n">
        <v>3034149.3</v>
      </c>
      <c r="AF7" s="7" t="n">
        <v>2652975.2</v>
      </c>
      <c r="AG7" s="7" t="n">
        <v>1971168.9</v>
      </c>
      <c r="AH7" s="7" t="n">
        <v>2284010.4</v>
      </c>
      <c r="AI7" s="7" t="n">
        <v>2054124.5</v>
      </c>
      <c r="AJ7" s="7" t="n">
        <v>1455036.5</v>
      </c>
      <c r="AK7" s="7" t="n">
        <v>1704460.7</v>
      </c>
    </row>
    <row r="8">
      <c r="A8" s="6" t="inlineStr">
        <is>
          <t>销售1总监费用</t>
        </is>
      </c>
      <c r="B8" s="7" t="n">
        <v>0</v>
      </c>
      <c r="C8" s="7" t="n">
        <v>20856.7</v>
      </c>
      <c r="D8" s="7" t="n">
        <v>19061.7</v>
      </c>
      <c r="E8" s="7" t="n">
        <v>0</v>
      </c>
      <c r="F8" s="7" t="n">
        <v>13597</v>
      </c>
      <c r="G8" s="7" t="n">
        <v>15502.6</v>
      </c>
      <c r="H8" s="7" t="n">
        <v>0</v>
      </c>
      <c r="I8" s="7" t="n">
        <v>10406.8</v>
      </c>
      <c r="J8" s="7" t="n">
        <v>13086.6</v>
      </c>
      <c r="K8" s="7" t="n">
        <v>0</v>
      </c>
      <c r="L8" s="7" t="n">
        <v>36556.8</v>
      </c>
      <c r="M8" s="7" t="n">
        <v>43777.1</v>
      </c>
      <c r="N8" s="7" t="n">
        <v>0</v>
      </c>
      <c r="O8" s="7" t="n">
        <v>12891.5</v>
      </c>
      <c r="P8" s="7" t="n">
        <v>14045.6</v>
      </c>
      <c r="Q8" s="7" t="n">
        <v>0</v>
      </c>
      <c r="R8" s="7" t="n">
        <v>44531.4</v>
      </c>
      <c r="S8" s="7" t="n">
        <v>40835</v>
      </c>
      <c r="T8" s="7" t="n">
        <v>0</v>
      </c>
      <c r="U8" s="7" t="n">
        <v>31547.7</v>
      </c>
      <c r="V8" s="7" t="n">
        <v>43404.8</v>
      </c>
      <c r="W8" s="7" t="n">
        <v>0</v>
      </c>
      <c r="X8" s="7" t="n">
        <v>27576.7</v>
      </c>
      <c r="Y8" s="7" t="n">
        <v>45347.3</v>
      </c>
      <c r="Z8" s="7" t="n">
        <v>0</v>
      </c>
      <c r="AA8" s="7" t="n">
        <v>11443.8</v>
      </c>
      <c r="AB8" s="7" t="n">
        <v>11509.9</v>
      </c>
      <c r="AC8" s="7" t="n">
        <v>0</v>
      </c>
      <c r="AD8" s="7" t="n">
        <v>18128.7</v>
      </c>
      <c r="AE8" s="7" t="n">
        <v>23470.6</v>
      </c>
      <c r="AF8" s="7" t="n">
        <v>0</v>
      </c>
      <c r="AG8" s="7" t="n">
        <v>39289.2</v>
      </c>
      <c r="AH8" s="7" t="n">
        <v>40652.3</v>
      </c>
      <c r="AI8" s="7" t="n">
        <v>0</v>
      </c>
      <c r="AJ8" s="7" t="n">
        <v>13933.1</v>
      </c>
      <c r="AK8" s="7" t="n">
        <v>15242</v>
      </c>
    </row>
    <row r="9">
      <c r="A9" s="6" t="inlineStr">
        <is>
          <t>合计</t>
        </is>
      </c>
      <c r="B9" s="8" t="n">
        <v>12315075.6</v>
      </c>
      <c r="C9" s="8" t="n">
        <v>6258610.8</v>
      </c>
      <c r="D9" s="8" t="n">
        <v>8250162</v>
      </c>
      <c r="E9" s="8" t="n">
        <v>13442363.6</v>
      </c>
      <c r="F9" s="8" t="n">
        <v>7891038.9</v>
      </c>
      <c r="G9" s="8" t="n">
        <v>9663374.199999999</v>
      </c>
      <c r="H9" s="8" t="n">
        <v>13148569.9</v>
      </c>
      <c r="I9" s="8" t="n">
        <v>8695845</v>
      </c>
      <c r="J9" s="8" t="n">
        <v>11892907.1</v>
      </c>
      <c r="K9" s="8" t="n">
        <v>13665237.2</v>
      </c>
      <c r="L9" s="8" t="n">
        <v>12790248.4</v>
      </c>
      <c r="M9" s="8" t="n">
        <v>14249205.4</v>
      </c>
      <c r="N9" s="8" t="n">
        <v>13143956.6</v>
      </c>
      <c r="O9" s="8" t="n">
        <v>12571366.7</v>
      </c>
      <c r="P9" s="8" t="n">
        <v>15839077.7</v>
      </c>
      <c r="Q9" s="8" t="n">
        <v>12906161.6</v>
      </c>
      <c r="R9" s="8" t="n">
        <v>12631269.7</v>
      </c>
      <c r="S9" s="8" t="n">
        <v>16462792.5</v>
      </c>
      <c r="T9" s="8" t="n">
        <v>13009846.1</v>
      </c>
      <c r="U9" s="8" t="n">
        <v>15182896.8</v>
      </c>
      <c r="V9" s="8" t="n">
        <v>17399269.1</v>
      </c>
      <c r="W9" s="8" t="n">
        <v>12912981.8</v>
      </c>
      <c r="X9" s="8" t="n">
        <v>11464818.7</v>
      </c>
      <c r="Y9" s="8" t="n">
        <v>14912085</v>
      </c>
      <c r="Z9" s="8" t="n">
        <v>13822257.7</v>
      </c>
      <c r="AA9" s="8" t="n">
        <v>13398627.4</v>
      </c>
      <c r="AB9" s="8" t="n">
        <v>13214576.2</v>
      </c>
      <c r="AC9" s="8" t="n">
        <v>14025957.3</v>
      </c>
      <c r="AD9" s="8" t="n">
        <v>14224878.5</v>
      </c>
      <c r="AE9" s="8" t="n">
        <v>16324419.6</v>
      </c>
      <c r="AF9" s="8" t="n">
        <v>14272497</v>
      </c>
      <c r="AG9" s="8" t="n">
        <v>9496162.5</v>
      </c>
      <c r="AH9" s="8" t="n">
        <v>12399892.3</v>
      </c>
      <c r="AI9" s="8" t="n">
        <v>12395572</v>
      </c>
      <c r="AJ9" s="8" t="n">
        <v>7928713.2</v>
      </c>
      <c r="AK9" s="8" t="n">
        <v>9608703.6</v>
      </c>
    </row>
    <row r="11">
      <c r="A11" s="2" t="inlineStr">
        <is>
          <t>区域</t>
        </is>
      </c>
      <c r="B11" s="2" t="inlineStr">
        <is>
          <t>1月</t>
        </is>
      </c>
      <c r="E11" s="2" t="inlineStr">
        <is>
          <t>2月</t>
        </is>
      </c>
      <c r="H11" s="2" t="inlineStr">
        <is>
          <t>3月</t>
        </is>
      </c>
      <c r="K11" s="2" t="inlineStr">
        <is>
          <t>4月</t>
        </is>
      </c>
      <c r="N11" s="2" t="inlineStr">
        <is>
          <t>5月</t>
        </is>
      </c>
      <c r="Q11" s="2" t="inlineStr">
        <is>
          <t>6月</t>
        </is>
      </c>
      <c r="T11" s="2" t="inlineStr">
        <is>
          <t>7月</t>
        </is>
      </c>
      <c r="W11" s="2" t="inlineStr">
        <is>
          <t>8月</t>
        </is>
      </c>
      <c r="Z11" s="2" t="inlineStr">
        <is>
          <t>9月</t>
        </is>
      </c>
      <c r="AC11" s="2" t="inlineStr">
        <is>
          <t>10月</t>
        </is>
      </c>
      <c r="AF11" s="2" t="inlineStr">
        <is>
          <t>11月</t>
        </is>
      </c>
      <c r="AI11" s="2" t="inlineStr">
        <is>
          <t>12月</t>
        </is>
      </c>
    </row>
    <row r="12">
      <c r="A12" s="4" t="n"/>
      <c r="B12" s="2" t="inlineStr">
        <is>
          <t>预算净利</t>
        </is>
      </c>
      <c r="C12" s="2" t="inlineStr">
        <is>
          <t>24年同期实际</t>
        </is>
      </c>
      <c r="D12" s="2" t="inlineStr">
        <is>
          <t>实际净利</t>
        </is>
      </c>
      <c r="E12" s="2" t="inlineStr">
        <is>
          <t>预算净利</t>
        </is>
      </c>
      <c r="F12" s="2" t="inlineStr">
        <is>
          <t>24年同期实际</t>
        </is>
      </c>
      <c r="G12" s="2" t="inlineStr">
        <is>
          <t>实际净利</t>
        </is>
      </c>
      <c r="H12" s="2" t="inlineStr">
        <is>
          <t>预算净利</t>
        </is>
      </c>
      <c r="I12" s="2" t="inlineStr">
        <is>
          <t>24年同期实际</t>
        </is>
      </c>
      <c r="J12" s="2" t="inlineStr">
        <is>
          <t>实际净利</t>
        </is>
      </c>
      <c r="K12" s="2" t="inlineStr">
        <is>
          <t>预算净利</t>
        </is>
      </c>
      <c r="L12" s="2" t="inlineStr">
        <is>
          <t>24年同期实际</t>
        </is>
      </c>
      <c r="M12" s="2" t="inlineStr">
        <is>
          <t>实际净利</t>
        </is>
      </c>
      <c r="N12" s="2" t="inlineStr">
        <is>
          <t>预算净利</t>
        </is>
      </c>
      <c r="O12" s="2" t="inlineStr">
        <is>
          <t>24年同期实际</t>
        </is>
      </c>
      <c r="P12" s="2" t="inlineStr">
        <is>
          <t>实际净利</t>
        </is>
      </c>
      <c r="Q12" s="2" t="inlineStr">
        <is>
          <t>预算净利</t>
        </is>
      </c>
      <c r="R12" s="2" t="inlineStr">
        <is>
          <t>24年同期实际</t>
        </is>
      </c>
      <c r="S12" s="2" t="inlineStr">
        <is>
          <t>实际净利</t>
        </is>
      </c>
      <c r="T12" s="2" t="inlineStr">
        <is>
          <t>预算净利</t>
        </is>
      </c>
      <c r="U12" s="2" t="inlineStr">
        <is>
          <t>24年同期实际</t>
        </is>
      </c>
      <c r="V12" s="2" t="inlineStr">
        <is>
          <t>实际净利</t>
        </is>
      </c>
      <c r="W12" s="2" t="inlineStr">
        <is>
          <t>预算净利</t>
        </is>
      </c>
      <c r="X12" s="2" t="inlineStr">
        <is>
          <t>24年同期实际</t>
        </is>
      </c>
      <c r="Y12" s="2" t="inlineStr">
        <is>
          <t>实际净利</t>
        </is>
      </c>
      <c r="Z12" s="2" t="inlineStr">
        <is>
          <t>预算净利</t>
        </is>
      </c>
      <c r="AA12" s="2" t="inlineStr">
        <is>
          <t>24年同期实际</t>
        </is>
      </c>
      <c r="AB12" s="2" t="inlineStr">
        <is>
          <t>实际净利</t>
        </is>
      </c>
      <c r="AC12" s="2" t="inlineStr">
        <is>
          <t>预算净利</t>
        </is>
      </c>
      <c r="AD12" s="2" t="inlineStr">
        <is>
          <t>24年同期实际</t>
        </is>
      </c>
      <c r="AE12" s="2" t="inlineStr">
        <is>
          <t>实际净利</t>
        </is>
      </c>
      <c r="AF12" s="2" t="inlineStr">
        <is>
          <t>预算净利</t>
        </is>
      </c>
      <c r="AG12" s="2" t="inlineStr">
        <is>
          <t>24年同期实际</t>
        </is>
      </c>
      <c r="AH12" s="2" t="inlineStr">
        <is>
          <t>实际净利</t>
        </is>
      </c>
      <c r="AI12" s="2" t="inlineStr">
        <is>
          <t>预算净利</t>
        </is>
      </c>
      <c r="AJ12" s="2" t="inlineStr">
        <is>
          <t>24年同期实际</t>
        </is>
      </c>
      <c r="AK12" s="2" t="inlineStr">
        <is>
          <t>实际净利</t>
        </is>
      </c>
    </row>
    <row r="13">
      <c r="A13" s="6" t="inlineStr">
        <is>
          <t>江苏分部</t>
        </is>
      </c>
      <c r="B13" s="7" t="n">
        <v>227378</v>
      </c>
      <c r="C13" s="7" t="n">
        <v>307242.3</v>
      </c>
      <c r="D13" s="7" t="n">
        <v>241637.4</v>
      </c>
      <c r="E13" s="7" t="n">
        <v>286822.7</v>
      </c>
      <c r="F13" s="7" t="n">
        <v>226001.5</v>
      </c>
      <c r="G13" s="7" t="n">
        <v>182969.5</v>
      </c>
      <c r="H13" s="7" t="n">
        <v>399339.8</v>
      </c>
      <c r="I13" s="7" t="n">
        <v>63079.1</v>
      </c>
      <c r="J13" s="7" t="n">
        <v>75769</v>
      </c>
      <c r="K13" s="7" t="n">
        <v>265710.5</v>
      </c>
      <c r="L13" s="7" t="n">
        <v>260502.5</v>
      </c>
      <c r="M13" s="7" t="n">
        <v>478569.6</v>
      </c>
      <c r="N13" s="7" t="n">
        <v>361996.2</v>
      </c>
      <c r="O13" s="7" t="n">
        <v>445820.4</v>
      </c>
      <c r="P13" s="7" t="n">
        <v>426208.9</v>
      </c>
      <c r="Q13" s="7" t="n">
        <v>300932.5</v>
      </c>
      <c r="R13" s="7" t="n">
        <v>686703.9</v>
      </c>
      <c r="S13" s="7" t="n">
        <v>522801.1</v>
      </c>
      <c r="T13" s="7" t="n">
        <v>294994.1</v>
      </c>
      <c r="U13" s="7" t="n">
        <v>397211.8</v>
      </c>
      <c r="V13" s="7" t="n">
        <v>588384.2</v>
      </c>
      <c r="W13" s="7" t="n">
        <v>394145.5</v>
      </c>
      <c r="X13" s="7" t="n">
        <v>521356.6</v>
      </c>
      <c r="Y13" s="7" t="n">
        <v>407582.9</v>
      </c>
      <c r="Z13" s="7" t="n">
        <v>401216.6</v>
      </c>
      <c r="AA13" s="7" t="n">
        <v>131353.2</v>
      </c>
      <c r="AB13" s="7" t="n">
        <v>136170.5</v>
      </c>
      <c r="AC13" s="7" t="n">
        <v>319630.4</v>
      </c>
      <c r="AD13" s="7" t="n">
        <v>395731</v>
      </c>
      <c r="AE13" s="7" t="n">
        <v>331047.8</v>
      </c>
      <c r="AF13" s="7" t="n">
        <v>349811.3</v>
      </c>
      <c r="AG13" s="7" t="n">
        <v>171231.7</v>
      </c>
      <c r="AH13" s="7" t="n">
        <v>151300.1</v>
      </c>
      <c r="AI13" s="7" t="n">
        <v>245222.5</v>
      </c>
      <c r="AJ13" s="7" t="n">
        <v>221560.9</v>
      </c>
      <c r="AK13" s="7" t="n">
        <v>168937.3</v>
      </c>
    </row>
    <row r="14">
      <c r="A14" s="6" t="inlineStr">
        <is>
          <t>浙江分部</t>
        </is>
      </c>
      <c r="B14" s="7" t="n">
        <v>239477.7</v>
      </c>
      <c r="C14" s="7" t="n">
        <v>51450.2</v>
      </c>
      <c r="D14" s="7" t="n">
        <v>91369.39999999999</v>
      </c>
      <c r="E14" s="7" t="n">
        <v>154010.3</v>
      </c>
      <c r="F14" s="7" t="n">
        <v>79686.60000000001</v>
      </c>
      <c r="G14" s="7" t="n">
        <v>62441</v>
      </c>
      <c r="H14" s="7" t="n">
        <v>251946.9</v>
      </c>
      <c r="I14" s="7" t="n">
        <v>140521.8</v>
      </c>
      <c r="J14" s="7" t="n">
        <v>146731.5</v>
      </c>
      <c r="K14" s="7" t="n">
        <v>254453.9</v>
      </c>
      <c r="L14" s="7" t="n">
        <v>210683.8</v>
      </c>
      <c r="M14" s="7" t="n">
        <v>265531.2</v>
      </c>
      <c r="N14" s="7" t="n">
        <v>167285.8</v>
      </c>
      <c r="O14" s="7" t="n">
        <v>264105.9</v>
      </c>
      <c r="P14" s="7" t="n">
        <v>485661.7</v>
      </c>
      <c r="Q14" s="7" t="n">
        <v>209139.4</v>
      </c>
      <c r="R14" s="7" t="n">
        <v>73723.7</v>
      </c>
      <c r="S14" s="7" t="n">
        <v>105399.4</v>
      </c>
      <c r="T14" s="7" t="n">
        <v>176390.6</v>
      </c>
      <c r="U14" s="7" t="n">
        <v>141738.5</v>
      </c>
      <c r="V14" s="7" t="n">
        <v>261555.6</v>
      </c>
      <c r="W14" s="7" t="n">
        <v>279143.7</v>
      </c>
      <c r="X14" s="7" t="n">
        <v>512744.5</v>
      </c>
      <c r="Y14" s="7" t="n">
        <v>357719.3</v>
      </c>
      <c r="Z14" s="7" t="n">
        <v>221333.4</v>
      </c>
      <c r="AA14" s="7" t="n">
        <v>135057.9</v>
      </c>
      <c r="AB14" s="7" t="n">
        <v>133011.7</v>
      </c>
      <c r="AC14" s="7" t="n">
        <v>159879.8</v>
      </c>
      <c r="AD14" s="7" t="n">
        <v>583627.7</v>
      </c>
      <c r="AE14" s="7" t="n">
        <v>391927.2</v>
      </c>
      <c r="AF14" s="7" t="n">
        <v>186022.6</v>
      </c>
      <c r="AG14" s="7" t="n">
        <v>231549.1</v>
      </c>
      <c r="AH14" s="7" t="n">
        <v>221996.4</v>
      </c>
      <c r="AI14" s="7" t="n">
        <v>264740</v>
      </c>
      <c r="AJ14" s="7" t="n">
        <v>78604</v>
      </c>
      <c r="AK14" s="7" t="n">
        <v>104344.3</v>
      </c>
    </row>
    <row r="15">
      <c r="A15" s="6" t="inlineStr">
        <is>
          <t>上海分部</t>
        </is>
      </c>
      <c r="B15" s="7" t="n">
        <v>220631.1</v>
      </c>
      <c r="C15" s="7" t="n">
        <v>89101.5</v>
      </c>
      <c r="D15" s="7" t="n">
        <v>71094</v>
      </c>
      <c r="E15" s="7" t="n">
        <v>271456.9</v>
      </c>
      <c r="F15" s="7" t="n">
        <v>71803.60000000001</v>
      </c>
      <c r="G15" s="7" t="n">
        <v>103897</v>
      </c>
      <c r="H15" s="7" t="n">
        <v>231703.7</v>
      </c>
      <c r="I15" s="7" t="n">
        <v>126185.4</v>
      </c>
      <c r="J15" s="7" t="n">
        <v>147245.3</v>
      </c>
      <c r="K15" s="7" t="n">
        <v>217771.7</v>
      </c>
      <c r="L15" s="7" t="n">
        <v>183825.2</v>
      </c>
      <c r="M15" s="7" t="n">
        <v>143519.1</v>
      </c>
      <c r="N15" s="7" t="n">
        <v>213921.2</v>
      </c>
      <c r="O15" s="7" t="n">
        <v>131311</v>
      </c>
      <c r="P15" s="7" t="n">
        <v>96142.3</v>
      </c>
      <c r="Q15" s="7" t="n">
        <v>179831.8</v>
      </c>
      <c r="R15" s="7" t="n">
        <v>315980.9</v>
      </c>
      <c r="S15" s="7" t="n">
        <v>379819.1</v>
      </c>
      <c r="T15" s="7" t="n">
        <v>162130.3</v>
      </c>
      <c r="U15" s="7" t="n">
        <v>136640.1</v>
      </c>
      <c r="V15" s="7" t="n">
        <v>218807.9</v>
      </c>
      <c r="W15" s="7" t="n">
        <v>280553.9</v>
      </c>
      <c r="X15" s="7" t="n">
        <v>398149.1</v>
      </c>
      <c r="Y15" s="7" t="n">
        <v>458687</v>
      </c>
      <c r="Z15" s="7" t="n">
        <v>218880.8</v>
      </c>
      <c r="AA15" s="7" t="n">
        <v>391066.4</v>
      </c>
      <c r="AB15" s="7" t="n">
        <v>281446.7</v>
      </c>
      <c r="AC15" s="7" t="n">
        <v>264721.1</v>
      </c>
      <c r="AD15" s="7" t="n">
        <v>453675.6</v>
      </c>
      <c r="AE15" s="7" t="n">
        <v>364894.1</v>
      </c>
      <c r="AF15" s="7" t="n">
        <v>208628.7</v>
      </c>
      <c r="AG15" s="7" t="n">
        <v>146584.6</v>
      </c>
      <c r="AH15" s="7" t="n">
        <v>105105.9</v>
      </c>
      <c r="AI15" s="7" t="n">
        <v>165152.5</v>
      </c>
      <c r="AJ15" s="7" t="n">
        <v>258442.9</v>
      </c>
      <c r="AK15" s="7" t="n">
        <v>291484.1</v>
      </c>
    </row>
    <row r="16">
      <c r="A16" s="6" t="inlineStr">
        <is>
          <t>赣皖区域</t>
        </is>
      </c>
      <c r="B16" s="7" t="n">
        <v>140703.8</v>
      </c>
      <c r="C16" s="7" t="n">
        <v>51406.7</v>
      </c>
      <c r="D16" s="7" t="n">
        <v>34882.2</v>
      </c>
      <c r="E16" s="7" t="n">
        <v>227743.5</v>
      </c>
      <c r="F16" s="7" t="n">
        <v>148285.7</v>
      </c>
      <c r="G16" s="7" t="n">
        <v>148850.9</v>
      </c>
      <c r="H16" s="7" t="n">
        <v>169406.8</v>
      </c>
      <c r="I16" s="7" t="n">
        <v>236288.2</v>
      </c>
      <c r="J16" s="7" t="n">
        <v>236874.8</v>
      </c>
      <c r="K16" s="7" t="n">
        <v>178860.1</v>
      </c>
      <c r="L16" s="7" t="n">
        <v>426305.5</v>
      </c>
      <c r="M16" s="7" t="n">
        <v>299306.6</v>
      </c>
      <c r="N16" s="7" t="n">
        <v>152257.9</v>
      </c>
      <c r="O16" s="7" t="n">
        <v>250434.4</v>
      </c>
      <c r="P16" s="7" t="n">
        <v>245698.4</v>
      </c>
      <c r="Q16" s="7" t="n">
        <v>196998.4</v>
      </c>
      <c r="R16" s="7" t="n">
        <v>240276.3</v>
      </c>
      <c r="S16" s="7" t="n">
        <v>184664.8</v>
      </c>
      <c r="T16" s="7" t="n">
        <v>201031.8</v>
      </c>
      <c r="U16" s="7" t="n">
        <v>119464.7</v>
      </c>
      <c r="V16" s="7" t="n">
        <v>97356.8</v>
      </c>
      <c r="W16" s="7" t="n">
        <v>227323</v>
      </c>
      <c r="X16" s="7" t="n">
        <v>133365</v>
      </c>
      <c r="Y16" s="7" t="n">
        <v>230365.8</v>
      </c>
      <c r="Z16" s="7" t="n">
        <v>155090.6</v>
      </c>
      <c r="AA16" s="7" t="n">
        <v>281146.4</v>
      </c>
      <c r="AB16" s="7" t="n">
        <v>255018.9</v>
      </c>
      <c r="AC16" s="7" t="n">
        <v>144530.2</v>
      </c>
      <c r="AD16" s="7" t="n">
        <v>258255.5</v>
      </c>
      <c r="AE16" s="7" t="n">
        <v>195301.7</v>
      </c>
      <c r="AF16" s="7" t="n">
        <v>236410.4</v>
      </c>
      <c r="AG16" s="7" t="n">
        <v>213476.3</v>
      </c>
      <c r="AH16" s="7" t="n">
        <v>204190.8</v>
      </c>
      <c r="AI16" s="7" t="n">
        <v>207272.1</v>
      </c>
      <c r="AJ16" s="7" t="n">
        <v>154448.8</v>
      </c>
      <c r="AK16" s="7" t="n">
        <v>188074.3</v>
      </c>
    </row>
    <row r="17">
      <c r="A17" s="6" t="inlineStr">
        <is>
          <t>销售1总监费用</t>
        </is>
      </c>
      <c r="B17" s="7" t="n">
        <v>-26156.8</v>
      </c>
      <c r="C17" s="7" t="n">
        <v>-11057.1</v>
      </c>
      <c r="D17" s="7" t="n">
        <v>-19061.7</v>
      </c>
      <c r="E17" s="7" t="n">
        <v>-24409.2</v>
      </c>
      <c r="F17" s="7" t="n">
        <v>-17997.3</v>
      </c>
      <c r="G17" s="7" t="n">
        <v>-15502.6</v>
      </c>
      <c r="H17" s="7" t="n">
        <v>-29861.2</v>
      </c>
      <c r="I17" s="7" t="n">
        <v>-10554.3</v>
      </c>
      <c r="J17" s="7" t="n">
        <v>-13086.6</v>
      </c>
      <c r="K17" s="7" t="n">
        <v>-29370.3</v>
      </c>
      <c r="L17" s="7" t="n">
        <v>-48269.6</v>
      </c>
      <c r="M17" s="7" t="n">
        <v>-43777.1</v>
      </c>
      <c r="N17" s="7" t="n">
        <v>-29679.5</v>
      </c>
      <c r="O17" s="7" t="n">
        <v>-13007.9</v>
      </c>
      <c r="P17" s="7" t="n">
        <v>-14045.6</v>
      </c>
      <c r="Q17" s="7" t="n">
        <v>-24436</v>
      </c>
      <c r="R17" s="7" t="n">
        <v>-48584</v>
      </c>
      <c r="S17" s="7" t="n">
        <v>-40835</v>
      </c>
      <c r="T17" s="7" t="n">
        <v>-26653.4</v>
      </c>
      <c r="U17" s="7" t="n">
        <v>-36961.2</v>
      </c>
      <c r="V17" s="7" t="n">
        <v>-43404.8</v>
      </c>
      <c r="W17" s="7" t="n">
        <v>-26434.9</v>
      </c>
      <c r="X17" s="7" t="n">
        <v>-24594.3</v>
      </c>
      <c r="Y17" s="7" t="n">
        <v>-45347.3</v>
      </c>
      <c r="Z17" s="7" t="n">
        <v>-28598.4</v>
      </c>
      <c r="AA17" s="7" t="n">
        <v>-15769</v>
      </c>
      <c r="AB17" s="7" t="n">
        <v>-11509.9</v>
      </c>
      <c r="AC17" s="7" t="n">
        <v>-25022.6</v>
      </c>
      <c r="AD17" s="7" t="n">
        <v>-20010.1</v>
      </c>
      <c r="AE17" s="7" t="n">
        <v>-23470.6</v>
      </c>
      <c r="AF17" s="7" t="n">
        <v>-26706.6</v>
      </c>
      <c r="AG17" s="7" t="n">
        <v>-60903.3</v>
      </c>
      <c r="AH17" s="7" t="n">
        <v>-40652.3</v>
      </c>
      <c r="AI17" s="7" t="n">
        <v>-25408.8</v>
      </c>
      <c r="AJ17" s="7" t="n">
        <v>-11805.8</v>
      </c>
      <c r="AK17" s="7" t="n">
        <v>-15242</v>
      </c>
    </row>
    <row r="18">
      <c r="A18" s="6" t="inlineStr">
        <is>
          <t>合计</t>
        </is>
      </c>
      <c r="B18" s="8" t="n">
        <v>802033.8</v>
      </c>
      <c r="C18" s="8" t="n">
        <v>488143.6</v>
      </c>
      <c r="D18" s="8" t="n">
        <v>419921.3</v>
      </c>
      <c r="E18" s="8" t="n">
        <v>915624.2</v>
      </c>
      <c r="F18" s="8" t="n">
        <v>507780.1</v>
      </c>
      <c r="G18" s="8" t="n">
        <v>482655.8</v>
      </c>
      <c r="H18" s="8" t="n">
        <v>1022536</v>
      </c>
      <c r="I18" s="8" t="n">
        <v>555520.2</v>
      </c>
      <c r="J18" s="8" t="n">
        <v>593534</v>
      </c>
      <c r="K18" s="8" t="n">
        <v>887425.9</v>
      </c>
      <c r="L18" s="8" t="n">
        <v>1033047.4</v>
      </c>
      <c r="M18" s="8" t="n">
        <v>1143149.4</v>
      </c>
      <c r="N18" s="8" t="n">
        <v>865781.6</v>
      </c>
      <c r="O18" s="8" t="n">
        <v>1078663.8</v>
      </c>
      <c r="P18" s="8" t="n">
        <v>1239665.7</v>
      </c>
      <c r="Q18" s="8" t="n">
        <v>862466.1</v>
      </c>
      <c r="R18" s="8" t="n">
        <v>1268100.8</v>
      </c>
      <c r="S18" s="8" t="n">
        <v>1151849.4</v>
      </c>
      <c r="T18" s="8" t="n">
        <v>807893.4</v>
      </c>
      <c r="U18" s="8" t="n">
        <v>758093.9</v>
      </c>
      <c r="V18" s="8" t="n">
        <v>1122699.7</v>
      </c>
      <c r="W18" s="8" t="n">
        <v>1154731.2</v>
      </c>
      <c r="X18" s="8" t="n">
        <v>1541020.9</v>
      </c>
      <c r="Y18" s="8" t="n">
        <v>1409007.7</v>
      </c>
      <c r="Z18" s="8" t="n">
        <v>967923</v>
      </c>
      <c r="AA18" s="8" t="n">
        <v>922854.9</v>
      </c>
      <c r="AB18" s="8" t="n">
        <v>794137.9</v>
      </c>
      <c r="AC18" s="8" t="n">
        <v>863738.9</v>
      </c>
      <c r="AD18" s="8" t="n">
        <v>1671279.7</v>
      </c>
      <c r="AE18" s="8" t="n">
        <v>1259700.2</v>
      </c>
      <c r="AF18" s="8" t="n">
        <v>954166.4</v>
      </c>
      <c r="AG18" s="8" t="n">
        <v>701938.4</v>
      </c>
      <c r="AH18" s="8" t="n">
        <v>641940.9</v>
      </c>
      <c r="AI18" s="8" t="n">
        <v>856978.3</v>
      </c>
      <c r="AJ18" s="8" t="n">
        <v>701250.8</v>
      </c>
      <c r="AK18" s="8" t="n">
        <v>737598</v>
      </c>
    </row>
    <row r="19">
      <c r="A19" t="inlineStr">
        <is>
          <t>备注：</t>
        </is>
      </c>
    </row>
    <row r="20">
      <c r="A20" t="inlineStr">
        <is>
          <t>本表收入为扣除返利后收入，利润为分红前利润</t>
        </is>
      </c>
    </row>
    <row r="21">
      <c r="A21" t="inlineStr">
        <is>
          <t>编制说明：</t>
        </is>
      </c>
    </row>
  </sheetData>
  <mergeCells count="25">
    <mergeCell ref="B11:D11"/>
    <mergeCell ref="N2:P2"/>
    <mergeCell ref="AI11:AK11"/>
    <mergeCell ref="H2:J2"/>
    <mergeCell ref="H11:J11"/>
    <mergeCell ref="T11:V11"/>
    <mergeCell ref="T2:V2"/>
    <mergeCell ref="Z2:AB2"/>
    <mergeCell ref="E2:G2"/>
    <mergeCell ref="K2:M2"/>
    <mergeCell ref="AF11:AH11"/>
    <mergeCell ref="E11:G11"/>
    <mergeCell ref="AF2:AH2"/>
    <mergeCell ref="A1:AL1"/>
    <mergeCell ref="B2:D2"/>
    <mergeCell ref="W11:Y11"/>
    <mergeCell ref="Q2:S2"/>
    <mergeCell ref="W2:Y2"/>
    <mergeCell ref="AI2:AK2"/>
    <mergeCell ref="Q11:S11"/>
    <mergeCell ref="AC11:AE11"/>
    <mergeCell ref="AC2:AE2"/>
    <mergeCell ref="N11:P11"/>
    <mergeCell ref="Z11:AB11"/>
    <mergeCell ref="K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宁波味觉销售1中心利润表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14317676.7</v>
      </c>
      <c r="D6" s="7" t="n">
        <v>7998523.3</v>
      </c>
      <c r="E6" s="7" t="n">
        <v>13120062.4</v>
      </c>
      <c r="F6" s="7" t="n">
        <v>9518708</v>
      </c>
      <c r="G6" s="7" t="n">
        <v>13460162.3</v>
      </c>
      <c r="H6" s="7" t="n">
        <v>11830231.1</v>
      </c>
      <c r="I6" s="7" t="n">
        <v>12562603.8</v>
      </c>
      <c r="J6" s="7" t="n">
        <v>13991023.4</v>
      </c>
      <c r="K6" s="7" t="n">
        <v>14557861.6</v>
      </c>
      <c r="L6" s="7" t="n">
        <v>15731326.9</v>
      </c>
      <c r="M6" s="7" t="n">
        <v>13200358</v>
      </c>
      <c r="N6" s="7" t="n">
        <v>16193363.4</v>
      </c>
      <c r="O6" s="7" t="n">
        <v>14663747.2</v>
      </c>
      <c r="P6" s="7" t="n">
        <v>17182184.7</v>
      </c>
      <c r="Q6" s="7" t="n">
        <v>12795936.3</v>
      </c>
      <c r="R6" s="7" t="n">
        <v>14716891.1</v>
      </c>
      <c r="S6" s="7" t="n">
        <v>15111507.8</v>
      </c>
      <c r="T6" s="7" t="n">
        <v>13131567.4</v>
      </c>
      <c r="U6" s="7" t="n">
        <v>15260644.1</v>
      </c>
      <c r="V6" s="7" t="n">
        <v>16188639.2</v>
      </c>
      <c r="W6" s="7" t="n">
        <v>13171035.6</v>
      </c>
      <c r="X6" s="7" t="n">
        <v>12184383.9</v>
      </c>
      <c r="Y6" s="7" t="n">
        <v>12451894.9</v>
      </c>
      <c r="Z6" s="7" t="n">
        <v>9592437.199999999</v>
      </c>
      <c r="AA6" s="8" t="n">
        <v>164673490.7</v>
      </c>
      <c r="AB6" s="8" t="n">
        <v>158259279.6</v>
      </c>
    </row>
    <row r="7">
      <c r="A7" s="4" t="inlineStr">
        <is>
          <t>中式汤底</t>
        </is>
      </c>
      <c r="D7" s="7" t="n">
        <v>1066936.1</v>
      </c>
      <c r="F7" s="7" t="n">
        <v>1315685.4</v>
      </c>
      <c r="H7" s="7" t="n">
        <v>1753553.1</v>
      </c>
      <c r="J7" s="7" t="n">
        <v>1969264.1</v>
      </c>
      <c r="L7" s="7" t="n">
        <v>2194942.1</v>
      </c>
      <c r="N7" s="7" t="n">
        <v>2082950.7</v>
      </c>
      <c r="P7" s="7" t="n">
        <v>2401392.6</v>
      </c>
      <c r="R7" s="7" t="n">
        <v>1571944.1</v>
      </c>
      <c r="T7" s="7" t="n">
        <v>1808011.7</v>
      </c>
      <c r="V7" s="7" t="n">
        <v>2305655.5</v>
      </c>
      <c r="X7" s="7" t="n">
        <v>1378277.4</v>
      </c>
      <c r="Z7" s="7" t="n">
        <v>1270996.3</v>
      </c>
      <c r="AB7" s="7" t="n">
        <v>21119609.1</v>
      </c>
    </row>
    <row r="8">
      <c r="A8" s="4" t="inlineStr">
        <is>
          <t>酱料</t>
        </is>
      </c>
      <c r="D8" s="7" t="n">
        <v>701288.7999999999</v>
      </c>
      <c r="F8" s="7" t="n">
        <v>1136912.2</v>
      </c>
      <c r="H8" s="7" t="n">
        <v>1164323.1</v>
      </c>
      <c r="J8" s="7" t="n">
        <v>1471168.8</v>
      </c>
      <c r="L8" s="7" t="n">
        <v>1720260.4</v>
      </c>
      <c r="N8" s="7" t="n">
        <v>1851603.8</v>
      </c>
      <c r="P8" s="7" t="n">
        <v>1962713.6</v>
      </c>
      <c r="R8" s="7" t="n">
        <v>1760982.5</v>
      </c>
      <c r="T8" s="7" t="n">
        <v>1269126.5</v>
      </c>
      <c r="V8" s="7" t="n">
        <v>1991127.7</v>
      </c>
      <c r="X8" s="7" t="n">
        <v>1430970.3</v>
      </c>
      <c r="Z8" s="7" t="n">
        <v>1131705.8</v>
      </c>
      <c r="AB8" s="7" t="n">
        <v>17592183.5</v>
      </c>
    </row>
    <row r="9">
      <c r="A9" s="4" t="inlineStr">
        <is>
          <t>川味底料</t>
        </is>
      </c>
      <c r="D9" s="7" t="n">
        <v>946414.1</v>
      </c>
      <c r="F9" s="7" t="n">
        <v>1451976.1</v>
      </c>
      <c r="H9" s="7" t="n">
        <v>1456873.9</v>
      </c>
      <c r="J9" s="7" t="n">
        <v>1691618.5</v>
      </c>
      <c r="L9" s="7" t="n">
        <v>2196099.2</v>
      </c>
      <c r="N9" s="7" t="n">
        <v>2138720.2</v>
      </c>
      <c r="P9" s="7" t="n">
        <v>2524527.7</v>
      </c>
      <c r="R9" s="7" t="n">
        <v>1975197.1</v>
      </c>
      <c r="T9" s="7" t="n">
        <v>1682334.4</v>
      </c>
      <c r="V9" s="7" t="n">
        <v>1834351</v>
      </c>
      <c r="X9" s="7" t="n">
        <v>1804444</v>
      </c>
      <c r="Z9" s="7" t="n">
        <v>1372410.5</v>
      </c>
      <c r="AB9" s="7" t="n">
        <v>21074966.7</v>
      </c>
    </row>
    <row r="10">
      <c r="A10" s="4" t="inlineStr">
        <is>
          <t>调味汁</t>
        </is>
      </c>
      <c r="D10" s="7" t="n">
        <v>1550165.1</v>
      </c>
      <c r="F10" s="7" t="n">
        <v>1419650.7</v>
      </c>
      <c r="H10" s="7" t="n">
        <v>2164064.6</v>
      </c>
      <c r="J10" s="7" t="n">
        <v>2779317.5</v>
      </c>
      <c r="L10" s="7" t="n">
        <v>2525287.6</v>
      </c>
      <c r="N10" s="7" t="n">
        <v>3007350.7</v>
      </c>
      <c r="P10" s="7" t="n">
        <v>2822780.5</v>
      </c>
      <c r="R10" s="7" t="n">
        <v>2747187</v>
      </c>
      <c r="T10" s="7" t="n">
        <v>2404815.8</v>
      </c>
      <c r="V10" s="7" t="n">
        <v>2792282.6</v>
      </c>
      <c r="X10" s="7" t="n">
        <v>2398111.1</v>
      </c>
      <c r="Z10" s="7" t="n">
        <v>1876668.3</v>
      </c>
      <c r="AB10" s="7" t="n">
        <v>28487681.5</v>
      </c>
    </row>
    <row r="11">
      <c r="A11" s="4" t="inlineStr">
        <is>
          <t>复合调味粉</t>
        </is>
      </c>
      <c r="D11" s="7" t="n">
        <v>1346234.5</v>
      </c>
      <c r="F11" s="7" t="n">
        <v>1358340.7</v>
      </c>
      <c r="H11" s="7" t="n">
        <v>1585814.2</v>
      </c>
      <c r="J11" s="7" t="n">
        <v>2219421.5</v>
      </c>
      <c r="L11" s="7" t="n">
        <v>2589371.2</v>
      </c>
      <c r="N11" s="7" t="n">
        <v>2389967.8</v>
      </c>
      <c r="P11" s="7" t="n">
        <v>2546699.7</v>
      </c>
      <c r="R11" s="7" t="n">
        <v>2236345.8</v>
      </c>
      <c r="T11" s="7" t="n">
        <v>2014182.7</v>
      </c>
      <c r="V11" s="7" t="n">
        <v>2577213.1</v>
      </c>
      <c r="X11" s="7" t="n">
        <v>1754022.2</v>
      </c>
      <c r="Z11" s="7" t="n">
        <v>1114550.1</v>
      </c>
      <c r="AB11" s="7" t="n">
        <v>23732163.5</v>
      </c>
    </row>
    <row r="12">
      <c r="A12" s="4" t="inlineStr">
        <is>
          <t>团餐</t>
        </is>
      </c>
      <c r="D12" s="7" t="n">
        <v>1415951</v>
      </c>
      <c r="F12" s="7" t="n">
        <v>1772321.5</v>
      </c>
      <c r="H12" s="7" t="n">
        <v>2123315.4</v>
      </c>
      <c r="J12" s="7" t="n">
        <v>2381998</v>
      </c>
      <c r="L12" s="7" t="n">
        <v>2831694</v>
      </c>
      <c r="N12" s="7" t="n">
        <v>2800416.4</v>
      </c>
      <c r="P12" s="7" t="n">
        <v>2423847.1</v>
      </c>
      <c r="R12" s="7" t="n">
        <v>2496034.6</v>
      </c>
      <c r="T12" s="7" t="n">
        <v>2247444.7</v>
      </c>
      <c r="V12" s="7" t="n">
        <v>2206274.5</v>
      </c>
      <c r="X12" s="7" t="n">
        <v>1705195.5</v>
      </c>
      <c r="Z12" s="7" t="n">
        <v>1363766.4</v>
      </c>
      <c r="AB12" s="7" t="n">
        <v>25768259.1</v>
      </c>
    </row>
    <row r="13">
      <c r="A13" s="4" t="inlineStr">
        <is>
          <t>预制菜</t>
        </is>
      </c>
      <c r="D13" s="7" t="n">
        <v>1204110.7</v>
      </c>
      <c r="F13" s="7" t="n">
        <v>1192985</v>
      </c>
      <c r="H13" s="7" t="n">
        <v>1631876.2</v>
      </c>
      <c r="J13" s="7" t="n">
        <v>1692639.9</v>
      </c>
      <c r="L13" s="7" t="n">
        <v>1767377.6</v>
      </c>
      <c r="N13" s="7" t="n">
        <v>2150947.9</v>
      </c>
      <c r="P13" s="7" t="n">
        <v>2673903.1</v>
      </c>
      <c r="R13" s="7" t="n">
        <v>2079046.6</v>
      </c>
      <c r="T13" s="7" t="n">
        <v>1777150.5</v>
      </c>
      <c r="V13" s="7" t="n">
        <v>2594044.6</v>
      </c>
      <c r="X13" s="7" t="n">
        <v>1888219.5</v>
      </c>
      <c r="Z13" s="7" t="n">
        <v>1463364.2</v>
      </c>
      <c r="AB13" s="7" t="n">
        <v>22115665.8</v>
      </c>
    </row>
    <row r="14">
      <c r="A14" s="4" t="inlineStr">
        <is>
          <t>返利</t>
        </is>
      </c>
      <c r="D14" s="7" t="n">
        <v>-243645.1</v>
      </c>
      <c r="F14" s="7" t="n">
        <v>-279383.9</v>
      </c>
      <c r="H14" s="7" t="n">
        <v>-136627.7</v>
      </c>
      <c r="J14" s="7" t="n">
        <v>-323177.1</v>
      </c>
      <c r="L14" s="7" t="n">
        <v>-273238.5</v>
      </c>
      <c r="N14" s="7" t="n">
        <v>-427330.9</v>
      </c>
      <c r="P14" s="7" t="n">
        <v>-409393.8</v>
      </c>
      <c r="R14" s="7" t="n">
        <v>-431964.8</v>
      </c>
      <c r="T14" s="7" t="n">
        <v>-169733.2</v>
      </c>
      <c r="V14" s="7" t="n">
        <v>-361089.8</v>
      </c>
      <c r="X14" s="7" t="n">
        <v>-316720.8</v>
      </c>
      <c r="Z14" s="7" t="n">
        <v>-102611.5</v>
      </c>
      <c r="AB14" s="7" t="n">
        <v>-3474917.1</v>
      </c>
    </row>
    <row r="15">
      <c r="A15" s="4" t="inlineStr">
        <is>
          <t>其他</t>
        </is>
      </c>
      <c r="D15" s="7" t="n">
        <v>11068.1</v>
      </c>
      <c r="F15" s="7" t="n">
        <v>150220.3</v>
      </c>
      <c r="H15" s="7" t="n">
        <v>87038.3</v>
      </c>
      <c r="J15" s="7" t="n">
        <v>108772.2</v>
      </c>
      <c r="L15" s="7" t="n">
        <v>179533.3</v>
      </c>
      <c r="N15" s="7" t="n">
        <v>198736.8</v>
      </c>
      <c r="P15" s="7" t="n">
        <v>235714.2</v>
      </c>
      <c r="R15" s="7" t="n">
        <v>282118.2</v>
      </c>
      <c r="T15" s="7" t="n">
        <v>98234.3</v>
      </c>
      <c r="V15" s="7" t="n">
        <v>248780</v>
      </c>
      <c r="X15" s="7" t="n">
        <v>141864.7</v>
      </c>
      <c r="Z15" s="7" t="n">
        <v>101587.1</v>
      </c>
      <c r="AB15" s="7" t="n">
        <v>1843667.5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8565577.5</v>
      </c>
      <c r="D16" s="7" t="n">
        <v>5640841.9</v>
      </c>
      <c r="E16" s="7" t="n">
        <v>10298246.9</v>
      </c>
      <c r="F16" s="7" t="n">
        <v>6658469</v>
      </c>
      <c r="G16" s="7" t="n">
        <v>9130288.4</v>
      </c>
      <c r="H16" s="7" t="n">
        <v>8085031.3</v>
      </c>
      <c r="I16" s="7" t="n">
        <v>8118090.9</v>
      </c>
      <c r="J16" s="7" t="n">
        <v>9601613.699999999</v>
      </c>
      <c r="K16" s="7" t="n">
        <v>10123435.4</v>
      </c>
      <c r="L16" s="7" t="n">
        <v>10955793.6</v>
      </c>
      <c r="M16" s="7" t="n">
        <v>9022748.699999999</v>
      </c>
      <c r="N16" s="7" t="n">
        <v>11310632.4</v>
      </c>
      <c r="O16" s="7" t="n">
        <v>10249362.4</v>
      </c>
      <c r="P16" s="7" t="n">
        <v>11940884.2</v>
      </c>
      <c r="Q16" s="7" t="n">
        <v>9003712.4</v>
      </c>
      <c r="R16" s="7" t="n">
        <v>10271391.1</v>
      </c>
      <c r="S16" s="7" t="n">
        <v>8022390.2</v>
      </c>
      <c r="T16" s="7" t="n">
        <v>8984664.1</v>
      </c>
      <c r="U16" s="7" t="n">
        <v>9654094.6</v>
      </c>
      <c r="V16" s="7" t="n">
        <v>11149284.4</v>
      </c>
      <c r="W16" s="7" t="n">
        <v>10103373.2</v>
      </c>
      <c r="X16" s="7" t="n">
        <v>8511262.5</v>
      </c>
      <c r="Y16" s="7" t="n">
        <v>8658982.9</v>
      </c>
      <c r="Z16" s="7" t="n">
        <v>6743598.8</v>
      </c>
      <c r="AA16" s="8" t="n">
        <v>110950303.5</v>
      </c>
      <c r="AB16" s="8" t="n">
        <v>109853467</v>
      </c>
    </row>
    <row r="17">
      <c r="A17" s="4" t="inlineStr">
        <is>
          <t>中式汤底</t>
        </is>
      </c>
      <c r="D17" s="7" t="n">
        <v>670949.9</v>
      </c>
      <c r="F17" s="7" t="n">
        <v>823716.7000000001</v>
      </c>
      <c r="H17" s="7" t="n">
        <v>1101261.9</v>
      </c>
      <c r="J17" s="7" t="n">
        <v>1236398.1</v>
      </c>
      <c r="L17" s="7" t="n">
        <v>1379645.2</v>
      </c>
      <c r="N17" s="7" t="n">
        <v>1319575.8</v>
      </c>
      <c r="P17" s="7" t="n">
        <v>1503923.4</v>
      </c>
      <c r="R17" s="7" t="n">
        <v>987616.6</v>
      </c>
      <c r="T17" s="7" t="n">
        <v>1137763.1</v>
      </c>
      <c r="V17" s="7" t="n">
        <v>1445797.4</v>
      </c>
      <c r="X17" s="7" t="n">
        <v>859913.8999999999</v>
      </c>
      <c r="Z17" s="7" t="n">
        <v>790597.9</v>
      </c>
      <c r="AB17" s="7" t="n">
        <v>13257159.9</v>
      </c>
    </row>
    <row r="18">
      <c r="A18" s="4" t="inlineStr">
        <is>
          <t>酱料</t>
        </is>
      </c>
      <c r="D18" s="7" t="n">
        <v>450570.8</v>
      </c>
      <c r="F18" s="7" t="n">
        <v>731089.5</v>
      </c>
      <c r="H18" s="7" t="n">
        <v>748771.2000000001</v>
      </c>
      <c r="J18" s="7" t="n">
        <v>947912.1</v>
      </c>
      <c r="L18" s="7" t="n">
        <v>1107528.6</v>
      </c>
      <c r="N18" s="7" t="n">
        <v>1192868</v>
      </c>
      <c r="P18" s="7" t="n">
        <v>1263763.7</v>
      </c>
      <c r="R18" s="7" t="n">
        <v>1131273.4</v>
      </c>
      <c r="T18" s="7" t="n">
        <v>819169.8</v>
      </c>
      <c r="V18" s="7" t="n">
        <v>1281953</v>
      </c>
      <c r="X18" s="7" t="n">
        <v>917709.4</v>
      </c>
      <c r="Z18" s="7" t="n">
        <v>728498.6</v>
      </c>
      <c r="AB18" s="7" t="n">
        <v>11321108.1</v>
      </c>
    </row>
    <row r="19">
      <c r="A19" s="4" t="inlineStr">
        <is>
          <t>川味底料</t>
        </is>
      </c>
      <c r="D19" s="7" t="n">
        <v>628179.2</v>
      </c>
      <c r="F19" s="7" t="n">
        <v>961397.3999999999</v>
      </c>
      <c r="H19" s="7" t="n">
        <v>966403.5999999999</v>
      </c>
      <c r="J19" s="7" t="n">
        <v>1126289.5</v>
      </c>
      <c r="L19" s="7" t="n">
        <v>1453681.1</v>
      </c>
      <c r="N19" s="7" t="n">
        <v>1422172.3</v>
      </c>
      <c r="P19" s="7" t="n">
        <v>1665919</v>
      </c>
      <c r="R19" s="7" t="n">
        <v>1305685.5</v>
      </c>
      <c r="T19" s="7" t="n">
        <v>1109035</v>
      </c>
      <c r="V19" s="7" t="n">
        <v>1214199.3</v>
      </c>
      <c r="X19" s="7" t="n">
        <v>1190317.6</v>
      </c>
      <c r="Z19" s="7" t="n">
        <v>911296.5</v>
      </c>
      <c r="AB19" s="7" t="n">
        <v>13954576</v>
      </c>
    </row>
    <row r="20">
      <c r="A20" s="4" t="inlineStr">
        <is>
          <t>调味汁</t>
        </is>
      </c>
      <c r="D20" s="7" t="n">
        <v>998700.3</v>
      </c>
      <c r="F20" s="7" t="n">
        <v>918379.1000000001</v>
      </c>
      <c r="H20" s="7" t="n">
        <v>1399851.3</v>
      </c>
      <c r="J20" s="7" t="n">
        <v>1800123.3</v>
      </c>
      <c r="L20" s="7" t="n">
        <v>1623334.7</v>
      </c>
      <c r="N20" s="7" t="n">
        <v>1935136.5</v>
      </c>
      <c r="P20" s="7" t="n">
        <v>1834633.8</v>
      </c>
      <c r="R20" s="7" t="n">
        <v>1782285.3</v>
      </c>
      <c r="T20" s="7" t="n">
        <v>1548102.9</v>
      </c>
      <c r="V20" s="7" t="n">
        <v>1810082.4</v>
      </c>
      <c r="X20" s="7" t="n">
        <v>1547708</v>
      </c>
      <c r="Z20" s="7" t="n">
        <v>1208912.5</v>
      </c>
      <c r="AB20" s="7" t="n">
        <v>18407250.1</v>
      </c>
    </row>
    <row r="21">
      <c r="A21" s="4" t="inlineStr">
        <is>
          <t>复合调味粉</t>
        </is>
      </c>
      <c r="D21" s="7" t="n">
        <v>894869</v>
      </c>
      <c r="F21" s="7" t="n">
        <v>894241.2999999999</v>
      </c>
      <c r="H21" s="7" t="n">
        <v>1047614.3</v>
      </c>
      <c r="J21" s="7" t="n">
        <v>1464203.2</v>
      </c>
      <c r="L21" s="7" t="n">
        <v>1720043.1</v>
      </c>
      <c r="N21" s="7" t="n">
        <v>1580339.5</v>
      </c>
      <c r="P21" s="7" t="n">
        <v>1705382.1</v>
      </c>
      <c r="R21" s="7" t="n">
        <v>1477578.5</v>
      </c>
      <c r="T21" s="7" t="n">
        <v>1340323.2</v>
      </c>
      <c r="V21" s="7" t="n">
        <v>1711135.9</v>
      </c>
      <c r="X21" s="7" t="n">
        <v>1174341.1</v>
      </c>
      <c r="Z21" s="7" t="n">
        <v>734825.9</v>
      </c>
      <c r="AB21" s="7" t="n">
        <v>15744897.1</v>
      </c>
    </row>
    <row r="22">
      <c r="A22" s="4" t="inlineStr">
        <is>
          <t>团餐</t>
        </is>
      </c>
      <c r="D22" s="7" t="n">
        <v>893004</v>
      </c>
      <c r="F22" s="7" t="n">
        <v>1117660.6</v>
      </c>
      <c r="H22" s="7" t="n">
        <v>1335364.1</v>
      </c>
      <c r="J22" s="7" t="n">
        <v>1509868.5</v>
      </c>
      <c r="L22" s="7" t="n">
        <v>1783816.8</v>
      </c>
      <c r="N22" s="7" t="n">
        <v>1765125.6</v>
      </c>
      <c r="P22" s="7" t="n">
        <v>1525589.1</v>
      </c>
      <c r="R22" s="7" t="n">
        <v>1573290.7</v>
      </c>
      <c r="T22" s="7" t="n">
        <v>1415783.1</v>
      </c>
      <c r="V22" s="7" t="n">
        <v>1396875.5</v>
      </c>
      <c r="X22" s="7" t="n">
        <v>1079911.8</v>
      </c>
      <c r="Z22" s="7" t="n">
        <v>858298.9</v>
      </c>
      <c r="AB22" s="7" t="n">
        <v>16254588.7</v>
      </c>
    </row>
    <row r="23">
      <c r="A23" s="4" t="inlineStr">
        <is>
          <t>预制菜</t>
        </is>
      </c>
      <c r="D23" s="7" t="n">
        <v>841658.9</v>
      </c>
      <c r="F23" s="7" t="n">
        <v>831020.6000000001</v>
      </c>
      <c r="H23" s="7" t="n">
        <v>1159208.2</v>
      </c>
      <c r="J23" s="7" t="n">
        <v>1184362.9</v>
      </c>
      <c r="L23" s="7" t="n">
        <v>1221981.1</v>
      </c>
      <c r="N23" s="7" t="n">
        <v>1521117.2</v>
      </c>
      <c r="P23" s="7" t="n">
        <v>1893060.8</v>
      </c>
      <c r="R23" s="7" t="n">
        <v>1465819.1</v>
      </c>
      <c r="T23" s="7" t="n">
        <v>1246738</v>
      </c>
      <c r="V23" s="7" t="n">
        <v>1835932.8</v>
      </c>
      <c r="X23" s="7" t="n">
        <v>1328708</v>
      </c>
      <c r="Z23" s="7" t="n">
        <v>1032541.6</v>
      </c>
      <c r="AB23" s="7" t="n">
        <v>15562149.2</v>
      </c>
    </row>
    <row r="24">
      <c r="A24" s="4" t="inlineStr">
        <is>
          <t>其他</t>
        </is>
      </c>
      <c r="D24" s="7" t="n">
        <v>37368.6</v>
      </c>
      <c r="F24" s="7" t="n">
        <v>8153.1</v>
      </c>
      <c r="H24" s="7" t="n">
        <v>84128.5</v>
      </c>
      <c r="J24" s="7" t="n">
        <v>165237.9</v>
      </c>
      <c r="L24" s="7" t="n">
        <v>175210.8</v>
      </c>
      <c r="N24" s="7" t="n">
        <v>152844.4</v>
      </c>
      <c r="P24" s="7" t="n">
        <v>211286.6</v>
      </c>
      <c r="R24" s="7" t="n">
        <v>124014.1</v>
      </c>
      <c r="T24" s="7" t="n">
        <v>136784.3</v>
      </c>
      <c r="V24" s="7" t="n">
        <v>108832.8</v>
      </c>
      <c r="X24" s="7" t="n">
        <v>19657.3</v>
      </c>
      <c r="Z24" s="7" t="n">
        <v>25182.7</v>
      </c>
      <c r="AB24" s="7" t="n">
        <v>1248701.1</v>
      </c>
    </row>
    <row r="25">
      <c r="A25" s="4" t="inlineStr">
        <is>
          <t>运费</t>
        </is>
      </c>
      <c r="D25" s="7" t="n">
        <v>262909.8</v>
      </c>
      <c r="F25" s="7" t="n">
        <v>380963.8</v>
      </c>
      <c r="H25" s="7" t="n">
        <v>326556.7</v>
      </c>
      <c r="J25" s="7" t="n">
        <v>332456.1</v>
      </c>
      <c r="L25" s="7" t="n">
        <v>665763</v>
      </c>
      <c r="N25" s="7" t="n">
        <v>574297.5</v>
      </c>
      <c r="P25" s="7" t="n">
        <v>548612.3</v>
      </c>
      <c r="R25" s="7" t="n">
        <v>547842</v>
      </c>
      <c r="T25" s="7" t="n">
        <v>367749</v>
      </c>
      <c r="V25" s="7" t="n">
        <v>453308.1</v>
      </c>
      <c r="X25" s="7" t="n">
        <v>412652.7</v>
      </c>
      <c r="Z25" s="7" t="n">
        <v>478626.9</v>
      </c>
      <c r="AB25" s="7" t="n">
        <v>5351737.9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5752099.2</v>
      </c>
      <c r="D26" s="7" t="n">
        <v>2357681.4</v>
      </c>
      <c r="E26" s="7" t="n">
        <v>2821815.5</v>
      </c>
      <c r="F26" s="7" t="n">
        <v>2860239</v>
      </c>
      <c r="G26" s="7" t="n">
        <v>4329873.9</v>
      </c>
      <c r="H26" s="7" t="n">
        <v>3745199.8</v>
      </c>
      <c r="I26" s="7" t="n">
        <v>4444512.9</v>
      </c>
      <c r="J26" s="7" t="n">
        <v>4389409.7</v>
      </c>
      <c r="K26" s="7" t="n">
        <v>4434426.2</v>
      </c>
      <c r="L26" s="7" t="n">
        <v>4775533.3</v>
      </c>
      <c r="M26" s="7" t="n">
        <v>4177609.3</v>
      </c>
      <c r="N26" s="7" t="n">
        <v>4882731</v>
      </c>
      <c r="O26" s="7" t="n">
        <v>4414384.8</v>
      </c>
      <c r="P26" s="7" t="n">
        <v>5241300.5</v>
      </c>
      <c r="Q26" s="7" t="n">
        <v>3792223.9</v>
      </c>
      <c r="R26" s="7" t="n">
        <v>4445500</v>
      </c>
      <c r="S26" s="7" t="n">
        <v>7089117.6</v>
      </c>
      <c r="T26" s="7" t="n">
        <v>4146903.3</v>
      </c>
      <c r="U26" s="7" t="n">
        <v>5606549.5</v>
      </c>
      <c r="V26" s="7" t="n">
        <v>5039354.8</v>
      </c>
      <c r="W26" s="7" t="n">
        <v>3067662.4</v>
      </c>
      <c r="X26" s="7" t="n">
        <v>3673121.4</v>
      </c>
      <c r="Y26" s="7" t="n">
        <v>3792912</v>
      </c>
      <c r="Z26" s="7" t="n">
        <v>2848838.4</v>
      </c>
      <c r="AA26" s="8" t="n">
        <v>53723187.2</v>
      </c>
      <c r="AB26" s="8" t="n">
        <v>48405812.6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40.2</v>
      </c>
      <c r="D27" s="13" t="n">
        <v>29.5</v>
      </c>
      <c r="E27" s="13" t="n">
        <v>21.5</v>
      </c>
      <c r="F27" s="13" t="n">
        <v>30</v>
      </c>
      <c r="G27" s="13" t="n">
        <v>32.2</v>
      </c>
      <c r="H27" s="13" t="n">
        <v>31.7</v>
      </c>
      <c r="I27" s="13" t="n">
        <v>35.4</v>
      </c>
      <c r="J27" s="13" t="n">
        <v>31.4</v>
      </c>
      <c r="K27" s="13" t="n">
        <v>30.5</v>
      </c>
      <c r="L27" s="13" t="n">
        <v>30.4</v>
      </c>
      <c r="M27" s="13" t="n">
        <v>31.6</v>
      </c>
      <c r="N27" s="13" t="n">
        <v>30.2</v>
      </c>
      <c r="O27" s="13" t="n">
        <v>30.1</v>
      </c>
      <c r="P27" s="13" t="n">
        <v>30.5</v>
      </c>
      <c r="Q27" s="13" t="n">
        <v>29.6</v>
      </c>
      <c r="R27" s="13" t="n">
        <v>30.2</v>
      </c>
      <c r="S27" s="13" t="n">
        <v>46.9</v>
      </c>
      <c r="T27" s="13" t="n">
        <v>31.6</v>
      </c>
      <c r="U27" s="13" t="n">
        <v>36.7</v>
      </c>
      <c r="V27" s="13" t="n">
        <v>31.1</v>
      </c>
      <c r="W27" s="13" t="n">
        <v>23.3</v>
      </c>
      <c r="X27" s="13" t="n">
        <v>30.1</v>
      </c>
      <c r="Y27" s="13" t="n">
        <v>30.5</v>
      </c>
      <c r="Z27" s="13" t="n">
        <v>29.7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132969.1</v>
      </c>
      <c r="D28" s="7" t="n">
        <v>51100.7</v>
      </c>
      <c r="E28" s="7" t="n">
        <v>142606.9</v>
      </c>
      <c r="F28" s="7" t="n">
        <v>122826.8</v>
      </c>
      <c r="G28" s="7" t="n">
        <v>144751.5</v>
      </c>
      <c r="H28" s="7" t="n">
        <v>62260.6</v>
      </c>
      <c r="I28" s="7" t="n">
        <v>115078.6</v>
      </c>
      <c r="J28" s="7" t="n">
        <v>147468.4</v>
      </c>
      <c r="K28" s="7" t="n">
        <v>150651.3</v>
      </c>
      <c r="L28" s="7" t="n">
        <v>136691.3</v>
      </c>
      <c r="M28" s="7" t="n">
        <v>137586.5</v>
      </c>
      <c r="N28" s="7" t="n">
        <v>211106.7</v>
      </c>
      <c r="O28" s="7" t="n">
        <v>129971.6</v>
      </c>
      <c r="P28" s="7" t="n">
        <v>180695.9</v>
      </c>
      <c r="Q28" s="7" t="n">
        <v>139081.6</v>
      </c>
      <c r="R28" s="7" t="n">
        <v>163644.2</v>
      </c>
      <c r="S28" s="7" t="n">
        <v>125796.9</v>
      </c>
      <c r="T28" s="7" t="n">
        <v>76979.3</v>
      </c>
      <c r="U28" s="7" t="n">
        <v>146913.7</v>
      </c>
      <c r="V28" s="7" t="n">
        <v>131013.2</v>
      </c>
      <c r="W28" s="7" t="n">
        <v>143046.3</v>
      </c>
      <c r="X28" s="7" t="n">
        <v>182716.4</v>
      </c>
      <c r="Y28" s="7" t="n">
        <v>137485.7</v>
      </c>
      <c r="Z28" s="7" t="n">
        <v>116919.3</v>
      </c>
      <c r="AA28" s="8" t="n">
        <v>1645939.7</v>
      </c>
      <c r="AB28" s="8" t="n">
        <v>1583422.8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2389564.5</v>
      </c>
      <c r="D29" s="7" t="n">
        <v>1018167.8</v>
      </c>
      <c r="E29" s="7" t="n">
        <v>2358163.8</v>
      </c>
      <c r="F29" s="7" t="n">
        <v>2331509.4</v>
      </c>
      <c r="G29" s="7" t="n">
        <v>1976598.1</v>
      </c>
      <c r="H29" s="7" t="n">
        <v>1950719.3</v>
      </c>
      <c r="I29" s="7" t="n">
        <v>2223006</v>
      </c>
      <c r="J29" s="7" t="n">
        <v>3310371.8</v>
      </c>
      <c r="K29" s="7" t="n">
        <v>2169029.4</v>
      </c>
      <c r="L29" s="7" t="n">
        <v>1703890.3</v>
      </c>
      <c r="M29" s="7" t="n">
        <v>1896202.7</v>
      </c>
      <c r="N29" s="7" t="n">
        <v>1920924.3</v>
      </c>
      <c r="O29" s="7" t="n">
        <v>2010067.2</v>
      </c>
      <c r="P29" s="7" t="n">
        <v>2112589.5</v>
      </c>
      <c r="Q29" s="7" t="n">
        <v>2157900.6</v>
      </c>
      <c r="R29" s="7" t="n">
        <v>1835175.2</v>
      </c>
      <c r="S29" s="7" t="n">
        <v>2138092.6</v>
      </c>
      <c r="T29" s="7" t="n">
        <v>1948713</v>
      </c>
      <c r="U29" s="7" t="n">
        <v>1924061.2</v>
      </c>
      <c r="V29" s="7" t="n">
        <v>3341332.2</v>
      </c>
      <c r="W29" s="7" t="n">
        <v>2419483.9</v>
      </c>
      <c r="X29" s="7" t="n">
        <v>1850850.1</v>
      </c>
      <c r="Y29" s="7" t="n">
        <v>1914805.1</v>
      </c>
      <c r="Z29" s="7" t="n">
        <v>2313078.2</v>
      </c>
      <c r="AA29" s="8" t="n">
        <v>25576975.1</v>
      </c>
      <c r="AB29" s="8" t="n">
        <v>25637321.1</v>
      </c>
    </row>
    <row r="30">
      <c r="A30" s="4" t="inlineStr">
        <is>
          <t>职工薪酬</t>
        </is>
      </c>
      <c r="D30" s="7" t="n">
        <v>501017.5</v>
      </c>
      <c r="F30" s="7" t="n">
        <v>1262693.8</v>
      </c>
      <c r="H30" s="7" t="n">
        <v>953474.2</v>
      </c>
      <c r="J30" s="7" t="n">
        <v>1776276.6</v>
      </c>
      <c r="L30" s="7" t="n">
        <v>762543</v>
      </c>
      <c r="N30" s="7" t="n">
        <v>1152724.6</v>
      </c>
      <c r="P30" s="7" t="n">
        <v>1093165.7</v>
      </c>
      <c r="R30" s="7" t="n">
        <v>1103205.3</v>
      </c>
      <c r="T30" s="7" t="n">
        <v>1101112.1</v>
      </c>
      <c r="V30" s="7" t="n">
        <v>1595381.8</v>
      </c>
      <c r="X30" s="7" t="n">
        <v>771166.7</v>
      </c>
      <c r="Z30" s="7" t="n">
        <v>1000557.5</v>
      </c>
      <c r="AB30" s="7" t="n">
        <v>13073318.8</v>
      </c>
    </row>
    <row r="31">
      <c r="A31" s="4" t="inlineStr">
        <is>
          <t>工资</t>
        </is>
      </c>
      <c r="D31" s="7" t="n">
        <v>290163.2</v>
      </c>
      <c r="F31" s="7" t="n">
        <v>757783.5</v>
      </c>
      <c r="H31" s="7" t="n">
        <v>584526.9</v>
      </c>
      <c r="J31" s="7" t="n">
        <v>1068884.4</v>
      </c>
      <c r="L31" s="7" t="n">
        <v>446659.3</v>
      </c>
      <c r="N31" s="7" t="n">
        <v>734171.6</v>
      </c>
      <c r="P31" s="7" t="n">
        <v>627291.3</v>
      </c>
      <c r="R31" s="7" t="n">
        <v>651200.7</v>
      </c>
      <c r="T31" s="7" t="n">
        <v>649502.8</v>
      </c>
      <c r="V31" s="7" t="n">
        <v>880568.3</v>
      </c>
      <c r="X31" s="7" t="n">
        <v>412989.7</v>
      </c>
      <c r="Z31" s="7" t="n">
        <v>510691.5</v>
      </c>
      <c r="AB31" s="7" t="n">
        <v>7614433.2</v>
      </c>
    </row>
    <row r="32">
      <c r="A32" s="4" t="inlineStr">
        <is>
          <t>奖金及提成</t>
        </is>
      </c>
      <c r="D32" s="7" t="n">
        <v>98127.3</v>
      </c>
      <c r="F32" s="7" t="n">
        <v>230947.8</v>
      </c>
      <c r="H32" s="7" t="n">
        <v>160429.8</v>
      </c>
      <c r="J32" s="7" t="n">
        <v>352222.3</v>
      </c>
      <c r="L32" s="7" t="n">
        <v>151228.7</v>
      </c>
      <c r="N32" s="7" t="n">
        <v>217259.9</v>
      </c>
      <c r="P32" s="7" t="n">
        <v>240945</v>
      </c>
      <c r="R32" s="7" t="n">
        <v>223242.9</v>
      </c>
      <c r="T32" s="7" t="n">
        <v>250453.4</v>
      </c>
      <c r="V32" s="7" t="n">
        <v>260109.2</v>
      </c>
      <c r="X32" s="7" t="n">
        <v>170708.4</v>
      </c>
      <c r="Z32" s="7" t="n">
        <v>239864.1</v>
      </c>
      <c r="AB32" s="7" t="n">
        <v>2595538.8</v>
      </c>
    </row>
    <row r="33">
      <c r="A33" s="4" t="inlineStr">
        <is>
          <t>社保</t>
        </is>
      </c>
      <c r="D33" s="7" t="n">
        <v>72613.2</v>
      </c>
      <c r="F33" s="7" t="n">
        <v>182768.6</v>
      </c>
      <c r="H33" s="7" t="n">
        <v>134284.9</v>
      </c>
      <c r="J33" s="7" t="n">
        <v>224774.6</v>
      </c>
      <c r="L33" s="7" t="n">
        <v>103335.8</v>
      </c>
      <c r="N33" s="7" t="n">
        <v>134330.6</v>
      </c>
      <c r="P33" s="7" t="n">
        <v>157259.5</v>
      </c>
      <c r="R33" s="7" t="n">
        <v>156977.4</v>
      </c>
      <c r="T33" s="7" t="n">
        <v>132350.7</v>
      </c>
      <c r="V33" s="7" t="n">
        <v>325896</v>
      </c>
      <c r="X33" s="7" t="n">
        <v>117835.5</v>
      </c>
      <c r="Z33" s="7" t="n">
        <v>165886.8</v>
      </c>
      <c r="AB33" s="7" t="n">
        <v>1908313.6</v>
      </c>
    </row>
    <row r="34">
      <c r="A34" s="4" t="inlineStr">
        <is>
          <t>养老</t>
        </is>
      </c>
      <c r="D34" s="7" t="n">
        <v>3423.5</v>
      </c>
      <c r="F34" s="7" t="n">
        <v>10226.4</v>
      </c>
      <c r="H34" s="7" t="n">
        <v>7381.9</v>
      </c>
      <c r="J34" s="7" t="n">
        <v>12650.8</v>
      </c>
      <c r="L34" s="7" t="n">
        <v>6449.7</v>
      </c>
      <c r="N34" s="7" t="n">
        <v>6440.8</v>
      </c>
      <c r="P34" s="7" t="n">
        <v>5713.2</v>
      </c>
      <c r="R34" s="7" t="n">
        <v>8809</v>
      </c>
      <c r="T34" s="7" t="n">
        <v>7406.1</v>
      </c>
      <c r="V34" s="7" t="n">
        <v>16201.5</v>
      </c>
      <c r="X34" s="7" t="n">
        <v>5812.9</v>
      </c>
      <c r="Z34" s="7" t="n">
        <v>7988.8</v>
      </c>
      <c r="AB34" s="7" t="n">
        <v>98504.60000000001</v>
      </c>
    </row>
    <row r="35">
      <c r="A35" s="4" t="inlineStr">
        <is>
          <t>医疗</t>
        </is>
      </c>
      <c r="D35" s="7" t="n">
        <v>336.4</v>
      </c>
      <c r="F35" s="7" t="n">
        <v>949.9</v>
      </c>
      <c r="H35" s="7" t="n">
        <v>706.3</v>
      </c>
      <c r="J35" s="7" t="n">
        <v>1077.7</v>
      </c>
      <c r="L35" s="7" t="n">
        <v>577.1</v>
      </c>
      <c r="N35" s="7" t="n">
        <v>769.2</v>
      </c>
      <c r="P35" s="7" t="n">
        <v>671.1</v>
      </c>
      <c r="R35" s="7" t="n">
        <v>747.8</v>
      </c>
      <c r="T35" s="7" t="n">
        <v>734</v>
      </c>
      <c r="V35" s="7" t="n">
        <v>1282.7</v>
      </c>
      <c r="X35" s="7" t="n">
        <v>564.1</v>
      </c>
      <c r="Z35" s="7" t="n">
        <v>720.9</v>
      </c>
      <c r="AB35" s="7" t="n">
        <v>9137.200000000001</v>
      </c>
    </row>
    <row r="36">
      <c r="A36" s="4" t="inlineStr">
        <is>
          <t>工伤</t>
        </is>
      </c>
      <c r="D36" s="7" t="n">
        <v>3109.9</v>
      </c>
      <c r="F36" s="7" t="n">
        <v>8997.200000000001</v>
      </c>
      <c r="H36" s="7" t="n">
        <v>5428.2</v>
      </c>
      <c r="J36" s="7" t="n">
        <v>12410.9</v>
      </c>
      <c r="L36" s="7" t="n">
        <v>7382.6</v>
      </c>
      <c r="N36" s="7" t="n">
        <v>6234</v>
      </c>
      <c r="P36" s="7" t="n">
        <v>10218.5</v>
      </c>
      <c r="R36" s="7" t="n">
        <v>7605.5</v>
      </c>
      <c r="T36" s="7" t="n">
        <v>5620.6</v>
      </c>
      <c r="V36" s="7" t="n">
        <v>16056.8</v>
      </c>
      <c r="X36" s="7" t="n">
        <v>6480.8</v>
      </c>
      <c r="Z36" s="7" t="n">
        <v>10180.4</v>
      </c>
      <c r="AB36" s="7" t="n">
        <v>99725.39999999999</v>
      </c>
    </row>
    <row r="37">
      <c r="A37" s="4" t="inlineStr">
        <is>
          <t>失业</t>
        </is>
      </c>
      <c r="D37" s="7" t="n">
        <v>2860.1</v>
      </c>
      <c r="F37" s="7" t="n">
        <v>5977.2</v>
      </c>
      <c r="H37" s="7" t="n">
        <v>3554.3</v>
      </c>
      <c r="J37" s="7" t="n">
        <v>7400.9</v>
      </c>
      <c r="L37" s="7" t="n">
        <v>3788.8</v>
      </c>
      <c r="N37" s="7" t="n">
        <v>3105.9</v>
      </c>
      <c r="P37" s="7" t="n">
        <v>3674.4</v>
      </c>
      <c r="R37" s="7" t="n">
        <v>3671.8</v>
      </c>
      <c r="T37" s="7" t="n">
        <v>4264.7</v>
      </c>
      <c r="V37" s="7" t="n">
        <v>7237.8</v>
      </c>
      <c r="X37" s="7" t="n">
        <v>4377.8</v>
      </c>
      <c r="Z37" s="7" t="n">
        <v>5191</v>
      </c>
      <c r="AB37" s="7" t="n">
        <v>55104.7</v>
      </c>
    </row>
    <row r="38">
      <c r="A38" s="4" t="inlineStr">
        <is>
          <t>生育</t>
        </is>
      </c>
      <c r="D38" s="7" t="n">
        <v>2338.2</v>
      </c>
      <c r="F38" s="7" t="n">
        <v>3998.8</v>
      </c>
      <c r="H38" s="7" t="n">
        <v>5430.1</v>
      </c>
      <c r="J38" s="7" t="n">
        <v>8141.5</v>
      </c>
      <c r="L38" s="7" t="n">
        <v>3223</v>
      </c>
      <c r="N38" s="7" t="n">
        <v>3725.6</v>
      </c>
      <c r="P38" s="7" t="n">
        <v>5438.2</v>
      </c>
      <c r="R38" s="7" t="n">
        <v>4023.3</v>
      </c>
      <c r="T38" s="7" t="n">
        <v>4715.8</v>
      </c>
      <c r="V38" s="7" t="n">
        <v>6322.6</v>
      </c>
      <c r="X38" s="7" t="n">
        <v>4734.5</v>
      </c>
      <c r="Z38" s="7" t="n">
        <v>4581.6</v>
      </c>
      <c r="AB38" s="7" t="n">
        <v>56673.2</v>
      </c>
    </row>
    <row r="39">
      <c r="A39" s="4" t="inlineStr">
        <is>
          <t>公积金</t>
        </is>
      </c>
      <c r="D39" s="7" t="n">
        <v>5794</v>
      </c>
      <c r="F39" s="7" t="n">
        <v>10818.9</v>
      </c>
      <c r="H39" s="7" t="n">
        <v>10153.7</v>
      </c>
      <c r="J39" s="7" t="n">
        <v>16604</v>
      </c>
      <c r="L39" s="7" t="n">
        <v>8377.9</v>
      </c>
      <c r="N39" s="7" t="n">
        <v>6076.9</v>
      </c>
      <c r="P39" s="7" t="n">
        <v>9192</v>
      </c>
      <c r="R39" s="7" t="n">
        <v>10380.9</v>
      </c>
      <c r="T39" s="7" t="n">
        <v>10071.7</v>
      </c>
      <c r="V39" s="7" t="n">
        <v>17209.6</v>
      </c>
      <c r="X39" s="7" t="n">
        <v>8558.700000000001</v>
      </c>
      <c r="Z39" s="7" t="n">
        <v>11577.8</v>
      </c>
      <c r="AB39" s="7" t="n">
        <v>124816.1</v>
      </c>
    </row>
    <row r="40">
      <c r="A40" s="4" t="inlineStr">
        <is>
          <t>工会经费</t>
        </is>
      </c>
      <c r="D40" s="7" t="n">
        <v>3125.7</v>
      </c>
      <c r="F40" s="7" t="n">
        <v>9611.9</v>
      </c>
      <c r="H40" s="7" t="n">
        <v>8000.4</v>
      </c>
      <c r="J40" s="7" t="n">
        <v>15259.6</v>
      </c>
      <c r="L40" s="7" t="n">
        <v>5141.9</v>
      </c>
      <c r="N40" s="7" t="n">
        <v>8147.2</v>
      </c>
      <c r="P40" s="7" t="n">
        <v>5811.6</v>
      </c>
      <c r="R40" s="7" t="n">
        <v>8910.5</v>
      </c>
      <c r="T40" s="7" t="n">
        <v>5711.2</v>
      </c>
      <c r="V40" s="7" t="n">
        <v>9094.9</v>
      </c>
      <c r="X40" s="7" t="n">
        <v>6290.4</v>
      </c>
      <c r="Z40" s="7" t="n">
        <v>6999.7</v>
      </c>
      <c r="AB40" s="7" t="n">
        <v>92105</v>
      </c>
    </row>
    <row r="41">
      <c r="A41" s="4" t="inlineStr">
        <is>
          <t>职工教育经费</t>
        </is>
      </c>
      <c r="D41" s="7" t="n">
        <v>4362.2</v>
      </c>
      <c r="F41" s="7" t="n">
        <v>12298.5</v>
      </c>
      <c r="H41" s="7" t="n">
        <v>11061.2</v>
      </c>
      <c r="J41" s="7" t="n">
        <v>18341.8</v>
      </c>
      <c r="L41" s="7" t="n">
        <v>8806.700000000001</v>
      </c>
      <c r="N41" s="7" t="n">
        <v>6413.4</v>
      </c>
      <c r="P41" s="7" t="n">
        <v>7488.4</v>
      </c>
      <c r="R41" s="7" t="n">
        <v>6850.3</v>
      </c>
      <c r="T41" s="7" t="n">
        <v>7897.3</v>
      </c>
      <c r="V41" s="7" t="n">
        <v>16601.7</v>
      </c>
      <c r="X41" s="7" t="n">
        <v>8508.5</v>
      </c>
      <c r="Z41" s="7" t="n">
        <v>9302.9</v>
      </c>
      <c r="AB41" s="7" t="n">
        <v>117932.9</v>
      </c>
    </row>
    <row r="42">
      <c r="A42" s="4" t="inlineStr">
        <is>
          <t>福利费</t>
        </is>
      </c>
      <c r="D42" s="7" t="n">
        <v>26831.9</v>
      </c>
      <c r="F42" s="7" t="n">
        <v>58464.6</v>
      </c>
      <c r="H42" s="7" t="n">
        <v>45017.3</v>
      </c>
      <c r="J42" s="7" t="n">
        <v>80189.89999999999</v>
      </c>
      <c r="L42" s="7" t="n">
        <v>38992.7</v>
      </c>
      <c r="N42" s="7" t="n">
        <v>46325</v>
      </c>
      <c r="P42" s="7" t="n">
        <v>45177.9</v>
      </c>
      <c r="R42" s="7" t="n">
        <v>45642.6</v>
      </c>
      <c r="T42" s="7" t="n">
        <v>45125</v>
      </c>
      <c r="V42" s="7" t="n">
        <v>85902.10000000001</v>
      </c>
      <c r="X42" s="7" t="n">
        <v>46275.5</v>
      </c>
      <c r="Z42" s="7" t="n">
        <v>56234.7</v>
      </c>
      <c r="AB42" s="7" t="n">
        <v>620179.2</v>
      </c>
    </row>
    <row r="43">
      <c r="A43" s="4" t="inlineStr">
        <is>
          <t>职工房租</t>
        </is>
      </c>
      <c r="D43" s="7" t="n">
        <v>1927.3</v>
      </c>
      <c r="F43" s="7" t="n">
        <v>3020.4</v>
      </c>
      <c r="H43" s="7" t="n">
        <v>2512.3</v>
      </c>
      <c r="J43" s="7" t="n">
        <v>4024</v>
      </c>
      <c r="L43" s="7" t="n">
        <v>2821.5</v>
      </c>
      <c r="N43" s="7" t="n">
        <v>2521.5</v>
      </c>
      <c r="P43" s="7" t="n">
        <v>2832.5</v>
      </c>
      <c r="R43" s="7" t="n">
        <v>3410.2</v>
      </c>
      <c r="T43" s="7" t="n">
        <v>3382.8</v>
      </c>
      <c r="V43" s="7" t="n">
        <v>4257.2</v>
      </c>
      <c r="X43" s="7" t="n">
        <v>2110</v>
      </c>
      <c r="Z43" s="7" t="n">
        <v>3772.2</v>
      </c>
      <c r="AB43" s="7" t="n">
        <v>36591.9</v>
      </c>
    </row>
    <row r="44">
      <c r="A44" s="4" t="inlineStr">
        <is>
          <t>水电物业费</t>
        </is>
      </c>
      <c r="D44" s="7" t="n">
        <v>3265.4</v>
      </c>
      <c r="F44" s="7" t="n">
        <v>6913.9</v>
      </c>
      <c r="H44" s="7" t="n">
        <v>6181.7</v>
      </c>
      <c r="J44" s="7" t="n">
        <v>9748.6</v>
      </c>
      <c r="L44" s="7" t="n">
        <v>3709</v>
      </c>
      <c r="N44" s="7" t="n">
        <v>4173.3</v>
      </c>
      <c r="P44" s="7" t="n">
        <v>5935.7</v>
      </c>
      <c r="R44" s="7" t="n">
        <v>4148</v>
      </c>
      <c r="T44" s="7" t="n">
        <v>4684.2</v>
      </c>
      <c r="V44" s="7" t="n">
        <v>7103.5</v>
      </c>
      <c r="X44" s="7" t="n">
        <v>4550.4</v>
      </c>
      <c r="Z44" s="7" t="n">
        <v>4729.6</v>
      </c>
      <c r="AB44" s="7" t="n">
        <v>65143.3</v>
      </c>
    </row>
    <row r="45">
      <c r="A45" s="4" t="inlineStr">
        <is>
          <t>员工餐</t>
        </is>
      </c>
      <c r="D45" s="7" t="n">
        <v>4530.1</v>
      </c>
      <c r="F45" s="7" t="n">
        <v>9203.299999999999</v>
      </c>
      <c r="H45" s="7" t="n">
        <v>5389.9</v>
      </c>
      <c r="J45" s="7" t="n">
        <v>12502.5</v>
      </c>
      <c r="L45" s="7" t="n">
        <v>6331.1</v>
      </c>
      <c r="N45" s="7" t="n">
        <v>5735.7</v>
      </c>
      <c r="P45" s="7" t="n">
        <v>8221.200000000001</v>
      </c>
      <c r="R45" s="7" t="n">
        <v>6601.9</v>
      </c>
      <c r="T45" s="7" t="n">
        <v>7451.8</v>
      </c>
      <c r="V45" s="7" t="n">
        <v>8632</v>
      </c>
      <c r="X45" s="7" t="n">
        <v>6196.5</v>
      </c>
      <c r="Z45" s="7" t="n">
        <v>9234.4</v>
      </c>
      <c r="AB45" s="7" t="n">
        <v>90030.39999999999</v>
      </c>
    </row>
    <row r="46">
      <c r="A46" s="4" t="inlineStr">
        <is>
          <t>节日礼品</t>
        </is>
      </c>
      <c r="D46" s="7" t="n">
        <v>780.3</v>
      </c>
      <c r="F46" s="7" t="n">
        <v>1080.8</v>
      </c>
      <c r="H46" s="7" t="n">
        <v>1325</v>
      </c>
      <c r="J46" s="7" t="n">
        <v>2744.5</v>
      </c>
      <c r="L46" s="7" t="n">
        <v>1060.6</v>
      </c>
      <c r="N46" s="7" t="n">
        <v>1597.1</v>
      </c>
      <c r="P46" s="7" t="n">
        <v>1709.1</v>
      </c>
      <c r="R46" s="7" t="n">
        <v>1193.6</v>
      </c>
      <c r="T46" s="7" t="n">
        <v>1053.1</v>
      </c>
      <c r="V46" s="7" t="n">
        <v>2816.2</v>
      </c>
      <c r="X46" s="7" t="n">
        <v>1089.3</v>
      </c>
      <c r="Z46" s="7" t="n">
        <v>1658.5</v>
      </c>
      <c r="AB46" s="7" t="n">
        <v>18108.1</v>
      </c>
    </row>
    <row r="47">
      <c r="A47" s="4" t="inlineStr">
        <is>
          <t>生日礼品</t>
        </is>
      </c>
      <c r="D47" s="7" t="n">
        <v>4568.7</v>
      </c>
      <c r="F47" s="7" t="n">
        <v>14498.5</v>
      </c>
      <c r="H47" s="7" t="n">
        <v>11858.9</v>
      </c>
      <c r="J47" s="7" t="n">
        <v>22347.4</v>
      </c>
      <c r="L47" s="7" t="n">
        <v>12802.3</v>
      </c>
      <c r="N47" s="7" t="n">
        <v>14272.1</v>
      </c>
      <c r="P47" s="7" t="n">
        <v>10125.5</v>
      </c>
      <c r="R47" s="7" t="n">
        <v>13431.9</v>
      </c>
      <c r="T47" s="7" t="n">
        <v>9345.1</v>
      </c>
      <c r="V47" s="7" t="n">
        <v>24902</v>
      </c>
      <c r="X47" s="7" t="n">
        <v>14306.5</v>
      </c>
      <c r="Z47" s="7" t="n">
        <v>12920.2</v>
      </c>
      <c r="AB47" s="7" t="n">
        <v>165379.1</v>
      </c>
    </row>
    <row r="48">
      <c r="A48" s="4" t="inlineStr">
        <is>
          <t>体检</t>
        </is>
      </c>
      <c r="D48" s="7" t="n">
        <v>4173.9</v>
      </c>
      <c r="F48" s="7" t="n">
        <v>9673.799999999999</v>
      </c>
      <c r="H48" s="7" t="n">
        <v>7956.6</v>
      </c>
      <c r="J48" s="7" t="n">
        <v>13184.3</v>
      </c>
      <c r="L48" s="7" t="n">
        <v>3905.2</v>
      </c>
      <c r="N48" s="7" t="n">
        <v>6494.4</v>
      </c>
      <c r="P48" s="7" t="n">
        <v>5245.6</v>
      </c>
      <c r="R48" s="7" t="n">
        <v>7689</v>
      </c>
      <c r="T48" s="7" t="n">
        <v>5512</v>
      </c>
      <c r="V48" s="7" t="n">
        <v>14039.3</v>
      </c>
      <c r="X48" s="7" t="n">
        <v>6168.5</v>
      </c>
      <c r="Z48" s="7" t="n">
        <v>7486.4</v>
      </c>
      <c r="AB48" s="7" t="n">
        <v>91529</v>
      </c>
    </row>
    <row r="49">
      <c r="A49" s="4" t="inlineStr">
        <is>
          <t>其他福利支出</t>
        </is>
      </c>
      <c r="D49" s="7" t="n">
        <v>7586.2</v>
      </c>
      <c r="F49" s="7" t="n">
        <v>14073.9</v>
      </c>
      <c r="H49" s="7" t="n">
        <v>9792.9</v>
      </c>
      <c r="J49" s="7" t="n">
        <v>15638.6</v>
      </c>
      <c r="L49" s="7" t="n">
        <v>8363</v>
      </c>
      <c r="N49" s="7" t="n">
        <v>11530.9</v>
      </c>
      <c r="P49" s="7" t="n">
        <v>11108.3</v>
      </c>
      <c r="R49" s="7" t="n">
        <v>9168</v>
      </c>
      <c r="T49" s="7" t="n">
        <v>13696</v>
      </c>
      <c r="V49" s="7" t="n">
        <v>24151.9</v>
      </c>
      <c r="X49" s="7" t="n">
        <v>11854.3</v>
      </c>
      <c r="Z49" s="7" t="n">
        <v>16433.4</v>
      </c>
      <c r="AB49" s="7" t="n">
        <v>153397.4</v>
      </c>
    </row>
    <row r="50">
      <c r="A50" s="4" t="inlineStr">
        <is>
          <t>招聘费</t>
        </is>
      </c>
      <c r="D50" s="7" t="n">
        <v>1422.1</v>
      </c>
      <c r="F50" s="7" t="n">
        <v>3322.2</v>
      </c>
      <c r="H50" s="7" t="n">
        <v>2685.3</v>
      </c>
      <c r="J50" s="7" t="n">
        <v>3844.5</v>
      </c>
      <c r="L50" s="7" t="n">
        <v>1474.6</v>
      </c>
      <c r="N50" s="7" t="n">
        <v>2435.1</v>
      </c>
      <c r="P50" s="7" t="n">
        <v>1971.3</v>
      </c>
      <c r="R50" s="7" t="n">
        <v>1656.5</v>
      </c>
      <c r="T50" s="7" t="n">
        <v>2005.2</v>
      </c>
      <c r="V50" s="7" t="n">
        <v>3263.9</v>
      </c>
      <c r="X50" s="7" t="n">
        <v>1824.2</v>
      </c>
      <c r="Z50" s="7" t="n">
        <v>2239.5</v>
      </c>
      <c r="AB50" s="7" t="n">
        <v>28144.4</v>
      </c>
    </row>
    <row r="51">
      <c r="A51" s="4" t="inlineStr">
        <is>
          <t>办公费</t>
        </is>
      </c>
      <c r="D51" s="7" t="n">
        <v>35195.6</v>
      </c>
      <c r="F51" s="7" t="n">
        <v>88999.8</v>
      </c>
      <c r="H51" s="7" t="n">
        <v>51567.3</v>
      </c>
      <c r="J51" s="7" t="n">
        <v>112592</v>
      </c>
      <c r="L51" s="7" t="n">
        <v>36132.4</v>
      </c>
      <c r="N51" s="7" t="n">
        <v>62941.6</v>
      </c>
      <c r="P51" s="7" t="n">
        <v>70708</v>
      </c>
      <c r="R51" s="7" t="n">
        <v>40590.8</v>
      </c>
      <c r="T51" s="7" t="n">
        <v>45069.9</v>
      </c>
      <c r="V51" s="7" t="n">
        <v>88620.5</v>
      </c>
      <c r="X51" s="7" t="n">
        <v>52374.4</v>
      </c>
      <c r="Z51" s="7" t="n">
        <v>69497.3</v>
      </c>
      <c r="AB51" s="7" t="n">
        <v>754289.6</v>
      </c>
    </row>
    <row r="52">
      <c r="A52" s="4" t="inlineStr">
        <is>
          <t>市内交通费</t>
        </is>
      </c>
      <c r="D52" s="7" t="n">
        <v>6706.2</v>
      </c>
      <c r="F52" s="7" t="n">
        <v>12133</v>
      </c>
      <c r="H52" s="7" t="n">
        <v>8821.6</v>
      </c>
      <c r="J52" s="7" t="n">
        <v>24282.1</v>
      </c>
      <c r="L52" s="7" t="n">
        <v>8771.299999999999</v>
      </c>
      <c r="N52" s="7" t="n">
        <v>12050.6</v>
      </c>
      <c r="P52" s="7" t="n">
        <v>10310.4</v>
      </c>
      <c r="R52" s="7" t="n">
        <v>8403.5</v>
      </c>
      <c r="T52" s="7" t="n">
        <v>9058.1</v>
      </c>
      <c r="V52" s="7" t="n">
        <v>22527.6</v>
      </c>
      <c r="X52" s="7" t="n">
        <v>11553</v>
      </c>
      <c r="Z52" s="7" t="n">
        <v>12891.4</v>
      </c>
      <c r="AB52" s="7" t="n">
        <v>147508.8</v>
      </c>
    </row>
    <row r="53">
      <c r="A53" s="4" t="inlineStr">
        <is>
          <t>差旅费</t>
        </is>
      </c>
      <c r="D53" s="7" t="n">
        <v>62894.7</v>
      </c>
      <c r="F53" s="7" t="n">
        <v>137442</v>
      </c>
      <c r="H53" s="7" t="n">
        <v>119677.9</v>
      </c>
      <c r="J53" s="7" t="n">
        <v>218178</v>
      </c>
      <c r="L53" s="7" t="n">
        <v>84960.8</v>
      </c>
      <c r="N53" s="7" t="n">
        <v>97791.89999999999</v>
      </c>
      <c r="P53" s="7" t="n">
        <v>146129.1</v>
      </c>
      <c r="R53" s="7" t="n">
        <v>134762.2</v>
      </c>
      <c r="T53" s="7" t="n">
        <v>87589.39999999999</v>
      </c>
      <c r="V53" s="7" t="n">
        <v>194074.4</v>
      </c>
      <c r="X53" s="7" t="n">
        <v>124628.1</v>
      </c>
      <c r="Z53" s="7" t="n">
        <v>103653</v>
      </c>
      <c r="AB53" s="7" t="n">
        <v>1511781.5</v>
      </c>
    </row>
    <row r="54">
      <c r="A54" s="4" t="inlineStr">
        <is>
          <t>交通费</t>
        </is>
      </c>
      <c r="D54" s="7" t="n">
        <v>2776.2</v>
      </c>
      <c r="F54" s="7" t="n">
        <v>8871.9</v>
      </c>
      <c r="H54" s="7" t="n">
        <v>7240.4</v>
      </c>
      <c r="J54" s="7" t="n">
        <v>12780.8</v>
      </c>
      <c r="L54" s="7" t="n">
        <v>4979.2</v>
      </c>
      <c r="N54" s="7" t="n">
        <v>6373.5</v>
      </c>
      <c r="P54" s="7" t="n">
        <v>7910.8</v>
      </c>
      <c r="R54" s="7" t="n">
        <v>5225.9</v>
      </c>
      <c r="T54" s="7" t="n">
        <v>5934.9</v>
      </c>
      <c r="V54" s="7" t="n">
        <v>12977.8</v>
      </c>
      <c r="X54" s="7" t="n">
        <v>5166.6</v>
      </c>
      <c r="Z54" s="7" t="n">
        <v>8610.4</v>
      </c>
      <c r="AB54" s="7" t="n">
        <v>88848.39999999999</v>
      </c>
    </row>
    <row r="55">
      <c r="A55" s="4" t="inlineStr">
        <is>
          <t>住宿费</t>
        </is>
      </c>
      <c r="D55" s="7" t="n">
        <v>5248.4</v>
      </c>
      <c r="F55" s="7" t="n">
        <v>12462</v>
      </c>
      <c r="H55" s="7" t="n">
        <v>10076.3</v>
      </c>
      <c r="J55" s="7" t="n">
        <v>12896.3</v>
      </c>
      <c r="L55" s="7" t="n">
        <v>8831.6</v>
      </c>
      <c r="N55" s="7" t="n">
        <v>12062.3</v>
      </c>
      <c r="P55" s="7" t="n">
        <v>12703.7</v>
      </c>
      <c r="R55" s="7" t="n">
        <v>9124.200000000001</v>
      </c>
      <c r="T55" s="7" t="n">
        <v>12295.9</v>
      </c>
      <c r="V55" s="7" t="n">
        <v>20332</v>
      </c>
      <c r="X55" s="7" t="n">
        <v>10276</v>
      </c>
      <c r="Z55" s="7" t="n">
        <v>8919.5</v>
      </c>
      <c r="AB55" s="7" t="n">
        <v>135228.2</v>
      </c>
    </row>
    <row r="56">
      <c r="A56" s="4" t="inlineStr">
        <is>
          <t>餐补</t>
        </is>
      </c>
      <c r="D56" s="7" t="n">
        <v>1698.2</v>
      </c>
      <c r="F56" s="7" t="n">
        <v>6829</v>
      </c>
      <c r="H56" s="7" t="n">
        <v>5556.2</v>
      </c>
      <c r="J56" s="7" t="n">
        <v>5544.9</v>
      </c>
      <c r="L56" s="7" t="n">
        <v>4851.3</v>
      </c>
      <c r="N56" s="7" t="n">
        <v>3120.5</v>
      </c>
      <c r="P56" s="7" t="n">
        <v>4511.8</v>
      </c>
      <c r="R56" s="7" t="n">
        <v>4815.1</v>
      </c>
      <c r="T56" s="7" t="n">
        <v>5104.7</v>
      </c>
      <c r="V56" s="7" t="n">
        <v>9715.200000000001</v>
      </c>
      <c r="X56" s="7" t="n">
        <v>4547.4</v>
      </c>
      <c r="Z56" s="7" t="n">
        <v>4976</v>
      </c>
      <c r="AB56" s="7" t="n">
        <v>61270.3</v>
      </c>
    </row>
    <row r="57">
      <c r="A57" s="4" t="inlineStr">
        <is>
          <t>交通补助</t>
        </is>
      </c>
      <c r="D57" s="7" t="n">
        <v>6161.4</v>
      </c>
      <c r="F57" s="7" t="n">
        <v>18545.7</v>
      </c>
      <c r="H57" s="7" t="n">
        <v>15799.8</v>
      </c>
      <c r="J57" s="7" t="n">
        <v>19944.2</v>
      </c>
      <c r="L57" s="7" t="n">
        <v>12309.5</v>
      </c>
      <c r="N57" s="7" t="n">
        <v>13720.3</v>
      </c>
      <c r="P57" s="7" t="n">
        <v>14078.4</v>
      </c>
      <c r="R57" s="7" t="n">
        <v>13048.6</v>
      </c>
      <c r="T57" s="7" t="n">
        <v>11528.3</v>
      </c>
      <c r="V57" s="7" t="n">
        <v>17557.2</v>
      </c>
      <c r="X57" s="7" t="n">
        <v>12319.4</v>
      </c>
      <c r="Z57" s="7" t="n">
        <v>15320</v>
      </c>
      <c r="AB57" s="7" t="n">
        <v>170332.8</v>
      </c>
    </row>
    <row r="58">
      <c r="A58" s="4" t="inlineStr">
        <is>
          <t>通讯补助</t>
        </is>
      </c>
      <c r="D58" s="7" t="n">
        <v>4051</v>
      </c>
      <c r="F58" s="7" t="n">
        <v>7812.7</v>
      </c>
      <c r="H58" s="7" t="n">
        <v>6644.3</v>
      </c>
      <c r="J58" s="7" t="n">
        <v>13888.4</v>
      </c>
      <c r="L58" s="7" t="n">
        <v>8979</v>
      </c>
      <c r="N58" s="7" t="n">
        <v>9412.799999999999</v>
      </c>
      <c r="P58" s="7" t="n">
        <v>10276.2</v>
      </c>
      <c r="R58" s="7" t="n">
        <v>10458.4</v>
      </c>
      <c r="T58" s="7" t="n">
        <v>7891.9</v>
      </c>
      <c r="V58" s="7" t="n">
        <v>14475.6</v>
      </c>
      <c r="X58" s="7" t="n">
        <v>7644.7</v>
      </c>
      <c r="Z58" s="7" t="n">
        <v>13937.3</v>
      </c>
      <c r="AB58" s="7" t="n">
        <v>115472.3</v>
      </c>
    </row>
    <row r="59">
      <c r="A59" s="4" t="inlineStr">
        <is>
          <t>招待费</t>
        </is>
      </c>
      <c r="D59" s="7" t="n">
        <v>46225.4</v>
      </c>
      <c r="F59" s="7" t="n">
        <v>71596.60000000001</v>
      </c>
      <c r="H59" s="7" t="n">
        <v>92517.7</v>
      </c>
      <c r="J59" s="7" t="n">
        <v>125998.6</v>
      </c>
      <c r="L59" s="7" t="n">
        <v>79035.39999999999</v>
      </c>
      <c r="N59" s="7" t="n">
        <v>94529</v>
      </c>
      <c r="P59" s="7" t="n">
        <v>59945.8</v>
      </c>
      <c r="R59" s="7" t="n">
        <v>60461.6</v>
      </c>
      <c r="T59" s="7" t="n">
        <v>59282.8</v>
      </c>
      <c r="V59" s="7" t="n">
        <v>96249.8</v>
      </c>
      <c r="X59" s="7" t="n">
        <v>78377.60000000001</v>
      </c>
      <c r="Z59" s="7" t="n">
        <v>103808.3</v>
      </c>
      <c r="AB59" s="7" t="n">
        <v>968028.6</v>
      </c>
    </row>
    <row r="60">
      <c r="A60" s="4" t="inlineStr">
        <is>
          <t>通讯费</t>
        </is>
      </c>
      <c r="D60" s="7" t="n">
        <v>371.9</v>
      </c>
      <c r="F60" s="7" t="n">
        <v>700.6</v>
      </c>
      <c r="H60" s="7" t="n">
        <v>523.4</v>
      </c>
      <c r="J60" s="7" t="n">
        <v>877.4</v>
      </c>
      <c r="L60" s="7" t="n">
        <v>662.6</v>
      </c>
      <c r="N60" s="7" t="n">
        <v>450</v>
      </c>
      <c r="P60" s="7" t="n">
        <v>675.9</v>
      </c>
      <c r="R60" s="7" t="n">
        <v>511.7</v>
      </c>
      <c r="T60" s="7" t="n">
        <v>739.9</v>
      </c>
      <c r="V60" s="7" t="n">
        <v>1214.7</v>
      </c>
      <c r="X60" s="7" t="n">
        <v>526.6</v>
      </c>
      <c r="Z60" s="7" t="n">
        <v>781.7</v>
      </c>
      <c r="AB60" s="7" t="n">
        <v>8036.4</v>
      </c>
    </row>
    <row r="61">
      <c r="A61" s="4" t="inlineStr">
        <is>
          <t>网络费</t>
        </is>
      </c>
      <c r="D61" s="7" t="n">
        <v>4007</v>
      </c>
      <c r="F61" s="7" t="n">
        <v>9059.1</v>
      </c>
      <c r="H61" s="7" t="n">
        <v>6761.4</v>
      </c>
      <c r="J61" s="7" t="n">
        <v>16002.2</v>
      </c>
      <c r="L61" s="7" t="n">
        <v>6256.5</v>
      </c>
      <c r="N61" s="7" t="n">
        <v>7457.3</v>
      </c>
      <c r="P61" s="7" t="n">
        <v>6862.4</v>
      </c>
      <c r="R61" s="7" t="n">
        <v>10271.2</v>
      </c>
      <c r="T61" s="7" t="n">
        <v>10551.8</v>
      </c>
      <c r="V61" s="7" t="n">
        <v>18374.3</v>
      </c>
      <c r="X61" s="7" t="n">
        <v>8779.4</v>
      </c>
      <c r="Z61" s="7" t="n">
        <v>9755.200000000001</v>
      </c>
      <c r="AB61" s="7" t="n">
        <v>114137.8</v>
      </c>
    </row>
    <row r="62">
      <c r="A62" s="4" t="inlineStr">
        <is>
          <t>修理费</t>
        </is>
      </c>
      <c r="D62" s="7" t="n">
        <v>4246.7</v>
      </c>
      <c r="F62" s="7" t="n">
        <v>9585</v>
      </c>
      <c r="H62" s="7" t="n">
        <v>6991.5</v>
      </c>
      <c r="J62" s="7" t="n">
        <v>12603.5</v>
      </c>
      <c r="L62" s="7" t="n">
        <v>4935.3</v>
      </c>
      <c r="N62" s="7" t="n">
        <v>5929.5</v>
      </c>
      <c r="P62" s="7" t="n">
        <v>5420.8</v>
      </c>
      <c r="R62" s="7" t="n">
        <v>5522.2</v>
      </c>
      <c r="T62" s="7" t="n">
        <v>7300</v>
      </c>
      <c r="V62" s="7" t="n">
        <v>10686.7</v>
      </c>
      <c r="X62" s="7" t="n">
        <v>7276</v>
      </c>
      <c r="Z62" s="7" t="n">
        <v>6618.7</v>
      </c>
      <c r="AB62" s="7" t="n">
        <v>87115.89999999999</v>
      </c>
    </row>
    <row r="63">
      <c r="A63" s="4" t="inlineStr">
        <is>
          <t>车辆费</t>
        </is>
      </c>
      <c r="D63" s="7" t="n">
        <v>5590.9</v>
      </c>
      <c r="F63" s="7" t="n">
        <v>13509.8</v>
      </c>
      <c r="H63" s="7" t="n">
        <v>9389.799999999999</v>
      </c>
      <c r="J63" s="7" t="n">
        <v>19670.6</v>
      </c>
      <c r="L63" s="7" t="n">
        <v>8177.5</v>
      </c>
      <c r="N63" s="7" t="n">
        <v>6956</v>
      </c>
      <c r="P63" s="7" t="n">
        <v>8289.799999999999</v>
      </c>
      <c r="R63" s="7" t="n">
        <v>6999.3</v>
      </c>
      <c r="T63" s="7" t="n">
        <v>9837.6</v>
      </c>
      <c r="V63" s="7" t="n">
        <v>19430.8</v>
      </c>
      <c r="X63" s="7" t="n">
        <v>10376.3</v>
      </c>
      <c r="Z63" s="7" t="n">
        <v>8108</v>
      </c>
      <c r="AB63" s="7" t="n">
        <v>126336.4</v>
      </c>
    </row>
    <row r="64">
      <c r="A64" s="4" t="inlineStr">
        <is>
          <t>租赁费</t>
        </is>
      </c>
      <c r="D64" s="7" t="n">
        <v>57768.3</v>
      </c>
      <c r="F64" s="7" t="n">
        <v>94926.10000000001</v>
      </c>
      <c r="H64" s="7" t="n">
        <v>83986</v>
      </c>
      <c r="J64" s="7" t="n">
        <v>182766.1</v>
      </c>
      <c r="L64" s="7" t="n">
        <v>90455.60000000001</v>
      </c>
      <c r="N64" s="7" t="n">
        <v>117577.1</v>
      </c>
      <c r="P64" s="7" t="n">
        <v>85866</v>
      </c>
      <c r="R64" s="7" t="n">
        <v>106166.5</v>
      </c>
      <c r="T64" s="7" t="n">
        <v>110548.8</v>
      </c>
      <c r="V64" s="7" t="n">
        <v>172965.8</v>
      </c>
      <c r="X64" s="7" t="n">
        <v>91398.39999999999</v>
      </c>
      <c r="Z64" s="7" t="n">
        <v>141292.6</v>
      </c>
      <c r="AB64" s="7" t="n">
        <v>1335717.3</v>
      </c>
    </row>
    <row r="65">
      <c r="A65" s="4" t="inlineStr">
        <is>
          <t>能源费</t>
        </is>
      </c>
      <c r="D65" s="7" t="n">
        <v>16561.8</v>
      </c>
      <c r="F65" s="7" t="n">
        <v>37407.3</v>
      </c>
      <c r="H65" s="7" t="n">
        <v>25233.7</v>
      </c>
      <c r="J65" s="7" t="n">
        <v>44575.9</v>
      </c>
      <c r="L65" s="7" t="n">
        <v>28349.1</v>
      </c>
      <c r="N65" s="7" t="n">
        <v>34353.6</v>
      </c>
      <c r="P65" s="7" t="n">
        <v>33876.4</v>
      </c>
      <c r="R65" s="7" t="n">
        <v>26880.5</v>
      </c>
      <c r="T65" s="7" t="n">
        <v>31451.4</v>
      </c>
      <c r="V65" s="7" t="n">
        <v>52155.6</v>
      </c>
      <c r="X65" s="7" t="n">
        <v>28436.9</v>
      </c>
      <c r="Z65" s="7" t="n">
        <v>40359.1</v>
      </c>
      <c r="AB65" s="7" t="n">
        <v>399641.3</v>
      </c>
    </row>
    <row r="66">
      <c r="A66" s="4" t="inlineStr">
        <is>
          <t>水费</t>
        </is>
      </c>
      <c r="D66" s="7" t="n">
        <v>4295.3</v>
      </c>
      <c r="F66" s="7" t="n">
        <v>7836.1</v>
      </c>
      <c r="H66" s="7" t="n">
        <v>7204.6</v>
      </c>
      <c r="J66" s="7" t="n">
        <v>10972.2</v>
      </c>
      <c r="L66" s="7" t="n">
        <v>5285.9</v>
      </c>
      <c r="N66" s="7" t="n">
        <v>7007.6</v>
      </c>
      <c r="P66" s="7" t="n">
        <v>7635.5</v>
      </c>
      <c r="R66" s="7" t="n">
        <v>5043.7</v>
      </c>
      <c r="T66" s="7" t="n">
        <v>9092.1</v>
      </c>
      <c r="V66" s="7" t="n">
        <v>11874.8</v>
      </c>
      <c r="X66" s="7" t="n">
        <v>8066.2</v>
      </c>
      <c r="Z66" s="7" t="n">
        <v>10455.5</v>
      </c>
      <c r="AB66" s="7" t="n">
        <v>94769.5</v>
      </c>
    </row>
    <row r="67">
      <c r="A67" s="4" t="inlineStr">
        <is>
          <t>电费</t>
        </is>
      </c>
      <c r="D67" s="7" t="n">
        <v>2347.2</v>
      </c>
      <c r="F67" s="7" t="n">
        <v>5880.2</v>
      </c>
      <c r="H67" s="7" t="n">
        <v>3948.9</v>
      </c>
      <c r="J67" s="7" t="n">
        <v>6337.5</v>
      </c>
      <c r="L67" s="7" t="n">
        <v>3547.4</v>
      </c>
      <c r="N67" s="7" t="n">
        <v>5887.5</v>
      </c>
      <c r="P67" s="7" t="n">
        <v>5379.3</v>
      </c>
      <c r="R67" s="7" t="n">
        <v>4240.4</v>
      </c>
      <c r="T67" s="7" t="n">
        <v>3749.1</v>
      </c>
      <c r="V67" s="7" t="n">
        <v>7293.2</v>
      </c>
      <c r="X67" s="7" t="n">
        <v>4174.8</v>
      </c>
      <c r="Z67" s="7" t="n">
        <v>6747.4</v>
      </c>
      <c r="AB67" s="7" t="n">
        <v>59532.9</v>
      </c>
    </row>
    <row r="68">
      <c r="A68" s="4" t="inlineStr">
        <is>
          <t>燃气费</t>
        </is>
      </c>
      <c r="D68" s="7" t="n">
        <v>3642.8</v>
      </c>
      <c r="F68" s="7" t="n">
        <v>8480.200000000001</v>
      </c>
      <c r="H68" s="7" t="n">
        <v>5456.9</v>
      </c>
      <c r="J68" s="7" t="n">
        <v>12929.9</v>
      </c>
      <c r="L68" s="7" t="n">
        <v>7140.2</v>
      </c>
      <c r="N68" s="7" t="n">
        <v>6824</v>
      </c>
      <c r="P68" s="7" t="n">
        <v>6877.8</v>
      </c>
      <c r="R68" s="7" t="n">
        <v>4812.5</v>
      </c>
      <c r="T68" s="7" t="n">
        <v>7509.5</v>
      </c>
      <c r="V68" s="7" t="n">
        <v>8769</v>
      </c>
      <c r="X68" s="7" t="n">
        <v>6860.9</v>
      </c>
      <c r="Z68" s="7" t="n">
        <v>7520.2</v>
      </c>
      <c r="AB68" s="7" t="n">
        <v>86823.89999999999</v>
      </c>
    </row>
    <row r="69">
      <c r="A69" s="4" t="inlineStr">
        <is>
          <t>蒸汽费</t>
        </is>
      </c>
      <c r="D69" s="7" t="n">
        <v>6276.5</v>
      </c>
      <c r="F69" s="7" t="n">
        <v>15210.8</v>
      </c>
      <c r="H69" s="7" t="n">
        <v>8623.299999999999</v>
      </c>
      <c r="J69" s="7" t="n">
        <v>14336.3</v>
      </c>
      <c r="L69" s="7" t="n">
        <v>12375.6</v>
      </c>
      <c r="N69" s="7" t="n">
        <v>14634.5</v>
      </c>
      <c r="P69" s="7" t="n">
        <v>13983.8</v>
      </c>
      <c r="R69" s="7" t="n">
        <v>12783.9</v>
      </c>
      <c r="T69" s="7" t="n">
        <v>11100.7</v>
      </c>
      <c r="V69" s="7" t="n">
        <v>24218.6</v>
      </c>
      <c r="X69" s="7" t="n">
        <v>9335</v>
      </c>
      <c r="Z69" s="7" t="n">
        <v>15636</v>
      </c>
      <c r="AB69" s="7" t="n">
        <v>158515</v>
      </c>
    </row>
    <row r="70">
      <c r="A70" s="4" t="inlineStr">
        <is>
          <t>物业费</t>
        </is>
      </c>
      <c r="D70" s="7" t="n">
        <v>61.2</v>
      </c>
      <c r="F70" s="7" t="n">
        <v>129.1</v>
      </c>
      <c r="H70" s="7" t="n">
        <v>125.2</v>
      </c>
      <c r="J70" s="7" t="n">
        <v>218.3</v>
      </c>
      <c r="L70" s="7" t="n">
        <v>109.3</v>
      </c>
      <c r="N70" s="7" t="n">
        <v>114</v>
      </c>
      <c r="P70" s="7" t="n">
        <v>125.7</v>
      </c>
      <c r="R70" s="7" t="n">
        <v>77.40000000000001</v>
      </c>
      <c r="T70" s="7" t="n">
        <v>120.4</v>
      </c>
      <c r="V70" s="7" t="n">
        <v>141.6</v>
      </c>
      <c r="X70" s="7" t="n">
        <v>112.9</v>
      </c>
      <c r="Z70" s="7" t="n">
        <v>119.9</v>
      </c>
      <c r="AB70" s="7" t="n">
        <v>1455</v>
      </c>
    </row>
    <row r="71">
      <c r="A71" s="4" t="inlineStr">
        <is>
          <t>劳动保护费</t>
        </is>
      </c>
      <c r="D71" s="7" t="n">
        <v>4635.4</v>
      </c>
      <c r="F71" s="7" t="n">
        <v>17752.2</v>
      </c>
      <c r="H71" s="7" t="n">
        <v>13809.1</v>
      </c>
      <c r="J71" s="7" t="n">
        <v>25116.3</v>
      </c>
      <c r="L71" s="7" t="n">
        <v>13606.6</v>
      </c>
      <c r="N71" s="7" t="n">
        <v>9409.4</v>
      </c>
      <c r="P71" s="7" t="n">
        <v>10261.3</v>
      </c>
      <c r="R71" s="7" t="n">
        <v>9284.9</v>
      </c>
      <c r="T71" s="7" t="n">
        <v>10181.9</v>
      </c>
      <c r="V71" s="7" t="n">
        <v>21756.9</v>
      </c>
      <c r="X71" s="7" t="n">
        <v>14107.1</v>
      </c>
      <c r="Z71" s="7" t="n">
        <v>12756.3</v>
      </c>
      <c r="AB71" s="7" t="n">
        <v>162677.4</v>
      </c>
    </row>
    <row r="72">
      <c r="A72" s="4" t="inlineStr">
        <is>
          <t>顾问费</t>
        </is>
      </c>
      <c r="D72" s="7" t="n">
        <v>2448</v>
      </c>
      <c r="F72" s="7" t="n">
        <v>5725.9</v>
      </c>
      <c r="H72" s="7" t="n">
        <v>5274.9</v>
      </c>
      <c r="J72" s="7" t="n">
        <v>11149.8</v>
      </c>
      <c r="L72" s="7" t="n">
        <v>3705.1</v>
      </c>
      <c r="N72" s="7" t="n">
        <v>5551.5</v>
      </c>
      <c r="P72" s="7" t="n">
        <v>6645.8</v>
      </c>
      <c r="R72" s="7" t="n">
        <v>5216.8</v>
      </c>
      <c r="T72" s="7" t="n">
        <v>6161.8</v>
      </c>
      <c r="V72" s="7" t="n">
        <v>10050.6</v>
      </c>
      <c r="X72" s="7" t="n">
        <v>3642.2</v>
      </c>
      <c r="Z72" s="7" t="n">
        <v>5583.9</v>
      </c>
      <c r="AB72" s="7" t="n">
        <v>71156.3</v>
      </c>
    </row>
    <row r="73">
      <c r="A73" s="4" t="inlineStr">
        <is>
          <t>快递费</t>
        </is>
      </c>
      <c r="D73" s="7" t="n">
        <v>2707.3</v>
      </c>
      <c r="F73" s="7" t="n">
        <v>5962.9</v>
      </c>
      <c r="H73" s="7" t="n">
        <v>5676</v>
      </c>
      <c r="J73" s="7" t="n">
        <v>11996.7</v>
      </c>
      <c r="L73" s="7" t="n">
        <v>5930.5</v>
      </c>
      <c r="N73" s="7" t="n">
        <v>8149.8</v>
      </c>
      <c r="P73" s="7" t="n">
        <v>7959.1</v>
      </c>
      <c r="R73" s="7" t="n">
        <v>8079.7</v>
      </c>
      <c r="T73" s="7" t="n">
        <v>5348</v>
      </c>
      <c r="V73" s="7" t="n">
        <v>12314.5</v>
      </c>
      <c r="X73" s="7" t="n">
        <v>4866.9</v>
      </c>
      <c r="Z73" s="7" t="n">
        <v>6931.7</v>
      </c>
      <c r="AB73" s="7" t="n">
        <v>85923.10000000001</v>
      </c>
    </row>
    <row r="74">
      <c r="A74" s="4" t="inlineStr">
        <is>
          <t>诉讼费</t>
        </is>
      </c>
      <c r="D74" s="7" t="n">
        <v>7143.7</v>
      </c>
      <c r="F74" s="7" t="n">
        <v>13077.2</v>
      </c>
      <c r="H74" s="7" t="n">
        <v>8083.5</v>
      </c>
      <c r="J74" s="7" t="n">
        <v>14031.8</v>
      </c>
      <c r="L74" s="7" t="n">
        <v>12176.3</v>
      </c>
      <c r="N74" s="7" t="n">
        <v>13554.9</v>
      </c>
      <c r="P74" s="7" t="n">
        <v>12484.3</v>
      </c>
      <c r="R74" s="7" t="n">
        <v>7519</v>
      </c>
      <c r="T74" s="7" t="n">
        <v>13947</v>
      </c>
      <c r="V74" s="7" t="n">
        <v>16903.6</v>
      </c>
      <c r="X74" s="7" t="n">
        <v>13453.3</v>
      </c>
      <c r="Z74" s="7" t="n">
        <v>13855</v>
      </c>
      <c r="AB74" s="7" t="n">
        <v>146229.6</v>
      </c>
    </row>
    <row r="75">
      <c r="A75" s="4" t="inlineStr">
        <is>
          <t>会员费</t>
        </is>
      </c>
      <c r="D75" s="7" t="n">
        <v>5663.4</v>
      </c>
      <c r="F75" s="7" t="n">
        <v>10799.1</v>
      </c>
      <c r="H75" s="7" t="n">
        <v>7180</v>
      </c>
      <c r="J75" s="7" t="n">
        <v>13022.3</v>
      </c>
      <c r="L75" s="7" t="n">
        <v>7096.2</v>
      </c>
      <c r="N75" s="7" t="n">
        <v>11378.2</v>
      </c>
      <c r="P75" s="7" t="n">
        <v>9728</v>
      </c>
      <c r="R75" s="7" t="n">
        <v>11206.3</v>
      </c>
      <c r="T75" s="7" t="n">
        <v>8642.1</v>
      </c>
      <c r="V75" s="7" t="n">
        <v>19010</v>
      </c>
      <c r="X75" s="7" t="n">
        <v>7157.6</v>
      </c>
      <c r="Z75" s="7" t="n">
        <v>14754.1</v>
      </c>
      <c r="AB75" s="7" t="n">
        <v>125637.3</v>
      </c>
    </row>
    <row r="76">
      <c r="A76" s="4" t="inlineStr">
        <is>
          <t>广告宣传费</t>
        </is>
      </c>
      <c r="D76" s="7" t="n">
        <v>34653.3</v>
      </c>
      <c r="F76" s="7" t="n">
        <v>69978.60000000001</v>
      </c>
      <c r="H76" s="7" t="n">
        <v>75176.5</v>
      </c>
      <c r="J76" s="7" t="n">
        <v>72717.39999999999</v>
      </c>
      <c r="L76" s="7" t="n">
        <v>49187.2</v>
      </c>
      <c r="N76" s="7" t="n">
        <v>69338</v>
      </c>
      <c r="P76" s="7" t="n">
        <v>57316</v>
      </c>
      <c r="R76" s="7" t="n">
        <v>63941.4</v>
      </c>
      <c r="T76" s="7" t="n">
        <v>74416.39999999999</v>
      </c>
      <c r="V76" s="7" t="n">
        <v>94027.3</v>
      </c>
      <c r="X76" s="7" t="n">
        <v>64639.1</v>
      </c>
      <c r="Z76" s="7" t="n">
        <v>49808.1</v>
      </c>
      <c r="AB76" s="7" t="n">
        <v>775199.3</v>
      </c>
    </row>
    <row r="77">
      <c r="A77" s="4" t="inlineStr">
        <is>
          <t>会务费</t>
        </is>
      </c>
      <c r="D77" s="7" t="n">
        <v>2364.2</v>
      </c>
      <c r="F77" s="7" t="n">
        <v>4155.2</v>
      </c>
      <c r="H77" s="7" t="n">
        <v>3193.8</v>
      </c>
      <c r="J77" s="7" t="n">
        <v>7503.6</v>
      </c>
      <c r="L77" s="7" t="n">
        <v>2929</v>
      </c>
      <c r="N77" s="7" t="n">
        <v>3814.1</v>
      </c>
      <c r="P77" s="7" t="n">
        <v>4151.4</v>
      </c>
      <c r="R77" s="7" t="n">
        <v>2471.6</v>
      </c>
      <c r="T77" s="7" t="n">
        <v>3741.3</v>
      </c>
      <c r="V77" s="7" t="n">
        <v>7059.7</v>
      </c>
      <c r="X77" s="7" t="n">
        <v>3741.5</v>
      </c>
      <c r="Z77" s="7" t="n">
        <v>3106.1</v>
      </c>
      <c r="AB77" s="7" t="n">
        <v>48231.5</v>
      </c>
    </row>
    <row r="78">
      <c r="A78" s="4" t="inlineStr">
        <is>
          <t>装修费</t>
        </is>
      </c>
      <c r="D78" s="7" t="n">
        <v>1160.4</v>
      </c>
      <c r="F78" s="7" t="n">
        <v>2547.2</v>
      </c>
      <c r="H78" s="7" t="n">
        <v>2256.4</v>
      </c>
      <c r="J78" s="7" t="n">
        <v>2979.5</v>
      </c>
      <c r="L78" s="7" t="n">
        <v>1316.3</v>
      </c>
      <c r="N78" s="7" t="n">
        <v>1365.9</v>
      </c>
      <c r="P78" s="7" t="n">
        <v>1890.7</v>
      </c>
      <c r="R78" s="7" t="n">
        <v>1699.9</v>
      </c>
      <c r="T78" s="7" t="n">
        <v>1698.5</v>
      </c>
      <c r="V78" s="7" t="n">
        <v>2634</v>
      </c>
      <c r="X78" s="7" t="n">
        <v>1520.7</v>
      </c>
      <c r="Z78" s="7" t="n">
        <v>2267.4</v>
      </c>
      <c r="AB78" s="7" t="n">
        <v>23336.9</v>
      </c>
    </row>
    <row r="79">
      <c r="A79" s="4" t="inlineStr">
        <is>
          <t>推广费</t>
        </is>
      </c>
      <c r="D79" s="7" t="n">
        <v>3499.4</v>
      </c>
      <c r="F79" s="7" t="n">
        <v>6070.5</v>
      </c>
      <c r="H79" s="7" t="n">
        <v>6474</v>
      </c>
      <c r="J79" s="7" t="n">
        <v>9101.799999999999</v>
      </c>
      <c r="L79" s="7" t="n">
        <v>6562.8</v>
      </c>
      <c r="N79" s="7" t="n">
        <v>6251.5</v>
      </c>
      <c r="P79" s="7" t="n">
        <v>7155.7</v>
      </c>
      <c r="R79" s="7" t="n">
        <v>5842</v>
      </c>
      <c r="T79" s="7" t="n">
        <v>6611.5</v>
      </c>
      <c r="V79" s="7" t="n">
        <v>9125.9</v>
      </c>
      <c r="X79" s="7" t="n">
        <v>8353.200000000001</v>
      </c>
      <c r="Z79" s="7" t="n">
        <v>10459.8</v>
      </c>
      <c r="AB79" s="7" t="n">
        <v>85508.10000000001</v>
      </c>
    </row>
    <row r="80">
      <c r="A80" s="4" t="inlineStr">
        <is>
          <t>展会费</t>
        </is>
      </c>
      <c r="D80" s="7" t="n">
        <v>6812.8</v>
      </c>
      <c r="F80" s="7" t="n">
        <v>11990.1</v>
      </c>
      <c r="H80" s="7" t="n">
        <v>11617</v>
      </c>
      <c r="J80" s="7" t="n">
        <v>16632.3</v>
      </c>
      <c r="L80" s="7" t="n">
        <v>9625.1</v>
      </c>
      <c r="N80" s="7" t="n">
        <v>12270.5</v>
      </c>
      <c r="P80" s="7" t="n">
        <v>9999.9</v>
      </c>
      <c r="R80" s="7" t="n">
        <v>11309.9</v>
      </c>
      <c r="T80" s="7" t="n">
        <v>11907.8</v>
      </c>
      <c r="V80" s="7" t="n">
        <v>21229.4</v>
      </c>
      <c r="X80" s="7" t="n">
        <v>8858.200000000001</v>
      </c>
      <c r="Z80" s="7" t="n">
        <v>12626.3</v>
      </c>
      <c r="AB80" s="7" t="n">
        <v>144879.3</v>
      </c>
    </row>
    <row r="81">
      <c r="A81" s="4" t="inlineStr">
        <is>
          <t>设计费</t>
        </is>
      </c>
      <c r="D81" s="7" t="n">
        <v>1769.9</v>
      </c>
      <c r="F81" s="7" t="n">
        <v>3982.2</v>
      </c>
      <c r="H81" s="7" t="n">
        <v>2578.1</v>
      </c>
      <c r="J81" s="7" t="n">
        <v>4090.5</v>
      </c>
      <c r="L81" s="7" t="n">
        <v>2432.2</v>
      </c>
      <c r="N81" s="7" t="n">
        <v>3942.6</v>
      </c>
      <c r="P81" s="7" t="n">
        <v>3072.1</v>
      </c>
      <c r="R81" s="7" t="n">
        <v>3181.4</v>
      </c>
      <c r="T81" s="7" t="n">
        <v>3725.9</v>
      </c>
      <c r="V81" s="7" t="n">
        <v>4850.3</v>
      </c>
      <c r="X81" s="7" t="n">
        <v>2696</v>
      </c>
      <c r="Z81" s="7" t="n">
        <v>4448.2</v>
      </c>
      <c r="AB81" s="7" t="n">
        <v>40769.4</v>
      </c>
    </row>
    <row r="82">
      <c r="A82" s="4" t="inlineStr">
        <is>
          <t>折旧费</t>
        </is>
      </c>
      <c r="D82" s="7" t="n">
        <v>49511.7</v>
      </c>
      <c r="F82" s="7" t="n">
        <v>119796.2</v>
      </c>
      <c r="H82" s="7" t="n">
        <v>60993.1</v>
      </c>
      <c r="J82" s="7" t="n">
        <v>118166.9</v>
      </c>
      <c r="L82" s="7" t="n">
        <v>86446.39999999999</v>
      </c>
      <c r="N82" s="7" t="n">
        <v>63045.6</v>
      </c>
      <c r="P82" s="7" t="n">
        <v>75082.3</v>
      </c>
      <c r="R82" s="7" t="n">
        <v>93868.8</v>
      </c>
      <c r="T82" s="7" t="n">
        <v>99870.39999999999</v>
      </c>
      <c r="V82" s="7" t="n">
        <v>116929.1</v>
      </c>
      <c r="X82" s="7" t="n">
        <v>82694.10000000001</v>
      </c>
      <c r="Z82" s="7" t="n">
        <v>92023.89999999999</v>
      </c>
      <c r="AB82" s="7" t="n">
        <v>1058428.5</v>
      </c>
    </row>
    <row r="83">
      <c r="A83" s="4" t="inlineStr">
        <is>
          <t>认证费</t>
        </is>
      </c>
      <c r="D83" s="7" t="n">
        <v>3250.7</v>
      </c>
      <c r="F83" s="7" t="n">
        <v>8149.6</v>
      </c>
      <c r="H83" s="7" t="n">
        <v>8765.299999999999</v>
      </c>
      <c r="J83" s="7" t="n">
        <v>11697.8</v>
      </c>
      <c r="L83" s="7" t="n">
        <v>4943.7</v>
      </c>
      <c r="N83" s="7" t="n">
        <v>7531.8</v>
      </c>
      <c r="P83" s="7" t="n">
        <v>8419.1</v>
      </c>
      <c r="R83" s="7" t="n">
        <v>7119.8</v>
      </c>
      <c r="T83" s="7" t="n">
        <v>8161.2</v>
      </c>
      <c r="V83" s="7" t="n">
        <v>12997</v>
      </c>
      <c r="X83" s="7" t="n">
        <v>8889</v>
      </c>
      <c r="Z83" s="7" t="n">
        <v>8533.6</v>
      </c>
      <c r="AB83" s="7" t="n">
        <v>98458.60000000001</v>
      </c>
    </row>
    <row r="84">
      <c r="A84" s="4" t="inlineStr">
        <is>
          <t>样品费</t>
        </is>
      </c>
      <c r="D84" s="7" t="n">
        <v>22909.2</v>
      </c>
      <c r="F84" s="7" t="n">
        <v>44908.3</v>
      </c>
      <c r="H84" s="7" t="n">
        <v>34129.7</v>
      </c>
      <c r="J84" s="7" t="n">
        <v>73867.7</v>
      </c>
      <c r="L84" s="7" t="n">
        <v>40599.6</v>
      </c>
      <c r="N84" s="7" t="n">
        <v>45233.7</v>
      </c>
      <c r="P84" s="7" t="n">
        <v>39948.4</v>
      </c>
      <c r="R84" s="7" t="n">
        <v>36688.2</v>
      </c>
      <c r="T84" s="7" t="n">
        <v>42092.3</v>
      </c>
      <c r="V84" s="7" t="n">
        <v>56482.7</v>
      </c>
      <c r="X84" s="7" t="n">
        <v>40540.9</v>
      </c>
      <c r="Z84" s="7" t="n">
        <v>52235.9</v>
      </c>
      <c r="AB84" s="7" t="n">
        <v>529636.6</v>
      </c>
    </row>
    <row r="85">
      <c r="A85" s="4" t="inlineStr">
        <is>
          <t>劳务费</t>
        </is>
      </c>
      <c r="D85" s="7" t="n">
        <v>3921.6</v>
      </c>
      <c r="F85" s="7" t="n">
        <v>15615.7</v>
      </c>
      <c r="H85" s="7" t="n">
        <v>9967.799999999999</v>
      </c>
      <c r="J85" s="7" t="n">
        <v>16109.3</v>
      </c>
      <c r="L85" s="7" t="n">
        <v>8851.4</v>
      </c>
      <c r="N85" s="7" t="n">
        <v>12446.5</v>
      </c>
      <c r="P85" s="7" t="n">
        <v>12188.5</v>
      </c>
      <c r="R85" s="7" t="n">
        <v>9744.4</v>
      </c>
      <c r="T85" s="7" t="n">
        <v>11842</v>
      </c>
      <c r="V85" s="7" t="n">
        <v>15831.8</v>
      </c>
      <c r="X85" s="7" t="n">
        <v>11849.4</v>
      </c>
      <c r="Z85" s="7" t="n">
        <v>12233.5</v>
      </c>
      <c r="AB85" s="7" t="n">
        <v>140601.9</v>
      </c>
    </row>
    <row r="86">
      <c r="A86" s="4" t="inlineStr">
        <is>
          <t>销售佣金</t>
        </is>
      </c>
      <c r="D86" s="7" t="n">
        <v>3199.8</v>
      </c>
      <c r="F86" s="7" t="n">
        <v>11331.4</v>
      </c>
      <c r="H86" s="7" t="n">
        <v>8935.299999999999</v>
      </c>
      <c r="J86" s="7" t="n">
        <v>12648.1</v>
      </c>
      <c r="L86" s="7" t="n">
        <v>7759.3</v>
      </c>
      <c r="N86" s="7" t="n">
        <v>5840.7</v>
      </c>
      <c r="P86" s="7" t="n">
        <v>11406</v>
      </c>
      <c r="R86" s="7" t="n">
        <v>8497.6</v>
      </c>
      <c r="T86" s="7" t="n">
        <v>7663.8</v>
      </c>
      <c r="V86" s="7" t="n">
        <v>16102.7</v>
      </c>
      <c r="X86" s="7" t="n">
        <v>9909.700000000001</v>
      </c>
      <c r="Z86" s="7" t="n">
        <v>9275.799999999999</v>
      </c>
      <c r="AB86" s="7" t="n">
        <v>112570.2</v>
      </c>
    </row>
    <row r="87">
      <c r="A87" s="4" t="inlineStr">
        <is>
          <t>检测费</t>
        </is>
      </c>
      <c r="D87" s="7" t="n">
        <v>60.2</v>
      </c>
      <c r="F87" s="7" t="n">
        <v>162.3</v>
      </c>
      <c r="H87" s="7" t="n">
        <v>136.4</v>
      </c>
      <c r="J87" s="7" t="n">
        <v>240</v>
      </c>
      <c r="L87" s="7" t="n">
        <v>123.2</v>
      </c>
      <c r="N87" s="7" t="n">
        <v>128.5</v>
      </c>
      <c r="P87" s="7" t="n">
        <v>136.6</v>
      </c>
      <c r="R87" s="7" t="n">
        <v>147.7</v>
      </c>
      <c r="T87" s="7" t="n">
        <v>141.9</v>
      </c>
      <c r="V87" s="7" t="n">
        <v>231.2</v>
      </c>
      <c r="X87" s="7" t="n">
        <v>116.1</v>
      </c>
      <c r="Z87" s="7" t="n">
        <v>114.3</v>
      </c>
      <c r="AB87" s="7" t="n">
        <v>1738.4</v>
      </c>
    </row>
    <row r="88">
      <c r="A88" s="4" t="inlineStr">
        <is>
          <t>质量赔偿</t>
        </is>
      </c>
      <c r="D88" s="7" t="n">
        <v>662.8</v>
      </c>
      <c r="F88" s="7" t="n">
        <v>2041.2</v>
      </c>
      <c r="H88" s="7" t="n">
        <v>1029.3</v>
      </c>
      <c r="J88" s="7" t="n">
        <v>2869.6</v>
      </c>
      <c r="L88" s="7" t="n">
        <v>917</v>
      </c>
      <c r="N88" s="7" t="n">
        <v>1168.3</v>
      </c>
      <c r="P88" s="7" t="n">
        <v>1409.5</v>
      </c>
      <c r="R88" s="7" t="n">
        <v>1036.9</v>
      </c>
      <c r="T88" s="7" t="n">
        <v>1322.3</v>
      </c>
      <c r="V88" s="7" t="n">
        <v>2258</v>
      </c>
      <c r="X88" s="7" t="n">
        <v>1221.8</v>
      </c>
      <c r="Z88" s="7" t="n">
        <v>1773</v>
      </c>
      <c r="AB88" s="7" t="n">
        <v>17709.7</v>
      </c>
    </row>
    <row r="89">
      <c r="A89" s="4" t="inlineStr">
        <is>
          <t>保险费</t>
        </is>
      </c>
      <c r="D89" s="7" t="n">
        <v>1874</v>
      </c>
      <c r="F89" s="7" t="n">
        <v>5783.1</v>
      </c>
      <c r="H89" s="7" t="n">
        <v>3137.2</v>
      </c>
      <c r="J89" s="7" t="n">
        <v>8373</v>
      </c>
      <c r="L89" s="7" t="n">
        <v>3879.5</v>
      </c>
      <c r="N89" s="7" t="n">
        <v>4444</v>
      </c>
      <c r="P89" s="7" t="n">
        <v>3528.2</v>
      </c>
      <c r="R89" s="7" t="n">
        <v>4952</v>
      </c>
      <c r="T89" s="7" t="n">
        <v>3449</v>
      </c>
      <c r="V89" s="7" t="n">
        <v>5622.6</v>
      </c>
      <c r="X89" s="7" t="n">
        <v>3081.2</v>
      </c>
      <c r="Z89" s="7" t="n">
        <v>5010.8</v>
      </c>
      <c r="AB89" s="7" t="n">
        <v>53134.6</v>
      </c>
    </row>
    <row r="90">
      <c r="A90" s="4" t="inlineStr">
        <is>
          <t>清洁费</t>
        </is>
      </c>
      <c r="D90" s="7" t="n">
        <v>5369.6</v>
      </c>
      <c r="F90" s="7" t="n">
        <v>13818.7</v>
      </c>
      <c r="H90" s="7" t="n">
        <v>9939</v>
      </c>
      <c r="J90" s="7" t="n">
        <v>22559.3</v>
      </c>
      <c r="L90" s="7" t="n">
        <v>10272.9</v>
      </c>
      <c r="N90" s="7" t="n">
        <v>8662.6</v>
      </c>
      <c r="P90" s="7" t="n">
        <v>14186.7</v>
      </c>
      <c r="R90" s="7" t="n">
        <v>9439.4</v>
      </c>
      <c r="T90" s="7" t="n">
        <v>12925.2</v>
      </c>
      <c r="V90" s="7" t="n">
        <v>19599.6</v>
      </c>
      <c r="X90" s="7" t="n">
        <v>13061.6</v>
      </c>
      <c r="Z90" s="7" t="n">
        <v>11971.4</v>
      </c>
      <c r="AB90" s="7" t="n">
        <v>151806</v>
      </c>
    </row>
    <row r="91">
      <c r="A91" s="4" t="inlineStr">
        <is>
          <t>低值易耗品</t>
        </is>
      </c>
      <c r="D91" s="7" t="n">
        <v>5953.3</v>
      </c>
      <c r="F91" s="7" t="n">
        <v>8483.200000000001</v>
      </c>
      <c r="H91" s="7" t="n">
        <v>7323.9</v>
      </c>
      <c r="J91" s="7" t="n">
        <v>19975.9</v>
      </c>
      <c r="L91" s="7" t="n">
        <v>6827</v>
      </c>
      <c r="N91" s="7" t="n">
        <v>8487</v>
      </c>
      <c r="P91" s="7" t="n">
        <v>10156.6</v>
      </c>
      <c r="R91" s="7" t="n">
        <v>7762.5</v>
      </c>
      <c r="T91" s="7" t="n">
        <v>11705.3</v>
      </c>
      <c r="V91" s="7" t="n">
        <v>16757.8</v>
      </c>
      <c r="X91" s="7" t="n">
        <v>9892.9</v>
      </c>
      <c r="Z91" s="7" t="n">
        <v>12075</v>
      </c>
      <c r="AB91" s="7" t="n">
        <v>125400.4</v>
      </c>
    </row>
    <row r="92">
      <c r="A92" s="4" t="inlineStr">
        <is>
          <t>物料消耗</t>
        </is>
      </c>
      <c r="D92" s="7" t="n">
        <v>4294.5</v>
      </c>
      <c r="F92" s="7" t="n">
        <v>8493.299999999999</v>
      </c>
      <c r="H92" s="7" t="n">
        <v>9440.700000000001</v>
      </c>
      <c r="J92" s="7" t="n">
        <v>14204.3</v>
      </c>
      <c r="L92" s="7" t="n">
        <v>8115.9</v>
      </c>
      <c r="N92" s="7" t="n">
        <v>8651.9</v>
      </c>
      <c r="P92" s="7" t="n">
        <v>7439.3</v>
      </c>
      <c r="R92" s="7" t="n">
        <v>7861.8</v>
      </c>
      <c r="T92" s="7" t="n">
        <v>5865.3</v>
      </c>
      <c r="V92" s="7" t="n">
        <v>10452.3</v>
      </c>
      <c r="X92" s="7" t="n">
        <v>5718.2</v>
      </c>
      <c r="Z92" s="7" t="n">
        <v>8189.4</v>
      </c>
      <c r="AB92" s="7" t="n">
        <v>98726.89999999999</v>
      </c>
    </row>
    <row r="93">
      <c r="A93" s="4" t="inlineStr">
        <is>
          <t>盘盈盘亏</t>
        </is>
      </c>
      <c r="D93" s="7" t="n">
        <v>1363.9</v>
      </c>
      <c r="F93" s="7" t="n">
        <v>2816.7</v>
      </c>
      <c r="H93" s="7" t="n">
        <v>2226.6</v>
      </c>
      <c r="J93" s="7" t="n">
        <v>3110.1</v>
      </c>
      <c r="L93" s="7" t="n">
        <v>1902.5</v>
      </c>
      <c r="N93" s="7" t="n">
        <v>1870.9</v>
      </c>
      <c r="P93" s="7" t="n">
        <v>2741.9</v>
      </c>
      <c r="R93" s="7" t="n">
        <v>2458.4</v>
      </c>
      <c r="T93" s="7" t="n">
        <v>2542.9</v>
      </c>
      <c r="V93" s="7" t="n">
        <v>5213.5</v>
      </c>
      <c r="X93" s="7" t="n">
        <v>2294.8</v>
      </c>
      <c r="Z93" s="7" t="n">
        <v>2759.1</v>
      </c>
      <c r="AB93" s="7" t="n">
        <v>31301.3</v>
      </c>
    </row>
    <row r="94">
      <c r="A94" s="4" t="inlineStr">
        <is>
          <t>平台服务费</t>
        </is>
      </c>
      <c r="D94" s="7" t="n">
        <v>832.5</v>
      </c>
      <c r="F94" s="7" t="n">
        <v>2081.9</v>
      </c>
      <c r="H94" s="7" t="n">
        <v>1314</v>
      </c>
      <c r="J94" s="7" t="n">
        <v>2787.9</v>
      </c>
      <c r="L94" s="7" t="n">
        <v>1106.3</v>
      </c>
      <c r="N94" s="7" t="n">
        <v>1381.8</v>
      </c>
      <c r="P94" s="7" t="n">
        <v>2311.1</v>
      </c>
      <c r="R94" s="7" t="n">
        <v>2158.2</v>
      </c>
      <c r="T94" s="7" t="n">
        <v>1798.6</v>
      </c>
      <c r="V94" s="7" t="n">
        <v>3064.7</v>
      </c>
      <c r="X94" s="7" t="n">
        <v>1891.4</v>
      </c>
      <c r="Z94" s="7" t="n">
        <v>2020.3</v>
      </c>
      <c r="AB94" s="7" t="n">
        <v>22748.7</v>
      </c>
    </row>
    <row r="95">
      <c r="A95" s="4" t="inlineStr">
        <is>
          <t>无形资产摊销</t>
        </is>
      </c>
      <c r="D95" s="7" t="n">
        <v>5569.5</v>
      </c>
      <c r="F95" s="7" t="n">
        <v>9625.5</v>
      </c>
      <c r="H95" s="7" t="n">
        <v>7719.4</v>
      </c>
      <c r="J95" s="7" t="n">
        <v>21087.6</v>
      </c>
      <c r="L95" s="7" t="n">
        <v>8213.5</v>
      </c>
      <c r="N95" s="7" t="n">
        <v>9150.299999999999</v>
      </c>
      <c r="P95" s="7" t="n">
        <v>11897.6</v>
      </c>
      <c r="R95" s="7" t="n">
        <v>8095.1</v>
      </c>
      <c r="T95" s="7" t="n">
        <v>10457.7</v>
      </c>
      <c r="V95" s="7" t="n">
        <v>21080.1</v>
      </c>
      <c r="X95" s="7" t="n">
        <v>11819.9</v>
      </c>
      <c r="Z95" s="7" t="n">
        <v>13119.3</v>
      </c>
      <c r="AB95" s="7" t="n">
        <v>137835.5</v>
      </c>
    </row>
    <row r="96">
      <c r="A96" s="4" t="inlineStr">
        <is>
          <t>研发材料</t>
        </is>
      </c>
      <c r="D96" s="7" t="n">
        <v>580.9</v>
      </c>
      <c r="F96" s="7" t="n">
        <v>2016.5</v>
      </c>
      <c r="H96" s="7" t="n">
        <v>1729</v>
      </c>
      <c r="J96" s="7" t="n">
        <v>2261.2</v>
      </c>
      <c r="L96" s="7" t="n">
        <v>1509.8</v>
      </c>
      <c r="N96" s="7" t="n">
        <v>1033.8</v>
      </c>
      <c r="P96" s="7" t="n">
        <v>1774.4</v>
      </c>
      <c r="R96" s="7" t="n">
        <v>1400.3</v>
      </c>
      <c r="T96" s="7" t="n">
        <v>1871.8</v>
      </c>
      <c r="V96" s="7" t="n">
        <v>1888.8</v>
      </c>
      <c r="X96" s="7" t="n">
        <v>1646.1</v>
      </c>
      <c r="Z96" s="7" t="n">
        <v>1976.1</v>
      </c>
      <c r="AB96" s="7" t="n">
        <v>19688.7</v>
      </c>
    </row>
    <row r="97">
      <c r="A97" s="4" t="inlineStr">
        <is>
          <t>项目名称</t>
        </is>
      </c>
      <c r="D97" s="7" t="n">
        <v>2583.1</v>
      </c>
      <c r="F97" s="7" t="n">
        <v>4414.3</v>
      </c>
      <c r="H97" s="7" t="n">
        <v>3462.2</v>
      </c>
      <c r="J97" s="7" t="n">
        <v>7690.6</v>
      </c>
      <c r="L97" s="7" t="n">
        <v>3204.7</v>
      </c>
      <c r="N97" s="7" t="n">
        <v>4861.4</v>
      </c>
      <c r="P97" s="7" t="n">
        <v>4806.2</v>
      </c>
      <c r="R97" s="7" t="n">
        <v>3017.2</v>
      </c>
      <c r="T97" s="7" t="n">
        <v>4513.5</v>
      </c>
      <c r="V97" s="7" t="n">
        <v>6867</v>
      </c>
      <c r="X97" s="7" t="n">
        <v>3289.4</v>
      </c>
      <c r="Z97" s="7" t="n">
        <v>5086.6</v>
      </c>
      <c r="AB97" s="7" t="n">
        <v>53796.2</v>
      </c>
    </row>
    <row r="98">
      <c r="A98" s="4" t="inlineStr">
        <is>
          <t>研发费</t>
        </is>
      </c>
      <c r="D98" s="7" t="n">
        <v>3378</v>
      </c>
      <c r="F98" s="7" t="n">
        <v>7580.1</v>
      </c>
      <c r="H98" s="7" t="n">
        <v>6669.4</v>
      </c>
      <c r="J98" s="7" t="n">
        <v>11320.6</v>
      </c>
      <c r="L98" s="7" t="n">
        <v>5200.8</v>
      </c>
      <c r="N98" s="7" t="n">
        <v>7257.1</v>
      </c>
      <c r="P98" s="7" t="n">
        <v>7614.4</v>
      </c>
      <c r="R98" s="7" t="n">
        <v>7791.8</v>
      </c>
      <c r="T98" s="7" t="n">
        <v>7230.3</v>
      </c>
      <c r="V98" s="7" t="n">
        <v>15561.7</v>
      </c>
      <c r="X98" s="7" t="n">
        <v>6709</v>
      </c>
      <c r="Z98" s="7" t="n">
        <v>8257.9</v>
      </c>
      <c r="AB98" s="7" t="n">
        <v>94571.10000000001</v>
      </c>
    </row>
    <row r="99">
      <c r="A99" s="4" t="inlineStr">
        <is>
          <t>残保金</t>
        </is>
      </c>
      <c r="D99" s="7" t="n">
        <v>7397.2</v>
      </c>
      <c r="F99" s="7" t="n">
        <v>14529.1</v>
      </c>
      <c r="H99" s="7" t="n">
        <v>8309.9</v>
      </c>
      <c r="J99" s="7" t="n">
        <v>23796.8</v>
      </c>
      <c r="L99" s="7" t="n">
        <v>11230</v>
      </c>
      <c r="N99" s="7" t="n">
        <v>13523.3</v>
      </c>
      <c r="P99" s="7" t="n">
        <v>15398.4</v>
      </c>
      <c r="R99" s="7" t="n">
        <v>12599.2</v>
      </c>
      <c r="T99" s="7" t="n">
        <v>8509.6</v>
      </c>
      <c r="V99" s="7" t="n">
        <v>22928.7</v>
      </c>
      <c r="X99" s="7" t="n">
        <v>8849.5</v>
      </c>
      <c r="Z99" s="7" t="n">
        <v>14664.8</v>
      </c>
      <c r="AB99" s="7" t="n">
        <v>161736.5</v>
      </c>
    </row>
    <row r="100">
      <c r="A100" s="4" t="inlineStr">
        <is>
          <t>环保费</t>
        </is>
      </c>
      <c r="D100" s="7" t="n">
        <v>6399.2</v>
      </c>
      <c r="F100" s="7" t="n">
        <v>14005.7</v>
      </c>
      <c r="H100" s="7" t="n">
        <v>10530.6</v>
      </c>
      <c r="J100" s="7" t="n">
        <v>18819.6</v>
      </c>
      <c r="L100" s="7" t="n">
        <v>7972.1</v>
      </c>
      <c r="N100" s="7" t="n">
        <v>9898.700000000001</v>
      </c>
      <c r="P100" s="7" t="n">
        <v>11146.4</v>
      </c>
      <c r="R100" s="7" t="n">
        <v>10769.2</v>
      </c>
      <c r="T100" s="7" t="n">
        <v>13001.3</v>
      </c>
      <c r="V100" s="7" t="n">
        <v>13720.6</v>
      </c>
      <c r="X100" s="7" t="n">
        <v>10149.2</v>
      </c>
      <c r="Z100" s="7" t="n">
        <v>10894.1</v>
      </c>
      <c r="AB100" s="7" t="n">
        <v>137306.7</v>
      </c>
    </row>
    <row r="101">
      <c r="A101" s="4" t="inlineStr">
        <is>
          <t>报废损失</t>
        </is>
      </c>
      <c r="D101" s="7" t="n">
        <v>5760.4</v>
      </c>
      <c r="F101" s="7" t="n">
        <v>18182.6</v>
      </c>
      <c r="H101" s="7" t="n">
        <v>10736.1</v>
      </c>
      <c r="J101" s="7" t="n">
        <v>14257.9</v>
      </c>
      <c r="L101" s="7" t="n">
        <v>12182.5</v>
      </c>
      <c r="N101" s="7" t="n">
        <v>13441.2</v>
      </c>
      <c r="P101" s="7" t="n">
        <v>14768.4</v>
      </c>
      <c r="R101" s="7" t="n">
        <v>10986.9</v>
      </c>
      <c r="T101" s="7" t="n">
        <v>13143.3</v>
      </c>
      <c r="V101" s="7" t="n">
        <v>18770.3</v>
      </c>
      <c r="X101" s="7" t="n">
        <v>8386.700000000001</v>
      </c>
      <c r="Z101" s="7" t="n">
        <v>14495.4</v>
      </c>
      <c r="AB101" s="7" t="n">
        <v>155111.7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603196.6</v>
      </c>
      <c r="D102" s="7" t="n">
        <v>327071.6</v>
      </c>
      <c r="E102" s="7" t="n">
        <v>743936.2</v>
      </c>
      <c r="F102" s="7" t="n">
        <v>490043.6</v>
      </c>
      <c r="G102" s="7" t="n">
        <v>677237.4</v>
      </c>
      <c r="H102" s="7" t="n">
        <v>480219.5</v>
      </c>
      <c r="I102" s="7" t="n">
        <v>608268.8</v>
      </c>
      <c r="J102" s="7" t="n">
        <v>607586</v>
      </c>
      <c r="K102" s="7" t="n">
        <v>759106.4</v>
      </c>
      <c r="L102" s="7" t="n">
        <v>1123487</v>
      </c>
      <c r="M102" s="7" t="n">
        <v>673474.6</v>
      </c>
      <c r="N102" s="7" t="n">
        <v>759270.5</v>
      </c>
      <c r="O102" s="7" t="n">
        <v>582856.5</v>
      </c>
      <c r="P102" s="7" t="n">
        <v>1011973.7</v>
      </c>
      <c r="Q102" s="7" t="n">
        <v>779751.1</v>
      </c>
      <c r="R102" s="7" t="n">
        <v>858099.3</v>
      </c>
      <c r="S102" s="7" t="n">
        <v>624327.3</v>
      </c>
      <c r="T102" s="7" t="n">
        <v>712609.4</v>
      </c>
      <c r="U102" s="7" t="n">
        <v>724336.8</v>
      </c>
      <c r="V102" s="7" t="n">
        <v>763893</v>
      </c>
      <c r="W102" s="7" t="n">
        <v>609847.4</v>
      </c>
      <c r="X102" s="7" t="n">
        <v>781355.3</v>
      </c>
      <c r="Y102" s="7" t="n">
        <v>716399.2</v>
      </c>
      <c r="Z102" s="7" t="n">
        <v>310991.3</v>
      </c>
      <c r="AA102" s="8" t="n">
        <v>8102738.3</v>
      </c>
      <c r="AB102" s="8" t="n">
        <v>8226600.2</v>
      </c>
    </row>
    <row r="103">
      <c r="A103" s="4" t="inlineStr">
        <is>
          <t>职工薪酬</t>
        </is>
      </c>
      <c r="D103" s="7" t="n">
        <v>169023.6</v>
      </c>
      <c r="F103" s="7" t="n">
        <v>266827.9</v>
      </c>
      <c r="H103" s="7" t="n">
        <v>192984.5</v>
      </c>
      <c r="J103" s="7" t="n">
        <v>330121.1</v>
      </c>
      <c r="L103" s="7" t="n">
        <v>485466.8</v>
      </c>
      <c r="N103" s="7" t="n">
        <v>363839.9</v>
      </c>
      <c r="P103" s="7" t="n">
        <v>595227.7</v>
      </c>
      <c r="R103" s="7" t="n">
        <v>340728</v>
      </c>
      <c r="T103" s="7" t="n">
        <v>404796.1</v>
      </c>
      <c r="V103" s="7" t="n">
        <v>462577.4</v>
      </c>
      <c r="X103" s="7" t="n">
        <v>473715.9</v>
      </c>
      <c r="Z103" s="7" t="n">
        <v>160867.7</v>
      </c>
      <c r="AB103" s="7" t="n">
        <v>4246176.6</v>
      </c>
    </row>
    <row r="104">
      <c r="A104" s="4" t="inlineStr">
        <is>
          <t>工资</t>
        </is>
      </c>
      <c r="D104" s="7" t="n">
        <v>107275.3</v>
      </c>
      <c r="F104" s="7" t="n">
        <v>164980.8</v>
      </c>
      <c r="H104" s="7" t="n">
        <v>100940</v>
      </c>
      <c r="J104" s="7" t="n">
        <v>179739.3</v>
      </c>
      <c r="L104" s="7" t="n">
        <v>262767.8</v>
      </c>
      <c r="N104" s="7" t="n">
        <v>190360</v>
      </c>
      <c r="P104" s="7" t="n">
        <v>336376.9</v>
      </c>
      <c r="R104" s="7" t="n">
        <v>181635.3</v>
      </c>
      <c r="T104" s="7" t="n">
        <v>238872</v>
      </c>
      <c r="V104" s="7" t="n">
        <v>272770.6</v>
      </c>
      <c r="X104" s="7" t="n">
        <v>303062.6</v>
      </c>
      <c r="Z104" s="7" t="n">
        <v>88948.60000000001</v>
      </c>
      <c r="AB104" s="7" t="n">
        <v>2427729.2</v>
      </c>
    </row>
    <row r="105">
      <c r="A105" s="4" t="inlineStr">
        <is>
          <t>奖金及提成</t>
        </is>
      </c>
      <c r="D105" s="7" t="n">
        <v>25488.9</v>
      </c>
      <c r="F105" s="7" t="n">
        <v>36385.6</v>
      </c>
      <c r="H105" s="7" t="n">
        <v>44652.8</v>
      </c>
      <c r="J105" s="7" t="n">
        <v>69171.10000000001</v>
      </c>
      <c r="L105" s="7" t="n">
        <v>85548.60000000001</v>
      </c>
      <c r="N105" s="7" t="n">
        <v>67424</v>
      </c>
      <c r="P105" s="7" t="n">
        <v>124330.4</v>
      </c>
      <c r="R105" s="7" t="n">
        <v>67127.2</v>
      </c>
      <c r="T105" s="7" t="n">
        <v>82953.2</v>
      </c>
      <c r="V105" s="7" t="n">
        <v>87992.39999999999</v>
      </c>
      <c r="X105" s="7" t="n">
        <v>60936.9</v>
      </c>
      <c r="Z105" s="7" t="n">
        <v>40297.1</v>
      </c>
      <c r="AB105" s="7" t="n">
        <v>792308.2</v>
      </c>
    </row>
    <row r="106">
      <c r="A106" s="4" t="inlineStr">
        <is>
          <t>社保</t>
        </is>
      </c>
      <c r="D106" s="7" t="n">
        <v>20558.7</v>
      </c>
      <c r="F106" s="7" t="n">
        <v>39921.1</v>
      </c>
      <c r="H106" s="7" t="n">
        <v>27087.6</v>
      </c>
      <c r="J106" s="7" t="n">
        <v>52982.1</v>
      </c>
      <c r="L106" s="7" t="n">
        <v>86648.7</v>
      </c>
      <c r="N106" s="7" t="n">
        <v>68848.2</v>
      </c>
      <c r="P106" s="7" t="n">
        <v>87179.39999999999</v>
      </c>
      <c r="R106" s="7" t="n">
        <v>54288.5</v>
      </c>
      <c r="T106" s="7" t="n">
        <v>53988.8</v>
      </c>
      <c r="V106" s="7" t="n">
        <v>67952.2</v>
      </c>
      <c r="X106" s="7" t="n">
        <v>76008.8</v>
      </c>
      <c r="Z106" s="7" t="n">
        <v>18709.6</v>
      </c>
      <c r="AB106" s="7" t="n">
        <v>654173.7</v>
      </c>
    </row>
    <row r="107">
      <c r="A107" s="4" t="inlineStr">
        <is>
          <t>养老</t>
        </is>
      </c>
      <c r="D107" s="7" t="n">
        <v>248.1</v>
      </c>
      <c r="F107" s="7" t="n">
        <v>340.2</v>
      </c>
      <c r="H107" s="7" t="n">
        <v>294.3</v>
      </c>
      <c r="J107" s="7" t="n">
        <v>511.5</v>
      </c>
      <c r="L107" s="7" t="n">
        <v>657.8</v>
      </c>
      <c r="N107" s="7" t="n">
        <v>392.1</v>
      </c>
      <c r="P107" s="7" t="n">
        <v>577.5</v>
      </c>
      <c r="R107" s="7" t="n">
        <v>424.3</v>
      </c>
      <c r="T107" s="7" t="n">
        <v>484.5</v>
      </c>
      <c r="V107" s="7" t="n">
        <v>533.4</v>
      </c>
      <c r="X107" s="7" t="n">
        <v>548</v>
      </c>
      <c r="Z107" s="7" t="n">
        <v>239.2</v>
      </c>
      <c r="AB107" s="7" t="n">
        <v>5250.9</v>
      </c>
    </row>
    <row r="108">
      <c r="A108" s="4" t="inlineStr">
        <is>
          <t>医疗</t>
        </is>
      </c>
      <c r="D108" s="7" t="n">
        <v>1790</v>
      </c>
      <c r="F108" s="7" t="n">
        <v>2429.7</v>
      </c>
      <c r="H108" s="7" t="n">
        <v>1915.5</v>
      </c>
      <c r="J108" s="7" t="n">
        <v>2780.3</v>
      </c>
      <c r="L108" s="7" t="n">
        <v>5115.9</v>
      </c>
      <c r="N108" s="7" t="n">
        <v>3949</v>
      </c>
      <c r="P108" s="7" t="n">
        <v>4019.8</v>
      </c>
      <c r="R108" s="7" t="n">
        <v>2846.9</v>
      </c>
      <c r="T108" s="7" t="n">
        <v>3996.8</v>
      </c>
      <c r="V108" s="7" t="n">
        <v>4402.2</v>
      </c>
      <c r="X108" s="7" t="n">
        <v>3526.9</v>
      </c>
      <c r="Z108" s="7" t="n">
        <v>1080.9</v>
      </c>
      <c r="AB108" s="7" t="n">
        <v>37853.9</v>
      </c>
    </row>
    <row r="109">
      <c r="A109" s="4" t="inlineStr">
        <is>
          <t>工伤</t>
        </is>
      </c>
      <c r="D109" s="7" t="n">
        <v>1131.9</v>
      </c>
      <c r="F109" s="7" t="n">
        <v>1632.6</v>
      </c>
      <c r="H109" s="7" t="n">
        <v>2024.1</v>
      </c>
      <c r="J109" s="7" t="n">
        <v>2571.9</v>
      </c>
      <c r="L109" s="7" t="n">
        <v>4638.7</v>
      </c>
      <c r="N109" s="7" t="n">
        <v>1938.1</v>
      </c>
      <c r="P109" s="7" t="n">
        <v>4032.9</v>
      </c>
      <c r="R109" s="7" t="n">
        <v>2926.4</v>
      </c>
      <c r="T109" s="7" t="n">
        <v>2146</v>
      </c>
      <c r="V109" s="7" t="n">
        <v>2777.2</v>
      </c>
      <c r="X109" s="7" t="n">
        <v>2963.2</v>
      </c>
      <c r="Z109" s="7" t="n">
        <v>1296.6</v>
      </c>
      <c r="AB109" s="7" t="n">
        <v>30079.6</v>
      </c>
    </row>
    <row r="110">
      <c r="A110" s="4" t="inlineStr">
        <is>
          <t>失业</t>
        </is>
      </c>
      <c r="D110" s="7" t="n">
        <v>1173.1</v>
      </c>
      <c r="F110" s="7" t="n">
        <v>1833.2</v>
      </c>
      <c r="H110" s="7" t="n">
        <v>2079.7</v>
      </c>
      <c r="J110" s="7" t="n">
        <v>2221.8</v>
      </c>
      <c r="L110" s="7" t="n">
        <v>4178.7</v>
      </c>
      <c r="N110" s="7" t="n">
        <v>4501.3</v>
      </c>
      <c r="P110" s="7" t="n">
        <v>5132.3</v>
      </c>
      <c r="R110" s="7" t="n">
        <v>4669.2</v>
      </c>
      <c r="T110" s="7" t="n">
        <v>3602.1</v>
      </c>
      <c r="V110" s="7" t="n">
        <v>3663.1</v>
      </c>
      <c r="X110" s="7" t="n">
        <v>4425</v>
      </c>
      <c r="Z110" s="7" t="n">
        <v>1177.4</v>
      </c>
      <c r="AB110" s="7" t="n">
        <v>38656.9</v>
      </c>
    </row>
    <row r="111">
      <c r="A111" s="4" t="inlineStr">
        <is>
          <t>生育</t>
        </is>
      </c>
      <c r="D111" s="7" t="n">
        <v>1230.9</v>
      </c>
      <c r="F111" s="7" t="n">
        <v>1494</v>
      </c>
      <c r="H111" s="7" t="n">
        <v>1496.9</v>
      </c>
      <c r="J111" s="7" t="n">
        <v>2152.3</v>
      </c>
      <c r="L111" s="7" t="n">
        <v>3249</v>
      </c>
      <c r="N111" s="7" t="n">
        <v>3165.2</v>
      </c>
      <c r="P111" s="7" t="n">
        <v>3638.3</v>
      </c>
      <c r="R111" s="7" t="n">
        <v>2821.2</v>
      </c>
      <c r="T111" s="7" t="n">
        <v>2709.3</v>
      </c>
      <c r="V111" s="7" t="n">
        <v>3227.2</v>
      </c>
      <c r="X111" s="7" t="n">
        <v>3047.8</v>
      </c>
      <c r="Z111" s="7" t="n">
        <v>809.4</v>
      </c>
      <c r="AB111" s="7" t="n">
        <v>29041.5</v>
      </c>
    </row>
    <row r="112">
      <c r="A112" s="4" t="inlineStr">
        <is>
          <t>公积金</t>
        </is>
      </c>
      <c r="D112" s="7" t="n">
        <v>1705.2</v>
      </c>
      <c r="F112" s="7" t="n">
        <v>2711.8</v>
      </c>
      <c r="H112" s="7" t="n">
        <v>1616.5</v>
      </c>
      <c r="J112" s="7" t="n">
        <v>2092.5</v>
      </c>
      <c r="L112" s="7" t="n">
        <v>4944.9</v>
      </c>
      <c r="N112" s="7" t="n">
        <v>3381.3</v>
      </c>
      <c r="P112" s="7" t="n">
        <v>4939.1</v>
      </c>
      <c r="R112" s="7" t="n">
        <v>3481.5</v>
      </c>
      <c r="T112" s="7" t="n">
        <v>3738.3</v>
      </c>
      <c r="V112" s="7" t="n">
        <v>4005.1</v>
      </c>
      <c r="X112" s="7" t="n">
        <v>2762.4</v>
      </c>
      <c r="Z112" s="7" t="n">
        <v>1602.5</v>
      </c>
      <c r="AB112" s="7" t="n">
        <v>36981.1</v>
      </c>
    </row>
    <row r="113">
      <c r="A113" s="4" t="inlineStr">
        <is>
          <t>工会经费</t>
        </is>
      </c>
      <c r="D113" s="7" t="n">
        <v>1201.1</v>
      </c>
      <c r="F113" s="7" t="n">
        <v>2866.9</v>
      </c>
      <c r="H113" s="7" t="n">
        <v>2239.5</v>
      </c>
      <c r="J113" s="7" t="n">
        <v>3269.4</v>
      </c>
      <c r="L113" s="7" t="n">
        <v>5852.6</v>
      </c>
      <c r="N113" s="7" t="n">
        <v>2794.7</v>
      </c>
      <c r="P113" s="7" t="n">
        <v>3613.1</v>
      </c>
      <c r="R113" s="7" t="n">
        <v>4613.1</v>
      </c>
      <c r="T113" s="7" t="n">
        <v>2823.2</v>
      </c>
      <c r="V113" s="7" t="n">
        <v>4328.6</v>
      </c>
      <c r="X113" s="7" t="n">
        <v>4179.6</v>
      </c>
      <c r="Z113" s="7" t="n">
        <v>1026.6</v>
      </c>
      <c r="AB113" s="7" t="n">
        <v>38808.4</v>
      </c>
    </row>
    <row r="114">
      <c r="A114" s="4" t="inlineStr">
        <is>
          <t>职工教育经费</t>
        </is>
      </c>
      <c r="D114" s="7" t="n">
        <v>1494.2</v>
      </c>
      <c r="F114" s="7" t="n">
        <v>1914.9</v>
      </c>
      <c r="H114" s="7" t="n">
        <v>2865.3</v>
      </c>
      <c r="J114" s="7" t="n">
        <v>3363.5</v>
      </c>
      <c r="L114" s="7" t="n">
        <v>4437.2</v>
      </c>
      <c r="N114" s="7" t="n">
        <v>3910.4</v>
      </c>
      <c r="P114" s="7" t="n">
        <v>4906.4</v>
      </c>
      <c r="R114" s="7" t="n">
        <v>4540.4</v>
      </c>
      <c r="T114" s="7" t="n">
        <v>3922.8</v>
      </c>
      <c r="V114" s="7" t="n">
        <v>3722</v>
      </c>
      <c r="X114" s="7" t="n">
        <v>3527.7</v>
      </c>
      <c r="Z114" s="7" t="n">
        <v>1253.8</v>
      </c>
      <c r="AB114" s="7" t="n">
        <v>39858.6</v>
      </c>
    </row>
    <row r="115">
      <c r="A115" s="4" t="inlineStr">
        <is>
          <t>福利费</t>
        </is>
      </c>
      <c r="D115" s="7" t="n">
        <v>11300.2</v>
      </c>
      <c r="F115" s="7" t="n">
        <v>18046.8</v>
      </c>
      <c r="H115" s="7" t="n">
        <v>13582.8</v>
      </c>
      <c r="J115" s="7" t="n">
        <v>19503.2</v>
      </c>
      <c r="L115" s="7" t="n">
        <v>35267</v>
      </c>
      <c r="N115" s="7" t="n">
        <v>27121.3</v>
      </c>
      <c r="P115" s="7" t="n">
        <v>33882.4</v>
      </c>
      <c r="R115" s="7" t="n">
        <v>25042</v>
      </c>
      <c r="T115" s="7" t="n">
        <v>18497.8</v>
      </c>
      <c r="V115" s="7" t="n">
        <v>21806.5</v>
      </c>
      <c r="X115" s="7" t="n">
        <v>23237.9</v>
      </c>
      <c r="Z115" s="7" t="n">
        <v>9029.5</v>
      </c>
      <c r="AB115" s="7" t="n">
        <v>256317.4</v>
      </c>
    </row>
    <row r="116">
      <c r="A116" s="4" t="inlineStr">
        <is>
          <t>职工房租</t>
        </is>
      </c>
      <c r="D116" s="7" t="n">
        <v>1480.2</v>
      </c>
      <c r="F116" s="7" t="n">
        <v>2033.1</v>
      </c>
      <c r="H116" s="7" t="n">
        <v>1656.7</v>
      </c>
      <c r="J116" s="7" t="n">
        <v>1967.2</v>
      </c>
      <c r="L116" s="7" t="n">
        <v>3868.4</v>
      </c>
      <c r="N116" s="7" t="n">
        <v>3116.4</v>
      </c>
      <c r="P116" s="7" t="n">
        <v>3165.2</v>
      </c>
      <c r="R116" s="7" t="n">
        <v>2323</v>
      </c>
      <c r="T116" s="7" t="n">
        <v>2386.3</v>
      </c>
      <c r="V116" s="7" t="n">
        <v>2772.8</v>
      </c>
      <c r="X116" s="7" t="n">
        <v>3515.8</v>
      </c>
      <c r="Z116" s="7" t="n">
        <v>910.5</v>
      </c>
      <c r="AB116" s="7" t="n">
        <v>29195.6</v>
      </c>
    </row>
    <row r="117">
      <c r="A117" s="4" t="inlineStr">
        <is>
          <t>水电物业费</t>
        </is>
      </c>
      <c r="D117" s="7" t="n">
        <v>2223.4</v>
      </c>
      <c r="F117" s="7" t="n">
        <v>3288.8</v>
      </c>
      <c r="H117" s="7" t="n">
        <v>1877.7</v>
      </c>
      <c r="J117" s="7" t="n">
        <v>3137.5</v>
      </c>
      <c r="L117" s="7" t="n">
        <v>5151.7</v>
      </c>
      <c r="N117" s="7" t="n">
        <v>4833.3</v>
      </c>
      <c r="P117" s="7" t="n">
        <v>4784.4</v>
      </c>
      <c r="R117" s="7" t="n">
        <v>4670.1</v>
      </c>
      <c r="T117" s="7" t="n">
        <v>2649</v>
      </c>
      <c r="V117" s="7" t="n">
        <v>3305.4</v>
      </c>
      <c r="X117" s="7" t="n">
        <v>4278.9</v>
      </c>
      <c r="Z117" s="7" t="n">
        <v>1447.3</v>
      </c>
      <c r="AB117" s="7" t="n">
        <v>41647.5</v>
      </c>
    </row>
    <row r="118">
      <c r="A118" s="4" t="inlineStr">
        <is>
          <t>员工餐</t>
        </is>
      </c>
      <c r="D118" s="7" t="n">
        <v>1306.7</v>
      </c>
      <c r="F118" s="7" t="n">
        <v>2111.1</v>
      </c>
      <c r="H118" s="7" t="n">
        <v>1953.1</v>
      </c>
      <c r="J118" s="7" t="n">
        <v>2886.8</v>
      </c>
      <c r="L118" s="7" t="n">
        <v>3749.3</v>
      </c>
      <c r="N118" s="7" t="n">
        <v>3845.3</v>
      </c>
      <c r="P118" s="7" t="n">
        <v>4778.1</v>
      </c>
      <c r="R118" s="7" t="n">
        <v>2968.1</v>
      </c>
      <c r="T118" s="7" t="n">
        <v>2048</v>
      </c>
      <c r="V118" s="7" t="n">
        <v>2950.9</v>
      </c>
      <c r="X118" s="7" t="n">
        <v>2679.4</v>
      </c>
      <c r="Z118" s="7" t="n">
        <v>1152.9</v>
      </c>
      <c r="AB118" s="7" t="n">
        <v>32429.7</v>
      </c>
    </row>
    <row r="119">
      <c r="A119" s="4" t="inlineStr">
        <is>
          <t>节日礼品</t>
        </is>
      </c>
      <c r="D119" s="7" t="n">
        <v>2208.2</v>
      </c>
      <c r="F119" s="7" t="n">
        <v>3427.9</v>
      </c>
      <c r="H119" s="7" t="n">
        <v>1853</v>
      </c>
      <c r="J119" s="7" t="n">
        <v>3660.7</v>
      </c>
      <c r="L119" s="7" t="n">
        <v>7480.5</v>
      </c>
      <c r="N119" s="7" t="n">
        <v>4750</v>
      </c>
      <c r="P119" s="7" t="n">
        <v>4247.4</v>
      </c>
      <c r="R119" s="7" t="n">
        <v>4808.7</v>
      </c>
      <c r="T119" s="7" t="n">
        <v>3306.9</v>
      </c>
      <c r="V119" s="7" t="n">
        <v>4185.4</v>
      </c>
      <c r="X119" s="7" t="n">
        <v>3165.8</v>
      </c>
      <c r="Z119" s="7" t="n">
        <v>2222.6</v>
      </c>
      <c r="AB119" s="7" t="n">
        <v>45317.1</v>
      </c>
    </row>
    <row r="120">
      <c r="A120" s="4" t="inlineStr">
        <is>
          <t>生日礼品</t>
        </is>
      </c>
      <c r="D120" s="7" t="n">
        <v>1153.6</v>
      </c>
      <c r="F120" s="7" t="n">
        <v>2864.9</v>
      </c>
      <c r="H120" s="7" t="n">
        <v>2775.2</v>
      </c>
      <c r="J120" s="7" t="n">
        <v>2869</v>
      </c>
      <c r="L120" s="7" t="n">
        <v>5874.6</v>
      </c>
      <c r="N120" s="7" t="n">
        <v>3272.1</v>
      </c>
      <c r="P120" s="7" t="n">
        <v>6067.1</v>
      </c>
      <c r="R120" s="7" t="n">
        <v>3007.1</v>
      </c>
      <c r="T120" s="7" t="n">
        <v>2518.5</v>
      </c>
      <c r="V120" s="7" t="n">
        <v>2780.9</v>
      </c>
      <c r="X120" s="7" t="n">
        <v>4346.3</v>
      </c>
      <c r="Z120" s="7" t="n">
        <v>1081</v>
      </c>
      <c r="AB120" s="7" t="n">
        <v>38610.3</v>
      </c>
    </row>
    <row r="121">
      <c r="A121" s="4" t="inlineStr">
        <is>
          <t>体检</t>
        </is>
      </c>
      <c r="D121" s="7" t="n">
        <v>1170.3</v>
      </c>
      <c r="F121" s="7" t="n">
        <v>2332.9</v>
      </c>
      <c r="H121" s="7" t="n">
        <v>1505.7</v>
      </c>
      <c r="J121" s="7" t="n">
        <v>1937.9</v>
      </c>
      <c r="L121" s="7" t="n">
        <v>3718.9</v>
      </c>
      <c r="N121" s="7" t="n">
        <v>3337.3</v>
      </c>
      <c r="P121" s="7" t="n">
        <v>4221.8</v>
      </c>
      <c r="R121" s="7" t="n">
        <v>3646.2</v>
      </c>
      <c r="T121" s="7" t="n">
        <v>2363.7</v>
      </c>
      <c r="V121" s="7" t="n">
        <v>2455.1</v>
      </c>
      <c r="X121" s="7" t="n">
        <v>2166.9</v>
      </c>
      <c r="Z121" s="7" t="n">
        <v>951.4</v>
      </c>
      <c r="AB121" s="7" t="n">
        <v>29808.1</v>
      </c>
    </row>
    <row r="122">
      <c r="A122" s="4" t="inlineStr">
        <is>
          <t>其他福利支出</t>
        </is>
      </c>
      <c r="D122" s="7" t="n">
        <v>1757.8</v>
      </c>
      <c r="F122" s="7" t="n">
        <v>1988.1</v>
      </c>
      <c r="H122" s="7" t="n">
        <v>1961.4</v>
      </c>
      <c r="J122" s="7" t="n">
        <v>3044.1</v>
      </c>
      <c r="L122" s="7" t="n">
        <v>5423.6</v>
      </c>
      <c r="N122" s="7" t="n">
        <v>3966.9</v>
      </c>
      <c r="P122" s="7" t="n">
        <v>6618.4</v>
      </c>
      <c r="R122" s="7" t="n">
        <v>3618.8</v>
      </c>
      <c r="T122" s="7" t="n">
        <v>3225.4</v>
      </c>
      <c r="V122" s="7" t="n">
        <v>3356</v>
      </c>
      <c r="X122" s="7" t="n">
        <v>3084.8</v>
      </c>
      <c r="Z122" s="7" t="n">
        <v>1263.8</v>
      </c>
      <c r="AB122" s="7" t="n">
        <v>39309.1</v>
      </c>
    </row>
    <row r="123">
      <c r="A123" s="4" t="inlineStr">
        <is>
          <t>招聘费</t>
        </is>
      </c>
      <c r="D123" s="7" t="n">
        <v>1759.6</v>
      </c>
      <c r="F123" s="7" t="n">
        <v>2465</v>
      </c>
      <c r="H123" s="7" t="n">
        <v>1564.5</v>
      </c>
      <c r="J123" s="7" t="n">
        <v>3284.3</v>
      </c>
      <c r="L123" s="7" t="n">
        <v>4532</v>
      </c>
      <c r="N123" s="7" t="n">
        <v>2578</v>
      </c>
      <c r="P123" s="7" t="n">
        <v>3864.8</v>
      </c>
      <c r="R123" s="7" t="n">
        <v>3526.2</v>
      </c>
      <c r="T123" s="7" t="n">
        <v>3231.7</v>
      </c>
      <c r="V123" s="7" t="n">
        <v>3801.9</v>
      </c>
      <c r="X123" s="7" t="n">
        <v>3009.3</v>
      </c>
      <c r="Z123" s="7" t="n">
        <v>1811</v>
      </c>
      <c r="AB123" s="7" t="n">
        <v>35428.3</v>
      </c>
    </row>
    <row r="124">
      <c r="A124" s="4" t="inlineStr">
        <is>
          <t>办公费</t>
        </is>
      </c>
      <c r="D124" s="7" t="n">
        <v>7051.5</v>
      </c>
      <c r="F124" s="7" t="n">
        <v>13858</v>
      </c>
      <c r="H124" s="7" t="n">
        <v>13993.4</v>
      </c>
      <c r="J124" s="7" t="n">
        <v>20940.7</v>
      </c>
      <c r="L124" s="7" t="n">
        <v>28645.9</v>
      </c>
      <c r="N124" s="7" t="n">
        <v>22259.4</v>
      </c>
      <c r="P124" s="7" t="n">
        <v>35894.9</v>
      </c>
      <c r="R124" s="7" t="n">
        <v>20179.3</v>
      </c>
      <c r="T124" s="7" t="n">
        <v>15118.2</v>
      </c>
      <c r="V124" s="7" t="n">
        <v>27459.4</v>
      </c>
      <c r="X124" s="7" t="n">
        <v>30227.7</v>
      </c>
      <c r="Z124" s="7" t="n">
        <v>7262.5</v>
      </c>
      <c r="AB124" s="7" t="n">
        <v>242890.9</v>
      </c>
    </row>
    <row r="125">
      <c r="A125" s="4" t="inlineStr">
        <is>
          <t>市内交通费</t>
        </is>
      </c>
      <c r="D125" s="7" t="n">
        <v>1631.1</v>
      </c>
      <c r="F125" s="7" t="n">
        <v>2853.7</v>
      </c>
      <c r="H125" s="7" t="n">
        <v>2818.9</v>
      </c>
      <c r="J125" s="7" t="n">
        <v>3443.8</v>
      </c>
      <c r="L125" s="7" t="n">
        <v>5190</v>
      </c>
      <c r="N125" s="7" t="n">
        <v>4870.5</v>
      </c>
      <c r="P125" s="7" t="n">
        <v>3897.6</v>
      </c>
      <c r="R125" s="7" t="n">
        <v>3423.6</v>
      </c>
      <c r="T125" s="7" t="n">
        <v>4778.4</v>
      </c>
      <c r="V125" s="7" t="n">
        <v>3985.9</v>
      </c>
      <c r="X125" s="7" t="n">
        <v>3280.3</v>
      </c>
      <c r="Z125" s="7" t="n">
        <v>2088</v>
      </c>
      <c r="AB125" s="7" t="n">
        <v>42261.8</v>
      </c>
    </row>
    <row r="126">
      <c r="A126" s="4" t="inlineStr">
        <is>
          <t>差旅费</t>
        </is>
      </c>
      <c r="D126" s="7" t="n">
        <v>23502.3</v>
      </c>
      <c r="F126" s="7" t="n">
        <v>26430.9</v>
      </c>
      <c r="H126" s="7" t="n">
        <v>20907.3</v>
      </c>
      <c r="J126" s="7" t="n">
        <v>35602</v>
      </c>
      <c r="L126" s="7" t="n">
        <v>53980.9</v>
      </c>
      <c r="N126" s="7" t="n">
        <v>47575.8</v>
      </c>
      <c r="P126" s="7" t="n">
        <v>72437.8</v>
      </c>
      <c r="R126" s="7" t="n">
        <v>48242.3</v>
      </c>
      <c r="T126" s="7" t="n">
        <v>30685.9</v>
      </c>
      <c r="V126" s="7" t="n">
        <v>50872</v>
      </c>
      <c r="X126" s="7" t="n">
        <v>37677.8</v>
      </c>
      <c r="Z126" s="7" t="n">
        <v>15465.5</v>
      </c>
      <c r="AB126" s="7" t="n">
        <v>463380.5</v>
      </c>
    </row>
    <row r="127">
      <c r="A127" s="4" t="inlineStr">
        <is>
          <t>交通费</t>
        </is>
      </c>
      <c r="D127" s="7" t="n">
        <v>348.4</v>
      </c>
      <c r="F127" s="7" t="n">
        <v>739.7</v>
      </c>
      <c r="H127" s="7" t="n">
        <v>424.8</v>
      </c>
      <c r="J127" s="7" t="n">
        <v>799</v>
      </c>
      <c r="L127" s="7" t="n">
        <v>1168.5</v>
      </c>
      <c r="N127" s="7" t="n">
        <v>817.2</v>
      </c>
      <c r="P127" s="7" t="n">
        <v>1176.3</v>
      </c>
      <c r="R127" s="7" t="n">
        <v>1085.1</v>
      </c>
      <c r="T127" s="7" t="n">
        <v>644.2</v>
      </c>
      <c r="V127" s="7" t="n">
        <v>813.6</v>
      </c>
      <c r="X127" s="7" t="n">
        <v>750.2</v>
      </c>
      <c r="Z127" s="7" t="n">
        <v>312.8</v>
      </c>
      <c r="AB127" s="7" t="n">
        <v>9079.799999999999</v>
      </c>
    </row>
    <row r="128">
      <c r="A128" s="4" t="inlineStr">
        <is>
          <t>住宿费</t>
        </is>
      </c>
      <c r="D128" s="7" t="n">
        <v>1926.7</v>
      </c>
      <c r="F128" s="7" t="n">
        <v>3065.8</v>
      </c>
      <c r="H128" s="7" t="n">
        <v>3290.8</v>
      </c>
      <c r="J128" s="7" t="n">
        <v>4148.1</v>
      </c>
      <c r="L128" s="7" t="n">
        <v>8431.1</v>
      </c>
      <c r="N128" s="7" t="n">
        <v>5149.6</v>
      </c>
      <c r="P128" s="7" t="n">
        <v>5374.2</v>
      </c>
      <c r="R128" s="7" t="n">
        <v>5110.8</v>
      </c>
      <c r="T128" s="7" t="n">
        <v>4095.8</v>
      </c>
      <c r="V128" s="7" t="n">
        <v>5528.6</v>
      </c>
      <c r="X128" s="7" t="n">
        <v>4539.2</v>
      </c>
      <c r="Z128" s="7" t="n">
        <v>1683.2</v>
      </c>
      <c r="AB128" s="7" t="n">
        <v>52343.9</v>
      </c>
    </row>
    <row r="129">
      <c r="A129" s="4" t="inlineStr">
        <is>
          <t>餐补</t>
        </is>
      </c>
      <c r="D129" s="7" t="n">
        <v>343.7</v>
      </c>
      <c r="F129" s="7" t="n">
        <v>480.4</v>
      </c>
      <c r="H129" s="7" t="n">
        <v>700.7</v>
      </c>
      <c r="J129" s="7" t="n">
        <v>836.1</v>
      </c>
      <c r="L129" s="7" t="n">
        <v>973.9</v>
      </c>
      <c r="N129" s="7" t="n">
        <v>1159.3</v>
      </c>
      <c r="P129" s="7" t="n">
        <v>1214.3</v>
      </c>
      <c r="R129" s="7" t="n">
        <v>1173.8</v>
      </c>
      <c r="T129" s="7" t="n">
        <v>1092.1</v>
      </c>
      <c r="V129" s="7" t="n">
        <v>1156.9</v>
      </c>
      <c r="X129" s="7" t="n">
        <v>700.3</v>
      </c>
      <c r="Z129" s="7" t="n">
        <v>401.2</v>
      </c>
      <c r="AB129" s="7" t="n">
        <v>10232.7</v>
      </c>
    </row>
    <row r="130">
      <c r="A130" s="4" t="inlineStr">
        <is>
          <t>交通补助</t>
        </is>
      </c>
      <c r="D130" s="7" t="n">
        <v>680.1</v>
      </c>
      <c r="F130" s="7" t="n">
        <v>1070.9</v>
      </c>
      <c r="H130" s="7" t="n">
        <v>615.7</v>
      </c>
      <c r="J130" s="7" t="n">
        <v>1378.2</v>
      </c>
      <c r="L130" s="7" t="n">
        <v>1633</v>
      </c>
      <c r="N130" s="7" t="n">
        <v>1602.9</v>
      </c>
      <c r="P130" s="7" t="n">
        <v>2084.2</v>
      </c>
      <c r="R130" s="7" t="n">
        <v>1369.1</v>
      </c>
      <c r="T130" s="7" t="n">
        <v>1498.9</v>
      </c>
      <c r="V130" s="7" t="n">
        <v>1611.6</v>
      </c>
      <c r="X130" s="7" t="n">
        <v>1100.2</v>
      </c>
      <c r="Z130" s="7" t="n">
        <v>573.7</v>
      </c>
      <c r="AB130" s="7" t="n">
        <v>15218.5</v>
      </c>
    </row>
    <row r="131">
      <c r="A131" s="4" t="inlineStr">
        <is>
          <t>通讯补助</t>
        </is>
      </c>
      <c r="D131" s="7" t="n">
        <v>1934.1</v>
      </c>
      <c r="F131" s="7" t="n">
        <v>3234.2</v>
      </c>
      <c r="H131" s="7" t="n">
        <v>1820.1</v>
      </c>
      <c r="J131" s="7" t="n">
        <v>3598.6</v>
      </c>
      <c r="L131" s="7" t="n">
        <v>7534.4</v>
      </c>
      <c r="N131" s="7" t="n">
        <v>4167.2</v>
      </c>
      <c r="P131" s="7" t="n">
        <v>5552.5</v>
      </c>
      <c r="R131" s="7" t="n">
        <v>3687.9</v>
      </c>
      <c r="T131" s="7" t="n">
        <v>4870.4</v>
      </c>
      <c r="V131" s="7" t="n">
        <v>4963.1</v>
      </c>
      <c r="X131" s="7" t="n">
        <v>4111.5</v>
      </c>
      <c r="Z131" s="7" t="n">
        <v>1455.7</v>
      </c>
      <c r="AB131" s="7" t="n">
        <v>46929.7</v>
      </c>
    </row>
    <row r="132">
      <c r="A132" s="4" t="inlineStr">
        <is>
          <t>招待费</t>
        </is>
      </c>
      <c r="D132" s="7" t="n">
        <v>13007.8</v>
      </c>
      <c r="F132" s="7" t="n">
        <v>14782.7</v>
      </c>
      <c r="H132" s="7" t="n">
        <v>16127.2</v>
      </c>
      <c r="J132" s="7" t="n">
        <v>20203.1</v>
      </c>
      <c r="L132" s="7" t="n">
        <v>45652.6</v>
      </c>
      <c r="N132" s="7" t="n">
        <v>21272</v>
      </c>
      <c r="P132" s="7" t="n">
        <v>50628.5</v>
      </c>
      <c r="R132" s="7" t="n">
        <v>28175.8</v>
      </c>
      <c r="T132" s="7" t="n">
        <v>22184.8</v>
      </c>
      <c r="V132" s="7" t="n">
        <v>34532.9</v>
      </c>
      <c r="X132" s="7" t="n">
        <v>39107.4</v>
      </c>
      <c r="Z132" s="7" t="n">
        <v>15009.3</v>
      </c>
      <c r="AB132" s="7" t="n">
        <v>320684.1</v>
      </c>
    </row>
    <row r="133">
      <c r="A133" s="4" t="inlineStr">
        <is>
          <t>通讯费</t>
        </is>
      </c>
      <c r="D133" s="7" t="n">
        <v>494.9</v>
      </c>
      <c r="F133" s="7" t="n">
        <v>1093.9</v>
      </c>
      <c r="H133" s="7" t="n">
        <v>1274.1</v>
      </c>
      <c r="J133" s="7" t="n">
        <v>1501.5</v>
      </c>
      <c r="L133" s="7" t="n">
        <v>2879.5</v>
      </c>
      <c r="N133" s="7" t="n">
        <v>1959.7</v>
      </c>
      <c r="P133" s="7" t="n">
        <v>2740.7</v>
      </c>
      <c r="R133" s="7" t="n">
        <v>1682.7</v>
      </c>
      <c r="T133" s="7" t="n">
        <v>1913</v>
      </c>
      <c r="V133" s="7" t="n">
        <v>1519.4</v>
      </c>
      <c r="X133" s="7" t="n">
        <v>1261.1</v>
      </c>
      <c r="Z133" s="7" t="n">
        <v>581.4</v>
      </c>
      <c r="AB133" s="7" t="n">
        <v>18901.9</v>
      </c>
    </row>
    <row r="134">
      <c r="A134" s="4" t="inlineStr">
        <is>
          <t>网络费</t>
        </is>
      </c>
      <c r="D134" s="7" t="n">
        <v>232.5</v>
      </c>
      <c r="F134" s="7" t="n">
        <v>556.5</v>
      </c>
      <c r="H134" s="7" t="n">
        <v>504.9</v>
      </c>
      <c r="J134" s="7" t="n">
        <v>693.9</v>
      </c>
      <c r="L134" s="7" t="n">
        <v>1095.2</v>
      </c>
      <c r="N134" s="7" t="n">
        <v>546.6</v>
      </c>
      <c r="P134" s="7" t="n">
        <v>1160.1</v>
      </c>
      <c r="R134" s="7" t="n">
        <v>857</v>
      </c>
      <c r="T134" s="7" t="n">
        <v>801.7</v>
      </c>
      <c r="V134" s="7" t="n">
        <v>801.2</v>
      </c>
      <c r="X134" s="7" t="n">
        <v>583</v>
      </c>
      <c r="Z134" s="7" t="n">
        <v>293.1</v>
      </c>
      <c r="AB134" s="7" t="n">
        <v>8125.7</v>
      </c>
    </row>
    <row r="135">
      <c r="A135" s="4" t="inlineStr">
        <is>
          <t>修理费</t>
        </is>
      </c>
      <c r="D135" s="7" t="n">
        <v>332.5</v>
      </c>
      <c r="F135" s="7" t="n">
        <v>627.2</v>
      </c>
      <c r="H135" s="7" t="n">
        <v>428.7</v>
      </c>
      <c r="J135" s="7" t="n">
        <v>794.6</v>
      </c>
      <c r="L135" s="7" t="n">
        <v>1639.7</v>
      </c>
      <c r="N135" s="7" t="n">
        <v>1108.1</v>
      </c>
      <c r="P135" s="7" t="n">
        <v>1087.9</v>
      </c>
      <c r="R135" s="7" t="n">
        <v>1279.3</v>
      </c>
      <c r="T135" s="7" t="n">
        <v>1048.1</v>
      </c>
      <c r="V135" s="7" t="n">
        <v>631.9</v>
      </c>
      <c r="X135" s="7" t="n">
        <v>953.6</v>
      </c>
      <c r="Z135" s="7" t="n">
        <v>447.9</v>
      </c>
      <c r="AB135" s="7" t="n">
        <v>10379.5</v>
      </c>
    </row>
    <row r="136">
      <c r="A136" s="4" t="inlineStr">
        <is>
          <t>车辆费</t>
        </is>
      </c>
      <c r="D136" s="7" t="n">
        <v>1727.6</v>
      </c>
      <c r="F136" s="7" t="n">
        <v>3231.3</v>
      </c>
      <c r="H136" s="7" t="n">
        <v>3845</v>
      </c>
      <c r="J136" s="7" t="n">
        <v>3023.7</v>
      </c>
      <c r="L136" s="7" t="n">
        <v>8177.2</v>
      </c>
      <c r="N136" s="7" t="n">
        <v>4059.9</v>
      </c>
      <c r="P136" s="7" t="n">
        <v>8278.700000000001</v>
      </c>
      <c r="R136" s="7" t="n">
        <v>4359.3</v>
      </c>
      <c r="T136" s="7" t="n">
        <v>5566.4</v>
      </c>
      <c r="V136" s="7" t="n">
        <v>3650.6</v>
      </c>
      <c r="X136" s="7" t="n">
        <v>5578.8</v>
      </c>
      <c r="Z136" s="7" t="n">
        <v>2137.8</v>
      </c>
      <c r="AB136" s="7" t="n">
        <v>53636.3</v>
      </c>
    </row>
    <row r="137">
      <c r="A137" s="4" t="inlineStr">
        <is>
          <t>租赁费</t>
        </is>
      </c>
      <c r="D137" s="7" t="n">
        <v>20147.5</v>
      </c>
      <c r="F137" s="7" t="n">
        <v>23717.6</v>
      </c>
      <c r="H137" s="7" t="n">
        <v>20628.5</v>
      </c>
      <c r="J137" s="7" t="n">
        <v>25814</v>
      </c>
      <c r="L137" s="7" t="n">
        <v>41607</v>
      </c>
      <c r="N137" s="7" t="n">
        <v>32420.7</v>
      </c>
      <c r="P137" s="7" t="n">
        <v>38698.9</v>
      </c>
      <c r="R137" s="7" t="n">
        <v>30066.5</v>
      </c>
      <c r="T137" s="7" t="n">
        <v>33192</v>
      </c>
      <c r="V137" s="7" t="n">
        <v>43524.7</v>
      </c>
      <c r="X137" s="7" t="n">
        <v>50063.8</v>
      </c>
      <c r="Z137" s="7" t="n">
        <v>19137.3</v>
      </c>
      <c r="AB137" s="7" t="n">
        <v>379018.5</v>
      </c>
    </row>
    <row r="138">
      <c r="A138" s="4" t="inlineStr">
        <is>
          <t>能源费</t>
        </is>
      </c>
      <c r="D138" s="7" t="n">
        <v>2806.8</v>
      </c>
      <c r="F138" s="7" t="n">
        <v>4924.2</v>
      </c>
      <c r="H138" s="7" t="n">
        <v>3528.1</v>
      </c>
      <c r="J138" s="7" t="n">
        <v>4536.9</v>
      </c>
      <c r="L138" s="7" t="n">
        <v>9403.200000000001</v>
      </c>
      <c r="N138" s="7" t="n">
        <v>5975.6</v>
      </c>
      <c r="P138" s="7" t="n">
        <v>10533.6</v>
      </c>
      <c r="R138" s="7" t="n">
        <v>8035.1</v>
      </c>
      <c r="T138" s="7" t="n">
        <v>7246.4</v>
      </c>
      <c r="V138" s="7" t="n">
        <v>6317.5</v>
      </c>
      <c r="X138" s="7" t="n">
        <v>6422.2</v>
      </c>
      <c r="Z138" s="7" t="n">
        <v>2318.4</v>
      </c>
      <c r="AB138" s="7" t="n">
        <v>72048</v>
      </c>
    </row>
    <row r="139">
      <c r="A139" s="4" t="inlineStr">
        <is>
          <t>水费</t>
        </is>
      </c>
      <c r="D139" s="7" t="n">
        <v>868.8</v>
      </c>
      <c r="F139" s="7" t="n">
        <v>762.5</v>
      </c>
      <c r="H139" s="7" t="n">
        <v>805</v>
      </c>
      <c r="J139" s="7" t="n">
        <v>1174.9</v>
      </c>
      <c r="L139" s="7" t="n">
        <v>2674.9</v>
      </c>
      <c r="N139" s="7" t="n">
        <v>1631.6</v>
      </c>
      <c r="P139" s="7" t="n">
        <v>2620.2</v>
      </c>
      <c r="R139" s="7" t="n">
        <v>1355.6</v>
      </c>
      <c r="T139" s="7" t="n">
        <v>1573.3</v>
      </c>
      <c r="V139" s="7" t="n">
        <v>1705.4</v>
      </c>
      <c r="X139" s="7" t="n">
        <v>1616.1</v>
      </c>
      <c r="Z139" s="7" t="n">
        <v>467.1</v>
      </c>
      <c r="AB139" s="7" t="n">
        <v>17255.4</v>
      </c>
    </row>
    <row r="140">
      <c r="A140" s="4" t="inlineStr">
        <is>
          <t>电费</t>
        </is>
      </c>
      <c r="D140" s="7" t="n">
        <v>1615</v>
      </c>
      <c r="F140" s="7" t="n">
        <v>3736.7</v>
      </c>
      <c r="H140" s="7" t="n">
        <v>2357.2</v>
      </c>
      <c r="J140" s="7" t="n">
        <v>2856.5</v>
      </c>
      <c r="L140" s="7" t="n">
        <v>5716.5</v>
      </c>
      <c r="N140" s="7" t="n">
        <v>3819.4</v>
      </c>
      <c r="P140" s="7" t="n">
        <v>6993.9</v>
      </c>
      <c r="R140" s="7" t="n">
        <v>6009.5</v>
      </c>
      <c r="T140" s="7" t="n">
        <v>5011.6</v>
      </c>
      <c r="V140" s="7" t="n">
        <v>4055.9</v>
      </c>
      <c r="X140" s="7" t="n">
        <v>4195.8</v>
      </c>
      <c r="Z140" s="7" t="n">
        <v>1619.3</v>
      </c>
      <c r="AB140" s="7" t="n">
        <v>47987.3</v>
      </c>
    </row>
    <row r="141">
      <c r="A141" s="4" t="inlineStr">
        <is>
          <t>燃气费</t>
        </is>
      </c>
      <c r="D141" s="7" t="n">
        <v>111</v>
      </c>
      <c r="F141" s="7" t="n">
        <v>192</v>
      </c>
      <c r="H141" s="7" t="n">
        <v>123.8</v>
      </c>
      <c r="J141" s="7" t="n">
        <v>181.2</v>
      </c>
      <c r="L141" s="7" t="n">
        <v>349.8</v>
      </c>
      <c r="N141" s="7" t="n">
        <v>216.7</v>
      </c>
      <c r="P141" s="7" t="n">
        <v>361.4</v>
      </c>
      <c r="R141" s="7" t="n">
        <v>296.1</v>
      </c>
      <c r="T141" s="7" t="n">
        <v>190.1</v>
      </c>
      <c r="V141" s="7" t="n">
        <v>177.9</v>
      </c>
      <c r="X141" s="7" t="n">
        <v>204.1</v>
      </c>
      <c r="Z141" s="7" t="n">
        <v>88.59999999999999</v>
      </c>
      <c r="AB141" s="7" t="n">
        <v>2492.7</v>
      </c>
    </row>
    <row r="142">
      <c r="A142" s="4" t="inlineStr">
        <is>
          <t>蒸汽费</t>
        </is>
      </c>
      <c r="D142" s="7" t="n">
        <v>212</v>
      </c>
      <c r="F142" s="7" t="n">
        <v>233</v>
      </c>
      <c r="H142" s="7" t="n">
        <v>242.1</v>
      </c>
      <c r="J142" s="7" t="n">
        <v>324.3</v>
      </c>
      <c r="L142" s="7" t="n">
        <v>662</v>
      </c>
      <c r="N142" s="7" t="n">
        <v>307.9</v>
      </c>
      <c r="P142" s="7" t="n">
        <v>558.1</v>
      </c>
      <c r="R142" s="7" t="n">
        <v>373.9</v>
      </c>
      <c r="T142" s="7" t="n">
        <v>471.4</v>
      </c>
      <c r="V142" s="7" t="n">
        <v>378.3</v>
      </c>
      <c r="X142" s="7" t="n">
        <v>406.2</v>
      </c>
      <c r="Z142" s="7" t="n">
        <v>143.4</v>
      </c>
      <c r="AB142" s="7" t="n">
        <v>4312.6</v>
      </c>
    </row>
    <row r="143">
      <c r="A143" s="4" t="inlineStr">
        <is>
          <t>物业费</t>
        </is>
      </c>
      <c r="D143" s="7" t="n">
        <v>833.6</v>
      </c>
      <c r="F143" s="7" t="n">
        <v>1286.9</v>
      </c>
      <c r="H143" s="7" t="n">
        <v>1079.3</v>
      </c>
      <c r="J143" s="7" t="n">
        <v>2133.3</v>
      </c>
      <c r="L143" s="7" t="n">
        <v>3770.4</v>
      </c>
      <c r="N143" s="7" t="n">
        <v>1739.9</v>
      </c>
      <c r="P143" s="7" t="n">
        <v>2796.8</v>
      </c>
      <c r="R143" s="7" t="n">
        <v>2681.9</v>
      </c>
      <c r="T143" s="7" t="n">
        <v>2786.9</v>
      </c>
      <c r="V143" s="7" t="n">
        <v>2455</v>
      </c>
      <c r="X143" s="7" t="n">
        <v>2459.4</v>
      </c>
      <c r="Z143" s="7" t="n">
        <v>1142.3</v>
      </c>
      <c r="AB143" s="7" t="n">
        <v>25165.7</v>
      </c>
    </row>
    <row r="144">
      <c r="A144" s="4" t="inlineStr">
        <is>
          <t>劳动保护费</t>
        </is>
      </c>
      <c r="D144" s="7" t="n">
        <v>1669.6</v>
      </c>
      <c r="F144" s="7" t="n">
        <v>2685.9</v>
      </c>
      <c r="H144" s="7" t="n">
        <v>3144.5</v>
      </c>
      <c r="J144" s="7" t="n">
        <v>3211.4</v>
      </c>
      <c r="L144" s="7" t="n">
        <v>7410</v>
      </c>
      <c r="N144" s="7" t="n">
        <v>4016.7</v>
      </c>
      <c r="P144" s="7" t="n">
        <v>4058.9</v>
      </c>
      <c r="R144" s="7" t="n">
        <v>5718</v>
      </c>
      <c r="T144" s="7" t="n">
        <v>4316</v>
      </c>
      <c r="V144" s="7" t="n">
        <v>4104.7</v>
      </c>
      <c r="X144" s="7" t="n">
        <v>5200.7</v>
      </c>
      <c r="Z144" s="7" t="n">
        <v>1969.8</v>
      </c>
      <c r="AB144" s="7" t="n">
        <v>47506.2</v>
      </c>
    </row>
    <row r="145">
      <c r="A145" s="4" t="inlineStr">
        <is>
          <t>顾问费</t>
        </is>
      </c>
      <c r="D145" s="7" t="n">
        <v>1558</v>
      </c>
      <c r="F145" s="7" t="n">
        <v>1681.2</v>
      </c>
      <c r="H145" s="7" t="n">
        <v>2462.8</v>
      </c>
      <c r="J145" s="7" t="n">
        <v>2169.6</v>
      </c>
      <c r="L145" s="7" t="n">
        <v>6442.1</v>
      </c>
      <c r="N145" s="7" t="n">
        <v>4329</v>
      </c>
      <c r="P145" s="7" t="n">
        <v>5328.2</v>
      </c>
      <c r="R145" s="7" t="n">
        <v>2957.3</v>
      </c>
      <c r="T145" s="7" t="n">
        <v>3020.5</v>
      </c>
      <c r="V145" s="7" t="n">
        <v>4388.2</v>
      </c>
      <c r="X145" s="7" t="n">
        <v>3336.9</v>
      </c>
      <c r="Z145" s="7" t="n">
        <v>1793.9</v>
      </c>
      <c r="AB145" s="7" t="n">
        <v>39467.7</v>
      </c>
    </row>
    <row r="146">
      <c r="A146" s="4" t="inlineStr">
        <is>
          <t>快递费</t>
        </is>
      </c>
      <c r="D146" s="7" t="n">
        <v>1614.9</v>
      </c>
      <c r="F146" s="7" t="n">
        <v>1722.7</v>
      </c>
      <c r="H146" s="7" t="n">
        <v>2462</v>
      </c>
      <c r="J146" s="7" t="n">
        <v>3120</v>
      </c>
      <c r="L146" s="7" t="n">
        <v>3420.4</v>
      </c>
      <c r="N146" s="7" t="n">
        <v>2913.2</v>
      </c>
      <c r="P146" s="7" t="n">
        <v>3905.9</v>
      </c>
      <c r="R146" s="7" t="n">
        <v>3161.1</v>
      </c>
      <c r="T146" s="7" t="n">
        <v>2537.4</v>
      </c>
      <c r="V146" s="7" t="n">
        <v>3063</v>
      </c>
      <c r="X146" s="7" t="n">
        <v>3933.8</v>
      </c>
      <c r="Z146" s="7" t="n">
        <v>1499</v>
      </c>
      <c r="AB146" s="7" t="n">
        <v>33353.4</v>
      </c>
    </row>
    <row r="147">
      <c r="A147" s="4" t="inlineStr">
        <is>
          <t>诉讼费</t>
        </is>
      </c>
      <c r="D147" s="7" t="n">
        <v>1354.4</v>
      </c>
      <c r="F147" s="7" t="n">
        <v>1905.5</v>
      </c>
      <c r="H147" s="7" t="n">
        <v>1861.3</v>
      </c>
      <c r="J147" s="7" t="n">
        <v>1958.4</v>
      </c>
      <c r="L147" s="7" t="n">
        <v>4832.3</v>
      </c>
      <c r="N147" s="7" t="n">
        <v>3583</v>
      </c>
      <c r="P147" s="7" t="n">
        <v>5225.2</v>
      </c>
      <c r="R147" s="7" t="n">
        <v>4399.7</v>
      </c>
      <c r="T147" s="7" t="n">
        <v>3021</v>
      </c>
      <c r="V147" s="7" t="n">
        <v>2373.8</v>
      </c>
      <c r="X147" s="7" t="n">
        <v>2782.6</v>
      </c>
      <c r="Z147" s="7" t="n">
        <v>1297.8</v>
      </c>
      <c r="AB147" s="7" t="n">
        <v>34595</v>
      </c>
    </row>
    <row r="148">
      <c r="A148" s="4" t="inlineStr">
        <is>
          <t>会员费</t>
        </is>
      </c>
      <c r="D148" s="7" t="n">
        <v>698.1</v>
      </c>
      <c r="F148" s="7" t="n">
        <v>1027.4</v>
      </c>
      <c r="H148" s="7" t="n">
        <v>1073.5</v>
      </c>
      <c r="J148" s="7" t="n">
        <v>1459.6</v>
      </c>
      <c r="L148" s="7" t="n">
        <v>1830.3</v>
      </c>
      <c r="N148" s="7" t="n">
        <v>1481.4</v>
      </c>
      <c r="P148" s="7" t="n">
        <v>1794.3</v>
      </c>
      <c r="R148" s="7" t="n">
        <v>2061.1</v>
      </c>
      <c r="T148" s="7" t="n">
        <v>1793.6</v>
      </c>
      <c r="V148" s="7" t="n">
        <v>1245.8</v>
      </c>
      <c r="X148" s="7" t="n">
        <v>2173.7</v>
      </c>
      <c r="Z148" s="7" t="n">
        <v>630.3</v>
      </c>
      <c r="AB148" s="7" t="n">
        <v>17269.1</v>
      </c>
    </row>
    <row r="149">
      <c r="A149" s="4" t="inlineStr">
        <is>
          <t>广告宣传费</t>
        </is>
      </c>
      <c r="D149" s="7" t="n">
        <v>8267.200000000001</v>
      </c>
      <c r="F149" s="7" t="n">
        <v>16869</v>
      </c>
      <c r="H149" s="7" t="n">
        <v>18044.3</v>
      </c>
      <c r="J149" s="7" t="n">
        <v>22569.7</v>
      </c>
      <c r="L149" s="7" t="n">
        <v>24002.4</v>
      </c>
      <c r="N149" s="7" t="n">
        <v>27115.8</v>
      </c>
      <c r="P149" s="7" t="n">
        <v>26771.8</v>
      </c>
      <c r="R149" s="7" t="n">
        <v>22350.3</v>
      </c>
      <c r="T149" s="7" t="n">
        <v>21270.8</v>
      </c>
      <c r="V149" s="7" t="n">
        <v>25614.3</v>
      </c>
      <c r="X149" s="7" t="n">
        <v>17789.8</v>
      </c>
      <c r="Z149" s="7" t="n">
        <v>11394.8</v>
      </c>
      <c r="AB149" s="7" t="n">
        <v>242060.2</v>
      </c>
    </row>
    <row r="150">
      <c r="A150" s="4" t="inlineStr">
        <is>
          <t>会务费</t>
        </is>
      </c>
      <c r="D150" s="7" t="n">
        <v>370.2</v>
      </c>
      <c r="F150" s="7" t="n">
        <v>417.1</v>
      </c>
      <c r="H150" s="7" t="n">
        <v>505.9</v>
      </c>
      <c r="J150" s="7" t="n">
        <v>461.3</v>
      </c>
      <c r="L150" s="7" t="n">
        <v>940.6</v>
      </c>
      <c r="N150" s="7" t="n">
        <v>727.5</v>
      </c>
      <c r="P150" s="7" t="n">
        <v>724.8</v>
      </c>
      <c r="R150" s="7" t="n">
        <v>625.2</v>
      </c>
      <c r="T150" s="7" t="n">
        <v>750</v>
      </c>
      <c r="V150" s="7" t="n">
        <v>770.5</v>
      </c>
      <c r="X150" s="7" t="n">
        <v>795.7</v>
      </c>
      <c r="Z150" s="7" t="n">
        <v>334.4</v>
      </c>
      <c r="AB150" s="7" t="n">
        <v>7423.2</v>
      </c>
    </row>
    <row r="151">
      <c r="A151" s="4" t="inlineStr">
        <is>
          <t>装修费</t>
        </is>
      </c>
      <c r="D151" s="7" t="n">
        <v>1777</v>
      </c>
      <c r="F151" s="7" t="n">
        <v>2098.4</v>
      </c>
      <c r="H151" s="7" t="n">
        <v>2292.4</v>
      </c>
      <c r="J151" s="7" t="n">
        <v>3284.4</v>
      </c>
      <c r="L151" s="7" t="n">
        <v>4726.3</v>
      </c>
      <c r="N151" s="7" t="n">
        <v>4949.3</v>
      </c>
      <c r="P151" s="7" t="n">
        <v>6688.2</v>
      </c>
      <c r="R151" s="7" t="n">
        <v>3314.1</v>
      </c>
      <c r="T151" s="7" t="n">
        <v>3129.3</v>
      </c>
      <c r="V151" s="7" t="n">
        <v>4934.1</v>
      </c>
      <c r="X151" s="7" t="n">
        <v>5057.1</v>
      </c>
      <c r="Z151" s="7" t="n">
        <v>1422.6</v>
      </c>
      <c r="AB151" s="7" t="n">
        <v>43673.2</v>
      </c>
    </row>
    <row r="152">
      <c r="A152" s="4" t="inlineStr">
        <is>
          <t>推广费</t>
        </is>
      </c>
      <c r="D152" s="7" t="n">
        <v>1224.5</v>
      </c>
      <c r="F152" s="7" t="n">
        <v>1646.8</v>
      </c>
      <c r="H152" s="7" t="n">
        <v>1242.4</v>
      </c>
      <c r="J152" s="7" t="n">
        <v>2171.6</v>
      </c>
      <c r="L152" s="7" t="n">
        <v>3373.1</v>
      </c>
      <c r="N152" s="7" t="n">
        <v>2457.2</v>
      </c>
      <c r="P152" s="7" t="n">
        <v>2345.4</v>
      </c>
      <c r="R152" s="7" t="n">
        <v>1845</v>
      </c>
      <c r="T152" s="7" t="n">
        <v>1969.7</v>
      </c>
      <c r="V152" s="7" t="n">
        <v>2415.4</v>
      </c>
      <c r="X152" s="7" t="n">
        <v>1886.3</v>
      </c>
      <c r="Z152" s="7" t="n">
        <v>1137.7</v>
      </c>
      <c r="AB152" s="7" t="n">
        <v>23715.1</v>
      </c>
    </row>
    <row r="153">
      <c r="A153" s="4" t="inlineStr">
        <is>
          <t>展会费</t>
        </is>
      </c>
      <c r="D153" s="7" t="n">
        <v>1145.2</v>
      </c>
      <c r="F153" s="7" t="n">
        <v>1505.1</v>
      </c>
      <c r="H153" s="7" t="n">
        <v>2285.5</v>
      </c>
      <c r="J153" s="7" t="n">
        <v>2687.5</v>
      </c>
      <c r="L153" s="7" t="n">
        <v>4813.5</v>
      </c>
      <c r="N153" s="7" t="n">
        <v>2545.2</v>
      </c>
      <c r="P153" s="7" t="n">
        <v>3629.4</v>
      </c>
      <c r="R153" s="7" t="n">
        <v>2634.4</v>
      </c>
      <c r="T153" s="7" t="n">
        <v>2861.3</v>
      </c>
      <c r="V153" s="7" t="n">
        <v>3759.8</v>
      </c>
      <c r="X153" s="7" t="n">
        <v>3651.3</v>
      </c>
      <c r="Z153" s="7" t="n">
        <v>1302.6</v>
      </c>
      <c r="AB153" s="7" t="n">
        <v>32820.8</v>
      </c>
    </row>
    <row r="154">
      <c r="A154" s="4" t="inlineStr">
        <is>
          <t>设计费</t>
        </is>
      </c>
      <c r="D154" s="7" t="n">
        <v>1252.1</v>
      </c>
      <c r="F154" s="7" t="n">
        <v>2059.5</v>
      </c>
      <c r="H154" s="7" t="n">
        <v>1519.5</v>
      </c>
      <c r="J154" s="7" t="n">
        <v>3154.2</v>
      </c>
      <c r="L154" s="7" t="n">
        <v>5794.2</v>
      </c>
      <c r="N154" s="7" t="n">
        <v>2379.9</v>
      </c>
      <c r="P154" s="7" t="n">
        <v>5607.5</v>
      </c>
      <c r="R154" s="7" t="n">
        <v>4150.5</v>
      </c>
      <c r="T154" s="7" t="n">
        <v>3358.9</v>
      </c>
      <c r="V154" s="7" t="n">
        <v>2393.5</v>
      </c>
      <c r="X154" s="7" t="n">
        <v>2956.4</v>
      </c>
      <c r="Z154" s="7" t="n">
        <v>1635</v>
      </c>
      <c r="AB154" s="7" t="n">
        <v>36261.2</v>
      </c>
    </row>
    <row r="155">
      <c r="A155" s="4" t="inlineStr">
        <is>
          <t>折旧费</t>
        </is>
      </c>
      <c r="D155" s="7" t="n">
        <v>11555.8</v>
      </c>
      <c r="F155" s="7" t="n">
        <v>25094.4</v>
      </c>
      <c r="H155" s="7" t="n">
        <v>20853.9</v>
      </c>
      <c r="J155" s="7" t="n">
        <v>23192.4</v>
      </c>
      <c r="L155" s="7" t="n">
        <v>41608.8</v>
      </c>
      <c r="N155" s="7" t="n">
        <v>27613.9</v>
      </c>
      <c r="P155" s="7" t="n">
        <v>34455.6</v>
      </c>
      <c r="R155" s="7" t="n">
        <v>33638.1</v>
      </c>
      <c r="T155" s="7" t="n">
        <v>31534.9</v>
      </c>
      <c r="V155" s="7" t="n">
        <v>36501.5</v>
      </c>
      <c r="X155" s="7" t="n">
        <v>29325.6</v>
      </c>
      <c r="Z155" s="7" t="n">
        <v>9471.4</v>
      </c>
      <c r="AB155" s="7" t="n">
        <v>324846.3</v>
      </c>
    </row>
    <row r="156">
      <c r="A156" s="4" t="inlineStr">
        <is>
          <t>认证费</t>
        </is>
      </c>
      <c r="D156" s="7" t="n">
        <v>1203.9</v>
      </c>
      <c r="F156" s="7" t="n">
        <v>1982.3</v>
      </c>
      <c r="H156" s="7" t="n">
        <v>1489.2</v>
      </c>
      <c r="J156" s="7" t="n">
        <v>2218.1</v>
      </c>
      <c r="L156" s="7" t="n">
        <v>4015</v>
      </c>
      <c r="N156" s="7" t="n">
        <v>2238.8</v>
      </c>
      <c r="P156" s="7" t="n">
        <v>2596.2</v>
      </c>
      <c r="R156" s="7" t="n">
        <v>2125</v>
      </c>
      <c r="T156" s="7" t="n">
        <v>3090.6</v>
      </c>
      <c r="V156" s="7" t="n">
        <v>2778.4</v>
      </c>
      <c r="X156" s="7" t="n">
        <v>3189.3</v>
      </c>
      <c r="Z156" s="7" t="n">
        <v>893.6</v>
      </c>
      <c r="AB156" s="7" t="n">
        <v>27820.4</v>
      </c>
    </row>
    <row r="157">
      <c r="A157" s="4" t="inlineStr">
        <is>
          <t>样品费</t>
        </is>
      </c>
      <c r="D157" s="7" t="n">
        <v>7369.9</v>
      </c>
      <c r="F157" s="7" t="n">
        <v>12108.2</v>
      </c>
      <c r="H157" s="7" t="n">
        <v>8444.9</v>
      </c>
      <c r="J157" s="7" t="n">
        <v>9599.299999999999</v>
      </c>
      <c r="L157" s="7" t="n">
        <v>26048.8</v>
      </c>
      <c r="N157" s="7" t="n">
        <v>18827.1</v>
      </c>
      <c r="P157" s="7" t="n">
        <v>23948.5</v>
      </c>
      <c r="R157" s="7" t="n">
        <v>20275.5</v>
      </c>
      <c r="T157" s="7" t="n">
        <v>15107.6</v>
      </c>
      <c r="V157" s="7" t="n">
        <v>16749.4</v>
      </c>
      <c r="X157" s="7" t="n">
        <v>17321.9</v>
      </c>
      <c r="Z157" s="7" t="n">
        <v>7045.6</v>
      </c>
      <c r="AB157" s="7" t="n">
        <v>182846.7</v>
      </c>
    </row>
    <row r="158">
      <c r="A158" s="4" t="inlineStr">
        <is>
          <t>劳务费</t>
        </is>
      </c>
      <c r="D158" s="7" t="n">
        <v>1825.2</v>
      </c>
      <c r="F158" s="7" t="n">
        <v>1802.1</v>
      </c>
      <c r="H158" s="7" t="n">
        <v>1963</v>
      </c>
      <c r="J158" s="7" t="n">
        <v>2436.2</v>
      </c>
      <c r="L158" s="7" t="n">
        <v>3482.2</v>
      </c>
      <c r="N158" s="7" t="n">
        <v>3670.5</v>
      </c>
      <c r="P158" s="7" t="n">
        <v>4537.2</v>
      </c>
      <c r="R158" s="7" t="n">
        <v>3001.7</v>
      </c>
      <c r="T158" s="7" t="n">
        <v>3478.9</v>
      </c>
      <c r="V158" s="7" t="n">
        <v>2736.1</v>
      </c>
      <c r="X158" s="7" t="n">
        <v>3427.8</v>
      </c>
      <c r="Z158" s="7" t="n">
        <v>1565</v>
      </c>
      <c r="AB158" s="7" t="n">
        <v>33925.9</v>
      </c>
    </row>
    <row r="159">
      <c r="A159" s="4" t="inlineStr">
        <is>
          <t>销售佣金</t>
        </is>
      </c>
      <c r="D159" s="7" t="n">
        <v>2144.8</v>
      </c>
      <c r="F159" s="7" t="n">
        <v>2925.8</v>
      </c>
      <c r="H159" s="7" t="n">
        <v>3446.3</v>
      </c>
      <c r="J159" s="7" t="n">
        <v>4349.9</v>
      </c>
      <c r="L159" s="7" t="n">
        <v>8187.1</v>
      </c>
      <c r="N159" s="7" t="n">
        <v>3649.9</v>
      </c>
      <c r="P159" s="7" t="n">
        <v>4563.2</v>
      </c>
      <c r="R159" s="7" t="n">
        <v>3962.2</v>
      </c>
      <c r="T159" s="7" t="n">
        <v>3622.6</v>
      </c>
      <c r="V159" s="7" t="n">
        <v>5381</v>
      </c>
      <c r="X159" s="7" t="n">
        <v>5377.4</v>
      </c>
      <c r="Z159" s="7" t="n">
        <v>1497.1</v>
      </c>
      <c r="AB159" s="7" t="n">
        <v>49107.3</v>
      </c>
    </row>
    <row r="160">
      <c r="A160" s="4" t="inlineStr">
        <is>
          <t>检测费</t>
        </is>
      </c>
      <c r="D160" s="7" t="n">
        <v>1314</v>
      </c>
      <c r="F160" s="7" t="n">
        <v>1646</v>
      </c>
      <c r="H160" s="7" t="n">
        <v>1954.5</v>
      </c>
      <c r="J160" s="7" t="n">
        <v>3104.9</v>
      </c>
      <c r="L160" s="7" t="n">
        <v>4427.9</v>
      </c>
      <c r="N160" s="7" t="n">
        <v>3969.1</v>
      </c>
      <c r="P160" s="7" t="n">
        <v>4054</v>
      </c>
      <c r="R160" s="7" t="n">
        <v>3275.2</v>
      </c>
      <c r="T160" s="7" t="n">
        <v>2783.7</v>
      </c>
      <c r="V160" s="7" t="n">
        <v>4122.3</v>
      </c>
      <c r="X160" s="7" t="n">
        <v>3421</v>
      </c>
      <c r="Z160" s="7" t="n">
        <v>1690.8</v>
      </c>
      <c r="AB160" s="7" t="n">
        <v>35763.4</v>
      </c>
    </row>
    <row r="161">
      <c r="A161" s="4" t="inlineStr">
        <is>
          <t>质量赔偿</t>
        </is>
      </c>
      <c r="D161" s="7" t="n">
        <v>1585.3</v>
      </c>
      <c r="F161" s="7" t="n">
        <v>1392.8</v>
      </c>
      <c r="H161" s="7" t="n">
        <v>2267</v>
      </c>
      <c r="J161" s="7" t="n">
        <v>2325.7</v>
      </c>
      <c r="L161" s="7" t="n">
        <v>5247.3</v>
      </c>
      <c r="N161" s="7" t="n">
        <v>2699.2</v>
      </c>
      <c r="P161" s="7" t="n">
        <v>3404</v>
      </c>
      <c r="R161" s="7" t="n">
        <v>2405.1</v>
      </c>
      <c r="T161" s="7" t="n">
        <v>3306.6</v>
      </c>
      <c r="V161" s="7" t="n">
        <v>2287.2</v>
      </c>
      <c r="X161" s="7" t="n">
        <v>2452.4</v>
      </c>
      <c r="Z161" s="7" t="n">
        <v>1125.2</v>
      </c>
      <c r="AB161" s="7" t="n">
        <v>30497.8</v>
      </c>
    </row>
    <row r="162">
      <c r="A162" s="4" t="inlineStr">
        <is>
          <t>保险费</t>
        </is>
      </c>
      <c r="D162" s="7" t="n">
        <v>1519.2</v>
      </c>
      <c r="F162" s="7" t="n">
        <v>1783.1</v>
      </c>
      <c r="H162" s="7" t="n">
        <v>1595.5</v>
      </c>
      <c r="J162" s="7" t="n">
        <v>2562.2</v>
      </c>
      <c r="L162" s="7" t="n">
        <v>4896.9</v>
      </c>
      <c r="N162" s="7" t="n">
        <v>2813.8</v>
      </c>
      <c r="P162" s="7" t="n">
        <v>4075.6</v>
      </c>
      <c r="R162" s="7" t="n">
        <v>2582.7</v>
      </c>
      <c r="T162" s="7" t="n">
        <v>2875.5</v>
      </c>
      <c r="V162" s="7" t="n">
        <v>2004.6</v>
      </c>
      <c r="X162" s="7" t="n">
        <v>2521</v>
      </c>
      <c r="Z162" s="7" t="n">
        <v>1343.2</v>
      </c>
      <c r="AB162" s="7" t="n">
        <v>30573.3</v>
      </c>
    </row>
    <row r="163">
      <c r="A163" s="4" t="inlineStr">
        <is>
          <t>清洁费</t>
        </is>
      </c>
      <c r="D163" s="7" t="n">
        <v>419</v>
      </c>
      <c r="F163" s="7" t="n">
        <v>538.4</v>
      </c>
      <c r="H163" s="7" t="n">
        <v>614.9</v>
      </c>
      <c r="J163" s="7" t="n">
        <v>505.7</v>
      </c>
      <c r="L163" s="7" t="n">
        <v>1327.5</v>
      </c>
      <c r="N163" s="7" t="n">
        <v>906.7</v>
      </c>
      <c r="P163" s="7" t="n">
        <v>1054</v>
      </c>
      <c r="R163" s="7" t="n">
        <v>1213.6</v>
      </c>
      <c r="T163" s="7" t="n">
        <v>732.7</v>
      </c>
      <c r="V163" s="7" t="n">
        <v>610.3</v>
      </c>
      <c r="X163" s="7" t="n">
        <v>708.1</v>
      </c>
      <c r="Z163" s="7" t="n">
        <v>317.7</v>
      </c>
      <c r="AB163" s="7" t="n">
        <v>8948.6</v>
      </c>
    </row>
    <row r="164">
      <c r="A164" s="4" t="inlineStr">
        <is>
          <t>低值易耗品</t>
        </is>
      </c>
      <c r="D164" s="7" t="n">
        <v>27</v>
      </c>
      <c r="F164" s="7" t="n">
        <v>54.3</v>
      </c>
      <c r="H164" s="7" t="n">
        <v>36.1</v>
      </c>
      <c r="J164" s="7" t="n">
        <v>62</v>
      </c>
      <c r="L164" s="7" t="n">
        <v>111.6</v>
      </c>
      <c r="N164" s="7" t="n">
        <v>59.5</v>
      </c>
      <c r="P164" s="7" t="n">
        <v>104.3</v>
      </c>
      <c r="R164" s="7" t="n">
        <v>71.8</v>
      </c>
      <c r="T164" s="7" t="n">
        <v>51.1</v>
      </c>
      <c r="V164" s="7" t="n">
        <v>65.59999999999999</v>
      </c>
      <c r="X164" s="7" t="n">
        <v>76</v>
      </c>
      <c r="Z164" s="7" t="n">
        <v>23</v>
      </c>
      <c r="AB164" s="7" t="n">
        <v>742.3</v>
      </c>
    </row>
    <row r="165">
      <c r="A165" s="4" t="inlineStr">
        <is>
          <t>物料消耗</t>
        </is>
      </c>
      <c r="D165" s="7" t="n">
        <v>1553</v>
      </c>
      <c r="F165" s="7" t="n">
        <v>2315.1</v>
      </c>
      <c r="H165" s="7" t="n">
        <v>2948.9</v>
      </c>
      <c r="J165" s="7" t="n">
        <v>3472.1</v>
      </c>
      <c r="L165" s="7" t="n">
        <v>5478.8</v>
      </c>
      <c r="N165" s="7" t="n">
        <v>5056.6</v>
      </c>
      <c r="P165" s="7" t="n">
        <v>7092.2</v>
      </c>
      <c r="R165" s="7" t="n">
        <v>4198.2</v>
      </c>
      <c r="T165" s="7" t="n">
        <v>4776.8</v>
      </c>
      <c r="V165" s="7" t="n">
        <v>3778.2</v>
      </c>
      <c r="X165" s="7" t="n">
        <v>3432</v>
      </c>
      <c r="Z165" s="7" t="n">
        <v>2131.7</v>
      </c>
      <c r="AB165" s="7" t="n">
        <v>46233.6</v>
      </c>
    </row>
    <row r="166">
      <c r="A166" s="4" t="inlineStr">
        <is>
          <t>盘盈盘亏</t>
        </is>
      </c>
      <c r="D166" s="7" t="n">
        <v>1855.2</v>
      </c>
      <c r="F166" s="7" t="n">
        <v>2469.8</v>
      </c>
      <c r="H166" s="7" t="n">
        <v>3285.5</v>
      </c>
      <c r="J166" s="7" t="n">
        <v>2848.8</v>
      </c>
      <c r="L166" s="7" t="n">
        <v>7714.6</v>
      </c>
      <c r="N166" s="7" t="n">
        <v>4817.6</v>
      </c>
      <c r="P166" s="7" t="n">
        <v>4883</v>
      </c>
      <c r="R166" s="7" t="n">
        <v>4753.1</v>
      </c>
      <c r="T166" s="7" t="n">
        <v>4678.2</v>
      </c>
      <c r="V166" s="7" t="n">
        <v>3322.7</v>
      </c>
      <c r="X166" s="7" t="n">
        <v>5767.4</v>
      </c>
      <c r="Z166" s="7" t="n">
        <v>1598.1</v>
      </c>
      <c r="AB166" s="7" t="n">
        <v>47994</v>
      </c>
    </row>
    <row r="167">
      <c r="A167" s="4" t="inlineStr">
        <is>
          <t>平台服务费</t>
        </is>
      </c>
      <c r="D167" s="7" t="n">
        <v>836.2</v>
      </c>
      <c r="F167" s="7" t="n">
        <v>2228.3</v>
      </c>
      <c r="H167" s="7" t="n">
        <v>1847.5</v>
      </c>
      <c r="J167" s="7" t="n">
        <v>2326.8</v>
      </c>
      <c r="L167" s="7" t="n">
        <v>2804.3</v>
      </c>
      <c r="N167" s="7" t="n">
        <v>2965.5</v>
      </c>
      <c r="P167" s="7" t="n">
        <v>3371.2</v>
      </c>
      <c r="R167" s="7" t="n">
        <v>2792.7</v>
      </c>
      <c r="T167" s="7" t="n">
        <v>2569.6</v>
      </c>
      <c r="V167" s="7" t="n">
        <v>2637.4</v>
      </c>
      <c r="X167" s="7" t="n">
        <v>2169.6</v>
      </c>
      <c r="Z167" s="7" t="n">
        <v>1218.2</v>
      </c>
      <c r="AB167" s="7" t="n">
        <v>27767.3</v>
      </c>
    </row>
    <row r="168">
      <c r="A168" s="4" t="inlineStr">
        <is>
          <t>无形资产摊销</t>
        </is>
      </c>
      <c r="D168" s="7" t="n">
        <v>1190.5</v>
      </c>
      <c r="F168" s="7" t="n">
        <v>2221.9</v>
      </c>
      <c r="H168" s="7" t="n">
        <v>2178.3</v>
      </c>
      <c r="J168" s="7" t="n">
        <v>2164.7</v>
      </c>
      <c r="L168" s="7" t="n">
        <v>4937.9</v>
      </c>
      <c r="N168" s="7" t="n">
        <v>2455</v>
      </c>
      <c r="P168" s="7" t="n">
        <v>5012.5</v>
      </c>
      <c r="R168" s="7" t="n">
        <v>2705.9</v>
      </c>
      <c r="T168" s="7" t="n">
        <v>3332</v>
      </c>
      <c r="V168" s="7" t="n">
        <v>2433.2</v>
      </c>
      <c r="X168" s="7" t="n">
        <v>2481.6</v>
      </c>
      <c r="Z168" s="7" t="n">
        <v>981.7</v>
      </c>
      <c r="AB168" s="7" t="n">
        <v>32095.2</v>
      </c>
    </row>
    <row r="169">
      <c r="A169" s="4" t="inlineStr">
        <is>
          <t>研发材料</t>
        </is>
      </c>
      <c r="D169" s="7" t="n">
        <v>349.3</v>
      </c>
      <c r="F169" s="7" t="n">
        <v>547.6</v>
      </c>
      <c r="H169" s="7" t="n">
        <v>634.2</v>
      </c>
      <c r="J169" s="7" t="n">
        <v>649.8</v>
      </c>
      <c r="L169" s="7" t="n">
        <v>1642.1</v>
      </c>
      <c r="N169" s="7" t="n">
        <v>867.6</v>
      </c>
      <c r="P169" s="7" t="n">
        <v>953.9</v>
      </c>
      <c r="R169" s="7" t="n">
        <v>1115.3</v>
      </c>
      <c r="T169" s="7" t="n">
        <v>765.4</v>
      </c>
      <c r="V169" s="7" t="n">
        <v>1253.6</v>
      </c>
      <c r="X169" s="7" t="n">
        <v>914.3</v>
      </c>
      <c r="Z169" s="7" t="n">
        <v>284.2</v>
      </c>
      <c r="AB169" s="7" t="n">
        <v>9977.299999999999</v>
      </c>
    </row>
    <row r="170">
      <c r="A170" s="4" t="inlineStr">
        <is>
          <t>项目名称</t>
        </is>
      </c>
      <c r="D170" s="7" t="n">
        <v>1792.1</v>
      </c>
      <c r="F170" s="7" t="n">
        <v>2592.3</v>
      </c>
      <c r="H170" s="7" t="n">
        <v>2329.4</v>
      </c>
      <c r="J170" s="7" t="n">
        <v>2112.6</v>
      </c>
      <c r="L170" s="7" t="n">
        <v>3731</v>
      </c>
      <c r="N170" s="7" t="n">
        <v>3367.4</v>
      </c>
      <c r="P170" s="7" t="n">
        <v>5054.7</v>
      </c>
      <c r="R170" s="7" t="n">
        <v>2875.1</v>
      </c>
      <c r="T170" s="7" t="n">
        <v>2678.8</v>
      </c>
      <c r="V170" s="7" t="n">
        <v>2821.6</v>
      </c>
      <c r="X170" s="7" t="n">
        <v>4450.2</v>
      </c>
      <c r="Z170" s="7" t="n">
        <v>1202</v>
      </c>
      <c r="AB170" s="7" t="n">
        <v>35007.2</v>
      </c>
    </row>
    <row r="171">
      <c r="A171" s="4" t="inlineStr">
        <is>
          <t>研发费</t>
        </is>
      </c>
      <c r="D171" s="7" t="n">
        <v>756.7</v>
      </c>
      <c r="F171" s="7" t="n">
        <v>1200.7</v>
      </c>
      <c r="H171" s="7" t="n">
        <v>1058</v>
      </c>
      <c r="J171" s="7" t="n">
        <v>1617.3</v>
      </c>
      <c r="L171" s="7" t="n">
        <v>4039.3</v>
      </c>
      <c r="N171" s="7" t="n">
        <v>2051.8</v>
      </c>
      <c r="P171" s="7" t="n">
        <v>3521.8</v>
      </c>
      <c r="R171" s="7" t="n">
        <v>1977.6</v>
      </c>
      <c r="T171" s="7" t="n">
        <v>2505.6</v>
      </c>
      <c r="V171" s="7" t="n">
        <v>1692</v>
      </c>
      <c r="X171" s="7" t="n">
        <v>2881.2</v>
      </c>
      <c r="Z171" s="7" t="n">
        <v>1039.6</v>
      </c>
      <c r="AB171" s="7" t="n">
        <v>24341.6</v>
      </c>
    </row>
    <row r="172">
      <c r="A172" s="4" t="inlineStr">
        <is>
          <t>残保金</t>
        </is>
      </c>
      <c r="D172" s="7" t="n">
        <v>334.4</v>
      </c>
      <c r="F172" s="7" t="n">
        <v>527.4</v>
      </c>
      <c r="H172" s="7" t="n">
        <v>576.2</v>
      </c>
      <c r="J172" s="7" t="n">
        <v>833.6</v>
      </c>
      <c r="L172" s="7" t="n">
        <v>949.4</v>
      </c>
      <c r="N172" s="7" t="n">
        <v>1009.4</v>
      </c>
      <c r="P172" s="7" t="n">
        <v>916.2</v>
      </c>
      <c r="R172" s="7" t="n">
        <v>902.3</v>
      </c>
      <c r="T172" s="7" t="n">
        <v>1017.8</v>
      </c>
      <c r="V172" s="7" t="n">
        <v>737.2</v>
      </c>
      <c r="X172" s="7" t="n">
        <v>813.7</v>
      </c>
      <c r="Z172" s="7" t="n">
        <v>420.9</v>
      </c>
      <c r="AB172" s="7" t="n">
        <v>9038.5</v>
      </c>
    </row>
    <row r="173">
      <c r="A173" s="4" t="inlineStr">
        <is>
          <t>环保费</t>
        </is>
      </c>
      <c r="D173" s="7" t="n">
        <v>1868.8</v>
      </c>
      <c r="F173" s="7" t="n">
        <v>3028.3</v>
      </c>
      <c r="H173" s="7" t="n">
        <v>1934.1</v>
      </c>
      <c r="J173" s="7" t="n">
        <v>3562</v>
      </c>
      <c r="L173" s="7" t="n">
        <v>4332.4</v>
      </c>
      <c r="N173" s="7" t="n">
        <v>5039.8</v>
      </c>
      <c r="P173" s="7" t="n">
        <v>4223.3</v>
      </c>
      <c r="R173" s="7" t="n">
        <v>4274.2</v>
      </c>
      <c r="T173" s="7" t="n">
        <v>3941.3</v>
      </c>
      <c r="V173" s="7" t="n">
        <v>4733.5</v>
      </c>
      <c r="X173" s="7" t="n">
        <v>4537.1</v>
      </c>
      <c r="Z173" s="7" t="n">
        <v>1319.3</v>
      </c>
      <c r="AB173" s="7" t="n">
        <v>42794.1</v>
      </c>
    </row>
    <row r="174">
      <c r="A174" s="4" t="inlineStr">
        <is>
          <t>报废损失</t>
        </is>
      </c>
      <c r="D174" s="7" t="n">
        <v>745.4</v>
      </c>
      <c r="F174" s="7" t="n">
        <v>875.3</v>
      </c>
      <c r="H174" s="7" t="n">
        <v>1328.2</v>
      </c>
      <c r="J174" s="7" t="n">
        <v>1820.3</v>
      </c>
      <c r="L174" s="7" t="n">
        <v>3592.4</v>
      </c>
      <c r="N174" s="7" t="n">
        <v>1471.7</v>
      </c>
      <c r="P174" s="7" t="n">
        <v>3155.6</v>
      </c>
      <c r="R174" s="7" t="n">
        <v>1640.6</v>
      </c>
      <c r="T174" s="7" t="n">
        <v>1680.1</v>
      </c>
      <c r="V174" s="7" t="n">
        <v>1384</v>
      </c>
      <c r="X174" s="7" t="n">
        <v>1667.4</v>
      </c>
      <c r="Z174" s="7" t="n">
        <v>688.1</v>
      </c>
      <c r="AB174" s="7" t="n">
        <v>20049.1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344218.6</v>
      </c>
      <c r="D175" s="7" t="n">
        <v>249050.4</v>
      </c>
      <c r="E175" s="7" t="n">
        <v>355071.8</v>
      </c>
      <c r="F175" s="7" t="n">
        <v>288777.3</v>
      </c>
      <c r="G175" s="7" t="n">
        <v>391990.5</v>
      </c>
      <c r="H175" s="7" t="n">
        <v>390703.6</v>
      </c>
      <c r="I175" s="7" t="n">
        <v>359441.9</v>
      </c>
      <c r="J175" s="7" t="n">
        <v>381947.5</v>
      </c>
      <c r="K175" s="7" t="n">
        <v>410166.6</v>
      </c>
      <c r="L175" s="7" t="n">
        <v>423965</v>
      </c>
      <c r="M175" s="7" t="n">
        <v>378816.5</v>
      </c>
      <c r="N175" s="7" t="n">
        <v>636996.2</v>
      </c>
      <c r="O175" s="7" t="n">
        <v>426781.5</v>
      </c>
      <c r="P175" s="7" t="n">
        <v>517103.5</v>
      </c>
      <c r="Q175" s="7" t="n">
        <v>322549.5</v>
      </c>
      <c r="R175" s="7" t="n">
        <v>296530.9</v>
      </c>
      <c r="S175" s="7" t="n">
        <v>388316.2</v>
      </c>
      <c r="T175" s="7" t="n">
        <v>337390.6</v>
      </c>
      <c r="U175" s="7" t="n">
        <v>333982.2</v>
      </c>
      <c r="V175" s="7" t="n">
        <v>502129.6</v>
      </c>
      <c r="W175" s="7" t="n">
        <v>411262.6</v>
      </c>
      <c r="X175" s="7" t="n">
        <v>156657.8</v>
      </c>
      <c r="Y175" s="7" t="n">
        <v>411600.5</v>
      </c>
      <c r="Z175" s="7" t="n">
        <v>286347.7</v>
      </c>
      <c r="AA175" s="8" t="n">
        <v>4534198.4</v>
      </c>
      <c r="AB175" s="8" t="n">
        <v>4467600.1</v>
      </c>
    </row>
    <row r="176">
      <c r="A176" s="4" t="inlineStr">
        <is>
          <t>职工薪酬</t>
        </is>
      </c>
      <c r="D176" s="7" t="n">
        <v>125803.8</v>
      </c>
      <c r="F176" s="7" t="n">
        <v>163760.1</v>
      </c>
      <c r="H176" s="7" t="n">
        <v>198142</v>
      </c>
      <c r="J176" s="7" t="n">
        <v>155277.4</v>
      </c>
      <c r="L176" s="7" t="n">
        <v>225110</v>
      </c>
      <c r="N176" s="7" t="n">
        <v>351243.2</v>
      </c>
      <c r="P176" s="7" t="n">
        <v>217806</v>
      </c>
      <c r="R176" s="7" t="n">
        <v>143162.2</v>
      </c>
      <c r="T176" s="7" t="n">
        <v>176598.6</v>
      </c>
      <c r="V176" s="7" t="n">
        <v>205634</v>
      </c>
      <c r="X176" s="7" t="n">
        <v>69201</v>
      </c>
      <c r="Z176" s="7" t="n">
        <v>155814.3</v>
      </c>
      <c r="AB176" s="7" t="n">
        <v>2187552.6</v>
      </c>
    </row>
    <row r="177">
      <c r="A177" s="4" t="inlineStr">
        <is>
          <t>工资</t>
        </is>
      </c>
      <c r="D177" s="7" t="n">
        <v>72388.39999999999</v>
      </c>
      <c r="F177" s="7" t="n">
        <v>105168.7</v>
      </c>
      <c r="H177" s="7" t="n">
        <v>113488.6</v>
      </c>
      <c r="J177" s="7" t="n">
        <v>88370.10000000001</v>
      </c>
      <c r="L177" s="7" t="n">
        <v>126989.1</v>
      </c>
      <c r="N177" s="7" t="n">
        <v>208684.5</v>
      </c>
      <c r="P177" s="7" t="n">
        <v>118145.6</v>
      </c>
      <c r="R177" s="7" t="n">
        <v>84280.3</v>
      </c>
      <c r="T177" s="7" t="n">
        <v>104686.8</v>
      </c>
      <c r="V177" s="7" t="n">
        <v>105462.6</v>
      </c>
      <c r="X177" s="7" t="n">
        <v>35461.2</v>
      </c>
      <c r="Z177" s="7" t="n">
        <v>91275.2</v>
      </c>
      <c r="AB177" s="7" t="n">
        <v>1254401.1</v>
      </c>
    </row>
    <row r="178">
      <c r="A178" s="4" t="inlineStr">
        <is>
          <t>奖金及提成</t>
        </is>
      </c>
      <c r="D178" s="7" t="n">
        <v>26684.2</v>
      </c>
      <c r="F178" s="7" t="n">
        <v>25492.1</v>
      </c>
      <c r="H178" s="7" t="n">
        <v>39265.8</v>
      </c>
      <c r="J178" s="7" t="n">
        <v>31476.7</v>
      </c>
      <c r="L178" s="7" t="n">
        <v>46758.4</v>
      </c>
      <c r="N178" s="7" t="n">
        <v>80912.10000000001</v>
      </c>
      <c r="P178" s="7" t="n">
        <v>47470.4</v>
      </c>
      <c r="R178" s="7" t="n">
        <v>21722.8</v>
      </c>
      <c r="T178" s="7" t="n">
        <v>28130</v>
      </c>
      <c r="V178" s="7" t="n">
        <v>48840.9</v>
      </c>
      <c r="X178" s="7" t="n">
        <v>16231.2</v>
      </c>
      <c r="Z178" s="7" t="n">
        <v>30692.3</v>
      </c>
      <c r="AB178" s="7" t="n">
        <v>443676.9</v>
      </c>
    </row>
    <row r="179">
      <c r="A179" s="4" t="inlineStr">
        <is>
          <t>社保</t>
        </is>
      </c>
      <c r="D179" s="7" t="n">
        <v>19602.9</v>
      </c>
      <c r="F179" s="7" t="n">
        <v>25280.7</v>
      </c>
      <c r="H179" s="7" t="n">
        <v>35305.5</v>
      </c>
      <c r="J179" s="7" t="n">
        <v>23479.5</v>
      </c>
      <c r="L179" s="7" t="n">
        <v>39194.4</v>
      </c>
      <c r="N179" s="7" t="n">
        <v>42451.9</v>
      </c>
      <c r="P179" s="7" t="n">
        <v>37430.6</v>
      </c>
      <c r="R179" s="7" t="n">
        <v>28417.9</v>
      </c>
      <c r="T179" s="7" t="n">
        <v>34512.6</v>
      </c>
      <c r="V179" s="7" t="n">
        <v>35156.7</v>
      </c>
      <c r="X179" s="7" t="n">
        <v>12697.9</v>
      </c>
      <c r="Z179" s="7" t="n">
        <v>25685.6</v>
      </c>
      <c r="AB179" s="7" t="n">
        <v>359216.2</v>
      </c>
    </row>
    <row r="180">
      <c r="A180" s="4" t="inlineStr">
        <is>
          <t>养老</t>
        </is>
      </c>
      <c r="D180" s="7" t="n">
        <v>59.7</v>
      </c>
      <c r="F180" s="7" t="n">
        <v>68</v>
      </c>
      <c r="H180" s="7" t="n">
        <v>132.5</v>
      </c>
      <c r="J180" s="7" t="n">
        <v>129.9</v>
      </c>
      <c r="L180" s="7" t="n">
        <v>97.3</v>
      </c>
      <c r="N180" s="7" t="n">
        <v>203.9</v>
      </c>
      <c r="P180" s="7" t="n">
        <v>126.1</v>
      </c>
      <c r="R180" s="7" t="n">
        <v>112</v>
      </c>
      <c r="T180" s="7" t="n">
        <v>94.8</v>
      </c>
      <c r="V180" s="7" t="n">
        <v>146.8</v>
      </c>
      <c r="X180" s="7" t="n">
        <v>55</v>
      </c>
      <c r="Z180" s="7" t="n">
        <v>97.09999999999999</v>
      </c>
      <c r="AB180" s="7" t="n">
        <v>1323.1</v>
      </c>
    </row>
    <row r="181">
      <c r="A181" s="4" t="inlineStr">
        <is>
          <t>医疗</t>
        </is>
      </c>
      <c r="D181" s="7" t="n">
        <v>167</v>
      </c>
      <c r="F181" s="7" t="n">
        <v>256.3</v>
      </c>
      <c r="H181" s="7" t="n">
        <v>332</v>
      </c>
      <c r="J181" s="7" t="n">
        <v>284.3</v>
      </c>
      <c r="L181" s="7" t="n">
        <v>348.5</v>
      </c>
      <c r="N181" s="7" t="n">
        <v>436.8</v>
      </c>
      <c r="P181" s="7" t="n">
        <v>400.2</v>
      </c>
      <c r="R181" s="7" t="n">
        <v>266.9</v>
      </c>
      <c r="T181" s="7" t="n">
        <v>186.2</v>
      </c>
      <c r="V181" s="7" t="n">
        <v>354.6</v>
      </c>
      <c r="X181" s="7" t="n">
        <v>112.7</v>
      </c>
      <c r="Z181" s="7" t="n">
        <v>147.5</v>
      </c>
      <c r="AB181" s="7" t="n">
        <v>3293</v>
      </c>
    </row>
    <row r="182">
      <c r="A182" s="4" t="inlineStr">
        <is>
          <t>工伤</t>
        </is>
      </c>
      <c r="D182" s="7" t="n">
        <v>1838</v>
      </c>
      <c r="F182" s="7" t="n">
        <v>1753</v>
      </c>
      <c r="H182" s="7" t="n">
        <v>2408.2</v>
      </c>
      <c r="J182" s="7" t="n">
        <v>2934.5</v>
      </c>
      <c r="L182" s="7" t="n">
        <v>2096.6</v>
      </c>
      <c r="N182" s="7" t="n">
        <v>4090.9</v>
      </c>
      <c r="P182" s="7" t="n">
        <v>3610.1</v>
      </c>
      <c r="R182" s="7" t="n">
        <v>1413.2</v>
      </c>
      <c r="T182" s="7" t="n">
        <v>1929.5</v>
      </c>
      <c r="V182" s="7" t="n">
        <v>3265.4</v>
      </c>
      <c r="X182" s="7" t="n">
        <v>1181.4</v>
      </c>
      <c r="Z182" s="7" t="n">
        <v>1760.5</v>
      </c>
      <c r="AB182" s="7" t="n">
        <v>28281.3</v>
      </c>
    </row>
    <row r="183">
      <c r="A183" s="4" t="inlineStr">
        <is>
          <t>失业</t>
        </is>
      </c>
      <c r="D183" s="7" t="n">
        <v>808.9</v>
      </c>
      <c r="F183" s="7" t="n">
        <v>910.2</v>
      </c>
      <c r="H183" s="7" t="n">
        <v>1140.6</v>
      </c>
      <c r="J183" s="7" t="n">
        <v>832.5</v>
      </c>
      <c r="L183" s="7" t="n">
        <v>1366.9</v>
      </c>
      <c r="N183" s="7" t="n">
        <v>2060.3</v>
      </c>
      <c r="P183" s="7" t="n">
        <v>1267.4</v>
      </c>
      <c r="R183" s="7" t="n">
        <v>583.4</v>
      </c>
      <c r="T183" s="7" t="n">
        <v>806.5</v>
      </c>
      <c r="V183" s="7" t="n">
        <v>1418.6</v>
      </c>
      <c r="X183" s="7" t="n">
        <v>454</v>
      </c>
      <c r="Z183" s="7" t="n">
        <v>635.1</v>
      </c>
      <c r="AB183" s="7" t="n">
        <v>12284.4</v>
      </c>
    </row>
    <row r="184">
      <c r="A184" s="4" t="inlineStr">
        <is>
          <t>生育</t>
        </is>
      </c>
      <c r="D184" s="7" t="n">
        <v>1393.6</v>
      </c>
      <c r="F184" s="7" t="n">
        <v>1497.2</v>
      </c>
      <c r="H184" s="7" t="n">
        <v>2266.8</v>
      </c>
      <c r="J184" s="7" t="n">
        <v>1896.7</v>
      </c>
      <c r="L184" s="7" t="n">
        <v>1600.2</v>
      </c>
      <c r="N184" s="7" t="n">
        <v>3148.5</v>
      </c>
      <c r="P184" s="7" t="n">
        <v>2079.8</v>
      </c>
      <c r="R184" s="7" t="n">
        <v>1237.4</v>
      </c>
      <c r="T184" s="7" t="n">
        <v>1712.5</v>
      </c>
      <c r="V184" s="7" t="n">
        <v>2976.8</v>
      </c>
      <c r="X184" s="7" t="n">
        <v>785.5</v>
      </c>
      <c r="Z184" s="7" t="n">
        <v>1679.4</v>
      </c>
      <c r="AB184" s="7" t="n">
        <v>22274.4</v>
      </c>
    </row>
    <row r="185">
      <c r="A185" s="4" t="inlineStr">
        <is>
          <t>公积金</t>
        </is>
      </c>
      <c r="D185" s="7" t="n">
        <v>918.9</v>
      </c>
      <c r="F185" s="7" t="n">
        <v>852.5</v>
      </c>
      <c r="H185" s="7" t="n">
        <v>993.1</v>
      </c>
      <c r="J185" s="7" t="n">
        <v>1150.1</v>
      </c>
      <c r="L185" s="7" t="n">
        <v>1384.4</v>
      </c>
      <c r="N185" s="7" t="n">
        <v>2194</v>
      </c>
      <c r="P185" s="7" t="n">
        <v>1880</v>
      </c>
      <c r="R185" s="7" t="n">
        <v>931.3</v>
      </c>
      <c r="T185" s="7" t="n">
        <v>1280.6</v>
      </c>
      <c r="V185" s="7" t="n">
        <v>1999</v>
      </c>
      <c r="X185" s="7" t="n">
        <v>451.1</v>
      </c>
      <c r="Z185" s="7" t="n">
        <v>1143.3</v>
      </c>
      <c r="AB185" s="7" t="n">
        <v>15178.3</v>
      </c>
    </row>
    <row r="186">
      <c r="A186" s="4" t="inlineStr">
        <is>
          <t>工会经费</t>
        </is>
      </c>
      <c r="D186" s="7" t="n">
        <v>1338.1</v>
      </c>
      <c r="F186" s="7" t="n">
        <v>1094.6</v>
      </c>
      <c r="H186" s="7" t="n">
        <v>1630.2</v>
      </c>
      <c r="J186" s="7" t="n">
        <v>2231.3</v>
      </c>
      <c r="L186" s="7" t="n">
        <v>1842.5</v>
      </c>
      <c r="N186" s="7" t="n">
        <v>3883.1</v>
      </c>
      <c r="P186" s="7" t="n">
        <v>2183.2</v>
      </c>
      <c r="R186" s="7" t="n">
        <v>1370.5</v>
      </c>
      <c r="T186" s="7" t="n">
        <v>1520.6</v>
      </c>
      <c r="V186" s="7" t="n">
        <v>3203.4</v>
      </c>
      <c r="X186" s="7" t="n">
        <v>925.3</v>
      </c>
      <c r="Z186" s="7" t="n">
        <v>1331.2</v>
      </c>
      <c r="AB186" s="7" t="n">
        <v>22554</v>
      </c>
    </row>
    <row r="187">
      <c r="A187" s="4" t="inlineStr">
        <is>
          <t>职工教育经费</t>
        </is>
      </c>
      <c r="D187" s="7" t="n">
        <v>885.4</v>
      </c>
      <c r="F187" s="7" t="n">
        <v>1695.9</v>
      </c>
      <c r="H187" s="7" t="n">
        <v>1470.2</v>
      </c>
      <c r="J187" s="7" t="n">
        <v>2304.2</v>
      </c>
      <c r="L187" s="7" t="n">
        <v>2396.1</v>
      </c>
      <c r="N187" s="7" t="n">
        <v>3836.8</v>
      </c>
      <c r="P187" s="7" t="n">
        <v>2927</v>
      </c>
      <c r="R187" s="7" t="n">
        <v>1519.2</v>
      </c>
      <c r="T187" s="7" t="n">
        <v>1404.8</v>
      </c>
      <c r="V187" s="7" t="n">
        <v>2904.6</v>
      </c>
      <c r="X187" s="7" t="n">
        <v>912.9</v>
      </c>
      <c r="Z187" s="7" t="n">
        <v>1234.7</v>
      </c>
      <c r="AB187" s="7" t="n">
        <v>23491.8</v>
      </c>
    </row>
    <row r="188">
      <c r="A188" s="4" t="inlineStr">
        <is>
          <t>福利费</t>
        </is>
      </c>
      <c r="D188" s="7" t="n">
        <v>3985.9</v>
      </c>
      <c r="F188" s="7" t="n">
        <v>4175.6</v>
      </c>
      <c r="H188" s="7" t="n">
        <v>5988.6</v>
      </c>
      <c r="J188" s="7" t="n">
        <v>6265.5</v>
      </c>
      <c r="L188" s="7" t="n">
        <v>6545.1</v>
      </c>
      <c r="N188" s="7" t="n">
        <v>9280.799999999999</v>
      </c>
      <c r="P188" s="7" t="n">
        <v>7769.2</v>
      </c>
      <c r="R188" s="7" t="n">
        <v>4920.2</v>
      </c>
      <c r="T188" s="7" t="n">
        <v>5063.2</v>
      </c>
      <c r="V188" s="7" t="n">
        <v>8066.8</v>
      </c>
      <c r="X188" s="7" t="n">
        <v>2521.4</v>
      </c>
      <c r="Z188" s="7" t="n">
        <v>4452</v>
      </c>
      <c r="AB188" s="7" t="n">
        <v>69034.3</v>
      </c>
    </row>
    <row r="189">
      <c r="A189" s="4" t="inlineStr">
        <is>
          <t>职工房租</t>
        </is>
      </c>
      <c r="D189" s="7" t="n">
        <v>1690.1</v>
      </c>
      <c r="F189" s="7" t="n">
        <v>1764.6</v>
      </c>
      <c r="H189" s="7" t="n">
        <v>2314.8</v>
      </c>
      <c r="J189" s="7" t="n">
        <v>2396.9</v>
      </c>
      <c r="L189" s="7" t="n">
        <v>2372</v>
      </c>
      <c r="N189" s="7" t="n">
        <v>3681.9</v>
      </c>
      <c r="P189" s="7" t="n">
        <v>3280.6</v>
      </c>
      <c r="R189" s="7" t="n">
        <v>2063.5</v>
      </c>
      <c r="T189" s="7" t="n">
        <v>1609.5</v>
      </c>
      <c r="V189" s="7" t="n">
        <v>2203.9</v>
      </c>
      <c r="X189" s="7" t="n">
        <v>946.1</v>
      </c>
      <c r="Z189" s="7" t="n">
        <v>1265.8</v>
      </c>
      <c r="AB189" s="7" t="n">
        <v>25589.7</v>
      </c>
    </row>
    <row r="190">
      <c r="A190" s="4" t="inlineStr">
        <is>
          <t>水电物业费</t>
        </is>
      </c>
      <c r="D190" s="7" t="n">
        <v>286.2</v>
      </c>
      <c r="F190" s="7" t="n">
        <v>304.9</v>
      </c>
      <c r="H190" s="7" t="n">
        <v>426.2</v>
      </c>
      <c r="J190" s="7" t="n">
        <v>450.1</v>
      </c>
      <c r="L190" s="7" t="n">
        <v>375.9</v>
      </c>
      <c r="N190" s="7" t="n">
        <v>762.5</v>
      </c>
      <c r="P190" s="7" t="n">
        <v>502.7</v>
      </c>
      <c r="R190" s="7" t="n">
        <v>303.6</v>
      </c>
      <c r="T190" s="7" t="n">
        <v>432.9</v>
      </c>
      <c r="V190" s="7" t="n">
        <v>453.7</v>
      </c>
      <c r="X190" s="7" t="n">
        <v>141.4</v>
      </c>
      <c r="Z190" s="7" t="n">
        <v>291.6</v>
      </c>
      <c r="AB190" s="7" t="n">
        <v>4731.7</v>
      </c>
    </row>
    <row r="191">
      <c r="A191" s="4" t="inlineStr">
        <is>
          <t>员工餐</t>
        </is>
      </c>
      <c r="D191" s="7" t="n">
        <v>104.6</v>
      </c>
      <c r="F191" s="7" t="n">
        <v>103</v>
      </c>
      <c r="H191" s="7" t="n">
        <v>142.9</v>
      </c>
      <c r="J191" s="7" t="n">
        <v>126.6</v>
      </c>
      <c r="L191" s="7" t="n">
        <v>147.5</v>
      </c>
      <c r="N191" s="7" t="n">
        <v>194.3</v>
      </c>
      <c r="P191" s="7" t="n">
        <v>201.8</v>
      </c>
      <c r="R191" s="7" t="n">
        <v>88.09999999999999</v>
      </c>
      <c r="T191" s="7" t="n">
        <v>93.59999999999999</v>
      </c>
      <c r="V191" s="7" t="n">
        <v>135.7</v>
      </c>
      <c r="X191" s="7" t="n">
        <v>38.7</v>
      </c>
      <c r="Z191" s="7" t="n">
        <v>95.8</v>
      </c>
      <c r="AB191" s="7" t="n">
        <v>1472.6</v>
      </c>
    </row>
    <row r="192">
      <c r="A192" s="4" t="inlineStr">
        <is>
          <t>节日礼品</t>
        </is>
      </c>
      <c r="D192" s="7" t="n">
        <v>694.4</v>
      </c>
      <c r="F192" s="7" t="n">
        <v>594.8</v>
      </c>
      <c r="H192" s="7" t="n">
        <v>887.4</v>
      </c>
      <c r="J192" s="7" t="n">
        <v>862.6</v>
      </c>
      <c r="L192" s="7" t="n">
        <v>1039.7</v>
      </c>
      <c r="N192" s="7" t="n">
        <v>1592.2</v>
      </c>
      <c r="P192" s="7" t="n">
        <v>1172.1</v>
      </c>
      <c r="R192" s="7" t="n">
        <v>931.4</v>
      </c>
      <c r="T192" s="7" t="n">
        <v>937</v>
      </c>
      <c r="V192" s="7" t="n">
        <v>1777.6</v>
      </c>
      <c r="X192" s="7" t="n">
        <v>510.3</v>
      </c>
      <c r="Z192" s="7" t="n">
        <v>1006.4</v>
      </c>
      <c r="AB192" s="7" t="n">
        <v>12005.9</v>
      </c>
    </row>
    <row r="193">
      <c r="A193" s="4" t="inlineStr">
        <is>
          <t>生日礼品</t>
        </is>
      </c>
      <c r="D193" s="7" t="n">
        <v>15.8</v>
      </c>
      <c r="F193" s="7" t="n">
        <v>16.1</v>
      </c>
      <c r="H193" s="7" t="n">
        <v>28</v>
      </c>
      <c r="J193" s="7" t="n">
        <v>23.6</v>
      </c>
      <c r="L193" s="7" t="n">
        <v>26.3</v>
      </c>
      <c r="N193" s="7" t="n">
        <v>46.9</v>
      </c>
      <c r="P193" s="7" t="n">
        <v>33.1</v>
      </c>
      <c r="R193" s="7" t="n">
        <v>15.3</v>
      </c>
      <c r="T193" s="7" t="n">
        <v>24.3</v>
      </c>
      <c r="V193" s="7" t="n">
        <v>36.7</v>
      </c>
      <c r="X193" s="7" t="n">
        <v>8.4</v>
      </c>
      <c r="Z193" s="7" t="n">
        <v>16.9</v>
      </c>
      <c r="AB193" s="7" t="n">
        <v>291.4</v>
      </c>
    </row>
    <row r="194">
      <c r="A194" s="4" t="inlineStr">
        <is>
          <t>体检</t>
        </is>
      </c>
      <c r="D194" s="7" t="n">
        <v>575.9</v>
      </c>
      <c r="F194" s="7" t="n">
        <v>639.1</v>
      </c>
      <c r="H194" s="7" t="n">
        <v>670.2</v>
      </c>
      <c r="J194" s="7" t="n">
        <v>837.1</v>
      </c>
      <c r="L194" s="7" t="n">
        <v>760.6</v>
      </c>
      <c r="N194" s="7" t="n">
        <v>858.1</v>
      </c>
      <c r="P194" s="7" t="n">
        <v>1188.2</v>
      </c>
      <c r="R194" s="7" t="n">
        <v>448.5</v>
      </c>
      <c r="T194" s="7" t="n">
        <v>630.9</v>
      </c>
      <c r="V194" s="7" t="n">
        <v>1181.7</v>
      </c>
      <c r="X194" s="7" t="n">
        <v>232.6</v>
      </c>
      <c r="Z194" s="7" t="n">
        <v>676.5</v>
      </c>
      <c r="AB194" s="7" t="n">
        <v>8699.4</v>
      </c>
    </row>
    <row r="195">
      <c r="A195" s="4" t="inlineStr">
        <is>
          <t>其他福利支出</t>
        </is>
      </c>
      <c r="D195" s="7" t="n">
        <v>618.9</v>
      </c>
      <c r="F195" s="7" t="n">
        <v>753.1</v>
      </c>
      <c r="H195" s="7" t="n">
        <v>1519.1</v>
      </c>
      <c r="J195" s="7" t="n">
        <v>1568.6</v>
      </c>
      <c r="L195" s="7" t="n">
        <v>1823.1</v>
      </c>
      <c r="N195" s="7" t="n">
        <v>2144.9</v>
      </c>
      <c r="P195" s="7" t="n">
        <v>1390.7</v>
      </c>
      <c r="R195" s="7" t="n">
        <v>1069.8</v>
      </c>
      <c r="T195" s="7" t="n">
        <v>1335</v>
      </c>
      <c r="V195" s="7" t="n">
        <v>2277.5</v>
      </c>
      <c r="X195" s="7" t="n">
        <v>643.9</v>
      </c>
      <c r="Z195" s="7" t="n">
        <v>1099</v>
      </c>
      <c r="AB195" s="7" t="n">
        <v>16243.6</v>
      </c>
    </row>
    <row r="196">
      <c r="A196" s="4" t="inlineStr">
        <is>
          <t>招聘费</t>
        </is>
      </c>
      <c r="D196" s="7" t="n">
        <v>1762.1</v>
      </c>
      <c r="F196" s="7" t="n">
        <v>1409.8</v>
      </c>
      <c r="H196" s="7" t="n">
        <v>2348.7</v>
      </c>
      <c r="J196" s="7" t="n">
        <v>2116</v>
      </c>
      <c r="L196" s="7" t="n">
        <v>1966</v>
      </c>
      <c r="N196" s="7" t="n">
        <v>2875.6</v>
      </c>
      <c r="P196" s="7" t="n">
        <v>3749.1</v>
      </c>
      <c r="R196" s="7" t="n">
        <v>1891</v>
      </c>
      <c r="T196" s="7" t="n">
        <v>2172.6</v>
      </c>
      <c r="V196" s="7" t="n">
        <v>2588.6</v>
      </c>
      <c r="X196" s="7" t="n">
        <v>825.6</v>
      </c>
      <c r="Z196" s="7" t="n">
        <v>1646</v>
      </c>
      <c r="AB196" s="7" t="n">
        <v>25351.1</v>
      </c>
    </row>
    <row r="197">
      <c r="A197" s="4" t="inlineStr">
        <is>
          <t>办公费</t>
        </is>
      </c>
      <c r="D197" s="7" t="n">
        <v>8055.3</v>
      </c>
      <c r="F197" s="7" t="n">
        <v>8315.200000000001</v>
      </c>
      <c r="H197" s="7" t="n">
        <v>8323.6</v>
      </c>
      <c r="J197" s="7" t="n">
        <v>12649.9</v>
      </c>
      <c r="L197" s="7" t="n">
        <v>12984.8</v>
      </c>
      <c r="N197" s="7" t="n">
        <v>20731.4</v>
      </c>
      <c r="P197" s="7" t="n">
        <v>16614.7</v>
      </c>
      <c r="R197" s="7" t="n">
        <v>10262.1</v>
      </c>
      <c r="T197" s="7" t="n">
        <v>10641.6</v>
      </c>
      <c r="V197" s="7" t="n">
        <v>16879.5</v>
      </c>
      <c r="X197" s="7" t="n">
        <v>3494.5</v>
      </c>
      <c r="Z197" s="7" t="n">
        <v>10796.7</v>
      </c>
      <c r="AB197" s="7" t="n">
        <v>139749.3</v>
      </c>
    </row>
    <row r="198">
      <c r="A198" s="4" t="inlineStr">
        <is>
          <t>市内交通费</t>
        </is>
      </c>
      <c r="D198" s="7" t="n">
        <v>203.2</v>
      </c>
      <c r="F198" s="7" t="n">
        <v>177</v>
      </c>
      <c r="H198" s="7" t="n">
        <v>204.5</v>
      </c>
      <c r="J198" s="7" t="n">
        <v>308.1</v>
      </c>
      <c r="L198" s="7" t="n">
        <v>284</v>
      </c>
      <c r="N198" s="7" t="n">
        <v>415.4</v>
      </c>
      <c r="P198" s="7" t="n">
        <v>394.6</v>
      </c>
      <c r="R198" s="7" t="n">
        <v>203.2</v>
      </c>
      <c r="T198" s="7" t="n">
        <v>239.5</v>
      </c>
      <c r="V198" s="7" t="n">
        <v>273.2</v>
      </c>
      <c r="X198" s="7" t="n">
        <v>101.9</v>
      </c>
      <c r="Z198" s="7" t="n">
        <v>234.9</v>
      </c>
      <c r="AB198" s="7" t="n">
        <v>3039.5</v>
      </c>
    </row>
    <row r="199">
      <c r="A199" s="4" t="inlineStr">
        <is>
          <t>差旅费</t>
        </is>
      </c>
      <c r="D199" s="7" t="n">
        <v>15353</v>
      </c>
      <c r="F199" s="7" t="n">
        <v>22110.2</v>
      </c>
      <c r="H199" s="7" t="n">
        <v>18436</v>
      </c>
      <c r="J199" s="7" t="n">
        <v>25354.6</v>
      </c>
      <c r="L199" s="7" t="n">
        <v>31759.3</v>
      </c>
      <c r="N199" s="7" t="n">
        <v>44985.1</v>
      </c>
      <c r="P199" s="7" t="n">
        <v>35295.3</v>
      </c>
      <c r="R199" s="7" t="n">
        <v>16437.5</v>
      </c>
      <c r="T199" s="7" t="n">
        <v>25702.7</v>
      </c>
      <c r="V199" s="7" t="n">
        <v>31095.3</v>
      </c>
      <c r="X199" s="7" t="n">
        <v>9710</v>
      </c>
      <c r="Z199" s="7" t="n">
        <v>13297</v>
      </c>
      <c r="AB199" s="7" t="n">
        <v>289536</v>
      </c>
    </row>
    <row r="200">
      <c r="A200" s="4" t="inlineStr">
        <is>
          <t>交通费</t>
        </is>
      </c>
      <c r="D200" s="7" t="n">
        <v>8.699999999999999</v>
      </c>
      <c r="F200" s="7" t="n">
        <v>9.699999999999999</v>
      </c>
      <c r="H200" s="7" t="n">
        <v>16.3</v>
      </c>
      <c r="J200" s="7" t="n">
        <v>11.1</v>
      </c>
      <c r="L200" s="7" t="n">
        <v>16.1</v>
      </c>
      <c r="N200" s="7" t="n">
        <v>26.1</v>
      </c>
      <c r="P200" s="7" t="n">
        <v>15.5</v>
      </c>
      <c r="R200" s="7" t="n">
        <v>9.300000000000001</v>
      </c>
      <c r="T200" s="7" t="n">
        <v>12.1</v>
      </c>
      <c r="V200" s="7" t="n">
        <v>16.7</v>
      </c>
      <c r="X200" s="7" t="n">
        <v>4.1</v>
      </c>
      <c r="Z200" s="7" t="n">
        <v>7.9</v>
      </c>
      <c r="AB200" s="7" t="n">
        <v>153.6</v>
      </c>
    </row>
    <row r="201">
      <c r="A201" s="4" t="inlineStr">
        <is>
          <t>住宿费</t>
        </is>
      </c>
      <c r="D201" s="7" t="n">
        <v>1113.2</v>
      </c>
      <c r="F201" s="7" t="n">
        <v>1278.5</v>
      </c>
      <c r="H201" s="7" t="n">
        <v>2523.1</v>
      </c>
      <c r="J201" s="7" t="n">
        <v>2532.6</v>
      </c>
      <c r="L201" s="7" t="n">
        <v>2810</v>
      </c>
      <c r="N201" s="7" t="n">
        <v>4391.3</v>
      </c>
      <c r="P201" s="7" t="n">
        <v>3670</v>
      </c>
      <c r="R201" s="7" t="n">
        <v>1585.4</v>
      </c>
      <c r="T201" s="7" t="n">
        <v>1901.8</v>
      </c>
      <c r="V201" s="7" t="n">
        <v>2403.3</v>
      </c>
      <c r="X201" s="7" t="n">
        <v>634.9</v>
      </c>
      <c r="Z201" s="7" t="n">
        <v>1189.5</v>
      </c>
      <c r="AB201" s="7" t="n">
        <v>26033.6</v>
      </c>
    </row>
    <row r="202">
      <c r="A202" s="4" t="inlineStr">
        <is>
          <t>餐补</t>
        </is>
      </c>
      <c r="D202" s="7" t="n">
        <v>1175.9</v>
      </c>
      <c r="F202" s="7" t="n">
        <v>1234.5</v>
      </c>
      <c r="H202" s="7" t="n">
        <v>1444.3</v>
      </c>
      <c r="J202" s="7" t="n">
        <v>1986.8</v>
      </c>
      <c r="L202" s="7" t="n">
        <v>1533.1</v>
      </c>
      <c r="N202" s="7" t="n">
        <v>3248.1</v>
      </c>
      <c r="P202" s="7" t="n">
        <v>3051</v>
      </c>
      <c r="R202" s="7" t="n">
        <v>1256.6</v>
      </c>
      <c r="T202" s="7" t="n">
        <v>1557.8</v>
      </c>
      <c r="V202" s="7" t="n">
        <v>2555.9</v>
      </c>
      <c r="X202" s="7" t="n">
        <v>658.5</v>
      </c>
      <c r="Z202" s="7" t="n">
        <v>1431.2</v>
      </c>
      <c r="AB202" s="7" t="n">
        <v>21133.7</v>
      </c>
    </row>
    <row r="203">
      <c r="A203" s="4" t="inlineStr">
        <is>
          <t>交通补助</t>
        </is>
      </c>
      <c r="D203" s="7" t="n">
        <v>848.5</v>
      </c>
      <c r="F203" s="7" t="n">
        <v>952.9</v>
      </c>
      <c r="H203" s="7" t="n">
        <v>1386.6</v>
      </c>
      <c r="J203" s="7" t="n">
        <v>995.6</v>
      </c>
      <c r="L203" s="7" t="n">
        <v>1332.8</v>
      </c>
      <c r="N203" s="7" t="n">
        <v>1967.6</v>
      </c>
      <c r="P203" s="7" t="n">
        <v>2193.6</v>
      </c>
      <c r="R203" s="7" t="n">
        <v>1057.5</v>
      </c>
      <c r="T203" s="7" t="n">
        <v>1506.6</v>
      </c>
      <c r="V203" s="7" t="n">
        <v>1453.6</v>
      </c>
      <c r="X203" s="7" t="n">
        <v>662.2</v>
      </c>
      <c r="Z203" s="7" t="n">
        <v>1302.7</v>
      </c>
      <c r="AB203" s="7" t="n">
        <v>15660.2</v>
      </c>
    </row>
    <row r="204">
      <c r="A204" s="4" t="inlineStr">
        <is>
          <t>通讯补助</t>
        </is>
      </c>
      <c r="D204" s="7" t="n">
        <v>691.8</v>
      </c>
      <c r="F204" s="7" t="n">
        <v>774.2</v>
      </c>
      <c r="H204" s="7" t="n">
        <v>1222.6</v>
      </c>
      <c r="J204" s="7" t="n">
        <v>933.7</v>
      </c>
      <c r="L204" s="7" t="n">
        <v>1369.1</v>
      </c>
      <c r="N204" s="7" t="n">
        <v>2329.8</v>
      </c>
      <c r="P204" s="7" t="n">
        <v>1907.2</v>
      </c>
      <c r="R204" s="7" t="n">
        <v>705.6</v>
      </c>
      <c r="T204" s="7" t="n">
        <v>1047.7</v>
      </c>
      <c r="V204" s="7" t="n">
        <v>1307.5</v>
      </c>
      <c r="X204" s="7" t="n">
        <v>585.7</v>
      </c>
      <c r="Z204" s="7" t="n">
        <v>648.2</v>
      </c>
      <c r="AB204" s="7" t="n">
        <v>13523.1</v>
      </c>
    </row>
    <row r="205">
      <c r="A205" s="4" t="inlineStr">
        <is>
          <t>招待费</t>
        </is>
      </c>
      <c r="D205" s="7" t="n">
        <v>7424.1</v>
      </c>
      <c r="F205" s="7" t="n">
        <v>8214.9</v>
      </c>
      <c r="H205" s="7" t="n">
        <v>15695.5</v>
      </c>
      <c r="J205" s="7" t="n">
        <v>10980.5</v>
      </c>
      <c r="L205" s="7" t="n">
        <v>17791.8</v>
      </c>
      <c r="N205" s="7" t="n">
        <v>24029.6</v>
      </c>
      <c r="P205" s="7" t="n">
        <v>21801.5</v>
      </c>
      <c r="R205" s="7" t="n">
        <v>14752.8</v>
      </c>
      <c r="T205" s="7" t="n">
        <v>13913.4</v>
      </c>
      <c r="V205" s="7" t="n">
        <v>20609</v>
      </c>
      <c r="X205" s="7" t="n">
        <v>8141.4</v>
      </c>
      <c r="Z205" s="7" t="n">
        <v>11262.2</v>
      </c>
      <c r="AB205" s="7" t="n">
        <v>174616.7</v>
      </c>
    </row>
    <row r="206">
      <c r="A206" s="4" t="inlineStr">
        <is>
          <t>通讯费</t>
        </is>
      </c>
      <c r="D206" s="7" t="n">
        <v>1164.1</v>
      </c>
      <c r="F206" s="7" t="n">
        <v>1224.2</v>
      </c>
      <c r="H206" s="7" t="n">
        <v>2310.3</v>
      </c>
      <c r="J206" s="7" t="n">
        <v>2213.2</v>
      </c>
      <c r="L206" s="7" t="n">
        <v>1884.9</v>
      </c>
      <c r="N206" s="7" t="n">
        <v>3169.4</v>
      </c>
      <c r="P206" s="7" t="n">
        <v>2645</v>
      </c>
      <c r="R206" s="7" t="n">
        <v>1414</v>
      </c>
      <c r="T206" s="7" t="n">
        <v>1717.3</v>
      </c>
      <c r="V206" s="7" t="n">
        <v>2801.6</v>
      </c>
      <c r="X206" s="7" t="n">
        <v>962.6</v>
      </c>
      <c r="Z206" s="7" t="n">
        <v>1723.3</v>
      </c>
      <c r="AB206" s="7" t="n">
        <v>23229.9</v>
      </c>
    </row>
    <row r="207">
      <c r="A207" s="4" t="inlineStr">
        <is>
          <t>网络费</t>
        </is>
      </c>
      <c r="D207" s="7" t="n">
        <v>801.7</v>
      </c>
      <c r="F207" s="7" t="n">
        <v>1172.6</v>
      </c>
      <c r="H207" s="7" t="n">
        <v>1522.4</v>
      </c>
      <c r="J207" s="7" t="n">
        <v>1241.8</v>
      </c>
      <c r="L207" s="7" t="n">
        <v>2166.7</v>
      </c>
      <c r="N207" s="7" t="n">
        <v>2810.2</v>
      </c>
      <c r="P207" s="7" t="n">
        <v>2666.4</v>
      </c>
      <c r="R207" s="7" t="n">
        <v>1363</v>
      </c>
      <c r="T207" s="7" t="n">
        <v>1345</v>
      </c>
      <c r="V207" s="7" t="n">
        <v>1850.5</v>
      </c>
      <c r="X207" s="7" t="n">
        <v>524.4</v>
      </c>
      <c r="Z207" s="7" t="n">
        <v>1144.4</v>
      </c>
      <c r="AB207" s="7" t="n">
        <v>18609.1</v>
      </c>
    </row>
    <row r="208">
      <c r="A208" s="4" t="inlineStr">
        <is>
          <t>修理费</t>
        </is>
      </c>
      <c r="D208" s="7" t="n">
        <v>94.59999999999999</v>
      </c>
      <c r="F208" s="7" t="n">
        <v>86.40000000000001</v>
      </c>
      <c r="H208" s="7" t="n">
        <v>132.7</v>
      </c>
      <c r="J208" s="7" t="n">
        <v>196</v>
      </c>
      <c r="L208" s="7" t="n">
        <v>160.2</v>
      </c>
      <c r="N208" s="7" t="n">
        <v>257.8</v>
      </c>
      <c r="P208" s="7" t="n">
        <v>207.4</v>
      </c>
      <c r="R208" s="7" t="n">
        <v>89</v>
      </c>
      <c r="T208" s="7" t="n">
        <v>179.2</v>
      </c>
      <c r="V208" s="7" t="n">
        <v>185.1</v>
      </c>
      <c r="X208" s="7" t="n">
        <v>72.5</v>
      </c>
      <c r="Z208" s="7" t="n">
        <v>119.5</v>
      </c>
      <c r="AB208" s="7" t="n">
        <v>1780.4</v>
      </c>
    </row>
    <row r="209">
      <c r="A209" s="4" t="inlineStr">
        <is>
          <t>车辆费</t>
        </is>
      </c>
      <c r="D209" s="7" t="n">
        <v>1627.1</v>
      </c>
      <c r="F209" s="7" t="n">
        <v>1347.9</v>
      </c>
      <c r="H209" s="7" t="n">
        <v>2182.1</v>
      </c>
      <c r="J209" s="7" t="n">
        <v>1671.3</v>
      </c>
      <c r="L209" s="7" t="n">
        <v>2519.2</v>
      </c>
      <c r="N209" s="7" t="n">
        <v>3185.4</v>
      </c>
      <c r="P209" s="7" t="n">
        <v>3072</v>
      </c>
      <c r="R209" s="7" t="n">
        <v>1937.9</v>
      </c>
      <c r="T209" s="7" t="n">
        <v>1853.9</v>
      </c>
      <c r="V209" s="7" t="n">
        <v>2529</v>
      </c>
      <c r="X209" s="7" t="n">
        <v>1060.5</v>
      </c>
      <c r="Z209" s="7" t="n">
        <v>1573.1</v>
      </c>
      <c r="AB209" s="7" t="n">
        <v>24559.4</v>
      </c>
    </row>
    <row r="210">
      <c r="A210" s="4" t="inlineStr">
        <is>
          <t>租赁费</t>
        </is>
      </c>
      <c r="D210" s="7" t="n">
        <v>11353.4</v>
      </c>
      <c r="F210" s="7" t="n">
        <v>17624.5</v>
      </c>
      <c r="H210" s="7" t="n">
        <v>19381.2</v>
      </c>
      <c r="J210" s="7" t="n">
        <v>18892.4</v>
      </c>
      <c r="L210" s="7" t="n">
        <v>22523.7</v>
      </c>
      <c r="N210" s="7" t="n">
        <v>31884.9</v>
      </c>
      <c r="P210" s="7" t="n">
        <v>20254.5</v>
      </c>
      <c r="R210" s="7" t="n">
        <v>11851.8</v>
      </c>
      <c r="T210" s="7" t="n">
        <v>12588.9</v>
      </c>
      <c r="V210" s="7" t="n">
        <v>27267.8</v>
      </c>
      <c r="X210" s="7" t="n">
        <v>6477.1</v>
      </c>
      <c r="Z210" s="7" t="n">
        <v>11627.8</v>
      </c>
      <c r="AB210" s="7" t="n">
        <v>211728</v>
      </c>
    </row>
    <row r="211">
      <c r="A211" s="4" t="inlineStr">
        <is>
          <t>能源费</t>
        </is>
      </c>
      <c r="D211" s="7" t="n">
        <v>2472.9</v>
      </c>
      <c r="F211" s="7" t="n">
        <v>2946.8</v>
      </c>
      <c r="H211" s="7" t="n">
        <v>3444.5</v>
      </c>
      <c r="J211" s="7" t="n">
        <v>3702.4</v>
      </c>
      <c r="L211" s="7" t="n">
        <v>5137.2</v>
      </c>
      <c r="N211" s="7" t="n">
        <v>6734.8</v>
      </c>
      <c r="P211" s="7" t="n">
        <v>4556.5</v>
      </c>
      <c r="R211" s="7" t="n">
        <v>3013.4</v>
      </c>
      <c r="T211" s="7" t="n">
        <v>3266.2</v>
      </c>
      <c r="V211" s="7" t="n">
        <v>6102.1</v>
      </c>
      <c r="X211" s="7" t="n">
        <v>1790.5</v>
      </c>
      <c r="Z211" s="7" t="n">
        <v>2677.5</v>
      </c>
      <c r="AB211" s="7" t="n">
        <v>45844.8</v>
      </c>
    </row>
    <row r="212">
      <c r="A212" s="4" t="inlineStr">
        <is>
          <t>水费</t>
        </is>
      </c>
      <c r="D212" s="7" t="n">
        <v>73.59999999999999</v>
      </c>
      <c r="F212" s="7" t="n">
        <v>65.09999999999999</v>
      </c>
      <c r="H212" s="7" t="n">
        <v>119.1</v>
      </c>
      <c r="J212" s="7" t="n">
        <v>78.2</v>
      </c>
      <c r="L212" s="7" t="n">
        <v>125.1</v>
      </c>
      <c r="N212" s="7" t="n">
        <v>132.2</v>
      </c>
      <c r="P212" s="7" t="n">
        <v>125.1</v>
      </c>
      <c r="R212" s="7" t="n">
        <v>67.8</v>
      </c>
      <c r="T212" s="7" t="n">
        <v>121.7</v>
      </c>
      <c r="V212" s="7" t="n">
        <v>150.5</v>
      </c>
      <c r="X212" s="7" t="n">
        <v>46</v>
      </c>
      <c r="Z212" s="7" t="n">
        <v>57.6</v>
      </c>
      <c r="AB212" s="7" t="n">
        <v>1162</v>
      </c>
    </row>
    <row r="213">
      <c r="A213" s="4" t="inlineStr">
        <is>
          <t>电费</t>
        </is>
      </c>
      <c r="D213" s="7" t="n">
        <v>1289.1</v>
      </c>
      <c r="F213" s="7" t="n">
        <v>1185.5</v>
      </c>
      <c r="H213" s="7" t="n">
        <v>1385.3</v>
      </c>
      <c r="J213" s="7" t="n">
        <v>1747.2</v>
      </c>
      <c r="L213" s="7" t="n">
        <v>2591.9</v>
      </c>
      <c r="N213" s="7" t="n">
        <v>3667.9</v>
      </c>
      <c r="P213" s="7" t="n">
        <v>1957.6</v>
      </c>
      <c r="R213" s="7" t="n">
        <v>1676.5</v>
      </c>
      <c r="T213" s="7" t="n">
        <v>1688.2</v>
      </c>
      <c r="V213" s="7" t="n">
        <v>2788</v>
      </c>
      <c r="X213" s="7" t="n">
        <v>881.3</v>
      </c>
      <c r="Z213" s="7" t="n">
        <v>1093.2</v>
      </c>
      <c r="AB213" s="7" t="n">
        <v>21951.7</v>
      </c>
    </row>
    <row r="214">
      <c r="A214" s="4" t="inlineStr">
        <is>
          <t>燃气费</t>
        </is>
      </c>
      <c r="D214" s="7" t="n">
        <v>925.1</v>
      </c>
      <c r="F214" s="7" t="n">
        <v>1417.1</v>
      </c>
      <c r="H214" s="7" t="n">
        <v>1530.5</v>
      </c>
      <c r="J214" s="7" t="n">
        <v>1606</v>
      </c>
      <c r="L214" s="7" t="n">
        <v>1933.6</v>
      </c>
      <c r="N214" s="7" t="n">
        <v>2308.7</v>
      </c>
      <c r="P214" s="7" t="n">
        <v>2083</v>
      </c>
      <c r="R214" s="7" t="n">
        <v>981.4</v>
      </c>
      <c r="T214" s="7" t="n">
        <v>1198.8</v>
      </c>
      <c r="V214" s="7" t="n">
        <v>2640.6</v>
      </c>
      <c r="X214" s="7" t="n">
        <v>679.4</v>
      </c>
      <c r="Z214" s="7" t="n">
        <v>1179</v>
      </c>
      <c r="AB214" s="7" t="n">
        <v>18483.2</v>
      </c>
    </row>
    <row r="215">
      <c r="A215" s="4" t="inlineStr">
        <is>
          <t>蒸汽费</t>
        </is>
      </c>
      <c r="D215" s="7" t="n">
        <v>185.1</v>
      </c>
      <c r="F215" s="7" t="n">
        <v>279.1</v>
      </c>
      <c r="H215" s="7" t="n">
        <v>409.6</v>
      </c>
      <c r="J215" s="7" t="n">
        <v>271</v>
      </c>
      <c r="L215" s="7" t="n">
        <v>486.6</v>
      </c>
      <c r="N215" s="7" t="n">
        <v>626</v>
      </c>
      <c r="P215" s="7" t="n">
        <v>390.8</v>
      </c>
      <c r="R215" s="7" t="n">
        <v>287.7</v>
      </c>
      <c r="T215" s="7" t="n">
        <v>257.5</v>
      </c>
      <c r="V215" s="7" t="n">
        <v>523</v>
      </c>
      <c r="X215" s="7" t="n">
        <v>183.8</v>
      </c>
      <c r="Z215" s="7" t="n">
        <v>347.7</v>
      </c>
      <c r="AB215" s="7" t="n">
        <v>4247.9</v>
      </c>
    </row>
    <row r="216">
      <c r="A216" s="4" t="inlineStr">
        <is>
          <t>物业费</t>
        </is>
      </c>
      <c r="D216" s="7" t="n">
        <v>1378.8</v>
      </c>
      <c r="F216" s="7" t="n">
        <v>1486.7</v>
      </c>
      <c r="H216" s="7" t="n">
        <v>1830.8</v>
      </c>
      <c r="J216" s="7" t="n">
        <v>1409.1</v>
      </c>
      <c r="L216" s="7" t="n">
        <v>2192.8</v>
      </c>
      <c r="N216" s="7" t="n">
        <v>2711.3</v>
      </c>
      <c r="P216" s="7" t="n">
        <v>3104</v>
      </c>
      <c r="R216" s="7" t="n">
        <v>1768.5</v>
      </c>
      <c r="T216" s="7" t="n">
        <v>1592.2</v>
      </c>
      <c r="V216" s="7" t="n">
        <v>2687.7</v>
      </c>
      <c r="X216" s="7" t="n">
        <v>911.3</v>
      </c>
      <c r="Z216" s="7" t="n">
        <v>1683.3</v>
      </c>
      <c r="AB216" s="7" t="n">
        <v>22756.5</v>
      </c>
    </row>
    <row r="217">
      <c r="A217" s="4" t="inlineStr">
        <is>
          <t>劳动保护费</t>
        </is>
      </c>
      <c r="D217" s="7" t="n">
        <v>863.2</v>
      </c>
      <c r="F217" s="7" t="n">
        <v>1029.5</v>
      </c>
      <c r="H217" s="7" t="n">
        <v>1760.5</v>
      </c>
      <c r="J217" s="7" t="n">
        <v>1464.9</v>
      </c>
      <c r="L217" s="7" t="n">
        <v>2354.2</v>
      </c>
      <c r="N217" s="7" t="n">
        <v>2531.7</v>
      </c>
      <c r="P217" s="7" t="n">
        <v>2896.5</v>
      </c>
      <c r="R217" s="7" t="n">
        <v>1280.5</v>
      </c>
      <c r="T217" s="7" t="n">
        <v>1253.8</v>
      </c>
      <c r="V217" s="7" t="n">
        <v>2581.9</v>
      </c>
      <c r="X217" s="7" t="n">
        <v>840</v>
      </c>
      <c r="Z217" s="7" t="n">
        <v>1369.4</v>
      </c>
      <c r="AB217" s="7" t="n">
        <v>20226.1</v>
      </c>
    </row>
    <row r="218">
      <c r="A218" s="4" t="inlineStr">
        <is>
          <t>顾问费</t>
        </is>
      </c>
      <c r="D218" s="7" t="n">
        <v>135.5</v>
      </c>
      <c r="F218" s="7" t="n">
        <v>243.8</v>
      </c>
      <c r="H218" s="7" t="n">
        <v>335.9</v>
      </c>
      <c r="J218" s="7" t="n">
        <v>262.5</v>
      </c>
      <c r="L218" s="7" t="n">
        <v>300.5</v>
      </c>
      <c r="N218" s="7" t="n">
        <v>390.2</v>
      </c>
      <c r="P218" s="7" t="n">
        <v>435.9</v>
      </c>
      <c r="R218" s="7" t="n">
        <v>195.2</v>
      </c>
      <c r="T218" s="7" t="n">
        <v>316.2</v>
      </c>
      <c r="V218" s="7" t="n">
        <v>370.2</v>
      </c>
      <c r="X218" s="7" t="n">
        <v>111.3</v>
      </c>
      <c r="Z218" s="7" t="n">
        <v>191.5</v>
      </c>
      <c r="AB218" s="7" t="n">
        <v>3288.7</v>
      </c>
    </row>
    <row r="219">
      <c r="A219" s="4" t="inlineStr">
        <is>
          <t>快递费</t>
        </is>
      </c>
      <c r="D219" s="7" t="n">
        <v>1281.6</v>
      </c>
      <c r="F219" s="7" t="n">
        <v>1221.7</v>
      </c>
      <c r="H219" s="7" t="n">
        <v>2040.6</v>
      </c>
      <c r="J219" s="7" t="n">
        <v>1686.7</v>
      </c>
      <c r="L219" s="7" t="n">
        <v>1744.8</v>
      </c>
      <c r="N219" s="7" t="n">
        <v>2936.6</v>
      </c>
      <c r="P219" s="7" t="n">
        <v>1966.9</v>
      </c>
      <c r="R219" s="7" t="n">
        <v>1169.9</v>
      </c>
      <c r="T219" s="7" t="n">
        <v>1365.2</v>
      </c>
      <c r="V219" s="7" t="n">
        <v>2517.3</v>
      </c>
      <c r="X219" s="7" t="n">
        <v>798.1</v>
      </c>
      <c r="Z219" s="7" t="n">
        <v>1550.2</v>
      </c>
      <c r="AB219" s="7" t="n">
        <v>20279.6</v>
      </c>
    </row>
    <row r="220">
      <c r="A220" s="4" t="inlineStr">
        <is>
          <t>诉讼费</t>
        </is>
      </c>
      <c r="D220" s="7" t="n">
        <v>1236.8</v>
      </c>
      <c r="F220" s="7" t="n">
        <v>1208.4</v>
      </c>
      <c r="H220" s="7" t="n">
        <v>1891.1</v>
      </c>
      <c r="J220" s="7" t="n">
        <v>1316.2</v>
      </c>
      <c r="L220" s="7" t="n">
        <v>1518.9</v>
      </c>
      <c r="N220" s="7" t="n">
        <v>2589.5</v>
      </c>
      <c r="P220" s="7" t="n">
        <v>2018.8</v>
      </c>
      <c r="R220" s="7" t="n">
        <v>1320.9</v>
      </c>
      <c r="T220" s="7" t="n">
        <v>1631.1</v>
      </c>
      <c r="V220" s="7" t="n">
        <v>2440.1</v>
      </c>
      <c r="X220" s="7" t="n">
        <v>539.4</v>
      </c>
      <c r="Z220" s="7" t="n">
        <v>1583</v>
      </c>
      <c r="AB220" s="7" t="n">
        <v>19294.2</v>
      </c>
    </row>
    <row r="221">
      <c r="A221" s="4" t="inlineStr">
        <is>
          <t>会员费</t>
        </is>
      </c>
      <c r="D221" s="7" t="n">
        <v>6.5</v>
      </c>
      <c r="F221" s="7" t="n">
        <v>7.9</v>
      </c>
      <c r="H221" s="7" t="n">
        <v>17</v>
      </c>
      <c r="J221" s="7" t="n">
        <v>12.7</v>
      </c>
      <c r="L221" s="7" t="n">
        <v>10.9</v>
      </c>
      <c r="N221" s="7" t="n">
        <v>18.4</v>
      </c>
      <c r="P221" s="7" t="n">
        <v>13.4</v>
      </c>
      <c r="R221" s="7" t="n">
        <v>7.4</v>
      </c>
      <c r="T221" s="7" t="n">
        <v>10.9</v>
      </c>
      <c r="V221" s="7" t="n">
        <v>22.5</v>
      </c>
      <c r="X221" s="7" t="n">
        <v>5.8</v>
      </c>
      <c r="Z221" s="7" t="n">
        <v>10.1</v>
      </c>
      <c r="AB221" s="7" t="n">
        <v>143.5</v>
      </c>
    </row>
    <row r="222">
      <c r="A222" s="4" t="inlineStr">
        <is>
          <t>广告宣传费</t>
        </is>
      </c>
      <c r="D222" s="7" t="n">
        <v>8420.1</v>
      </c>
      <c r="F222" s="7" t="n">
        <v>9170</v>
      </c>
      <c r="H222" s="7" t="n">
        <v>14855.7</v>
      </c>
      <c r="J222" s="7" t="n">
        <v>13660</v>
      </c>
      <c r="L222" s="7" t="n">
        <v>13789.6</v>
      </c>
      <c r="N222" s="7" t="n">
        <v>18410.1</v>
      </c>
      <c r="P222" s="7" t="n">
        <v>12736.6</v>
      </c>
      <c r="R222" s="7" t="n">
        <v>9733.299999999999</v>
      </c>
      <c r="T222" s="7" t="n">
        <v>11967.4</v>
      </c>
      <c r="V222" s="7" t="n">
        <v>13129.7</v>
      </c>
      <c r="X222" s="7" t="n">
        <v>3384.6</v>
      </c>
      <c r="Z222" s="7" t="n">
        <v>9103.4</v>
      </c>
      <c r="AB222" s="7" t="n">
        <v>138360.5</v>
      </c>
    </row>
    <row r="223">
      <c r="A223" s="4" t="inlineStr">
        <is>
          <t>会务费</t>
        </is>
      </c>
      <c r="D223" s="7" t="n">
        <v>706.8</v>
      </c>
      <c r="F223" s="7" t="n">
        <v>783.1</v>
      </c>
      <c r="H223" s="7" t="n">
        <v>953.6</v>
      </c>
      <c r="J223" s="7" t="n">
        <v>1089.8</v>
      </c>
      <c r="L223" s="7" t="n">
        <v>1004.1</v>
      </c>
      <c r="N223" s="7" t="n">
        <v>1711.7</v>
      </c>
      <c r="P223" s="7" t="n">
        <v>2270.4</v>
      </c>
      <c r="R223" s="7" t="n">
        <v>1171.3</v>
      </c>
      <c r="T223" s="7" t="n">
        <v>1040.6</v>
      </c>
      <c r="V223" s="7" t="n">
        <v>1591.5</v>
      </c>
      <c r="X223" s="7" t="n">
        <v>557.2</v>
      </c>
      <c r="Z223" s="7" t="n">
        <v>978.8</v>
      </c>
      <c r="AB223" s="7" t="n">
        <v>13858.9</v>
      </c>
    </row>
    <row r="224">
      <c r="A224" s="4" t="inlineStr">
        <is>
          <t>装修费</t>
        </is>
      </c>
      <c r="D224" s="7" t="n">
        <v>892</v>
      </c>
      <c r="F224" s="7" t="n">
        <v>1052.3</v>
      </c>
      <c r="H224" s="7" t="n">
        <v>1643.9</v>
      </c>
      <c r="J224" s="7" t="n">
        <v>2210.9</v>
      </c>
      <c r="L224" s="7" t="n">
        <v>2558.9</v>
      </c>
      <c r="N224" s="7" t="n">
        <v>2797.6</v>
      </c>
      <c r="P224" s="7" t="n">
        <v>3193.4</v>
      </c>
      <c r="R224" s="7" t="n">
        <v>1240.8</v>
      </c>
      <c r="T224" s="7" t="n">
        <v>1734.4</v>
      </c>
      <c r="V224" s="7" t="n">
        <v>1981.7</v>
      </c>
      <c r="X224" s="7" t="n">
        <v>952.2</v>
      </c>
      <c r="Z224" s="7" t="n">
        <v>1445.9</v>
      </c>
      <c r="AB224" s="7" t="n">
        <v>21704</v>
      </c>
    </row>
    <row r="225">
      <c r="A225" s="4" t="inlineStr">
        <is>
          <t>推广费</t>
        </is>
      </c>
      <c r="D225" s="7" t="n">
        <v>402.7</v>
      </c>
      <c r="F225" s="7" t="n">
        <v>377.7</v>
      </c>
      <c r="H225" s="7" t="n">
        <v>497.3</v>
      </c>
      <c r="J225" s="7" t="n">
        <v>573.2</v>
      </c>
      <c r="L225" s="7" t="n">
        <v>920.6</v>
      </c>
      <c r="N225" s="7" t="n">
        <v>1288.9</v>
      </c>
      <c r="P225" s="7" t="n">
        <v>1128</v>
      </c>
      <c r="R225" s="7" t="n">
        <v>622.3</v>
      </c>
      <c r="T225" s="7" t="n">
        <v>686.2</v>
      </c>
      <c r="V225" s="7" t="n">
        <v>898.4</v>
      </c>
      <c r="X225" s="7" t="n">
        <v>299.5</v>
      </c>
      <c r="Z225" s="7" t="n">
        <v>627.4</v>
      </c>
      <c r="AB225" s="7" t="n">
        <v>8322.200000000001</v>
      </c>
    </row>
    <row r="226">
      <c r="A226" s="4" t="inlineStr">
        <is>
          <t>展会费</t>
        </is>
      </c>
      <c r="D226" s="7" t="n">
        <v>1068.7</v>
      </c>
      <c r="F226" s="7" t="n">
        <v>1231.2</v>
      </c>
      <c r="H226" s="7" t="n">
        <v>1842.1</v>
      </c>
      <c r="J226" s="7" t="n">
        <v>1375.7</v>
      </c>
      <c r="L226" s="7" t="n">
        <v>1528.8</v>
      </c>
      <c r="N226" s="7" t="n">
        <v>2474.9</v>
      </c>
      <c r="P226" s="7" t="n">
        <v>1368.1</v>
      </c>
      <c r="R226" s="7" t="n">
        <v>842.9</v>
      </c>
      <c r="T226" s="7" t="n">
        <v>922.7</v>
      </c>
      <c r="V226" s="7" t="n">
        <v>2003</v>
      </c>
      <c r="X226" s="7" t="n">
        <v>750.1</v>
      </c>
      <c r="Z226" s="7" t="n">
        <v>1169.7</v>
      </c>
      <c r="AB226" s="7" t="n">
        <v>16577.9</v>
      </c>
    </row>
    <row r="227">
      <c r="A227" s="4" t="inlineStr">
        <is>
          <t>设计费</t>
        </is>
      </c>
      <c r="D227" s="7" t="n">
        <v>334</v>
      </c>
      <c r="F227" s="7" t="n">
        <v>554.4</v>
      </c>
      <c r="H227" s="7" t="n">
        <v>594.9</v>
      </c>
      <c r="J227" s="7" t="n">
        <v>406.5</v>
      </c>
      <c r="L227" s="7" t="n">
        <v>766.6</v>
      </c>
      <c r="N227" s="7" t="n">
        <v>815.4</v>
      </c>
      <c r="P227" s="7" t="n">
        <v>589.3</v>
      </c>
      <c r="R227" s="7" t="n">
        <v>493.7</v>
      </c>
      <c r="T227" s="7" t="n">
        <v>606.7</v>
      </c>
      <c r="V227" s="7" t="n">
        <v>564.5</v>
      </c>
      <c r="X227" s="7" t="n">
        <v>297.3</v>
      </c>
      <c r="Z227" s="7" t="n">
        <v>425.7</v>
      </c>
      <c r="AB227" s="7" t="n">
        <v>6449</v>
      </c>
    </row>
    <row r="228">
      <c r="A228" s="4" t="inlineStr">
        <is>
          <t>折旧费</t>
        </is>
      </c>
      <c r="D228" s="7" t="n">
        <v>9086.6</v>
      </c>
      <c r="F228" s="7" t="n">
        <v>14284</v>
      </c>
      <c r="H228" s="7" t="n">
        <v>13462.8</v>
      </c>
      <c r="J228" s="7" t="n">
        <v>19376.5</v>
      </c>
      <c r="L228" s="7" t="n">
        <v>18821.7</v>
      </c>
      <c r="N228" s="7" t="n">
        <v>31746.8</v>
      </c>
      <c r="P228" s="7" t="n">
        <v>20671.7</v>
      </c>
      <c r="R228" s="7" t="n">
        <v>9723.799999999999</v>
      </c>
      <c r="T228" s="7" t="n">
        <v>15402</v>
      </c>
      <c r="V228" s="7" t="n">
        <v>24577.1</v>
      </c>
      <c r="X228" s="7" t="n">
        <v>5163.9</v>
      </c>
      <c r="Z228" s="7" t="n">
        <v>9411.200000000001</v>
      </c>
      <c r="AB228" s="7" t="n">
        <v>191728.1</v>
      </c>
    </row>
    <row r="229">
      <c r="A229" s="4" t="inlineStr">
        <is>
          <t>认证费</t>
        </is>
      </c>
      <c r="D229" s="7" t="n">
        <v>436.8</v>
      </c>
      <c r="F229" s="7" t="n">
        <v>375.2</v>
      </c>
      <c r="H229" s="7" t="n">
        <v>488.8</v>
      </c>
      <c r="J229" s="7" t="n">
        <v>783</v>
      </c>
      <c r="L229" s="7" t="n">
        <v>767.4</v>
      </c>
      <c r="N229" s="7" t="n">
        <v>1145.3</v>
      </c>
      <c r="P229" s="7" t="n">
        <v>904.5</v>
      </c>
      <c r="R229" s="7" t="n">
        <v>562.5</v>
      </c>
      <c r="T229" s="7" t="n">
        <v>566.2</v>
      </c>
      <c r="V229" s="7" t="n">
        <v>596.4</v>
      </c>
      <c r="X229" s="7" t="n">
        <v>253.8</v>
      </c>
      <c r="Z229" s="7" t="n">
        <v>502.8</v>
      </c>
      <c r="AB229" s="7" t="n">
        <v>7382.7</v>
      </c>
    </row>
    <row r="230">
      <c r="A230" s="4" t="inlineStr">
        <is>
          <t>样品费</t>
        </is>
      </c>
      <c r="D230" s="7" t="n">
        <v>4958.1</v>
      </c>
      <c r="F230" s="7" t="n">
        <v>7457.5</v>
      </c>
      <c r="H230" s="7" t="n">
        <v>9675.4</v>
      </c>
      <c r="J230" s="7" t="n">
        <v>9329.200000000001</v>
      </c>
      <c r="L230" s="7" t="n">
        <v>8432.5</v>
      </c>
      <c r="N230" s="7" t="n">
        <v>16442.6</v>
      </c>
      <c r="P230" s="7" t="n">
        <v>12923.5</v>
      </c>
      <c r="R230" s="7" t="n">
        <v>5148.7</v>
      </c>
      <c r="T230" s="7" t="n">
        <v>5622.7</v>
      </c>
      <c r="V230" s="7" t="n">
        <v>10504.5</v>
      </c>
      <c r="X230" s="7" t="n">
        <v>2295</v>
      </c>
      <c r="Z230" s="7" t="n">
        <v>6755.3</v>
      </c>
      <c r="AB230" s="7" t="n">
        <v>99545</v>
      </c>
    </row>
    <row r="231">
      <c r="A231" s="4" t="inlineStr">
        <is>
          <t>劳务费</t>
        </is>
      </c>
      <c r="D231" s="7" t="n">
        <v>800.3</v>
      </c>
      <c r="F231" s="7" t="n">
        <v>907.1</v>
      </c>
      <c r="H231" s="7" t="n">
        <v>1147.3</v>
      </c>
      <c r="J231" s="7" t="n">
        <v>1331.9</v>
      </c>
      <c r="L231" s="7" t="n">
        <v>1070.3</v>
      </c>
      <c r="N231" s="7" t="n">
        <v>2569.2</v>
      </c>
      <c r="P231" s="7" t="n">
        <v>1814.8</v>
      </c>
      <c r="R231" s="7" t="n">
        <v>907.8</v>
      </c>
      <c r="T231" s="7" t="n">
        <v>1178.4</v>
      </c>
      <c r="V231" s="7" t="n">
        <v>1113.6</v>
      </c>
      <c r="X231" s="7" t="n">
        <v>406.1</v>
      </c>
      <c r="Z231" s="7" t="n">
        <v>941.8</v>
      </c>
      <c r="AB231" s="7" t="n">
        <v>14188.6</v>
      </c>
    </row>
    <row r="232">
      <c r="A232" s="4" t="inlineStr">
        <is>
          <t>销售佣金</t>
        </is>
      </c>
      <c r="D232" s="7" t="n">
        <v>567.4</v>
      </c>
      <c r="F232" s="7" t="n">
        <v>527.4</v>
      </c>
      <c r="H232" s="7" t="n">
        <v>858.1</v>
      </c>
      <c r="J232" s="7" t="n">
        <v>686.5</v>
      </c>
      <c r="L232" s="7" t="n">
        <v>889.2</v>
      </c>
      <c r="N232" s="7" t="n">
        <v>1451.6</v>
      </c>
      <c r="P232" s="7" t="n">
        <v>1014.7</v>
      </c>
      <c r="R232" s="7" t="n">
        <v>632.3</v>
      </c>
      <c r="T232" s="7" t="n">
        <v>594.9</v>
      </c>
      <c r="V232" s="7" t="n">
        <v>1200.6</v>
      </c>
      <c r="X232" s="7" t="n">
        <v>308.7</v>
      </c>
      <c r="Z232" s="7" t="n">
        <v>741</v>
      </c>
      <c r="AB232" s="7" t="n">
        <v>9472.4</v>
      </c>
    </row>
    <row r="233">
      <c r="A233" s="4" t="inlineStr">
        <is>
          <t>检测费</t>
        </is>
      </c>
      <c r="D233" s="7" t="n">
        <v>369</v>
      </c>
      <c r="F233" s="7" t="n">
        <v>412.3</v>
      </c>
      <c r="H233" s="7" t="n">
        <v>749</v>
      </c>
      <c r="J233" s="7" t="n">
        <v>586.3</v>
      </c>
      <c r="L233" s="7" t="n">
        <v>590.8</v>
      </c>
      <c r="N233" s="7" t="n">
        <v>1006.8</v>
      </c>
      <c r="P233" s="7" t="n">
        <v>797.9</v>
      </c>
      <c r="R233" s="7" t="n">
        <v>521.6</v>
      </c>
      <c r="T233" s="7" t="n">
        <v>574.4</v>
      </c>
      <c r="V233" s="7" t="n">
        <v>725.1</v>
      </c>
      <c r="X233" s="7" t="n">
        <v>366.4</v>
      </c>
      <c r="Z233" s="7" t="n">
        <v>414.7</v>
      </c>
      <c r="AB233" s="7" t="n">
        <v>7114.3</v>
      </c>
    </row>
    <row r="234">
      <c r="A234" s="4" t="inlineStr">
        <is>
          <t>质量赔偿</t>
        </is>
      </c>
      <c r="D234" s="7" t="n">
        <v>1060.4</v>
      </c>
      <c r="F234" s="7" t="n">
        <v>1525.3</v>
      </c>
      <c r="H234" s="7" t="n">
        <v>2677.9</v>
      </c>
      <c r="J234" s="7" t="n">
        <v>2440.9</v>
      </c>
      <c r="L234" s="7" t="n">
        <v>2262.7</v>
      </c>
      <c r="N234" s="7" t="n">
        <v>3810.6</v>
      </c>
      <c r="P234" s="7" t="n">
        <v>3199.6</v>
      </c>
      <c r="R234" s="7" t="n">
        <v>1378.6</v>
      </c>
      <c r="T234" s="7" t="n">
        <v>1848.9</v>
      </c>
      <c r="V234" s="7" t="n">
        <v>2760.8</v>
      </c>
      <c r="X234" s="7" t="n">
        <v>777.2</v>
      </c>
      <c r="Z234" s="7" t="n">
        <v>1685.7</v>
      </c>
      <c r="AB234" s="7" t="n">
        <v>25428.6</v>
      </c>
    </row>
    <row r="235">
      <c r="A235" s="4" t="inlineStr">
        <is>
          <t>保险费</t>
        </is>
      </c>
      <c r="D235" s="7" t="n">
        <v>116.5</v>
      </c>
      <c r="F235" s="7" t="n">
        <v>112.1</v>
      </c>
      <c r="H235" s="7" t="n">
        <v>165.8</v>
      </c>
      <c r="J235" s="7" t="n">
        <v>145.8</v>
      </c>
      <c r="L235" s="7" t="n">
        <v>150.3</v>
      </c>
      <c r="N235" s="7" t="n">
        <v>229.9</v>
      </c>
      <c r="P235" s="7" t="n">
        <v>210.9</v>
      </c>
      <c r="R235" s="7" t="n">
        <v>147</v>
      </c>
      <c r="T235" s="7" t="n">
        <v>113.5</v>
      </c>
      <c r="V235" s="7" t="n">
        <v>140.7</v>
      </c>
      <c r="X235" s="7" t="n">
        <v>47.7</v>
      </c>
      <c r="Z235" s="7" t="n">
        <v>137.6</v>
      </c>
      <c r="AB235" s="7" t="n">
        <v>1717.8</v>
      </c>
    </row>
    <row r="236">
      <c r="A236" s="4" t="inlineStr">
        <is>
          <t>清洁费</t>
        </is>
      </c>
      <c r="D236" s="7" t="n">
        <v>1288.8</v>
      </c>
      <c r="F236" s="7" t="n">
        <v>1906.8</v>
      </c>
      <c r="H236" s="7" t="n">
        <v>2688.3</v>
      </c>
      <c r="J236" s="7" t="n">
        <v>1941.2</v>
      </c>
      <c r="L236" s="7" t="n">
        <v>3127.9</v>
      </c>
      <c r="N236" s="7" t="n">
        <v>3673.2</v>
      </c>
      <c r="P236" s="7" t="n">
        <v>3605.1</v>
      </c>
      <c r="R236" s="7" t="n">
        <v>1858.7</v>
      </c>
      <c r="T236" s="7" t="n">
        <v>2433.2</v>
      </c>
      <c r="V236" s="7" t="n">
        <v>3912.6</v>
      </c>
      <c r="X236" s="7" t="n">
        <v>918.8</v>
      </c>
      <c r="Z236" s="7" t="n">
        <v>1576.8</v>
      </c>
      <c r="AB236" s="7" t="n">
        <v>28931.4</v>
      </c>
    </row>
    <row r="237">
      <c r="A237" s="4" t="inlineStr">
        <is>
          <t>低值易耗品</t>
        </is>
      </c>
      <c r="D237" s="7" t="n">
        <v>811.8</v>
      </c>
      <c r="F237" s="7" t="n">
        <v>957.6</v>
      </c>
      <c r="H237" s="7" t="n">
        <v>1917.3</v>
      </c>
      <c r="J237" s="7" t="n">
        <v>1427.8</v>
      </c>
      <c r="L237" s="7" t="n">
        <v>1894.5</v>
      </c>
      <c r="N237" s="7" t="n">
        <v>2752.1</v>
      </c>
      <c r="P237" s="7" t="n">
        <v>2590.5</v>
      </c>
      <c r="R237" s="7" t="n">
        <v>912.4</v>
      </c>
      <c r="T237" s="7" t="n">
        <v>1114.2</v>
      </c>
      <c r="V237" s="7" t="n">
        <v>1740.8</v>
      </c>
      <c r="X237" s="7" t="n">
        <v>577.6</v>
      </c>
      <c r="Z237" s="7" t="n">
        <v>1037.7</v>
      </c>
      <c r="AB237" s="7" t="n">
        <v>17734.3</v>
      </c>
    </row>
    <row r="238">
      <c r="A238" s="4" t="inlineStr">
        <is>
          <t>物料消耗</t>
        </is>
      </c>
      <c r="D238" s="7" t="n">
        <v>474.7</v>
      </c>
      <c r="F238" s="7" t="n">
        <v>437</v>
      </c>
      <c r="H238" s="7" t="n">
        <v>662.6</v>
      </c>
      <c r="J238" s="7" t="n">
        <v>815.7</v>
      </c>
      <c r="L238" s="7" t="n">
        <v>682.5</v>
      </c>
      <c r="N238" s="7" t="n">
        <v>1175.5</v>
      </c>
      <c r="P238" s="7" t="n">
        <v>1160.3</v>
      </c>
      <c r="R238" s="7" t="n">
        <v>493.3</v>
      </c>
      <c r="T238" s="7" t="n">
        <v>479.5</v>
      </c>
      <c r="V238" s="7" t="n">
        <v>628.7</v>
      </c>
      <c r="X238" s="7" t="n">
        <v>312.3</v>
      </c>
      <c r="Z238" s="7" t="n">
        <v>551.1</v>
      </c>
      <c r="AB238" s="7" t="n">
        <v>7873.2</v>
      </c>
    </row>
    <row r="239">
      <c r="A239" s="4" t="inlineStr">
        <is>
          <t>盘盈盘亏</t>
        </is>
      </c>
      <c r="D239" s="7" t="n">
        <v>1720.8</v>
      </c>
      <c r="F239" s="7" t="n">
        <v>1332.1</v>
      </c>
      <c r="H239" s="7" t="n">
        <v>1927.9</v>
      </c>
      <c r="J239" s="7" t="n">
        <v>1794.4</v>
      </c>
      <c r="L239" s="7" t="n">
        <v>1930.2</v>
      </c>
      <c r="N239" s="7" t="n">
        <v>4820.8</v>
      </c>
      <c r="P239" s="7" t="n">
        <v>3281.5</v>
      </c>
      <c r="R239" s="7" t="n">
        <v>1309</v>
      </c>
      <c r="T239" s="7" t="n">
        <v>1952.1</v>
      </c>
      <c r="V239" s="7" t="n">
        <v>3588.9</v>
      </c>
      <c r="X239" s="7" t="n">
        <v>724.5</v>
      </c>
      <c r="Z239" s="7" t="n">
        <v>1514.2</v>
      </c>
      <c r="AB239" s="7" t="n">
        <v>25896.4</v>
      </c>
    </row>
    <row r="240">
      <c r="A240" s="4" t="inlineStr">
        <is>
          <t>平台服务费</t>
        </is>
      </c>
      <c r="D240" s="7" t="n">
        <v>277.1</v>
      </c>
      <c r="F240" s="7" t="n">
        <v>362</v>
      </c>
      <c r="H240" s="7" t="n">
        <v>352.3</v>
      </c>
      <c r="J240" s="7" t="n">
        <v>330</v>
      </c>
      <c r="L240" s="7" t="n">
        <v>375.8</v>
      </c>
      <c r="N240" s="7" t="n">
        <v>697.8</v>
      </c>
      <c r="P240" s="7" t="n">
        <v>410</v>
      </c>
      <c r="R240" s="7" t="n">
        <v>363.2</v>
      </c>
      <c r="T240" s="7" t="n">
        <v>246.4</v>
      </c>
      <c r="V240" s="7" t="n">
        <v>561.4</v>
      </c>
      <c r="X240" s="7" t="n">
        <v>194</v>
      </c>
      <c r="Z240" s="7" t="n">
        <v>261</v>
      </c>
      <c r="AB240" s="7" t="n">
        <v>4431</v>
      </c>
    </row>
    <row r="241">
      <c r="A241" s="4" t="inlineStr">
        <is>
          <t>无形资产摊销</t>
        </is>
      </c>
      <c r="D241" s="7" t="n">
        <v>999.2</v>
      </c>
      <c r="F241" s="7" t="n">
        <v>923.6</v>
      </c>
      <c r="H241" s="7" t="n">
        <v>1053.3</v>
      </c>
      <c r="J241" s="7" t="n">
        <v>1153.1</v>
      </c>
      <c r="L241" s="7" t="n">
        <v>1696.7</v>
      </c>
      <c r="N241" s="7" t="n">
        <v>2224.7</v>
      </c>
      <c r="P241" s="7" t="n">
        <v>1301.7</v>
      </c>
      <c r="R241" s="7" t="n">
        <v>980.1</v>
      </c>
      <c r="T241" s="7" t="n">
        <v>1136.3</v>
      </c>
      <c r="V241" s="7" t="n">
        <v>1695.6</v>
      </c>
      <c r="X241" s="7" t="n">
        <v>507.9</v>
      </c>
      <c r="Z241" s="7" t="n">
        <v>906.7</v>
      </c>
      <c r="AB241" s="7" t="n">
        <v>14578.9</v>
      </c>
    </row>
    <row r="242">
      <c r="A242" s="4" t="inlineStr">
        <is>
          <t>研发材料</t>
        </is>
      </c>
      <c r="D242" s="7" t="n">
        <v>925.1</v>
      </c>
      <c r="F242" s="7" t="n">
        <v>1100</v>
      </c>
      <c r="H242" s="7" t="n">
        <v>1677.5</v>
      </c>
      <c r="J242" s="7" t="n">
        <v>1894.6</v>
      </c>
      <c r="L242" s="7" t="n">
        <v>1715.9</v>
      </c>
      <c r="N242" s="7" t="n">
        <v>2456.2</v>
      </c>
      <c r="P242" s="7" t="n">
        <v>1856</v>
      </c>
      <c r="R242" s="7" t="n">
        <v>1097</v>
      </c>
      <c r="T242" s="7" t="n">
        <v>990.5</v>
      </c>
      <c r="V242" s="7" t="n">
        <v>2504.2</v>
      </c>
      <c r="X242" s="7" t="n">
        <v>794.1</v>
      </c>
      <c r="Z242" s="7" t="n">
        <v>1088.4</v>
      </c>
      <c r="AB242" s="7" t="n">
        <v>18099.5</v>
      </c>
    </row>
    <row r="243">
      <c r="A243" s="4" t="inlineStr">
        <is>
          <t>项目名称</t>
        </is>
      </c>
      <c r="D243" s="7" t="n">
        <v>540.2</v>
      </c>
      <c r="F243" s="7" t="n">
        <v>1113.5</v>
      </c>
      <c r="H243" s="7" t="n">
        <v>1524.4</v>
      </c>
      <c r="J243" s="7" t="n">
        <v>1159</v>
      </c>
      <c r="L243" s="7" t="n">
        <v>920.2</v>
      </c>
      <c r="N243" s="7" t="n">
        <v>1878</v>
      </c>
      <c r="P243" s="7" t="n">
        <v>1393.3</v>
      </c>
      <c r="R243" s="7" t="n">
        <v>765.2</v>
      </c>
      <c r="T243" s="7" t="n">
        <v>731.1</v>
      </c>
      <c r="V243" s="7" t="n">
        <v>1427.8</v>
      </c>
      <c r="X243" s="7" t="n">
        <v>456.5</v>
      </c>
      <c r="Z243" s="7" t="n">
        <v>913</v>
      </c>
      <c r="AB243" s="7" t="n">
        <v>12822.2</v>
      </c>
    </row>
    <row r="244">
      <c r="A244" s="4" t="inlineStr">
        <is>
          <t>研发费</t>
        </is>
      </c>
      <c r="D244" s="7" t="n">
        <v>514.4</v>
      </c>
      <c r="F244" s="7" t="n">
        <v>853.9</v>
      </c>
      <c r="H244" s="7" t="n">
        <v>944.4</v>
      </c>
      <c r="J244" s="7" t="n">
        <v>916.5</v>
      </c>
      <c r="L244" s="7" t="n">
        <v>941.4</v>
      </c>
      <c r="N244" s="7" t="n">
        <v>1572</v>
      </c>
      <c r="P244" s="7" t="n">
        <v>1129.4</v>
      </c>
      <c r="R244" s="7" t="n">
        <v>889.4</v>
      </c>
      <c r="T244" s="7" t="n">
        <v>1088.2</v>
      </c>
      <c r="V244" s="7" t="n">
        <v>1539.6</v>
      </c>
      <c r="X244" s="7" t="n">
        <v>450.4</v>
      </c>
      <c r="Z244" s="7" t="n">
        <v>645.5</v>
      </c>
      <c r="AB244" s="7" t="n">
        <v>11485.1</v>
      </c>
    </row>
    <row r="245">
      <c r="A245" s="4" t="inlineStr">
        <is>
          <t>残保金</t>
        </is>
      </c>
      <c r="D245" s="7" t="n">
        <v>1438.1</v>
      </c>
      <c r="F245" s="7" t="n">
        <v>1333.3</v>
      </c>
      <c r="H245" s="7" t="n">
        <v>2307.1</v>
      </c>
      <c r="J245" s="7" t="n">
        <v>1506.1</v>
      </c>
      <c r="L245" s="7" t="n">
        <v>1804.7</v>
      </c>
      <c r="N245" s="7" t="n">
        <v>3358.1</v>
      </c>
      <c r="P245" s="7" t="n">
        <v>2697.1</v>
      </c>
      <c r="R245" s="7" t="n">
        <v>1247.1</v>
      </c>
      <c r="T245" s="7" t="n">
        <v>1764.7</v>
      </c>
      <c r="V245" s="7" t="n">
        <v>1988</v>
      </c>
      <c r="X245" s="7" t="n">
        <v>543.1</v>
      </c>
      <c r="Z245" s="7" t="n">
        <v>1018</v>
      </c>
      <c r="AB245" s="7" t="n">
        <v>21005.4</v>
      </c>
    </row>
    <row r="246">
      <c r="A246" s="4" t="inlineStr">
        <is>
          <t>环保费</t>
        </is>
      </c>
      <c r="D246" s="7" t="n">
        <v>709</v>
      </c>
      <c r="F246" s="7" t="n">
        <v>771.3</v>
      </c>
      <c r="H246" s="7" t="n">
        <v>1180.8</v>
      </c>
      <c r="J246" s="7" t="n">
        <v>1512.9</v>
      </c>
      <c r="L246" s="7" t="n">
        <v>1689.9</v>
      </c>
      <c r="N246" s="7" t="n">
        <v>1876.4</v>
      </c>
      <c r="P246" s="7" t="n">
        <v>1433.8</v>
      </c>
      <c r="R246" s="7" t="n">
        <v>1036.2</v>
      </c>
      <c r="T246" s="7" t="n">
        <v>1071.3</v>
      </c>
      <c r="V246" s="7" t="n">
        <v>1562.3</v>
      </c>
      <c r="X246" s="7" t="n">
        <v>648.3</v>
      </c>
      <c r="Z246" s="7" t="n">
        <v>1304.6</v>
      </c>
      <c r="AB246" s="7" t="n">
        <v>14796.8</v>
      </c>
    </row>
    <row r="247">
      <c r="A247" s="4" t="inlineStr">
        <is>
          <t>报废损失</t>
        </is>
      </c>
      <c r="D247" s="7" t="n">
        <v>889.7</v>
      </c>
      <c r="F247" s="7" t="n">
        <v>788.6</v>
      </c>
      <c r="H247" s="7" t="n">
        <v>1432.8</v>
      </c>
      <c r="J247" s="7" t="n">
        <v>1476</v>
      </c>
      <c r="L247" s="7" t="n">
        <v>945.7</v>
      </c>
      <c r="N247" s="7" t="n">
        <v>2257.2</v>
      </c>
      <c r="P247" s="7" t="n">
        <v>1167.9</v>
      </c>
      <c r="R247" s="7" t="n">
        <v>885.5</v>
      </c>
      <c r="T247" s="7" t="n">
        <v>836.4</v>
      </c>
      <c r="V247" s="7" t="n">
        <v>1839.6</v>
      </c>
      <c r="X247" s="7" t="n">
        <v>567</v>
      </c>
      <c r="Z247" s="7" t="n">
        <v>1042.1</v>
      </c>
      <c r="AB247" s="7" t="n">
        <v>14128.5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8638.200000000001</v>
      </c>
      <c r="D248" s="7" t="n">
        <v>-1951</v>
      </c>
      <c r="E248" s="7" t="n">
        <v>7730.5</v>
      </c>
      <c r="F248" s="7" t="n">
        <v>14203.6</v>
      </c>
      <c r="G248" s="7" t="n">
        <v>7757.4</v>
      </c>
      <c r="H248" s="7" t="n">
        <v>1224.1</v>
      </c>
      <c r="I248" s="7" t="n">
        <v>8509.700000000001</v>
      </c>
      <c r="J248" s="7" t="n">
        <v>14280.6</v>
      </c>
      <c r="K248" s="7" t="n">
        <v>7067.1</v>
      </c>
      <c r="L248" s="7" t="n">
        <v>6074</v>
      </c>
      <c r="M248" s="7" t="n">
        <v>9267.299999999999</v>
      </c>
      <c r="N248" s="7" t="n">
        <v>13440.5</v>
      </c>
      <c r="O248" s="7" t="n">
        <v>8243.700000000001</v>
      </c>
      <c r="P248" s="7" t="n">
        <v>-4162.2</v>
      </c>
      <c r="Q248" s="7" t="n">
        <v>7586</v>
      </c>
      <c r="R248" s="7" t="n">
        <v>6520.9</v>
      </c>
      <c r="S248" s="7" t="n">
        <v>8532.700000000001</v>
      </c>
      <c r="T248" s="7" t="n">
        <v>14274.9</v>
      </c>
      <c r="U248" s="7" t="n">
        <v>7451.8</v>
      </c>
      <c r="V248" s="7" t="n">
        <v>8028.5</v>
      </c>
      <c r="W248" s="7" t="n">
        <v>9144.700000000001</v>
      </c>
      <c r="X248" s="7" t="n">
        <v>19552.9</v>
      </c>
      <c r="Y248" s="7" t="n">
        <v>9086</v>
      </c>
      <c r="Z248" s="7" t="n">
        <v>6820.6</v>
      </c>
      <c r="AA248" s="8" t="n">
        <v>99015.10000000001</v>
      </c>
      <c r="AB248" s="8" t="n">
        <v>98307.39999999999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-2822.1</v>
      </c>
      <c r="E250" s="7" t="n">
        <v>0</v>
      </c>
      <c r="F250" s="7" t="n">
        <v>-3870.7</v>
      </c>
      <c r="G250" s="7" t="n">
        <v>0</v>
      </c>
      <c r="H250" s="7" t="n">
        <v>1329.1</v>
      </c>
      <c r="I250" s="7" t="n">
        <v>0</v>
      </c>
      <c r="J250" s="7" t="n">
        <v>-1754.9</v>
      </c>
      <c r="K250" s="7" t="n">
        <v>0</v>
      </c>
      <c r="L250" s="7" t="n">
        <v>-3326.4</v>
      </c>
      <c r="M250" s="7" t="n">
        <v>0</v>
      </c>
      <c r="N250" s="7" t="n">
        <v>-2239</v>
      </c>
      <c r="O250" s="7" t="n">
        <v>0</v>
      </c>
      <c r="P250" s="7" t="n">
        <v>-3803.5</v>
      </c>
      <c r="Q250" s="7" t="n">
        <v>0</v>
      </c>
      <c r="R250" s="7" t="n">
        <v>2891.4</v>
      </c>
      <c r="S250" s="7" t="n">
        <v>0</v>
      </c>
      <c r="T250" s="7" t="n">
        <v>-4910.7</v>
      </c>
      <c r="U250" s="7" t="n">
        <v>0</v>
      </c>
      <c r="V250" s="7" t="n">
        <v>-4580.1</v>
      </c>
      <c r="W250" s="7" t="n">
        <v>0</v>
      </c>
      <c r="X250" s="7" t="n">
        <v>2834.8</v>
      </c>
      <c r="Y250" s="7" t="n">
        <v>0</v>
      </c>
      <c r="Z250" s="7" t="n">
        <v>-247.3</v>
      </c>
      <c r="AA250" s="7" t="n">
        <v>0</v>
      </c>
      <c r="AB250" s="7" t="n">
        <v>-20499.4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15994.8</v>
      </c>
      <c r="D255" s="7" t="n">
        <v>17886.4</v>
      </c>
      <c r="E255" s="7" t="n">
        <v>13057.6</v>
      </c>
      <c r="F255" s="7" t="n">
        <v>11142</v>
      </c>
      <c r="G255" s="7" t="n">
        <v>13529.1</v>
      </c>
      <c r="H255" s="7" t="n">
        <v>2684.4</v>
      </c>
      <c r="I255" s="7" t="n">
        <v>16834.1</v>
      </c>
      <c r="J255" s="7" t="n">
        <v>4731</v>
      </c>
      <c r="K255" s="7" t="n">
        <v>15982</v>
      </c>
      <c r="L255" s="7" t="n">
        <v>2742</v>
      </c>
      <c r="M255" s="7" t="n">
        <v>15841.4</v>
      </c>
      <c r="N255" s="7" t="n">
        <v>18559.3</v>
      </c>
      <c r="O255" s="7" t="n">
        <v>16056.8</v>
      </c>
      <c r="P255" s="7" t="n">
        <v>27925.5</v>
      </c>
      <c r="Q255" s="7" t="n">
        <v>14438.3</v>
      </c>
      <c r="R255" s="7" t="n">
        <v>29909.2</v>
      </c>
      <c r="S255" s="7" t="n">
        <v>13353.9</v>
      </c>
      <c r="T255" s="7" t="n">
        <v>18754</v>
      </c>
      <c r="U255" s="7" t="n">
        <v>15543.8</v>
      </c>
      <c r="V255" s="7" t="n">
        <v>1793.3</v>
      </c>
      <c r="W255" s="7" t="n">
        <v>14082.8</v>
      </c>
      <c r="X255" s="7" t="n">
        <v>19337.2</v>
      </c>
      <c r="Y255" s="7" t="n">
        <v>13096.9</v>
      </c>
      <c r="Z255" s="7" t="n">
        <v>21039.8</v>
      </c>
      <c r="AA255" s="7" t="n">
        <v>177811.5</v>
      </c>
      <c r="AB255" s="7" t="n">
        <v>176504.1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1412025.8</v>
      </c>
      <c r="D256" s="7" t="n">
        <v>1107164.6</v>
      </c>
      <c r="E256" s="7" t="n">
        <v>1209614</v>
      </c>
      <c r="F256" s="7" t="n">
        <v>988471.8</v>
      </c>
      <c r="G256" s="7" t="n">
        <v>1245520.1</v>
      </c>
      <c r="H256" s="7" t="n">
        <v>1240597.4</v>
      </c>
      <c r="I256" s="7" t="n">
        <v>1304140.5</v>
      </c>
      <c r="J256" s="7" t="n">
        <v>1265968.9</v>
      </c>
      <c r="K256" s="7" t="n">
        <v>1290668.4</v>
      </c>
      <c r="L256" s="7" t="n">
        <v>1953724.8</v>
      </c>
      <c r="M256" s="7" t="n">
        <v>1333916</v>
      </c>
      <c r="N256" s="7" t="n">
        <v>1254533.5</v>
      </c>
      <c r="O256" s="7" t="n">
        <v>1181206.9</v>
      </c>
      <c r="P256" s="7" t="n">
        <v>1341710.1</v>
      </c>
      <c r="Q256" s="7" t="n">
        <v>1446830.2</v>
      </c>
      <c r="R256" s="7" t="n">
        <v>1352763</v>
      </c>
      <c r="S256" s="7" t="n">
        <v>1338888.7</v>
      </c>
      <c r="T256" s="7" t="n">
        <v>1740541.3</v>
      </c>
      <c r="U256" s="7" t="n">
        <v>1258235.9</v>
      </c>
      <c r="V256" s="7" t="n">
        <v>1424108.3</v>
      </c>
      <c r="W256" s="7" t="n">
        <v>1188709.2</v>
      </c>
      <c r="X256" s="7" t="n">
        <v>1650718.7</v>
      </c>
      <c r="Y256" s="7" t="n">
        <v>1538025.3</v>
      </c>
      <c r="Z256" s="7" t="n">
        <v>1351324.3</v>
      </c>
      <c r="AA256" s="8" t="n">
        <v>15747781</v>
      </c>
      <c r="AB256" s="8" t="n">
        <v>16671626.7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3880.1</v>
      </c>
      <c r="E257" s="7" t="n">
        <v>0</v>
      </c>
      <c r="F257" s="7" t="n">
        <v>1193.9</v>
      </c>
      <c r="G257" s="7" t="n">
        <v>0</v>
      </c>
      <c r="H257" s="7" t="n">
        <v>3605</v>
      </c>
      <c r="I257" s="7" t="n">
        <v>0</v>
      </c>
      <c r="J257" s="7" t="n">
        <v>3291.4</v>
      </c>
      <c r="K257" s="7" t="n">
        <v>0</v>
      </c>
      <c r="L257" s="7" t="n">
        <v>2694.8</v>
      </c>
      <c r="M257" s="7" t="n">
        <v>0</v>
      </c>
      <c r="N257" s="7" t="n">
        <v>1937.5</v>
      </c>
      <c r="O257" s="7" t="n">
        <v>0</v>
      </c>
      <c r="P257" s="7" t="n">
        <v>2620.3</v>
      </c>
      <c r="Q257" s="7" t="n">
        <v>0</v>
      </c>
      <c r="R257" s="7" t="n">
        <v>2487.7</v>
      </c>
      <c r="S257" s="7" t="n">
        <v>0</v>
      </c>
      <c r="T257" s="7" t="n">
        <v>2757.3</v>
      </c>
      <c r="U257" s="7" t="n">
        <v>0</v>
      </c>
      <c r="V257" s="7" t="n">
        <v>3065.2</v>
      </c>
      <c r="W257" s="7" t="n">
        <v>0</v>
      </c>
      <c r="X257" s="7" t="n">
        <v>1613</v>
      </c>
      <c r="Y257" s="7" t="n">
        <v>0</v>
      </c>
      <c r="Z257" s="7" t="n">
        <v>3204.5</v>
      </c>
      <c r="AA257" s="7" t="n">
        <v>0</v>
      </c>
      <c r="AB257" s="7" t="n">
        <v>32350.7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331.4</v>
      </c>
      <c r="E258" s="7" t="n">
        <v>0</v>
      </c>
      <c r="F258" s="7" t="n">
        <v>1569.6</v>
      </c>
      <c r="G258" s="7" t="n">
        <v>0</v>
      </c>
      <c r="H258" s="7" t="n">
        <v>200</v>
      </c>
      <c r="I258" s="7" t="n">
        <v>0</v>
      </c>
      <c r="J258" s="7" t="n">
        <v>2505.6</v>
      </c>
      <c r="K258" s="7" t="n">
        <v>0</v>
      </c>
      <c r="L258" s="7" t="n">
        <v>389.3</v>
      </c>
      <c r="M258" s="7" t="n">
        <v>0</v>
      </c>
      <c r="N258" s="7" t="n">
        <v>2620.5</v>
      </c>
      <c r="O258" s="7" t="n">
        <v>0</v>
      </c>
      <c r="P258" s="7" t="n">
        <v>606.2</v>
      </c>
      <c r="Q258" s="7" t="n">
        <v>0</v>
      </c>
      <c r="R258" s="7" t="n">
        <v>1456.1</v>
      </c>
      <c r="S258" s="7" t="n">
        <v>0</v>
      </c>
      <c r="T258" s="7" t="n">
        <v>296.3</v>
      </c>
      <c r="U258" s="7" t="n">
        <v>0</v>
      </c>
      <c r="V258" s="7" t="n">
        <v>1713</v>
      </c>
      <c r="W258" s="7" t="n">
        <v>0</v>
      </c>
      <c r="X258" s="7" t="n">
        <v>2508.9</v>
      </c>
      <c r="Y258" s="7" t="n">
        <v>0</v>
      </c>
      <c r="Z258" s="7" t="n">
        <v>1973.8</v>
      </c>
      <c r="AA258" s="7" t="n">
        <v>0</v>
      </c>
      <c r="AB258" s="7" t="n">
        <v>16170.7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1204194.6</v>
      </c>
      <c r="D259" s="7" t="n">
        <v>1112882.3</v>
      </c>
      <c r="E259" s="7" t="n">
        <v>1411127.1</v>
      </c>
      <c r="F259" s="7" t="n">
        <v>1028270.4</v>
      </c>
      <c r="G259" s="7" t="n">
        <v>1569336.6</v>
      </c>
      <c r="H259" s="7" t="n">
        <v>1180041</v>
      </c>
      <c r="I259" s="7" t="n">
        <v>1352013.8</v>
      </c>
      <c r="J259" s="7" t="n">
        <v>1232130.6</v>
      </c>
      <c r="K259" s="7" t="n">
        <v>1332505.3</v>
      </c>
      <c r="L259" s="7" t="n">
        <v>1995125.6</v>
      </c>
      <c r="M259" s="7" t="n">
        <v>1473713.7</v>
      </c>
      <c r="N259" s="7" t="n">
        <v>1146862.9</v>
      </c>
      <c r="O259" s="7" t="n">
        <v>1521651.7</v>
      </c>
      <c r="P259" s="7" t="n">
        <v>1457153.8</v>
      </c>
      <c r="Q259" s="7" t="n">
        <v>1289542.2</v>
      </c>
      <c r="R259" s="7" t="n">
        <v>1273961.3</v>
      </c>
      <c r="S259" s="7" t="n">
        <v>1195853.1</v>
      </c>
      <c r="T259" s="7" t="n">
        <v>1737549.5</v>
      </c>
      <c r="U259" s="7" t="n">
        <v>1208225.7</v>
      </c>
      <c r="V259" s="7" t="n">
        <v>1535122.5</v>
      </c>
      <c r="W259" s="7" t="n">
        <v>1305390.8</v>
      </c>
      <c r="X259" s="7" t="n">
        <v>1512044.1</v>
      </c>
      <c r="Y259" s="7" t="n">
        <v>1571982.8</v>
      </c>
      <c r="Z259" s="7" t="n">
        <v>1432679.4</v>
      </c>
      <c r="AA259" s="8" t="n">
        <v>16435537.4</v>
      </c>
      <c r="AB259" s="8" t="n">
        <v>16643823.4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394658.3</v>
      </c>
      <c r="D260" s="7" t="n">
        <v>278220.6</v>
      </c>
      <c r="E260" s="7" t="n">
        <v>304837.1</v>
      </c>
      <c r="F260" s="7" t="n">
        <v>257067.6</v>
      </c>
      <c r="G260" s="7" t="n">
        <v>370169.6</v>
      </c>
      <c r="H260" s="7" t="n">
        <v>295010.2</v>
      </c>
      <c r="I260" s="7" t="n">
        <v>350039.8</v>
      </c>
      <c r="J260" s="7" t="n">
        <v>308032.7</v>
      </c>
      <c r="K260" s="7" t="n">
        <v>314442.8</v>
      </c>
      <c r="L260" s="7" t="n">
        <v>498781.4</v>
      </c>
      <c r="M260" s="7" t="n">
        <v>349470.9</v>
      </c>
      <c r="N260" s="7" t="n">
        <v>286715.7</v>
      </c>
      <c r="O260" s="7" t="n">
        <v>320611.7</v>
      </c>
      <c r="P260" s="7" t="n">
        <v>364288.5</v>
      </c>
      <c r="Q260" s="7" t="n">
        <v>359783.1</v>
      </c>
      <c r="R260" s="7" t="n">
        <v>318490.3</v>
      </c>
      <c r="S260" s="7" t="n">
        <v>313344</v>
      </c>
      <c r="T260" s="7" t="n">
        <v>434387.4</v>
      </c>
      <c r="U260" s="7" t="n">
        <v>372668.5</v>
      </c>
      <c r="V260" s="7" t="n">
        <v>383780.6</v>
      </c>
      <c r="W260" s="7" t="n">
        <v>337923.5</v>
      </c>
      <c r="X260" s="7" t="n">
        <v>378011</v>
      </c>
      <c r="Y260" s="7" t="n">
        <v>305710.4</v>
      </c>
      <c r="Z260" s="7" t="n">
        <v>358169.8</v>
      </c>
      <c r="AA260" s="7" t="n">
        <v>4093659.7</v>
      </c>
      <c r="AB260" s="7" t="n">
        <v>4160955.8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1049883.4</v>
      </c>
      <c r="D261" s="7" t="n">
        <v>834661.7</v>
      </c>
      <c r="E261" s="7" t="n">
        <v>755338.6</v>
      </c>
      <c r="F261" s="7" t="n">
        <v>771202.8</v>
      </c>
      <c r="G261" s="7" t="n">
        <v>1004071.2</v>
      </c>
      <c r="H261" s="7" t="n">
        <v>885030.8</v>
      </c>
      <c r="I261" s="7" t="n">
        <v>748953.6</v>
      </c>
      <c r="J261" s="7" t="n">
        <v>924097.9</v>
      </c>
      <c r="K261" s="7" t="n">
        <v>1078052.7</v>
      </c>
      <c r="L261" s="7" t="n">
        <v>1496344.2</v>
      </c>
      <c r="M261" s="7" t="n">
        <v>683685.5</v>
      </c>
      <c r="N261" s="7" t="n">
        <v>860147.2</v>
      </c>
      <c r="O261" s="7" t="n">
        <v>834637.7</v>
      </c>
      <c r="P261" s="7" t="n">
        <v>1092865.3</v>
      </c>
      <c r="Q261" s="7" t="n">
        <v>1099440.8</v>
      </c>
      <c r="R261" s="7" t="n">
        <v>955471</v>
      </c>
      <c r="S261" s="7" t="n">
        <v>722546.5</v>
      </c>
      <c r="T261" s="7" t="n">
        <v>1303162.1</v>
      </c>
      <c r="U261" s="7" t="n">
        <v>841742.6</v>
      </c>
      <c r="V261" s="7" t="n">
        <v>1151341.9</v>
      </c>
      <c r="W261" s="7" t="n">
        <v>788909.6</v>
      </c>
      <c r="X261" s="7" t="n">
        <v>1134033.1</v>
      </c>
      <c r="Y261" s="7" t="n">
        <v>620896.2</v>
      </c>
      <c r="Z261" s="7" t="n">
        <v>1074509.6</v>
      </c>
      <c r="AA261" s="8" t="n">
        <v>10228158.4</v>
      </c>
      <c r="AB261" s="8" t="n">
        <v>12482867.6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159910.6</v>
      </c>
      <c r="E262" s="7" t="n">
        <v>0</v>
      </c>
      <c r="F262" s="7" t="n">
        <v>82818.7</v>
      </c>
      <c r="G262" s="7" t="n">
        <v>0</v>
      </c>
      <c r="H262" s="7" t="n">
        <v>121794.6</v>
      </c>
      <c r="I262" s="7" t="n">
        <v>0</v>
      </c>
      <c r="J262" s="7" t="n">
        <v>184424.7</v>
      </c>
      <c r="K262" s="7" t="n">
        <v>0</v>
      </c>
      <c r="L262" s="7" t="n">
        <v>396302.6</v>
      </c>
      <c r="M262" s="7" t="n">
        <v>0</v>
      </c>
      <c r="N262" s="7" t="n">
        <v>43044.2</v>
      </c>
      <c r="O262" s="7" t="n">
        <v>0</v>
      </c>
      <c r="P262" s="7" t="n">
        <v>59144.7</v>
      </c>
      <c r="Q262" s="7" t="n">
        <v>0</v>
      </c>
      <c r="R262" s="7" t="n">
        <v>115102.9</v>
      </c>
      <c r="S262" s="7" t="n">
        <v>0</v>
      </c>
      <c r="T262" s="7" t="n">
        <v>131950.2</v>
      </c>
      <c r="U262" s="7" t="n">
        <v>0</v>
      </c>
      <c r="V262" s="7" t="n">
        <v>54634.6</v>
      </c>
      <c r="W262" s="7" t="n">
        <v>0</v>
      </c>
      <c r="X262" s="7" t="n">
        <v>339677</v>
      </c>
      <c r="Y262" s="7" t="n">
        <v>0</v>
      </c>
      <c r="Z262" s="7" t="n">
        <v>142806.2</v>
      </c>
      <c r="AA262" s="7" t="n">
        <v>0</v>
      </c>
      <c r="AB262" s="7" t="n">
        <v>1831611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1049883.4</v>
      </c>
      <c r="D263" s="7" t="n">
        <v>674751.1</v>
      </c>
      <c r="E263" s="7" t="n">
        <v>755338.6</v>
      </c>
      <c r="F263" s="7" t="n">
        <v>688384.1</v>
      </c>
      <c r="G263" s="7" t="n">
        <v>1004071.2</v>
      </c>
      <c r="H263" s="7" t="n">
        <v>763236.2</v>
      </c>
      <c r="I263" s="7" t="n">
        <v>748953.6</v>
      </c>
      <c r="J263" s="7" t="n">
        <v>739673.2</v>
      </c>
      <c r="K263" s="7" t="n">
        <v>1078052.7</v>
      </c>
      <c r="L263" s="7" t="n">
        <v>1100041.6</v>
      </c>
      <c r="M263" s="7" t="n">
        <v>683685.5</v>
      </c>
      <c r="N263" s="7" t="n">
        <v>817103</v>
      </c>
      <c r="O263" s="7" t="n">
        <v>834637.7</v>
      </c>
      <c r="P263" s="7" t="n">
        <v>1033720.6</v>
      </c>
      <c r="Q263" s="7" t="n">
        <v>1099440.8</v>
      </c>
      <c r="R263" s="7" t="n">
        <v>840368.1</v>
      </c>
      <c r="S263" s="7" t="n">
        <v>722546.5</v>
      </c>
      <c r="T263" s="7" t="n">
        <v>1171211.9</v>
      </c>
      <c r="U263" s="7" t="n">
        <v>841742.6</v>
      </c>
      <c r="V263" s="7" t="n">
        <v>1096707.3</v>
      </c>
      <c r="W263" s="7" t="n">
        <v>788909.6</v>
      </c>
      <c r="X263" s="7" t="n">
        <v>794356.1</v>
      </c>
      <c r="Y263" s="7" t="n">
        <v>620896.2</v>
      </c>
      <c r="Z263" s="7" t="n">
        <v>931703.4</v>
      </c>
      <c r="AA263" s="8" t="n">
        <v>10228158.4</v>
      </c>
      <c r="AB263" s="8" t="n">
        <v>10651256.6</v>
      </c>
    </row>
    <row r="264">
      <c r="A264" s="4" t="inlineStr">
        <is>
          <t>净利率</t>
        </is>
      </c>
      <c r="D264" s="13" t="n">
        <v>10.4</v>
      </c>
      <c r="F264" s="13" t="n">
        <v>8.1</v>
      </c>
      <c r="H264" s="13" t="n">
        <v>7.5</v>
      </c>
      <c r="J264" s="13" t="n">
        <v>6.6</v>
      </c>
      <c r="L264" s="13" t="n">
        <v>9.5</v>
      </c>
      <c r="N264" s="13" t="n">
        <v>5.3</v>
      </c>
      <c r="P264" s="13" t="n">
        <v>6.4</v>
      </c>
      <c r="R264" s="13" t="n">
        <v>6.5</v>
      </c>
      <c r="T264" s="13" t="n">
        <v>9.9</v>
      </c>
      <c r="V264" s="13" t="n">
        <v>7.1</v>
      </c>
      <c r="X264" s="13" t="n">
        <v>9.300000000000001</v>
      </c>
      <c r="Z264" s="13" t="n">
        <v>11.2</v>
      </c>
    </row>
    <row r="265">
      <c r="A265" s="4" t="inlineStr">
        <is>
          <t>销售达成率</t>
        </is>
      </c>
      <c r="D265" s="13" t="n">
        <v>55.9</v>
      </c>
      <c r="F265" s="13" t="n">
        <v>72.59999999999999</v>
      </c>
      <c r="H265" s="13" t="n">
        <v>87.90000000000001</v>
      </c>
      <c r="J265" s="13" t="n">
        <v>111.4</v>
      </c>
      <c r="L265" s="13" t="n">
        <v>108.1</v>
      </c>
      <c r="N265" s="13" t="n">
        <v>122.7</v>
      </c>
      <c r="P265" s="13" t="n">
        <v>117.2</v>
      </c>
      <c r="R265" s="13" t="n">
        <v>115</v>
      </c>
      <c r="T265" s="13" t="n">
        <v>86.90000000000001</v>
      </c>
      <c r="V265" s="13" t="n">
        <v>106.1</v>
      </c>
      <c r="X265" s="13" t="n">
        <v>92.5</v>
      </c>
      <c r="Z265" s="13" t="n">
        <v>77</v>
      </c>
    </row>
    <row r="266">
      <c r="A266" s="4" t="inlineStr">
        <is>
          <t>净利达成率</t>
        </is>
      </c>
      <c r="D266" s="13" t="n">
        <v>79.5</v>
      </c>
      <c r="F266" s="13" t="n">
        <v>102.1</v>
      </c>
      <c r="H266" s="13" t="n">
        <v>88.09999999999999</v>
      </c>
      <c r="J266" s="13" t="n">
        <v>123.4</v>
      </c>
      <c r="L266" s="13" t="n">
        <v>138.8</v>
      </c>
      <c r="N266" s="13" t="n">
        <v>125.8</v>
      </c>
      <c r="P266" s="13" t="n">
        <v>130.9</v>
      </c>
      <c r="R266" s="13" t="n">
        <v>86.90000000000001</v>
      </c>
      <c r="T266" s="13" t="n">
        <v>180.4</v>
      </c>
      <c r="V266" s="13" t="n">
        <v>136.8</v>
      </c>
      <c r="X266" s="13" t="n">
        <v>143.7</v>
      </c>
      <c r="Z266" s="13" t="n">
        <v>173.1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销售1利润表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14317676.7</v>
      </c>
      <c r="D6" s="7" t="n">
        <v>8243253.2</v>
      </c>
      <c r="E6" s="7" t="n">
        <v>13120062.4</v>
      </c>
      <c r="F6" s="7" t="n">
        <v>9539609.800000001</v>
      </c>
      <c r="G6" s="7" t="n">
        <v>13460162.3</v>
      </c>
      <c r="H6" s="7" t="n">
        <v>11753939.2</v>
      </c>
      <c r="I6" s="7" t="n">
        <v>12562603.8</v>
      </c>
      <c r="J6" s="7" t="n">
        <v>14098275.5</v>
      </c>
      <c r="K6" s="7" t="n">
        <v>14557861.6</v>
      </c>
      <c r="L6" s="7" t="n">
        <v>15674811.7</v>
      </c>
      <c r="M6" s="7" t="n">
        <v>13200358</v>
      </c>
      <c r="N6" s="7" t="n">
        <v>16245299.6</v>
      </c>
      <c r="O6" s="7" t="n">
        <v>14663747.2</v>
      </c>
      <c r="P6" s="7" t="n">
        <v>17374042.3</v>
      </c>
      <c r="Q6" s="7" t="n">
        <v>12795936.3</v>
      </c>
      <c r="R6" s="7" t="n">
        <v>14679385.6</v>
      </c>
      <c r="S6" s="7" t="n">
        <v>15111507.8</v>
      </c>
      <c r="T6" s="7" t="n">
        <v>13047057.8</v>
      </c>
      <c r="U6" s="7" t="n">
        <v>15260644.1</v>
      </c>
      <c r="V6" s="7" t="n">
        <v>16278214.8</v>
      </c>
      <c r="W6" s="7" t="n">
        <v>13171035.6</v>
      </c>
      <c r="X6" s="7" t="n">
        <v>12257378.5</v>
      </c>
      <c r="Y6" s="7" t="n">
        <v>12451894.9</v>
      </c>
      <c r="Z6" s="7" t="n">
        <v>9408235.9</v>
      </c>
      <c r="AA6" s="8" t="n">
        <v>164673490.7</v>
      </c>
      <c r="AB6" s="8" t="n">
        <v>158599503.9</v>
      </c>
    </row>
    <row r="7">
      <c r="A7" s="4" t="inlineStr">
        <is>
          <t>中式汤底</t>
        </is>
      </c>
      <c r="D7" s="7" t="n">
        <v>1066936.1</v>
      </c>
      <c r="F7" s="7" t="n">
        <v>1315685.4</v>
      </c>
      <c r="H7" s="7" t="n">
        <v>1753553.1</v>
      </c>
      <c r="J7" s="7" t="n">
        <v>1969264.1</v>
      </c>
      <c r="L7" s="7" t="n">
        <v>2194942.1</v>
      </c>
      <c r="N7" s="7" t="n">
        <v>2082950.7</v>
      </c>
      <c r="P7" s="7" t="n">
        <v>2401392.6</v>
      </c>
      <c r="R7" s="7" t="n">
        <v>1571944.1</v>
      </c>
      <c r="T7" s="7" t="n">
        <v>1808011.7</v>
      </c>
      <c r="V7" s="7" t="n">
        <v>2305655.5</v>
      </c>
      <c r="X7" s="7" t="n">
        <v>1378277.4</v>
      </c>
      <c r="Z7" s="7" t="n">
        <v>1270996.3</v>
      </c>
      <c r="AB7" s="7" t="n">
        <v>21119609.1</v>
      </c>
    </row>
    <row r="8">
      <c r="A8" s="4" t="inlineStr">
        <is>
          <t>酱料</t>
        </is>
      </c>
      <c r="D8" s="7" t="n">
        <v>701288.7999999999</v>
      </c>
      <c r="F8" s="7" t="n">
        <v>1136912.2</v>
      </c>
      <c r="H8" s="7" t="n">
        <v>1164323.1</v>
      </c>
      <c r="J8" s="7" t="n">
        <v>1471168.8</v>
      </c>
      <c r="L8" s="7" t="n">
        <v>1720260.4</v>
      </c>
      <c r="N8" s="7" t="n">
        <v>1851603.8</v>
      </c>
      <c r="P8" s="7" t="n">
        <v>1962713.6</v>
      </c>
      <c r="R8" s="7" t="n">
        <v>1760982.5</v>
      </c>
      <c r="T8" s="7" t="n">
        <v>1269126.5</v>
      </c>
      <c r="V8" s="7" t="n">
        <v>1991127.7</v>
      </c>
      <c r="X8" s="7" t="n">
        <v>1430970.3</v>
      </c>
      <c r="Z8" s="7" t="n">
        <v>1131705.8</v>
      </c>
      <c r="AB8" s="7" t="n">
        <v>17592183.5</v>
      </c>
    </row>
    <row r="9">
      <c r="A9" s="4" t="inlineStr">
        <is>
          <t>川味底料</t>
        </is>
      </c>
      <c r="D9" s="7" t="n">
        <v>946414.1</v>
      </c>
      <c r="F9" s="7" t="n">
        <v>1451976.1</v>
      </c>
      <c r="H9" s="7" t="n">
        <v>1456873.9</v>
      </c>
      <c r="J9" s="7" t="n">
        <v>1691618.5</v>
      </c>
      <c r="L9" s="7" t="n">
        <v>2196099.2</v>
      </c>
      <c r="N9" s="7" t="n">
        <v>2138720.2</v>
      </c>
      <c r="P9" s="7" t="n">
        <v>2524527.7</v>
      </c>
      <c r="R9" s="7" t="n">
        <v>1975197.1</v>
      </c>
      <c r="T9" s="7" t="n">
        <v>1682334.4</v>
      </c>
      <c r="V9" s="7" t="n">
        <v>1834351</v>
      </c>
      <c r="X9" s="7" t="n">
        <v>1804444</v>
      </c>
      <c r="Z9" s="7" t="n">
        <v>1372410.5</v>
      </c>
      <c r="AB9" s="7" t="n">
        <v>21074966.7</v>
      </c>
    </row>
    <row r="10">
      <c r="A10" s="4" t="inlineStr">
        <is>
          <t>调味汁</t>
        </is>
      </c>
      <c r="D10" s="7" t="n">
        <v>1550165.1</v>
      </c>
      <c r="F10" s="7" t="n">
        <v>1419650.7</v>
      </c>
      <c r="H10" s="7" t="n">
        <v>2164064.6</v>
      </c>
      <c r="J10" s="7" t="n">
        <v>2779317.5</v>
      </c>
      <c r="L10" s="7" t="n">
        <v>2525287.6</v>
      </c>
      <c r="N10" s="7" t="n">
        <v>3007350.7</v>
      </c>
      <c r="P10" s="7" t="n">
        <v>2822780.5</v>
      </c>
      <c r="R10" s="7" t="n">
        <v>2747187</v>
      </c>
      <c r="T10" s="7" t="n">
        <v>2404815.8</v>
      </c>
      <c r="V10" s="7" t="n">
        <v>2792282.6</v>
      </c>
      <c r="X10" s="7" t="n">
        <v>2398111.1</v>
      </c>
      <c r="Z10" s="7" t="n">
        <v>1876668.3</v>
      </c>
      <c r="AB10" s="7" t="n">
        <v>28487681.5</v>
      </c>
    </row>
    <row r="11">
      <c r="A11" s="4" t="inlineStr">
        <is>
          <t>复合调味粉</t>
        </is>
      </c>
      <c r="D11" s="7" t="n">
        <v>1346234.5</v>
      </c>
      <c r="F11" s="7" t="n">
        <v>1358340.7</v>
      </c>
      <c r="H11" s="7" t="n">
        <v>1585814.2</v>
      </c>
      <c r="J11" s="7" t="n">
        <v>2219421.5</v>
      </c>
      <c r="L11" s="7" t="n">
        <v>2589371.2</v>
      </c>
      <c r="N11" s="7" t="n">
        <v>2389967.8</v>
      </c>
      <c r="P11" s="7" t="n">
        <v>2546699.7</v>
      </c>
      <c r="R11" s="7" t="n">
        <v>2236345.8</v>
      </c>
      <c r="T11" s="7" t="n">
        <v>2014182.7</v>
      </c>
      <c r="V11" s="7" t="n">
        <v>2577213.1</v>
      </c>
      <c r="X11" s="7" t="n">
        <v>1754022.2</v>
      </c>
      <c r="Z11" s="7" t="n">
        <v>1114550.1</v>
      </c>
      <c r="AB11" s="7" t="n">
        <v>23732163.5</v>
      </c>
    </row>
    <row r="12">
      <c r="A12" s="4" t="inlineStr">
        <is>
          <t>团餐</t>
        </is>
      </c>
      <c r="D12" s="7" t="n">
        <v>1415951</v>
      </c>
      <c r="F12" s="7" t="n">
        <v>1772321.5</v>
      </c>
      <c r="H12" s="7" t="n">
        <v>2123315.4</v>
      </c>
      <c r="J12" s="7" t="n">
        <v>2381998</v>
      </c>
      <c r="L12" s="7" t="n">
        <v>2831694</v>
      </c>
      <c r="N12" s="7" t="n">
        <v>2800416.4</v>
      </c>
      <c r="P12" s="7" t="n">
        <v>2423847.1</v>
      </c>
      <c r="R12" s="7" t="n">
        <v>2496034.6</v>
      </c>
      <c r="T12" s="7" t="n">
        <v>2247444.7</v>
      </c>
      <c r="V12" s="7" t="n">
        <v>2206274.5</v>
      </c>
      <c r="X12" s="7" t="n">
        <v>1705195.5</v>
      </c>
      <c r="Z12" s="7" t="n">
        <v>1363766.4</v>
      </c>
      <c r="AB12" s="7" t="n">
        <v>25768259.1</v>
      </c>
    </row>
    <row r="13">
      <c r="A13" s="4" t="inlineStr">
        <is>
          <t>预制菜</t>
        </is>
      </c>
      <c r="D13" s="7" t="n">
        <v>1204110.7</v>
      </c>
      <c r="F13" s="7" t="n">
        <v>1192985</v>
      </c>
      <c r="H13" s="7" t="n">
        <v>1631876.2</v>
      </c>
      <c r="J13" s="7" t="n">
        <v>1692639.9</v>
      </c>
      <c r="L13" s="7" t="n">
        <v>1767377.6</v>
      </c>
      <c r="N13" s="7" t="n">
        <v>2150947.9</v>
      </c>
      <c r="P13" s="7" t="n">
        <v>2673903.1</v>
      </c>
      <c r="R13" s="7" t="n">
        <v>2079046.6</v>
      </c>
      <c r="T13" s="7" t="n">
        <v>1777150.5</v>
      </c>
      <c r="V13" s="7" t="n">
        <v>2594044.6</v>
      </c>
      <c r="X13" s="7" t="n">
        <v>1888219.5</v>
      </c>
      <c r="Z13" s="7" t="n">
        <v>1463364.2</v>
      </c>
      <c r="AB13" s="7" t="n">
        <v>22115665.8</v>
      </c>
    </row>
    <row r="14">
      <c r="A14" s="4" t="inlineStr">
        <is>
          <t>返利</t>
        </is>
      </c>
      <c r="D14" s="7" t="n">
        <v>-140311.3</v>
      </c>
      <c r="F14" s="7" t="n">
        <v>-157290.2</v>
      </c>
      <c r="H14" s="7" t="n">
        <v>-354366.3</v>
      </c>
      <c r="J14" s="7" t="n">
        <v>-234291.3</v>
      </c>
      <c r="L14" s="7" t="n">
        <v>-275899.8</v>
      </c>
      <c r="N14" s="7" t="n">
        <v>-415207.6</v>
      </c>
      <c r="P14" s="7" t="n">
        <v>-323023.2</v>
      </c>
      <c r="R14" s="7" t="n">
        <v>-364493.1</v>
      </c>
      <c r="T14" s="7" t="n">
        <v>-292689.1</v>
      </c>
      <c r="V14" s="7" t="n">
        <v>-346605.4</v>
      </c>
      <c r="X14" s="7" t="n">
        <v>-176472.2</v>
      </c>
      <c r="Z14" s="7" t="n">
        <v>-242850.5</v>
      </c>
      <c r="AB14" s="7" t="n">
        <v>-3323500</v>
      </c>
    </row>
    <row r="15">
      <c r="A15" s="4" t="inlineStr">
        <is>
          <t>其他</t>
        </is>
      </c>
      <c r="D15" s="7" t="n">
        <v>152464.2</v>
      </c>
      <c r="F15" s="7" t="n">
        <v>49028.4</v>
      </c>
      <c r="H15" s="7" t="n">
        <v>228485</v>
      </c>
      <c r="J15" s="7" t="n">
        <v>127138.5</v>
      </c>
      <c r="L15" s="7" t="n">
        <v>125679.4</v>
      </c>
      <c r="N15" s="7" t="n">
        <v>238549.7</v>
      </c>
      <c r="P15" s="7" t="n">
        <v>341201.2</v>
      </c>
      <c r="R15" s="7" t="n">
        <v>177141</v>
      </c>
      <c r="T15" s="7" t="n">
        <v>136680.6</v>
      </c>
      <c r="V15" s="7" t="n">
        <v>323871.2</v>
      </c>
      <c r="X15" s="7" t="n">
        <v>74610.7</v>
      </c>
      <c r="Z15" s="7" t="n">
        <v>57624.8</v>
      </c>
      <c r="AB15" s="7" t="n">
        <v>2032474.7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8166240.3</v>
      </c>
      <c r="D16" s="7" t="n">
        <v>5597345.3</v>
      </c>
      <c r="E16" s="7" t="n">
        <v>8794630.300000001</v>
      </c>
      <c r="F16" s="7" t="n">
        <v>6718139.1</v>
      </c>
      <c r="G16" s="7" t="n">
        <v>9385642.699999999</v>
      </c>
      <c r="H16" s="7" t="n">
        <v>8003805.3</v>
      </c>
      <c r="I16" s="7" t="n">
        <v>8426159.1</v>
      </c>
      <c r="J16" s="7" t="n">
        <v>9903546.4</v>
      </c>
      <c r="K16" s="7" t="n">
        <v>10014702.7</v>
      </c>
      <c r="L16" s="7" t="n">
        <v>10933976.1</v>
      </c>
      <c r="M16" s="7" t="n">
        <v>8038451.5</v>
      </c>
      <c r="N16" s="7" t="n">
        <v>11200726.7</v>
      </c>
      <c r="O16" s="7" t="n">
        <v>8884530.9</v>
      </c>
      <c r="P16" s="7" t="n">
        <v>12027668.3</v>
      </c>
      <c r="Q16" s="7" t="n">
        <v>10308206.1</v>
      </c>
      <c r="R16" s="7" t="n">
        <v>10269005.1</v>
      </c>
      <c r="S16" s="7" t="n">
        <v>9803636.300000001</v>
      </c>
      <c r="T16" s="7" t="n">
        <v>9247726.9</v>
      </c>
      <c r="U16" s="7" t="n">
        <v>9774273.1</v>
      </c>
      <c r="V16" s="7" t="n">
        <v>11097655.2</v>
      </c>
      <c r="W16" s="7" t="n">
        <v>9964772.1</v>
      </c>
      <c r="X16" s="7" t="n">
        <v>8359786.4</v>
      </c>
      <c r="Y16" s="7" t="n">
        <v>8261029.4</v>
      </c>
      <c r="Z16" s="7" t="n">
        <v>6559200.2</v>
      </c>
      <c r="AA16" s="8" t="n">
        <v>109822274.5</v>
      </c>
      <c r="AB16" s="8" t="n">
        <v>109918581</v>
      </c>
    </row>
    <row r="17">
      <c r="A17" s="4" t="inlineStr">
        <is>
          <t>中式汤底</t>
        </is>
      </c>
      <c r="D17" s="7" t="n">
        <v>670949.9</v>
      </c>
      <c r="F17" s="7" t="n">
        <v>823716.7000000001</v>
      </c>
      <c r="H17" s="7" t="n">
        <v>1101261.9</v>
      </c>
      <c r="J17" s="7" t="n">
        <v>1236398.1</v>
      </c>
      <c r="L17" s="7" t="n">
        <v>1379645.2</v>
      </c>
      <c r="N17" s="7" t="n">
        <v>1319575.8</v>
      </c>
      <c r="P17" s="7" t="n">
        <v>1503923.4</v>
      </c>
      <c r="R17" s="7" t="n">
        <v>987616.6</v>
      </c>
      <c r="T17" s="7" t="n">
        <v>1137763.1</v>
      </c>
      <c r="V17" s="7" t="n">
        <v>1445797.4</v>
      </c>
      <c r="X17" s="7" t="n">
        <v>859913.8999999999</v>
      </c>
      <c r="Z17" s="7" t="n">
        <v>790597.9</v>
      </c>
      <c r="AB17" s="7" t="n">
        <v>13257159.9</v>
      </c>
    </row>
    <row r="18">
      <c r="A18" s="4" t="inlineStr">
        <is>
          <t>酱料</t>
        </is>
      </c>
      <c r="D18" s="7" t="n">
        <v>450570.8</v>
      </c>
      <c r="F18" s="7" t="n">
        <v>731089.5</v>
      </c>
      <c r="H18" s="7" t="n">
        <v>748771.2000000001</v>
      </c>
      <c r="J18" s="7" t="n">
        <v>947912.1</v>
      </c>
      <c r="L18" s="7" t="n">
        <v>1107528.6</v>
      </c>
      <c r="N18" s="7" t="n">
        <v>1192868</v>
      </c>
      <c r="P18" s="7" t="n">
        <v>1263763.7</v>
      </c>
      <c r="R18" s="7" t="n">
        <v>1131273.4</v>
      </c>
      <c r="T18" s="7" t="n">
        <v>819169.8</v>
      </c>
      <c r="V18" s="7" t="n">
        <v>1281953</v>
      </c>
      <c r="X18" s="7" t="n">
        <v>917709.4</v>
      </c>
      <c r="Z18" s="7" t="n">
        <v>728498.6</v>
      </c>
      <c r="AB18" s="7" t="n">
        <v>11321108.1</v>
      </c>
    </row>
    <row r="19">
      <c r="A19" s="4" t="inlineStr">
        <is>
          <t>川味底料</t>
        </is>
      </c>
      <c r="D19" s="7" t="n">
        <v>628179.2</v>
      </c>
      <c r="F19" s="7" t="n">
        <v>961397.3999999999</v>
      </c>
      <c r="H19" s="7" t="n">
        <v>966403.5999999999</v>
      </c>
      <c r="J19" s="7" t="n">
        <v>1126289.5</v>
      </c>
      <c r="L19" s="7" t="n">
        <v>1453681.1</v>
      </c>
      <c r="N19" s="7" t="n">
        <v>1422172.3</v>
      </c>
      <c r="P19" s="7" t="n">
        <v>1665919</v>
      </c>
      <c r="R19" s="7" t="n">
        <v>1305685.5</v>
      </c>
      <c r="T19" s="7" t="n">
        <v>1109035</v>
      </c>
      <c r="V19" s="7" t="n">
        <v>1214199.3</v>
      </c>
      <c r="X19" s="7" t="n">
        <v>1190317.6</v>
      </c>
      <c r="Z19" s="7" t="n">
        <v>911296.5</v>
      </c>
      <c r="AB19" s="7" t="n">
        <v>13954576</v>
      </c>
    </row>
    <row r="20">
      <c r="A20" s="4" t="inlineStr">
        <is>
          <t>调味汁</t>
        </is>
      </c>
      <c r="D20" s="7" t="n">
        <v>998700.3</v>
      </c>
      <c r="F20" s="7" t="n">
        <v>918379.1000000001</v>
      </c>
      <c r="H20" s="7" t="n">
        <v>1399851.3</v>
      </c>
      <c r="J20" s="7" t="n">
        <v>1800123.3</v>
      </c>
      <c r="L20" s="7" t="n">
        <v>1623334.7</v>
      </c>
      <c r="N20" s="7" t="n">
        <v>1935136.5</v>
      </c>
      <c r="P20" s="7" t="n">
        <v>1834633.8</v>
      </c>
      <c r="R20" s="7" t="n">
        <v>1782285.3</v>
      </c>
      <c r="T20" s="7" t="n">
        <v>1548102.9</v>
      </c>
      <c r="V20" s="7" t="n">
        <v>1810082.4</v>
      </c>
      <c r="X20" s="7" t="n">
        <v>1547708</v>
      </c>
      <c r="Z20" s="7" t="n">
        <v>1208912.5</v>
      </c>
      <c r="AB20" s="7" t="n">
        <v>18407250.1</v>
      </c>
    </row>
    <row r="21">
      <c r="A21" s="4" t="inlineStr">
        <is>
          <t>复合调味粉</t>
        </is>
      </c>
      <c r="D21" s="7" t="n">
        <v>894869</v>
      </c>
      <c r="F21" s="7" t="n">
        <v>894241.2999999999</v>
      </c>
      <c r="H21" s="7" t="n">
        <v>1047614.3</v>
      </c>
      <c r="J21" s="7" t="n">
        <v>1464203.2</v>
      </c>
      <c r="L21" s="7" t="n">
        <v>1720043.1</v>
      </c>
      <c r="N21" s="7" t="n">
        <v>1580339.5</v>
      </c>
      <c r="P21" s="7" t="n">
        <v>1705382.1</v>
      </c>
      <c r="R21" s="7" t="n">
        <v>1477578.5</v>
      </c>
      <c r="T21" s="7" t="n">
        <v>1340323.2</v>
      </c>
      <c r="V21" s="7" t="n">
        <v>1711135.9</v>
      </c>
      <c r="X21" s="7" t="n">
        <v>1174341.1</v>
      </c>
      <c r="Z21" s="7" t="n">
        <v>734825.9</v>
      </c>
      <c r="AB21" s="7" t="n">
        <v>15744897.1</v>
      </c>
    </row>
    <row r="22">
      <c r="A22" s="4" t="inlineStr">
        <is>
          <t>团餐</t>
        </is>
      </c>
      <c r="D22" s="7" t="n">
        <v>893004</v>
      </c>
      <c r="F22" s="7" t="n">
        <v>1117660.6</v>
      </c>
      <c r="H22" s="7" t="n">
        <v>1335364.1</v>
      </c>
      <c r="J22" s="7" t="n">
        <v>1509868.5</v>
      </c>
      <c r="L22" s="7" t="n">
        <v>1783816.8</v>
      </c>
      <c r="N22" s="7" t="n">
        <v>1765125.6</v>
      </c>
      <c r="P22" s="7" t="n">
        <v>1525589.1</v>
      </c>
      <c r="R22" s="7" t="n">
        <v>1573290.7</v>
      </c>
      <c r="T22" s="7" t="n">
        <v>1415783.1</v>
      </c>
      <c r="V22" s="7" t="n">
        <v>1396875.5</v>
      </c>
      <c r="X22" s="7" t="n">
        <v>1079911.8</v>
      </c>
      <c r="Z22" s="7" t="n">
        <v>858298.9</v>
      </c>
      <c r="AB22" s="7" t="n">
        <v>16254588.7</v>
      </c>
    </row>
    <row r="23">
      <c r="A23" s="4" t="inlineStr">
        <is>
          <t>预制菜</t>
        </is>
      </c>
      <c r="D23" s="7" t="n">
        <v>841658.9</v>
      </c>
      <c r="F23" s="7" t="n">
        <v>831020.6000000001</v>
      </c>
      <c r="H23" s="7" t="n">
        <v>1159208.2</v>
      </c>
      <c r="J23" s="7" t="n">
        <v>1184362.9</v>
      </c>
      <c r="L23" s="7" t="n">
        <v>1221981.1</v>
      </c>
      <c r="N23" s="7" t="n">
        <v>1521117.2</v>
      </c>
      <c r="P23" s="7" t="n">
        <v>1893060.8</v>
      </c>
      <c r="R23" s="7" t="n">
        <v>1465819.1</v>
      </c>
      <c r="T23" s="7" t="n">
        <v>1246738</v>
      </c>
      <c r="V23" s="7" t="n">
        <v>1835932.8</v>
      </c>
      <c r="X23" s="7" t="n">
        <v>1328708</v>
      </c>
      <c r="Z23" s="7" t="n">
        <v>1032541.6</v>
      </c>
      <c r="AB23" s="7" t="n">
        <v>15562149.2</v>
      </c>
    </row>
    <row r="24">
      <c r="A24" s="4" t="inlineStr">
        <is>
          <t>其他</t>
        </is>
      </c>
      <c r="D24" s="7" t="n">
        <v>88811.7</v>
      </c>
      <c r="F24" s="7" t="n">
        <v>86578.7</v>
      </c>
      <c r="H24" s="7" t="n">
        <v>89413.7</v>
      </c>
      <c r="J24" s="7" t="n">
        <v>168264.1</v>
      </c>
      <c r="L24" s="7" t="n">
        <v>122498.9</v>
      </c>
      <c r="N24" s="7" t="n">
        <v>64502.5</v>
      </c>
      <c r="P24" s="7" t="n">
        <v>166507</v>
      </c>
      <c r="R24" s="7" t="n">
        <v>112070.5</v>
      </c>
      <c r="T24" s="7" t="n">
        <v>13524.7</v>
      </c>
      <c r="V24" s="7" t="n">
        <v>11963</v>
      </c>
      <c r="X24" s="7" t="n">
        <v>124864.6</v>
      </c>
      <c r="Z24" s="7" t="n">
        <v>43595.5</v>
      </c>
      <c r="AB24" s="7" t="n">
        <v>1092594.9</v>
      </c>
    </row>
    <row r="25">
      <c r="A25" s="4" t="inlineStr">
        <is>
          <t>运费</t>
        </is>
      </c>
      <c r="D25" s="7" t="n">
        <v>219413.2</v>
      </c>
      <c r="F25" s="7" t="n">
        <v>440633.9</v>
      </c>
      <c r="H25" s="7" t="n">
        <v>245330.7</v>
      </c>
      <c r="J25" s="7" t="n">
        <v>634388.8</v>
      </c>
      <c r="L25" s="7" t="n">
        <v>643945.5</v>
      </c>
      <c r="N25" s="7" t="n">
        <v>464391.8</v>
      </c>
      <c r="P25" s="7" t="n">
        <v>635396.4</v>
      </c>
      <c r="R25" s="7" t="n">
        <v>545456</v>
      </c>
      <c r="T25" s="7" t="n">
        <v>630811.8</v>
      </c>
      <c r="V25" s="7" t="n">
        <v>401678.9</v>
      </c>
      <c r="X25" s="7" t="n">
        <v>261176.6</v>
      </c>
      <c r="Z25" s="7" t="n">
        <v>294228.3</v>
      </c>
      <c r="AB25" s="7" t="n">
        <v>5416851.9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6151436.4</v>
      </c>
      <c r="D26" s="7" t="n">
        <v>2645907.9</v>
      </c>
      <c r="E26" s="7" t="n">
        <v>4325432.1</v>
      </c>
      <c r="F26" s="7" t="n">
        <v>2821470.7</v>
      </c>
      <c r="G26" s="7" t="n">
        <v>4074519.6</v>
      </c>
      <c r="H26" s="7" t="n">
        <v>3750133.9</v>
      </c>
      <c r="I26" s="7" t="n">
        <v>4136444.7</v>
      </c>
      <c r="J26" s="7" t="n">
        <v>4194729.1</v>
      </c>
      <c r="K26" s="7" t="n">
        <v>4543158.9</v>
      </c>
      <c r="L26" s="7" t="n">
        <v>4740835.6</v>
      </c>
      <c r="M26" s="7" t="n">
        <v>5161906.5</v>
      </c>
      <c r="N26" s="7" t="n">
        <v>5044572.9</v>
      </c>
      <c r="O26" s="7" t="n">
        <v>5779216.3</v>
      </c>
      <c r="P26" s="7" t="n">
        <v>5346374</v>
      </c>
      <c r="Q26" s="7" t="n">
        <v>2487730.2</v>
      </c>
      <c r="R26" s="7" t="n">
        <v>4410380.5</v>
      </c>
      <c r="S26" s="7" t="n">
        <v>5307871.5</v>
      </c>
      <c r="T26" s="7" t="n">
        <v>3799330.9</v>
      </c>
      <c r="U26" s="7" t="n">
        <v>5486371</v>
      </c>
      <c r="V26" s="7" t="n">
        <v>5180559.6</v>
      </c>
      <c r="W26" s="7" t="n">
        <v>3206263.5</v>
      </c>
      <c r="X26" s="7" t="n">
        <v>3897592.1</v>
      </c>
      <c r="Y26" s="7" t="n">
        <v>4190865.5</v>
      </c>
      <c r="Z26" s="7" t="n">
        <v>2849035.7</v>
      </c>
      <c r="AA26" s="8" t="n">
        <v>54851216.2</v>
      </c>
      <c r="AB26" s="8" t="n">
        <v>48680922.9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43</v>
      </c>
      <c r="D27" s="13" t="n">
        <v>32.1</v>
      </c>
      <c r="E27" s="13" t="n">
        <v>33</v>
      </c>
      <c r="F27" s="13" t="n">
        <v>29.6</v>
      </c>
      <c r="G27" s="13" t="n">
        <v>30.3</v>
      </c>
      <c r="H27" s="13" t="n">
        <v>31.9</v>
      </c>
      <c r="I27" s="13" t="n">
        <v>32.9</v>
      </c>
      <c r="J27" s="13" t="n">
        <v>29.8</v>
      </c>
      <c r="K27" s="13" t="n">
        <v>31.2</v>
      </c>
      <c r="L27" s="13" t="n">
        <v>30.2</v>
      </c>
      <c r="M27" s="13" t="n">
        <v>39.1</v>
      </c>
      <c r="N27" s="13" t="n">
        <v>31.1</v>
      </c>
      <c r="O27" s="13" t="n">
        <v>39.4</v>
      </c>
      <c r="P27" s="13" t="n">
        <v>30.8</v>
      </c>
      <c r="Q27" s="13" t="n">
        <v>19.4</v>
      </c>
      <c r="R27" s="13" t="n">
        <v>30</v>
      </c>
      <c r="S27" s="13" t="n">
        <v>35.1</v>
      </c>
      <c r="T27" s="13" t="n">
        <v>29.1</v>
      </c>
      <c r="U27" s="13" t="n">
        <v>36</v>
      </c>
      <c r="V27" s="13" t="n">
        <v>31.8</v>
      </c>
      <c r="W27" s="13" t="n">
        <v>24.3</v>
      </c>
      <c r="X27" s="13" t="n">
        <v>31.8</v>
      </c>
      <c r="Y27" s="13" t="n">
        <v>33.7</v>
      </c>
      <c r="Z27" s="13" t="n">
        <v>30.3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133037.4</v>
      </c>
      <c r="D28" s="7" t="n">
        <v>108575.3</v>
      </c>
      <c r="E28" s="7" t="n">
        <v>117642.5</v>
      </c>
      <c r="F28" s="7" t="n">
        <v>87432.60000000001</v>
      </c>
      <c r="G28" s="7" t="n">
        <v>131557.3</v>
      </c>
      <c r="H28" s="7" t="n">
        <v>160774</v>
      </c>
      <c r="I28" s="7" t="n">
        <v>120451.2</v>
      </c>
      <c r="J28" s="7" t="n">
        <v>193116.3</v>
      </c>
      <c r="K28" s="7" t="n">
        <v>113735.7</v>
      </c>
      <c r="L28" s="7" t="n">
        <v>113911.6</v>
      </c>
      <c r="M28" s="7" t="n">
        <v>140595.8</v>
      </c>
      <c r="N28" s="7" t="n">
        <v>187272.4</v>
      </c>
      <c r="O28" s="7" t="n">
        <v>127238.1</v>
      </c>
      <c r="P28" s="7" t="n">
        <v>191514.4</v>
      </c>
      <c r="Q28" s="7" t="n">
        <v>129317.8</v>
      </c>
      <c r="R28" s="7" t="n">
        <v>75075.39999999999</v>
      </c>
      <c r="S28" s="7" t="n">
        <v>135214.5</v>
      </c>
      <c r="T28" s="7" t="n">
        <v>166665.5</v>
      </c>
      <c r="U28" s="7" t="n">
        <v>131649.2</v>
      </c>
      <c r="V28" s="7" t="n">
        <v>143653.1</v>
      </c>
      <c r="W28" s="7" t="n">
        <v>120502</v>
      </c>
      <c r="X28" s="7" t="n">
        <v>98645.3</v>
      </c>
      <c r="Y28" s="7" t="n">
        <v>123171.9</v>
      </c>
      <c r="Z28" s="7" t="n">
        <v>50915.7</v>
      </c>
      <c r="AA28" s="8" t="n">
        <v>1524113.4</v>
      </c>
      <c r="AB28" s="8" t="n">
        <v>1577551.6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1924306.8</v>
      </c>
      <c r="D29" s="7" t="n">
        <v>1311900.2</v>
      </c>
      <c r="E29" s="7" t="n">
        <v>2019553.1</v>
      </c>
      <c r="F29" s="7" t="n">
        <v>1143115.8</v>
      </c>
      <c r="G29" s="7" t="n">
        <v>1755259.4</v>
      </c>
      <c r="H29" s="7" t="n">
        <v>1320928.5</v>
      </c>
      <c r="I29" s="7" t="n">
        <v>1998548.9</v>
      </c>
      <c r="J29" s="7" t="n">
        <v>2618276.6</v>
      </c>
      <c r="K29" s="7" t="n">
        <v>2067886.4</v>
      </c>
      <c r="L29" s="7" t="n">
        <v>1683422.5</v>
      </c>
      <c r="M29" s="7" t="n">
        <v>1784314.4</v>
      </c>
      <c r="N29" s="7" t="n">
        <v>2597277.3</v>
      </c>
      <c r="O29" s="7" t="n">
        <v>1683149.7</v>
      </c>
      <c r="P29" s="7" t="n">
        <v>1959129.1</v>
      </c>
      <c r="Q29" s="7" t="n">
        <v>2091702.3</v>
      </c>
      <c r="R29" s="7" t="n">
        <v>2572906.8</v>
      </c>
      <c r="S29" s="7" t="n">
        <v>1829024.4</v>
      </c>
      <c r="T29" s="7" t="n">
        <v>2819127</v>
      </c>
      <c r="U29" s="7" t="n">
        <v>2177086.5</v>
      </c>
      <c r="V29" s="7" t="n">
        <v>1946162.7</v>
      </c>
      <c r="W29" s="7" t="n">
        <v>1693550.4</v>
      </c>
      <c r="X29" s="7" t="n">
        <v>1473712.1</v>
      </c>
      <c r="Y29" s="7" t="n">
        <v>2030850.9</v>
      </c>
      <c r="Z29" s="7" t="n">
        <v>1730122.1</v>
      </c>
      <c r="AA29" s="8" t="n">
        <v>23055233.2</v>
      </c>
      <c r="AB29" s="8" t="n">
        <v>23176080.7</v>
      </c>
    </row>
    <row r="30">
      <c r="A30" s="4" t="inlineStr">
        <is>
          <t>职工薪酬</t>
        </is>
      </c>
      <c r="D30" s="7" t="n">
        <v>772594.2</v>
      </c>
      <c r="F30" s="7" t="n">
        <v>467754.9</v>
      </c>
      <c r="H30" s="7" t="n">
        <v>646224.9</v>
      </c>
      <c r="J30" s="7" t="n">
        <v>1403924.4</v>
      </c>
      <c r="L30" s="7" t="n">
        <v>902373.9</v>
      </c>
      <c r="N30" s="7" t="n">
        <v>1097398.6</v>
      </c>
      <c r="P30" s="7" t="n">
        <v>787669.1</v>
      </c>
      <c r="R30" s="7" t="n">
        <v>1555246.8</v>
      </c>
      <c r="T30" s="7" t="n">
        <v>1624117.4</v>
      </c>
      <c r="V30" s="7" t="n">
        <v>1080533.6</v>
      </c>
      <c r="X30" s="7" t="n">
        <v>868231.4</v>
      </c>
      <c r="Z30" s="7" t="n">
        <v>652669</v>
      </c>
      <c r="AB30" s="7" t="n">
        <v>11858738.2</v>
      </c>
    </row>
    <row r="31">
      <c r="A31" s="4" t="inlineStr">
        <is>
          <t>工资</t>
        </is>
      </c>
      <c r="D31" s="7" t="n">
        <v>468703.8</v>
      </c>
      <c r="F31" s="7" t="n">
        <v>281141.7</v>
      </c>
      <c r="H31" s="7" t="n">
        <v>366277.3</v>
      </c>
      <c r="J31" s="7" t="n">
        <v>906950.3</v>
      </c>
      <c r="L31" s="7" t="n">
        <v>611919.9</v>
      </c>
      <c r="N31" s="7" t="n">
        <v>597963.1</v>
      </c>
      <c r="P31" s="7" t="n">
        <v>430649.6</v>
      </c>
      <c r="R31" s="7" t="n">
        <v>979787</v>
      </c>
      <c r="T31" s="7" t="n">
        <v>1062279</v>
      </c>
      <c r="V31" s="7" t="n">
        <v>713026.2</v>
      </c>
      <c r="X31" s="7" t="n">
        <v>527035</v>
      </c>
      <c r="Z31" s="7" t="n">
        <v>367602.5</v>
      </c>
      <c r="AB31" s="7" t="n">
        <v>7313335.4</v>
      </c>
    </row>
    <row r="32">
      <c r="A32" s="4" t="inlineStr">
        <is>
          <t>奖金及提成</t>
        </is>
      </c>
      <c r="D32" s="7" t="n">
        <v>146444.4</v>
      </c>
      <c r="F32" s="7" t="n">
        <v>87650.3</v>
      </c>
      <c r="H32" s="7" t="n">
        <v>128134.9</v>
      </c>
      <c r="J32" s="7" t="n">
        <v>186853</v>
      </c>
      <c r="L32" s="7" t="n">
        <v>138950.7</v>
      </c>
      <c r="N32" s="7" t="n">
        <v>265650.4</v>
      </c>
      <c r="P32" s="7" t="n">
        <v>161095.4</v>
      </c>
      <c r="R32" s="7" t="n">
        <v>260882.3</v>
      </c>
      <c r="T32" s="7" t="n">
        <v>241090.3</v>
      </c>
      <c r="V32" s="7" t="n">
        <v>192634.3</v>
      </c>
      <c r="X32" s="7" t="n">
        <v>167701.7</v>
      </c>
      <c r="Z32" s="7" t="n">
        <v>135781.4</v>
      </c>
      <c r="AB32" s="7" t="n">
        <v>2112869.1</v>
      </c>
    </row>
    <row r="33">
      <c r="A33" s="4" t="inlineStr">
        <is>
          <t>社保</t>
        </is>
      </c>
      <c r="D33" s="7" t="n">
        <v>117467.9</v>
      </c>
      <c r="F33" s="7" t="n">
        <v>65023.5</v>
      </c>
      <c r="H33" s="7" t="n">
        <v>110937.2</v>
      </c>
      <c r="J33" s="7" t="n">
        <v>230013.9</v>
      </c>
      <c r="L33" s="7" t="n">
        <v>97785.2</v>
      </c>
      <c r="N33" s="7" t="n">
        <v>166681.2</v>
      </c>
      <c r="P33" s="7" t="n">
        <v>136419.4</v>
      </c>
      <c r="R33" s="7" t="n">
        <v>241547.2</v>
      </c>
      <c r="T33" s="7" t="n">
        <v>241492.9</v>
      </c>
      <c r="V33" s="7" t="n">
        <v>113944.1</v>
      </c>
      <c r="X33" s="7" t="n">
        <v>128844.3</v>
      </c>
      <c r="Z33" s="7" t="n">
        <v>97579</v>
      </c>
      <c r="AB33" s="7" t="n">
        <v>1747735.8</v>
      </c>
    </row>
    <row r="34">
      <c r="A34" s="4" t="inlineStr">
        <is>
          <t>养老</t>
        </is>
      </c>
      <c r="D34" s="7" t="n">
        <v>2884.6</v>
      </c>
      <c r="F34" s="7" t="n">
        <v>3528.6</v>
      </c>
      <c r="H34" s="7" t="n">
        <v>3689.8</v>
      </c>
      <c r="J34" s="7" t="n">
        <v>8131.1</v>
      </c>
      <c r="L34" s="7" t="n">
        <v>3052.2</v>
      </c>
      <c r="N34" s="7" t="n">
        <v>8078.3</v>
      </c>
      <c r="P34" s="7" t="n">
        <v>5440.4</v>
      </c>
      <c r="R34" s="7" t="n">
        <v>5499.4</v>
      </c>
      <c r="T34" s="7" t="n">
        <v>6670.3</v>
      </c>
      <c r="V34" s="7" t="n">
        <v>6378.1</v>
      </c>
      <c r="X34" s="7" t="n">
        <v>2853.5</v>
      </c>
      <c r="Z34" s="7" t="n">
        <v>3921</v>
      </c>
      <c r="AB34" s="7" t="n">
        <v>60127.3</v>
      </c>
    </row>
    <row r="35">
      <c r="A35" s="4" t="inlineStr">
        <is>
          <t>医疗</t>
        </is>
      </c>
      <c r="D35" s="7" t="n">
        <v>7597.7</v>
      </c>
      <c r="F35" s="7" t="n">
        <v>5274.7</v>
      </c>
      <c r="H35" s="7" t="n">
        <v>7510.8</v>
      </c>
      <c r="J35" s="7" t="n">
        <v>14506.5</v>
      </c>
      <c r="L35" s="7" t="n">
        <v>12015.8</v>
      </c>
      <c r="N35" s="7" t="n">
        <v>10523.9</v>
      </c>
      <c r="P35" s="7" t="n">
        <v>9447.5</v>
      </c>
      <c r="R35" s="7" t="n">
        <v>14881.9</v>
      </c>
      <c r="T35" s="7" t="n">
        <v>14423.2</v>
      </c>
      <c r="V35" s="7" t="n">
        <v>10354</v>
      </c>
      <c r="X35" s="7" t="n">
        <v>6652.4</v>
      </c>
      <c r="Z35" s="7" t="n">
        <v>8929.6</v>
      </c>
      <c r="AB35" s="7" t="n">
        <v>122118</v>
      </c>
    </row>
    <row r="36">
      <c r="A36" s="4" t="inlineStr">
        <is>
          <t>工伤</t>
        </is>
      </c>
      <c r="D36" s="7" t="n">
        <v>3254.8</v>
      </c>
      <c r="F36" s="7" t="n">
        <v>2220.4</v>
      </c>
      <c r="H36" s="7" t="n">
        <v>3922.9</v>
      </c>
      <c r="J36" s="7" t="n">
        <v>6046.5</v>
      </c>
      <c r="L36" s="7" t="n">
        <v>4611.7</v>
      </c>
      <c r="N36" s="7" t="n">
        <v>6445.9</v>
      </c>
      <c r="P36" s="7" t="n">
        <v>5548.1</v>
      </c>
      <c r="R36" s="7" t="n">
        <v>7328.1</v>
      </c>
      <c r="T36" s="7" t="n">
        <v>7734.5</v>
      </c>
      <c r="V36" s="7" t="n">
        <v>3223.1</v>
      </c>
      <c r="X36" s="7" t="n">
        <v>3512.9</v>
      </c>
      <c r="Z36" s="7" t="n">
        <v>3465.9</v>
      </c>
      <c r="AB36" s="7" t="n">
        <v>57314.8</v>
      </c>
    </row>
    <row r="37">
      <c r="A37" s="4" t="inlineStr">
        <is>
          <t>失业</t>
        </is>
      </c>
      <c r="D37" s="7" t="n">
        <v>1616.1</v>
      </c>
      <c r="F37" s="7" t="n">
        <v>1244.3</v>
      </c>
      <c r="H37" s="7" t="n">
        <v>989.1</v>
      </c>
      <c r="J37" s="7" t="n">
        <v>2420.6</v>
      </c>
      <c r="L37" s="7" t="n">
        <v>2137.5</v>
      </c>
      <c r="N37" s="7" t="n">
        <v>2758.1</v>
      </c>
      <c r="P37" s="7" t="n">
        <v>2095.7</v>
      </c>
      <c r="R37" s="7" t="n">
        <v>2141</v>
      </c>
      <c r="T37" s="7" t="n">
        <v>2367.6</v>
      </c>
      <c r="V37" s="7" t="n">
        <v>1532.7</v>
      </c>
      <c r="X37" s="7" t="n">
        <v>1880</v>
      </c>
      <c r="Z37" s="7" t="n">
        <v>2144.3</v>
      </c>
      <c r="AB37" s="7" t="n">
        <v>23327</v>
      </c>
    </row>
    <row r="38">
      <c r="A38" s="4" t="inlineStr">
        <is>
          <t>生育</t>
        </is>
      </c>
      <c r="D38" s="7" t="n">
        <v>2904.5</v>
      </c>
      <c r="F38" s="7" t="n">
        <v>2034</v>
      </c>
      <c r="H38" s="7" t="n">
        <v>2233.7</v>
      </c>
      <c r="J38" s="7" t="n">
        <v>5793.8</v>
      </c>
      <c r="L38" s="7" t="n">
        <v>4289.4</v>
      </c>
      <c r="N38" s="7" t="n">
        <v>6828.2</v>
      </c>
      <c r="P38" s="7" t="n">
        <v>3745.4</v>
      </c>
      <c r="R38" s="7" t="n">
        <v>6239.3</v>
      </c>
      <c r="T38" s="7" t="n">
        <v>6174.1</v>
      </c>
      <c r="V38" s="7" t="n">
        <v>3282.6</v>
      </c>
      <c r="X38" s="7" t="n">
        <v>4128.5</v>
      </c>
      <c r="Z38" s="7" t="n">
        <v>4802.2</v>
      </c>
      <c r="AB38" s="7" t="n">
        <v>52455.7</v>
      </c>
    </row>
    <row r="39">
      <c r="A39" s="4" t="inlineStr">
        <is>
          <t>公积金</t>
        </is>
      </c>
      <c r="D39" s="7" t="n">
        <v>1573.1</v>
      </c>
      <c r="F39" s="7" t="n">
        <v>1360.3</v>
      </c>
      <c r="H39" s="7" t="n">
        <v>1119.6</v>
      </c>
      <c r="J39" s="7" t="n">
        <v>2577.9</v>
      </c>
      <c r="L39" s="7" t="n">
        <v>2033.6</v>
      </c>
      <c r="N39" s="7" t="n">
        <v>1906.1</v>
      </c>
      <c r="P39" s="7" t="n">
        <v>1660.7</v>
      </c>
      <c r="R39" s="7" t="n">
        <v>3006.8</v>
      </c>
      <c r="T39" s="7" t="n">
        <v>3048.9</v>
      </c>
      <c r="V39" s="7" t="n">
        <v>2147.4</v>
      </c>
      <c r="X39" s="7" t="n">
        <v>1722.6</v>
      </c>
      <c r="Z39" s="7" t="n">
        <v>1561.8</v>
      </c>
      <c r="AB39" s="7" t="n">
        <v>23718.8</v>
      </c>
    </row>
    <row r="40">
      <c r="A40" s="4" t="inlineStr">
        <is>
          <t>工会经费</t>
        </is>
      </c>
      <c r="D40" s="7" t="n">
        <v>3416.9</v>
      </c>
      <c r="F40" s="7" t="n">
        <v>3885</v>
      </c>
      <c r="H40" s="7" t="n">
        <v>4404.6</v>
      </c>
      <c r="J40" s="7" t="n">
        <v>8896.200000000001</v>
      </c>
      <c r="L40" s="7" t="n">
        <v>3923.6</v>
      </c>
      <c r="N40" s="7" t="n">
        <v>8177.1</v>
      </c>
      <c r="P40" s="7" t="n">
        <v>4036.7</v>
      </c>
      <c r="R40" s="7" t="n">
        <v>5626</v>
      </c>
      <c r="T40" s="7" t="n">
        <v>8799.6</v>
      </c>
      <c r="V40" s="7" t="n">
        <v>5600.9</v>
      </c>
      <c r="X40" s="7" t="n">
        <v>3418.3</v>
      </c>
      <c r="Z40" s="7" t="n">
        <v>4853.4</v>
      </c>
      <c r="AB40" s="7" t="n">
        <v>65038.3</v>
      </c>
    </row>
    <row r="41">
      <c r="A41" s="4" t="inlineStr">
        <is>
          <t>职工教育经费</t>
        </is>
      </c>
      <c r="D41" s="7" t="n">
        <v>1667.2</v>
      </c>
      <c r="F41" s="7" t="n">
        <v>1925.5</v>
      </c>
      <c r="H41" s="7" t="n">
        <v>1831.2</v>
      </c>
      <c r="J41" s="7" t="n">
        <v>4412.1</v>
      </c>
      <c r="L41" s="7" t="n">
        <v>2513.2</v>
      </c>
      <c r="N41" s="7" t="n">
        <v>3938.2</v>
      </c>
      <c r="P41" s="7" t="n">
        <v>3152.8</v>
      </c>
      <c r="R41" s="7" t="n">
        <v>4391.4</v>
      </c>
      <c r="T41" s="7" t="n">
        <v>3945.8</v>
      </c>
      <c r="V41" s="7" t="n">
        <v>3569.4</v>
      </c>
      <c r="X41" s="7" t="n">
        <v>2220</v>
      </c>
      <c r="Z41" s="7" t="n">
        <v>2049.9</v>
      </c>
      <c r="AB41" s="7" t="n">
        <v>35616.7</v>
      </c>
    </row>
    <row r="42">
      <c r="A42" s="4" t="inlineStr">
        <is>
          <t>福利费</t>
        </is>
      </c>
      <c r="D42" s="7" t="n">
        <v>33320.9</v>
      </c>
      <c r="F42" s="7" t="n">
        <v>26768.6</v>
      </c>
      <c r="H42" s="7" t="n">
        <v>33520.1</v>
      </c>
      <c r="J42" s="7" t="n">
        <v>64221</v>
      </c>
      <c r="L42" s="7" t="n">
        <v>45247.7</v>
      </c>
      <c r="N42" s="7" t="n">
        <v>53082.5</v>
      </c>
      <c r="P42" s="7" t="n">
        <v>50654.5</v>
      </c>
      <c r="R42" s="7" t="n">
        <v>60006.1</v>
      </c>
      <c r="T42" s="7" t="n">
        <v>63460.9</v>
      </c>
      <c r="V42" s="7" t="n">
        <v>49611.3</v>
      </c>
      <c r="X42" s="7" t="n">
        <v>37289.5</v>
      </c>
      <c r="Z42" s="7" t="n">
        <v>43241</v>
      </c>
      <c r="AB42" s="7" t="n">
        <v>560424.1</v>
      </c>
    </row>
    <row r="43">
      <c r="A43" s="4" t="inlineStr">
        <is>
          <t>职工房租</t>
        </is>
      </c>
      <c r="D43" s="7" t="n">
        <v>7414.6</v>
      </c>
      <c r="F43" s="7" t="n">
        <v>5817</v>
      </c>
      <c r="H43" s="7" t="n">
        <v>7319.6</v>
      </c>
      <c r="J43" s="7" t="n">
        <v>12625.9</v>
      </c>
      <c r="L43" s="7" t="n">
        <v>9025.700000000001</v>
      </c>
      <c r="N43" s="7" t="n">
        <v>10708.5</v>
      </c>
      <c r="P43" s="7" t="n">
        <v>12712.7</v>
      </c>
      <c r="R43" s="7" t="n">
        <v>13579.7</v>
      </c>
      <c r="T43" s="7" t="n">
        <v>14230.3</v>
      </c>
      <c r="V43" s="7" t="n">
        <v>11806.4</v>
      </c>
      <c r="X43" s="7" t="n">
        <v>9598.700000000001</v>
      </c>
      <c r="Z43" s="7" t="n">
        <v>10391.3</v>
      </c>
      <c r="AB43" s="7" t="n">
        <v>125230.4</v>
      </c>
    </row>
    <row r="44">
      <c r="A44" s="4" t="inlineStr">
        <is>
          <t>水电物业费</t>
        </is>
      </c>
      <c r="D44" s="7" t="n">
        <v>5537.1</v>
      </c>
      <c r="F44" s="7" t="n">
        <v>4614.8</v>
      </c>
      <c r="H44" s="7" t="n">
        <v>4605.8</v>
      </c>
      <c r="J44" s="7" t="n">
        <v>8755.9</v>
      </c>
      <c r="L44" s="7" t="n">
        <v>6935.5</v>
      </c>
      <c r="N44" s="7" t="n">
        <v>6489.4</v>
      </c>
      <c r="P44" s="7" t="n">
        <v>8754.9</v>
      </c>
      <c r="R44" s="7" t="n">
        <v>8960.9</v>
      </c>
      <c r="T44" s="7" t="n">
        <v>9101.299999999999</v>
      </c>
      <c r="V44" s="7" t="n">
        <v>7648.6</v>
      </c>
      <c r="X44" s="7" t="n">
        <v>5251.4</v>
      </c>
      <c r="Z44" s="7" t="n">
        <v>6016.4</v>
      </c>
      <c r="AB44" s="7" t="n">
        <v>82672</v>
      </c>
    </row>
    <row r="45">
      <c r="A45" s="4" t="inlineStr">
        <is>
          <t>员工餐</t>
        </is>
      </c>
      <c r="D45" s="7" t="n">
        <v>3958.1</v>
      </c>
      <c r="F45" s="7" t="n">
        <v>4135</v>
      </c>
      <c r="H45" s="7" t="n">
        <v>5128.4</v>
      </c>
      <c r="J45" s="7" t="n">
        <v>9557.9</v>
      </c>
      <c r="L45" s="7" t="n">
        <v>8330.1</v>
      </c>
      <c r="N45" s="7" t="n">
        <v>10491.7</v>
      </c>
      <c r="P45" s="7" t="n">
        <v>7724.9</v>
      </c>
      <c r="R45" s="7" t="n">
        <v>11362.2</v>
      </c>
      <c r="T45" s="7" t="n">
        <v>8542.299999999999</v>
      </c>
      <c r="V45" s="7" t="n">
        <v>8130.1</v>
      </c>
      <c r="X45" s="7" t="n">
        <v>4786.2</v>
      </c>
      <c r="Z45" s="7" t="n">
        <v>8570.9</v>
      </c>
      <c r="AB45" s="7" t="n">
        <v>90717.8</v>
      </c>
    </row>
    <row r="46">
      <c r="A46" s="4" t="inlineStr">
        <is>
          <t>节日礼品</t>
        </is>
      </c>
      <c r="D46" s="7" t="n">
        <v>4404.9</v>
      </c>
      <c r="F46" s="7" t="n">
        <v>2600</v>
      </c>
      <c r="H46" s="7" t="n">
        <v>4566.9</v>
      </c>
      <c r="J46" s="7" t="n">
        <v>9792.6</v>
      </c>
      <c r="L46" s="7" t="n">
        <v>5572.9</v>
      </c>
      <c r="N46" s="7" t="n">
        <v>6009.7</v>
      </c>
      <c r="P46" s="7" t="n">
        <v>5501.9</v>
      </c>
      <c r="R46" s="7" t="n">
        <v>7396.3</v>
      </c>
      <c r="T46" s="7" t="n">
        <v>6741.3</v>
      </c>
      <c r="V46" s="7" t="n">
        <v>6076.8</v>
      </c>
      <c r="X46" s="7" t="n">
        <v>4922</v>
      </c>
      <c r="Z46" s="7" t="n">
        <v>4208.1</v>
      </c>
      <c r="AB46" s="7" t="n">
        <v>67793.39999999999</v>
      </c>
    </row>
    <row r="47">
      <c r="A47" s="4" t="inlineStr">
        <is>
          <t>生日礼品</t>
        </is>
      </c>
      <c r="D47" s="7" t="n">
        <v>3324.9</v>
      </c>
      <c r="F47" s="7" t="n">
        <v>3800.3</v>
      </c>
      <c r="H47" s="7" t="n">
        <v>4900.5</v>
      </c>
      <c r="J47" s="7" t="n">
        <v>9195.200000000001</v>
      </c>
      <c r="L47" s="7" t="n">
        <v>5676.8</v>
      </c>
      <c r="N47" s="7" t="n">
        <v>5994.7</v>
      </c>
      <c r="P47" s="7" t="n">
        <v>4489</v>
      </c>
      <c r="R47" s="7" t="n">
        <v>7438.3</v>
      </c>
      <c r="T47" s="7" t="n">
        <v>7714.1</v>
      </c>
      <c r="V47" s="7" t="n">
        <v>5885.5</v>
      </c>
      <c r="X47" s="7" t="n">
        <v>4088.3</v>
      </c>
      <c r="Z47" s="7" t="n">
        <v>6059.3</v>
      </c>
      <c r="AB47" s="7" t="n">
        <v>68566.89999999999</v>
      </c>
    </row>
    <row r="48">
      <c r="A48" s="4" t="inlineStr">
        <is>
          <t>体检</t>
        </is>
      </c>
      <c r="D48" s="7" t="n">
        <v>5589.5</v>
      </c>
      <c r="F48" s="7" t="n">
        <v>3556.2</v>
      </c>
      <c r="H48" s="7" t="n">
        <v>4114.5</v>
      </c>
      <c r="J48" s="7" t="n">
        <v>10198.8</v>
      </c>
      <c r="L48" s="7" t="n">
        <v>7045.3</v>
      </c>
      <c r="N48" s="7" t="n">
        <v>9056.799999999999</v>
      </c>
      <c r="P48" s="7" t="n">
        <v>7202.4</v>
      </c>
      <c r="R48" s="7" t="n">
        <v>6820.2</v>
      </c>
      <c r="T48" s="7" t="n">
        <v>11551.8</v>
      </c>
      <c r="V48" s="7" t="n">
        <v>5271.6</v>
      </c>
      <c r="X48" s="7" t="n">
        <v>5573.7</v>
      </c>
      <c r="Z48" s="7" t="n">
        <v>5524.8</v>
      </c>
      <c r="AB48" s="7" t="n">
        <v>81505.60000000001</v>
      </c>
    </row>
    <row r="49">
      <c r="A49" s="4" t="inlineStr">
        <is>
          <t>其他福利支出</t>
        </is>
      </c>
      <c r="D49" s="7" t="n">
        <v>3091.8</v>
      </c>
      <c r="F49" s="7" t="n">
        <v>2245.3</v>
      </c>
      <c r="H49" s="7" t="n">
        <v>2884.4</v>
      </c>
      <c r="J49" s="7" t="n">
        <v>4094.7</v>
      </c>
      <c r="L49" s="7" t="n">
        <v>2661.4</v>
      </c>
      <c r="N49" s="7" t="n">
        <v>4331.7</v>
      </c>
      <c r="P49" s="7" t="n">
        <v>4268.7</v>
      </c>
      <c r="R49" s="7" t="n">
        <v>4448.5</v>
      </c>
      <c r="T49" s="7" t="n">
        <v>5579.8</v>
      </c>
      <c r="V49" s="7" t="n">
        <v>4792.3</v>
      </c>
      <c r="X49" s="7" t="n">
        <v>3069.2</v>
      </c>
      <c r="Z49" s="7" t="n">
        <v>2470.2</v>
      </c>
      <c r="AB49" s="7" t="n">
        <v>43938</v>
      </c>
    </row>
    <row r="50">
      <c r="A50" s="4" t="inlineStr">
        <is>
          <t>招聘费</t>
        </is>
      </c>
      <c r="D50" s="7" t="n">
        <v>6399.3</v>
      </c>
      <c r="F50" s="7" t="n">
        <v>6969.4</v>
      </c>
      <c r="H50" s="7" t="n">
        <v>7534.4</v>
      </c>
      <c r="J50" s="7" t="n">
        <v>14338.1</v>
      </c>
      <c r="L50" s="7" t="n">
        <v>7285</v>
      </c>
      <c r="N50" s="7" t="n">
        <v>15936.5</v>
      </c>
      <c r="P50" s="7" t="n">
        <v>9602.9</v>
      </c>
      <c r="R50" s="7" t="n">
        <v>15315.6</v>
      </c>
      <c r="T50" s="7" t="n">
        <v>17490.3</v>
      </c>
      <c r="V50" s="7" t="n">
        <v>11653.8</v>
      </c>
      <c r="X50" s="7" t="n">
        <v>10194.8</v>
      </c>
      <c r="Z50" s="7" t="n">
        <v>7304</v>
      </c>
      <c r="AB50" s="7" t="n">
        <v>130024.1</v>
      </c>
    </row>
    <row r="51">
      <c r="A51" s="4" t="inlineStr">
        <is>
          <t>办公费</t>
        </is>
      </c>
      <c r="D51" s="7" t="n">
        <v>31050.9</v>
      </c>
      <c r="F51" s="7" t="n">
        <v>37447.3</v>
      </c>
      <c r="H51" s="7" t="n">
        <v>28612.6</v>
      </c>
      <c r="J51" s="7" t="n">
        <v>95223.89999999999</v>
      </c>
      <c r="L51" s="7" t="n">
        <v>55562.9</v>
      </c>
      <c r="N51" s="7" t="n">
        <v>93720.8</v>
      </c>
      <c r="P51" s="7" t="n">
        <v>51666.1</v>
      </c>
      <c r="R51" s="7" t="n">
        <v>96656.2</v>
      </c>
      <c r="T51" s="7" t="n">
        <v>61689.7</v>
      </c>
      <c r="V51" s="7" t="n">
        <v>55475.8</v>
      </c>
      <c r="X51" s="7" t="n">
        <v>35676.3</v>
      </c>
      <c r="Z51" s="7" t="n">
        <v>57262.9</v>
      </c>
      <c r="AB51" s="7" t="n">
        <v>700045.4</v>
      </c>
    </row>
    <row r="52">
      <c r="A52" s="4" t="inlineStr">
        <is>
          <t>市内交通费</t>
        </is>
      </c>
      <c r="D52" s="7" t="n">
        <v>5861</v>
      </c>
      <c r="F52" s="7" t="n">
        <v>4841.6</v>
      </c>
      <c r="H52" s="7" t="n">
        <v>6205.6</v>
      </c>
      <c r="J52" s="7" t="n">
        <v>8461.1</v>
      </c>
      <c r="L52" s="7" t="n">
        <v>6565</v>
      </c>
      <c r="N52" s="7" t="n">
        <v>10900.8</v>
      </c>
      <c r="P52" s="7" t="n">
        <v>9882.9</v>
      </c>
      <c r="R52" s="7" t="n">
        <v>7793.1</v>
      </c>
      <c r="T52" s="7" t="n">
        <v>9936.299999999999</v>
      </c>
      <c r="V52" s="7" t="n">
        <v>7183.6</v>
      </c>
      <c r="X52" s="7" t="n">
        <v>5476.4</v>
      </c>
      <c r="Z52" s="7" t="n">
        <v>5134.5</v>
      </c>
      <c r="AB52" s="7" t="n">
        <v>88241.89999999999</v>
      </c>
    </row>
    <row r="53">
      <c r="A53" s="4" t="inlineStr">
        <is>
          <t>差旅费</t>
        </is>
      </c>
      <c r="D53" s="7" t="n">
        <v>75281.60000000001</v>
      </c>
      <c r="F53" s="7" t="n">
        <v>70663.89999999999</v>
      </c>
      <c r="H53" s="7" t="n">
        <v>69404.2</v>
      </c>
      <c r="J53" s="7" t="n">
        <v>122649.6</v>
      </c>
      <c r="L53" s="7" t="n">
        <v>112799.9</v>
      </c>
      <c r="N53" s="7" t="n">
        <v>134744.3</v>
      </c>
      <c r="P53" s="7" t="n">
        <v>119455.7</v>
      </c>
      <c r="R53" s="7" t="n">
        <v>156657.3</v>
      </c>
      <c r="T53" s="7" t="n">
        <v>189022.1</v>
      </c>
      <c r="V53" s="7" t="n">
        <v>124620.5</v>
      </c>
      <c r="X53" s="7" t="n">
        <v>67694.8</v>
      </c>
      <c r="Z53" s="7" t="n">
        <v>118115.8</v>
      </c>
      <c r="AB53" s="7" t="n">
        <v>1361109.7</v>
      </c>
    </row>
    <row r="54">
      <c r="A54" s="4" t="inlineStr">
        <is>
          <t>交通费</t>
        </is>
      </c>
      <c r="D54" s="7" t="n">
        <v>6992.5</v>
      </c>
      <c r="F54" s="7" t="n">
        <v>4668.5</v>
      </c>
      <c r="H54" s="7" t="n">
        <v>6064.8</v>
      </c>
      <c r="J54" s="7" t="n">
        <v>13610.3</v>
      </c>
      <c r="L54" s="7" t="n">
        <v>8969</v>
      </c>
      <c r="N54" s="7" t="n">
        <v>9344.5</v>
      </c>
      <c r="P54" s="7" t="n">
        <v>8608</v>
      </c>
      <c r="R54" s="7" t="n">
        <v>9443.4</v>
      </c>
      <c r="T54" s="7" t="n">
        <v>11804.5</v>
      </c>
      <c r="V54" s="7" t="n">
        <v>10410.9</v>
      </c>
      <c r="X54" s="7" t="n">
        <v>5545.3</v>
      </c>
      <c r="Z54" s="7" t="n">
        <v>5550.4</v>
      </c>
      <c r="AB54" s="7" t="n">
        <v>101012.1</v>
      </c>
    </row>
    <row r="55">
      <c r="A55" s="4" t="inlineStr">
        <is>
          <t>住宿费</t>
        </is>
      </c>
      <c r="D55" s="7" t="n">
        <v>4897.4</v>
      </c>
      <c r="F55" s="7" t="n">
        <v>4551.1</v>
      </c>
      <c r="H55" s="7" t="n">
        <v>4851.5</v>
      </c>
      <c r="J55" s="7" t="n">
        <v>7804.6</v>
      </c>
      <c r="L55" s="7" t="n">
        <v>6618.5</v>
      </c>
      <c r="N55" s="7" t="n">
        <v>10781.7</v>
      </c>
      <c r="P55" s="7" t="n">
        <v>9306.5</v>
      </c>
      <c r="R55" s="7" t="n">
        <v>6653.8</v>
      </c>
      <c r="T55" s="7" t="n">
        <v>7430.3</v>
      </c>
      <c r="V55" s="7" t="n">
        <v>7720.7</v>
      </c>
      <c r="X55" s="7" t="n">
        <v>4190.7</v>
      </c>
      <c r="Z55" s="7" t="n">
        <v>7716.2</v>
      </c>
      <c r="AB55" s="7" t="n">
        <v>82523</v>
      </c>
    </row>
    <row r="56">
      <c r="A56" s="4" t="inlineStr">
        <is>
          <t>餐补</t>
        </is>
      </c>
      <c r="D56" s="7" t="n">
        <v>8937.700000000001</v>
      </c>
      <c r="F56" s="7" t="n">
        <v>5684.3</v>
      </c>
      <c r="H56" s="7" t="n">
        <v>6235</v>
      </c>
      <c r="J56" s="7" t="n">
        <v>14225.4</v>
      </c>
      <c r="L56" s="7" t="n">
        <v>9554.4</v>
      </c>
      <c r="N56" s="7" t="n">
        <v>9624.700000000001</v>
      </c>
      <c r="P56" s="7" t="n">
        <v>8430.200000000001</v>
      </c>
      <c r="R56" s="7" t="n">
        <v>11722.4</v>
      </c>
      <c r="T56" s="7" t="n">
        <v>17354.4</v>
      </c>
      <c r="V56" s="7" t="n">
        <v>9026.9</v>
      </c>
      <c r="X56" s="7" t="n">
        <v>7757.8</v>
      </c>
      <c r="Z56" s="7" t="n">
        <v>8112.8</v>
      </c>
      <c r="AB56" s="7" t="n">
        <v>116666</v>
      </c>
    </row>
    <row r="57">
      <c r="A57" s="4" t="inlineStr">
        <is>
          <t>交通补助</t>
        </is>
      </c>
      <c r="D57" s="7" t="n">
        <v>58.6</v>
      </c>
      <c r="F57" s="7" t="n">
        <v>41.6</v>
      </c>
      <c r="H57" s="7" t="n">
        <v>60.3</v>
      </c>
      <c r="J57" s="7" t="n">
        <v>112.6</v>
      </c>
      <c r="L57" s="7" t="n">
        <v>48.6</v>
      </c>
      <c r="N57" s="7" t="n">
        <v>84.09999999999999</v>
      </c>
      <c r="P57" s="7" t="n">
        <v>70.8</v>
      </c>
      <c r="R57" s="7" t="n">
        <v>93.40000000000001</v>
      </c>
      <c r="T57" s="7" t="n">
        <v>125.1</v>
      </c>
      <c r="V57" s="7" t="n">
        <v>97.8</v>
      </c>
      <c r="X57" s="7" t="n">
        <v>69.8</v>
      </c>
      <c r="Z57" s="7" t="n">
        <v>75.59999999999999</v>
      </c>
      <c r="AB57" s="7" t="n">
        <v>938.3</v>
      </c>
    </row>
    <row r="58">
      <c r="A58" s="4" t="inlineStr">
        <is>
          <t>通讯补助</t>
        </is>
      </c>
      <c r="D58" s="7" t="n">
        <v>4458.3</v>
      </c>
      <c r="F58" s="7" t="n">
        <v>4458.2</v>
      </c>
      <c r="H58" s="7" t="n">
        <v>4263.1</v>
      </c>
      <c r="J58" s="7" t="n">
        <v>7448.9</v>
      </c>
      <c r="L58" s="7" t="n">
        <v>6220.8</v>
      </c>
      <c r="N58" s="7" t="n">
        <v>7777.1</v>
      </c>
      <c r="P58" s="7" t="n">
        <v>7086</v>
      </c>
      <c r="R58" s="7" t="n">
        <v>9756.9</v>
      </c>
      <c r="T58" s="7" t="n">
        <v>7829.3</v>
      </c>
      <c r="V58" s="7" t="n">
        <v>6974.1</v>
      </c>
      <c r="X58" s="7" t="n">
        <v>4137.9</v>
      </c>
      <c r="Z58" s="7" t="n">
        <v>5580.2</v>
      </c>
      <c r="AB58" s="7" t="n">
        <v>75990.8</v>
      </c>
    </row>
    <row r="59">
      <c r="A59" s="4" t="inlineStr">
        <is>
          <t>招待费</t>
        </is>
      </c>
      <c r="D59" s="7" t="n">
        <v>43290.5</v>
      </c>
      <c r="F59" s="7" t="n">
        <v>50813.6</v>
      </c>
      <c r="H59" s="7" t="n">
        <v>62333.1</v>
      </c>
      <c r="J59" s="7" t="n">
        <v>129114.3</v>
      </c>
      <c r="L59" s="7" t="n">
        <v>61421.8</v>
      </c>
      <c r="N59" s="7" t="n">
        <v>133164.3</v>
      </c>
      <c r="P59" s="7" t="n">
        <v>68042.60000000001</v>
      </c>
      <c r="R59" s="7" t="n">
        <v>73966.3</v>
      </c>
      <c r="T59" s="7" t="n">
        <v>145486.3</v>
      </c>
      <c r="V59" s="7" t="n">
        <v>83755.60000000001</v>
      </c>
      <c r="X59" s="7" t="n">
        <v>71059.10000000001</v>
      </c>
      <c r="Z59" s="7" t="n">
        <v>72152.2</v>
      </c>
      <c r="AB59" s="7" t="n">
        <v>994599.7</v>
      </c>
    </row>
    <row r="60">
      <c r="A60" s="4" t="inlineStr">
        <is>
          <t>通讯费</t>
        </is>
      </c>
      <c r="D60" s="7" t="n">
        <v>3542.7</v>
      </c>
      <c r="F60" s="7" t="n">
        <v>3558.9</v>
      </c>
      <c r="H60" s="7" t="n">
        <v>3883.6</v>
      </c>
      <c r="J60" s="7" t="n">
        <v>7512.2</v>
      </c>
      <c r="L60" s="7" t="n">
        <v>3821.7</v>
      </c>
      <c r="N60" s="7" t="n">
        <v>4770.3</v>
      </c>
      <c r="P60" s="7" t="n">
        <v>4746</v>
      </c>
      <c r="R60" s="7" t="n">
        <v>6561</v>
      </c>
      <c r="T60" s="7" t="n">
        <v>6067.9</v>
      </c>
      <c r="V60" s="7" t="n">
        <v>4828.1</v>
      </c>
      <c r="X60" s="7" t="n">
        <v>4782.7</v>
      </c>
      <c r="Z60" s="7" t="n">
        <v>3666.9</v>
      </c>
      <c r="AB60" s="7" t="n">
        <v>57742</v>
      </c>
    </row>
    <row r="61">
      <c r="A61" s="4" t="inlineStr">
        <is>
          <t>网络费</t>
        </is>
      </c>
      <c r="D61" s="7" t="n">
        <v>1995.6</v>
      </c>
      <c r="F61" s="7" t="n">
        <v>2653.6</v>
      </c>
      <c r="H61" s="7" t="n">
        <v>3055.1</v>
      </c>
      <c r="J61" s="7" t="n">
        <v>6477.8</v>
      </c>
      <c r="L61" s="7" t="n">
        <v>3224.7</v>
      </c>
      <c r="N61" s="7" t="n">
        <v>3681.2</v>
      </c>
      <c r="P61" s="7" t="n">
        <v>3843.4</v>
      </c>
      <c r="R61" s="7" t="n">
        <v>5100.7</v>
      </c>
      <c r="T61" s="7" t="n">
        <v>4549.9</v>
      </c>
      <c r="V61" s="7" t="n">
        <v>4838.8</v>
      </c>
      <c r="X61" s="7" t="n">
        <v>3329</v>
      </c>
      <c r="Z61" s="7" t="n">
        <v>3478.4</v>
      </c>
      <c r="AB61" s="7" t="n">
        <v>46228.2</v>
      </c>
    </row>
    <row r="62">
      <c r="A62" s="4" t="inlineStr">
        <is>
          <t>修理费</t>
        </is>
      </c>
      <c r="D62" s="7" t="n">
        <v>5243.7</v>
      </c>
      <c r="F62" s="7" t="n">
        <v>7110.1</v>
      </c>
      <c r="H62" s="7" t="n">
        <v>8015.9</v>
      </c>
      <c r="J62" s="7" t="n">
        <v>16814.6</v>
      </c>
      <c r="L62" s="7" t="n">
        <v>9468.700000000001</v>
      </c>
      <c r="N62" s="7" t="n">
        <v>10297.6</v>
      </c>
      <c r="P62" s="7" t="n">
        <v>11305.5</v>
      </c>
      <c r="R62" s="7" t="n">
        <v>12765.4</v>
      </c>
      <c r="T62" s="7" t="n">
        <v>16174.6</v>
      </c>
      <c r="V62" s="7" t="n">
        <v>10029.8</v>
      </c>
      <c r="X62" s="7" t="n">
        <v>5264.6</v>
      </c>
      <c r="Z62" s="7" t="n">
        <v>11080.8</v>
      </c>
      <c r="AB62" s="7" t="n">
        <v>123571.3</v>
      </c>
    </row>
    <row r="63">
      <c r="A63" s="4" t="inlineStr">
        <is>
          <t>车辆费</t>
        </is>
      </c>
      <c r="D63" s="7" t="n">
        <v>6244.8</v>
      </c>
      <c r="F63" s="7" t="n">
        <v>3874.1</v>
      </c>
      <c r="H63" s="7" t="n">
        <v>5832.9</v>
      </c>
      <c r="J63" s="7" t="n">
        <v>8583.799999999999</v>
      </c>
      <c r="L63" s="7" t="n">
        <v>7677.9</v>
      </c>
      <c r="N63" s="7" t="n">
        <v>12817.6</v>
      </c>
      <c r="P63" s="7" t="n">
        <v>7833.3</v>
      </c>
      <c r="R63" s="7" t="n">
        <v>12131</v>
      </c>
      <c r="T63" s="7" t="n">
        <v>11269.3</v>
      </c>
      <c r="V63" s="7" t="n">
        <v>10830.9</v>
      </c>
      <c r="X63" s="7" t="n">
        <v>5925.9</v>
      </c>
      <c r="Z63" s="7" t="n">
        <v>6356.8</v>
      </c>
      <c r="AB63" s="7" t="n">
        <v>99378.3</v>
      </c>
    </row>
    <row r="64">
      <c r="A64" s="4" t="inlineStr">
        <is>
          <t>租赁费</t>
        </is>
      </c>
      <c r="D64" s="7" t="n">
        <v>56804.6</v>
      </c>
      <c r="F64" s="7" t="n">
        <v>50953.8</v>
      </c>
      <c r="H64" s="7" t="n">
        <v>63713</v>
      </c>
      <c r="J64" s="7" t="n">
        <v>100881</v>
      </c>
      <c r="L64" s="7" t="n">
        <v>66460.89999999999</v>
      </c>
      <c r="N64" s="7" t="n">
        <v>112226</v>
      </c>
      <c r="P64" s="7" t="n">
        <v>69466.2</v>
      </c>
      <c r="R64" s="7" t="n">
        <v>138135.1</v>
      </c>
      <c r="T64" s="7" t="n">
        <v>142145.5</v>
      </c>
      <c r="V64" s="7" t="n">
        <v>80176.7</v>
      </c>
      <c r="X64" s="7" t="n">
        <v>67068</v>
      </c>
      <c r="Z64" s="7" t="n">
        <v>77084.8</v>
      </c>
      <c r="AB64" s="7" t="n">
        <v>1025115.6</v>
      </c>
    </row>
    <row r="65">
      <c r="A65" s="4" t="inlineStr">
        <is>
          <t>能源费</t>
        </is>
      </c>
      <c r="D65" s="7" t="n">
        <v>19737</v>
      </c>
      <c r="F65" s="7" t="n">
        <v>16888</v>
      </c>
      <c r="H65" s="7" t="n">
        <v>15187.9</v>
      </c>
      <c r="J65" s="7" t="n">
        <v>39619.1</v>
      </c>
      <c r="L65" s="7" t="n">
        <v>26860.9</v>
      </c>
      <c r="N65" s="7" t="n">
        <v>37926.9</v>
      </c>
      <c r="P65" s="7" t="n">
        <v>28480.1</v>
      </c>
      <c r="R65" s="7" t="n">
        <v>36312.2</v>
      </c>
      <c r="T65" s="7" t="n">
        <v>36597.2</v>
      </c>
      <c r="V65" s="7" t="n">
        <v>25991.1</v>
      </c>
      <c r="X65" s="7" t="n">
        <v>17599.7</v>
      </c>
      <c r="Z65" s="7" t="n">
        <v>21217.5</v>
      </c>
      <c r="AB65" s="7" t="n">
        <v>322417.6</v>
      </c>
    </row>
    <row r="66">
      <c r="A66" s="4" t="inlineStr">
        <is>
          <t>水费</t>
        </is>
      </c>
      <c r="D66" s="7" t="n">
        <v>442.4</v>
      </c>
      <c r="F66" s="7" t="n">
        <v>325.6</v>
      </c>
      <c r="H66" s="7" t="n">
        <v>492.9</v>
      </c>
      <c r="J66" s="7" t="n">
        <v>975.1</v>
      </c>
      <c r="L66" s="7" t="n">
        <v>713.7</v>
      </c>
      <c r="N66" s="7" t="n">
        <v>1025.9</v>
      </c>
      <c r="P66" s="7" t="n">
        <v>739.4</v>
      </c>
      <c r="R66" s="7" t="n">
        <v>805.5</v>
      </c>
      <c r="T66" s="7" t="n">
        <v>1184</v>
      </c>
      <c r="V66" s="7" t="n">
        <v>774.3</v>
      </c>
      <c r="X66" s="7" t="n">
        <v>573.2</v>
      </c>
      <c r="Z66" s="7" t="n">
        <v>622.6</v>
      </c>
      <c r="AB66" s="7" t="n">
        <v>8674.6</v>
      </c>
    </row>
    <row r="67">
      <c r="A67" s="4" t="inlineStr">
        <is>
          <t>电费</t>
        </is>
      </c>
      <c r="D67" s="7" t="n">
        <v>9661.5</v>
      </c>
      <c r="F67" s="7" t="n">
        <v>7148.3</v>
      </c>
      <c r="H67" s="7" t="n">
        <v>6570.6</v>
      </c>
      <c r="J67" s="7" t="n">
        <v>19855.2</v>
      </c>
      <c r="L67" s="7" t="n">
        <v>13454.9</v>
      </c>
      <c r="N67" s="7" t="n">
        <v>16267.4</v>
      </c>
      <c r="P67" s="7" t="n">
        <v>12175.3</v>
      </c>
      <c r="R67" s="7" t="n">
        <v>18245.8</v>
      </c>
      <c r="T67" s="7" t="n">
        <v>20269.8</v>
      </c>
      <c r="V67" s="7" t="n">
        <v>12167.9</v>
      </c>
      <c r="X67" s="7" t="n">
        <v>7894.6</v>
      </c>
      <c r="Z67" s="7" t="n">
        <v>9215.799999999999</v>
      </c>
      <c r="AB67" s="7" t="n">
        <v>152927.1</v>
      </c>
    </row>
    <row r="68">
      <c r="A68" s="4" t="inlineStr">
        <is>
          <t>燃气费</t>
        </is>
      </c>
      <c r="D68" s="7" t="n">
        <v>7927.5</v>
      </c>
      <c r="F68" s="7" t="n">
        <v>8053.6</v>
      </c>
      <c r="H68" s="7" t="n">
        <v>6975.7</v>
      </c>
      <c r="J68" s="7" t="n">
        <v>16554.9</v>
      </c>
      <c r="L68" s="7" t="n">
        <v>10447.6</v>
      </c>
      <c r="N68" s="7" t="n">
        <v>17206.7</v>
      </c>
      <c r="P68" s="7" t="n">
        <v>13600.4</v>
      </c>
      <c r="R68" s="7" t="n">
        <v>14120.8</v>
      </c>
      <c r="T68" s="7" t="n">
        <v>11431.9</v>
      </c>
      <c r="V68" s="7" t="n">
        <v>10826.4</v>
      </c>
      <c r="X68" s="7" t="n">
        <v>7579.6</v>
      </c>
      <c r="Z68" s="7" t="n">
        <v>9542</v>
      </c>
      <c r="AB68" s="7" t="n">
        <v>134267.1</v>
      </c>
    </row>
    <row r="69">
      <c r="A69" s="4" t="inlineStr">
        <is>
          <t>蒸汽费</t>
        </is>
      </c>
      <c r="D69" s="7" t="n">
        <v>1705.6</v>
      </c>
      <c r="F69" s="7" t="n">
        <v>1360.5</v>
      </c>
      <c r="H69" s="7" t="n">
        <v>1148.7</v>
      </c>
      <c r="J69" s="7" t="n">
        <v>2233.9</v>
      </c>
      <c r="L69" s="7" t="n">
        <v>2244.7</v>
      </c>
      <c r="N69" s="7" t="n">
        <v>3426.9</v>
      </c>
      <c r="P69" s="7" t="n">
        <v>1965</v>
      </c>
      <c r="R69" s="7" t="n">
        <v>3140.1</v>
      </c>
      <c r="T69" s="7" t="n">
        <v>3711.5</v>
      </c>
      <c r="V69" s="7" t="n">
        <v>2222.5</v>
      </c>
      <c r="X69" s="7" t="n">
        <v>1552.3</v>
      </c>
      <c r="Z69" s="7" t="n">
        <v>1837.1</v>
      </c>
      <c r="AB69" s="7" t="n">
        <v>26548.8</v>
      </c>
    </row>
    <row r="70">
      <c r="A70" s="4" t="inlineStr">
        <is>
          <t>物业费</t>
        </is>
      </c>
      <c r="D70" s="7" t="n">
        <v>5494.8</v>
      </c>
      <c r="F70" s="7" t="n">
        <v>5977.3</v>
      </c>
      <c r="H70" s="7" t="n">
        <v>5003</v>
      </c>
      <c r="J70" s="7" t="n">
        <v>9641</v>
      </c>
      <c r="L70" s="7" t="n">
        <v>8144.6</v>
      </c>
      <c r="N70" s="7" t="n">
        <v>11151.5</v>
      </c>
      <c r="P70" s="7" t="n">
        <v>9336.9</v>
      </c>
      <c r="R70" s="7" t="n">
        <v>10068.8</v>
      </c>
      <c r="T70" s="7" t="n">
        <v>13456.2</v>
      </c>
      <c r="V70" s="7" t="n">
        <v>8135.1</v>
      </c>
      <c r="X70" s="7" t="n">
        <v>5050.1</v>
      </c>
      <c r="Z70" s="7" t="n">
        <v>7731.1</v>
      </c>
      <c r="AB70" s="7" t="n">
        <v>99190.39999999999</v>
      </c>
    </row>
    <row r="71">
      <c r="A71" s="4" t="inlineStr">
        <is>
          <t>劳动保护费</t>
        </is>
      </c>
      <c r="D71" s="7" t="n">
        <v>843.3</v>
      </c>
      <c r="F71" s="7" t="n">
        <v>609.9</v>
      </c>
      <c r="H71" s="7" t="n">
        <v>669.3</v>
      </c>
      <c r="J71" s="7" t="n">
        <v>1411.3</v>
      </c>
      <c r="L71" s="7" t="n">
        <v>840.7</v>
      </c>
      <c r="N71" s="7" t="n">
        <v>1370.5</v>
      </c>
      <c r="P71" s="7" t="n">
        <v>1194</v>
      </c>
      <c r="R71" s="7" t="n">
        <v>1058.9</v>
      </c>
      <c r="T71" s="7" t="n">
        <v>1833.8</v>
      </c>
      <c r="V71" s="7" t="n">
        <v>737.4</v>
      </c>
      <c r="X71" s="7" t="n">
        <v>576</v>
      </c>
      <c r="Z71" s="7" t="n">
        <v>1050.2</v>
      </c>
      <c r="AB71" s="7" t="n">
        <v>12195.3</v>
      </c>
    </row>
    <row r="72">
      <c r="A72" s="4" t="inlineStr">
        <is>
          <t>顾问费</t>
        </is>
      </c>
      <c r="D72" s="7" t="n">
        <v>6153.5</v>
      </c>
      <c r="F72" s="7" t="n">
        <v>5762.1</v>
      </c>
      <c r="H72" s="7" t="n">
        <v>7323.3</v>
      </c>
      <c r="J72" s="7" t="n">
        <v>9989.6</v>
      </c>
      <c r="L72" s="7" t="n">
        <v>10134.4</v>
      </c>
      <c r="N72" s="7" t="n">
        <v>16189.5</v>
      </c>
      <c r="P72" s="7" t="n">
        <v>12306.8</v>
      </c>
      <c r="R72" s="7" t="n">
        <v>14076.7</v>
      </c>
      <c r="T72" s="7" t="n">
        <v>9983</v>
      </c>
      <c r="V72" s="7" t="n">
        <v>7757.2</v>
      </c>
      <c r="X72" s="7" t="n">
        <v>5885.2</v>
      </c>
      <c r="Z72" s="7" t="n">
        <v>8915</v>
      </c>
      <c r="AB72" s="7" t="n">
        <v>114476.3</v>
      </c>
    </row>
    <row r="73">
      <c r="A73" s="4" t="inlineStr">
        <is>
          <t>快递费</t>
        </is>
      </c>
      <c r="D73" s="7" t="n">
        <v>3511.7</v>
      </c>
      <c r="F73" s="7" t="n">
        <v>2389.5</v>
      </c>
      <c r="H73" s="7" t="n">
        <v>3745.9</v>
      </c>
      <c r="J73" s="7" t="n">
        <v>5958.8</v>
      </c>
      <c r="L73" s="7" t="n">
        <v>4486.5</v>
      </c>
      <c r="N73" s="7" t="n">
        <v>8288.6</v>
      </c>
      <c r="P73" s="7" t="n">
        <v>4422.5</v>
      </c>
      <c r="R73" s="7" t="n">
        <v>8329.799999999999</v>
      </c>
      <c r="T73" s="7" t="n">
        <v>6926.9</v>
      </c>
      <c r="V73" s="7" t="n">
        <v>6417.9</v>
      </c>
      <c r="X73" s="7" t="n">
        <v>3416.5</v>
      </c>
      <c r="Z73" s="7" t="n">
        <v>3334.1</v>
      </c>
      <c r="AB73" s="7" t="n">
        <v>61228.7</v>
      </c>
    </row>
    <row r="74">
      <c r="A74" s="4" t="inlineStr">
        <is>
          <t>诉讼费</t>
        </is>
      </c>
      <c r="D74" s="7" t="n">
        <v>90.2</v>
      </c>
      <c r="F74" s="7" t="n">
        <v>57.4</v>
      </c>
      <c r="H74" s="7" t="n">
        <v>54.6</v>
      </c>
      <c r="J74" s="7" t="n">
        <v>122.2</v>
      </c>
      <c r="L74" s="7" t="n">
        <v>82.59999999999999</v>
      </c>
      <c r="N74" s="7" t="n">
        <v>142.3</v>
      </c>
      <c r="P74" s="7" t="n">
        <v>76.3</v>
      </c>
      <c r="R74" s="7" t="n">
        <v>153.7</v>
      </c>
      <c r="T74" s="7" t="n">
        <v>179</v>
      </c>
      <c r="V74" s="7" t="n">
        <v>94.90000000000001</v>
      </c>
      <c r="X74" s="7" t="n">
        <v>95.5</v>
      </c>
      <c r="Z74" s="7" t="n">
        <v>112.3</v>
      </c>
      <c r="AB74" s="7" t="n">
        <v>1261</v>
      </c>
    </row>
    <row r="75">
      <c r="A75" s="4" t="inlineStr">
        <is>
          <t>会员费</t>
        </is>
      </c>
      <c r="D75" s="7" t="n">
        <v>2269.2</v>
      </c>
      <c r="F75" s="7" t="n">
        <v>1651.5</v>
      </c>
      <c r="H75" s="7" t="n">
        <v>1815.3</v>
      </c>
      <c r="J75" s="7" t="n">
        <v>3754.8</v>
      </c>
      <c r="L75" s="7" t="n">
        <v>2412.3</v>
      </c>
      <c r="N75" s="7" t="n">
        <v>4114.9</v>
      </c>
      <c r="P75" s="7" t="n">
        <v>3316.7</v>
      </c>
      <c r="R75" s="7" t="n">
        <v>3909</v>
      </c>
      <c r="T75" s="7" t="n">
        <v>3535.2</v>
      </c>
      <c r="V75" s="7" t="n">
        <v>2794.2</v>
      </c>
      <c r="X75" s="7" t="n">
        <v>2852.3</v>
      </c>
      <c r="Z75" s="7" t="n">
        <v>3213.2</v>
      </c>
      <c r="AB75" s="7" t="n">
        <v>35638.6</v>
      </c>
    </row>
    <row r="76">
      <c r="A76" s="4" t="inlineStr">
        <is>
          <t>广告宣传费</t>
        </is>
      </c>
      <c r="D76" s="7" t="n">
        <v>31192.8</v>
      </c>
      <c r="F76" s="7" t="n">
        <v>44529.2</v>
      </c>
      <c r="H76" s="7" t="n">
        <v>43671.5</v>
      </c>
      <c r="J76" s="7" t="n">
        <v>61312.2</v>
      </c>
      <c r="L76" s="7" t="n">
        <v>37525.9</v>
      </c>
      <c r="N76" s="7" t="n">
        <v>55277.2</v>
      </c>
      <c r="P76" s="7" t="n">
        <v>66579.3</v>
      </c>
      <c r="R76" s="7" t="n">
        <v>76571.3</v>
      </c>
      <c r="T76" s="7" t="n">
        <v>81363.5</v>
      </c>
      <c r="V76" s="7" t="n">
        <v>75557.7</v>
      </c>
      <c r="X76" s="7" t="n">
        <v>33193.8</v>
      </c>
      <c r="Z76" s="7" t="n">
        <v>56333.4</v>
      </c>
      <c r="AB76" s="7" t="n">
        <v>663107.8</v>
      </c>
    </row>
    <row r="77">
      <c r="A77" s="4" t="inlineStr">
        <is>
          <t>会务费</t>
        </is>
      </c>
      <c r="D77" s="7" t="n">
        <v>3483.1</v>
      </c>
      <c r="F77" s="7" t="n">
        <v>3657.6</v>
      </c>
      <c r="H77" s="7" t="n">
        <v>3827.8</v>
      </c>
      <c r="J77" s="7" t="n">
        <v>6821.6</v>
      </c>
      <c r="L77" s="7" t="n">
        <v>3708.6</v>
      </c>
      <c r="N77" s="7" t="n">
        <v>7122.6</v>
      </c>
      <c r="P77" s="7" t="n">
        <v>5509.2</v>
      </c>
      <c r="R77" s="7" t="n">
        <v>6805.8</v>
      </c>
      <c r="T77" s="7" t="n">
        <v>7020.1</v>
      </c>
      <c r="V77" s="7" t="n">
        <v>4306.5</v>
      </c>
      <c r="X77" s="7" t="n">
        <v>4270.8</v>
      </c>
      <c r="Z77" s="7" t="n">
        <v>4938.5</v>
      </c>
      <c r="AB77" s="7" t="n">
        <v>61472.2</v>
      </c>
    </row>
    <row r="78">
      <c r="A78" s="4" t="inlineStr">
        <is>
          <t>装修费</t>
        </is>
      </c>
      <c r="D78" s="7" t="n">
        <v>6134.1</v>
      </c>
      <c r="F78" s="7" t="n">
        <v>6354.1</v>
      </c>
      <c r="H78" s="7" t="n">
        <v>6942.5</v>
      </c>
      <c r="J78" s="7" t="n">
        <v>14941.5</v>
      </c>
      <c r="L78" s="7" t="n">
        <v>8601.6</v>
      </c>
      <c r="N78" s="7" t="n">
        <v>18560.5</v>
      </c>
      <c r="P78" s="7" t="n">
        <v>11323.5</v>
      </c>
      <c r="R78" s="7" t="n">
        <v>16043.1</v>
      </c>
      <c r="T78" s="7" t="n">
        <v>12020.7</v>
      </c>
      <c r="V78" s="7" t="n">
        <v>10686.9</v>
      </c>
      <c r="X78" s="7" t="n">
        <v>9118.6</v>
      </c>
      <c r="Z78" s="7" t="n">
        <v>7544</v>
      </c>
      <c r="AB78" s="7" t="n">
        <v>128271.1</v>
      </c>
    </row>
    <row r="79">
      <c r="A79" s="4" t="inlineStr">
        <is>
          <t>推广费</t>
        </is>
      </c>
      <c r="D79" s="7" t="n">
        <v>8116.4</v>
      </c>
      <c r="F79" s="7" t="n">
        <v>7072.4</v>
      </c>
      <c r="H79" s="7" t="n">
        <v>7394.2</v>
      </c>
      <c r="J79" s="7" t="n">
        <v>12291.4</v>
      </c>
      <c r="L79" s="7" t="n">
        <v>6029.8</v>
      </c>
      <c r="N79" s="7" t="n">
        <v>15368.7</v>
      </c>
      <c r="P79" s="7" t="n">
        <v>7074.9</v>
      </c>
      <c r="R79" s="7" t="n">
        <v>12134.1</v>
      </c>
      <c r="T79" s="7" t="n">
        <v>15479.1</v>
      </c>
      <c r="V79" s="7" t="n">
        <v>11910.6</v>
      </c>
      <c r="X79" s="7" t="n">
        <v>5278</v>
      </c>
      <c r="Z79" s="7" t="n">
        <v>8962.1</v>
      </c>
      <c r="AB79" s="7" t="n">
        <v>117111.7</v>
      </c>
    </row>
    <row r="80">
      <c r="A80" s="4" t="inlineStr">
        <is>
          <t>展会费</t>
        </is>
      </c>
      <c r="D80" s="7" t="n">
        <v>6093.3</v>
      </c>
      <c r="F80" s="7" t="n">
        <v>4377.1</v>
      </c>
      <c r="H80" s="7" t="n">
        <v>6264.1</v>
      </c>
      <c r="J80" s="7" t="n">
        <v>15992.5</v>
      </c>
      <c r="L80" s="7" t="n">
        <v>8645.5</v>
      </c>
      <c r="N80" s="7" t="n">
        <v>13695.9</v>
      </c>
      <c r="P80" s="7" t="n">
        <v>10063.7</v>
      </c>
      <c r="R80" s="7" t="n">
        <v>15354.1</v>
      </c>
      <c r="T80" s="7" t="n">
        <v>14054.5</v>
      </c>
      <c r="V80" s="7" t="n">
        <v>12999.8</v>
      </c>
      <c r="X80" s="7" t="n">
        <v>9092.6</v>
      </c>
      <c r="Z80" s="7" t="n">
        <v>7909.3</v>
      </c>
      <c r="AB80" s="7" t="n">
        <v>124542.4</v>
      </c>
    </row>
    <row r="81">
      <c r="A81" s="4" t="inlineStr">
        <is>
          <t>设计费</t>
        </is>
      </c>
      <c r="D81" s="7" t="n">
        <v>381</v>
      </c>
      <c r="F81" s="7" t="n">
        <v>304.4</v>
      </c>
      <c r="H81" s="7" t="n">
        <v>347.7</v>
      </c>
      <c r="J81" s="7" t="n">
        <v>629.7</v>
      </c>
      <c r="L81" s="7" t="n">
        <v>287.3</v>
      </c>
      <c r="N81" s="7" t="n">
        <v>592</v>
      </c>
      <c r="P81" s="7" t="n">
        <v>363.7</v>
      </c>
      <c r="R81" s="7" t="n">
        <v>435.7</v>
      </c>
      <c r="T81" s="7" t="n">
        <v>845.2</v>
      </c>
      <c r="V81" s="7" t="n">
        <v>534.4</v>
      </c>
      <c r="X81" s="7" t="n">
        <v>366.8</v>
      </c>
      <c r="Z81" s="7" t="n">
        <v>349.5</v>
      </c>
      <c r="AB81" s="7" t="n">
        <v>5437.4</v>
      </c>
    </row>
    <row r="82">
      <c r="A82" s="4" t="inlineStr">
        <is>
          <t>折旧费</t>
        </is>
      </c>
      <c r="D82" s="7" t="n">
        <v>39331.1</v>
      </c>
      <c r="F82" s="7" t="n">
        <v>45878.2</v>
      </c>
      <c r="H82" s="7" t="n">
        <v>63978.8</v>
      </c>
      <c r="J82" s="7" t="n">
        <v>90771.39999999999</v>
      </c>
      <c r="L82" s="7" t="n">
        <v>52490.7</v>
      </c>
      <c r="N82" s="7" t="n">
        <v>90238.10000000001</v>
      </c>
      <c r="P82" s="7" t="n">
        <v>95191.3</v>
      </c>
      <c r="R82" s="7" t="n">
        <v>72918.39999999999</v>
      </c>
      <c r="T82" s="7" t="n">
        <v>86482.89999999999</v>
      </c>
      <c r="V82" s="7" t="n">
        <v>62648.4</v>
      </c>
      <c r="X82" s="7" t="n">
        <v>62194.3</v>
      </c>
      <c r="Z82" s="7" t="n">
        <v>54719</v>
      </c>
      <c r="AB82" s="7" t="n">
        <v>816842.6</v>
      </c>
    </row>
    <row r="83">
      <c r="A83" s="4" t="inlineStr">
        <is>
          <t>认证费</t>
        </is>
      </c>
      <c r="D83" s="7" t="n">
        <v>4552.1</v>
      </c>
      <c r="F83" s="7" t="n">
        <v>2868.4</v>
      </c>
      <c r="H83" s="7" t="n">
        <v>4334.9</v>
      </c>
      <c r="J83" s="7" t="n">
        <v>7599.2</v>
      </c>
      <c r="L83" s="7" t="n">
        <v>5816.2</v>
      </c>
      <c r="N83" s="7" t="n">
        <v>9259.4</v>
      </c>
      <c r="P83" s="7" t="n">
        <v>5197</v>
      </c>
      <c r="R83" s="7" t="n">
        <v>5656.6</v>
      </c>
      <c r="T83" s="7" t="n">
        <v>6498.5</v>
      </c>
      <c r="V83" s="7" t="n">
        <v>7184.2</v>
      </c>
      <c r="X83" s="7" t="n">
        <v>3420.6</v>
      </c>
      <c r="Z83" s="7" t="n">
        <v>5055</v>
      </c>
      <c r="AB83" s="7" t="n">
        <v>67442.10000000001</v>
      </c>
    </row>
    <row r="84">
      <c r="A84" s="4" t="inlineStr">
        <is>
          <t>样品费</t>
        </is>
      </c>
      <c r="D84" s="7" t="n">
        <v>34008.4</v>
      </c>
      <c r="F84" s="7" t="n">
        <v>26571.1</v>
      </c>
      <c r="H84" s="7" t="n">
        <v>22264.7</v>
      </c>
      <c r="J84" s="7" t="n">
        <v>50486.2</v>
      </c>
      <c r="L84" s="7" t="n">
        <v>36447.6</v>
      </c>
      <c r="N84" s="7" t="n">
        <v>42933.7</v>
      </c>
      <c r="P84" s="7" t="n">
        <v>44692.3</v>
      </c>
      <c r="R84" s="7" t="n">
        <v>46674.9</v>
      </c>
      <c r="T84" s="7" t="n">
        <v>61195.2</v>
      </c>
      <c r="V84" s="7" t="n">
        <v>44889.8</v>
      </c>
      <c r="X84" s="7" t="n">
        <v>22683.3</v>
      </c>
      <c r="Z84" s="7" t="n">
        <v>27701.3</v>
      </c>
      <c r="AB84" s="7" t="n">
        <v>460548.5</v>
      </c>
    </row>
    <row r="85">
      <c r="A85" s="4" t="inlineStr">
        <is>
          <t>劳务费</t>
        </is>
      </c>
      <c r="D85" s="7" t="n">
        <v>3021.4</v>
      </c>
      <c r="F85" s="7" t="n">
        <v>3430.4</v>
      </c>
      <c r="H85" s="7" t="n">
        <v>3977</v>
      </c>
      <c r="J85" s="7" t="n">
        <v>6979.6</v>
      </c>
      <c r="L85" s="7" t="n">
        <v>4084.2</v>
      </c>
      <c r="N85" s="7" t="n">
        <v>7628.9</v>
      </c>
      <c r="P85" s="7" t="n">
        <v>5044.5</v>
      </c>
      <c r="R85" s="7" t="n">
        <v>5295.1</v>
      </c>
      <c r="T85" s="7" t="n">
        <v>9008.9</v>
      </c>
      <c r="V85" s="7" t="n">
        <v>3598.3</v>
      </c>
      <c r="X85" s="7" t="n">
        <v>4841.1</v>
      </c>
      <c r="Z85" s="7" t="n">
        <v>4384.9</v>
      </c>
      <c r="AB85" s="7" t="n">
        <v>61294.3</v>
      </c>
    </row>
    <row r="86">
      <c r="A86" s="4" t="inlineStr">
        <is>
          <t>销售佣金</t>
        </is>
      </c>
      <c r="D86" s="7" t="n">
        <v>7454</v>
      </c>
      <c r="F86" s="7" t="n">
        <v>5643.9</v>
      </c>
      <c r="H86" s="7" t="n">
        <v>4258.5</v>
      </c>
      <c r="J86" s="7" t="n">
        <v>14568.6</v>
      </c>
      <c r="L86" s="7" t="n">
        <v>8107.3</v>
      </c>
      <c r="N86" s="7" t="n">
        <v>14718.5</v>
      </c>
      <c r="P86" s="7" t="n">
        <v>8359.700000000001</v>
      </c>
      <c r="R86" s="7" t="n">
        <v>14318.5</v>
      </c>
      <c r="T86" s="7" t="n">
        <v>15239.5</v>
      </c>
      <c r="V86" s="7" t="n">
        <v>7801.4</v>
      </c>
      <c r="X86" s="7" t="n">
        <v>5640.5</v>
      </c>
      <c r="Z86" s="7" t="n">
        <v>5842.2</v>
      </c>
      <c r="AB86" s="7" t="n">
        <v>111952.6</v>
      </c>
    </row>
    <row r="87">
      <c r="A87" s="4" t="inlineStr">
        <is>
          <t>检测费</t>
        </is>
      </c>
      <c r="D87" s="7" t="n">
        <v>5261.4</v>
      </c>
      <c r="F87" s="7" t="n">
        <v>5708.7</v>
      </c>
      <c r="H87" s="7" t="n">
        <v>6514.9</v>
      </c>
      <c r="J87" s="7" t="n">
        <v>12813.9</v>
      </c>
      <c r="L87" s="7" t="n">
        <v>7607.7</v>
      </c>
      <c r="N87" s="7" t="n">
        <v>9104.4</v>
      </c>
      <c r="P87" s="7" t="n">
        <v>7586.1</v>
      </c>
      <c r="R87" s="7" t="n">
        <v>12300.1</v>
      </c>
      <c r="T87" s="7" t="n">
        <v>9773.200000000001</v>
      </c>
      <c r="V87" s="7" t="n">
        <v>8589.1</v>
      </c>
      <c r="X87" s="7" t="n">
        <v>6979</v>
      </c>
      <c r="Z87" s="7" t="n">
        <v>8901</v>
      </c>
      <c r="AB87" s="7" t="n">
        <v>101139.5</v>
      </c>
    </row>
    <row r="88">
      <c r="A88" s="4" t="inlineStr">
        <is>
          <t>质量赔偿</t>
        </is>
      </c>
      <c r="D88" s="7" t="n">
        <v>78.09999999999999</v>
      </c>
      <c r="F88" s="7" t="n">
        <v>68.40000000000001</v>
      </c>
      <c r="H88" s="7" t="n">
        <v>100.2</v>
      </c>
      <c r="J88" s="7" t="n">
        <v>170.8</v>
      </c>
      <c r="L88" s="7" t="n">
        <v>114.9</v>
      </c>
      <c r="N88" s="7" t="n">
        <v>166.2</v>
      </c>
      <c r="P88" s="7" t="n">
        <v>109.8</v>
      </c>
      <c r="R88" s="7" t="n">
        <v>152.4</v>
      </c>
      <c r="T88" s="7" t="n">
        <v>279.3</v>
      </c>
      <c r="V88" s="7" t="n">
        <v>167</v>
      </c>
      <c r="X88" s="7" t="n">
        <v>138.9</v>
      </c>
      <c r="Z88" s="7" t="n">
        <v>172.4</v>
      </c>
      <c r="AB88" s="7" t="n">
        <v>1718.4</v>
      </c>
    </row>
    <row r="89">
      <c r="A89" s="4" t="inlineStr">
        <is>
          <t>保险费</t>
        </is>
      </c>
      <c r="D89" s="7" t="n">
        <v>6174.5</v>
      </c>
      <c r="F89" s="7" t="n">
        <v>3692.4</v>
      </c>
      <c r="H89" s="7" t="n">
        <v>6709</v>
      </c>
      <c r="J89" s="7" t="n">
        <v>8522.6</v>
      </c>
      <c r="L89" s="7" t="n">
        <v>7704.6</v>
      </c>
      <c r="N89" s="7" t="n">
        <v>13474.9</v>
      </c>
      <c r="P89" s="7" t="n">
        <v>8522.200000000001</v>
      </c>
      <c r="R89" s="7" t="n">
        <v>13783</v>
      </c>
      <c r="T89" s="7" t="n">
        <v>14598.3</v>
      </c>
      <c r="V89" s="7" t="n">
        <v>9099</v>
      </c>
      <c r="X89" s="7" t="n">
        <v>5253.6</v>
      </c>
      <c r="Z89" s="7" t="n">
        <v>7095.6</v>
      </c>
      <c r="AB89" s="7" t="n">
        <v>104629.7</v>
      </c>
    </row>
    <row r="90">
      <c r="A90" s="4" t="inlineStr">
        <is>
          <t>清洁费</t>
        </is>
      </c>
      <c r="D90" s="7" t="n">
        <v>8724.200000000001</v>
      </c>
      <c r="F90" s="7" t="n">
        <v>8797.200000000001</v>
      </c>
      <c r="H90" s="7" t="n">
        <v>7021.1</v>
      </c>
      <c r="J90" s="7" t="n">
        <v>15369.2</v>
      </c>
      <c r="L90" s="7" t="n">
        <v>12835.6</v>
      </c>
      <c r="N90" s="7" t="n">
        <v>18526.3</v>
      </c>
      <c r="P90" s="7" t="n">
        <v>10752.6</v>
      </c>
      <c r="R90" s="7" t="n">
        <v>12591.3</v>
      </c>
      <c r="T90" s="7" t="n">
        <v>12882.8</v>
      </c>
      <c r="V90" s="7" t="n">
        <v>13933.7</v>
      </c>
      <c r="X90" s="7" t="n">
        <v>8410.799999999999</v>
      </c>
      <c r="Z90" s="7" t="n">
        <v>9554.6</v>
      </c>
      <c r="AB90" s="7" t="n">
        <v>139399.4</v>
      </c>
    </row>
    <row r="91">
      <c r="A91" s="4" t="inlineStr">
        <is>
          <t>低值易耗品</t>
        </is>
      </c>
      <c r="D91" s="7" t="n">
        <v>657.9</v>
      </c>
      <c r="F91" s="7" t="n">
        <v>386.6</v>
      </c>
      <c r="H91" s="7" t="n">
        <v>501.7</v>
      </c>
      <c r="J91" s="7" t="n">
        <v>1026</v>
      </c>
      <c r="L91" s="7" t="n">
        <v>833.5</v>
      </c>
      <c r="N91" s="7" t="n">
        <v>1090.6</v>
      </c>
      <c r="P91" s="7" t="n">
        <v>622.7</v>
      </c>
      <c r="R91" s="7" t="n">
        <v>1008.5</v>
      </c>
      <c r="T91" s="7" t="n">
        <v>873</v>
      </c>
      <c r="V91" s="7" t="n">
        <v>890</v>
      </c>
      <c r="X91" s="7" t="n">
        <v>482.3</v>
      </c>
      <c r="Z91" s="7" t="n">
        <v>740</v>
      </c>
      <c r="AB91" s="7" t="n">
        <v>9112.799999999999</v>
      </c>
    </row>
    <row r="92">
      <c r="A92" s="4" t="inlineStr">
        <is>
          <t>物料消耗</t>
        </is>
      </c>
      <c r="D92" s="7" t="n">
        <v>8865.5</v>
      </c>
      <c r="F92" s="7" t="n">
        <v>5212.5</v>
      </c>
      <c r="H92" s="7" t="n">
        <v>5879.3</v>
      </c>
      <c r="J92" s="7" t="n">
        <v>16339.3</v>
      </c>
      <c r="L92" s="7" t="n">
        <v>8566.6</v>
      </c>
      <c r="N92" s="7" t="n">
        <v>15038.3</v>
      </c>
      <c r="P92" s="7" t="n">
        <v>14513.3</v>
      </c>
      <c r="R92" s="7" t="n">
        <v>12153.1</v>
      </c>
      <c r="T92" s="7" t="n">
        <v>18291.1</v>
      </c>
      <c r="V92" s="7" t="n">
        <v>14671.5</v>
      </c>
      <c r="X92" s="7" t="n">
        <v>9690.200000000001</v>
      </c>
      <c r="Z92" s="7" t="n">
        <v>8902.700000000001</v>
      </c>
      <c r="AB92" s="7" t="n">
        <v>138123.4</v>
      </c>
    </row>
    <row r="93">
      <c r="A93" s="4" t="inlineStr">
        <is>
          <t>盘盈盘亏</t>
        </is>
      </c>
      <c r="D93" s="7" t="n">
        <v>7484.4</v>
      </c>
      <c r="F93" s="7" t="n">
        <v>5482.5</v>
      </c>
      <c r="H93" s="7" t="n">
        <v>6119.7</v>
      </c>
      <c r="J93" s="7" t="n">
        <v>15191.7</v>
      </c>
      <c r="L93" s="7" t="n">
        <v>7684.6</v>
      </c>
      <c r="N93" s="7" t="n">
        <v>11465.4</v>
      </c>
      <c r="P93" s="7" t="n">
        <v>10849.9</v>
      </c>
      <c r="R93" s="7" t="n">
        <v>13801.9</v>
      </c>
      <c r="T93" s="7" t="n">
        <v>15157.2</v>
      </c>
      <c r="V93" s="7" t="n">
        <v>9149</v>
      </c>
      <c r="X93" s="7" t="n">
        <v>4749</v>
      </c>
      <c r="Z93" s="7" t="n">
        <v>10106.4</v>
      </c>
      <c r="AB93" s="7" t="n">
        <v>117241.7</v>
      </c>
    </row>
    <row r="94">
      <c r="A94" s="4" t="inlineStr">
        <is>
          <t>平台服务费</t>
        </is>
      </c>
      <c r="D94" s="7" t="n">
        <v>6961</v>
      </c>
      <c r="F94" s="7" t="n">
        <v>6378.8</v>
      </c>
      <c r="H94" s="7" t="n">
        <v>8934.6</v>
      </c>
      <c r="J94" s="7" t="n">
        <v>12855.1</v>
      </c>
      <c r="L94" s="7" t="n">
        <v>10014.6</v>
      </c>
      <c r="N94" s="7" t="n">
        <v>13100.5</v>
      </c>
      <c r="P94" s="7" t="n">
        <v>11342.3</v>
      </c>
      <c r="R94" s="7" t="n">
        <v>17599.7</v>
      </c>
      <c r="T94" s="7" t="n">
        <v>11407.4</v>
      </c>
      <c r="V94" s="7" t="n">
        <v>10655.7</v>
      </c>
      <c r="X94" s="7" t="n">
        <v>10090.7</v>
      </c>
      <c r="Z94" s="7" t="n">
        <v>6944</v>
      </c>
      <c r="AB94" s="7" t="n">
        <v>126284.4</v>
      </c>
    </row>
    <row r="95">
      <c r="A95" s="4" t="inlineStr">
        <is>
          <t>无形资产摊销</t>
        </is>
      </c>
      <c r="D95" s="7" t="n">
        <v>4586.4</v>
      </c>
      <c r="F95" s="7" t="n">
        <v>3750.9</v>
      </c>
      <c r="H95" s="7" t="n">
        <v>3208.8</v>
      </c>
      <c r="J95" s="7" t="n">
        <v>5710.3</v>
      </c>
      <c r="L95" s="7" t="n">
        <v>4721.2</v>
      </c>
      <c r="N95" s="7" t="n">
        <v>6376.9</v>
      </c>
      <c r="P95" s="7" t="n">
        <v>6598.9</v>
      </c>
      <c r="R95" s="7" t="n">
        <v>9599.5</v>
      </c>
      <c r="T95" s="7" t="n">
        <v>9162.799999999999</v>
      </c>
      <c r="V95" s="7" t="n">
        <v>5370.5</v>
      </c>
      <c r="X95" s="7" t="n">
        <v>3335.4</v>
      </c>
      <c r="Z95" s="7" t="n">
        <v>5630.1</v>
      </c>
      <c r="AB95" s="7" t="n">
        <v>68051.7</v>
      </c>
    </row>
    <row r="96">
      <c r="A96" s="4" t="inlineStr">
        <is>
          <t>研发材料</t>
        </is>
      </c>
      <c r="D96" s="7" t="n">
        <v>4959.1</v>
      </c>
      <c r="F96" s="7" t="n">
        <v>4496.9</v>
      </c>
      <c r="H96" s="7" t="n">
        <v>7209</v>
      </c>
      <c r="J96" s="7" t="n">
        <v>13328.9</v>
      </c>
      <c r="L96" s="7" t="n">
        <v>8064.7</v>
      </c>
      <c r="N96" s="7" t="n">
        <v>9239.799999999999</v>
      </c>
      <c r="P96" s="7" t="n">
        <v>9676.4</v>
      </c>
      <c r="R96" s="7" t="n">
        <v>10974.9</v>
      </c>
      <c r="T96" s="7" t="n">
        <v>13870.1</v>
      </c>
      <c r="V96" s="7" t="n">
        <v>11266</v>
      </c>
      <c r="X96" s="7" t="n">
        <v>6889.8</v>
      </c>
      <c r="Z96" s="7" t="n">
        <v>10824.1</v>
      </c>
      <c r="AB96" s="7" t="n">
        <v>110799.7</v>
      </c>
    </row>
    <row r="97">
      <c r="A97" s="4" t="inlineStr">
        <is>
          <t>项目名称</t>
        </is>
      </c>
      <c r="D97" s="7" t="n">
        <v>233.8</v>
      </c>
      <c r="F97" s="7" t="n">
        <v>325.6</v>
      </c>
      <c r="H97" s="7" t="n">
        <v>232.8</v>
      </c>
      <c r="J97" s="7" t="n">
        <v>490.3</v>
      </c>
      <c r="L97" s="7" t="n">
        <v>484.3</v>
      </c>
      <c r="N97" s="7" t="n">
        <v>694.2</v>
      </c>
      <c r="P97" s="7" t="n">
        <v>464</v>
      </c>
      <c r="R97" s="7" t="n">
        <v>691.7</v>
      </c>
      <c r="T97" s="7" t="n">
        <v>838.5</v>
      </c>
      <c r="V97" s="7" t="n">
        <v>373.2</v>
      </c>
      <c r="X97" s="7" t="n">
        <v>375</v>
      </c>
      <c r="Z97" s="7" t="n">
        <v>527.4</v>
      </c>
      <c r="AB97" s="7" t="n">
        <v>5730.8</v>
      </c>
    </row>
    <row r="98">
      <c r="A98" s="4" t="inlineStr">
        <is>
          <t>研发费</t>
        </is>
      </c>
      <c r="D98" s="7" t="n">
        <v>249</v>
      </c>
      <c r="F98" s="7" t="n">
        <v>301.9</v>
      </c>
      <c r="H98" s="7" t="n">
        <v>313.9</v>
      </c>
      <c r="J98" s="7" t="n">
        <v>792</v>
      </c>
      <c r="L98" s="7" t="n">
        <v>296.1</v>
      </c>
      <c r="N98" s="7" t="n">
        <v>703.9</v>
      </c>
      <c r="P98" s="7" t="n">
        <v>368.7</v>
      </c>
      <c r="R98" s="7" t="n">
        <v>499.8</v>
      </c>
      <c r="T98" s="7" t="n">
        <v>497.6</v>
      </c>
      <c r="V98" s="7" t="n">
        <v>416.2</v>
      </c>
      <c r="X98" s="7" t="n">
        <v>419.2</v>
      </c>
      <c r="Z98" s="7" t="n">
        <v>407.4</v>
      </c>
      <c r="AB98" s="7" t="n">
        <v>5265.7</v>
      </c>
    </row>
    <row r="99">
      <c r="A99" s="4" t="inlineStr">
        <is>
          <t>残保金</t>
        </is>
      </c>
      <c r="D99" s="7" t="n">
        <v>1548.6</v>
      </c>
      <c r="F99" s="7" t="n">
        <v>1523.4</v>
      </c>
      <c r="H99" s="7" t="n">
        <v>1129.3</v>
      </c>
      <c r="J99" s="7" t="n">
        <v>2925.5</v>
      </c>
      <c r="L99" s="7" t="n">
        <v>2222.4</v>
      </c>
      <c r="N99" s="7" t="n">
        <v>2419.7</v>
      </c>
      <c r="P99" s="7" t="n">
        <v>2593.4</v>
      </c>
      <c r="R99" s="7" t="n">
        <v>2752.3</v>
      </c>
      <c r="T99" s="7" t="n">
        <v>3745.2</v>
      </c>
      <c r="V99" s="7" t="n">
        <v>2808.5</v>
      </c>
      <c r="X99" s="7" t="n">
        <v>1826</v>
      </c>
      <c r="Z99" s="7" t="n">
        <v>1732.3</v>
      </c>
      <c r="AB99" s="7" t="n">
        <v>27226.6</v>
      </c>
    </row>
    <row r="100">
      <c r="A100" s="4" t="inlineStr">
        <is>
          <t>环保费</t>
        </is>
      </c>
      <c r="D100" s="7" t="n">
        <v>8777.5</v>
      </c>
      <c r="F100" s="7" t="n">
        <v>5723.1</v>
      </c>
      <c r="H100" s="7" t="n">
        <v>10158.9</v>
      </c>
      <c r="J100" s="7" t="n">
        <v>19700.9</v>
      </c>
      <c r="L100" s="7" t="n">
        <v>12480.1</v>
      </c>
      <c r="N100" s="7" t="n">
        <v>17548.3</v>
      </c>
      <c r="P100" s="7" t="n">
        <v>11299.2</v>
      </c>
      <c r="R100" s="7" t="n">
        <v>12717.7</v>
      </c>
      <c r="T100" s="7" t="n">
        <v>14156.5</v>
      </c>
      <c r="V100" s="7" t="n">
        <v>11819.6</v>
      </c>
      <c r="X100" s="7" t="n">
        <v>10541</v>
      </c>
      <c r="Z100" s="7" t="n">
        <v>11425.9</v>
      </c>
      <c r="AB100" s="7" t="n">
        <v>146348.7</v>
      </c>
    </row>
    <row r="101">
      <c r="A101" s="4" t="inlineStr">
        <is>
          <t>报废损失</t>
        </is>
      </c>
      <c r="D101" s="7" t="n">
        <v>4737.4</v>
      </c>
      <c r="F101" s="7" t="n">
        <v>2382</v>
      </c>
      <c r="H101" s="7" t="n">
        <v>2887.6</v>
      </c>
      <c r="J101" s="7" t="n">
        <v>9101.1</v>
      </c>
      <c r="L101" s="7" t="n">
        <v>5169</v>
      </c>
      <c r="N101" s="7" t="n">
        <v>8715.6</v>
      </c>
      <c r="P101" s="7" t="n">
        <v>3997.6</v>
      </c>
      <c r="R101" s="7" t="n">
        <v>7343</v>
      </c>
      <c r="T101" s="7" t="n">
        <v>5707.3</v>
      </c>
      <c r="V101" s="7" t="n">
        <v>4521.3</v>
      </c>
      <c r="X101" s="7" t="n">
        <v>3194.1</v>
      </c>
      <c r="Z101" s="7" t="n">
        <v>5429.8</v>
      </c>
      <c r="AB101" s="7" t="n">
        <v>63185.8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709278.1</v>
      </c>
      <c r="D102" s="7" t="n">
        <v>612850.9</v>
      </c>
      <c r="E102" s="7" t="n">
        <v>784573</v>
      </c>
      <c r="F102" s="7" t="n">
        <v>484718.2</v>
      </c>
      <c r="G102" s="7" t="n">
        <v>890590.6</v>
      </c>
      <c r="H102" s="7" t="n">
        <v>827131.6</v>
      </c>
      <c r="I102" s="7" t="n">
        <v>814537.8</v>
      </c>
      <c r="J102" s="7" t="n">
        <v>967538.4</v>
      </c>
      <c r="K102" s="7" t="n">
        <v>851113.8</v>
      </c>
      <c r="L102" s="7" t="n">
        <v>1012873.7</v>
      </c>
      <c r="M102" s="7" t="n">
        <v>748787.3</v>
      </c>
      <c r="N102" s="7" t="n">
        <v>654815.7</v>
      </c>
      <c r="O102" s="7" t="n">
        <v>667985.3</v>
      </c>
      <c r="P102" s="7" t="n">
        <v>1077039.2</v>
      </c>
      <c r="Q102" s="7" t="n">
        <v>722374.2</v>
      </c>
      <c r="R102" s="7" t="n">
        <v>824311.3</v>
      </c>
      <c r="S102" s="7" t="n">
        <v>694568.5</v>
      </c>
      <c r="T102" s="7" t="n">
        <v>660201.6</v>
      </c>
      <c r="U102" s="7" t="n">
        <v>791707.7</v>
      </c>
      <c r="V102" s="7" t="n">
        <v>1251867.7</v>
      </c>
      <c r="W102" s="7" t="n">
        <v>689431.6</v>
      </c>
      <c r="X102" s="7" t="n">
        <v>741901.1</v>
      </c>
      <c r="Y102" s="7" t="n">
        <v>752093.8</v>
      </c>
      <c r="Z102" s="7" t="n">
        <v>299944.5</v>
      </c>
      <c r="AA102" s="8" t="n">
        <v>9117041.699999999</v>
      </c>
      <c r="AB102" s="8" t="n">
        <v>9415193.9</v>
      </c>
    </row>
    <row r="103">
      <c r="A103" s="4" t="inlineStr">
        <is>
          <t>职工薪酬</t>
        </is>
      </c>
      <c r="D103" s="7" t="n">
        <v>330550.6</v>
      </c>
      <c r="F103" s="7" t="n">
        <v>214476.9</v>
      </c>
      <c r="H103" s="7" t="n">
        <v>442777.9</v>
      </c>
      <c r="J103" s="7" t="n">
        <v>473417.8</v>
      </c>
      <c r="L103" s="7" t="n">
        <v>511041.1</v>
      </c>
      <c r="N103" s="7" t="n">
        <v>320010.9</v>
      </c>
      <c r="P103" s="7" t="n">
        <v>596540.5</v>
      </c>
      <c r="R103" s="7" t="n">
        <v>465927.2</v>
      </c>
      <c r="T103" s="7" t="n">
        <v>281234</v>
      </c>
      <c r="V103" s="7" t="n">
        <v>709347.3</v>
      </c>
      <c r="X103" s="7" t="n">
        <v>448701</v>
      </c>
      <c r="Z103" s="7" t="n">
        <v>131380</v>
      </c>
      <c r="AB103" s="7" t="n">
        <v>4925405.2</v>
      </c>
    </row>
    <row r="104">
      <c r="A104" s="4" t="inlineStr">
        <is>
          <t>工资</t>
        </is>
      </c>
      <c r="D104" s="7" t="n">
        <v>202624.2</v>
      </c>
      <c r="F104" s="7" t="n">
        <v>105552.6</v>
      </c>
      <c r="H104" s="7" t="n">
        <v>269706.9</v>
      </c>
      <c r="J104" s="7" t="n">
        <v>252829</v>
      </c>
      <c r="L104" s="7" t="n">
        <v>291951.6</v>
      </c>
      <c r="N104" s="7" t="n">
        <v>176913.5</v>
      </c>
      <c r="P104" s="7" t="n">
        <v>382271</v>
      </c>
      <c r="R104" s="7" t="n">
        <v>285634.9</v>
      </c>
      <c r="T104" s="7" t="n">
        <v>143790</v>
      </c>
      <c r="V104" s="7" t="n">
        <v>429734.9</v>
      </c>
      <c r="X104" s="7" t="n">
        <v>279307.2</v>
      </c>
      <c r="Z104" s="7" t="n">
        <v>72484.5</v>
      </c>
      <c r="AB104" s="7" t="n">
        <v>2892800.3</v>
      </c>
    </row>
    <row r="105">
      <c r="A105" s="4" t="inlineStr">
        <is>
          <t>奖金及提成</t>
        </is>
      </c>
      <c r="D105" s="7" t="n">
        <v>71782.89999999999</v>
      </c>
      <c r="F105" s="7" t="n">
        <v>48037.4</v>
      </c>
      <c r="H105" s="7" t="n">
        <v>63659.3</v>
      </c>
      <c r="J105" s="7" t="n">
        <v>119689.1</v>
      </c>
      <c r="L105" s="7" t="n">
        <v>114742.6</v>
      </c>
      <c r="N105" s="7" t="n">
        <v>69123.89999999999</v>
      </c>
      <c r="P105" s="7" t="n">
        <v>96457.8</v>
      </c>
      <c r="R105" s="7" t="n">
        <v>67531.8</v>
      </c>
      <c r="T105" s="7" t="n">
        <v>73025.7</v>
      </c>
      <c r="V105" s="7" t="n">
        <v>112093.6</v>
      </c>
      <c r="X105" s="7" t="n">
        <v>86608.39999999999</v>
      </c>
      <c r="Z105" s="7" t="n">
        <v>26865.4</v>
      </c>
      <c r="AB105" s="7" t="n">
        <v>949617.9</v>
      </c>
    </row>
    <row r="106">
      <c r="A106" s="4" t="inlineStr">
        <is>
          <t>社保</t>
        </is>
      </c>
      <c r="D106" s="7" t="n">
        <v>37204.4</v>
      </c>
      <c r="F106" s="7" t="n">
        <v>44309</v>
      </c>
      <c r="H106" s="7" t="n">
        <v>80855.89999999999</v>
      </c>
      <c r="J106" s="7" t="n">
        <v>71622.60000000001</v>
      </c>
      <c r="L106" s="7" t="n">
        <v>67449.10000000001</v>
      </c>
      <c r="N106" s="7" t="n">
        <v>51473.4</v>
      </c>
      <c r="P106" s="7" t="n">
        <v>85357</v>
      </c>
      <c r="R106" s="7" t="n">
        <v>81395.39999999999</v>
      </c>
      <c r="T106" s="7" t="n">
        <v>41564.4</v>
      </c>
      <c r="V106" s="7" t="n">
        <v>125861</v>
      </c>
      <c r="X106" s="7" t="n">
        <v>57749.3</v>
      </c>
      <c r="Z106" s="7" t="n">
        <v>22373.4</v>
      </c>
      <c r="AB106" s="7" t="n">
        <v>767214.9</v>
      </c>
    </row>
    <row r="107">
      <c r="A107" s="4" t="inlineStr">
        <is>
          <t>养老</t>
        </is>
      </c>
      <c r="D107" s="7" t="n">
        <v>620.5</v>
      </c>
      <c r="F107" s="7" t="n">
        <v>467.9</v>
      </c>
      <c r="H107" s="7" t="n">
        <v>950.9</v>
      </c>
      <c r="J107" s="7" t="n">
        <v>710.8</v>
      </c>
      <c r="L107" s="7" t="n">
        <v>703.3</v>
      </c>
      <c r="N107" s="7" t="n">
        <v>653.3</v>
      </c>
      <c r="P107" s="7" t="n">
        <v>708.8</v>
      </c>
      <c r="R107" s="7" t="n">
        <v>576.5</v>
      </c>
      <c r="T107" s="7" t="n">
        <v>715.1</v>
      </c>
      <c r="V107" s="7" t="n">
        <v>1091.9</v>
      </c>
      <c r="X107" s="7" t="n">
        <v>532.7</v>
      </c>
      <c r="Z107" s="7" t="n">
        <v>243.1</v>
      </c>
      <c r="AB107" s="7" t="n">
        <v>7974.8</v>
      </c>
    </row>
    <row r="108">
      <c r="A108" s="4" t="inlineStr">
        <is>
          <t>医疗</t>
        </is>
      </c>
      <c r="D108" s="7" t="n">
        <v>3783.7</v>
      </c>
      <c r="F108" s="7" t="n">
        <v>3306.9</v>
      </c>
      <c r="H108" s="7" t="n">
        <v>5205.8</v>
      </c>
      <c r="J108" s="7" t="n">
        <v>6000.2</v>
      </c>
      <c r="L108" s="7" t="n">
        <v>4721.4</v>
      </c>
      <c r="N108" s="7" t="n">
        <v>4879.8</v>
      </c>
      <c r="P108" s="7" t="n">
        <v>7593.8</v>
      </c>
      <c r="R108" s="7" t="n">
        <v>3602.5</v>
      </c>
      <c r="T108" s="7" t="n">
        <v>4659.4</v>
      </c>
      <c r="V108" s="7" t="n">
        <v>7229.4</v>
      </c>
      <c r="X108" s="7" t="n">
        <v>5594.8</v>
      </c>
      <c r="Z108" s="7" t="n">
        <v>1839.2</v>
      </c>
      <c r="AB108" s="7" t="n">
        <v>58416.9</v>
      </c>
    </row>
    <row r="109">
      <c r="A109" s="4" t="inlineStr">
        <is>
          <t>工伤</t>
        </is>
      </c>
      <c r="D109" s="7" t="n">
        <v>2917.9</v>
      </c>
      <c r="F109" s="7" t="n">
        <v>3027.5</v>
      </c>
      <c r="H109" s="7" t="n">
        <v>5183</v>
      </c>
      <c r="J109" s="7" t="n">
        <v>4503.1</v>
      </c>
      <c r="L109" s="7" t="n">
        <v>4983.1</v>
      </c>
      <c r="N109" s="7" t="n">
        <v>3765.3</v>
      </c>
      <c r="P109" s="7" t="n">
        <v>7301</v>
      </c>
      <c r="R109" s="7" t="n">
        <v>4773.3</v>
      </c>
      <c r="T109" s="7" t="n">
        <v>2860.3</v>
      </c>
      <c r="V109" s="7" t="n">
        <v>7174.6</v>
      </c>
      <c r="X109" s="7" t="n">
        <v>2862.7</v>
      </c>
      <c r="Z109" s="7" t="n">
        <v>2120.5</v>
      </c>
      <c r="AB109" s="7" t="n">
        <v>51472.3</v>
      </c>
    </row>
    <row r="110">
      <c r="A110" s="4" t="inlineStr">
        <is>
          <t>失业</t>
        </is>
      </c>
      <c r="D110" s="7" t="n">
        <v>158.1</v>
      </c>
      <c r="F110" s="7" t="n">
        <v>147.8</v>
      </c>
      <c r="H110" s="7" t="n">
        <v>156.5</v>
      </c>
      <c r="J110" s="7" t="n">
        <v>258.9</v>
      </c>
      <c r="L110" s="7" t="n">
        <v>262.8</v>
      </c>
      <c r="N110" s="7" t="n">
        <v>202.8</v>
      </c>
      <c r="P110" s="7" t="n">
        <v>337.5</v>
      </c>
      <c r="R110" s="7" t="n">
        <v>210.4</v>
      </c>
      <c r="T110" s="7" t="n">
        <v>146.4</v>
      </c>
      <c r="V110" s="7" t="n">
        <v>340.4</v>
      </c>
      <c r="X110" s="7" t="n">
        <v>137.9</v>
      </c>
      <c r="Z110" s="7" t="n">
        <v>89.7</v>
      </c>
      <c r="AB110" s="7" t="n">
        <v>2449.2</v>
      </c>
    </row>
    <row r="111">
      <c r="A111" s="4" t="inlineStr">
        <is>
          <t>生育</t>
        </is>
      </c>
      <c r="D111" s="7" t="n">
        <v>2976.2</v>
      </c>
      <c r="F111" s="7" t="n">
        <v>2649.4</v>
      </c>
      <c r="H111" s="7" t="n">
        <v>5608.7</v>
      </c>
      <c r="J111" s="7" t="n">
        <v>4546.9</v>
      </c>
      <c r="L111" s="7" t="n">
        <v>6232.7</v>
      </c>
      <c r="N111" s="7" t="n">
        <v>3601.3</v>
      </c>
      <c r="P111" s="7" t="n">
        <v>7527.3</v>
      </c>
      <c r="R111" s="7" t="n">
        <v>6237.4</v>
      </c>
      <c r="T111" s="7" t="n">
        <v>4722.6</v>
      </c>
      <c r="V111" s="7" t="n">
        <v>5572.8</v>
      </c>
      <c r="X111" s="7" t="n">
        <v>4496.1</v>
      </c>
      <c r="Z111" s="7" t="n">
        <v>2173.1</v>
      </c>
      <c r="AB111" s="7" t="n">
        <v>56344.5</v>
      </c>
    </row>
    <row r="112">
      <c r="A112" s="4" t="inlineStr">
        <is>
          <t>公积金</t>
        </is>
      </c>
      <c r="D112" s="7" t="n">
        <v>3313.6</v>
      </c>
      <c r="F112" s="7" t="n">
        <v>3261.9</v>
      </c>
      <c r="H112" s="7" t="n">
        <v>4372.9</v>
      </c>
      <c r="J112" s="7" t="n">
        <v>5427.6</v>
      </c>
      <c r="L112" s="7" t="n">
        <v>6271</v>
      </c>
      <c r="N112" s="7" t="n">
        <v>4565.4</v>
      </c>
      <c r="P112" s="7" t="n">
        <v>4583.8</v>
      </c>
      <c r="R112" s="7" t="n">
        <v>5840.8</v>
      </c>
      <c r="T112" s="7" t="n">
        <v>3405.1</v>
      </c>
      <c r="V112" s="7" t="n">
        <v>5164.3</v>
      </c>
      <c r="X112" s="7" t="n">
        <v>4063.8</v>
      </c>
      <c r="Z112" s="7" t="n">
        <v>1481.9</v>
      </c>
      <c r="AB112" s="7" t="n">
        <v>51752.1</v>
      </c>
    </row>
    <row r="113">
      <c r="A113" s="4" t="inlineStr">
        <is>
          <t>工会经费</t>
        </is>
      </c>
      <c r="D113" s="7" t="n">
        <v>3898.9</v>
      </c>
      <c r="F113" s="7" t="n">
        <v>3538.5</v>
      </c>
      <c r="H113" s="7" t="n">
        <v>6017.2</v>
      </c>
      <c r="J113" s="7" t="n">
        <v>4493.3</v>
      </c>
      <c r="L113" s="7" t="n">
        <v>7719.7</v>
      </c>
      <c r="N113" s="7" t="n">
        <v>4637.1</v>
      </c>
      <c r="P113" s="7" t="n">
        <v>4897</v>
      </c>
      <c r="R113" s="7" t="n">
        <v>6480.4</v>
      </c>
      <c r="T113" s="7" t="n">
        <v>4525</v>
      </c>
      <c r="V113" s="7" t="n">
        <v>9574.4</v>
      </c>
      <c r="X113" s="7" t="n">
        <v>3528.3</v>
      </c>
      <c r="Z113" s="7" t="n">
        <v>1710.8</v>
      </c>
      <c r="AB113" s="7" t="n">
        <v>61020.6</v>
      </c>
    </row>
    <row r="114">
      <c r="A114" s="4" t="inlineStr">
        <is>
          <t>职工教育经费</t>
        </is>
      </c>
      <c r="D114" s="7" t="n">
        <v>2287.4</v>
      </c>
      <c r="F114" s="7" t="n">
        <v>1584.5</v>
      </c>
      <c r="H114" s="7" t="n">
        <v>3476.5</v>
      </c>
      <c r="J114" s="7" t="n">
        <v>2907.6</v>
      </c>
      <c r="L114" s="7" t="n">
        <v>4628.7</v>
      </c>
      <c r="N114" s="7" t="n">
        <v>2187.5</v>
      </c>
      <c r="P114" s="7" t="n">
        <v>5635.3</v>
      </c>
      <c r="R114" s="7" t="n">
        <v>2821.8</v>
      </c>
      <c r="T114" s="7" t="n">
        <v>2058.9</v>
      </c>
      <c r="V114" s="7" t="n">
        <v>5016.9</v>
      </c>
      <c r="X114" s="7" t="n">
        <v>3805.7</v>
      </c>
      <c r="Z114" s="7" t="n">
        <v>1276.3</v>
      </c>
      <c r="AB114" s="7" t="n">
        <v>37687.1</v>
      </c>
    </row>
    <row r="115">
      <c r="A115" s="4" t="inlineStr">
        <is>
          <t>福利费</t>
        </is>
      </c>
      <c r="D115" s="7" t="n">
        <v>9439.200000000001</v>
      </c>
      <c r="F115" s="7" t="n">
        <v>8193</v>
      </c>
      <c r="H115" s="7" t="n">
        <v>14689.2</v>
      </c>
      <c r="J115" s="7" t="n">
        <v>16448.6</v>
      </c>
      <c r="L115" s="7" t="n">
        <v>18278.4</v>
      </c>
      <c r="N115" s="7" t="n">
        <v>11110.1</v>
      </c>
      <c r="P115" s="7" t="n">
        <v>17338.6</v>
      </c>
      <c r="R115" s="7" t="n">
        <v>16222.1</v>
      </c>
      <c r="T115" s="7" t="n">
        <v>12864.9</v>
      </c>
      <c r="V115" s="7" t="n">
        <v>21902.2</v>
      </c>
      <c r="X115" s="7" t="n">
        <v>13638.3</v>
      </c>
      <c r="Z115" s="7" t="n">
        <v>5187.7</v>
      </c>
      <c r="AB115" s="7" t="n">
        <v>165312.3</v>
      </c>
    </row>
    <row r="116">
      <c r="A116" s="4" t="inlineStr">
        <is>
          <t>职工房租</t>
        </is>
      </c>
      <c r="D116" s="7" t="n">
        <v>555.2</v>
      </c>
      <c r="F116" s="7" t="n">
        <v>431.8</v>
      </c>
      <c r="H116" s="7" t="n">
        <v>678.7</v>
      </c>
      <c r="J116" s="7" t="n">
        <v>681.5</v>
      </c>
      <c r="L116" s="7" t="n">
        <v>874.2</v>
      </c>
      <c r="N116" s="7" t="n">
        <v>621.7</v>
      </c>
      <c r="P116" s="7" t="n">
        <v>1098.2</v>
      </c>
      <c r="R116" s="7" t="n">
        <v>786.2</v>
      </c>
      <c r="T116" s="7" t="n">
        <v>671.8</v>
      </c>
      <c r="V116" s="7" t="n">
        <v>744.8</v>
      </c>
      <c r="X116" s="7" t="n">
        <v>737.3</v>
      </c>
      <c r="Z116" s="7" t="n">
        <v>235.3</v>
      </c>
      <c r="AB116" s="7" t="n">
        <v>8116.7</v>
      </c>
    </row>
    <row r="117">
      <c r="A117" s="4" t="inlineStr">
        <is>
          <t>水电物业费</t>
        </is>
      </c>
      <c r="D117" s="7" t="n">
        <v>399.1</v>
      </c>
      <c r="F117" s="7" t="n">
        <v>222.5</v>
      </c>
      <c r="H117" s="7" t="n">
        <v>554</v>
      </c>
      <c r="J117" s="7" t="n">
        <v>389.4</v>
      </c>
      <c r="L117" s="7" t="n">
        <v>460.9</v>
      </c>
      <c r="N117" s="7" t="n">
        <v>384.9</v>
      </c>
      <c r="P117" s="7" t="n">
        <v>565</v>
      </c>
      <c r="R117" s="7" t="n">
        <v>530.8</v>
      </c>
      <c r="T117" s="7" t="n">
        <v>351.4</v>
      </c>
      <c r="V117" s="7" t="n">
        <v>708.4</v>
      </c>
      <c r="X117" s="7" t="n">
        <v>341.6</v>
      </c>
      <c r="Z117" s="7" t="n">
        <v>202.1</v>
      </c>
      <c r="AB117" s="7" t="n">
        <v>5110.1</v>
      </c>
    </row>
    <row r="118">
      <c r="A118" s="4" t="inlineStr">
        <is>
          <t>员工餐</t>
        </is>
      </c>
      <c r="D118" s="7" t="n">
        <v>1695.5</v>
      </c>
      <c r="F118" s="7" t="n">
        <v>1562.6</v>
      </c>
      <c r="H118" s="7" t="n">
        <v>2837.7</v>
      </c>
      <c r="J118" s="7" t="n">
        <v>3733.3</v>
      </c>
      <c r="L118" s="7" t="n">
        <v>3146.3</v>
      </c>
      <c r="N118" s="7" t="n">
        <v>1715.2</v>
      </c>
      <c r="P118" s="7" t="n">
        <v>4676.9</v>
      </c>
      <c r="R118" s="7" t="n">
        <v>2456.6</v>
      </c>
      <c r="T118" s="7" t="n">
        <v>2973.3</v>
      </c>
      <c r="V118" s="7" t="n">
        <v>4830.4</v>
      </c>
      <c r="X118" s="7" t="n">
        <v>2494.5</v>
      </c>
      <c r="Z118" s="7" t="n">
        <v>964.5</v>
      </c>
      <c r="AB118" s="7" t="n">
        <v>33086.8</v>
      </c>
    </row>
    <row r="119">
      <c r="A119" s="4" t="inlineStr">
        <is>
          <t>节日礼品</t>
        </is>
      </c>
      <c r="D119" s="7" t="n">
        <v>2325.7</v>
      </c>
      <c r="F119" s="7" t="n">
        <v>2168.5</v>
      </c>
      <c r="H119" s="7" t="n">
        <v>3918</v>
      </c>
      <c r="J119" s="7" t="n">
        <v>4939.7</v>
      </c>
      <c r="L119" s="7" t="n">
        <v>4150</v>
      </c>
      <c r="N119" s="7" t="n">
        <v>2448</v>
      </c>
      <c r="P119" s="7" t="n">
        <v>3555.2</v>
      </c>
      <c r="R119" s="7" t="n">
        <v>4098.4</v>
      </c>
      <c r="T119" s="7" t="n">
        <v>2246</v>
      </c>
      <c r="V119" s="7" t="n">
        <v>4539.7</v>
      </c>
      <c r="X119" s="7" t="n">
        <v>3113.3</v>
      </c>
      <c r="Z119" s="7" t="n">
        <v>1629.6</v>
      </c>
      <c r="AB119" s="7" t="n">
        <v>39132.1</v>
      </c>
    </row>
    <row r="120">
      <c r="A120" s="4" t="inlineStr">
        <is>
          <t>生日礼品</t>
        </is>
      </c>
      <c r="D120" s="7" t="n">
        <v>2253.2</v>
      </c>
      <c r="F120" s="7" t="n">
        <v>2231</v>
      </c>
      <c r="H120" s="7" t="n">
        <v>4064.6</v>
      </c>
      <c r="J120" s="7" t="n">
        <v>3906.1</v>
      </c>
      <c r="L120" s="7" t="n">
        <v>6413.5</v>
      </c>
      <c r="N120" s="7" t="n">
        <v>3725.3</v>
      </c>
      <c r="P120" s="7" t="n">
        <v>4735.9</v>
      </c>
      <c r="R120" s="7" t="n">
        <v>5342.1</v>
      </c>
      <c r="T120" s="7" t="n">
        <v>4010.9</v>
      </c>
      <c r="V120" s="7" t="n">
        <v>7050</v>
      </c>
      <c r="X120" s="7" t="n">
        <v>4118.6</v>
      </c>
      <c r="Z120" s="7" t="n">
        <v>1199.2</v>
      </c>
      <c r="AB120" s="7" t="n">
        <v>49050.4</v>
      </c>
    </row>
    <row r="121">
      <c r="A121" s="4" t="inlineStr">
        <is>
          <t>体检</t>
        </is>
      </c>
      <c r="D121" s="7" t="n">
        <v>692.9</v>
      </c>
      <c r="F121" s="7" t="n">
        <v>673</v>
      </c>
      <c r="H121" s="7" t="n">
        <v>1001.2</v>
      </c>
      <c r="J121" s="7" t="n">
        <v>1292.4</v>
      </c>
      <c r="L121" s="7" t="n">
        <v>1281</v>
      </c>
      <c r="N121" s="7" t="n">
        <v>1059.8</v>
      </c>
      <c r="P121" s="7" t="n">
        <v>1211.1</v>
      </c>
      <c r="R121" s="7" t="n">
        <v>1144.7</v>
      </c>
      <c r="T121" s="7" t="n">
        <v>933.4</v>
      </c>
      <c r="V121" s="7" t="n">
        <v>1804</v>
      </c>
      <c r="X121" s="7" t="n">
        <v>1185.1</v>
      </c>
      <c r="Z121" s="7" t="n">
        <v>373.2</v>
      </c>
      <c r="AB121" s="7" t="n">
        <v>12651.8</v>
      </c>
    </row>
    <row r="122">
      <c r="A122" s="4" t="inlineStr">
        <is>
          <t>其他福利支出</t>
        </is>
      </c>
      <c r="D122" s="7" t="n">
        <v>1517.6</v>
      </c>
      <c r="F122" s="7" t="n">
        <v>903.6</v>
      </c>
      <c r="H122" s="7" t="n">
        <v>1635</v>
      </c>
      <c r="J122" s="7" t="n">
        <v>1506.2</v>
      </c>
      <c r="L122" s="7" t="n">
        <v>1952.5</v>
      </c>
      <c r="N122" s="7" t="n">
        <v>1155.2</v>
      </c>
      <c r="P122" s="7" t="n">
        <v>1496.3</v>
      </c>
      <c r="R122" s="7" t="n">
        <v>1863.3</v>
      </c>
      <c r="T122" s="7" t="n">
        <v>1678.1</v>
      </c>
      <c r="V122" s="7" t="n">
        <v>2224.9</v>
      </c>
      <c r="X122" s="7" t="n">
        <v>1647.9</v>
      </c>
      <c r="Z122" s="7" t="n">
        <v>583.8</v>
      </c>
      <c r="AB122" s="7" t="n">
        <v>18164.4</v>
      </c>
    </row>
    <row r="123">
      <c r="A123" s="4" t="inlineStr">
        <is>
          <t>招聘费</t>
        </is>
      </c>
      <c r="D123" s="7" t="n">
        <v>1475</v>
      </c>
      <c r="F123" s="7" t="n">
        <v>1186.9</v>
      </c>
      <c r="H123" s="7" t="n">
        <v>1641.5</v>
      </c>
      <c r="J123" s="7" t="n">
        <v>1449.4</v>
      </c>
      <c r="L123" s="7" t="n">
        <v>2000.3</v>
      </c>
      <c r="N123" s="7" t="n">
        <v>1548.3</v>
      </c>
      <c r="P123" s="7" t="n">
        <v>1975.8</v>
      </c>
      <c r="R123" s="7" t="n">
        <v>1744.4</v>
      </c>
      <c r="T123" s="7" t="n">
        <v>1429.1</v>
      </c>
      <c r="V123" s="7" t="n">
        <v>2950.4</v>
      </c>
      <c r="X123" s="7" t="n">
        <v>1104.9</v>
      </c>
      <c r="Z123" s="7" t="n">
        <v>587.5</v>
      </c>
      <c r="AB123" s="7" t="n">
        <v>19093.5</v>
      </c>
    </row>
    <row r="124">
      <c r="A124" s="4" t="inlineStr">
        <is>
          <t>办公费</t>
        </is>
      </c>
      <c r="D124" s="7" t="n">
        <v>16268.4</v>
      </c>
      <c r="F124" s="7" t="n">
        <v>13683.3</v>
      </c>
      <c r="H124" s="7" t="n">
        <v>29889</v>
      </c>
      <c r="J124" s="7" t="n">
        <v>28085.2</v>
      </c>
      <c r="L124" s="7" t="n">
        <v>22956.4</v>
      </c>
      <c r="N124" s="7" t="n">
        <v>14399.8</v>
      </c>
      <c r="P124" s="7" t="n">
        <v>35050.8</v>
      </c>
      <c r="R124" s="7" t="n">
        <v>25967.3</v>
      </c>
      <c r="T124" s="7" t="n">
        <v>16504.1</v>
      </c>
      <c r="V124" s="7" t="n">
        <v>47373.1</v>
      </c>
      <c r="X124" s="7" t="n">
        <v>19291.4</v>
      </c>
      <c r="Z124" s="7" t="n">
        <v>6420.6</v>
      </c>
      <c r="AB124" s="7" t="n">
        <v>275889.4</v>
      </c>
    </row>
    <row r="125">
      <c r="A125" s="4" t="inlineStr">
        <is>
          <t>市内交通费</t>
        </is>
      </c>
      <c r="D125" s="7" t="n">
        <v>2092.9</v>
      </c>
      <c r="F125" s="7" t="n">
        <v>1887.5</v>
      </c>
      <c r="H125" s="7" t="n">
        <v>2197.3</v>
      </c>
      <c r="J125" s="7" t="n">
        <v>3440.1</v>
      </c>
      <c r="L125" s="7" t="n">
        <v>2920.4</v>
      </c>
      <c r="N125" s="7" t="n">
        <v>2059.1</v>
      </c>
      <c r="P125" s="7" t="n">
        <v>4042.3</v>
      </c>
      <c r="R125" s="7" t="n">
        <v>3684.5</v>
      </c>
      <c r="T125" s="7" t="n">
        <v>2902.1</v>
      </c>
      <c r="V125" s="7" t="n">
        <v>4051.4</v>
      </c>
      <c r="X125" s="7" t="n">
        <v>2066</v>
      </c>
      <c r="Z125" s="7" t="n">
        <v>1283.8</v>
      </c>
      <c r="AB125" s="7" t="n">
        <v>32627.4</v>
      </c>
    </row>
    <row r="126">
      <c r="A126" s="4" t="inlineStr">
        <is>
          <t>差旅费</t>
        </is>
      </c>
      <c r="D126" s="7" t="n">
        <v>33894.7</v>
      </c>
      <c r="F126" s="7" t="n">
        <v>26864</v>
      </c>
      <c r="H126" s="7" t="n">
        <v>43215.5</v>
      </c>
      <c r="J126" s="7" t="n">
        <v>52874.8</v>
      </c>
      <c r="L126" s="7" t="n">
        <v>78184.60000000001</v>
      </c>
      <c r="N126" s="7" t="n">
        <v>48112.5</v>
      </c>
      <c r="P126" s="7" t="n">
        <v>48632.1</v>
      </c>
      <c r="R126" s="7" t="n">
        <v>56220.3</v>
      </c>
      <c r="T126" s="7" t="n">
        <v>38286.4</v>
      </c>
      <c r="V126" s="7" t="n">
        <v>97312.10000000001</v>
      </c>
      <c r="X126" s="7" t="n">
        <v>52625</v>
      </c>
      <c r="Z126" s="7" t="n">
        <v>15714.3</v>
      </c>
      <c r="AB126" s="7" t="n">
        <v>591936.3</v>
      </c>
    </row>
    <row r="127">
      <c r="A127" s="4" t="inlineStr">
        <is>
          <t>交通费</t>
        </is>
      </c>
      <c r="D127" s="7" t="n">
        <v>4151.5</v>
      </c>
      <c r="F127" s="7" t="n">
        <v>2443.8</v>
      </c>
      <c r="H127" s="7" t="n">
        <v>5409.2</v>
      </c>
      <c r="J127" s="7" t="n">
        <v>4006.2</v>
      </c>
      <c r="L127" s="7" t="n">
        <v>5631</v>
      </c>
      <c r="N127" s="7" t="n">
        <v>2600.3</v>
      </c>
      <c r="P127" s="7" t="n">
        <v>4692.5</v>
      </c>
      <c r="R127" s="7" t="n">
        <v>4288.6</v>
      </c>
      <c r="T127" s="7" t="n">
        <v>4257</v>
      </c>
      <c r="V127" s="7" t="n">
        <v>8544.799999999999</v>
      </c>
      <c r="X127" s="7" t="n">
        <v>2899.2</v>
      </c>
      <c r="Z127" s="7" t="n">
        <v>2022.1</v>
      </c>
      <c r="AB127" s="7" t="n">
        <v>50946.2</v>
      </c>
    </row>
    <row r="128">
      <c r="A128" s="4" t="inlineStr">
        <is>
          <t>住宿费</t>
        </is>
      </c>
      <c r="D128" s="7" t="n">
        <v>2288.3</v>
      </c>
      <c r="F128" s="7" t="n">
        <v>2272.7</v>
      </c>
      <c r="H128" s="7" t="n">
        <v>5120.7</v>
      </c>
      <c r="J128" s="7" t="n">
        <v>4551.1</v>
      </c>
      <c r="L128" s="7" t="n">
        <v>5190.1</v>
      </c>
      <c r="N128" s="7" t="n">
        <v>3656.2</v>
      </c>
      <c r="P128" s="7" t="n">
        <v>6157.9</v>
      </c>
      <c r="R128" s="7" t="n">
        <v>3196.7</v>
      </c>
      <c r="T128" s="7" t="n">
        <v>2656.7</v>
      </c>
      <c r="V128" s="7" t="n">
        <v>5766.6</v>
      </c>
      <c r="X128" s="7" t="n">
        <v>3797.3</v>
      </c>
      <c r="Z128" s="7" t="n">
        <v>1078.7</v>
      </c>
      <c r="AB128" s="7" t="n">
        <v>45733</v>
      </c>
    </row>
    <row r="129">
      <c r="A129" s="4" t="inlineStr">
        <is>
          <t>餐补</t>
        </is>
      </c>
      <c r="D129" s="7" t="n">
        <v>3987</v>
      </c>
      <c r="F129" s="7" t="n">
        <v>2317.2</v>
      </c>
      <c r="H129" s="7" t="n">
        <v>4640.8</v>
      </c>
      <c r="J129" s="7" t="n">
        <v>5127.2</v>
      </c>
      <c r="L129" s="7" t="n">
        <v>3929.8</v>
      </c>
      <c r="N129" s="7" t="n">
        <v>2488.7</v>
      </c>
      <c r="P129" s="7" t="n">
        <v>5004.5</v>
      </c>
      <c r="R129" s="7" t="n">
        <v>5688.1</v>
      </c>
      <c r="T129" s="7" t="n">
        <v>4294.3</v>
      </c>
      <c r="V129" s="7" t="n">
        <v>6670.9</v>
      </c>
      <c r="X129" s="7" t="n">
        <v>4390.6</v>
      </c>
      <c r="Z129" s="7" t="n">
        <v>2008</v>
      </c>
      <c r="AB129" s="7" t="n">
        <v>50547.1</v>
      </c>
    </row>
    <row r="130">
      <c r="A130" s="4" t="inlineStr">
        <is>
          <t>交通补助</t>
        </is>
      </c>
      <c r="D130" s="7" t="n">
        <v>1668.3</v>
      </c>
      <c r="F130" s="7" t="n">
        <v>1475.4</v>
      </c>
      <c r="H130" s="7" t="n">
        <v>1916.1</v>
      </c>
      <c r="J130" s="7" t="n">
        <v>2042.2</v>
      </c>
      <c r="L130" s="7" t="n">
        <v>2400.3</v>
      </c>
      <c r="N130" s="7" t="n">
        <v>2322.5</v>
      </c>
      <c r="P130" s="7" t="n">
        <v>2180.3</v>
      </c>
      <c r="R130" s="7" t="n">
        <v>2587.1</v>
      </c>
      <c r="T130" s="7" t="n">
        <v>1893.8</v>
      </c>
      <c r="V130" s="7" t="n">
        <v>3559.2</v>
      </c>
      <c r="X130" s="7" t="n">
        <v>2478</v>
      </c>
      <c r="Z130" s="7" t="n">
        <v>883.5</v>
      </c>
      <c r="AB130" s="7" t="n">
        <v>25406.7</v>
      </c>
    </row>
    <row r="131">
      <c r="A131" s="4" t="inlineStr">
        <is>
          <t>通讯补助</t>
        </is>
      </c>
      <c r="D131" s="7" t="n">
        <v>2136</v>
      </c>
      <c r="F131" s="7" t="n">
        <v>1167.7</v>
      </c>
      <c r="H131" s="7" t="n">
        <v>2601.4</v>
      </c>
      <c r="J131" s="7" t="n">
        <v>3156.6</v>
      </c>
      <c r="L131" s="7" t="n">
        <v>3816.8</v>
      </c>
      <c r="N131" s="7" t="n">
        <v>1630.6</v>
      </c>
      <c r="P131" s="7" t="n">
        <v>2471.5</v>
      </c>
      <c r="R131" s="7" t="n">
        <v>2294.8</v>
      </c>
      <c r="T131" s="7" t="n">
        <v>2528.7</v>
      </c>
      <c r="V131" s="7" t="n">
        <v>3053.2</v>
      </c>
      <c r="X131" s="7" t="n">
        <v>1848.1</v>
      </c>
      <c r="Z131" s="7" t="n">
        <v>808.6</v>
      </c>
      <c r="AB131" s="7" t="n">
        <v>27514</v>
      </c>
    </row>
    <row r="132">
      <c r="A132" s="4" t="inlineStr">
        <is>
          <t>招待费</t>
        </is>
      </c>
      <c r="D132" s="7" t="n">
        <v>23330.2</v>
      </c>
      <c r="F132" s="7" t="n">
        <v>24182.8</v>
      </c>
      <c r="H132" s="7" t="n">
        <v>30226.4</v>
      </c>
      <c r="J132" s="7" t="n">
        <v>33821.8</v>
      </c>
      <c r="L132" s="7" t="n">
        <v>41234.8</v>
      </c>
      <c r="N132" s="7" t="n">
        <v>33049.6</v>
      </c>
      <c r="P132" s="7" t="n">
        <v>43440</v>
      </c>
      <c r="R132" s="7" t="n">
        <v>38243.6</v>
      </c>
      <c r="T132" s="7" t="n">
        <v>21389.2</v>
      </c>
      <c r="V132" s="7" t="n">
        <v>37891.8</v>
      </c>
      <c r="X132" s="7" t="n">
        <v>34174.3</v>
      </c>
      <c r="Z132" s="7" t="n">
        <v>12312.5</v>
      </c>
      <c r="AB132" s="7" t="n">
        <v>373297</v>
      </c>
    </row>
    <row r="133">
      <c r="A133" s="4" t="inlineStr">
        <is>
          <t>通讯费</t>
        </is>
      </c>
      <c r="D133" s="7" t="n">
        <v>4193.6</v>
      </c>
      <c r="F133" s="7" t="n">
        <v>3080.8</v>
      </c>
      <c r="H133" s="7" t="n">
        <v>4167.2</v>
      </c>
      <c r="J133" s="7" t="n">
        <v>6151.1</v>
      </c>
      <c r="L133" s="7" t="n">
        <v>6449.4</v>
      </c>
      <c r="N133" s="7" t="n">
        <v>2837.7</v>
      </c>
      <c r="P133" s="7" t="n">
        <v>6457.6</v>
      </c>
      <c r="R133" s="7" t="n">
        <v>5630.7</v>
      </c>
      <c r="T133" s="7" t="n">
        <v>2673.1</v>
      </c>
      <c r="V133" s="7" t="n">
        <v>7239.9</v>
      </c>
      <c r="X133" s="7" t="n">
        <v>3921</v>
      </c>
      <c r="Z133" s="7" t="n">
        <v>1700.4</v>
      </c>
      <c r="AB133" s="7" t="n">
        <v>54502.5</v>
      </c>
    </row>
    <row r="134">
      <c r="A134" s="4" t="inlineStr">
        <is>
          <t>网络费</t>
        </is>
      </c>
      <c r="D134" s="7" t="n">
        <v>1704.7</v>
      </c>
      <c r="F134" s="7" t="n">
        <v>823.6</v>
      </c>
      <c r="H134" s="7" t="n">
        <v>1463.2</v>
      </c>
      <c r="J134" s="7" t="n">
        <v>1797.8</v>
      </c>
      <c r="L134" s="7" t="n">
        <v>1837.7</v>
      </c>
      <c r="N134" s="7" t="n">
        <v>1809.4</v>
      </c>
      <c r="P134" s="7" t="n">
        <v>2567.1</v>
      </c>
      <c r="R134" s="7" t="n">
        <v>2205.3</v>
      </c>
      <c r="T134" s="7" t="n">
        <v>1496</v>
      </c>
      <c r="V134" s="7" t="n">
        <v>2847.4</v>
      </c>
      <c r="X134" s="7" t="n">
        <v>1706.4</v>
      </c>
      <c r="Z134" s="7" t="n">
        <v>772.3</v>
      </c>
      <c r="AB134" s="7" t="n">
        <v>21030.9</v>
      </c>
    </row>
    <row r="135">
      <c r="A135" s="4" t="inlineStr">
        <is>
          <t>修理费</t>
        </is>
      </c>
      <c r="D135" s="7" t="n">
        <v>447.1</v>
      </c>
      <c r="F135" s="7" t="n">
        <v>270.2</v>
      </c>
      <c r="H135" s="7" t="n">
        <v>736.4</v>
      </c>
      <c r="J135" s="7" t="n">
        <v>906.8</v>
      </c>
      <c r="L135" s="7" t="n">
        <v>747.6</v>
      </c>
      <c r="N135" s="7" t="n">
        <v>434</v>
      </c>
      <c r="P135" s="7" t="n">
        <v>738.5</v>
      </c>
      <c r="R135" s="7" t="n">
        <v>733.2</v>
      </c>
      <c r="T135" s="7" t="n">
        <v>608.8</v>
      </c>
      <c r="V135" s="7" t="n">
        <v>990.4</v>
      </c>
      <c r="X135" s="7" t="n">
        <v>642.1</v>
      </c>
      <c r="Z135" s="7" t="n">
        <v>202.9</v>
      </c>
      <c r="AB135" s="7" t="n">
        <v>7458</v>
      </c>
    </row>
    <row r="136">
      <c r="A136" s="4" t="inlineStr">
        <is>
          <t>车辆费</t>
        </is>
      </c>
      <c r="D136" s="7" t="n">
        <v>2046.2</v>
      </c>
      <c r="F136" s="7" t="n">
        <v>2682.3</v>
      </c>
      <c r="H136" s="7" t="n">
        <v>3208.9</v>
      </c>
      <c r="J136" s="7" t="n">
        <v>5468.2</v>
      </c>
      <c r="L136" s="7" t="n">
        <v>3703.2</v>
      </c>
      <c r="N136" s="7" t="n">
        <v>2548.1</v>
      </c>
      <c r="P136" s="7" t="n">
        <v>3886.6</v>
      </c>
      <c r="R136" s="7" t="n">
        <v>2985.9</v>
      </c>
      <c r="T136" s="7" t="n">
        <v>2296.2</v>
      </c>
      <c r="V136" s="7" t="n">
        <v>6494.7</v>
      </c>
      <c r="X136" s="7" t="n">
        <v>4042.1</v>
      </c>
      <c r="Z136" s="7" t="n">
        <v>1042.5</v>
      </c>
      <c r="AB136" s="7" t="n">
        <v>40404.9</v>
      </c>
    </row>
    <row r="137">
      <c r="A137" s="4" t="inlineStr">
        <is>
          <t>租赁费</t>
        </is>
      </c>
      <c r="D137" s="7" t="n">
        <v>35692.9</v>
      </c>
      <c r="F137" s="7" t="n">
        <v>27977.9</v>
      </c>
      <c r="H137" s="7" t="n">
        <v>30004.6</v>
      </c>
      <c r="J137" s="7" t="n">
        <v>36993.4</v>
      </c>
      <c r="L137" s="7" t="n">
        <v>59548.5</v>
      </c>
      <c r="N137" s="7" t="n">
        <v>33005.6</v>
      </c>
      <c r="P137" s="7" t="n">
        <v>39611.3</v>
      </c>
      <c r="R137" s="7" t="n">
        <v>31791.8</v>
      </c>
      <c r="T137" s="7" t="n">
        <v>28118.2</v>
      </c>
      <c r="V137" s="7" t="n">
        <v>46303.4</v>
      </c>
      <c r="X137" s="7" t="n">
        <v>40825</v>
      </c>
      <c r="Z137" s="7" t="n">
        <v>17287.8</v>
      </c>
      <c r="AB137" s="7" t="n">
        <v>427160.4</v>
      </c>
    </row>
    <row r="138">
      <c r="A138" s="4" t="inlineStr">
        <is>
          <t>能源费</t>
        </is>
      </c>
      <c r="D138" s="7" t="n">
        <v>4813.8</v>
      </c>
      <c r="F138" s="7" t="n">
        <v>2895.4</v>
      </c>
      <c r="H138" s="7" t="n">
        <v>5647.7</v>
      </c>
      <c r="J138" s="7" t="n">
        <v>5278.5</v>
      </c>
      <c r="L138" s="7" t="n">
        <v>7553.1</v>
      </c>
      <c r="N138" s="7" t="n">
        <v>3564.9</v>
      </c>
      <c r="P138" s="7" t="n">
        <v>6282.6</v>
      </c>
      <c r="R138" s="7" t="n">
        <v>5110</v>
      </c>
      <c r="T138" s="7" t="n">
        <v>4042.8</v>
      </c>
      <c r="V138" s="7" t="n">
        <v>9401</v>
      </c>
      <c r="X138" s="7" t="n">
        <v>4591.1</v>
      </c>
      <c r="Z138" s="7" t="n">
        <v>2459.5</v>
      </c>
      <c r="AB138" s="7" t="n">
        <v>61640.4</v>
      </c>
    </row>
    <row r="139">
      <c r="A139" s="4" t="inlineStr">
        <is>
          <t>水费</t>
        </is>
      </c>
      <c r="D139" s="7" t="n">
        <v>2287.8</v>
      </c>
      <c r="F139" s="7" t="n">
        <v>1344.8</v>
      </c>
      <c r="H139" s="7" t="n">
        <v>2829.8</v>
      </c>
      <c r="J139" s="7" t="n">
        <v>2412.3</v>
      </c>
      <c r="L139" s="7" t="n">
        <v>3481</v>
      </c>
      <c r="N139" s="7" t="n">
        <v>1522.8</v>
      </c>
      <c r="P139" s="7" t="n">
        <v>2935.4</v>
      </c>
      <c r="R139" s="7" t="n">
        <v>2205.3</v>
      </c>
      <c r="T139" s="7" t="n">
        <v>1883.7</v>
      </c>
      <c r="V139" s="7" t="n">
        <v>5100.1</v>
      </c>
      <c r="X139" s="7" t="n">
        <v>2489.8</v>
      </c>
      <c r="Z139" s="7" t="n">
        <v>1264.5</v>
      </c>
      <c r="AB139" s="7" t="n">
        <v>29757.3</v>
      </c>
    </row>
    <row r="140">
      <c r="A140" s="4" t="inlineStr">
        <is>
          <t>电费</t>
        </is>
      </c>
      <c r="D140" s="7" t="n">
        <v>328.5</v>
      </c>
      <c r="F140" s="7" t="n">
        <v>314.5</v>
      </c>
      <c r="H140" s="7" t="n">
        <v>602</v>
      </c>
      <c r="J140" s="7" t="n">
        <v>575.9</v>
      </c>
      <c r="L140" s="7" t="n">
        <v>690.6</v>
      </c>
      <c r="N140" s="7" t="n">
        <v>408.4</v>
      </c>
      <c r="P140" s="7" t="n">
        <v>888.4</v>
      </c>
      <c r="R140" s="7" t="n">
        <v>431.3</v>
      </c>
      <c r="T140" s="7" t="n">
        <v>390</v>
      </c>
      <c r="V140" s="7" t="n">
        <v>751.6</v>
      </c>
      <c r="X140" s="7" t="n">
        <v>397.8</v>
      </c>
      <c r="Z140" s="7" t="n">
        <v>162.4</v>
      </c>
      <c r="AB140" s="7" t="n">
        <v>5941.4</v>
      </c>
    </row>
    <row r="141">
      <c r="A141" s="4" t="inlineStr">
        <is>
          <t>燃气费</t>
        </is>
      </c>
      <c r="D141" s="7" t="n">
        <v>585.4</v>
      </c>
      <c r="F141" s="7" t="n">
        <v>277.7</v>
      </c>
      <c r="H141" s="7" t="n">
        <v>468.9</v>
      </c>
      <c r="J141" s="7" t="n">
        <v>559.5</v>
      </c>
      <c r="L141" s="7" t="n">
        <v>867.4</v>
      </c>
      <c r="N141" s="7" t="n">
        <v>544.1</v>
      </c>
      <c r="P141" s="7" t="n">
        <v>824.3</v>
      </c>
      <c r="R141" s="7" t="n">
        <v>441.8</v>
      </c>
      <c r="T141" s="7" t="n">
        <v>438.1</v>
      </c>
      <c r="V141" s="7" t="n">
        <v>712.8</v>
      </c>
      <c r="X141" s="7" t="n">
        <v>477.7</v>
      </c>
      <c r="Z141" s="7" t="n">
        <v>235.3</v>
      </c>
      <c r="AB141" s="7" t="n">
        <v>6433</v>
      </c>
    </row>
    <row r="142">
      <c r="A142" s="4" t="inlineStr">
        <is>
          <t>蒸汽费</t>
        </is>
      </c>
      <c r="D142" s="7" t="n">
        <v>1612.1</v>
      </c>
      <c r="F142" s="7" t="n">
        <v>958.4</v>
      </c>
      <c r="H142" s="7" t="n">
        <v>1747</v>
      </c>
      <c r="J142" s="7" t="n">
        <v>1730.8</v>
      </c>
      <c r="L142" s="7" t="n">
        <v>2514.1</v>
      </c>
      <c r="N142" s="7" t="n">
        <v>1089.6</v>
      </c>
      <c r="P142" s="7" t="n">
        <v>1634.5</v>
      </c>
      <c r="R142" s="7" t="n">
        <v>2031.6</v>
      </c>
      <c r="T142" s="7" t="n">
        <v>1331</v>
      </c>
      <c r="V142" s="7" t="n">
        <v>2836.5</v>
      </c>
      <c r="X142" s="7" t="n">
        <v>1225.8</v>
      </c>
      <c r="Z142" s="7" t="n">
        <v>797.3</v>
      </c>
      <c r="AB142" s="7" t="n">
        <v>19508.7</v>
      </c>
    </row>
    <row r="143">
      <c r="A143" s="4" t="inlineStr">
        <is>
          <t>物业费</t>
        </is>
      </c>
      <c r="D143" s="7" t="n">
        <v>1507.7</v>
      </c>
      <c r="F143" s="7" t="n">
        <v>1504.6</v>
      </c>
      <c r="H143" s="7" t="n">
        <v>2920.3</v>
      </c>
      <c r="J143" s="7" t="n">
        <v>2342.6</v>
      </c>
      <c r="L143" s="7" t="n">
        <v>2566.7</v>
      </c>
      <c r="N143" s="7" t="n">
        <v>1985.2</v>
      </c>
      <c r="P143" s="7" t="n">
        <v>3661</v>
      </c>
      <c r="R143" s="7" t="n">
        <v>2022.5</v>
      </c>
      <c r="T143" s="7" t="n">
        <v>2671.6</v>
      </c>
      <c r="V143" s="7" t="n">
        <v>5193.1</v>
      </c>
      <c r="X143" s="7" t="n">
        <v>1767.1</v>
      </c>
      <c r="Z143" s="7" t="n">
        <v>1242.7</v>
      </c>
      <c r="AB143" s="7" t="n">
        <v>29385.1</v>
      </c>
    </row>
    <row r="144">
      <c r="A144" s="4" t="inlineStr">
        <is>
          <t>劳动保护费</t>
        </is>
      </c>
      <c r="D144" s="7" t="n">
        <v>1438.4</v>
      </c>
      <c r="F144" s="7" t="n">
        <v>1393.2</v>
      </c>
      <c r="H144" s="7" t="n">
        <v>1421</v>
      </c>
      <c r="J144" s="7" t="n">
        <v>2584.3</v>
      </c>
      <c r="L144" s="7" t="n">
        <v>2553</v>
      </c>
      <c r="N144" s="7" t="n">
        <v>1260.8</v>
      </c>
      <c r="P144" s="7" t="n">
        <v>2698</v>
      </c>
      <c r="R144" s="7" t="n">
        <v>1920.4</v>
      </c>
      <c r="T144" s="7" t="n">
        <v>1266.3</v>
      </c>
      <c r="V144" s="7" t="n">
        <v>3262.7</v>
      </c>
      <c r="X144" s="7" t="n">
        <v>1789.6</v>
      </c>
      <c r="Z144" s="7" t="n">
        <v>626.2</v>
      </c>
      <c r="AB144" s="7" t="n">
        <v>22213.9</v>
      </c>
    </row>
    <row r="145">
      <c r="A145" s="4" t="inlineStr">
        <is>
          <t>顾问费</t>
        </is>
      </c>
      <c r="D145" s="7" t="n">
        <v>2030.6</v>
      </c>
      <c r="F145" s="7" t="n">
        <v>1425.7</v>
      </c>
      <c r="H145" s="7" t="n">
        <v>2556.8</v>
      </c>
      <c r="J145" s="7" t="n">
        <v>2618.4</v>
      </c>
      <c r="L145" s="7" t="n">
        <v>3668.5</v>
      </c>
      <c r="N145" s="7" t="n">
        <v>1562.6</v>
      </c>
      <c r="P145" s="7" t="n">
        <v>2857.9</v>
      </c>
      <c r="R145" s="7" t="n">
        <v>2567.8</v>
      </c>
      <c r="T145" s="7" t="n">
        <v>2218.6</v>
      </c>
      <c r="V145" s="7" t="n">
        <v>3049.7</v>
      </c>
      <c r="X145" s="7" t="n">
        <v>1758.7</v>
      </c>
      <c r="Z145" s="7" t="n">
        <v>684.8</v>
      </c>
      <c r="AB145" s="7" t="n">
        <v>27000.1</v>
      </c>
    </row>
    <row r="146">
      <c r="A146" s="4" t="inlineStr">
        <is>
          <t>快递费</t>
        </is>
      </c>
      <c r="D146" s="7" t="n">
        <v>303.5</v>
      </c>
      <c r="F146" s="7" t="n">
        <v>278.3</v>
      </c>
      <c r="H146" s="7" t="n">
        <v>344</v>
      </c>
      <c r="J146" s="7" t="n">
        <v>479.4</v>
      </c>
      <c r="L146" s="7" t="n">
        <v>358.7</v>
      </c>
      <c r="N146" s="7" t="n">
        <v>314.4</v>
      </c>
      <c r="P146" s="7" t="n">
        <v>365.2</v>
      </c>
      <c r="R146" s="7" t="n">
        <v>275.1</v>
      </c>
      <c r="T146" s="7" t="n">
        <v>340</v>
      </c>
      <c r="V146" s="7" t="n">
        <v>650</v>
      </c>
      <c r="X146" s="7" t="n">
        <v>390.2</v>
      </c>
      <c r="Z146" s="7" t="n">
        <v>110.2</v>
      </c>
      <c r="AB146" s="7" t="n">
        <v>4209</v>
      </c>
    </row>
    <row r="147">
      <c r="A147" s="4" t="inlineStr">
        <is>
          <t>诉讼费</t>
        </is>
      </c>
      <c r="D147" s="7" t="n">
        <v>2645.2</v>
      </c>
      <c r="F147" s="7" t="n">
        <v>1803.5</v>
      </c>
      <c r="H147" s="7" t="n">
        <v>3254.1</v>
      </c>
      <c r="J147" s="7" t="n">
        <v>5107.2</v>
      </c>
      <c r="L147" s="7" t="n">
        <v>4520.5</v>
      </c>
      <c r="N147" s="7" t="n">
        <v>3614.9</v>
      </c>
      <c r="P147" s="7" t="n">
        <v>3361.9</v>
      </c>
      <c r="R147" s="7" t="n">
        <v>3429.4</v>
      </c>
      <c r="T147" s="7" t="n">
        <v>3579.9</v>
      </c>
      <c r="V147" s="7" t="n">
        <v>5055.6</v>
      </c>
      <c r="X147" s="7" t="n">
        <v>2862.6</v>
      </c>
      <c r="Z147" s="7" t="n">
        <v>1205.6</v>
      </c>
      <c r="AB147" s="7" t="n">
        <v>40440.4</v>
      </c>
    </row>
    <row r="148">
      <c r="A148" s="4" t="inlineStr">
        <is>
          <t>会员费</t>
        </is>
      </c>
      <c r="D148" s="7" t="n">
        <v>1329.5</v>
      </c>
      <c r="F148" s="7" t="n">
        <v>1510.7</v>
      </c>
      <c r="H148" s="7" t="n">
        <v>3032.1</v>
      </c>
      <c r="J148" s="7" t="n">
        <v>2571.7</v>
      </c>
      <c r="L148" s="7" t="n">
        <v>3430.4</v>
      </c>
      <c r="N148" s="7" t="n">
        <v>1963.6</v>
      </c>
      <c r="P148" s="7" t="n">
        <v>2534.4</v>
      </c>
      <c r="R148" s="7" t="n">
        <v>2806.2</v>
      </c>
      <c r="T148" s="7" t="n">
        <v>1975</v>
      </c>
      <c r="V148" s="7" t="n">
        <v>2889</v>
      </c>
      <c r="X148" s="7" t="n">
        <v>2471</v>
      </c>
      <c r="Z148" s="7" t="n">
        <v>990.9</v>
      </c>
      <c r="AB148" s="7" t="n">
        <v>27504.5</v>
      </c>
    </row>
    <row r="149">
      <c r="A149" s="4" t="inlineStr">
        <is>
          <t>广告宣传费</t>
        </is>
      </c>
      <c r="D149" s="7" t="n">
        <v>20430.4</v>
      </c>
      <c r="F149" s="7" t="n">
        <v>15171.6</v>
      </c>
      <c r="H149" s="7" t="n">
        <v>24455.3</v>
      </c>
      <c r="J149" s="7" t="n">
        <v>35197.4</v>
      </c>
      <c r="L149" s="7" t="n">
        <v>30508.1</v>
      </c>
      <c r="N149" s="7" t="n">
        <v>18364.3</v>
      </c>
      <c r="P149" s="7" t="n">
        <v>32208.3</v>
      </c>
      <c r="R149" s="7" t="n">
        <v>31715.9</v>
      </c>
      <c r="T149" s="7" t="n">
        <v>21195.7</v>
      </c>
      <c r="V149" s="7" t="n">
        <v>34238.3</v>
      </c>
      <c r="X149" s="7" t="n">
        <v>28637.5</v>
      </c>
      <c r="Z149" s="7" t="n">
        <v>8029.1</v>
      </c>
      <c r="AB149" s="7" t="n">
        <v>300151.9</v>
      </c>
    </row>
    <row r="150">
      <c r="A150" s="4" t="inlineStr">
        <is>
          <t>会务费</t>
        </is>
      </c>
      <c r="D150" s="7" t="n">
        <v>82.2</v>
      </c>
      <c r="F150" s="7" t="n">
        <v>107.6</v>
      </c>
      <c r="H150" s="7" t="n">
        <v>138.8</v>
      </c>
      <c r="J150" s="7" t="n">
        <v>204.5</v>
      </c>
      <c r="L150" s="7" t="n">
        <v>133.9</v>
      </c>
      <c r="N150" s="7" t="n">
        <v>149.2</v>
      </c>
      <c r="P150" s="7" t="n">
        <v>179.9</v>
      </c>
      <c r="R150" s="7" t="n">
        <v>115.4</v>
      </c>
      <c r="T150" s="7" t="n">
        <v>110.5</v>
      </c>
      <c r="V150" s="7" t="n">
        <v>211.3</v>
      </c>
      <c r="X150" s="7" t="n">
        <v>124.7</v>
      </c>
      <c r="Z150" s="7" t="n">
        <v>60.7</v>
      </c>
      <c r="AB150" s="7" t="n">
        <v>1618.7</v>
      </c>
    </row>
    <row r="151">
      <c r="A151" s="4" t="inlineStr">
        <is>
          <t>装修费</t>
        </is>
      </c>
      <c r="D151" s="7" t="n">
        <v>1083.5</v>
      </c>
      <c r="F151" s="7" t="n">
        <v>830.7</v>
      </c>
      <c r="H151" s="7" t="n">
        <v>1673.7</v>
      </c>
      <c r="J151" s="7" t="n">
        <v>1161.4</v>
      </c>
      <c r="L151" s="7" t="n">
        <v>1452.1</v>
      </c>
      <c r="N151" s="7" t="n">
        <v>959.6</v>
      </c>
      <c r="P151" s="7" t="n">
        <v>1244.8</v>
      </c>
      <c r="R151" s="7" t="n">
        <v>1198.8</v>
      </c>
      <c r="T151" s="7" t="n">
        <v>1046.8</v>
      </c>
      <c r="V151" s="7" t="n">
        <v>2475.8</v>
      </c>
      <c r="X151" s="7" t="n">
        <v>1253.8</v>
      </c>
      <c r="Z151" s="7" t="n">
        <v>604.3</v>
      </c>
      <c r="AB151" s="7" t="n">
        <v>14985.3</v>
      </c>
    </row>
    <row r="152">
      <c r="A152" s="4" t="inlineStr">
        <is>
          <t>推广费</t>
        </is>
      </c>
      <c r="D152" s="7" t="n">
        <v>1197.4</v>
      </c>
      <c r="F152" s="7" t="n">
        <v>892.2</v>
      </c>
      <c r="H152" s="7" t="n">
        <v>1867.6</v>
      </c>
      <c r="J152" s="7" t="n">
        <v>1567.5</v>
      </c>
      <c r="L152" s="7" t="n">
        <v>1654.3</v>
      </c>
      <c r="N152" s="7" t="n">
        <v>1194.7</v>
      </c>
      <c r="P152" s="7" t="n">
        <v>2231.4</v>
      </c>
      <c r="R152" s="7" t="n">
        <v>1095.3</v>
      </c>
      <c r="T152" s="7" t="n">
        <v>1275.5</v>
      </c>
      <c r="V152" s="7" t="n">
        <v>1973.3</v>
      </c>
      <c r="X152" s="7" t="n">
        <v>1299.2</v>
      </c>
      <c r="Z152" s="7" t="n">
        <v>607.7</v>
      </c>
      <c r="AB152" s="7" t="n">
        <v>16856.1</v>
      </c>
    </row>
    <row r="153">
      <c r="A153" s="4" t="inlineStr">
        <is>
          <t>展会费</t>
        </is>
      </c>
      <c r="D153" s="7" t="n">
        <v>1458.5</v>
      </c>
      <c r="F153" s="7" t="n">
        <v>990.7</v>
      </c>
      <c r="H153" s="7" t="n">
        <v>1770.9</v>
      </c>
      <c r="J153" s="7" t="n">
        <v>2150.3</v>
      </c>
      <c r="L153" s="7" t="n">
        <v>2725.1</v>
      </c>
      <c r="N153" s="7" t="n">
        <v>1709.1</v>
      </c>
      <c r="P153" s="7" t="n">
        <v>2887.8</v>
      </c>
      <c r="R153" s="7" t="n">
        <v>1874.8</v>
      </c>
      <c r="T153" s="7" t="n">
        <v>1282.4</v>
      </c>
      <c r="V153" s="7" t="n">
        <v>2030.6</v>
      </c>
      <c r="X153" s="7" t="n">
        <v>2143.6</v>
      </c>
      <c r="Z153" s="7" t="n">
        <v>628.6</v>
      </c>
      <c r="AB153" s="7" t="n">
        <v>21652.4</v>
      </c>
    </row>
    <row r="154">
      <c r="A154" s="4" t="inlineStr">
        <is>
          <t>设计费</t>
        </is>
      </c>
      <c r="D154" s="7" t="n">
        <v>1040.1</v>
      </c>
      <c r="F154" s="7" t="n">
        <v>542.2</v>
      </c>
      <c r="H154" s="7" t="n">
        <v>1478.2</v>
      </c>
      <c r="J154" s="7" t="n">
        <v>1084.7</v>
      </c>
      <c r="L154" s="7" t="n">
        <v>1353.4</v>
      </c>
      <c r="N154" s="7" t="n">
        <v>718.1</v>
      </c>
      <c r="P154" s="7" t="n">
        <v>1883.6</v>
      </c>
      <c r="R154" s="7" t="n">
        <v>1202.9</v>
      </c>
      <c r="T154" s="7" t="n">
        <v>807.6</v>
      </c>
      <c r="V154" s="7" t="n">
        <v>2183.2</v>
      </c>
      <c r="X154" s="7" t="n">
        <v>1198.8</v>
      </c>
      <c r="Z154" s="7" t="n">
        <v>391.5</v>
      </c>
      <c r="AB154" s="7" t="n">
        <v>13884.3</v>
      </c>
    </row>
    <row r="155">
      <c r="A155" s="4" t="inlineStr">
        <is>
          <t>折旧费</t>
        </is>
      </c>
      <c r="D155" s="7" t="n">
        <v>28987.3</v>
      </c>
      <c r="F155" s="7" t="n">
        <v>18608.3</v>
      </c>
      <c r="H155" s="7" t="n">
        <v>33878.3</v>
      </c>
      <c r="J155" s="7" t="n">
        <v>31737</v>
      </c>
      <c r="L155" s="7" t="n">
        <v>38140</v>
      </c>
      <c r="N155" s="7" t="n">
        <v>28156.5</v>
      </c>
      <c r="P155" s="7" t="n">
        <v>41872.6</v>
      </c>
      <c r="R155" s="7" t="n">
        <v>38184.3</v>
      </c>
      <c r="T155" s="7" t="n">
        <v>21347.2</v>
      </c>
      <c r="V155" s="7" t="n">
        <v>35611.2</v>
      </c>
      <c r="X155" s="7" t="n">
        <v>33296.5</v>
      </c>
      <c r="Z155" s="7" t="n">
        <v>14608.8</v>
      </c>
      <c r="AB155" s="7" t="n">
        <v>364428</v>
      </c>
    </row>
    <row r="156">
      <c r="A156" s="4" t="inlineStr">
        <is>
          <t>认证费</t>
        </is>
      </c>
      <c r="D156" s="7" t="n">
        <v>1918.9</v>
      </c>
      <c r="F156" s="7" t="n">
        <v>2341.9</v>
      </c>
      <c r="H156" s="7" t="n">
        <v>3583.4</v>
      </c>
      <c r="J156" s="7" t="n">
        <v>3588</v>
      </c>
      <c r="L156" s="7" t="n">
        <v>4836.2</v>
      </c>
      <c r="N156" s="7" t="n">
        <v>2525.5</v>
      </c>
      <c r="P156" s="7" t="n">
        <v>4353.7</v>
      </c>
      <c r="R156" s="7" t="n">
        <v>3621.5</v>
      </c>
      <c r="T156" s="7" t="n">
        <v>2398</v>
      </c>
      <c r="V156" s="7" t="n">
        <v>4923.1</v>
      </c>
      <c r="X156" s="7" t="n">
        <v>3019.7</v>
      </c>
      <c r="Z156" s="7" t="n">
        <v>1149.7</v>
      </c>
      <c r="AB156" s="7" t="n">
        <v>38259.6</v>
      </c>
    </row>
    <row r="157">
      <c r="A157" s="4" t="inlineStr">
        <is>
          <t>样品费</t>
        </is>
      </c>
      <c r="D157" s="7" t="n">
        <v>11258.9</v>
      </c>
      <c r="F157" s="7" t="n">
        <v>7645.4</v>
      </c>
      <c r="H157" s="7" t="n">
        <v>13073.4</v>
      </c>
      <c r="J157" s="7" t="n">
        <v>21502.3</v>
      </c>
      <c r="L157" s="7" t="n">
        <v>17829.9</v>
      </c>
      <c r="N157" s="7" t="n">
        <v>12588.6</v>
      </c>
      <c r="P157" s="7" t="n">
        <v>19197</v>
      </c>
      <c r="R157" s="7" t="n">
        <v>19752.6</v>
      </c>
      <c r="T157" s="7" t="n">
        <v>9753.200000000001</v>
      </c>
      <c r="V157" s="7" t="n">
        <v>20584.1</v>
      </c>
      <c r="X157" s="7" t="n">
        <v>14058.5</v>
      </c>
      <c r="Z157" s="7" t="n">
        <v>7164</v>
      </c>
      <c r="AB157" s="7" t="n">
        <v>174407.9</v>
      </c>
    </row>
    <row r="158">
      <c r="A158" s="4" t="inlineStr">
        <is>
          <t>劳务费</t>
        </is>
      </c>
      <c r="D158" s="7" t="n">
        <v>2216.9</v>
      </c>
      <c r="F158" s="7" t="n">
        <v>2178.2</v>
      </c>
      <c r="H158" s="7" t="n">
        <v>3306.1</v>
      </c>
      <c r="J158" s="7" t="n">
        <v>3148.5</v>
      </c>
      <c r="L158" s="7" t="n">
        <v>3497.7</v>
      </c>
      <c r="N158" s="7" t="n">
        <v>2350.6</v>
      </c>
      <c r="P158" s="7" t="n">
        <v>5458.5</v>
      </c>
      <c r="R158" s="7" t="n">
        <v>3417</v>
      </c>
      <c r="T158" s="7" t="n">
        <v>2897.2</v>
      </c>
      <c r="V158" s="7" t="n">
        <v>5100.1</v>
      </c>
      <c r="X158" s="7" t="n">
        <v>3420</v>
      </c>
      <c r="Z158" s="7" t="n">
        <v>917.7</v>
      </c>
      <c r="AB158" s="7" t="n">
        <v>37908.5</v>
      </c>
    </row>
    <row r="159">
      <c r="A159" s="4" t="inlineStr">
        <is>
          <t>销售佣金</t>
        </is>
      </c>
      <c r="D159" s="7" t="n">
        <v>500.7</v>
      </c>
      <c r="F159" s="7" t="n">
        <v>433.1</v>
      </c>
      <c r="H159" s="7" t="n">
        <v>1021.7</v>
      </c>
      <c r="J159" s="7" t="n">
        <v>1107.3</v>
      </c>
      <c r="L159" s="7" t="n">
        <v>852.7</v>
      </c>
      <c r="N159" s="7" t="n">
        <v>829</v>
      </c>
      <c r="P159" s="7" t="n">
        <v>1438.7</v>
      </c>
      <c r="R159" s="7" t="n">
        <v>854.1</v>
      </c>
      <c r="T159" s="7" t="n">
        <v>491.2</v>
      </c>
      <c r="V159" s="7" t="n">
        <v>1590.4</v>
      </c>
      <c r="X159" s="7" t="n">
        <v>581.7</v>
      </c>
      <c r="Z159" s="7" t="n">
        <v>332.5</v>
      </c>
      <c r="AB159" s="7" t="n">
        <v>10033.1</v>
      </c>
    </row>
    <row r="160">
      <c r="A160" s="4" t="inlineStr">
        <is>
          <t>检测费</t>
        </is>
      </c>
      <c r="D160" s="7" t="n">
        <v>4322.5</v>
      </c>
      <c r="F160" s="7" t="n">
        <v>2602.5</v>
      </c>
      <c r="H160" s="7" t="n">
        <v>4318</v>
      </c>
      <c r="J160" s="7" t="n">
        <v>6021.5</v>
      </c>
      <c r="L160" s="7" t="n">
        <v>4343.8</v>
      </c>
      <c r="N160" s="7" t="n">
        <v>4713.6</v>
      </c>
      <c r="P160" s="7" t="n">
        <v>6948.4</v>
      </c>
      <c r="R160" s="7" t="n">
        <v>3676.5</v>
      </c>
      <c r="T160" s="7" t="n">
        <v>2880</v>
      </c>
      <c r="V160" s="7" t="n">
        <v>8120.1</v>
      </c>
      <c r="X160" s="7" t="n">
        <v>5314.6</v>
      </c>
      <c r="Z160" s="7" t="n">
        <v>1728.1</v>
      </c>
      <c r="AB160" s="7" t="n">
        <v>54989.6</v>
      </c>
    </row>
    <row r="161">
      <c r="A161" s="4" t="inlineStr">
        <is>
          <t>质量赔偿</t>
        </is>
      </c>
      <c r="D161" s="7" t="n">
        <v>4230.3</v>
      </c>
      <c r="F161" s="7" t="n">
        <v>3317.2</v>
      </c>
      <c r="H161" s="7" t="n">
        <v>3826.7</v>
      </c>
      <c r="J161" s="7" t="n">
        <v>6473.1</v>
      </c>
      <c r="L161" s="7" t="n">
        <v>4640.6</v>
      </c>
      <c r="N161" s="7" t="n">
        <v>2752.8</v>
      </c>
      <c r="P161" s="7" t="n">
        <v>6932.1</v>
      </c>
      <c r="R161" s="7" t="n">
        <v>4021.9</v>
      </c>
      <c r="T161" s="7" t="n">
        <v>3770.4</v>
      </c>
      <c r="V161" s="7" t="n">
        <v>6355.7</v>
      </c>
      <c r="X161" s="7" t="n">
        <v>4633.9</v>
      </c>
      <c r="Z161" s="7" t="n">
        <v>1372.2</v>
      </c>
      <c r="AB161" s="7" t="n">
        <v>52326.9</v>
      </c>
    </row>
    <row r="162">
      <c r="A162" s="4" t="inlineStr">
        <is>
          <t>保险费</t>
        </is>
      </c>
      <c r="D162" s="7" t="n">
        <v>1336.7</v>
      </c>
      <c r="F162" s="7" t="n">
        <v>1082.1</v>
      </c>
      <c r="H162" s="7" t="n">
        <v>2940.2</v>
      </c>
      <c r="J162" s="7" t="n">
        <v>2585.5</v>
      </c>
      <c r="L162" s="7" t="n">
        <v>2394.6</v>
      </c>
      <c r="N162" s="7" t="n">
        <v>1913.2</v>
      </c>
      <c r="P162" s="7" t="n">
        <v>2969.3</v>
      </c>
      <c r="R162" s="7" t="n">
        <v>2113.9</v>
      </c>
      <c r="T162" s="7" t="n">
        <v>2323.5</v>
      </c>
      <c r="V162" s="7" t="n">
        <v>3089.1</v>
      </c>
      <c r="X162" s="7" t="n">
        <v>1963.1</v>
      </c>
      <c r="Z162" s="7" t="n">
        <v>922.9</v>
      </c>
      <c r="AB162" s="7" t="n">
        <v>25634.1</v>
      </c>
    </row>
    <row r="163">
      <c r="A163" s="4" t="inlineStr">
        <is>
          <t>清洁费</t>
        </is>
      </c>
      <c r="D163" s="7" t="n">
        <v>4752.6</v>
      </c>
      <c r="F163" s="7" t="n">
        <v>3864.7</v>
      </c>
      <c r="H163" s="7" t="n">
        <v>4795.4</v>
      </c>
      <c r="J163" s="7" t="n">
        <v>6902.6</v>
      </c>
      <c r="L163" s="7" t="n">
        <v>7631.8</v>
      </c>
      <c r="N163" s="7" t="n">
        <v>2947.8</v>
      </c>
      <c r="P163" s="7" t="n">
        <v>8709</v>
      </c>
      <c r="R163" s="7" t="n">
        <v>5537.6</v>
      </c>
      <c r="T163" s="7" t="n">
        <v>5024.8</v>
      </c>
      <c r="V163" s="7" t="n">
        <v>8677.5</v>
      </c>
      <c r="X163" s="7" t="n">
        <v>5926.1</v>
      </c>
      <c r="Z163" s="7" t="n">
        <v>2111.5</v>
      </c>
      <c r="AB163" s="7" t="n">
        <v>66881.39999999999</v>
      </c>
    </row>
    <row r="164">
      <c r="A164" s="4" t="inlineStr">
        <is>
          <t>低值易耗品</t>
        </is>
      </c>
      <c r="D164" s="7" t="n">
        <v>2674.8</v>
      </c>
      <c r="F164" s="7" t="n">
        <v>2586.5</v>
      </c>
      <c r="H164" s="7" t="n">
        <v>3788.7</v>
      </c>
      <c r="J164" s="7" t="n">
        <v>6381.3</v>
      </c>
      <c r="L164" s="7" t="n">
        <v>4808</v>
      </c>
      <c r="N164" s="7" t="n">
        <v>4021.6</v>
      </c>
      <c r="P164" s="7" t="n">
        <v>4307.6</v>
      </c>
      <c r="R164" s="7" t="n">
        <v>5202.5</v>
      </c>
      <c r="T164" s="7" t="n">
        <v>4147.7</v>
      </c>
      <c r="V164" s="7" t="n">
        <v>6041.9</v>
      </c>
      <c r="X164" s="7" t="n">
        <v>4781</v>
      </c>
      <c r="Z164" s="7" t="n">
        <v>1451.8</v>
      </c>
      <c r="AB164" s="7" t="n">
        <v>50193.4</v>
      </c>
    </row>
    <row r="165">
      <c r="A165" s="4" t="inlineStr">
        <is>
          <t>物料消耗</t>
        </is>
      </c>
      <c r="D165" s="7" t="n">
        <v>3353.8</v>
      </c>
      <c r="F165" s="7" t="n">
        <v>2344.3</v>
      </c>
      <c r="H165" s="7" t="n">
        <v>6331.5</v>
      </c>
      <c r="J165" s="7" t="n">
        <v>5220</v>
      </c>
      <c r="L165" s="7" t="n">
        <v>5366.9</v>
      </c>
      <c r="N165" s="7" t="n">
        <v>5182.7</v>
      </c>
      <c r="P165" s="7" t="n">
        <v>8630.700000000001</v>
      </c>
      <c r="R165" s="7" t="n">
        <v>5703</v>
      </c>
      <c r="T165" s="7" t="n">
        <v>5197.9</v>
      </c>
      <c r="V165" s="7" t="n">
        <v>9313.200000000001</v>
      </c>
      <c r="X165" s="7" t="n">
        <v>4490.3</v>
      </c>
      <c r="Z165" s="7" t="n">
        <v>1385.6</v>
      </c>
      <c r="AB165" s="7" t="n">
        <v>62519.9</v>
      </c>
    </row>
    <row r="166">
      <c r="A166" s="4" t="inlineStr">
        <is>
          <t>盘盈盘亏</t>
        </is>
      </c>
      <c r="D166" s="7" t="n">
        <v>4157.2</v>
      </c>
      <c r="F166" s="7" t="n">
        <v>3481.8</v>
      </c>
      <c r="H166" s="7" t="n">
        <v>4617.9</v>
      </c>
      <c r="J166" s="7" t="n">
        <v>5210.1</v>
      </c>
      <c r="L166" s="7" t="n">
        <v>6932.7</v>
      </c>
      <c r="N166" s="7" t="n">
        <v>4205.7</v>
      </c>
      <c r="P166" s="7" t="n">
        <v>7502.6</v>
      </c>
      <c r="R166" s="7" t="n">
        <v>5583.3</v>
      </c>
      <c r="T166" s="7" t="n">
        <v>4481.1</v>
      </c>
      <c r="V166" s="7" t="n">
        <v>7959.7</v>
      </c>
      <c r="X166" s="7" t="n">
        <v>4231.2</v>
      </c>
      <c r="Z166" s="7" t="n">
        <v>1552.7</v>
      </c>
      <c r="AB166" s="7" t="n">
        <v>59916</v>
      </c>
    </row>
    <row r="167">
      <c r="A167" s="4" t="inlineStr">
        <is>
          <t>平台服务费</t>
        </is>
      </c>
      <c r="D167" s="7" t="n">
        <v>2874.8</v>
      </c>
      <c r="F167" s="7" t="n">
        <v>2186.9</v>
      </c>
      <c r="H167" s="7" t="n">
        <v>3174.2</v>
      </c>
      <c r="J167" s="7" t="n">
        <v>2736.8</v>
      </c>
      <c r="L167" s="7" t="n">
        <v>2924.4</v>
      </c>
      <c r="N167" s="7" t="n">
        <v>2805.1</v>
      </c>
      <c r="P167" s="7" t="n">
        <v>4584.6</v>
      </c>
      <c r="R167" s="7" t="n">
        <v>3822.9</v>
      </c>
      <c r="T167" s="7" t="n">
        <v>2037.5</v>
      </c>
      <c r="V167" s="7" t="n">
        <v>4648.1</v>
      </c>
      <c r="X167" s="7" t="n">
        <v>3154.7</v>
      </c>
      <c r="Z167" s="7" t="n">
        <v>1051.9</v>
      </c>
      <c r="AB167" s="7" t="n">
        <v>36001.9</v>
      </c>
    </row>
    <row r="168">
      <c r="A168" s="4" t="inlineStr">
        <is>
          <t>无形资产摊销</t>
        </is>
      </c>
      <c r="D168" s="7" t="n">
        <v>262.6</v>
      </c>
      <c r="F168" s="7" t="n">
        <v>263.9</v>
      </c>
      <c r="H168" s="7" t="n">
        <v>571.7</v>
      </c>
      <c r="J168" s="7" t="n">
        <v>625.2</v>
      </c>
      <c r="L168" s="7" t="n">
        <v>632.4</v>
      </c>
      <c r="N168" s="7" t="n">
        <v>426.6</v>
      </c>
      <c r="P168" s="7" t="n">
        <v>645.5</v>
      </c>
      <c r="R168" s="7" t="n">
        <v>522.5</v>
      </c>
      <c r="T168" s="7" t="n">
        <v>317.4</v>
      </c>
      <c r="V168" s="7" t="n">
        <v>666.3</v>
      </c>
      <c r="X168" s="7" t="n">
        <v>456.5</v>
      </c>
      <c r="Z168" s="7" t="n">
        <v>138.5</v>
      </c>
      <c r="AB168" s="7" t="n">
        <v>5529.1</v>
      </c>
    </row>
    <row r="169">
      <c r="A169" s="4" t="inlineStr">
        <is>
          <t>研发材料</t>
        </is>
      </c>
      <c r="D169" s="7" t="n">
        <v>3304.4</v>
      </c>
      <c r="F169" s="7" t="n">
        <v>2577.8</v>
      </c>
      <c r="H169" s="7" t="n">
        <v>3054.5</v>
      </c>
      <c r="J169" s="7" t="n">
        <v>4137.9</v>
      </c>
      <c r="L169" s="7" t="n">
        <v>3694.5</v>
      </c>
      <c r="N169" s="7" t="n">
        <v>3618.5</v>
      </c>
      <c r="P169" s="7" t="n">
        <v>6150.9</v>
      </c>
      <c r="R169" s="7" t="n">
        <v>4572.9</v>
      </c>
      <c r="T169" s="7" t="n">
        <v>2484.2</v>
      </c>
      <c r="V169" s="7" t="n">
        <v>7160.7</v>
      </c>
      <c r="X169" s="7" t="n">
        <v>4193.5</v>
      </c>
      <c r="Z169" s="7" t="n">
        <v>1471.5</v>
      </c>
      <c r="AB169" s="7" t="n">
        <v>46421.3</v>
      </c>
    </row>
    <row r="170">
      <c r="A170" s="4" t="inlineStr">
        <is>
          <t>项目名称</t>
        </is>
      </c>
      <c r="D170" s="7" t="n">
        <v>3132.9</v>
      </c>
      <c r="F170" s="7" t="n">
        <v>2558.3</v>
      </c>
      <c r="H170" s="7" t="n">
        <v>2783.4</v>
      </c>
      <c r="J170" s="7" t="n">
        <v>4455.7</v>
      </c>
      <c r="L170" s="7" t="n">
        <v>3334.8</v>
      </c>
      <c r="N170" s="7" t="n">
        <v>2530.9</v>
      </c>
      <c r="P170" s="7" t="n">
        <v>4236.8</v>
      </c>
      <c r="R170" s="7" t="n">
        <v>2899.7</v>
      </c>
      <c r="T170" s="7" t="n">
        <v>2043.9</v>
      </c>
      <c r="V170" s="7" t="n">
        <v>4736.3</v>
      </c>
      <c r="X170" s="7" t="n">
        <v>3866.5</v>
      </c>
      <c r="Z170" s="7" t="n">
        <v>949.5</v>
      </c>
      <c r="AB170" s="7" t="n">
        <v>37528.7</v>
      </c>
    </row>
    <row r="171">
      <c r="A171" s="4" t="inlineStr">
        <is>
          <t>研发费</t>
        </is>
      </c>
      <c r="D171" s="7" t="n">
        <v>2775.4</v>
      </c>
      <c r="F171" s="7" t="n">
        <v>2859.6</v>
      </c>
      <c r="H171" s="7" t="n">
        <v>3789.2</v>
      </c>
      <c r="J171" s="7" t="n">
        <v>5034</v>
      </c>
      <c r="L171" s="7" t="n">
        <v>3680.3</v>
      </c>
      <c r="N171" s="7" t="n">
        <v>3480.9</v>
      </c>
      <c r="P171" s="7" t="n">
        <v>4132.7</v>
      </c>
      <c r="R171" s="7" t="n">
        <v>4727.7</v>
      </c>
      <c r="T171" s="7" t="n">
        <v>3637.5</v>
      </c>
      <c r="V171" s="7" t="n">
        <v>5148.4</v>
      </c>
      <c r="X171" s="7" t="n">
        <v>3483.6</v>
      </c>
      <c r="Z171" s="7" t="n">
        <v>1099.8</v>
      </c>
      <c r="AB171" s="7" t="n">
        <v>43849.1</v>
      </c>
    </row>
    <row r="172">
      <c r="A172" s="4" t="inlineStr">
        <is>
          <t>残保金</t>
        </is>
      </c>
      <c r="D172" s="7" t="n">
        <v>3648</v>
      </c>
      <c r="F172" s="7" t="n">
        <v>3530.6</v>
      </c>
      <c r="H172" s="7" t="n">
        <v>4039.8</v>
      </c>
      <c r="J172" s="7" t="n">
        <v>6010.7</v>
      </c>
      <c r="L172" s="7" t="n">
        <v>5408.9</v>
      </c>
      <c r="N172" s="7" t="n">
        <v>3475.2</v>
      </c>
      <c r="P172" s="7" t="n">
        <v>4763.1</v>
      </c>
      <c r="R172" s="7" t="n">
        <v>4046.1</v>
      </c>
      <c r="T172" s="7" t="n">
        <v>3177.4</v>
      </c>
      <c r="V172" s="7" t="n">
        <v>7526</v>
      </c>
      <c r="X172" s="7" t="n">
        <v>5184.2</v>
      </c>
      <c r="Z172" s="7" t="n">
        <v>1552.5</v>
      </c>
      <c r="AB172" s="7" t="n">
        <v>52362.5</v>
      </c>
    </row>
    <row r="173">
      <c r="A173" s="4" t="inlineStr">
        <is>
          <t>环保费</t>
        </is>
      </c>
      <c r="D173" s="7" t="n">
        <v>2680.8</v>
      </c>
      <c r="F173" s="7" t="n">
        <v>1535.9</v>
      </c>
      <c r="H173" s="7" t="n">
        <v>2894.6</v>
      </c>
      <c r="J173" s="7" t="n">
        <v>3880.9</v>
      </c>
      <c r="L173" s="7" t="n">
        <v>5071.1</v>
      </c>
      <c r="N173" s="7" t="n">
        <v>3267.6</v>
      </c>
      <c r="P173" s="7" t="n">
        <v>5451.3</v>
      </c>
      <c r="R173" s="7" t="n">
        <v>4161.3</v>
      </c>
      <c r="T173" s="7" t="n">
        <v>3382</v>
      </c>
      <c r="V173" s="7" t="n">
        <v>4795.5</v>
      </c>
      <c r="X173" s="7" t="n">
        <v>2520.5</v>
      </c>
      <c r="Z173" s="7" t="n">
        <v>989.5</v>
      </c>
      <c r="AB173" s="7" t="n">
        <v>40631</v>
      </c>
    </row>
    <row r="174">
      <c r="A174" s="4" t="inlineStr">
        <is>
          <t>报废损失</t>
        </is>
      </c>
      <c r="D174" s="7" t="n">
        <v>1124.9</v>
      </c>
      <c r="F174" s="7" t="n">
        <v>1317.1</v>
      </c>
      <c r="H174" s="7" t="n">
        <v>2343.5</v>
      </c>
      <c r="J174" s="7" t="n">
        <v>2668.5</v>
      </c>
      <c r="L174" s="7" t="n">
        <v>2830.6</v>
      </c>
      <c r="N174" s="7" t="n">
        <v>1513.5</v>
      </c>
      <c r="P174" s="7" t="n">
        <v>2701</v>
      </c>
      <c r="R174" s="7" t="n">
        <v>1308.6</v>
      </c>
      <c r="T174" s="7" t="n">
        <v>1228</v>
      </c>
      <c r="V174" s="7" t="n">
        <v>2928.6</v>
      </c>
      <c r="X174" s="7" t="n">
        <v>1427.5</v>
      </c>
      <c r="Z174" s="7" t="n">
        <v>613.3</v>
      </c>
      <c r="AB174" s="7" t="n">
        <v>22005.1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300820.5</v>
      </c>
      <c r="D175" s="7" t="n">
        <v>174155.5</v>
      </c>
      <c r="E175" s="7" t="n">
        <v>293409.5</v>
      </c>
      <c r="F175" s="7" t="n">
        <v>372442.9</v>
      </c>
      <c r="G175" s="7" t="n">
        <v>301945.1</v>
      </c>
      <c r="H175" s="7" t="n">
        <v>314850.6</v>
      </c>
      <c r="I175" s="7" t="n">
        <v>377789</v>
      </c>
      <c r="J175" s="7" t="n">
        <v>386498.7</v>
      </c>
      <c r="K175" s="7" t="n">
        <v>374028.9</v>
      </c>
      <c r="L175" s="7" t="n">
        <v>279148.8</v>
      </c>
      <c r="M175" s="7" t="n">
        <v>365159.7</v>
      </c>
      <c r="N175" s="7" t="n">
        <v>407958.5</v>
      </c>
      <c r="O175" s="7" t="n">
        <v>383352</v>
      </c>
      <c r="P175" s="7" t="n">
        <v>658646.6</v>
      </c>
      <c r="Q175" s="7" t="n">
        <v>317755.5</v>
      </c>
      <c r="R175" s="7" t="n">
        <v>533403.4</v>
      </c>
      <c r="S175" s="7" t="n">
        <v>378325</v>
      </c>
      <c r="T175" s="7" t="n">
        <v>182105.4</v>
      </c>
      <c r="U175" s="7" t="n">
        <v>351405.2</v>
      </c>
      <c r="V175" s="7" t="n">
        <v>317743</v>
      </c>
      <c r="W175" s="7" t="n">
        <v>366560.8</v>
      </c>
      <c r="X175" s="7" t="n">
        <v>317621.9</v>
      </c>
      <c r="Y175" s="7" t="n">
        <v>315801</v>
      </c>
      <c r="Z175" s="7" t="n">
        <v>134103.8</v>
      </c>
      <c r="AA175" s="8" t="n">
        <v>4126352.2</v>
      </c>
      <c r="AB175" s="8" t="n">
        <v>4078679.1</v>
      </c>
    </row>
    <row r="176">
      <c r="A176" s="4" t="inlineStr">
        <is>
          <t>职工薪酬</t>
        </is>
      </c>
      <c r="D176" s="7" t="n">
        <v>77750.60000000001</v>
      </c>
      <c r="F176" s="7" t="n">
        <v>166289.6</v>
      </c>
      <c r="H176" s="7" t="n">
        <v>163142.3</v>
      </c>
      <c r="J176" s="7" t="n">
        <v>193106.5</v>
      </c>
      <c r="L176" s="7" t="n">
        <v>164239.7</v>
      </c>
      <c r="N176" s="7" t="n">
        <v>232998.3</v>
      </c>
      <c r="P176" s="7" t="n">
        <v>294954.7</v>
      </c>
      <c r="R176" s="7" t="n">
        <v>237501.8</v>
      </c>
      <c r="T176" s="7" t="n">
        <v>105019.8</v>
      </c>
      <c r="V176" s="7" t="n">
        <v>164584.1</v>
      </c>
      <c r="X176" s="7" t="n">
        <v>160732</v>
      </c>
      <c r="Z176" s="7" t="n">
        <v>80306.8</v>
      </c>
      <c r="AB176" s="7" t="n">
        <v>2040626.2</v>
      </c>
    </row>
    <row r="177">
      <c r="A177" s="4" t="inlineStr">
        <is>
          <t>工资</t>
        </is>
      </c>
      <c r="D177" s="7" t="n">
        <v>37696.9</v>
      </c>
      <c r="F177" s="7" t="n">
        <v>95658.39999999999</v>
      </c>
      <c r="H177" s="7" t="n">
        <v>106127.7</v>
      </c>
      <c r="J177" s="7" t="n">
        <v>111527.1</v>
      </c>
      <c r="L177" s="7" t="n">
        <v>108626.9</v>
      </c>
      <c r="N177" s="7" t="n">
        <v>153758.4</v>
      </c>
      <c r="P177" s="7" t="n">
        <v>143151.9</v>
      </c>
      <c r="R177" s="7" t="n">
        <v>146245.1</v>
      </c>
      <c r="T177" s="7" t="n">
        <v>61483.4</v>
      </c>
      <c r="V177" s="7" t="n">
        <v>94476.39999999999</v>
      </c>
      <c r="X177" s="7" t="n">
        <v>94885.7</v>
      </c>
      <c r="Z177" s="7" t="n">
        <v>48579.2</v>
      </c>
      <c r="AB177" s="7" t="n">
        <v>1202217.1</v>
      </c>
    </row>
    <row r="178">
      <c r="A178" s="4" t="inlineStr">
        <is>
          <t>奖金及提成</t>
        </is>
      </c>
      <c r="D178" s="7" t="n">
        <v>21249.2</v>
      </c>
      <c r="F178" s="7" t="n">
        <v>28834.3</v>
      </c>
      <c r="H178" s="7" t="n">
        <v>23807.3</v>
      </c>
      <c r="J178" s="7" t="n">
        <v>47187.8</v>
      </c>
      <c r="L178" s="7" t="n">
        <v>22566.2</v>
      </c>
      <c r="N178" s="7" t="n">
        <v>32676.5</v>
      </c>
      <c r="P178" s="7" t="n">
        <v>66210</v>
      </c>
      <c r="R178" s="7" t="n">
        <v>46068.7</v>
      </c>
      <c r="T178" s="7" t="n">
        <v>22481.6</v>
      </c>
      <c r="V178" s="7" t="n">
        <v>33407.7</v>
      </c>
      <c r="X178" s="7" t="n">
        <v>33354.4</v>
      </c>
      <c r="Z178" s="7" t="n">
        <v>17205.2</v>
      </c>
      <c r="AB178" s="7" t="n">
        <v>395048.9</v>
      </c>
    </row>
    <row r="179">
      <c r="A179" s="4" t="inlineStr">
        <is>
          <t>社保</t>
        </is>
      </c>
      <c r="D179" s="7" t="n">
        <v>14149.9</v>
      </c>
      <c r="F179" s="7" t="n">
        <v>31060.9</v>
      </c>
      <c r="H179" s="7" t="n">
        <v>23924.9</v>
      </c>
      <c r="J179" s="7" t="n">
        <v>23069.4</v>
      </c>
      <c r="L179" s="7" t="n">
        <v>25926.3</v>
      </c>
      <c r="N179" s="7" t="n">
        <v>36100.9</v>
      </c>
      <c r="P179" s="7" t="n">
        <v>64938.4</v>
      </c>
      <c r="R179" s="7" t="n">
        <v>30535.3</v>
      </c>
      <c r="T179" s="7" t="n">
        <v>16153.3</v>
      </c>
      <c r="V179" s="7" t="n">
        <v>28174.5</v>
      </c>
      <c r="X179" s="7" t="n">
        <v>23796.3</v>
      </c>
      <c r="Z179" s="7" t="n">
        <v>11309.8</v>
      </c>
      <c r="AB179" s="7" t="n">
        <v>329139.9</v>
      </c>
    </row>
    <row r="180">
      <c r="A180" s="4" t="inlineStr">
        <is>
          <t>养老</t>
        </is>
      </c>
      <c r="D180" s="7" t="n">
        <v>1305.9</v>
      </c>
      <c r="F180" s="7" t="n">
        <v>1840.5</v>
      </c>
      <c r="H180" s="7" t="n">
        <v>1470.2</v>
      </c>
      <c r="J180" s="7" t="n">
        <v>2889.1</v>
      </c>
      <c r="L180" s="7" t="n">
        <v>1907.9</v>
      </c>
      <c r="N180" s="7" t="n">
        <v>2474.5</v>
      </c>
      <c r="P180" s="7" t="n">
        <v>5230.4</v>
      </c>
      <c r="R180" s="7" t="n">
        <v>3515.2</v>
      </c>
      <c r="T180" s="7" t="n">
        <v>799.1</v>
      </c>
      <c r="V180" s="7" t="n">
        <v>2540.6</v>
      </c>
      <c r="X180" s="7" t="n">
        <v>2166.8</v>
      </c>
      <c r="Z180" s="7" t="n">
        <v>1062.8</v>
      </c>
      <c r="AB180" s="7" t="n">
        <v>27203</v>
      </c>
    </row>
    <row r="181">
      <c r="A181" s="4" t="inlineStr">
        <is>
          <t>医疗</t>
        </is>
      </c>
      <c r="D181" s="7" t="n">
        <v>422.6</v>
      </c>
      <c r="F181" s="7" t="n">
        <v>905.1</v>
      </c>
      <c r="H181" s="7" t="n">
        <v>854.9</v>
      </c>
      <c r="J181" s="7" t="n">
        <v>857.6</v>
      </c>
      <c r="L181" s="7" t="n">
        <v>491.8</v>
      </c>
      <c r="N181" s="7" t="n">
        <v>633.8</v>
      </c>
      <c r="P181" s="7" t="n">
        <v>1524.3</v>
      </c>
      <c r="R181" s="7" t="n">
        <v>1015.9</v>
      </c>
      <c r="T181" s="7" t="n">
        <v>284.5</v>
      </c>
      <c r="V181" s="7" t="n">
        <v>502.6</v>
      </c>
      <c r="X181" s="7" t="n">
        <v>860.2</v>
      </c>
      <c r="Z181" s="7" t="n">
        <v>265.4</v>
      </c>
      <c r="AB181" s="7" t="n">
        <v>8618.700000000001</v>
      </c>
    </row>
    <row r="182">
      <c r="A182" s="4" t="inlineStr">
        <is>
          <t>工伤</t>
        </is>
      </c>
      <c r="D182" s="7" t="n">
        <v>367.5</v>
      </c>
      <c r="F182" s="7" t="n">
        <v>1245.9</v>
      </c>
      <c r="H182" s="7" t="n">
        <v>1004.1</v>
      </c>
      <c r="J182" s="7" t="n">
        <v>761.7</v>
      </c>
      <c r="L182" s="7" t="n">
        <v>884.5</v>
      </c>
      <c r="N182" s="7" t="n">
        <v>851.2</v>
      </c>
      <c r="P182" s="7" t="n">
        <v>2011.6</v>
      </c>
      <c r="R182" s="7" t="n">
        <v>1215.1</v>
      </c>
      <c r="T182" s="7" t="n">
        <v>548.5</v>
      </c>
      <c r="V182" s="7" t="n">
        <v>907.9</v>
      </c>
      <c r="X182" s="7" t="n">
        <v>641.6</v>
      </c>
      <c r="Z182" s="7" t="n">
        <v>348.8</v>
      </c>
      <c r="AB182" s="7" t="n">
        <v>10788.4</v>
      </c>
    </row>
    <row r="183">
      <c r="A183" s="4" t="inlineStr">
        <is>
          <t>失业</t>
        </is>
      </c>
      <c r="D183" s="7" t="n">
        <v>584.5</v>
      </c>
      <c r="F183" s="7" t="n">
        <v>935.6</v>
      </c>
      <c r="H183" s="7" t="n">
        <v>991.7</v>
      </c>
      <c r="J183" s="7" t="n">
        <v>853.4</v>
      </c>
      <c r="L183" s="7" t="n">
        <v>870</v>
      </c>
      <c r="N183" s="7" t="n">
        <v>1387.1</v>
      </c>
      <c r="P183" s="7" t="n">
        <v>1881.5</v>
      </c>
      <c r="R183" s="7" t="n">
        <v>1502.9</v>
      </c>
      <c r="T183" s="7" t="n">
        <v>635.7</v>
      </c>
      <c r="V183" s="7" t="n">
        <v>888.1</v>
      </c>
      <c r="X183" s="7" t="n">
        <v>934.6</v>
      </c>
      <c r="Z183" s="7" t="n">
        <v>362.7</v>
      </c>
      <c r="AB183" s="7" t="n">
        <v>11827.8</v>
      </c>
    </row>
    <row r="184">
      <c r="A184" s="4" t="inlineStr">
        <is>
          <t>生育</t>
        </is>
      </c>
      <c r="D184" s="7" t="n">
        <v>1025.1</v>
      </c>
      <c r="F184" s="7" t="n">
        <v>1973.8</v>
      </c>
      <c r="H184" s="7" t="n">
        <v>1500.1</v>
      </c>
      <c r="J184" s="7" t="n">
        <v>1832.2</v>
      </c>
      <c r="L184" s="7" t="n">
        <v>1002.9</v>
      </c>
      <c r="N184" s="7" t="n">
        <v>1831.6</v>
      </c>
      <c r="P184" s="7" t="n">
        <v>3195.8</v>
      </c>
      <c r="R184" s="7" t="n">
        <v>2208.2</v>
      </c>
      <c r="T184" s="7" t="n">
        <v>1004.3</v>
      </c>
      <c r="V184" s="7" t="n">
        <v>1250</v>
      </c>
      <c r="X184" s="7" t="n">
        <v>1571.2</v>
      </c>
      <c r="Z184" s="7" t="n">
        <v>716.9</v>
      </c>
      <c r="AB184" s="7" t="n">
        <v>19112.1</v>
      </c>
    </row>
    <row r="185">
      <c r="A185" s="4" t="inlineStr">
        <is>
          <t>公积金</t>
        </is>
      </c>
      <c r="D185" s="7" t="n">
        <v>523.9</v>
      </c>
      <c r="F185" s="7" t="n">
        <v>1233.2</v>
      </c>
      <c r="H185" s="7" t="n">
        <v>1347.9</v>
      </c>
      <c r="J185" s="7" t="n">
        <v>1311.9</v>
      </c>
      <c r="L185" s="7" t="n">
        <v>757.9</v>
      </c>
      <c r="N185" s="7" t="n">
        <v>1090.1</v>
      </c>
      <c r="P185" s="7" t="n">
        <v>2813.9</v>
      </c>
      <c r="R185" s="7" t="n">
        <v>2211.2</v>
      </c>
      <c r="T185" s="7" t="n">
        <v>635.2</v>
      </c>
      <c r="V185" s="7" t="n">
        <v>959.1</v>
      </c>
      <c r="X185" s="7" t="n">
        <v>796.2</v>
      </c>
      <c r="Z185" s="7" t="n">
        <v>344.2</v>
      </c>
      <c r="AB185" s="7" t="n">
        <v>14024.7</v>
      </c>
    </row>
    <row r="186">
      <c r="A186" s="4" t="inlineStr">
        <is>
          <t>工会经费</t>
        </is>
      </c>
      <c r="D186" s="7" t="n">
        <v>39.4</v>
      </c>
      <c r="F186" s="7" t="n">
        <v>105.2</v>
      </c>
      <c r="H186" s="7" t="n">
        <v>70.40000000000001</v>
      </c>
      <c r="J186" s="7" t="n">
        <v>125.3</v>
      </c>
      <c r="L186" s="7" t="n">
        <v>85.90000000000001</v>
      </c>
      <c r="N186" s="7" t="n">
        <v>102.8</v>
      </c>
      <c r="P186" s="7" t="n">
        <v>166.1</v>
      </c>
      <c r="R186" s="7" t="n">
        <v>118.1</v>
      </c>
      <c r="T186" s="7" t="n">
        <v>54</v>
      </c>
      <c r="V186" s="7" t="n">
        <v>72.2</v>
      </c>
      <c r="X186" s="7" t="n">
        <v>103</v>
      </c>
      <c r="Z186" s="7" t="n">
        <v>32</v>
      </c>
      <c r="AB186" s="7" t="n">
        <v>1074.4</v>
      </c>
    </row>
    <row r="187">
      <c r="A187" s="4" t="inlineStr">
        <is>
          <t>职工教育经费</t>
        </is>
      </c>
      <c r="D187" s="7" t="n">
        <v>194.7</v>
      </c>
      <c r="F187" s="7" t="n">
        <v>333.7</v>
      </c>
      <c r="H187" s="7" t="n">
        <v>461.2</v>
      </c>
      <c r="J187" s="7" t="n">
        <v>405.7</v>
      </c>
      <c r="L187" s="7" t="n">
        <v>351</v>
      </c>
      <c r="N187" s="7" t="n">
        <v>474.3</v>
      </c>
      <c r="P187" s="7" t="n">
        <v>867.3</v>
      </c>
      <c r="R187" s="7" t="n">
        <v>684.7</v>
      </c>
      <c r="T187" s="7" t="n">
        <v>186.9</v>
      </c>
      <c r="V187" s="7" t="n">
        <v>486</v>
      </c>
      <c r="X187" s="7" t="n">
        <v>464.1</v>
      </c>
      <c r="Z187" s="7" t="n">
        <v>130.2</v>
      </c>
      <c r="AB187" s="7" t="n">
        <v>5039.8</v>
      </c>
    </row>
    <row r="188">
      <c r="A188" s="4" t="inlineStr">
        <is>
          <t>福利费</t>
        </is>
      </c>
      <c r="D188" s="7" t="n">
        <v>3896.6</v>
      </c>
      <c r="F188" s="7" t="n">
        <v>9063.9</v>
      </c>
      <c r="H188" s="7" t="n">
        <v>7402.9</v>
      </c>
      <c r="J188" s="7" t="n">
        <v>9479.299999999999</v>
      </c>
      <c r="L188" s="7" t="n">
        <v>5925.5</v>
      </c>
      <c r="N188" s="7" t="n">
        <v>8795.299999999999</v>
      </c>
      <c r="P188" s="7" t="n">
        <v>16807.1</v>
      </c>
      <c r="R188" s="7" t="n">
        <v>11638.7</v>
      </c>
      <c r="T188" s="7" t="n">
        <v>4025.4</v>
      </c>
      <c r="V188" s="7" t="n">
        <v>7008.2</v>
      </c>
      <c r="X188" s="7" t="n">
        <v>7332.3</v>
      </c>
      <c r="Z188" s="7" t="n">
        <v>2706.2</v>
      </c>
      <c r="AB188" s="7" t="n">
        <v>94081.39999999999</v>
      </c>
    </row>
    <row r="189">
      <c r="A189" s="4" t="inlineStr">
        <is>
          <t>职工房租</t>
        </is>
      </c>
      <c r="D189" s="7" t="n">
        <v>1170.4</v>
      </c>
      <c r="F189" s="7" t="n">
        <v>2339.9</v>
      </c>
      <c r="H189" s="7" t="n">
        <v>2135.8</v>
      </c>
      <c r="J189" s="7" t="n">
        <v>3143.8</v>
      </c>
      <c r="L189" s="7" t="n">
        <v>1620.2</v>
      </c>
      <c r="N189" s="7" t="n">
        <v>2853.1</v>
      </c>
      <c r="P189" s="7" t="n">
        <v>4647.6</v>
      </c>
      <c r="R189" s="7" t="n">
        <v>3165.3</v>
      </c>
      <c r="T189" s="7" t="n">
        <v>1016.7</v>
      </c>
      <c r="V189" s="7" t="n">
        <v>1559.6</v>
      </c>
      <c r="X189" s="7" t="n">
        <v>1424.8</v>
      </c>
      <c r="Z189" s="7" t="n">
        <v>651.5</v>
      </c>
      <c r="AB189" s="7" t="n">
        <v>25728.7</v>
      </c>
    </row>
    <row r="190">
      <c r="A190" s="4" t="inlineStr">
        <is>
          <t>水电物业费</t>
        </is>
      </c>
      <c r="D190" s="7" t="n">
        <v>23.3</v>
      </c>
      <c r="F190" s="7" t="n">
        <v>47.2</v>
      </c>
      <c r="H190" s="7" t="n">
        <v>27.1</v>
      </c>
      <c r="J190" s="7" t="n">
        <v>43.8</v>
      </c>
      <c r="L190" s="7" t="n">
        <v>31.7</v>
      </c>
      <c r="N190" s="7" t="n">
        <v>40.9</v>
      </c>
      <c r="P190" s="7" t="n">
        <v>73.8</v>
      </c>
      <c r="R190" s="7" t="n">
        <v>65.2</v>
      </c>
      <c r="T190" s="7" t="n">
        <v>15.5</v>
      </c>
      <c r="V190" s="7" t="n">
        <v>29.1</v>
      </c>
      <c r="X190" s="7" t="n">
        <v>32.4</v>
      </c>
      <c r="Z190" s="7" t="n">
        <v>13.8</v>
      </c>
      <c r="AB190" s="7" t="n">
        <v>443.8</v>
      </c>
    </row>
    <row r="191">
      <c r="A191" s="4" t="inlineStr">
        <is>
          <t>员工餐</t>
        </is>
      </c>
      <c r="D191" s="7" t="n">
        <v>19.9</v>
      </c>
      <c r="F191" s="7" t="n">
        <v>42.2</v>
      </c>
      <c r="H191" s="7" t="n">
        <v>50.5</v>
      </c>
      <c r="J191" s="7" t="n">
        <v>70.7</v>
      </c>
      <c r="L191" s="7" t="n">
        <v>39.3</v>
      </c>
      <c r="N191" s="7" t="n">
        <v>71</v>
      </c>
      <c r="P191" s="7" t="n">
        <v>99</v>
      </c>
      <c r="R191" s="7" t="n">
        <v>62.6</v>
      </c>
      <c r="T191" s="7" t="n">
        <v>27.1</v>
      </c>
      <c r="V191" s="7" t="n">
        <v>54.6</v>
      </c>
      <c r="X191" s="7" t="n">
        <v>33.2</v>
      </c>
      <c r="Z191" s="7" t="n">
        <v>13.5</v>
      </c>
      <c r="AB191" s="7" t="n">
        <v>583.6</v>
      </c>
    </row>
    <row r="192">
      <c r="A192" s="4" t="inlineStr">
        <is>
          <t>节日礼品</t>
        </is>
      </c>
      <c r="D192" s="7" t="n">
        <v>812</v>
      </c>
      <c r="F192" s="7" t="n">
        <v>1982.6</v>
      </c>
      <c r="H192" s="7" t="n">
        <v>1573.8</v>
      </c>
      <c r="J192" s="7" t="n">
        <v>1825</v>
      </c>
      <c r="L192" s="7" t="n">
        <v>1220.3</v>
      </c>
      <c r="N192" s="7" t="n">
        <v>1741.4</v>
      </c>
      <c r="P192" s="7" t="n">
        <v>2380.9</v>
      </c>
      <c r="R192" s="7" t="n">
        <v>2188.5</v>
      </c>
      <c r="T192" s="7" t="n">
        <v>746.5</v>
      </c>
      <c r="V192" s="7" t="n">
        <v>1385.2</v>
      </c>
      <c r="X192" s="7" t="n">
        <v>1400.8</v>
      </c>
      <c r="Z192" s="7" t="n">
        <v>613.8</v>
      </c>
      <c r="AB192" s="7" t="n">
        <v>17870.8</v>
      </c>
    </row>
    <row r="193">
      <c r="A193" s="4" t="inlineStr">
        <is>
          <t>生日礼品</t>
        </is>
      </c>
      <c r="D193" s="7" t="n">
        <v>925.9</v>
      </c>
      <c r="F193" s="7" t="n">
        <v>2251</v>
      </c>
      <c r="H193" s="7" t="n">
        <v>1714.8</v>
      </c>
      <c r="J193" s="7" t="n">
        <v>1973</v>
      </c>
      <c r="L193" s="7" t="n">
        <v>1329.8</v>
      </c>
      <c r="N193" s="7" t="n">
        <v>1612.6</v>
      </c>
      <c r="P193" s="7" t="n">
        <v>4358.7</v>
      </c>
      <c r="R193" s="7" t="n">
        <v>2714.5</v>
      </c>
      <c r="T193" s="7" t="n">
        <v>959.6</v>
      </c>
      <c r="V193" s="7" t="n">
        <v>1696.3</v>
      </c>
      <c r="X193" s="7" t="n">
        <v>2149</v>
      </c>
      <c r="Z193" s="7" t="n">
        <v>652.1</v>
      </c>
      <c r="AB193" s="7" t="n">
        <v>22337.3</v>
      </c>
    </row>
    <row r="194">
      <c r="A194" s="4" t="inlineStr">
        <is>
          <t>体检</t>
        </is>
      </c>
      <c r="D194" s="7" t="n">
        <v>567.5</v>
      </c>
      <c r="F194" s="7" t="n">
        <v>1486.8</v>
      </c>
      <c r="H194" s="7" t="n">
        <v>1174.1</v>
      </c>
      <c r="J194" s="7" t="n">
        <v>1602.2</v>
      </c>
      <c r="L194" s="7" t="n">
        <v>1071.6</v>
      </c>
      <c r="N194" s="7" t="n">
        <v>1552.1</v>
      </c>
      <c r="P194" s="7" t="n">
        <v>3752</v>
      </c>
      <c r="R194" s="7" t="n">
        <v>2204.3</v>
      </c>
      <c r="T194" s="7" t="n">
        <v>884</v>
      </c>
      <c r="V194" s="7" t="n">
        <v>1751.9</v>
      </c>
      <c r="X194" s="7" t="n">
        <v>1589.6</v>
      </c>
      <c r="Z194" s="7" t="n">
        <v>477.6</v>
      </c>
      <c r="AB194" s="7" t="n">
        <v>18113.7</v>
      </c>
    </row>
    <row r="195">
      <c r="A195" s="4" t="inlineStr">
        <is>
          <t>其他福利支出</t>
        </is>
      </c>
      <c r="D195" s="7" t="n">
        <v>377.6</v>
      </c>
      <c r="F195" s="7" t="n">
        <v>914.2</v>
      </c>
      <c r="H195" s="7" t="n">
        <v>726.8</v>
      </c>
      <c r="J195" s="7" t="n">
        <v>820.8</v>
      </c>
      <c r="L195" s="7" t="n">
        <v>612.6</v>
      </c>
      <c r="N195" s="7" t="n">
        <v>924.2</v>
      </c>
      <c r="P195" s="7" t="n">
        <v>1495.1</v>
      </c>
      <c r="R195" s="7" t="n">
        <v>1238.3</v>
      </c>
      <c r="T195" s="7" t="n">
        <v>376</v>
      </c>
      <c r="V195" s="7" t="n">
        <v>531.5</v>
      </c>
      <c r="X195" s="7" t="n">
        <v>702.5</v>
      </c>
      <c r="Z195" s="7" t="n">
        <v>283.9</v>
      </c>
      <c r="AB195" s="7" t="n">
        <v>9003.5</v>
      </c>
    </row>
    <row r="196">
      <c r="A196" s="4" t="inlineStr">
        <is>
          <t>招聘费</t>
        </is>
      </c>
      <c r="D196" s="7" t="n">
        <v>120.8</v>
      </c>
      <c r="F196" s="7" t="n">
        <v>335.3</v>
      </c>
      <c r="H196" s="7" t="n">
        <v>202.7</v>
      </c>
      <c r="J196" s="7" t="n">
        <v>310.7</v>
      </c>
      <c r="L196" s="7" t="n">
        <v>306.3</v>
      </c>
      <c r="N196" s="7" t="n">
        <v>304.7</v>
      </c>
      <c r="P196" s="7" t="n">
        <v>460.4</v>
      </c>
      <c r="R196" s="7" t="n">
        <v>328.8</v>
      </c>
      <c r="T196" s="7" t="n">
        <v>109.6</v>
      </c>
      <c r="V196" s="7" t="n">
        <v>330.5</v>
      </c>
      <c r="X196" s="7" t="n">
        <v>245.8</v>
      </c>
      <c r="Z196" s="7" t="n">
        <v>90.3</v>
      </c>
      <c r="AB196" s="7" t="n">
        <v>3145.9</v>
      </c>
    </row>
    <row r="197">
      <c r="A197" s="4" t="inlineStr">
        <is>
          <t>办公费</t>
        </is>
      </c>
      <c r="D197" s="7" t="n">
        <v>6252.7</v>
      </c>
      <c r="F197" s="7" t="n">
        <v>13817.7</v>
      </c>
      <c r="H197" s="7" t="n">
        <v>6793</v>
      </c>
      <c r="J197" s="7" t="n">
        <v>8559.4</v>
      </c>
      <c r="L197" s="7" t="n">
        <v>8025.9</v>
      </c>
      <c r="N197" s="7" t="n">
        <v>13102</v>
      </c>
      <c r="P197" s="7" t="n">
        <v>15262.4</v>
      </c>
      <c r="R197" s="7" t="n">
        <v>13353.1</v>
      </c>
      <c r="T197" s="7" t="n">
        <v>4669.3</v>
      </c>
      <c r="V197" s="7" t="n">
        <v>8619</v>
      </c>
      <c r="X197" s="7" t="n">
        <v>8701</v>
      </c>
      <c r="Z197" s="7" t="n">
        <v>2928.9</v>
      </c>
      <c r="AB197" s="7" t="n">
        <v>110084.4</v>
      </c>
    </row>
    <row r="198">
      <c r="A198" s="4" t="inlineStr">
        <is>
          <t>市内交通费</t>
        </is>
      </c>
      <c r="D198" s="7" t="n">
        <v>862.5</v>
      </c>
      <c r="F198" s="7" t="n">
        <v>1695</v>
      </c>
      <c r="H198" s="7" t="n">
        <v>2018.9</v>
      </c>
      <c r="J198" s="7" t="n">
        <v>2245</v>
      </c>
      <c r="L198" s="7" t="n">
        <v>1770</v>
      </c>
      <c r="N198" s="7" t="n">
        <v>2638.8</v>
      </c>
      <c r="P198" s="7" t="n">
        <v>4761.2</v>
      </c>
      <c r="R198" s="7" t="n">
        <v>2955.5</v>
      </c>
      <c r="T198" s="7" t="n">
        <v>1021.2</v>
      </c>
      <c r="V198" s="7" t="n">
        <v>2203.6</v>
      </c>
      <c r="X198" s="7" t="n">
        <v>1401.3</v>
      </c>
      <c r="Z198" s="7" t="n">
        <v>589.3</v>
      </c>
      <c r="AB198" s="7" t="n">
        <v>24162.3</v>
      </c>
    </row>
    <row r="199">
      <c r="A199" s="4" t="inlineStr">
        <is>
          <t>差旅费</t>
        </is>
      </c>
      <c r="D199" s="7" t="n">
        <v>11142.6</v>
      </c>
      <c r="F199" s="7" t="n">
        <v>26129.7</v>
      </c>
      <c r="H199" s="7" t="n">
        <v>23962</v>
      </c>
      <c r="J199" s="7" t="n">
        <v>27692.6</v>
      </c>
      <c r="L199" s="7" t="n">
        <v>12146</v>
      </c>
      <c r="N199" s="7" t="n">
        <v>18682.4</v>
      </c>
      <c r="P199" s="7" t="n">
        <v>42599.5</v>
      </c>
      <c r="R199" s="7" t="n">
        <v>39125.8</v>
      </c>
      <c r="T199" s="7" t="n">
        <v>13620.7</v>
      </c>
      <c r="V199" s="7" t="n">
        <v>15141.5</v>
      </c>
      <c r="X199" s="7" t="n">
        <v>16680.4</v>
      </c>
      <c r="Z199" s="7" t="n">
        <v>7763.9</v>
      </c>
      <c r="AB199" s="7" t="n">
        <v>254687.1</v>
      </c>
    </row>
    <row r="200">
      <c r="A200" s="4" t="inlineStr">
        <is>
          <t>交通费</t>
        </is>
      </c>
      <c r="D200" s="7" t="n">
        <v>658.3</v>
      </c>
      <c r="F200" s="7" t="n">
        <v>938.5</v>
      </c>
      <c r="H200" s="7" t="n">
        <v>1136.7</v>
      </c>
      <c r="J200" s="7" t="n">
        <v>1154.9</v>
      </c>
      <c r="L200" s="7" t="n">
        <v>724.8</v>
      </c>
      <c r="N200" s="7" t="n">
        <v>1636.4</v>
      </c>
      <c r="P200" s="7" t="n">
        <v>2105.1</v>
      </c>
      <c r="R200" s="7" t="n">
        <v>1680</v>
      </c>
      <c r="T200" s="7" t="n">
        <v>701.6</v>
      </c>
      <c r="V200" s="7" t="n">
        <v>893</v>
      </c>
      <c r="X200" s="7" t="n">
        <v>1249.1</v>
      </c>
      <c r="Z200" s="7" t="n">
        <v>402.5</v>
      </c>
      <c r="AB200" s="7" t="n">
        <v>13280.9</v>
      </c>
    </row>
    <row r="201">
      <c r="A201" s="4" t="inlineStr">
        <is>
          <t>住宿费</t>
        </is>
      </c>
      <c r="D201" s="7" t="n">
        <v>433.2</v>
      </c>
      <c r="F201" s="7" t="n">
        <v>1139</v>
      </c>
      <c r="H201" s="7" t="n">
        <v>1202.1</v>
      </c>
      <c r="J201" s="7" t="n">
        <v>1172.9</v>
      </c>
      <c r="L201" s="7" t="n">
        <v>1016</v>
      </c>
      <c r="N201" s="7" t="n">
        <v>1068.6</v>
      </c>
      <c r="P201" s="7" t="n">
        <v>2513</v>
      </c>
      <c r="R201" s="7" t="n">
        <v>1683.5</v>
      </c>
      <c r="T201" s="7" t="n">
        <v>504.7</v>
      </c>
      <c r="V201" s="7" t="n">
        <v>1242.8</v>
      </c>
      <c r="X201" s="7" t="n">
        <v>997.2</v>
      </c>
      <c r="Z201" s="7" t="n">
        <v>419.9</v>
      </c>
      <c r="AB201" s="7" t="n">
        <v>13392.9</v>
      </c>
    </row>
    <row r="202">
      <c r="A202" s="4" t="inlineStr">
        <is>
          <t>餐补</t>
        </is>
      </c>
      <c r="D202" s="7" t="n">
        <v>634.7</v>
      </c>
      <c r="F202" s="7" t="n">
        <v>1318.4</v>
      </c>
      <c r="H202" s="7" t="n">
        <v>868.6</v>
      </c>
      <c r="J202" s="7" t="n">
        <v>834.6</v>
      </c>
      <c r="L202" s="7" t="n">
        <v>661.2</v>
      </c>
      <c r="N202" s="7" t="n">
        <v>866.4</v>
      </c>
      <c r="P202" s="7" t="n">
        <v>2345.4</v>
      </c>
      <c r="R202" s="7" t="n">
        <v>2031.7</v>
      </c>
      <c r="T202" s="7" t="n">
        <v>411.3</v>
      </c>
      <c r="V202" s="7" t="n">
        <v>849.6</v>
      </c>
      <c r="X202" s="7" t="n">
        <v>1231.8</v>
      </c>
      <c r="Z202" s="7" t="n">
        <v>322.2</v>
      </c>
      <c r="AB202" s="7" t="n">
        <v>12375.9</v>
      </c>
    </row>
    <row r="203">
      <c r="A203" s="4" t="inlineStr">
        <is>
          <t>交通补助</t>
        </is>
      </c>
      <c r="D203" s="7" t="n">
        <v>81.09999999999999</v>
      </c>
      <c r="F203" s="7" t="n">
        <v>164.5</v>
      </c>
      <c r="H203" s="7" t="n">
        <v>137.7</v>
      </c>
      <c r="J203" s="7" t="n">
        <v>193.4</v>
      </c>
      <c r="L203" s="7" t="n">
        <v>82.7</v>
      </c>
      <c r="N203" s="7" t="n">
        <v>177.4</v>
      </c>
      <c r="P203" s="7" t="n">
        <v>299.5</v>
      </c>
      <c r="R203" s="7" t="n">
        <v>235.7</v>
      </c>
      <c r="T203" s="7" t="n">
        <v>74.3</v>
      </c>
      <c r="V203" s="7" t="n">
        <v>112.4</v>
      </c>
      <c r="X203" s="7" t="n">
        <v>120.5</v>
      </c>
      <c r="Z203" s="7" t="n">
        <v>59.9</v>
      </c>
      <c r="AB203" s="7" t="n">
        <v>1739.1</v>
      </c>
    </row>
    <row r="204">
      <c r="A204" s="4" t="inlineStr">
        <is>
          <t>通讯补助</t>
        </is>
      </c>
      <c r="D204" s="7" t="n">
        <v>558</v>
      </c>
      <c r="F204" s="7" t="n">
        <v>1548.9</v>
      </c>
      <c r="H204" s="7" t="n">
        <v>1423.6</v>
      </c>
      <c r="J204" s="7" t="n">
        <v>988.8</v>
      </c>
      <c r="L204" s="7" t="n">
        <v>879.5</v>
      </c>
      <c r="N204" s="7" t="n">
        <v>1505.7</v>
      </c>
      <c r="P204" s="7" t="n">
        <v>2994.2</v>
      </c>
      <c r="R204" s="7" t="n">
        <v>2169.1</v>
      </c>
      <c r="T204" s="7" t="n">
        <v>639.7</v>
      </c>
      <c r="V204" s="7" t="n">
        <v>949.4</v>
      </c>
      <c r="X204" s="7" t="n">
        <v>1183.8</v>
      </c>
      <c r="Z204" s="7" t="n">
        <v>571.1</v>
      </c>
      <c r="AB204" s="7" t="n">
        <v>15411.8</v>
      </c>
    </row>
    <row r="205">
      <c r="A205" s="4" t="inlineStr">
        <is>
          <t>招待费</t>
        </is>
      </c>
      <c r="D205" s="7" t="n">
        <v>7601.7</v>
      </c>
      <c r="F205" s="7" t="n">
        <v>16662.8</v>
      </c>
      <c r="H205" s="7" t="n">
        <v>15523.5</v>
      </c>
      <c r="J205" s="7" t="n">
        <v>18071.7</v>
      </c>
      <c r="L205" s="7" t="n">
        <v>10526.2</v>
      </c>
      <c r="N205" s="7" t="n">
        <v>13354.6</v>
      </c>
      <c r="P205" s="7" t="n">
        <v>23208.6</v>
      </c>
      <c r="R205" s="7" t="n">
        <v>15408.6</v>
      </c>
      <c r="T205" s="7" t="n">
        <v>6560.9</v>
      </c>
      <c r="V205" s="7" t="n">
        <v>14426.3</v>
      </c>
      <c r="X205" s="7" t="n">
        <v>14534.8</v>
      </c>
      <c r="Z205" s="7" t="n">
        <v>4160.5</v>
      </c>
      <c r="AB205" s="7" t="n">
        <v>160040.2</v>
      </c>
    </row>
    <row r="206">
      <c r="A206" s="4" t="inlineStr">
        <is>
          <t>通讯费</t>
        </is>
      </c>
      <c r="D206" s="7" t="n">
        <v>985.9</v>
      </c>
      <c r="F206" s="7" t="n">
        <v>1830.7</v>
      </c>
      <c r="H206" s="7" t="n">
        <v>2111.6</v>
      </c>
      <c r="J206" s="7" t="n">
        <v>2546.1</v>
      </c>
      <c r="L206" s="7" t="n">
        <v>2095.7</v>
      </c>
      <c r="N206" s="7" t="n">
        <v>2112.3</v>
      </c>
      <c r="P206" s="7" t="n">
        <v>3070.6</v>
      </c>
      <c r="R206" s="7" t="n">
        <v>4086.9</v>
      </c>
      <c r="T206" s="7" t="n">
        <v>1250.2</v>
      </c>
      <c r="V206" s="7" t="n">
        <v>1746</v>
      </c>
      <c r="X206" s="7" t="n">
        <v>2405.8</v>
      </c>
      <c r="Z206" s="7" t="n">
        <v>990.8</v>
      </c>
      <c r="AB206" s="7" t="n">
        <v>25232.6</v>
      </c>
    </row>
    <row r="207">
      <c r="A207" s="4" t="inlineStr">
        <is>
          <t>网络费</t>
        </is>
      </c>
      <c r="D207" s="7" t="n">
        <v>863.7</v>
      </c>
      <c r="F207" s="7" t="n">
        <v>1774</v>
      </c>
      <c r="H207" s="7" t="n">
        <v>1882.4</v>
      </c>
      <c r="J207" s="7" t="n">
        <v>2691.9</v>
      </c>
      <c r="L207" s="7" t="n">
        <v>1648.9</v>
      </c>
      <c r="N207" s="7" t="n">
        <v>1923.8</v>
      </c>
      <c r="P207" s="7" t="n">
        <v>4648.8</v>
      </c>
      <c r="R207" s="7" t="n">
        <v>2674.9</v>
      </c>
      <c r="T207" s="7" t="n">
        <v>1035.7</v>
      </c>
      <c r="V207" s="7" t="n">
        <v>2348.6</v>
      </c>
      <c r="X207" s="7" t="n">
        <v>1997.8</v>
      </c>
      <c r="Z207" s="7" t="n">
        <v>1119.4</v>
      </c>
      <c r="AB207" s="7" t="n">
        <v>24609.9</v>
      </c>
    </row>
    <row r="208">
      <c r="A208" s="4" t="inlineStr">
        <is>
          <t>修理费</t>
        </is>
      </c>
      <c r="D208" s="7" t="n">
        <v>1189.6</v>
      </c>
      <c r="F208" s="7" t="n">
        <v>2044.4</v>
      </c>
      <c r="H208" s="7" t="n">
        <v>2056.2</v>
      </c>
      <c r="J208" s="7" t="n">
        <v>2197.6</v>
      </c>
      <c r="L208" s="7" t="n">
        <v>1503.7</v>
      </c>
      <c r="N208" s="7" t="n">
        <v>2278</v>
      </c>
      <c r="P208" s="7" t="n">
        <v>3166.1</v>
      </c>
      <c r="R208" s="7" t="n">
        <v>2452.8</v>
      </c>
      <c r="T208" s="7" t="n">
        <v>1126.1</v>
      </c>
      <c r="V208" s="7" t="n">
        <v>1894.4</v>
      </c>
      <c r="X208" s="7" t="n">
        <v>1851</v>
      </c>
      <c r="Z208" s="7" t="n">
        <v>799.3</v>
      </c>
      <c r="AB208" s="7" t="n">
        <v>22559.2</v>
      </c>
    </row>
    <row r="209">
      <c r="A209" s="4" t="inlineStr">
        <is>
          <t>车辆费</t>
        </is>
      </c>
      <c r="D209" s="7" t="n">
        <v>503.6</v>
      </c>
      <c r="F209" s="7" t="n">
        <v>1138.1</v>
      </c>
      <c r="H209" s="7" t="n">
        <v>1125.9</v>
      </c>
      <c r="J209" s="7" t="n">
        <v>1572.2</v>
      </c>
      <c r="L209" s="7" t="n">
        <v>872.1</v>
      </c>
      <c r="N209" s="7" t="n">
        <v>1054.9</v>
      </c>
      <c r="P209" s="7" t="n">
        <v>2529.4</v>
      </c>
      <c r="R209" s="7" t="n">
        <v>2175.8</v>
      </c>
      <c r="T209" s="7" t="n">
        <v>464.9</v>
      </c>
      <c r="V209" s="7" t="n">
        <v>798.3</v>
      </c>
      <c r="X209" s="7" t="n">
        <v>1334.6</v>
      </c>
      <c r="Z209" s="7" t="n">
        <v>450.5</v>
      </c>
      <c r="AB209" s="7" t="n">
        <v>14020.3</v>
      </c>
    </row>
    <row r="210">
      <c r="A210" s="4" t="inlineStr">
        <is>
          <t>租赁费</t>
        </is>
      </c>
      <c r="D210" s="7" t="n">
        <v>8426.5</v>
      </c>
      <c r="F210" s="7" t="n">
        <v>17161.7</v>
      </c>
      <c r="H210" s="7" t="n">
        <v>15990.5</v>
      </c>
      <c r="J210" s="7" t="n">
        <v>20348.1</v>
      </c>
      <c r="L210" s="7" t="n">
        <v>14116.1</v>
      </c>
      <c r="N210" s="7" t="n">
        <v>19110.2</v>
      </c>
      <c r="P210" s="7" t="n">
        <v>28263.1</v>
      </c>
      <c r="R210" s="7" t="n">
        <v>26651.4</v>
      </c>
      <c r="T210" s="7" t="n">
        <v>8686.9</v>
      </c>
      <c r="V210" s="7" t="n">
        <v>15316</v>
      </c>
      <c r="X210" s="7" t="n">
        <v>19988.3</v>
      </c>
      <c r="Z210" s="7" t="n">
        <v>6663.1</v>
      </c>
      <c r="AB210" s="7" t="n">
        <v>200721.9</v>
      </c>
    </row>
    <row r="211">
      <c r="A211" s="4" t="inlineStr">
        <is>
          <t>能源费</t>
        </is>
      </c>
      <c r="D211" s="7" t="n">
        <v>2821.6</v>
      </c>
      <c r="F211" s="7" t="n">
        <v>7575.3</v>
      </c>
      <c r="H211" s="7" t="n">
        <v>5276.9</v>
      </c>
      <c r="J211" s="7" t="n">
        <v>6864</v>
      </c>
      <c r="L211" s="7" t="n">
        <v>4866.8</v>
      </c>
      <c r="N211" s="7" t="n">
        <v>6911.3</v>
      </c>
      <c r="P211" s="7" t="n">
        <v>11679</v>
      </c>
      <c r="R211" s="7" t="n">
        <v>8777.799999999999</v>
      </c>
      <c r="T211" s="7" t="n">
        <v>2882.7</v>
      </c>
      <c r="V211" s="7" t="n">
        <v>5940.3</v>
      </c>
      <c r="X211" s="7" t="n">
        <v>5731.5</v>
      </c>
      <c r="Z211" s="7" t="n">
        <v>2420.8</v>
      </c>
      <c r="AB211" s="7" t="n">
        <v>71748</v>
      </c>
    </row>
    <row r="212">
      <c r="A212" s="4" t="inlineStr">
        <is>
          <t>水费</t>
        </is>
      </c>
      <c r="D212" s="7" t="n">
        <v>993.6</v>
      </c>
      <c r="F212" s="7" t="n">
        <v>2930.7</v>
      </c>
      <c r="H212" s="7" t="n">
        <v>2067.9</v>
      </c>
      <c r="J212" s="7" t="n">
        <v>2261.5</v>
      </c>
      <c r="L212" s="7" t="n">
        <v>1335</v>
      </c>
      <c r="N212" s="7" t="n">
        <v>2634.3</v>
      </c>
      <c r="P212" s="7" t="n">
        <v>2952.8</v>
      </c>
      <c r="R212" s="7" t="n">
        <v>2615.2</v>
      </c>
      <c r="T212" s="7" t="n">
        <v>1040.4</v>
      </c>
      <c r="V212" s="7" t="n">
        <v>2546.5</v>
      </c>
      <c r="X212" s="7" t="n">
        <v>1734.2</v>
      </c>
      <c r="Z212" s="7" t="n">
        <v>823.2</v>
      </c>
      <c r="AB212" s="7" t="n">
        <v>23935.3</v>
      </c>
    </row>
    <row r="213">
      <c r="A213" s="4" t="inlineStr">
        <is>
          <t>电费</t>
        </is>
      </c>
      <c r="D213" s="7" t="n">
        <v>709.5</v>
      </c>
      <c r="F213" s="7" t="n">
        <v>2036.2</v>
      </c>
      <c r="H213" s="7" t="n">
        <v>1191.1</v>
      </c>
      <c r="J213" s="7" t="n">
        <v>2479.6</v>
      </c>
      <c r="L213" s="7" t="n">
        <v>1786.4</v>
      </c>
      <c r="N213" s="7" t="n">
        <v>1755.4</v>
      </c>
      <c r="P213" s="7" t="n">
        <v>4071.5</v>
      </c>
      <c r="R213" s="7" t="n">
        <v>2748.8</v>
      </c>
      <c r="T213" s="7" t="n">
        <v>730.7</v>
      </c>
      <c r="V213" s="7" t="n">
        <v>1498.8</v>
      </c>
      <c r="X213" s="7" t="n">
        <v>2014.1</v>
      </c>
      <c r="Z213" s="7" t="n">
        <v>661.4</v>
      </c>
      <c r="AB213" s="7" t="n">
        <v>21683.5</v>
      </c>
    </row>
    <row r="214">
      <c r="A214" s="4" t="inlineStr">
        <is>
          <t>燃气费</t>
        </is>
      </c>
      <c r="D214" s="7" t="n">
        <v>680.3</v>
      </c>
      <c r="F214" s="7" t="n">
        <v>1735.7</v>
      </c>
      <c r="H214" s="7" t="n">
        <v>1382.9</v>
      </c>
      <c r="J214" s="7" t="n">
        <v>1430.8</v>
      </c>
      <c r="L214" s="7" t="n">
        <v>1187.5</v>
      </c>
      <c r="N214" s="7" t="n">
        <v>1630.2</v>
      </c>
      <c r="P214" s="7" t="n">
        <v>2864</v>
      </c>
      <c r="R214" s="7" t="n">
        <v>2010.1</v>
      </c>
      <c r="T214" s="7" t="n">
        <v>668.3</v>
      </c>
      <c r="V214" s="7" t="n">
        <v>1158.1</v>
      </c>
      <c r="X214" s="7" t="n">
        <v>1157.1</v>
      </c>
      <c r="Z214" s="7" t="n">
        <v>614.7</v>
      </c>
      <c r="AB214" s="7" t="n">
        <v>16519.7</v>
      </c>
    </row>
    <row r="215">
      <c r="A215" s="4" t="inlineStr">
        <is>
          <t>蒸汽费</t>
        </is>
      </c>
      <c r="D215" s="7" t="n">
        <v>438.2</v>
      </c>
      <c r="F215" s="7" t="n">
        <v>872.7</v>
      </c>
      <c r="H215" s="7" t="n">
        <v>635</v>
      </c>
      <c r="J215" s="7" t="n">
        <v>692.1</v>
      </c>
      <c r="L215" s="7" t="n">
        <v>557.9</v>
      </c>
      <c r="N215" s="7" t="n">
        <v>891.4</v>
      </c>
      <c r="P215" s="7" t="n">
        <v>1790.7</v>
      </c>
      <c r="R215" s="7" t="n">
        <v>1403.7</v>
      </c>
      <c r="T215" s="7" t="n">
        <v>443.3</v>
      </c>
      <c r="V215" s="7" t="n">
        <v>736.9</v>
      </c>
      <c r="X215" s="7" t="n">
        <v>826.1</v>
      </c>
      <c r="Z215" s="7" t="n">
        <v>321.5</v>
      </c>
      <c r="AB215" s="7" t="n">
        <v>9609.5</v>
      </c>
    </row>
    <row r="216">
      <c r="A216" s="4" t="inlineStr">
        <is>
          <t>物业费</t>
        </is>
      </c>
      <c r="D216" s="7" t="n">
        <v>769.3</v>
      </c>
      <c r="F216" s="7" t="n">
        <v>1570.8</v>
      </c>
      <c r="H216" s="7" t="n">
        <v>1224.2</v>
      </c>
      <c r="J216" s="7" t="n">
        <v>1122.4</v>
      </c>
      <c r="L216" s="7" t="n">
        <v>1084.3</v>
      </c>
      <c r="N216" s="7" t="n">
        <v>1247.8</v>
      </c>
      <c r="P216" s="7" t="n">
        <v>2646.4</v>
      </c>
      <c r="R216" s="7" t="n">
        <v>2092.9</v>
      </c>
      <c r="T216" s="7" t="n">
        <v>499.8</v>
      </c>
      <c r="V216" s="7" t="n">
        <v>1242</v>
      </c>
      <c r="X216" s="7" t="n">
        <v>969.3</v>
      </c>
      <c r="Z216" s="7" t="n">
        <v>495.7</v>
      </c>
      <c r="AB216" s="7" t="n">
        <v>14964.9</v>
      </c>
    </row>
    <row r="217">
      <c r="A217" s="4" t="inlineStr">
        <is>
          <t>劳动保护费</t>
        </is>
      </c>
      <c r="D217" s="7" t="n">
        <v>790.9</v>
      </c>
      <c r="F217" s="7" t="n">
        <v>2763.6</v>
      </c>
      <c r="H217" s="7" t="n">
        <v>1495.9</v>
      </c>
      <c r="J217" s="7" t="n">
        <v>1617</v>
      </c>
      <c r="L217" s="7" t="n">
        <v>1924.2</v>
      </c>
      <c r="N217" s="7" t="n">
        <v>2032.6</v>
      </c>
      <c r="P217" s="7" t="n">
        <v>4351.4</v>
      </c>
      <c r="R217" s="7" t="n">
        <v>3866.6</v>
      </c>
      <c r="T217" s="7" t="n">
        <v>1035.1</v>
      </c>
      <c r="V217" s="7" t="n">
        <v>2212.8</v>
      </c>
      <c r="X217" s="7" t="n">
        <v>1987.7</v>
      </c>
      <c r="Z217" s="7" t="n">
        <v>742.2</v>
      </c>
      <c r="AB217" s="7" t="n">
        <v>24820</v>
      </c>
    </row>
    <row r="218">
      <c r="A218" s="4" t="inlineStr">
        <is>
          <t>顾问费</t>
        </is>
      </c>
      <c r="D218" s="7" t="n">
        <v>62.5</v>
      </c>
      <c r="F218" s="7" t="n">
        <v>78.40000000000001</v>
      </c>
      <c r="H218" s="7" t="n">
        <v>89.40000000000001</v>
      </c>
      <c r="J218" s="7" t="n">
        <v>108.2</v>
      </c>
      <c r="L218" s="7" t="n">
        <v>100.1</v>
      </c>
      <c r="N218" s="7" t="n">
        <v>107.2</v>
      </c>
      <c r="P218" s="7" t="n">
        <v>166</v>
      </c>
      <c r="R218" s="7" t="n">
        <v>121</v>
      </c>
      <c r="T218" s="7" t="n">
        <v>40.8</v>
      </c>
      <c r="V218" s="7" t="n">
        <v>75.09999999999999</v>
      </c>
      <c r="X218" s="7" t="n">
        <v>73.7</v>
      </c>
      <c r="Z218" s="7" t="n">
        <v>33.8</v>
      </c>
      <c r="AB218" s="7" t="n">
        <v>1056.2</v>
      </c>
    </row>
    <row r="219">
      <c r="A219" s="4" t="inlineStr">
        <is>
          <t>快递费</t>
        </is>
      </c>
      <c r="D219" s="7" t="n">
        <v>90.5</v>
      </c>
      <c r="F219" s="7" t="n">
        <v>206.7</v>
      </c>
      <c r="H219" s="7" t="n">
        <v>148.3</v>
      </c>
      <c r="J219" s="7" t="n">
        <v>242.8</v>
      </c>
      <c r="L219" s="7" t="n">
        <v>146.9</v>
      </c>
      <c r="N219" s="7" t="n">
        <v>171.7</v>
      </c>
      <c r="P219" s="7" t="n">
        <v>284.6</v>
      </c>
      <c r="R219" s="7" t="n">
        <v>292.8</v>
      </c>
      <c r="T219" s="7" t="n">
        <v>95.5</v>
      </c>
      <c r="V219" s="7" t="n">
        <v>177</v>
      </c>
      <c r="X219" s="7" t="n">
        <v>167</v>
      </c>
      <c r="Z219" s="7" t="n">
        <v>72.90000000000001</v>
      </c>
      <c r="AB219" s="7" t="n">
        <v>2096.7</v>
      </c>
    </row>
    <row r="220">
      <c r="A220" s="4" t="inlineStr">
        <is>
          <t>诉讼费</t>
        </is>
      </c>
      <c r="D220" s="7" t="n">
        <v>730.3</v>
      </c>
      <c r="F220" s="7" t="n">
        <v>1660.8</v>
      </c>
      <c r="H220" s="7" t="n">
        <v>1967.5</v>
      </c>
      <c r="J220" s="7" t="n">
        <v>2206.1</v>
      </c>
      <c r="L220" s="7" t="n">
        <v>1508.8</v>
      </c>
      <c r="N220" s="7" t="n">
        <v>2549.6</v>
      </c>
      <c r="P220" s="7" t="n">
        <v>3328.4</v>
      </c>
      <c r="R220" s="7" t="n">
        <v>2226.6</v>
      </c>
      <c r="T220" s="7" t="n">
        <v>727.9</v>
      </c>
      <c r="V220" s="7" t="n">
        <v>1688.2</v>
      </c>
      <c r="X220" s="7" t="n">
        <v>1627.9</v>
      </c>
      <c r="Z220" s="7" t="n">
        <v>721</v>
      </c>
      <c r="AB220" s="7" t="n">
        <v>20943.1</v>
      </c>
    </row>
    <row r="221">
      <c r="A221" s="4" t="inlineStr">
        <is>
          <t>会员费</t>
        </is>
      </c>
      <c r="D221" s="7" t="n">
        <v>391</v>
      </c>
      <c r="F221" s="7" t="n">
        <v>1225.8</v>
      </c>
      <c r="H221" s="7" t="n">
        <v>724.8</v>
      </c>
      <c r="J221" s="7" t="n">
        <v>1320</v>
      </c>
      <c r="L221" s="7" t="n">
        <v>824.3</v>
      </c>
      <c r="N221" s="7" t="n">
        <v>924.2</v>
      </c>
      <c r="P221" s="7" t="n">
        <v>1817.7</v>
      </c>
      <c r="R221" s="7" t="n">
        <v>1669.2</v>
      </c>
      <c r="T221" s="7" t="n">
        <v>429.6</v>
      </c>
      <c r="V221" s="7" t="n">
        <v>801.5</v>
      </c>
      <c r="X221" s="7" t="n">
        <v>636.8</v>
      </c>
      <c r="Z221" s="7" t="n">
        <v>387.5</v>
      </c>
      <c r="AB221" s="7" t="n">
        <v>11152.4</v>
      </c>
    </row>
    <row r="222">
      <c r="A222" s="4" t="inlineStr">
        <is>
          <t>广告宣传费</t>
        </is>
      </c>
      <c r="D222" s="7" t="n">
        <v>4295.1</v>
      </c>
      <c r="F222" s="7" t="n">
        <v>14310.2</v>
      </c>
      <c r="H222" s="7" t="n">
        <v>8727.5</v>
      </c>
      <c r="J222" s="7" t="n">
        <v>14971.2</v>
      </c>
      <c r="L222" s="7" t="n">
        <v>9791.5</v>
      </c>
      <c r="N222" s="7" t="n">
        <v>12514.4</v>
      </c>
      <c r="P222" s="7" t="n">
        <v>18855.4</v>
      </c>
      <c r="R222" s="7" t="n">
        <v>19953</v>
      </c>
      <c r="T222" s="7" t="n">
        <v>5305</v>
      </c>
      <c r="V222" s="7" t="n">
        <v>6678.3</v>
      </c>
      <c r="X222" s="7" t="n">
        <v>9326.6</v>
      </c>
      <c r="Z222" s="7" t="n">
        <v>4818.2</v>
      </c>
      <c r="AB222" s="7" t="n">
        <v>129546.4</v>
      </c>
    </row>
    <row r="223">
      <c r="A223" s="4" t="inlineStr">
        <is>
          <t>会务费</t>
        </is>
      </c>
      <c r="D223" s="7" t="n">
        <v>423.9</v>
      </c>
      <c r="F223" s="7" t="n">
        <v>494.7</v>
      </c>
      <c r="H223" s="7" t="n">
        <v>752.5</v>
      </c>
      <c r="J223" s="7" t="n">
        <v>725.2</v>
      </c>
      <c r="L223" s="7" t="n">
        <v>560.6</v>
      </c>
      <c r="N223" s="7" t="n">
        <v>931.4</v>
      </c>
      <c r="P223" s="7" t="n">
        <v>1159.4</v>
      </c>
      <c r="R223" s="7" t="n">
        <v>921.5</v>
      </c>
      <c r="T223" s="7" t="n">
        <v>372.8</v>
      </c>
      <c r="V223" s="7" t="n">
        <v>633.5</v>
      </c>
      <c r="X223" s="7" t="n">
        <v>606.2</v>
      </c>
      <c r="Z223" s="7" t="n">
        <v>185</v>
      </c>
      <c r="AB223" s="7" t="n">
        <v>7766.7</v>
      </c>
    </row>
    <row r="224">
      <c r="A224" s="4" t="inlineStr">
        <is>
          <t>装修费</t>
        </is>
      </c>
      <c r="D224" s="7" t="n">
        <v>876.1</v>
      </c>
      <c r="F224" s="7" t="n">
        <v>1589.3</v>
      </c>
      <c r="H224" s="7" t="n">
        <v>1430.2</v>
      </c>
      <c r="J224" s="7" t="n">
        <v>1449.6</v>
      </c>
      <c r="L224" s="7" t="n">
        <v>1060.5</v>
      </c>
      <c r="N224" s="7" t="n">
        <v>2044.4</v>
      </c>
      <c r="P224" s="7" t="n">
        <v>2770.1</v>
      </c>
      <c r="R224" s="7" t="n">
        <v>2479.9</v>
      </c>
      <c r="T224" s="7" t="n">
        <v>941.2</v>
      </c>
      <c r="V224" s="7" t="n">
        <v>1962.8</v>
      </c>
      <c r="X224" s="7" t="n">
        <v>1371.7</v>
      </c>
      <c r="Z224" s="7" t="n">
        <v>721</v>
      </c>
      <c r="AB224" s="7" t="n">
        <v>18696.8</v>
      </c>
    </row>
    <row r="225">
      <c r="A225" s="4" t="inlineStr">
        <is>
          <t>推广费</t>
        </is>
      </c>
      <c r="D225" s="7" t="n">
        <v>335.3</v>
      </c>
      <c r="F225" s="7" t="n">
        <v>963.7</v>
      </c>
      <c r="H225" s="7" t="n">
        <v>687.3</v>
      </c>
      <c r="J225" s="7" t="n">
        <v>736</v>
      </c>
      <c r="L225" s="7" t="n">
        <v>809</v>
      </c>
      <c r="N225" s="7" t="n">
        <v>829.5</v>
      </c>
      <c r="P225" s="7" t="n">
        <v>1444.1</v>
      </c>
      <c r="R225" s="7" t="n">
        <v>1270</v>
      </c>
      <c r="T225" s="7" t="n">
        <v>290.3</v>
      </c>
      <c r="V225" s="7" t="n">
        <v>796.1</v>
      </c>
      <c r="X225" s="7" t="n">
        <v>776.3</v>
      </c>
      <c r="Z225" s="7" t="n">
        <v>211.3</v>
      </c>
      <c r="AB225" s="7" t="n">
        <v>9148.9</v>
      </c>
    </row>
    <row r="226">
      <c r="A226" s="4" t="inlineStr">
        <is>
          <t>展会费</t>
        </is>
      </c>
      <c r="D226" s="7" t="n">
        <v>675.3</v>
      </c>
      <c r="F226" s="7" t="n">
        <v>1284.4</v>
      </c>
      <c r="H226" s="7" t="n">
        <v>932.6</v>
      </c>
      <c r="J226" s="7" t="n">
        <v>1494.1</v>
      </c>
      <c r="L226" s="7" t="n">
        <v>978.7</v>
      </c>
      <c r="N226" s="7" t="n">
        <v>1475.5</v>
      </c>
      <c r="P226" s="7" t="n">
        <v>2105.2</v>
      </c>
      <c r="R226" s="7" t="n">
        <v>1954.1</v>
      </c>
      <c r="T226" s="7" t="n">
        <v>619.9</v>
      </c>
      <c r="V226" s="7" t="n">
        <v>741.2</v>
      </c>
      <c r="X226" s="7" t="n">
        <v>713.2</v>
      </c>
      <c r="Z226" s="7" t="n">
        <v>502.5</v>
      </c>
      <c r="AB226" s="7" t="n">
        <v>13476.7</v>
      </c>
    </row>
    <row r="227">
      <c r="A227" s="4" t="inlineStr">
        <is>
          <t>设计费</t>
        </is>
      </c>
      <c r="D227" s="7" t="n">
        <v>846.3</v>
      </c>
      <c r="F227" s="7" t="n">
        <v>1495.6</v>
      </c>
      <c r="H227" s="7" t="n">
        <v>1646.8</v>
      </c>
      <c r="J227" s="7" t="n">
        <v>2036.6</v>
      </c>
      <c r="L227" s="7" t="n">
        <v>1124.6</v>
      </c>
      <c r="N227" s="7" t="n">
        <v>1448.7</v>
      </c>
      <c r="P227" s="7" t="n">
        <v>3367.1</v>
      </c>
      <c r="R227" s="7" t="n">
        <v>2626.8</v>
      </c>
      <c r="T227" s="7" t="n">
        <v>565.5</v>
      </c>
      <c r="V227" s="7" t="n">
        <v>1368</v>
      </c>
      <c r="X227" s="7" t="n">
        <v>1765</v>
      </c>
      <c r="Z227" s="7" t="n">
        <v>571</v>
      </c>
      <c r="AB227" s="7" t="n">
        <v>18862</v>
      </c>
    </row>
    <row r="228">
      <c r="A228" s="4" t="inlineStr">
        <is>
          <t>折旧费</t>
        </is>
      </c>
      <c r="D228" s="7" t="n">
        <v>5802.3</v>
      </c>
      <c r="F228" s="7" t="n">
        <v>10605.2</v>
      </c>
      <c r="H228" s="7" t="n">
        <v>10940.2</v>
      </c>
      <c r="J228" s="7" t="n">
        <v>19368.8</v>
      </c>
      <c r="L228" s="7" t="n">
        <v>10213.4</v>
      </c>
      <c r="N228" s="7" t="n">
        <v>12303.7</v>
      </c>
      <c r="P228" s="7" t="n">
        <v>28139.1</v>
      </c>
      <c r="R228" s="7" t="n">
        <v>18816.5</v>
      </c>
      <c r="T228" s="7" t="n">
        <v>8236.200000000001</v>
      </c>
      <c r="V228" s="7" t="n">
        <v>10683.2</v>
      </c>
      <c r="X228" s="7" t="n">
        <v>12657.7</v>
      </c>
      <c r="Z228" s="7" t="n">
        <v>4923.2</v>
      </c>
      <c r="AB228" s="7" t="n">
        <v>152689.5</v>
      </c>
    </row>
    <row r="229">
      <c r="A229" s="4" t="inlineStr">
        <is>
          <t>认证费</t>
        </is>
      </c>
      <c r="D229" s="7" t="n">
        <v>398.4</v>
      </c>
      <c r="F229" s="7" t="n">
        <v>770.8</v>
      </c>
      <c r="H229" s="7" t="n">
        <v>478.5</v>
      </c>
      <c r="J229" s="7" t="n">
        <v>581.8</v>
      </c>
      <c r="L229" s="7" t="n">
        <v>612.9</v>
      </c>
      <c r="N229" s="7" t="n">
        <v>704.2</v>
      </c>
      <c r="P229" s="7" t="n">
        <v>1481.7</v>
      </c>
      <c r="R229" s="7" t="n">
        <v>1022.7</v>
      </c>
      <c r="T229" s="7" t="n">
        <v>334.1</v>
      </c>
      <c r="V229" s="7" t="n">
        <v>603.1</v>
      </c>
      <c r="X229" s="7" t="n">
        <v>640.8</v>
      </c>
      <c r="Z229" s="7" t="n">
        <v>256.6</v>
      </c>
      <c r="AB229" s="7" t="n">
        <v>7885.6</v>
      </c>
    </row>
    <row r="230">
      <c r="A230" s="4" t="inlineStr">
        <is>
          <t>样品费</t>
        </is>
      </c>
      <c r="D230" s="7" t="n">
        <v>3864.3</v>
      </c>
      <c r="F230" s="7" t="n">
        <v>7740</v>
      </c>
      <c r="H230" s="7" t="n">
        <v>4654.9</v>
      </c>
      <c r="J230" s="7" t="n">
        <v>6005.8</v>
      </c>
      <c r="L230" s="7" t="n">
        <v>4126</v>
      </c>
      <c r="N230" s="7" t="n">
        <v>6982.4</v>
      </c>
      <c r="P230" s="7" t="n">
        <v>13725.4</v>
      </c>
      <c r="R230" s="7" t="n">
        <v>8926.799999999999</v>
      </c>
      <c r="T230" s="7" t="n">
        <v>3692.5</v>
      </c>
      <c r="V230" s="7" t="n">
        <v>7431.1</v>
      </c>
      <c r="X230" s="7" t="n">
        <v>5177.9</v>
      </c>
      <c r="Z230" s="7" t="n">
        <v>2968.5</v>
      </c>
      <c r="AB230" s="7" t="n">
        <v>75295.60000000001</v>
      </c>
    </row>
    <row r="231">
      <c r="A231" s="4" t="inlineStr">
        <is>
          <t>劳务费</t>
        </is>
      </c>
      <c r="D231" s="7" t="n">
        <v>1264</v>
      </c>
      <c r="F231" s="7" t="n">
        <v>2470.5</v>
      </c>
      <c r="H231" s="7" t="n">
        <v>1744.4</v>
      </c>
      <c r="J231" s="7" t="n">
        <v>2604.7</v>
      </c>
      <c r="L231" s="7" t="n">
        <v>1765.6</v>
      </c>
      <c r="N231" s="7" t="n">
        <v>3350.8</v>
      </c>
      <c r="P231" s="7" t="n">
        <v>4646.6</v>
      </c>
      <c r="R231" s="7" t="n">
        <v>4391.9</v>
      </c>
      <c r="T231" s="7" t="n">
        <v>866</v>
      </c>
      <c r="V231" s="7" t="n">
        <v>2610.9</v>
      </c>
      <c r="X231" s="7" t="n">
        <v>1982.4</v>
      </c>
      <c r="Z231" s="7" t="n">
        <v>1131.4</v>
      </c>
      <c r="AB231" s="7" t="n">
        <v>28829.2</v>
      </c>
    </row>
    <row r="232">
      <c r="A232" s="4" t="inlineStr">
        <is>
          <t>销售佣金</t>
        </is>
      </c>
      <c r="D232" s="7" t="n">
        <v>346.8</v>
      </c>
      <c r="F232" s="7" t="n">
        <v>655.8</v>
      </c>
      <c r="H232" s="7" t="n">
        <v>518.7</v>
      </c>
      <c r="J232" s="7" t="n">
        <v>802.5</v>
      </c>
      <c r="L232" s="7" t="n">
        <v>617.1</v>
      </c>
      <c r="N232" s="7" t="n">
        <v>611.9</v>
      </c>
      <c r="P232" s="7" t="n">
        <v>1025.9</v>
      </c>
      <c r="R232" s="7" t="n">
        <v>912.5</v>
      </c>
      <c r="T232" s="7" t="n">
        <v>317.2</v>
      </c>
      <c r="V232" s="7" t="n">
        <v>401.4</v>
      </c>
      <c r="X232" s="7" t="n">
        <v>466.2</v>
      </c>
      <c r="Z232" s="7" t="n">
        <v>180.5</v>
      </c>
      <c r="AB232" s="7" t="n">
        <v>6856.5</v>
      </c>
    </row>
    <row r="233">
      <c r="A233" s="4" t="inlineStr">
        <is>
          <t>检测费</t>
        </is>
      </c>
      <c r="D233" s="7" t="n">
        <v>467.1</v>
      </c>
      <c r="F233" s="7" t="n">
        <v>1595.5</v>
      </c>
      <c r="H233" s="7" t="n">
        <v>1519.2</v>
      </c>
      <c r="J233" s="7" t="n">
        <v>1383</v>
      </c>
      <c r="L233" s="7" t="n">
        <v>779.4</v>
      </c>
      <c r="N233" s="7" t="n">
        <v>1300.2</v>
      </c>
      <c r="P233" s="7" t="n">
        <v>1972.5</v>
      </c>
      <c r="R233" s="7" t="n">
        <v>1773</v>
      </c>
      <c r="T233" s="7" t="n">
        <v>734.4</v>
      </c>
      <c r="V233" s="7" t="n">
        <v>903.1</v>
      </c>
      <c r="X233" s="7" t="n">
        <v>1176.7</v>
      </c>
      <c r="Z233" s="7" t="n">
        <v>595.8</v>
      </c>
      <c r="AB233" s="7" t="n">
        <v>14199.9</v>
      </c>
    </row>
    <row r="234">
      <c r="A234" s="4" t="inlineStr">
        <is>
          <t>质量赔偿</t>
        </is>
      </c>
      <c r="D234" s="7" t="n">
        <v>727.9</v>
      </c>
      <c r="F234" s="7" t="n">
        <v>1303.2</v>
      </c>
      <c r="H234" s="7" t="n">
        <v>1040.1</v>
      </c>
      <c r="J234" s="7" t="n">
        <v>1148.4</v>
      </c>
      <c r="L234" s="7" t="n">
        <v>914.3</v>
      </c>
      <c r="N234" s="7" t="n">
        <v>1433.7</v>
      </c>
      <c r="P234" s="7" t="n">
        <v>1875</v>
      </c>
      <c r="R234" s="7" t="n">
        <v>1865.6</v>
      </c>
      <c r="T234" s="7" t="n">
        <v>832.4</v>
      </c>
      <c r="V234" s="7" t="n">
        <v>1563.1</v>
      </c>
      <c r="X234" s="7" t="n">
        <v>1438.3</v>
      </c>
      <c r="Z234" s="7" t="n">
        <v>558.4</v>
      </c>
      <c r="AB234" s="7" t="n">
        <v>14700.4</v>
      </c>
    </row>
    <row r="235">
      <c r="A235" s="4" t="inlineStr">
        <is>
          <t>保险费</t>
        </is>
      </c>
      <c r="D235" s="7" t="n">
        <v>938.2</v>
      </c>
      <c r="F235" s="7" t="n">
        <v>1954.5</v>
      </c>
      <c r="H235" s="7" t="n">
        <v>1185.2</v>
      </c>
      <c r="J235" s="7" t="n">
        <v>1426.1</v>
      </c>
      <c r="L235" s="7" t="n">
        <v>1007.1</v>
      </c>
      <c r="N235" s="7" t="n">
        <v>1815.1</v>
      </c>
      <c r="P235" s="7" t="n">
        <v>3988.6</v>
      </c>
      <c r="R235" s="7" t="n">
        <v>1975.1</v>
      </c>
      <c r="T235" s="7" t="n">
        <v>708.5</v>
      </c>
      <c r="V235" s="7" t="n">
        <v>1992.4</v>
      </c>
      <c r="X235" s="7" t="n">
        <v>1536</v>
      </c>
      <c r="Z235" s="7" t="n">
        <v>591.9</v>
      </c>
      <c r="AB235" s="7" t="n">
        <v>19118.7</v>
      </c>
    </row>
    <row r="236">
      <c r="A236" s="4" t="inlineStr">
        <is>
          <t>清洁费</t>
        </is>
      </c>
      <c r="D236" s="7" t="n">
        <v>528.8</v>
      </c>
      <c r="F236" s="7" t="n">
        <v>1692.2</v>
      </c>
      <c r="H236" s="7" t="n">
        <v>1338.8</v>
      </c>
      <c r="J236" s="7" t="n">
        <v>1391.7</v>
      </c>
      <c r="L236" s="7" t="n">
        <v>1064.7</v>
      </c>
      <c r="N236" s="7" t="n">
        <v>1268.9</v>
      </c>
      <c r="P236" s="7" t="n">
        <v>3113.3</v>
      </c>
      <c r="R236" s="7" t="n">
        <v>1839.5</v>
      </c>
      <c r="T236" s="7" t="n">
        <v>792.4</v>
      </c>
      <c r="V236" s="7" t="n">
        <v>1429.7</v>
      </c>
      <c r="X236" s="7" t="n">
        <v>921.2</v>
      </c>
      <c r="Z236" s="7" t="n">
        <v>512.3</v>
      </c>
      <c r="AB236" s="7" t="n">
        <v>15893.5</v>
      </c>
    </row>
    <row r="237">
      <c r="A237" s="4" t="inlineStr">
        <is>
          <t>低值易耗品</t>
        </is>
      </c>
      <c r="D237" s="7" t="n">
        <v>1115.1</v>
      </c>
      <c r="F237" s="7" t="n">
        <v>2080.9</v>
      </c>
      <c r="H237" s="7" t="n">
        <v>1483.7</v>
      </c>
      <c r="J237" s="7" t="n">
        <v>2544.4</v>
      </c>
      <c r="L237" s="7" t="n">
        <v>1702.6</v>
      </c>
      <c r="N237" s="7" t="n">
        <v>2068.6</v>
      </c>
      <c r="P237" s="7" t="n">
        <v>3080.3</v>
      </c>
      <c r="R237" s="7" t="n">
        <v>2268.1</v>
      </c>
      <c r="T237" s="7" t="n">
        <v>723.2</v>
      </c>
      <c r="V237" s="7" t="n">
        <v>1751.4</v>
      </c>
      <c r="X237" s="7" t="n">
        <v>1226.4</v>
      </c>
      <c r="Z237" s="7" t="n">
        <v>820.7</v>
      </c>
      <c r="AB237" s="7" t="n">
        <v>20865.4</v>
      </c>
    </row>
    <row r="238">
      <c r="A238" s="4" t="inlineStr">
        <is>
          <t>物料消耗</t>
        </is>
      </c>
      <c r="D238" s="7" t="n">
        <v>230.8</v>
      </c>
      <c r="F238" s="7" t="n">
        <v>511.8</v>
      </c>
      <c r="H238" s="7" t="n">
        <v>341.3</v>
      </c>
      <c r="J238" s="7" t="n">
        <v>467.4</v>
      </c>
      <c r="L238" s="7" t="n">
        <v>402.2</v>
      </c>
      <c r="N238" s="7" t="n">
        <v>500.7</v>
      </c>
      <c r="P238" s="7" t="n">
        <v>707.4</v>
      </c>
      <c r="R238" s="7" t="n">
        <v>797.9</v>
      </c>
      <c r="T238" s="7" t="n">
        <v>170.2</v>
      </c>
      <c r="V238" s="7" t="n">
        <v>357.8</v>
      </c>
      <c r="X238" s="7" t="n">
        <v>387.7</v>
      </c>
      <c r="Z238" s="7" t="n">
        <v>217.2</v>
      </c>
      <c r="AB238" s="7" t="n">
        <v>5092.4</v>
      </c>
    </row>
    <row r="239">
      <c r="A239" s="4" t="inlineStr">
        <is>
          <t>盘盈盘亏</t>
        </is>
      </c>
      <c r="D239" s="7" t="n">
        <v>763.9</v>
      </c>
      <c r="F239" s="7" t="n">
        <v>2268.2</v>
      </c>
      <c r="H239" s="7" t="n">
        <v>1814.9</v>
      </c>
      <c r="J239" s="7" t="n">
        <v>1507.4</v>
      </c>
      <c r="L239" s="7" t="n">
        <v>1222.4</v>
      </c>
      <c r="N239" s="7" t="n">
        <v>1827.8</v>
      </c>
      <c r="P239" s="7" t="n">
        <v>3001.7</v>
      </c>
      <c r="R239" s="7" t="n">
        <v>1859.8</v>
      </c>
      <c r="T239" s="7" t="n">
        <v>947.5</v>
      </c>
      <c r="V239" s="7" t="n">
        <v>1739.9</v>
      </c>
      <c r="X239" s="7" t="n">
        <v>1153.9</v>
      </c>
      <c r="Z239" s="7" t="n">
        <v>666.2</v>
      </c>
      <c r="AB239" s="7" t="n">
        <v>18773.6</v>
      </c>
    </row>
    <row r="240">
      <c r="A240" s="4" t="inlineStr">
        <is>
          <t>平台服务费</t>
        </is>
      </c>
      <c r="D240" s="7" t="n">
        <v>1159</v>
      </c>
      <c r="F240" s="7" t="n">
        <v>1944.3</v>
      </c>
      <c r="H240" s="7" t="n">
        <v>1409.2</v>
      </c>
      <c r="J240" s="7" t="n">
        <v>1736.2</v>
      </c>
      <c r="L240" s="7" t="n">
        <v>1903.5</v>
      </c>
      <c r="N240" s="7" t="n">
        <v>2616.6</v>
      </c>
      <c r="P240" s="7" t="n">
        <v>3264.2</v>
      </c>
      <c r="R240" s="7" t="n">
        <v>3215.4</v>
      </c>
      <c r="T240" s="7" t="n">
        <v>1113.9</v>
      </c>
      <c r="V240" s="7" t="n">
        <v>2243.3</v>
      </c>
      <c r="X240" s="7" t="n">
        <v>1843.6</v>
      </c>
      <c r="Z240" s="7" t="n">
        <v>660</v>
      </c>
      <c r="AB240" s="7" t="n">
        <v>23109.2</v>
      </c>
    </row>
    <row r="241">
      <c r="A241" s="4" t="inlineStr">
        <is>
          <t>无形资产摊销</t>
        </is>
      </c>
      <c r="D241" s="7" t="n">
        <v>844.1</v>
      </c>
      <c r="F241" s="7" t="n">
        <v>1511</v>
      </c>
      <c r="H241" s="7" t="n">
        <v>1135.9</v>
      </c>
      <c r="J241" s="7" t="n">
        <v>1168.9</v>
      </c>
      <c r="L241" s="7" t="n">
        <v>1029.7</v>
      </c>
      <c r="N241" s="7" t="n">
        <v>1815.8</v>
      </c>
      <c r="P241" s="7" t="n">
        <v>1811.9</v>
      </c>
      <c r="R241" s="7" t="n">
        <v>1682.5</v>
      </c>
      <c r="T241" s="7" t="n">
        <v>485</v>
      </c>
      <c r="V241" s="7" t="n">
        <v>1004.9</v>
      </c>
      <c r="X241" s="7" t="n">
        <v>1009.7</v>
      </c>
      <c r="Z241" s="7" t="n">
        <v>546.5</v>
      </c>
      <c r="AB241" s="7" t="n">
        <v>14045.9</v>
      </c>
    </row>
    <row r="242">
      <c r="A242" s="4" t="inlineStr">
        <is>
          <t>研发材料</t>
        </is>
      </c>
      <c r="D242" s="7" t="n">
        <v>311.4</v>
      </c>
      <c r="F242" s="7" t="n">
        <v>742.3</v>
      </c>
      <c r="H242" s="7" t="n">
        <v>443.6</v>
      </c>
      <c r="J242" s="7" t="n">
        <v>693</v>
      </c>
      <c r="L242" s="7" t="n">
        <v>360.2</v>
      </c>
      <c r="N242" s="7" t="n">
        <v>518.3</v>
      </c>
      <c r="P242" s="7" t="n">
        <v>1335.7</v>
      </c>
      <c r="R242" s="7" t="n">
        <v>767.2</v>
      </c>
      <c r="T242" s="7" t="n">
        <v>212.4</v>
      </c>
      <c r="V242" s="7" t="n">
        <v>357.6</v>
      </c>
      <c r="X242" s="7" t="n">
        <v>382.9</v>
      </c>
      <c r="Z242" s="7" t="n">
        <v>183.8</v>
      </c>
      <c r="AB242" s="7" t="n">
        <v>6308.4</v>
      </c>
    </row>
    <row r="243">
      <c r="A243" s="4" t="inlineStr">
        <is>
          <t>项目名称</t>
        </is>
      </c>
      <c r="D243" s="7" t="n">
        <v>233.4</v>
      </c>
      <c r="F243" s="7" t="n">
        <v>550.4</v>
      </c>
      <c r="H243" s="7" t="n">
        <v>291.5</v>
      </c>
      <c r="J243" s="7" t="n">
        <v>353.7</v>
      </c>
      <c r="L243" s="7" t="n">
        <v>291.3</v>
      </c>
      <c r="N243" s="7" t="n">
        <v>418.4</v>
      </c>
      <c r="P243" s="7" t="n">
        <v>1033.8</v>
      </c>
      <c r="R243" s="7" t="n">
        <v>769.3</v>
      </c>
      <c r="T243" s="7" t="n">
        <v>209.8</v>
      </c>
      <c r="V243" s="7" t="n">
        <v>418.3</v>
      </c>
      <c r="X243" s="7" t="n">
        <v>326.8</v>
      </c>
      <c r="Z243" s="7" t="n">
        <v>121.9</v>
      </c>
      <c r="AB243" s="7" t="n">
        <v>5018.6</v>
      </c>
    </row>
    <row r="244">
      <c r="A244" s="4" t="inlineStr">
        <is>
          <t>研发费</t>
        </is>
      </c>
      <c r="D244" s="7" t="n">
        <v>1199.7</v>
      </c>
      <c r="F244" s="7" t="n">
        <v>1466.9</v>
      </c>
      <c r="H244" s="7" t="n">
        <v>1925.5</v>
      </c>
      <c r="J244" s="7" t="n">
        <v>1981</v>
      </c>
      <c r="L244" s="7" t="n">
        <v>1808.9</v>
      </c>
      <c r="N244" s="7" t="n">
        <v>1728.5</v>
      </c>
      <c r="P244" s="7" t="n">
        <v>4593</v>
      </c>
      <c r="R244" s="7" t="n">
        <v>2603.4</v>
      </c>
      <c r="T244" s="7" t="n">
        <v>849.6</v>
      </c>
      <c r="V244" s="7" t="n">
        <v>2082.3</v>
      </c>
      <c r="X244" s="7" t="n">
        <v>1925</v>
      </c>
      <c r="Z244" s="7" t="n">
        <v>937.4</v>
      </c>
      <c r="AB244" s="7" t="n">
        <v>23101.2</v>
      </c>
    </row>
    <row r="245">
      <c r="A245" s="4" t="inlineStr">
        <is>
          <t>残保金</t>
        </is>
      </c>
      <c r="D245" s="7" t="n">
        <v>1449.1</v>
      </c>
      <c r="F245" s="7" t="n">
        <v>2932.8</v>
      </c>
      <c r="H245" s="7" t="n">
        <v>2475.3</v>
      </c>
      <c r="J245" s="7" t="n">
        <v>1830.6</v>
      </c>
      <c r="L245" s="7" t="n">
        <v>1407</v>
      </c>
      <c r="N245" s="7" t="n">
        <v>3279.1</v>
      </c>
      <c r="P245" s="7" t="n">
        <v>4966.8</v>
      </c>
      <c r="R245" s="7" t="n">
        <v>2785.4</v>
      </c>
      <c r="T245" s="7" t="n">
        <v>1081.5</v>
      </c>
      <c r="V245" s="7" t="n">
        <v>1882.3</v>
      </c>
      <c r="X245" s="7" t="n">
        <v>2156.6</v>
      </c>
      <c r="Z245" s="7" t="n">
        <v>1105.1</v>
      </c>
      <c r="AB245" s="7" t="n">
        <v>27351.6</v>
      </c>
    </row>
    <row r="246">
      <c r="A246" s="4" t="inlineStr">
        <is>
          <t>环保费</t>
        </is>
      </c>
      <c r="D246" s="7" t="n">
        <v>203.2</v>
      </c>
      <c r="F246" s="7" t="n">
        <v>638.8</v>
      </c>
      <c r="H246" s="7" t="n">
        <v>410.7</v>
      </c>
      <c r="J246" s="7" t="n">
        <v>633</v>
      </c>
      <c r="L246" s="7" t="n">
        <v>525.4</v>
      </c>
      <c r="N246" s="7" t="n">
        <v>586.6</v>
      </c>
      <c r="P246" s="7" t="n">
        <v>773.1</v>
      </c>
      <c r="R246" s="7" t="n">
        <v>1007.1</v>
      </c>
      <c r="T246" s="7" t="n">
        <v>357.4</v>
      </c>
      <c r="V246" s="7" t="n">
        <v>617</v>
      </c>
      <c r="X246" s="7" t="n">
        <v>652.5</v>
      </c>
      <c r="Z246" s="7" t="n">
        <v>264.8</v>
      </c>
      <c r="AB246" s="7" t="n">
        <v>6669.6</v>
      </c>
    </row>
    <row r="247">
      <c r="A247" s="4" t="inlineStr">
        <is>
          <t>报废损失</t>
        </is>
      </c>
      <c r="D247" s="7" t="n">
        <v>178.9</v>
      </c>
      <c r="F247" s="7" t="n">
        <v>502</v>
      </c>
      <c r="H247" s="7" t="n">
        <v>474.4</v>
      </c>
      <c r="J247" s="7" t="n">
        <v>391.8</v>
      </c>
      <c r="L247" s="7" t="n">
        <v>385</v>
      </c>
      <c r="N247" s="7" t="n">
        <v>644.1</v>
      </c>
      <c r="P247" s="7" t="n">
        <v>982.4</v>
      </c>
      <c r="R247" s="7" t="n">
        <v>735.9</v>
      </c>
      <c r="T247" s="7" t="n">
        <v>249.6</v>
      </c>
      <c r="V247" s="7" t="n">
        <v>426.6</v>
      </c>
      <c r="X247" s="7" t="n">
        <v>389.2</v>
      </c>
      <c r="Z247" s="7" t="n">
        <v>170.1</v>
      </c>
      <c r="AB247" s="7" t="n">
        <v>5530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6666.4</v>
      </c>
      <c r="D248" s="7" t="n">
        <v>12362.7</v>
      </c>
      <c r="E248" s="7" t="n">
        <v>7903.8</v>
      </c>
      <c r="F248" s="7" t="n">
        <v>12891.2</v>
      </c>
      <c r="G248" s="7" t="n">
        <v>7229.9</v>
      </c>
      <c r="H248" s="7" t="n">
        <v>7369.8</v>
      </c>
      <c r="I248" s="7" t="n">
        <v>8003.1</v>
      </c>
      <c r="J248" s="7" t="n">
        <v>1708.4</v>
      </c>
      <c r="K248" s="7" t="n">
        <v>6811</v>
      </c>
      <c r="L248" s="7" t="n">
        <v>5023.7</v>
      </c>
      <c r="M248" s="7" t="n">
        <v>7185.7</v>
      </c>
      <c r="N248" s="7" t="n">
        <v>18029.6</v>
      </c>
      <c r="O248" s="7" t="n">
        <v>6301.8</v>
      </c>
      <c r="P248" s="7" t="n">
        <v>9599.6</v>
      </c>
      <c r="Q248" s="7" t="n">
        <v>6195</v>
      </c>
      <c r="R248" s="7" t="n">
        <v>-4084.9</v>
      </c>
      <c r="S248" s="7" t="n">
        <v>6960.5</v>
      </c>
      <c r="T248" s="7" t="n">
        <v>488.2</v>
      </c>
      <c r="U248" s="7" t="n">
        <v>6763.2</v>
      </c>
      <c r="V248" s="7" t="n">
        <v>75</v>
      </c>
      <c r="W248" s="7" t="n">
        <v>7256.6</v>
      </c>
      <c r="X248" s="7" t="n">
        <v>16579.2</v>
      </c>
      <c r="Y248" s="7" t="n">
        <v>7004.5</v>
      </c>
      <c r="Z248" s="7" t="n">
        <v>4897.5</v>
      </c>
      <c r="AA248" s="8" t="n">
        <v>84281.5</v>
      </c>
      <c r="AB248" s="8" t="n">
        <v>84940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1211.3</v>
      </c>
      <c r="E250" s="7" t="n">
        <v>0</v>
      </c>
      <c r="F250" s="7" t="n">
        <v>-739</v>
      </c>
      <c r="G250" s="7" t="n">
        <v>0</v>
      </c>
      <c r="H250" s="7" t="n">
        <v>-324.5</v>
      </c>
      <c r="I250" s="7" t="n">
        <v>0</v>
      </c>
      <c r="J250" s="7" t="n">
        <v>-910.5</v>
      </c>
      <c r="K250" s="7" t="n">
        <v>0</v>
      </c>
      <c r="L250" s="7" t="n">
        <v>3045</v>
      </c>
      <c r="M250" s="7" t="n">
        <v>0</v>
      </c>
      <c r="N250" s="7" t="n">
        <v>-1829.8</v>
      </c>
      <c r="O250" s="7" t="n">
        <v>0</v>
      </c>
      <c r="P250" s="7" t="n">
        <v>-1176.3</v>
      </c>
      <c r="Q250" s="7" t="n">
        <v>0</v>
      </c>
      <c r="R250" s="7" t="n">
        <v>-3204.3</v>
      </c>
      <c r="S250" s="7" t="n">
        <v>0</v>
      </c>
      <c r="T250" s="7" t="n">
        <v>-2662.1</v>
      </c>
      <c r="U250" s="7" t="n">
        <v>0</v>
      </c>
      <c r="V250" s="7" t="n">
        <v>1453.5</v>
      </c>
      <c r="W250" s="7" t="n">
        <v>0</v>
      </c>
      <c r="X250" s="7" t="n">
        <v>-1409.1</v>
      </c>
      <c r="Y250" s="7" t="n">
        <v>0</v>
      </c>
      <c r="Z250" s="7" t="n">
        <v>-4175.8</v>
      </c>
      <c r="AA250" s="7" t="n">
        <v>0</v>
      </c>
      <c r="AB250" s="7" t="n">
        <v>-10721.6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13542.4</v>
      </c>
      <c r="D255" s="7" t="n">
        <v>25278.1</v>
      </c>
      <c r="E255" s="7" t="n">
        <v>13052.4</v>
      </c>
      <c r="F255" s="7" t="n">
        <v>15383.7</v>
      </c>
      <c r="G255" s="7" t="n">
        <v>11534.1</v>
      </c>
      <c r="H255" s="7" t="n">
        <v>19309.6</v>
      </c>
      <c r="I255" s="7" t="n">
        <v>13134.4</v>
      </c>
      <c r="J255" s="7" t="n">
        <v>23576.2</v>
      </c>
      <c r="K255" s="7" t="n">
        <v>14219.4</v>
      </c>
      <c r="L255" s="7" t="n">
        <v>27798.2</v>
      </c>
      <c r="M255" s="7" t="n">
        <v>14221</v>
      </c>
      <c r="N255" s="7" t="n">
        <v>2952.3</v>
      </c>
      <c r="O255" s="7" t="n">
        <v>13307.9</v>
      </c>
      <c r="P255" s="7" t="n">
        <v>2140.5</v>
      </c>
      <c r="Q255" s="7" t="n">
        <v>13261.3</v>
      </c>
      <c r="R255" s="7" t="n">
        <v>1148.4</v>
      </c>
      <c r="S255" s="7" t="n">
        <v>13901.7</v>
      </c>
      <c r="T255" s="7" t="n">
        <v>6009.2</v>
      </c>
      <c r="U255" s="7" t="n">
        <v>10547.2</v>
      </c>
      <c r="V255" s="7" t="n">
        <v>5899.4</v>
      </c>
      <c r="W255" s="7" t="n">
        <v>11627</v>
      </c>
      <c r="X255" s="7" t="n">
        <v>9877.200000000001</v>
      </c>
      <c r="Y255" s="7" t="n">
        <v>13567.4</v>
      </c>
      <c r="Z255" s="7" t="n">
        <v>9081.5</v>
      </c>
      <c r="AA255" s="7" t="n">
        <v>155916.2</v>
      </c>
      <c r="AB255" s="7" t="n">
        <v>148454.3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1410366.1</v>
      </c>
      <c r="D256" s="7" t="n">
        <v>1150807.2</v>
      </c>
      <c r="E256" s="7" t="n">
        <v>1428012.7</v>
      </c>
      <c r="F256" s="7" t="n">
        <v>906096.5</v>
      </c>
      <c r="G256" s="7" t="n">
        <v>1543198.8</v>
      </c>
      <c r="H256" s="7" t="n">
        <v>1206521.4</v>
      </c>
      <c r="I256" s="7" t="n">
        <v>1531109.5</v>
      </c>
      <c r="J256" s="7" t="n">
        <v>1568770.5</v>
      </c>
      <c r="K256" s="7" t="n">
        <v>1516139</v>
      </c>
      <c r="L256" s="7" t="n">
        <v>1880180.1</v>
      </c>
      <c r="M256" s="7" t="n">
        <v>1404807.3</v>
      </c>
      <c r="N256" s="7" t="n">
        <v>1723232.1</v>
      </c>
      <c r="O256" s="7" t="n">
        <v>1545731.6</v>
      </c>
      <c r="P256" s="7" t="n">
        <v>1891515.5</v>
      </c>
      <c r="Q256" s="7" t="n">
        <v>1341564</v>
      </c>
      <c r="R256" s="7" t="n">
        <v>1889178.4</v>
      </c>
      <c r="S256" s="7" t="n">
        <v>1288169.3</v>
      </c>
      <c r="T256" s="7" t="n">
        <v>930016.7</v>
      </c>
      <c r="U256" s="7" t="n">
        <v>1536443.5</v>
      </c>
      <c r="V256" s="7" t="n">
        <v>1653901.9</v>
      </c>
      <c r="W256" s="7" t="n">
        <v>1505663.2</v>
      </c>
      <c r="X256" s="7" t="n">
        <v>1044858.3</v>
      </c>
      <c r="Y256" s="7" t="n">
        <v>1297438</v>
      </c>
      <c r="Z256" s="7" t="n">
        <v>1210102.6</v>
      </c>
      <c r="AA256" s="8" t="n">
        <v>17348643</v>
      </c>
      <c r="AB256" s="8" t="n">
        <v>17055181.2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2249.9</v>
      </c>
      <c r="E257" s="7" t="n">
        <v>0</v>
      </c>
      <c r="F257" s="7" t="n">
        <v>2792.2</v>
      </c>
      <c r="G257" s="7" t="n">
        <v>0</v>
      </c>
      <c r="H257" s="7" t="n">
        <v>1873.5</v>
      </c>
      <c r="I257" s="7" t="n">
        <v>0</v>
      </c>
      <c r="J257" s="7" t="n">
        <v>2887.5</v>
      </c>
      <c r="K257" s="7" t="n">
        <v>0</v>
      </c>
      <c r="L257" s="7" t="n">
        <v>641.7</v>
      </c>
      <c r="M257" s="7" t="n">
        <v>0</v>
      </c>
      <c r="N257" s="7" t="n">
        <v>4716.8</v>
      </c>
      <c r="O257" s="7" t="n">
        <v>0</v>
      </c>
      <c r="P257" s="7" t="n">
        <v>48.4</v>
      </c>
      <c r="Q257" s="7" t="n">
        <v>0</v>
      </c>
      <c r="R257" s="7" t="n">
        <v>4052</v>
      </c>
      <c r="S257" s="7" t="n">
        <v>0</v>
      </c>
      <c r="T257" s="7" t="n">
        <v>4171.5</v>
      </c>
      <c r="U257" s="7" t="n">
        <v>0</v>
      </c>
      <c r="V257" s="7" t="n">
        <v>1699.1</v>
      </c>
      <c r="W257" s="7" t="n">
        <v>0</v>
      </c>
      <c r="X257" s="7" t="n">
        <v>2095.7</v>
      </c>
      <c r="Y257" s="7" t="n">
        <v>0</v>
      </c>
      <c r="Z257" s="7" t="n">
        <v>3428.8</v>
      </c>
      <c r="AA257" s="7" t="n">
        <v>0</v>
      </c>
      <c r="AB257" s="7" t="n">
        <v>30657.1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1210.1</v>
      </c>
      <c r="E258" s="7" t="n">
        <v>0</v>
      </c>
      <c r="F258" s="7" t="n">
        <v>2335.9</v>
      </c>
      <c r="G258" s="7" t="n">
        <v>0</v>
      </c>
      <c r="H258" s="7" t="n">
        <v>1612.8</v>
      </c>
      <c r="I258" s="7" t="n">
        <v>0</v>
      </c>
      <c r="J258" s="7" t="n">
        <v>978.2</v>
      </c>
      <c r="K258" s="7" t="n">
        <v>0</v>
      </c>
      <c r="L258" s="7" t="n">
        <v>69.7</v>
      </c>
      <c r="M258" s="7" t="n">
        <v>0</v>
      </c>
      <c r="N258" s="7" t="n">
        <v>2356.1</v>
      </c>
      <c r="O258" s="7" t="n">
        <v>0</v>
      </c>
      <c r="P258" s="7" t="n">
        <v>2766.4</v>
      </c>
      <c r="Q258" s="7" t="n">
        <v>0</v>
      </c>
      <c r="R258" s="7" t="n">
        <v>461.1</v>
      </c>
      <c r="S258" s="7" t="n">
        <v>0</v>
      </c>
      <c r="T258" s="7" t="n">
        <v>2857.9</v>
      </c>
      <c r="U258" s="7" t="n">
        <v>0</v>
      </c>
      <c r="V258" s="7" t="n">
        <v>990.8</v>
      </c>
      <c r="W258" s="7" t="n">
        <v>0</v>
      </c>
      <c r="X258" s="7" t="n">
        <v>1889.5</v>
      </c>
      <c r="Y258" s="7" t="n">
        <v>0</v>
      </c>
      <c r="Z258" s="7" t="n">
        <v>1809</v>
      </c>
      <c r="AA258" s="7" t="n">
        <v>0</v>
      </c>
      <c r="AB258" s="7" t="n">
        <v>19337.5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1237887.1</v>
      </c>
      <c r="D259" s="7" t="n">
        <v>1175627.2</v>
      </c>
      <c r="E259" s="7" t="n">
        <v>1426918.8</v>
      </c>
      <c r="F259" s="7" t="n">
        <v>972594</v>
      </c>
      <c r="G259" s="7" t="n">
        <v>1207440.2</v>
      </c>
      <c r="H259" s="7" t="n">
        <v>1322389</v>
      </c>
      <c r="I259" s="7" t="n">
        <v>1484277.1</v>
      </c>
      <c r="J259" s="7" t="n">
        <v>1475963.5</v>
      </c>
      <c r="K259" s="7" t="n">
        <v>1399826.3</v>
      </c>
      <c r="L259" s="7" t="n">
        <v>1839055.4</v>
      </c>
      <c r="M259" s="7" t="n">
        <v>1272600.5</v>
      </c>
      <c r="N259" s="7" t="n">
        <v>1735119.2</v>
      </c>
      <c r="O259" s="7" t="n">
        <v>1223213.5</v>
      </c>
      <c r="P259" s="7" t="n">
        <v>1773613.1</v>
      </c>
      <c r="Q259" s="7" t="n">
        <v>1599724.6</v>
      </c>
      <c r="R259" s="7" t="n">
        <v>1741308</v>
      </c>
      <c r="S259" s="7" t="n">
        <v>1313528</v>
      </c>
      <c r="T259" s="7" t="n">
        <v>942946.7</v>
      </c>
      <c r="U259" s="7" t="n">
        <v>1292130.7</v>
      </c>
      <c r="V259" s="7" t="n">
        <v>1637870.7</v>
      </c>
      <c r="W259" s="7" t="n">
        <v>1471865.2</v>
      </c>
      <c r="X259" s="7" t="n">
        <v>1127348.6</v>
      </c>
      <c r="Y259" s="7" t="n">
        <v>1223419.3</v>
      </c>
      <c r="Z259" s="7" t="n">
        <v>1111658.7</v>
      </c>
      <c r="AA259" s="8" t="n">
        <v>16152831.3</v>
      </c>
      <c r="AB259" s="8" t="n">
        <v>16855494.1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304535.2</v>
      </c>
      <c r="D260" s="7" t="n">
        <v>293906.8</v>
      </c>
      <c r="E260" s="7" t="n">
        <v>353108.4</v>
      </c>
      <c r="F260" s="7" t="n">
        <v>243148.5</v>
      </c>
      <c r="G260" s="7" t="n">
        <v>316584</v>
      </c>
      <c r="H260" s="7" t="n">
        <v>330597.2</v>
      </c>
      <c r="I260" s="7" t="n">
        <v>389050.2</v>
      </c>
      <c r="J260" s="7" t="n">
        <v>368990.9</v>
      </c>
      <c r="K260" s="7" t="n">
        <v>341765.6</v>
      </c>
      <c r="L260" s="7" t="n">
        <v>459763.8</v>
      </c>
      <c r="M260" s="7" t="n">
        <v>315025.9</v>
      </c>
      <c r="N260" s="7" t="n">
        <v>433779.8</v>
      </c>
      <c r="O260" s="7" t="n">
        <v>310149.2</v>
      </c>
      <c r="P260" s="7" t="n">
        <v>443403.3</v>
      </c>
      <c r="Q260" s="7" t="n">
        <v>354996.3</v>
      </c>
      <c r="R260" s="7" t="n">
        <v>435327</v>
      </c>
      <c r="S260" s="7" t="n">
        <v>348865</v>
      </c>
      <c r="T260" s="7" t="n">
        <v>235736.7</v>
      </c>
      <c r="U260" s="7" t="n">
        <v>305726.7</v>
      </c>
      <c r="V260" s="7" t="n">
        <v>409467.7</v>
      </c>
      <c r="W260" s="7" t="n">
        <v>399099.1</v>
      </c>
      <c r="X260" s="7" t="n">
        <v>281837.2</v>
      </c>
      <c r="Y260" s="7" t="n">
        <v>389681.4</v>
      </c>
      <c r="Z260" s="7" t="n">
        <v>277914.7</v>
      </c>
      <c r="AA260" s="7" t="n">
        <v>4128587</v>
      </c>
      <c r="AB260" s="7" t="n">
        <v>4213873.6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1049883.4</v>
      </c>
      <c r="D261" s="7" t="n">
        <v>881720.4</v>
      </c>
      <c r="E261" s="7" t="n">
        <v>755338.6</v>
      </c>
      <c r="F261" s="7" t="n">
        <v>729445.5</v>
      </c>
      <c r="G261" s="7" t="n">
        <v>1004071.2</v>
      </c>
      <c r="H261" s="7" t="n">
        <v>991791.8</v>
      </c>
      <c r="I261" s="7" t="n">
        <v>748953.6</v>
      </c>
      <c r="J261" s="7" t="n">
        <v>1106972.6</v>
      </c>
      <c r="K261" s="7" t="n">
        <v>1078052.7</v>
      </c>
      <c r="L261" s="7" t="n">
        <v>1379291.6</v>
      </c>
      <c r="M261" s="7" t="n">
        <v>683685.5</v>
      </c>
      <c r="N261" s="7" t="n">
        <v>1301339.4</v>
      </c>
      <c r="O261" s="7" t="n">
        <v>834637.7</v>
      </c>
      <c r="P261" s="7" t="n">
        <v>1330209.8</v>
      </c>
      <c r="Q261" s="7" t="n">
        <v>1099440.8</v>
      </c>
      <c r="R261" s="7" t="n">
        <v>1305981</v>
      </c>
      <c r="S261" s="7" t="n">
        <v>722546.5</v>
      </c>
      <c r="T261" s="7" t="n">
        <v>707210</v>
      </c>
      <c r="U261" s="7" t="n">
        <v>841742.6</v>
      </c>
      <c r="V261" s="7" t="n">
        <v>1228403</v>
      </c>
      <c r="W261" s="7" t="n">
        <v>788909.6</v>
      </c>
      <c r="X261" s="7" t="n">
        <v>845511.4</v>
      </c>
      <c r="Y261" s="7" t="n">
        <v>620896.2</v>
      </c>
      <c r="Z261" s="7" t="n">
        <v>833744</v>
      </c>
      <c r="AA261" s="8" t="n">
        <v>10228158.4</v>
      </c>
      <c r="AB261" s="8" t="n">
        <v>12641620.5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34369.2</v>
      </c>
      <c r="E262" s="7" t="n">
        <v>0</v>
      </c>
      <c r="F262" s="7" t="n">
        <v>45009</v>
      </c>
      <c r="G262" s="7" t="n">
        <v>0</v>
      </c>
      <c r="H262" s="7" t="n">
        <v>128595.9</v>
      </c>
      <c r="I262" s="7" t="n">
        <v>0</v>
      </c>
      <c r="J262" s="7" t="n">
        <v>235676.1</v>
      </c>
      <c r="K262" s="7" t="n">
        <v>0</v>
      </c>
      <c r="L262" s="7" t="n">
        <v>196458</v>
      </c>
      <c r="M262" s="7" t="n">
        <v>0</v>
      </c>
      <c r="N262" s="7" t="n">
        <v>235689.3</v>
      </c>
      <c r="O262" s="7" t="n">
        <v>0</v>
      </c>
      <c r="P262" s="7" t="n">
        <v>374781.7</v>
      </c>
      <c r="Q262" s="7" t="n">
        <v>0</v>
      </c>
      <c r="R262" s="7" t="n">
        <v>230176</v>
      </c>
      <c r="S262" s="7" t="n">
        <v>0</v>
      </c>
      <c r="T262" s="7" t="n">
        <v>106606.6</v>
      </c>
      <c r="U262" s="7" t="n">
        <v>0</v>
      </c>
      <c r="V262" s="7" t="n">
        <v>252376.4</v>
      </c>
      <c r="W262" s="7" t="n">
        <v>0</v>
      </c>
      <c r="X262" s="7" t="n">
        <v>69866.5</v>
      </c>
      <c r="Y262" s="7" t="n">
        <v>0</v>
      </c>
      <c r="Z262" s="7" t="n">
        <v>1861.7</v>
      </c>
      <c r="AA262" s="7" t="n">
        <v>0</v>
      </c>
      <c r="AB262" s="7" t="n">
        <v>1911466.4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1049883.4</v>
      </c>
      <c r="D263" s="7" t="n">
        <v>847351.2</v>
      </c>
      <c r="E263" s="7" t="n">
        <v>755338.6</v>
      </c>
      <c r="F263" s="7" t="n">
        <v>684436.5</v>
      </c>
      <c r="G263" s="7" t="n">
        <v>1004071.2</v>
      </c>
      <c r="H263" s="7" t="n">
        <v>863195.9</v>
      </c>
      <c r="I263" s="7" t="n">
        <v>748953.6</v>
      </c>
      <c r="J263" s="7" t="n">
        <v>871296.5</v>
      </c>
      <c r="K263" s="7" t="n">
        <v>1078052.7</v>
      </c>
      <c r="L263" s="7" t="n">
        <v>1182833.6</v>
      </c>
      <c r="M263" s="7" t="n">
        <v>683685.5</v>
      </c>
      <c r="N263" s="7" t="n">
        <v>1065650.1</v>
      </c>
      <c r="O263" s="7" t="n">
        <v>834637.7</v>
      </c>
      <c r="P263" s="7" t="n">
        <v>955428.1</v>
      </c>
      <c r="Q263" s="7" t="n">
        <v>1099440.8</v>
      </c>
      <c r="R263" s="7" t="n">
        <v>1075805</v>
      </c>
      <c r="S263" s="7" t="n">
        <v>722546.5</v>
      </c>
      <c r="T263" s="7" t="n">
        <v>600603.4</v>
      </c>
      <c r="U263" s="7" t="n">
        <v>841742.6</v>
      </c>
      <c r="V263" s="7" t="n">
        <v>976026.6</v>
      </c>
      <c r="W263" s="7" t="n">
        <v>788909.6</v>
      </c>
      <c r="X263" s="7" t="n">
        <v>775644.9</v>
      </c>
      <c r="Y263" s="7" t="n">
        <v>620896.2</v>
      </c>
      <c r="Z263" s="7" t="n">
        <v>831882.3</v>
      </c>
      <c r="AA263" s="8" t="n">
        <v>10228158.4</v>
      </c>
      <c r="AB263" s="8" t="n">
        <v>10730154.1</v>
      </c>
    </row>
    <row r="264">
      <c r="A264" s="4" t="inlineStr">
        <is>
          <t>净利率</t>
        </is>
      </c>
      <c r="D264" s="13" t="n">
        <v>10.7</v>
      </c>
      <c r="F264" s="13" t="n">
        <v>7.6</v>
      </c>
      <c r="H264" s="13" t="n">
        <v>8.4</v>
      </c>
      <c r="J264" s="13" t="n">
        <v>7.9</v>
      </c>
      <c r="L264" s="13" t="n">
        <v>8.800000000000001</v>
      </c>
      <c r="N264" s="13" t="n">
        <v>8</v>
      </c>
      <c r="P264" s="13" t="n">
        <v>7.7</v>
      </c>
      <c r="R264" s="13" t="n">
        <v>8.9</v>
      </c>
      <c r="T264" s="13" t="n">
        <v>5.4</v>
      </c>
      <c r="V264" s="13" t="n">
        <v>7.5</v>
      </c>
      <c r="X264" s="13" t="n">
        <v>6.9</v>
      </c>
      <c r="Z264" s="13" t="n">
        <v>8.9</v>
      </c>
    </row>
    <row r="265">
      <c r="A265" s="4" t="inlineStr">
        <is>
          <t>销售达成率</t>
        </is>
      </c>
      <c r="D265" s="13" t="n">
        <v>57.6</v>
      </c>
      <c r="F265" s="13" t="n">
        <v>72.7</v>
      </c>
      <c r="H265" s="13" t="n">
        <v>87.3</v>
      </c>
      <c r="J265" s="13" t="n">
        <v>112.2</v>
      </c>
      <c r="L265" s="13" t="n">
        <v>107.7</v>
      </c>
      <c r="N265" s="13" t="n">
        <v>123.1</v>
      </c>
      <c r="P265" s="13" t="n">
        <v>118.5</v>
      </c>
      <c r="R265" s="13" t="n">
        <v>114.7</v>
      </c>
      <c r="T265" s="13" t="n">
        <v>86.3</v>
      </c>
      <c r="V265" s="13" t="n">
        <v>106.7</v>
      </c>
      <c r="X265" s="13" t="n">
        <v>93.09999999999999</v>
      </c>
      <c r="Z265" s="13" t="n">
        <v>75.59999999999999</v>
      </c>
    </row>
    <row r="266">
      <c r="A266" s="4" t="inlineStr">
        <is>
          <t>净利达成率</t>
        </is>
      </c>
      <c r="D266" s="13" t="n">
        <v>84</v>
      </c>
      <c r="F266" s="13" t="n">
        <v>96.59999999999999</v>
      </c>
      <c r="H266" s="13" t="n">
        <v>98.8</v>
      </c>
      <c r="J266" s="13" t="n">
        <v>147.8</v>
      </c>
      <c r="L266" s="13" t="n">
        <v>127.9</v>
      </c>
      <c r="N266" s="13" t="n">
        <v>190.3</v>
      </c>
      <c r="P266" s="13" t="n">
        <v>159.4</v>
      </c>
      <c r="R266" s="13" t="n">
        <v>118.8</v>
      </c>
      <c r="T266" s="13" t="n">
        <v>97.90000000000001</v>
      </c>
      <c r="V266" s="13" t="n">
        <v>145.9</v>
      </c>
      <c r="X266" s="13" t="n">
        <v>107.2</v>
      </c>
      <c r="Z266" s="13" t="n">
        <v>134.3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江苏分部利润表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3257099.7</v>
      </c>
      <c r="D6" s="7" t="n">
        <v>2268214</v>
      </c>
      <c r="E6" s="7" t="n">
        <v>3595061.8</v>
      </c>
      <c r="F6" s="7" t="n">
        <v>2445185.7</v>
      </c>
      <c r="G6" s="7" t="n">
        <v>3524716.4</v>
      </c>
      <c r="H6" s="7" t="n">
        <v>3012301</v>
      </c>
      <c r="I6" s="7" t="n">
        <v>4105055.9</v>
      </c>
      <c r="J6" s="7" t="n">
        <v>3909849.6</v>
      </c>
      <c r="K6" s="7" t="n">
        <v>3424010.8</v>
      </c>
      <c r="L6" s="7" t="n">
        <v>4079909.6</v>
      </c>
      <c r="M6" s="7" t="n">
        <v>3359077.2</v>
      </c>
      <c r="N6" s="7" t="n">
        <v>4418527</v>
      </c>
      <c r="O6" s="7" t="n">
        <v>3646158</v>
      </c>
      <c r="P6" s="7" t="n">
        <v>5097934.9</v>
      </c>
      <c r="Q6" s="7" t="n">
        <v>3616459.6</v>
      </c>
      <c r="R6" s="7" t="n">
        <v>3831297.5</v>
      </c>
      <c r="S6" s="7" t="n">
        <v>3457216.4</v>
      </c>
      <c r="T6" s="7" t="n">
        <v>3704248.5</v>
      </c>
      <c r="U6" s="7" t="n">
        <v>3425288.5</v>
      </c>
      <c r="V6" s="7" t="n">
        <v>4779621.3</v>
      </c>
      <c r="W6" s="7" t="n">
        <v>4173484.2</v>
      </c>
      <c r="X6" s="7" t="n">
        <v>3632683.6</v>
      </c>
      <c r="Y6" s="7" t="n">
        <v>3640066.8</v>
      </c>
      <c r="Z6" s="7" t="n">
        <v>2784318.1</v>
      </c>
      <c r="AA6" s="8" t="n">
        <v>43223695.3</v>
      </c>
      <c r="AB6" s="8" t="n">
        <v>43964090.8</v>
      </c>
    </row>
    <row r="7">
      <c r="A7" s="4" t="inlineStr">
        <is>
          <t>中式汤底</t>
        </is>
      </c>
      <c r="D7" s="7" t="n">
        <v>100798.4</v>
      </c>
      <c r="F7" s="7" t="n">
        <v>155237.6</v>
      </c>
      <c r="H7" s="7" t="n">
        <v>215921.1</v>
      </c>
      <c r="J7" s="7" t="n">
        <v>185114.3</v>
      </c>
      <c r="L7" s="7" t="n">
        <v>177568.8</v>
      </c>
      <c r="N7" s="7" t="n">
        <v>166849.2</v>
      </c>
      <c r="P7" s="7" t="n">
        <v>275181.7</v>
      </c>
      <c r="R7" s="7" t="n">
        <v>177799.8</v>
      </c>
      <c r="T7" s="7" t="n">
        <v>230269.8</v>
      </c>
      <c r="V7" s="7" t="n">
        <v>275818.7</v>
      </c>
      <c r="X7" s="7" t="n">
        <v>158037.6</v>
      </c>
      <c r="Z7" s="7" t="n">
        <v>173243.4</v>
      </c>
      <c r="AB7" s="7" t="n">
        <v>2291840.4</v>
      </c>
    </row>
    <row r="8">
      <c r="A8" s="4" t="inlineStr">
        <is>
          <t>酱料</t>
        </is>
      </c>
      <c r="D8" s="7" t="n">
        <v>119545.9</v>
      </c>
      <c r="F8" s="7" t="n">
        <v>195441.2</v>
      </c>
      <c r="H8" s="7" t="n">
        <v>269166.3</v>
      </c>
      <c r="J8" s="7" t="n">
        <v>337456.8</v>
      </c>
      <c r="L8" s="7" t="n">
        <v>298155.7</v>
      </c>
      <c r="N8" s="7" t="n">
        <v>337841.8</v>
      </c>
      <c r="P8" s="7" t="n">
        <v>357555.2</v>
      </c>
      <c r="R8" s="7" t="n">
        <v>210339</v>
      </c>
      <c r="T8" s="7" t="n">
        <v>229628.7</v>
      </c>
      <c r="V8" s="7" t="n">
        <v>264843.6</v>
      </c>
      <c r="X8" s="7" t="n">
        <v>205045.8</v>
      </c>
      <c r="Z8" s="7" t="n">
        <v>169068.7</v>
      </c>
      <c r="AB8" s="7" t="n">
        <v>2994088.7</v>
      </c>
    </row>
    <row r="9">
      <c r="A9" s="4" t="inlineStr">
        <is>
          <t>川味底料</t>
        </is>
      </c>
      <c r="D9" s="7" t="n">
        <v>196715.6</v>
      </c>
      <c r="F9" s="7" t="n">
        <v>290502.2</v>
      </c>
      <c r="H9" s="7" t="n">
        <v>275347.7</v>
      </c>
      <c r="J9" s="7" t="n">
        <v>304172.7</v>
      </c>
      <c r="L9" s="7" t="n">
        <v>542407.6</v>
      </c>
      <c r="N9" s="7" t="n">
        <v>473007.4</v>
      </c>
      <c r="P9" s="7" t="n">
        <v>597422.3</v>
      </c>
      <c r="R9" s="7" t="n">
        <v>351103.7</v>
      </c>
      <c r="T9" s="7" t="n">
        <v>338945.1</v>
      </c>
      <c r="V9" s="7" t="n">
        <v>378064.6</v>
      </c>
      <c r="X9" s="7" t="n">
        <v>420498.3</v>
      </c>
      <c r="Z9" s="7" t="n">
        <v>291687.4</v>
      </c>
      <c r="AB9" s="7" t="n">
        <v>4459874.6</v>
      </c>
    </row>
    <row r="10">
      <c r="A10" s="4" t="inlineStr">
        <is>
          <t>调味汁</t>
        </is>
      </c>
      <c r="D10" s="7" t="n">
        <v>641080.5</v>
      </c>
      <c r="F10" s="7" t="n">
        <v>650279.4</v>
      </c>
      <c r="H10" s="7" t="n">
        <v>845606.3</v>
      </c>
      <c r="J10" s="7" t="n">
        <v>1357007.1</v>
      </c>
      <c r="L10" s="7" t="n">
        <v>1002123.8</v>
      </c>
      <c r="N10" s="7" t="n">
        <v>1322131.6</v>
      </c>
      <c r="P10" s="7" t="n">
        <v>1037179.3</v>
      </c>
      <c r="R10" s="7" t="n">
        <v>1297214.6</v>
      </c>
      <c r="T10" s="7" t="n">
        <v>1044349.7</v>
      </c>
      <c r="V10" s="7" t="n">
        <v>1221242.3</v>
      </c>
      <c r="X10" s="7" t="n">
        <v>1003186.5</v>
      </c>
      <c r="Z10" s="7" t="n">
        <v>932860.8</v>
      </c>
      <c r="AB10" s="7" t="n">
        <v>12354261.9</v>
      </c>
    </row>
    <row r="11">
      <c r="A11" s="4" t="inlineStr">
        <is>
          <t>复合调味粉</t>
        </is>
      </c>
      <c r="D11" s="7" t="n">
        <v>598292.1</v>
      </c>
      <c r="F11" s="7" t="n">
        <v>541333.3</v>
      </c>
      <c r="H11" s="7" t="n">
        <v>620610.6</v>
      </c>
      <c r="J11" s="7" t="n">
        <v>874160.3</v>
      </c>
      <c r="L11" s="7" t="n">
        <v>1212077.4</v>
      </c>
      <c r="N11" s="7" t="n">
        <v>1079329.7</v>
      </c>
      <c r="P11" s="7" t="n">
        <v>1458246</v>
      </c>
      <c r="R11" s="7" t="n">
        <v>869430.3</v>
      </c>
      <c r="T11" s="7" t="n">
        <v>957912</v>
      </c>
      <c r="V11" s="7" t="n">
        <v>1248892</v>
      </c>
      <c r="X11" s="7" t="n">
        <v>944493.6</v>
      </c>
      <c r="Z11" s="7" t="n">
        <v>440787.3</v>
      </c>
      <c r="AB11" s="7" t="n">
        <v>10845564.6</v>
      </c>
    </row>
    <row r="12">
      <c r="A12" s="4" t="inlineStr">
        <is>
          <t>团餐</t>
        </is>
      </c>
      <c r="D12" s="7" t="n">
        <v>142298.1</v>
      </c>
      <c r="F12" s="7" t="n">
        <v>158296.4</v>
      </c>
      <c r="H12" s="7" t="n">
        <v>124720.9</v>
      </c>
      <c r="J12" s="7" t="n">
        <v>239183.6</v>
      </c>
      <c r="L12" s="7" t="n">
        <v>205722</v>
      </c>
      <c r="N12" s="7" t="n">
        <v>261715.1</v>
      </c>
      <c r="P12" s="7" t="n">
        <v>190518.8</v>
      </c>
      <c r="R12" s="7" t="n">
        <v>213665.4</v>
      </c>
      <c r="T12" s="7" t="n">
        <v>230751.1</v>
      </c>
      <c r="V12" s="7" t="n">
        <v>187189.8</v>
      </c>
      <c r="X12" s="7" t="n">
        <v>193162.6</v>
      </c>
      <c r="Z12" s="7" t="n">
        <v>117109</v>
      </c>
      <c r="AB12" s="7" t="n">
        <v>2264332.8</v>
      </c>
    </row>
    <row r="13">
      <c r="A13" s="4" t="inlineStr">
        <is>
          <t>预制菜</t>
        </is>
      </c>
      <c r="D13" s="7" t="n">
        <v>477970.2</v>
      </c>
      <c r="F13" s="7" t="n">
        <v>447445.9</v>
      </c>
      <c r="H13" s="7" t="n">
        <v>672272.2</v>
      </c>
      <c r="J13" s="7" t="n">
        <v>693371.6</v>
      </c>
      <c r="L13" s="7" t="n">
        <v>675820.8</v>
      </c>
      <c r="N13" s="7" t="n">
        <v>831347.3</v>
      </c>
      <c r="P13" s="7" t="n">
        <v>1307630.9</v>
      </c>
      <c r="R13" s="7" t="n">
        <v>767017.1</v>
      </c>
      <c r="T13" s="7" t="n">
        <v>685489.7</v>
      </c>
      <c r="V13" s="7" t="n">
        <v>1252244</v>
      </c>
      <c r="X13" s="7" t="n">
        <v>732400.4</v>
      </c>
      <c r="Z13" s="7" t="n">
        <v>685991.6</v>
      </c>
      <c r="AB13" s="7" t="n">
        <v>9229001.699999999</v>
      </c>
    </row>
    <row r="14">
      <c r="A14" s="4" t="inlineStr">
        <is>
          <t>返利</t>
        </is>
      </c>
      <c r="D14" s="7" t="n">
        <v>-29264.3</v>
      </c>
      <c r="F14" s="7" t="n">
        <v>-27505.2</v>
      </c>
      <c r="H14" s="7" t="n">
        <v>-54379.5</v>
      </c>
      <c r="J14" s="7" t="n">
        <v>-104356</v>
      </c>
      <c r="L14" s="7" t="n">
        <v>-84404.89999999999</v>
      </c>
      <c r="N14" s="7" t="n">
        <v>-126143.7</v>
      </c>
      <c r="P14" s="7" t="n">
        <v>-144095.6</v>
      </c>
      <c r="R14" s="7" t="n">
        <v>-74638</v>
      </c>
      <c r="T14" s="7" t="n">
        <v>-80007.2</v>
      </c>
      <c r="V14" s="7" t="n">
        <v>-119480.1</v>
      </c>
      <c r="X14" s="7" t="n">
        <v>-57625.1</v>
      </c>
      <c r="Z14" s="7" t="n">
        <v>-77632.5</v>
      </c>
      <c r="AB14" s="7" t="n">
        <v>-979532.1</v>
      </c>
    </row>
    <row r="15">
      <c r="A15" s="4" t="inlineStr">
        <is>
          <t>其他</t>
        </is>
      </c>
      <c r="D15" s="7" t="n">
        <v>20777.5</v>
      </c>
      <c r="F15" s="7" t="n">
        <v>34154.9</v>
      </c>
      <c r="H15" s="7" t="n">
        <v>43035.4</v>
      </c>
      <c r="J15" s="7" t="n">
        <v>23739.2</v>
      </c>
      <c r="L15" s="7" t="n">
        <v>50438.4</v>
      </c>
      <c r="N15" s="7" t="n">
        <v>72448.60000000001</v>
      </c>
      <c r="P15" s="7" t="n">
        <v>18296.3</v>
      </c>
      <c r="R15" s="7" t="n">
        <v>19365.6</v>
      </c>
      <c r="T15" s="7" t="n">
        <v>66909.60000000001</v>
      </c>
      <c r="V15" s="7" t="n">
        <v>70806.39999999999</v>
      </c>
      <c r="X15" s="7" t="n">
        <v>33483.9</v>
      </c>
      <c r="Z15" s="7" t="n">
        <v>51202.4</v>
      </c>
      <c r="AB15" s="7" t="n">
        <v>504658.2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2412696.5</v>
      </c>
      <c r="D16" s="7" t="n">
        <v>1599538.2</v>
      </c>
      <c r="E16" s="7" t="n">
        <v>2631167.7</v>
      </c>
      <c r="F16" s="7" t="n">
        <v>1725096.1</v>
      </c>
      <c r="G16" s="7" t="n">
        <v>3025747.2</v>
      </c>
      <c r="H16" s="7" t="n">
        <v>2128493.8</v>
      </c>
      <c r="I16" s="7" t="n">
        <v>2678096.5</v>
      </c>
      <c r="J16" s="7" t="n">
        <v>2869133.9</v>
      </c>
      <c r="K16" s="7" t="n">
        <v>3028061.9</v>
      </c>
      <c r="L16" s="7" t="n">
        <v>2880660.1</v>
      </c>
      <c r="M16" s="7" t="n">
        <v>2301400.7</v>
      </c>
      <c r="N16" s="7" t="n">
        <v>3218153.8</v>
      </c>
      <c r="O16" s="7" t="n">
        <v>2324092.2</v>
      </c>
      <c r="P16" s="7" t="n">
        <v>3699758.1</v>
      </c>
      <c r="Q16" s="7" t="n">
        <v>2847122.9</v>
      </c>
      <c r="R16" s="7" t="n">
        <v>2767593.3</v>
      </c>
      <c r="S16" s="7" t="n">
        <v>2498712.9</v>
      </c>
      <c r="T16" s="7" t="n">
        <v>2607641.7</v>
      </c>
      <c r="U16" s="7" t="n">
        <v>2597513.9</v>
      </c>
      <c r="V16" s="7" t="n">
        <v>3512929.8</v>
      </c>
      <c r="W16" s="7" t="n">
        <v>2440782.6</v>
      </c>
      <c r="X16" s="7" t="n">
        <v>2618930.8</v>
      </c>
      <c r="Y16" s="7" t="n">
        <v>2641114.8</v>
      </c>
      <c r="Z16" s="7" t="n">
        <v>2007890.8</v>
      </c>
      <c r="AA16" s="8" t="n">
        <v>31426509.8</v>
      </c>
      <c r="AB16" s="8" t="n">
        <v>31635820.4</v>
      </c>
    </row>
    <row r="17">
      <c r="A17" s="4" t="inlineStr">
        <is>
          <t>中式汤底</t>
        </is>
      </c>
      <c r="D17" s="7" t="n">
        <v>57393.2</v>
      </c>
      <c r="F17" s="7" t="n">
        <v>88390.10000000001</v>
      </c>
      <c r="H17" s="7" t="n">
        <v>122942.5</v>
      </c>
      <c r="J17" s="7" t="n">
        <v>105401.5</v>
      </c>
      <c r="L17" s="7" t="n">
        <v>101105.2</v>
      </c>
      <c r="N17" s="7" t="n">
        <v>95001.60000000001</v>
      </c>
      <c r="P17" s="7" t="n">
        <v>156684.7</v>
      </c>
      <c r="R17" s="7" t="n">
        <v>101236.7</v>
      </c>
      <c r="T17" s="7" t="n">
        <v>131112.4</v>
      </c>
      <c r="V17" s="7" t="n">
        <v>157047.4</v>
      </c>
      <c r="X17" s="7" t="n">
        <v>89984.39999999999</v>
      </c>
      <c r="Z17" s="7" t="n">
        <v>98642.39999999999</v>
      </c>
      <c r="AB17" s="7" t="n">
        <v>1304942.1</v>
      </c>
    </row>
    <row r="18">
      <c r="A18" s="4" t="inlineStr">
        <is>
          <t>酱料</t>
        </is>
      </c>
      <c r="D18" s="7" t="n">
        <v>76056.3</v>
      </c>
      <c r="F18" s="7" t="n">
        <v>124341.7</v>
      </c>
      <c r="H18" s="7" t="n">
        <v>171246.4</v>
      </c>
      <c r="J18" s="7" t="n">
        <v>214693.5</v>
      </c>
      <c r="L18" s="7" t="n">
        <v>189689.7</v>
      </c>
      <c r="N18" s="7" t="n">
        <v>214938.4</v>
      </c>
      <c r="P18" s="7" t="n">
        <v>227480.3</v>
      </c>
      <c r="R18" s="7" t="n">
        <v>133819.8</v>
      </c>
      <c r="T18" s="7" t="n">
        <v>146092.1</v>
      </c>
      <c r="V18" s="7" t="n">
        <v>168496.2</v>
      </c>
      <c r="X18" s="7" t="n">
        <v>130452.2</v>
      </c>
      <c r="Z18" s="7" t="n">
        <v>107563.2</v>
      </c>
      <c r="AB18" s="7" t="n">
        <v>1904869.8</v>
      </c>
    </row>
    <row r="19">
      <c r="A19" s="4" t="inlineStr">
        <is>
          <t>川味底料</t>
        </is>
      </c>
      <c r="D19" s="7" t="n">
        <v>124858.5</v>
      </c>
      <c r="F19" s="7" t="n">
        <v>184386.3</v>
      </c>
      <c r="H19" s="7" t="n">
        <v>174767.5</v>
      </c>
      <c r="J19" s="7" t="n">
        <v>193063.2</v>
      </c>
      <c r="L19" s="7" t="n">
        <v>344274.6</v>
      </c>
      <c r="N19" s="7" t="n">
        <v>300225.2</v>
      </c>
      <c r="P19" s="7" t="n">
        <v>379193.3</v>
      </c>
      <c r="R19" s="7" t="n">
        <v>222851</v>
      </c>
      <c r="T19" s="7" t="n">
        <v>215133.8</v>
      </c>
      <c r="V19" s="7" t="n">
        <v>239963.5</v>
      </c>
      <c r="X19" s="7" t="n">
        <v>266896.9</v>
      </c>
      <c r="Z19" s="7" t="n">
        <v>185138.6</v>
      </c>
      <c r="AB19" s="7" t="n">
        <v>2830752.4</v>
      </c>
    </row>
    <row r="20">
      <c r="A20" s="4" t="inlineStr">
        <is>
          <t>调味汁</t>
        </is>
      </c>
      <c r="D20" s="7" t="n">
        <v>412474.4</v>
      </c>
      <c r="F20" s="7" t="n">
        <v>418393</v>
      </c>
      <c r="H20" s="7" t="n">
        <v>544067.3</v>
      </c>
      <c r="J20" s="7" t="n">
        <v>873105.1</v>
      </c>
      <c r="L20" s="7" t="n">
        <v>644771.4</v>
      </c>
      <c r="N20" s="7" t="n">
        <v>850666</v>
      </c>
      <c r="P20" s="7" t="n">
        <v>667326.3</v>
      </c>
      <c r="R20" s="7" t="n">
        <v>834634.3</v>
      </c>
      <c r="T20" s="7" t="n">
        <v>671939.7</v>
      </c>
      <c r="V20" s="7" t="n">
        <v>785753.3</v>
      </c>
      <c r="X20" s="7" t="n">
        <v>645455.1</v>
      </c>
      <c r="Z20" s="7" t="n">
        <v>600207.2</v>
      </c>
      <c r="AB20" s="7" t="n">
        <v>7948793.1</v>
      </c>
    </row>
    <row r="21">
      <c r="A21" s="4" t="inlineStr">
        <is>
          <t>复合调味粉</t>
        </is>
      </c>
      <c r="D21" s="7" t="n">
        <v>416300.7</v>
      </c>
      <c r="F21" s="7" t="n">
        <v>376667.9</v>
      </c>
      <c r="H21" s="7" t="n">
        <v>431830.3</v>
      </c>
      <c r="J21" s="7" t="n">
        <v>608254</v>
      </c>
      <c r="L21" s="7" t="n">
        <v>843381.8</v>
      </c>
      <c r="N21" s="7" t="n">
        <v>751014</v>
      </c>
      <c r="P21" s="7" t="n">
        <v>1014669.7</v>
      </c>
      <c r="R21" s="7" t="n">
        <v>604962.8</v>
      </c>
      <c r="T21" s="7" t="n">
        <v>666529.7</v>
      </c>
      <c r="V21" s="7" t="n">
        <v>868998</v>
      </c>
      <c r="X21" s="7" t="n">
        <v>657193</v>
      </c>
      <c r="Z21" s="7" t="n">
        <v>306706.5</v>
      </c>
      <c r="AB21" s="7" t="n">
        <v>7546508.4</v>
      </c>
    </row>
    <row r="22">
      <c r="A22" s="4" t="inlineStr">
        <is>
          <t>团餐</t>
        </is>
      </c>
      <c r="D22" s="7" t="n">
        <v>97427.7</v>
      </c>
      <c r="F22" s="7" t="n">
        <v>108381.3</v>
      </c>
      <c r="H22" s="7" t="n">
        <v>85393</v>
      </c>
      <c r="J22" s="7" t="n">
        <v>163762.5</v>
      </c>
      <c r="L22" s="7" t="n">
        <v>140852.3</v>
      </c>
      <c r="N22" s="7" t="n">
        <v>179189.2</v>
      </c>
      <c r="P22" s="7" t="n">
        <v>130443.1</v>
      </c>
      <c r="R22" s="7" t="n">
        <v>146290.9</v>
      </c>
      <c r="T22" s="7" t="n">
        <v>157989</v>
      </c>
      <c r="V22" s="7" t="n">
        <v>128163.8</v>
      </c>
      <c r="X22" s="7" t="n">
        <v>132253.2</v>
      </c>
      <c r="Z22" s="7" t="n">
        <v>80181.39999999999</v>
      </c>
      <c r="AB22" s="7" t="n">
        <v>1550327.4</v>
      </c>
    </row>
    <row r="23">
      <c r="A23" s="4" t="inlineStr">
        <is>
          <t>预制菜</t>
        </is>
      </c>
      <c r="D23" s="7" t="n">
        <v>356963.9</v>
      </c>
      <c r="F23" s="7" t="n">
        <v>334167.4</v>
      </c>
      <c r="H23" s="7" t="n">
        <v>502075.1</v>
      </c>
      <c r="J23" s="7" t="n">
        <v>517832.8</v>
      </c>
      <c r="L23" s="7" t="n">
        <v>504725.3</v>
      </c>
      <c r="N23" s="7" t="n">
        <v>620877.6</v>
      </c>
      <c r="P23" s="7" t="n">
        <v>976582</v>
      </c>
      <c r="R23" s="7" t="n">
        <v>572833.7</v>
      </c>
      <c r="T23" s="7" t="n">
        <v>511946.4</v>
      </c>
      <c r="V23" s="7" t="n">
        <v>935217.2</v>
      </c>
      <c r="X23" s="7" t="n">
        <v>546980.8</v>
      </c>
      <c r="Z23" s="7" t="n">
        <v>512321.2</v>
      </c>
      <c r="AB23" s="7" t="n">
        <v>6892523.4</v>
      </c>
    </row>
    <row r="24">
      <c r="A24" s="4" t="inlineStr">
        <is>
          <t>其他</t>
        </is>
      </c>
      <c r="D24" s="7" t="n">
        <v>14248.4</v>
      </c>
      <c r="F24" s="7" t="n">
        <v>2393.1</v>
      </c>
      <c r="H24" s="7" t="n">
        <v>28228.4</v>
      </c>
      <c r="J24" s="7" t="n">
        <v>40127.6</v>
      </c>
      <c r="L24" s="7" t="n">
        <v>21106.9</v>
      </c>
      <c r="N24" s="7" t="n">
        <v>44935.2</v>
      </c>
      <c r="P24" s="7" t="n">
        <v>60800.6</v>
      </c>
      <c r="R24" s="7" t="n">
        <v>20759</v>
      </c>
      <c r="T24" s="7" t="n">
        <v>537</v>
      </c>
      <c r="V24" s="7" t="n">
        <v>7531.5</v>
      </c>
      <c r="X24" s="7" t="n">
        <v>45292.2</v>
      </c>
      <c r="Z24" s="7" t="n">
        <v>12369.7</v>
      </c>
      <c r="AB24" s="7" t="n">
        <v>298329.6</v>
      </c>
    </row>
    <row r="25">
      <c r="A25" s="4" t="inlineStr">
        <is>
          <t>运费</t>
        </is>
      </c>
      <c r="D25" s="7" t="n">
        <v>58063.5</v>
      </c>
      <c r="F25" s="7" t="n">
        <v>90368.39999999999</v>
      </c>
      <c r="H25" s="7" t="n">
        <v>96171.7</v>
      </c>
      <c r="J25" s="7" t="n">
        <v>193021.3</v>
      </c>
      <c r="L25" s="7" t="n">
        <v>111859.8</v>
      </c>
      <c r="N25" s="7" t="n">
        <v>206241.8</v>
      </c>
      <c r="P25" s="7" t="n">
        <v>147378.7</v>
      </c>
      <c r="R25" s="7" t="n">
        <v>150964.1</v>
      </c>
      <c r="T25" s="7" t="n">
        <v>106898.6</v>
      </c>
      <c r="V25" s="7" t="n">
        <v>229290.4</v>
      </c>
      <c r="X25" s="7" t="n">
        <v>149715.2</v>
      </c>
      <c r="Z25" s="7" t="n">
        <v>117130.3</v>
      </c>
      <c r="AB25" s="7" t="n">
        <v>1657103.8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844403.2</v>
      </c>
      <c r="D26" s="7" t="n">
        <v>668675.8</v>
      </c>
      <c r="E26" s="7" t="n">
        <v>963894.1</v>
      </c>
      <c r="F26" s="7" t="n">
        <v>720089.6</v>
      </c>
      <c r="G26" s="7" t="n">
        <v>498969.2</v>
      </c>
      <c r="H26" s="7" t="n">
        <v>883807.2</v>
      </c>
      <c r="I26" s="7" t="n">
        <v>1426959.4</v>
      </c>
      <c r="J26" s="7" t="n">
        <v>1040715.7</v>
      </c>
      <c r="K26" s="7" t="n">
        <v>395948.9</v>
      </c>
      <c r="L26" s="7" t="n">
        <v>1199249.5</v>
      </c>
      <c r="M26" s="7" t="n">
        <v>1057676.5</v>
      </c>
      <c r="N26" s="7" t="n">
        <v>1200373.2</v>
      </c>
      <c r="O26" s="7" t="n">
        <v>1322065.8</v>
      </c>
      <c r="P26" s="7" t="n">
        <v>1398176.8</v>
      </c>
      <c r="Q26" s="7" t="n">
        <v>769336.7</v>
      </c>
      <c r="R26" s="7" t="n">
        <v>1063704.2</v>
      </c>
      <c r="S26" s="7" t="n">
        <v>958503.5</v>
      </c>
      <c r="T26" s="7" t="n">
        <v>1096606.8</v>
      </c>
      <c r="U26" s="7" t="n">
        <v>827774.6</v>
      </c>
      <c r="V26" s="7" t="n">
        <v>1266691.5</v>
      </c>
      <c r="W26" s="7" t="n">
        <v>1732701.6</v>
      </c>
      <c r="X26" s="7" t="n">
        <v>1013752.8</v>
      </c>
      <c r="Y26" s="7" t="n">
        <v>998952</v>
      </c>
      <c r="Z26" s="7" t="n">
        <v>776427.3</v>
      </c>
      <c r="AA26" s="8" t="n">
        <v>11797185.5</v>
      </c>
      <c r="AB26" s="8" t="n">
        <v>12328270.4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25.9</v>
      </c>
      <c r="D27" s="13" t="n">
        <v>29.5</v>
      </c>
      <c r="E27" s="13" t="n">
        <v>26.8</v>
      </c>
      <c r="F27" s="13" t="n">
        <v>29.4</v>
      </c>
      <c r="G27" s="13" t="n">
        <v>14.2</v>
      </c>
      <c r="H27" s="13" t="n">
        <v>29.3</v>
      </c>
      <c r="I27" s="13" t="n">
        <v>34.8</v>
      </c>
      <c r="J27" s="13" t="n">
        <v>26.6</v>
      </c>
      <c r="K27" s="13" t="n">
        <v>11.6</v>
      </c>
      <c r="L27" s="13" t="n">
        <v>29.4</v>
      </c>
      <c r="M27" s="13" t="n">
        <v>31.5</v>
      </c>
      <c r="N27" s="13" t="n">
        <v>27.2</v>
      </c>
      <c r="O27" s="13" t="n">
        <v>36.3</v>
      </c>
      <c r="P27" s="13" t="n">
        <v>27.4</v>
      </c>
      <c r="Q27" s="13" t="n">
        <v>21.3</v>
      </c>
      <c r="R27" s="13" t="n">
        <v>27.8</v>
      </c>
      <c r="S27" s="13" t="n">
        <v>27.7</v>
      </c>
      <c r="T27" s="13" t="n">
        <v>29.6</v>
      </c>
      <c r="U27" s="13" t="n">
        <v>24.2</v>
      </c>
      <c r="V27" s="13" t="n">
        <v>26.5</v>
      </c>
      <c r="W27" s="13" t="n">
        <v>41.5</v>
      </c>
      <c r="X27" s="13" t="n">
        <v>27.9</v>
      </c>
      <c r="Y27" s="13" t="n">
        <v>27.4</v>
      </c>
      <c r="Z27" s="13" t="n">
        <v>27.9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31695.5</v>
      </c>
      <c r="D28" s="7" t="n">
        <v>28322.6</v>
      </c>
      <c r="E28" s="7" t="n">
        <v>34132.9</v>
      </c>
      <c r="F28" s="7" t="n">
        <v>24079.2</v>
      </c>
      <c r="G28" s="7" t="n">
        <v>32675.6</v>
      </c>
      <c r="H28" s="7" t="n">
        <v>17117</v>
      </c>
      <c r="I28" s="7" t="n">
        <v>29500.8</v>
      </c>
      <c r="J28" s="7" t="n">
        <v>40992</v>
      </c>
      <c r="K28" s="7" t="n">
        <v>36453.1</v>
      </c>
      <c r="L28" s="7" t="n">
        <v>30284.9</v>
      </c>
      <c r="M28" s="7" t="n">
        <v>35579.4</v>
      </c>
      <c r="N28" s="7" t="n">
        <v>64069.5</v>
      </c>
      <c r="O28" s="7" t="n">
        <v>30270.1</v>
      </c>
      <c r="P28" s="7" t="n">
        <v>32639.8</v>
      </c>
      <c r="Q28" s="7" t="n">
        <v>32343.5</v>
      </c>
      <c r="R28" s="7" t="n">
        <v>50589.5</v>
      </c>
      <c r="S28" s="7" t="n">
        <v>30910.4</v>
      </c>
      <c r="T28" s="7" t="n">
        <v>49694.8</v>
      </c>
      <c r="U28" s="7" t="n">
        <v>29063.6</v>
      </c>
      <c r="V28" s="7" t="n">
        <v>32051.6</v>
      </c>
      <c r="W28" s="7" t="n">
        <v>35555.7</v>
      </c>
      <c r="X28" s="7" t="n">
        <v>18819.7</v>
      </c>
      <c r="Y28" s="7" t="n">
        <v>30905.2</v>
      </c>
      <c r="Z28" s="7" t="n">
        <v>16720.3</v>
      </c>
      <c r="AA28" s="8" t="n">
        <v>389085.8</v>
      </c>
      <c r="AB28" s="8" t="n">
        <v>405380.9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749183.8</v>
      </c>
      <c r="D29" s="7" t="n">
        <v>463875.5</v>
      </c>
      <c r="E29" s="7" t="n">
        <v>638826.9</v>
      </c>
      <c r="F29" s="7" t="n">
        <v>551328.7</v>
      </c>
      <c r="G29" s="7" t="n">
        <v>611723.5</v>
      </c>
      <c r="H29" s="7" t="n">
        <v>667907.8</v>
      </c>
      <c r="I29" s="7" t="n">
        <v>582419.8</v>
      </c>
      <c r="J29" s="7" t="n">
        <v>766924.1</v>
      </c>
      <c r="K29" s="7" t="n">
        <v>648194</v>
      </c>
      <c r="L29" s="7" t="n">
        <v>846424.4</v>
      </c>
      <c r="M29" s="7" t="n">
        <v>761225.7</v>
      </c>
      <c r="N29" s="7" t="n">
        <v>1036372.1</v>
      </c>
      <c r="O29" s="7" t="n">
        <v>631353.7</v>
      </c>
      <c r="P29" s="7" t="n">
        <v>808495.6</v>
      </c>
      <c r="Q29" s="7" t="n">
        <v>602485.9</v>
      </c>
      <c r="R29" s="7" t="n">
        <v>560322</v>
      </c>
      <c r="S29" s="7" t="n">
        <v>697433.9</v>
      </c>
      <c r="T29" s="7" t="n">
        <v>399548.7</v>
      </c>
      <c r="U29" s="7" t="n">
        <v>608144.6</v>
      </c>
      <c r="V29" s="7" t="n">
        <v>481307.2</v>
      </c>
      <c r="W29" s="7" t="n">
        <v>739917.1</v>
      </c>
      <c r="X29" s="7" t="n">
        <v>784156.4</v>
      </c>
      <c r="Y29" s="7" t="n">
        <v>722918.4</v>
      </c>
      <c r="Z29" s="7" t="n">
        <v>598815.3</v>
      </c>
      <c r="AA29" s="8" t="n">
        <v>7993827.3</v>
      </c>
      <c r="AB29" s="8" t="n">
        <v>7965477.8</v>
      </c>
    </row>
    <row r="30">
      <c r="A30" s="4" t="inlineStr">
        <is>
          <t>职工薪酬</t>
        </is>
      </c>
      <c r="D30" s="7" t="n">
        <v>215631</v>
      </c>
      <c r="F30" s="7" t="n">
        <v>272287.5</v>
      </c>
      <c r="H30" s="7" t="n">
        <v>329810.3</v>
      </c>
      <c r="J30" s="7" t="n">
        <v>416752.6</v>
      </c>
      <c r="L30" s="7" t="n">
        <v>389297.8</v>
      </c>
      <c r="N30" s="7" t="n">
        <v>532207.1</v>
      </c>
      <c r="P30" s="7" t="n">
        <v>457650.4</v>
      </c>
      <c r="R30" s="7" t="n">
        <v>257946.2</v>
      </c>
      <c r="T30" s="7" t="n">
        <v>230107.6</v>
      </c>
      <c r="V30" s="7" t="n">
        <v>279163.6</v>
      </c>
      <c r="X30" s="7" t="n">
        <v>393234.4</v>
      </c>
      <c r="Z30" s="7" t="n">
        <v>288782.2</v>
      </c>
      <c r="AB30" s="7" t="n">
        <v>4062870.7</v>
      </c>
    </row>
    <row r="31">
      <c r="A31" s="4" t="inlineStr">
        <is>
          <t>工资</t>
        </is>
      </c>
      <c r="D31" s="7" t="n">
        <v>115264</v>
      </c>
      <c r="F31" s="7" t="n">
        <v>151165.4</v>
      </c>
      <c r="H31" s="7" t="n">
        <v>161134</v>
      </c>
      <c r="J31" s="7" t="n">
        <v>216567.9</v>
      </c>
      <c r="L31" s="7" t="n">
        <v>225930.3</v>
      </c>
      <c r="N31" s="7" t="n">
        <v>290239.7</v>
      </c>
      <c r="P31" s="7" t="n">
        <v>236549.4</v>
      </c>
      <c r="R31" s="7" t="n">
        <v>124325.9</v>
      </c>
      <c r="T31" s="7" t="n">
        <v>142525.1</v>
      </c>
      <c r="V31" s="7" t="n">
        <v>157382.7</v>
      </c>
      <c r="X31" s="7" t="n">
        <v>216753.7</v>
      </c>
      <c r="Z31" s="7" t="n">
        <v>133008.6</v>
      </c>
      <c r="AB31" s="7" t="n">
        <v>2170846.7</v>
      </c>
    </row>
    <row r="32">
      <c r="A32" s="4" t="inlineStr">
        <is>
          <t>奖金及提成</t>
        </is>
      </c>
      <c r="D32" s="7" t="n">
        <v>38554.4</v>
      </c>
      <c r="F32" s="7" t="n">
        <v>48567.7</v>
      </c>
      <c r="H32" s="7" t="n">
        <v>70752.89999999999</v>
      </c>
      <c r="J32" s="7" t="n">
        <v>98922.60000000001</v>
      </c>
      <c r="L32" s="7" t="n">
        <v>64420.4</v>
      </c>
      <c r="N32" s="7" t="n">
        <v>105887.1</v>
      </c>
      <c r="P32" s="7" t="n">
        <v>104645.1</v>
      </c>
      <c r="R32" s="7" t="n">
        <v>67814.60000000001</v>
      </c>
      <c r="T32" s="7" t="n">
        <v>32078.8</v>
      </c>
      <c r="V32" s="7" t="n">
        <v>61386.9</v>
      </c>
      <c r="X32" s="7" t="n">
        <v>83114.3</v>
      </c>
      <c r="Z32" s="7" t="n">
        <v>77178.3</v>
      </c>
      <c r="AB32" s="7" t="n">
        <v>853323.1</v>
      </c>
    </row>
    <row r="33">
      <c r="A33" s="4" t="inlineStr">
        <is>
          <t>社保</t>
        </is>
      </c>
      <c r="D33" s="7" t="n">
        <v>41481.2</v>
      </c>
      <c r="F33" s="7" t="n">
        <v>48814.2</v>
      </c>
      <c r="H33" s="7" t="n">
        <v>68576.5</v>
      </c>
      <c r="J33" s="7" t="n">
        <v>68485.2</v>
      </c>
      <c r="L33" s="7" t="n">
        <v>60890.3</v>
      </c>
      <c r="N33" s="7" t="n">
        <v>89643</v>
      </c>
      <c r="P33" s="7" t="n">
        <v>79580.60000000001</v>
      </c>
      <c r="R33" s="7" t="n">
        <v>39929.9</v>
      </c>
      <c r="T33" s="7" t="n">
        <v>38706.1</v>
      </c>
      <c r="V33" s="7" t="n">
        <v>38091.7</v>
      </c>
      <c r="X33" s="7" t="n">
        <v>56526</v>
      </c>
      <c r="Z33" s="7" t="n">
        <v>51024.8</v>
      </c>
      <c r="AB33" s="7" t="n">
        <v>681749.5</v>
      </c>
    </row>
    <row r="34">
      <c r="A34" s="4" t="inlineStr">
        <is>
          <t>养老</t>
        </is>
      </c>
      <c r="D34" s="7" t="n">
        <v>1654</v>
      </c>
      <c r="F34" s="7" t="n">
        <v>2293.5</v>
      </c>
      <c r="H34" s="7" t="n">
        <v>2150.9</v>
      </c>
      <c r="J34" s="7" t="n">
        <v>3096.6</v>
      </c>
      <c r="L34" s="7" t="n">
        <v>4198.7</v>
      </c>
      <c r="N34" s="7" t="n">
        <v>3338</v>
      </c>
      <c r="P34" s="7" t="n">
        <v>3318.2</v>
      </c>
      <c r="R34" s="7" t="n">
        <v>2661.3</v>
      </c>
      <c r="T34" s="7" t="n">
        <v>1357</v>
      </c>
      <c r="V34" s="7" t="n">
        <v>2110</v>
      </c>
      <c r="X34" s="7" t="n">
        <v>3472.6</v>
      </c>
      <c r="Z34" s="7" t="n">
        <v>2462.3</v>
      </c>
      <c r="AB34" s="7" t="n">
        <v>32113.1</v>
      </c>
    </row>
    <row r="35">
      <c r="A35" s="4" t="inlineStr">
        <is>
          <t>医疗</t>
        </is>
      </c>
      <c r="D35" s="7" t="n">
        <v>168.6</v>
      </c>
      <c r="F35" s="7" t="n">
        <v>190.2</v>
      </c>
      <c r="H35" s="7" t="n">
        <v>207.6</v>
      </c>
      <c r="J35" s="7" t="n">
        <v>247.9</v>
      </c>
      <c r="L35" s="7" t="n">
        <v>240.4</v>
      </c>
      <c r="N35" s="7" t="n">
        <v>510.7</v>
      </c>
      <c r="P35" s="7" t="n">
        <v>336.4</v>
      </c>
      <c r="R35" s="7" t="n">
        <v>279.1</v>
      </c>
      <c r="T35" s="7" t="n">
        <v>179.5</v>
      </c>
      <c r="V35" s="7" t="n">
        <v>169.7</v>
      </c>
      <c r="X35" s="7" t="n">
        <v>267.1</v>
      </c>
      <c r="Z35" s="7" t="n">
        <v>255.6</v>
      </c>
      <c r="AB35" s="7" t="n">
        <v>3052.8</v>
      </c>
    </row>
    <row r="36">
      <c r="A36" s="4" t="inlineStr">
        <is>
          <t>工伤</t>
        </is>
      </c>
      <c r="D36" s="7" t="n">
        <v>2342.2</v>
      </c>
      <c r="F36" s="7" t="n">
        <v>3537.2</v>
      </c>
      <c r="H36" s="7" t="n">
        <v>3626.6</v>
      </c>
      <c r="J36" s="7" t="n">
        <v>3339.1</v>
      </c>
      <c r="L36" s="7" t="n">
        <v>3014.7</v>
      </c>
      <c r="N36" s="7" t="n">
        <v>6244.1</v>
      </c>
      <c r="P36" s="7" t="n">
        <v>3623.7</v>
      </c>
      <c r="R36" s="7" t="n">
        <v>2362.1</v>
      </c>
      <c r="T36" s="7" t="n">
        <v>2039.5</v>
      </c>
      <c r="V36" s="7" t="n">
        <v>2985.8</v>
      </c>
      <c r="X36" s="7" t="n">
        <v>4297.6</v>
      </c>
      <c r="Z36" s="7" t="n">
        <v>2535.3</v>
      </c>
      <c r="AB36" s="7" t="n">
        <v>39947.9</v>
      </c>
    </row>
    <row r="37">
      <c r="A37" s="4" t="inlineStr">
        <is>
          <t>失业</t>
        </is>
      </c>
      <c r="D37" s="7" t="n">
        <v>2366.1</v>
      </c>
      <c r="F37" s="7" t="n">
        <v>2646.1</v>
      </c>
      <c r="H37" s="7" t="n">
        <v>2796.3</v>
      </c>
      <c r="J37" s="7" t="n">
        <v>3086.8</v>
      </c>
      <c r="L37" s="7" t="n">
        <v>3683.1</v>
      </c>
      <c r="N37" s="7" t="n">
        <v>3286.7</v>
      </c>
      <c r="P37" s="7" t="n">
        <v>4452.8</v>
      </c>
      <c r="R37" s="7" t="n">
        <v>1873.9</v>
      </c>
      <c r="T37" s="7" t="n">
        <v>1468.6</v>
      </c>
      <c r="V37" s="7" t="n">
        <v>2344.2</v>
      </c>
      <c r="X37" s="7" t="n">
        <v>2774.2</v>
      </c>
      <c r="Z37" s="7" t="n">
        <v>2220</v>
      </c>
      <c r="AB37" s="7" t="n">
        <v>32998.8</v>
      </c>
    </row>
    <row r="38">
      <c r="A38" s="4" t="inlineStr">
        <is>
          <t>生育</t>
        </is>
      </c>
      <c r="D38" s="7" t="n">
        <v>294.6</v>
      </c>
      <c r="F38" s="7" t="n">
        <v>397.7</v>
      </c>
      <c r="H38" s="7" t="n">
        <v>506</v>
      </c>
      <c r="J38" s="7" t="n">
        <v>388.4</v>
      </c>
      <c r="L38" s="7" t="n">
        <v>380.4</v>
      </c>
      <c r="N38" s="7" t="n">
        <v>707.8</v>
      </c>
      <c r="P38" s="7" t="n">
        <v>431.4</v>
      </c>
      <c r="R38" s="7" t="n">
        <v>382</v>
      </c>
      <c r="T38" s="7" t="n">
        <v>203.6</v>
      </c>
      <c r="V38" s="7" t="n">
        <v>233.4</v>
      </c>
      <c r="X38" s="7" t="n">
        <v>400.8</v>
      </c>
      <c r="Z38" s="7" t="n">
        <v>313.9</v>
      </c>
      <c r="AB38" s="7" t="n">
        <v>4640</v>
      </c>
    </row>
    <row r="39">
      <c r="A39" s="4" t="inlineStr">
        <is>
          <t>公积金</t>
        </is>
      </c>
      <c r="D39" s="7" t="n">
        <v>1474.5</v>
      </c>
      <c r="F39" s="7" t="n">
        <v>1398.8</v>
      </c>
      <c r="H39" s="7" t="n">
        <v>2294.7</v>
      </c>
      <c r="J39" s="7" t="n">
        <v>1686.3</v>
      </c>
      <c r="L39" s="7" t="n">
        <v>3193.5</v>
      </c>
      <c r="N39" s="7" t="n">
        <v>2860.4</v>
      </c>
      <c r="P39" s="7" t="n">
        <v>1902.8</v>
      </c>
      <c r="R39" s="7" t="n">
        <v>1589.1</v>
      </c>
      <c r="T39" s="7" t="n">
        <v>1178.2</v>
      </c>
      <c r="V39" s="7" t="n">
        <v>1614.2</v>
      </c>
      <c r="X39" s="7" t="n">
        <v>2665</v>
      </c>
      <c r="Z39" s="7" t="n">
        <v>2097.7</v>
      </c>
      <c r="AB39" s="7" t="n">
        <v>23955.2</v>
      </c>
    </row>
    <row r="40">
      <c r="A40" s="4" t="inlineStr">
        <is>
          <t>工会经费</t>
        </is>
      </c>
      <c r="D40" s="7" t="n">
        <v>1718.4</v>
      </c>
      <c r="F40" s="7" t="n">
        <v>2664.8</v>
      </c>
      <c r="H40" s="7" t="n">
        <v>4213.9</v>
      </c>
      <c r="J40" s="7" t="n">
        <v>4610.6</v>
      </c>
      <c r="L40" s="7" t="n">
        <v>5518.5</v>
      </c>
      <c r="N40" s="7" t="n">
        <v>5700.9</v>
      </c>
      <c r="P40" s="7" t="n">
        <v>3330.7</v>
      </c>
      <c r="R40" s="7" t="n">
        <v>3312.2</v>
      </c>
      <c r="T40" s="7" t="n">
        <v>1776.3</v>
      </c>
      <c r="V40" s="7" t="n">
        <v>2449.9</v>
      </c>
      <c r="X40" s="7" t="n">
        <v>3966.9</v>
      </c>
      <c r="Z40" s="7" t="n">
        <v>2882.6</v>
      </c>
      <c r="AB40" s="7" t="n">
        <v>42145.7</v>
      </c>
    </row>
    <row r="41">
      <c r="A41" s="4" t="inlineStr">
        <is>
          <t>职工教育经费</t>
        </is>
      </c>
      <c r="D41" s="7" t="n">
        <v>1370</v>
      </c>
      <c r="F41" s="7" t="n">
        <v>1713.3</v>
      </c>
      <c r="H41" s="7" t="n">
        <v>2605.3</v>
      </c>
      <c r="J41" s="7" t="n">
        <v>2416.3</v>
      </c>
      <c r="L41" s="7" t="n">
        <v>2737.2</v>
      </c>
      <c r="N41" s="7" t="n">
        <v>2914.6</v>
      </c>
      <c r="P41" s="7" t="n">
        <v>3214.3</v>
      </c>
      <c r="R41" s="7" t="n">
        <v>2527.7</v>
      </c>
      <c r="T41" s="7" t="n">
        <v>1579.6</v>
      </c>
      <c r="V41" s="7" t="n">
        <v>2401.2</v>
      </c>
      <c r="X41" s="7" t="n">
        <v>3939.4</v>
      </c>
      <c r="Z41" s="7" t="n">
        <v>3051.4</v>
      </c>
      <c r="AB41" s="7" t="n">
        <v>30470.3</v>
      </c>
    </row>
    <row r="42">
      <c r="A42" s="4" t="inlineStr">
        <is>
          <t>福利费</t>
        </is>
      </c>
      <c r="D42" s="7" t="n">
        <v>15768.5</v>
      </c>
      <c r="F42" s="7" t="n">
        <v>17963.3</v>
      </c>
      <c r="H42" s="7" t="n">
        <v>20233</v>
      </c>
      <c r="J42" s="7" t="n">
        <v>24063.7</v>
      </c>
      <c r="L42" s="7" t="n">
        <v>26607.6</v>
      </c>
      <c r="N42" s="7" t="n">
        <v>34961.4</v>
      </c>
      <c r="P42" s="7" t="n">
        <v>28427.5</v>
      </c>
      <c r="R42" s="7" t="n">
        <v>18446.8</v>
      </c>
      <c r="T42" s="7" t="n">
        <v>12263.5</v>
      </c>
      <c r="V42" s="7" t="n">
        <v>15837</v>
      </c>
      <c r="X42" s="7" t="n">
        <v>26269.1</v>
      </c>
      <c r="Z42" s="7" t="n">
        <v>19538.8</v>
      </c>
      <c r="AB42" s="7" t="n">
        <v>260380.2</v>
      </c>
    </row>
    <row r="43">
      <c r="A43" s="4" t="inlineStr">
        <is>
          <t>职工房租</t>
        </is>
      </c>
      <c r="D43" s="7" t="n">
        <v>3147.8</v>
      </c>
      <c r="F43" s="7" t="n">
        <v>3320.1</v>
      </c>
      <c r="H43" s="7" t="n">
        <v>3971.8</v>
      </c>
      <c r="J43" s="7" t="n">
        <v>5111.2</v>
      </c>
      <c r="L43" s="7" t="n">
        <v>5665.3</v>
      </c>
      <c r="N43" s="7" t="n">
        <v>6767.1</v>
      </c>
      <c r="P43" s="7" t="n">
        <v>6079.6</v>
      </c>
      <c r="R43" s="7" t="n">
        <v>3829.3</v>
      </c>
      <c r="T43" s="7" t="n">
        <v>2022.5</v>
      </c>
      <c r="V43" s="7" t="n">
        <v>2076.9</v>
      </c>
      <c r="X43" s="7" t="n">
        <v>5577.2</v>
      </c>
      <c r="Z43" s="7" t="n">
        <v>3867.1</v>
      </c>
      <c r="AB43" s="7" t="n">
        <v>51435.9</v>
      </c>
    </row>
    <row r="44">
      <c r="A44" s="4" t="inlineStr">
        <is>
          <t>水电物业费</t>
        </is>
      </c>
      <c r="D44" s="7" t="n">
        <v>2301.3</v>
      </c>
      <c r="F44" s="7" t="n">
        <v>2658.7</v>
      </c>
      <c r="H44" s="7" t="n">
        <v>2538.3</v>
      </c>
      <c r="J44" s="7" t="n">
        <v>3310.9</v>
      </c>
      <c r="L44" s="7" t="n">
        <v>4162.3</v>
      </c>
      <c r="N44" s="7" t="n">
        <v>3919.2</v>
      </c>
      <c r="P44" s="7" t="n">
        <v>3805.9</v>
      </c>
      <c r="R44" s="7" t="n">
        <v>3159</v>
      </c>
      <c r="T44" s="7" t="n">
        <v>2135.4</v>
      </c>
      <c r="V44" s="7" t="n">
        <v>1510.2</v>
      </c>
      <c r="X44" s="7" t="n">
        <v>4043.7</v>
      </c>
      <c r="Z44" s="7" t="n">
        <v>2886.2</v>
      </c>
      <c r="AB44" s="7" t="n">
        <v>36431.1</v>
      </c>
    </row>
    <row r="45">
      <c r="A45" s="4" t="inlineStr">
        <is>
          <t>员工餐</t>
        </is>
      </c>
      <c r="D45" s="7" t="n">
        <v>2617.7</v>
      </c>
      <c r="F45" s="7" t="n">
        <v>3486.1</v>
      </c>
      <c r="H45" s="7" t="n">
        <v>4981.9</v>
      </c>
      <c r="J45" s="7" t="n">
        <v>4662.3</v>
      </c>
      <c r="L45" s="7" t="n">
        <v>4138.9</v>
      </c>
      <c r="N45" s="7" t="n">
        <v>5942.9</v>
      </c>
      <c r="P45" s="7" t="n">
        <v>5822.7</v>
      </c>
      <c r="R45" s="7" t="n">
        <v>2869.3</v>
      </c>
      <c r="T45" s="7" t="n">
        <v>2117.2</v>
      </c>
      <c r="V45" s="7" t="n">
        <v>3705.8</v>
      </c>
      <c r="X45" s="7" t="n">
        <v>5162.9</v>
      </c>
      <c r="Z45" s="7" t="n">
        <v>3347.1</v>
      </c>
      <c r="AB45" s="7" t="n">
        <v>48854.8</v>
      </c>
    </row>
    <row r="46">
      <c r="A46" s="4" t="inlineStr">
        <is>
          <t>节日礼品</t>
        </is>
      </c>
      <c r="D46" s="7" t="n">
        <v>887.1</v>
      </c>
      <c r="F46" s="7" t="n">
        <v>1364.9</v>
      </c>
      <c r="H46" s="7" t="n">
        <v>1533.1</v>
      </c>
      <c r="J46" s="7" t="n">
        <v>1166.8</v>
      </c>
      <c r="L46" s="7" t="n">
        <v>1849.1</v>
      </c>
      <c r="N46" s="7" t="n">
        <v>2440.5</v>
      </c>
      <c r="P46" s="7" t="n">
        <v>1480.3</v>
      </c>
      <c r="R46" s="7" t="n">
        <v>889</v>
      </c>
      <c r="T46" s="7" t="n">
        <v>927.3</v>
      </c>
      <c r="V46" s="7" t="n">
        <v>1222.8</v>
      </c>
      <c r="X46" s="7" t="n">
        <v>1486.7</v>
      </c>
      <c r="Z46" s="7" t="n">
        <v>1070.1</v>
      </c>
      <c r="AB46" s="7" t="n">
        <v>16317.7</v>
      </c>
    </row>
    <row r="47">
      <c r="A47" s="4" t="inlineStr">
        <is>
          <t>生日礼品</t>
        </is>
      </c>
      <c r="D47" s="7" t="n">
        <v>3572.3</v>
      </c>
      <c r="F47" s="7" t="n">
        <v>2501.2</v>
      </c>
      <c r="H47" s="7" t="n">
        <v>3207.2</v>
      </c>
      <c r="J47" s="7" t="n">
        <v>5548.4</v>
      </c>
      <c r="L47" s="7" t="n">
        <v>5560.4</v>
      </c>
      <c r="N47" s="7" t="n">
        <v>7329.6</v>
      </c>
      <c r="P47" s="7" t="n">
        <v>5964.5</v>
      </c>
      <c r="R47" s="7" t="n">
        <v>2909.9</v>
      </c>
      <c r="T47" s="7" t="n">
        <v>2391.5</v>
      </c>
      <c r="V47" s="7" t="n">
        <v>3496.5</v>
      </c>
      <c r="X47" s="7" t="n">
        <v>4155.7</v>
      </c>
      <c r="Z47" s="7" t="n">
        <v>3136.2</v>
      </c>
      <c r="AB47" s="7" t="n">
        <v>49773.4</v>
      </c>
    </row>
    <row r="48">
      <c r="A48" s="4" t="inlineStr">
        <is>
          <t>体检</t>
        </is>
      </c>
      <c r="D48" s="7" t="n">
        <v>2799.7</v>
      </c>
      <c r="F48" s="7" t="n">
        <v>4075.8</v>
      </c>
      <c r="H48" s="7" t="n">
        <v>3370.6</v>
      </c>
      <c r="J48" s="7" t="n">
        <v>3507.8</v>
      </c>
      <c r="L48" s="7" t="n">
        <v>4262.2</v>
      </c>
      <c r="N48" s="7" t="n">
        <v>7448.1</v>
      </c>
      <c r="P48" s="7" t="n">
        <v>4302.4</v>
      </c>
      <c r="R48" s="7" t="n">
        <v>4326.1</v>
      </c>
      <c r="T48" s="7" t="n">
        <v>2349</v>
      </c>
      <c r="V48" s="7" t="n">
        <v>3221.3</v>
      </c>
      <c r="X48" s="7" t="n">
        <v>5241.2</v>
      </c>
      <c r="Z48" s="7" t="n">
        <v>4547.5</v>
      </c>
      <c r="AB48" s="7" t="n">
        <v>49451.7</v>
      </c>
    </row>
    <row r="49">
      <c r="A49" s="4" t="inlineStr">
        <is>
          <t>其他福利支出</t>
        </is>
      </c>
      <c r="D49" s="7" t="n">
        <v>442.6</v>
      </c>
      <c r="F49" s="7" t="n">
        <v>556.5</v>
      </c>
      <c r="H49" s="7" t="n">
        <v>630.1</v>
      </c>
      <c r="J49" s="7" t="n">
        <v>756.3</v>
      </c>
      <c r="L49" s="7" t="n">
        <v>969.4</v>
      </c>
      <c r="N49" s="7" t="n">
        <v>1114</v>
      </c>
      <c r="P49" s="7" t="n">
        <v>972.1</v>
      </c>
      <c r="R49" s="7" t="n">
        <v>464.2</v>
      </c>
      <c r="T49" s="7" t="n">
        <v>320.6</v>
      </c>
      <c r="V49" s="7" t="n">
        <v>603.5</v>
      </c>
      <c r="X49" s="7" t="n">
        <v>601.7</v>
      </c>
      <c r="Z49" s="7" t="n">
        <v>684.6</v>
      </c>
      <c r="AB49" s="7" t="n">
        <v>8115.6</v>
      </c>
    </row>
    <row r="50">
      <c r="A50" s="4" t="inlineStr">
        <is>
          <t>招聘费</t>
        </is>
      </c>
      <c r="D50" s="7" t="n">
        <v>2277.5</v>
      </c>
      <c r="F50" s="7" t="n">
        <v>3618.4</v>
      </c>
      <c r="H50" s="7" t="n">
        <v>3046.7</v>
      </c>
      <c r="J50" s="7" t="n">
        <v>5273.6</v>
      </c>
      <c r="L50" s="7" t="n">
        <v>7083</v>
      </c>
      <c r="N50" s="7" t="n">
        <v>7764.3</v>
      </c>
      <c r="P50" s="7" t="n">
        <v>6593.5</v>
      </c>
      <c r="R50" s="7" t="n">
        <v>3570.5</v>
      </c>
      <c r="T50" s="7" t="n">
        <v>2334.5</v>
      </c>
      <c r="V50" s="7" t="n">
        <v>2985.1</v>
      </c>
      <c r="X50" s="7" t="n">
        <v>4684.6</v>
      </c>
      <c r="Z50" s="7" t="n">
        <v>4785.9</v>
      </c>
      <c r="AB50" s="7" t="n">
        <v>54017.6</v>
      </c>
    </row>
    <row r="51">
      <c r="A51" s="4" t="inlineStr">
        <is>
          <t>办公费</t>
        </is>
      </c>
      <c r="D51" s="7" t="n">
        <v>18086.5</v>
      </c>
      <c r="F51" s="7" t="n">
        <v>19684.2</v>
      </c>
      <c r="H51" s="7" t="n">
        <v>25339</v>
      </c>
      <c r="J51" s="7" t="n">
        <v>25286.6</v>
      </c>
      <c r="L51" s="7" t="n">
        <v>23540.6</v>
      </c>
      <c r="N51" s="7" t="n">
        <v>22831.6</v>
      </c>
      <c r="P51" s="7" t="n">
        <v>22159.7</v>
      </c>
      <c r="R51" s="7" t="n">
        <v>15097.6</v>
      </c>
      <c r="T51" s="7" t="n">
        <v>9111</v>
      </c>
      <c r="V51" s="7" t="n">
        <v>14066</v>
      </c>
      <c r="X51" s="7" t="n">
        <v>26323.8</v>
      </c>
      <c r="Z51" s="7" t="n">
        <v>20392</v>
      </c>
      <c r="AB51" s="7" t="n">
        <v>241918.6</v>
      </c>
    </row>
    <row r="52">
      <c r="A52" s="4" t="inlineStr">
        <is>
          <t>市内交通费</t>
        </is>
      </c>
      <c r="D52" s="7" t="n">
        <v>2115.8</v>
      </c>
      <c r="F52" s="7" t="n">
        <v>3406.5</v>
      </c>
      <c r="H52" s="7" t="n">
        <v>4750.1</v>
      </c>
      <c r="J52" s="7" t="n">
        <v>3874.7</v>
      </c>
      <c r="L52" s="7" t="n">
        <v>5517.8</v>
      </c>
      <c r="N52" s="7" t="n">
        <v>7175.3</v>
      </c>
      <c r="P52" s="7" t="n">
        <v>4336</v>
      </c>
      <c r="R52" s="7" t="n">
        <v>3494.3</v>
      </c>
      <c r="T52" s="7" t="n">
        <v>2548.2</v>
      </c>
      <c r="V52" s="7" t="n">
        <v>2760.8</v>
      </c>
      <c r="X52" s="7" t="n">
        <v>4328</v>
      </c>
      <c r="Z52" s="7" t="n">
        <v>2833.9</v>
      </c>
      <c r="AB52" s="7" t="n">
        <v>47141.4</v>
      </c>
    </row>
    <row r="53">
      <c r="A53" s="4" t="inlineStr">
        <is>
          <t>差旅费</t>
        </is>
      </c>
      <c r="D53" s="7" t="n">
        <v>35951.5</v>
      </c>
      <c r="F53" s="7" t="n">
        <v>42161</v>
      </c>
      <c r="H53" s="7" t="n">
        <v>47591.3</v>
      </c>
      <c r="J53" s="7" t="n">
        <v>32670</v>
      </c>
      <c r="L53" s="7" t="n">
        <v>46525.8</v>
      </c>
      <c r="N53" s="7" t="n">
        <v>45234.7</v>
      </c>
      <c r="P53" s="7" t="n">
        <v>57461.5</v>
      </c>
      <c r="R53" s="7" t="n">
        <v>30099.9</v>
      </c>
      <c r="T53" s="7" t="n">
        <v>23171.8</v>
      </c>
      <c r="V53" s="7" t="n">
        <v>30728.3</v>
      </c>
      <c r="X53" s="7" t="n">
        <v>44231.1</v>
      </c>
      <c r="Z53" s="7" t="n">
        <v>38356.1</v>
      </c>
      <c r="AB53" s="7" t="n">
        <v>474183</v>
      </c>
    </row>
    <row r="54">
      <c r="A54" s="4" t="inlineStr">
        <is>
          <t>交通费</t>
        </is>
      </c>
      <c r="D54" s="7" t="n">
        <v>236.8</v>
      </c>
      <c r="F54" s="7" t="n">
        <v>370.3</v>
      </c>
      <c r="H54" s="7" t="n">
        <v>448.5</v>
      </c>
      <c r="J54" s="7" t="n">
        <v>528.7</v>
      </c>
      <c r="L54" s="7" t="n">
        <v>548.4</v>
      </c>
      <c r="N54" s="7" t="n">
        <v>687.4</v>
      </c>
      <c r="P54" s="7" t="n">
        <v>492</v>
      </c>
      <c r="R54" s="7" t="n">
        <v>262</v>
      </c>
      <c r="T54" s="7" t="n">
        <v>174.2</v>
      </c>
      <c r="V54" s="7" t="n">
        <v>201.8</v>
      </c>
      <c r="X54" s="7" t="n">
        <v>423.4</v>
      </c>
      <c r="Z54" s="7" t="n">
        <v>333.3</v>
      </c>
      <c r="AB54" s="7" t="n">
        <v>4706.8</v>
      </c>
    </row>
    <row r="55">
      <c r="A55" s="4" t="inlineStr">
        <is>
          <t>住宿费</t>
        </is>
      </c>
      <c r="D55" s="7" t="n">
        <v>2613.5</v>
      </c>
      <c r="F55" s="7" t="n">
        <v>2405.9</v>
      </c>
      <c r="H55" s="7" t="n">
        <v>4420.9</v>
      </c>
      <c r="J55" s="7" t="n">
        <v>3795.3</v>
      </c>
      <c r="L55" s="7" t="n">
        <v>5249.3</v>
      </c>
      <c r="N55" s="7" t="n">
        <v>5993</v>
      </c>
      <c r="P55" s="7" t="n">
        <v>5563.9</v>
      </c>
      <c r="R55" s="7" t="n">
        <v>2521.1</v>
      </c>
      <c r="T55" s="7" t="n">
        <v>2172.5</v>
      </c>
      <c r="V55" s="7" t="n">
        <v>2080.6</v>
      </c>
      <c r="X55" s="7" t="n">
        <v>4835.6</v>
      </c>
      <c r="Z55" s="7" t="n">
        <v>2841.3</v>
      </c>
      <c r="AB55" s="7" t="n">
        <v>44492.9</v>
      </c>
    </row>
    <row r="56">
      <c r="A56" s="4" t="inlineStr">
        <is>
          <t>餐补</t>
        </is>
      </c>
      <c r="D56" s="7" t="n">
        <v>741.6</v>
      </c>
      <c r="F56" s="7" t="n">
        <v>838.5</v>
      </c>
      <c r="H56" s="7" t="n">
        <v>698.6</v>
      </c>
      <c r="J56" s="7" t="n">
        <v>1022.8</v>
      </c>
      <c r="L56" s="7" t="n">
        <v>1326.7</v>
      </c>
      <c r="N56" s="7" t="n">
        <v>1145.1</v>
      </c>
      <c r="P56" s="7" t="n">
        <v>1410.8</v>
      </c>
      <c r="R56" s="7" t="n">
        <v>965.5</v>
      </c>
      <c r="T56" s="7" t="n">
        <v>643.1</v>
      </c>
      <c r="V56" s="7" t="n">
        <v>555.9</v>
      </c>
      <c r="X56" s="7" t="n">
        <v>930</v>
      </c>
      <c r="Z56" s="7" t="n">
        <v>819.2</v>
      </c>
      <c r="AB56" s="7" t="n">
        <v>11097.8</v>
      </c>
    </row>
    <row r="57">
      <c r="A57" s="4" t="inlineStr">
        <is>
          <t>交通补助</t>
        </is>
      </c>
      <c r="D57" s="7" t="n">
        <v>2112.7</v>
      </c>
      <c r="F57" s="7" t="n">
        <v>2535.6</v>
      </c>
      <c r="H57" s="7" t="n">
        <v>4012.3</v>
      </c>
      <c r="J57" s="7" t="n">
        <v>5124</v>
      </c>
      <c r="L57" s="7" t="n">
        <v>3757.4</v>
      </c>
      <c r="N57" s="7" t="n">
        <v>6801.2</v>
      </c>
      <c r="P57" s="7" t="n">
        <v>5820.1</v>
      </c>
      <c r="R57" s="7" t="n">
        <v>4152</v>
      </c>
      <c r="T57" s="7" t="n">
        <v>2727.2</v>
      </c>
      <c r="V57" s="7" t="n">
        <v>3003.8</v>
      </c>
      <c r="X57" s="7" t="n">
        <v>5013.7</v>
      </c>
      <c r="Z57" s="7" t="n">
        <v>3264.2</v>
      </c>
      <c r="AB57" s="7" t="n">
        <v>48324.2</v>
      </c>
    </row>
    <row r="58">
      <c r="A58" s="4" t="inlineStr">
        <is>
          <t>通讯补助</t>
        </is>
      </c>
      <c r="D58" s="7" t="n">
        <v>2491.3</v>
      </c>
      <c r="F58" s="7" t="n">
        <v>2409.6</v>
      </c>
      <c r="H58" s="7" t="n">
        <v>3410.1</v>
      </c>
      <c r="J58" s="7" t="n">
        <v>3742</v>
      </c>
      <c r="L58" s="7" t="n">
        <v>4832.9</v>
      </c>
      <c r="N58" s="7" t="n">
        <v>5778</v>
      </c>
      <c r="P58" s="7" t="n">
        <v>3172.7</v>
      </c>
      <c r="R58" s="7" t="n">
        <v>2028.2</v>
      </c>
      <c r="T58" s="7" t="n">
        <v>1414.7</v>
      </c>
      <c r="V58" s="7" t="n">
        <v>1706.1</v>
      </c>
      <c r="X58" s="7" t="n">
        <v>4221.6</v>
      </c>
      <c r="Z58" s="7" t="n">
        <v>3556.2</v>
      </c>
      <c r="AB58" s="7" t="n">
        <v>38763.4</v>
      </c>
    </row>
    <row r="59">
      <c r="A59" s="4" t="inlineStr">
        <is>
          <t>招待费</t>
        </is>
      </c>
      <c r="D59" s="7" t="n">
        <v>21278.4</v>
      </c>
      <c r="F59" s="7" t="n">
        <v>16973.5</v>
      </c>
      <c r="H59" s="7" t="n">
        <v>24596.2</v>
      </c>
      <c r="J59" s="7" t="n">
        <v>37180.4</v>
      </c>
      <c r="L59" s="7" t="n">
        <v>43081</v>
      </c>
      <c r="N59" s="7" t="n">
        <v>43368</v>
      </c>
      <c r="P59" s="7" t="n">
        <v>22670.4</v>
      </c>
      <c r="R59" s="7" t="n">
        <v>16521.2</v>
      </c>
      <c r="T59" s="7" t="n">
        <v>16323.4</v>
      </c>
      <c r="V59" s="7" t="n">
        <v>23262</v>
      </c>
      <c r="X59" s="7" t="n">
        <v>40396.9</v>
      </c>
      <c r="Z59" s="7" t="n">
        <v>21360.6</v>
      </c>
      <c r="AB59" s="7" t="n">
        <v>327012</v>
      </c>
    </row>
    <row r="60">
      <c r="A60" s="4" t="inlineStr">
        <is>
          <t>通讯费</t>
        </is>
      </c>
      <c r="D60" s="7" t="n">
        <v>1229.8</v>
      </c>
      <c r="F60" s="7" t="n">
        <v>1554.5</v>
      </c>
      <c r="H60" s="7" t="n">
        <v>1617.6</v>
      </c>
      <c r="J60" s="7" t="n">
        <v>1947.6</v>
      </c>
      <c r="L60" s="7" t="n">
        <v>1688.2</v>
      </c>
      <c r="N60" s="7" t="n">
        <v>2324.8</v>
      </c>
      <c r="P60" s="7" t="n">
        <v>1979.7</v>
      </c>
      <c r="R60" s="7" t="n">
        <v>1309.5</v>
      </c>
      <c r="T60" s="7" t="n">
        <v>752.5</v>
      </c>
      <c r="V60" s="7" t="n">
        <v>1458.2</v>
      </c>
      <c r="X60" s="7" t="n">
        <v>2256.7</v>
      </c>
      <c r="Z60" s="7" t="n">
        <v>1433.2</v>
      </c>
      <c r="AB60" s="7" t="n">
        <v>19552.3</v>
      </c>
    </row>
    <row r="61">
      <c r="A61" s="4" t="inlineStr">
        <is>
          <t>网络费</t>
        </is>
      </c>
      <c r="D61" s="7" t="n">
        <v>1470.8</v>
      </c>
      <c r="F61" s="7" t="n">
        <v>1297.7</v>
      </c>
      <c r="H61" s="7" t="n">
        <v>2194.3</v>
      </c>
      <c r="J61" s="7" t="n">
        <v>2706.5</v>
      </c>
      <c r="L61" s="7" t="n">
        <v>2837.8</v>
      </c>
      <c r="N61" s="7" t="n">
        <v>3281.2</v>
      </c>
      <c r="P61" s="7" t="n">
        <v>2139.3</v>
      </c>
      <c r="R61" s="7" t="n">
        <v>2167.4</v>
      </c>
      <c r="T61" s="7" t="n">
        <v>924.4</v>
      </c>
      <c r="V61" s="7" t="n">
        <v>1867.3</v>
      </c>
      <c r="X61" s="7" t="n">
        <v>2634.1</v>
      </c>
      <c r="Z61" s="7" t="n">
        <v>1766.4</v>
      </c>
      <c r="AB61" s="7" t="n">
        <v>25287.2</v>
      </c>
    </row>
    <row r="62">
      <c r="A62" s="4" t="inlineStr">
        <is>
          <t>修理费</t>
        </is>
      </c>
      <c r="D62" s="7" t="n">
        <v>2513.2</v>
      </c>
      <c r="F62" s="7" t="n">
        <v>3362.9</v>
      </c>
      <c r="H62" s="7" t="n">
        <v>3360.9</v>
      </c>
      <c r="J62" s="7" t="n">
        <v>5370.6</v>
      </c>
      <c r="L62" s="7" t="n">
        <v>4139</v>
      </c>
      <c r="N62" s="7" t="n">
        <v>6739.6</v>
      </c>
      <c r="P62" s="7" t="n">
        <v>3630.5</v>
      </c>
      <c r="R62" s="7" t="n">
        <v>3469.8</v>
      </c>
      <c r="T62" s="7" t="n">
        <v>2575.5</v>
      </c>
      <c r="V62" s="7" t="n">
        <v>2929.9</v>
      </c>
      <c r="X62" s="7" t="n">
        <v>3117.2</v>
      </c>
      <c r="Z62" s="7" t="n">
        <v>3967.4</v>
      </c>
      <c r="AB62" s="7" t="n">
        <v>45176.5</v>
      </c>
    </row>
    <row r="63">
      <c r="A63" s="4" t="inlineStr">
        <is>
          <t>车辆费</t>
        </is>
      </c>
      <c r="D63" s="7" t="n">
        <v>540.5</v>
      </c>
      <c r="F63" s="7" t="n">
        <v>605.2</v>
      </c>
      <c r="H63" s="7" t="n">
        <v>1011.9</v>
      </c>
      <c r="J63" s="7" t="n">
        <v>986.3</v>
      </c>
      <c r="L63" s="7" t="n">
        <v>1201.4</v>
      </c>
      <c r="N63" s="7" t="n">
        <v>1575.1</v>
      </c>
      <c r="P63" s="7" t="n">
        <v>976.4</v>
      </c>
      <c r="R63" s="7" t="n">
        <v>593.6</v>
      </c>
      <c r="T63" s="7" t="n">
        <v>519.1</v>
      </c>
      <c r="V63" s="7" t="n">
        <v>731.2</v>
      </c>
      <c r="X63" s="7" t="n">
        <v>1062.9</v>
      </c>
      <c r="Z63" s="7" t="n">
        <v>657</v>
      </c>
      <c r="AB63" s="7" t="n">
        <v>10460.6</v>
      </c>
    </row>
    <row r="64">
      <c r="A64" s="4" t="inlineStr">
        <is>
          <t>租赁费</t>
        </is>
      </c>
      <c r="D64" s="7" t="n">
        <v>23581.3</v>
      </c>
      <c r="F64" s="7" t="n">
        <v>23977.9</v>
      </c>
      <c r="H64" s="7" t="n">
        <v>37330.2</v>
      </c>
      <c r="J64" s="7" t="n">
        <v>31331</v>
      </c>
      <c r="L64" s="7" t="n">
        <v>51367.4</v>
      </c>
      <c r="N64" s="7" t="n">
        <v>48515.9</v>
      </c>
      <c r="P64" s="7" t="n">
        <v>31472.3</v>
      </c>
      <c r="R64" s="7" t="n">
        <v>32256.6</v>
      </c>
      <c r="T64" s="7" t="n">
        <v>20941</v>
      </c>
      <c r="V64" s="7" t="n">
        <v>28470.4</v>
      </c>
      <c r="X64" s="7" t="n">
        <v>47437</v>
      </c>
      <c r="Z64" s="7" t="n">
        <v>33705.9</v>
      </c>
      <c r="AB64" s="7" t="n">
        <v>410386.9</v>
      </c>
    </row>
    <row r="65">
      <c r="A65" s="4" t="inlineStr">
        <is>
          <t>能源费</t>
        </is>
      </c>
      <c r="D65" s="7" t="n">
        <v>9137.5</v>
      </c>
      <c r="F65" s="7" t="n">
        <v>8934.700000000001</v>
      </c>
      <c r="H65" s="7" t="n">
        <v>12246</v>
      </c>
      <c r="J65" s="7" t="n">
        <v>11667.3</v>
      </c>
      <c r="L65" s="7" t="n">
        <v>13880.7</v>
      </c>
      <c r="N65" s="7" t="n">
        <v>17769.1</v>
      </c>
      <c r="P65" s="7" t="n">
        <v>12221.9</v>
      </c>
      <c r="R65" s="7" t="n">
        <v>9811.5</v>
      </c>
      <c r="T65" s="7" t="n">
        <v>6412.5</v>
      </c>
      <c r="V65" s="7" t="n">
        <v>6961.4</v>
      </c>
      <c r="X65" s="7" t="n">
        <v>13475.9</v>
      </c>
      <c r="Z65" s="7" t="n">
        <v>10294</v>
      </c>
      <c r="AB65" s="7" t="n">
        <v>132812.5</v>
      </c>
    </row>
    <row r="66">
      <c r="A66" s="4" t="inlineStr">
        <is>
          <t>水费</t>
        </is>
      </c>
      <c r="D66" s="7" t="n">
        <v>2668</v>
      </c>
      <c r="F66" s="7" t="n">
        <v>1933.8</v>
      </c>
      <c r="H66" s="7" t="n">
        <v>3773.7</v>
      </c>
      <c r="J66" s="7" t="n">
        <v>3262.1</v>
      </c>
      <c r="L66" s="7" t="n">
        <v>4536.7</v>
      </c>
      <c r="N66" s="7" t="n">
        <v>5788</v>
      </c>
      <c r="P66" s="7" t="n">
        <v>2724.6</v>
      </c>
      <c r="R66" s="7" t="n">
        <v>3201.4</v>
      </c>
      <c r="T66" s="7" t="n">
        <v>1435.6</v>
      </c>
      <c r="V66" s="7" t="n">
        <v>1566</v>
      </c>
      <c r="X66" s="7" t="n">
        <v>4493</v>
      </c>
      <c r="Z66" s="7" t="n">
        <v>2903.4</v>
      </c>
      <c r="AB66" s="7" t="n">
        <v>38286.3</v>
      </c>
    </row>
    <row r="67">
      <c r="A67" s="4" t="inlineStr">
        <is>
          <t>电费</t>
        </is>
      </c>
      <c r="D67" s="7" t="n">
        <v>2313.7</v>
      </c>
      <c r="F67" s="7" t="n">
        <v>2308.7</v>
      </c>
      <c r="H67" s="7" t="n">
        <v>2449.2</v>
      </c>
      <c r="J67" s="7" t="n">
        <v>2149.8</v>
      </c>
      <c r="L67" s="7" t="n">
        <v>2781.4</v>
      </c>
      <c r="N67" s="7" t="n">
        <v>4005.1</v>
      </c>
      <c r="P67" s="7" t="n">
        <v>3500.8</v>
      </c>
      <c r="R67" s="7" t="n">
        <v>2774.9</v>
      </c>
      <c r="T67" s="7" t="n">
        <v>1697.2</v>
      </c>
      <c r="V67" s="7" t="n">
        <v>1732.8</v>
      </c>
      <c r="X67" s="7" t="n">
        <v>3402.4</v>
      </c>
      <c r="Z67" s="7" t="n">
        <v>2742.9</v>
      </c>
      <c r="AB67" s="7" t="n">
        <v>31858.9</v>
      </c>
    </row>
    <row r="68">
      <c r="A68" s="4" t="inlineStr">
        <is>
          <t>燃气费</t>
        </is>
      </c>
      <c r="D68" s="7" t="n">
        <v>2336.9</v>
      </c>
      <c r="F68" s="7" t="n">
        <v>2902</v>
      </c>
      <c r="H68" s="7" t="n">
        <v>3144.2</v>
      </c>
      <c r="J68" s="7" t="n">
        <v>2865</v>
      </c>
      <c r="L68" s="7" t="n">
        <v>3990.9</v>
      </c>
      <c r="N68" s="7" t="n">
        <v>4119</v>
      </c>
      <c r="P68" s="7" t="n">
        <v>2695.2</v>
      </c>
      <c r="R68" s="7" t="n">
        <v>1813.7</v>
      </c>
      <c r="T68" s="7" t="n">
        <v>1714.2</v>
      </c>
      <c r="V68" s="7" t="n">
        <v>2288.8</v>
      </c>
      <c r="X68" s="7" t="n">
        <v>3405.9</v>
      </c>
      <c r="Z68" s="7" t="n">
        <v>1845.8</v>
      </c>
      <c r="AB68" s="7" t="n">
        <v>33121.6</v>
      </c>
    </row>
    <row r="69">
      <c r="A69" s="4" t="inlineStr">
        <is>
          <t>蒸汽费</t>
        </is>
      </c>
      <c r="D69" s="7" t="n">
        <v>1818.9</v>
      </c>
      <c r="F69" s="7" t="n">
        <v>1790.2</v>
      </c>
      <c r="H69" s="7" t="n">
        <v>2878.9</v>
      </c>
      <c r="J69" s="7" t="n">
        <v>3390.4</v>
      </c>
      <c r="L69" s="7" t="n">
        <v>2571.7</v>
      </c>
      <c r="N69" s="7" t="n">
        <v>3857</v>
      </c>
      <c r="P69" s="7" t="n">
        <v>3301.3</v>
      </c>
      <c r="R69" s="7" t="n">
        <v>2021.5</v>
      </c>
      <c r="T69" s="7" t="n">
        <v>1565.5</v>
      </c>
      <c r="V69" s="7" t="n">
        <v>1373.8</v>
      </c>
      <c r="X69" s="7" t="n">
        <v>2174.6</v>
      </c>
      <c r="Z69" s="7" t="n">
        <v>2801.9</v>
      </c>
      <c r="AB69" s="7" t="n">
        <v>29545.7</v>
      </c>
    </row>
    <row r="70">
      <c r="A70" s="4" t="inlineStr">
        <is>
          <t>物业费</t>
        </is>
      </c>
      <c r="D70" s="7" t="n">
        <v>1961.6</v>
      </c>
      <c r="F70" s="7" t="n">
        <v>3414.6</v>
      </c>
      <c r="H70" s="7" t="n">
        <v>2479.3</v>
      </c>
      <c r="J70" s="7" t="n">
        <v>4133.7</v>
      </c>
      <c r="L70" s="7" t="n">
        <v>4510.2</v>
      </c>
      <c r="N70" s="7" t="n">
        <v>6416.6</v>
      </c>
      <c r="P70" s="7" t="n">
        <v>4187</v>
      </c>
      <c r="R70" s="7" t="n">
        <v>2955</v>
      </c>
      <c r="T70" s="7" t="n">
        <v>2189.4</v>
      </c>
      <c r="V70" s="7" t="n">
        <v>2831.7</v>
      </c>
      <c r="X70" s="7" t="n">
        <v>4800.7</v>
      </c>
      <c r="Z70" s="7" t="n">
        <v>2418.3</v>
      </c>
      <c r="AB70" s="7" t="n">
        <v>42298.1</v>
      </c>
    </row>
    <row r="71">
      <c r="A71" s="4" t="inlineStr">
        <is>
          <t>劳动保护费</t>
        </is>
      </c>
      <c r="D71" s="7" t="n">
        <v>2930.4</v>
      </c>
      <c r="F71" s="7" t="n">
        <v>3371.7</v>
      </c>
      <c r="H71" s="7" t="n">
        <v>2666</v>
      </c>
      <c r="J71" s="7" t="n">
        <v>4012</v>
      </c>
      <c r="L71" s="7" t="n">
        <v>3376.7</v>
      </c>
      <c r="N71" s="7" t="n">
        <v>5285.2</v>
      </c>
      <c r="P71" s="7" t="n">
        <v>4711.8</v>
      </c>
      <c r="R71" s="7" t="n">
        <v>2140.9</v>
      </c>
      <c r="T71" s="7" t="n">
        <v>1533.5</v>
      </c>
      <c r="V71" s="7" t="n">
        <v>1957.6</v>
      </c>
      <c r="X71" s="7" t="n">
        <v>3084.8</v>
      </c>
      <c r="Z71" s="7" t="n">
        <v>3067.6</v>
      </c>
      <c r="AB71" s="7" t="n">
        <v>38138.2</v>
      </c>
    </row>
    <row r="72">
      <c r="A72" s="4" t="inlineStr">
        <is>
          <t>顾问费</t>
        </is>
      </c>
      <c r="D72" s="7" t="n">
        <v>1867.4</v>
      </c>
      <c r="F72" s="7" t="n">
        <v>3964.6</v>
      </c>
      <c r="H72" s="7" t="n">
        <v>3742.9</v>
      </c>
      <c r="J72" s="7" t="n">
        <v>3931.4</v>
      </c>
      <c r="L72" s="7" t="n">
        <v>4851.8</v>
      </c>
      <c r="N72" s="7" t="n">
        <v>5519.2</v>
      </c>
      <c r="P72" s="7" t="n">
        <v>5719.9</v>
      </c>
      <c r="R72" s="7" t="n">
        <v>2190.1</v>
      </c>
      <c r="T72" s="7" t="n">
        <v>1963.9</v>
      </c>
      <c r="V72" s="7" t="n">
        <v>3406.7</v>
      </c>
      <c r="X72" s="7" t="n">
        <v>4429.2</v>
      </c>
      <c r="Z72" s="7" t="n">
        <v>3910.7</v>
      </c>
      <c r="AB72" s="7" t="n">
        <v>45497.8</v>
      </c>
    </row>
    <row r="73">
      <c r="A73" s="4" t="inlineStr">
        <is>
          <t>快递费</t>
        </is>
      </c>
      <c r="D73" s="7" t="n">
        <v>1938.8</v>
      </c>
      <c r="F73" s="7" t="n">
        <v>2493.2</v>
      </c>
      <c r="H73" s="7" t="n">
        <v>3224.9</v>
      </c>
      <c r="J73" s="7" t="n">
        <v>3360</v>
      </c>
      <c r="L73" s="7" t="n">
        <v>4725.4</v>
      </c>
      <c r="N73" s="7" t="n">
        <v>4082.1</v>
      </c>
      <c r="P73" s="7" t="n">
        <v>3574.7</v>
      </c>
      <c r="R73" s="7" t="n">
        <v>2000.3</v>
      </c>
      <c r="T73" s="7" t="n">
        <v>1311.5</v>
      </c>
      <c r="V73" s="7" t="n">
        <v>2479.5</v>
      </c>
      <c r="X73" s="7" t="n">
        <v>2854.8</v>
      </c>
      <c r="Z73" s="7" t="n">
        <v>2103.9</v>
      </c>
      <c r="AB73" s="7" t="n">
        <v>34149.1</v>
      </c>
    </row>
    <row r="74">
      <c r="A74" s="4" t="inlineStr">
        <is>
          <t>诉讼费</t>
        </is>
      </c>
      <c r="D74" s="7" t="n">
        <v>1093.6</v>
      </c>
      <c r="F74" s="7" t="n">
        <v>1380.9</v>
      </c>
      <c r="H74" s="7" t="n">
        <v>1393.1</v>
      </c>
      <c r="J74" s="7" t="n">
        <v>1250.4</v>
      </c>
      <c r="L74" s="7" t="n">
        <v>1522.8</v>
      </c>
      <c r="N74" s="7" t="n">
        <v>1582.8</v>
      </c>
      <c r="P74" s="7" t="n">
        <v>1705.6</v>
      </c>
      <c r="R74" s="7" t="n">
        <v>820</v>
      </c>
      <c r="T74" s="7" t="n">
        <v>669.8</v>
      </c>
      <c r="V74" s="7" t="n">
        <v>878.8</v>
      </c>
      <c r="X74" s="7" t="n">
        <v>1914.4</v>
      </c>
      <c r="Z74" s="7" t="n">
        <v>1106.3</v>
      </c>
      <c r="AB74" s="7" t="n">
        <v>15318.5</v>
      </c>
    </row>
    <row r="75">
      <c r="A75" s="4" t="inlineStr">
        <is>
          <t>会员费</t>
        </is>
      </c>
      <c r="D75" s="7" t="n">
        <v>215.9</v>
      </c>
      <c r="F75" s="7" t="n">
        <v>287.5</v>
      </c>
      <c r="H75" s="7" t="n">
        <v>407.2</v>
      </c>
      <c r="J75" s="7" t="n">
        <v>427.7</v>
      </c>
      <c r="L75" s="7" t="n">
        <v>343</v>
      </c>
      <c r="N75" s="7" t="n">
        <v>644.8</v>
      </c>
      <c r="P75" s="7" t="n">
        <v>572.6</v>
      </c>
      <c r="R75" s="7" t="n">
        <v>342</v>
      </c>
      <c r="T75" s="7" t="n">
        <v>177.9</v>
      </c>
      <c r="V75" s="7" t="n">
        <v>242.6</v>
      </c>
      <c r="X75" s="7" t="n">
        <v>468.5</v>
      </c>
      <c r="Z75" s="7" t="n">
        <v>389.8</v>
      </c>
      <c r="AB75" s="7" t="n">
        <v>4519.5</v>
      </c>
    </row>
    <row r="76">
      <c r="A76" s="4" t="inlineStr">
        <is>
          <t>广告宣传费</t>
        </is>
      </c>
      <c r="D76" s="7" t="n">
        <v>14792.5</v>
      </c>
      <c r="F76" s="7" t="n">
        <v>15742.8</v>
      </c>
      <c r="H76" s="7" t="n">
        <v>15871.4</v>
      </c>
      <c r="J76" s="7" t="n">
        <v>29805.8</v>
      </c>
      <c r="L76" s="7" t="n">
        <v>24381.5</v>
      </c>
      <c r="N76" s="7" t="n">
        <v>22247.2</v>
      </c>
      <c r="P76" s="7" t="n">
        <v>25762.7</v>
      </c>
      <c r="R76" s="7" t="n">
        <v>12548.7</v>
      </c>
      <c r="T76" s="7" t="n">
        <v>9286.799999999999</v>
      </c>
      <c r="V76" s="7" t="n">
        <v>11060.4</v>
      </c>
      <c r="X76" s="7" t="n">
        <v>24207.4</v>
      </c>
      <c r="Z76" s="7" t="n">
        <v>13286.1</v>
      </c>
      <c r="AB76" s="7" t="n">
        <v>218993.3</v>
      </c>
    </row>
    <row r="77">
      <c r="A77" s="4" t="inlineStr">
        <is>
          <t>会务费</t>
        </is>
      </c>
      <c r="D77" s="7" t="n">
        <v>1787</v>
      </c>
      <c r="F77" s="7" t="n">
        <v>2083.2</v>
      </c>
      <c r="H77" s="7" t="n">
        <v>2422.3</v>
      </c>
      <c r="J77" s="7" t="n">
        <v>3932</v>
      </c>
      <c r="L77" s="7" t="n">
        <v>2968.5</v>
      </c>
      <c r="N77" s="7" t="n">
        <v>3071.1</v>
      </c>
      <c r="P77" s="7" t="n">
        <v>3143.8</v>
      </c>
      <c r="R77" s="7" t="n">
        <v>3013.7</v>
      </c>
      <c r="T77" s="7" t="n">
        <v>1555.1</v>
      </c>
      <c r="V77" s="7" t="n">
        <v>1541.6</v>
      </c>
      <c r="X77" s="7" t="n">
        <v>4132.5</v>
      </c>
      <c r="Z77" s="7" t="n">
        <v>2024.7</v>
      </c>
      <c r="AB77" s="7" t="n">
        <v>31675.5</v>
      </c>
    </row>
    <row r="78">
      <c r="A78" s="4" t="inlineStr">
        <is>
          <t>装修费</t>
        </is>
      </c>
      <c r="D78" s="7" t="n">
        <v>1958.3</v>
      </c>
      <c r="F78" s="7" t="n">
        <v>3140.8</v>
      </c>
      <c r="H78" s="7" t="n">
        <v>3170</v>
      </c>
      <c r="J78" s="7" t="n">
        <v>3726.4</v>
      </c>
      <c r="L78" s="7" t="n">
        <v>4528.7</v>
      </c>
      <c r="N78" s="7" t="n">
        <v>6034.8</v>
      </c>
      <c r="P78" s="7" t="n">
        <v>3980.7</v>
      </c>
      <c r="R78" s="7" t="n">
        <v>2848.6</v>
      </c>
      <c r="T78" s="7" t="n">
        <v>2362.3</v>
      </c>
      <c r="V78" s="7" t="n">
        <v>1844.6</v>
      </c>
      <c r="X78" s="7" t="n">
        <v>4748.4</v>
      </c>
      <c r="Z78" s="7" t="n">
        <v>2670.4</v>
      </c>
      <c r="AB78" s="7" t="n">
        <v>41014</v>
      </c>
    </row>
    <row r="79">
      <c r="A79" s="4" t="inlineStr">
        <is>
          <t>推广费</t>
        </is>
      </c>
      <c r="D79" s="7" t="n">
        <v>1202</v>
      </c>
      <c r="F79" s="7" t="n">
        <v>1598.3</v>
      </c>
      <c r="H79" s="7" t="n">
        <v>1540.5</v>
      </c>
      <c r="J79" s="7" t="n">
        <v>1834.4</v>
      </c>
      <c r="L79" s="7" t="n">
        <v>2317.7</v>
      </c>
      <c r="N79" s="7" t="n">
        <v>2313.2</v>
      </c>
      <c r="P79" s="7" t="n">
        <v>1421.1</v>
      </c>
      <c r="R79" s="7" t="n">
        <v>895</v>
      </c>
      <c r="T79" s="7" t="n">
        <v>911.7</v>
      </c>
      <c r="V79" s="7" t="n">
        <v>864.2</v>
      </c>
      <c r="X79" s="7" t="n">
        <v>1377</v>
      </c>
      <c r="Z79" s="7" t="n">
        <v>1256.8</v>
      </c>
      <c r="AB79" s="7" t="n">
        <v>17531.9</v>
      </c>
    </row>
    <row r="80">
      <c r="A80" s="4" t="inlineStr">
        <is>
          <t>展会费</t>
        </is>
      </c>
      <c r="D80" s="7" t="n">
        <v>1636.9</v>
      </c>
      <c r="F80" s="7" t="n">
        <v>3018.4</v>
      </c>
      <c r="H80" s="7" t="n">
        <v>4137.9</v>
      </c>
      <c r="J80" s="7" t="n">
        <v>4158.9</v>
      </c>
      <c r="L80" s="7" t="n">
        <v>3467.4</v>
      </c>
      <c r="N80" s="7" t="n">
        <v>5323.8</v>
      </c>
      <c r="P80" s="7" t="n">
        <v>4382.7</v>
      </c>
      <c r="R80" s="7" t="n">
        <v>2188.3</v>
      </c>
      <c r="T80" s="7" t="n">
        <v>2488.9</v>
      </c>
      <c r="V80" s="7" t="n">
        <v>2736.7</v>
      </c>
      <c r="X80" s="7" t="n">
        <v>3786.6</v>
      </c>
      <c r="Z80" s="7" t="n">
        <v>2499.3</v>
      </c>
      <c r="AB80" s="7" t="n">
        <v>39825.8</v>
      </c>
    </row>
    <row r="81">
      <c r="A81" s="4" t="inlineStr">
        <is>
          <t>设计费</t>
        </is>
      </c>
      <c r="D81" s="7" t="n">
        <v>1646</v>
      </c>
      <c r="F81" s="7" t="n">
        <v>1900.4</v>
      </c>
      <c r="H81" s="7" t="n">
        <v>2226.5</v>
      </c>
      <c r="J81" s="7" t="n">
        <v>1899.8</v>
      </c>
      <c r="L81" s="7" t="n">
        <v>2884.1</v>
      </c>
      <c r="N81" s="7" t="n">
        <v>3687.5</v>
      </c>
      <c r="P81" s="7" t="n">
        <v>2140.6</v>
      </c>
      <c r="R81" s="7" t="n">
        <v>1395.1</v>
      </c>
      <c r="T81" s="7" t="n">
        <v>845.1</v>
      </c>
      <c r="V81" s="7" t="n">
        <v>1009.4</v>
      </c>
      <c r="X81" s="7" t="n">
        <v>2503.1</v>
      </c>
      <c r="Z81" s="7" t="n">
        <v>2128</v>
      </c>
      <c r="AB81" s="7" t="n">
        <v>24265.6</v>
      </c>
    </row>
    <row r="82">
      <c r="A82" s="4" t="inlineStr">
        <is>
          <t>折旧费</t>
        </is>
      </c>
      <c r="D82" s="7" t="n">
        <v>14826.7</v>
      </c>
      <c r="F82" s="7" t="n">
        <v>16196.9</v>
      </c>
      <c r="H82" s="7" t="n">
        <v>30618.1</v>
      </c>
      <c r="J82" s="7" t="n">
        <v>31673.8</v>
      </c>
      <c r="L82" s="7" t="n">
        <v>33711.7</v>
      </c>
      <c r="N82" s="7" t="n">
        <v>50766.1</v>
      </c>
      <c r="P82" s="7" t="n">
        <v>41307.7</v>
      </c>
      <c r="R82" s="7" t="n">
        <v>21390.6</v>
      </c>
      <c r="T82" s="7" t="n">
        <v>16065.2</v>
      </c>
      <c r="V82" s="7" t="n">
        <v>21918.3</v>
      </c>
      <c r="X82" s="7" t="n">
        <v>30983.4</v>
      </c>
      <c r="Z82" s="7" t="n">
        <v>24168.4</v>
      </c>
      <c r="AB82" s="7" t="n">
        <v>333626.9</v>
      </c>
    </row>
    <row r="83">
      <c r="A83" s="4" t="inlineStr">
        <is>
          <t>认证费</t>
        </is>
      </c>
      <c r="D83" s="7" t="n">
        <v>3742.4</v>
      </c>
      <c r="F83" s="7" t="n">
        <v>4036.2</v>
      </c>
      <c r="H83" s="7" t="n">
        <v>4122.9</v>
      </c>
      <c r="J83" s="7" t="n">
        <v>5368.9</v>
      </c>
      <c r="L83" s="7" t="n">
        <v>6904.5</v>
      </c>
      <c r="N83" s="7" t="n">
        <v>7782.7</v>
      </c>
      <c r="P83" s="7" t="n">
        <v>5970.6</v>
      </c>
      <c r="R83" s="7" t="n">
        <v>4112.4</v>
      </c>
      <c r="T83" s="7" t="n">
        <v>3006.3</v>
      </c>
      <c r="V83" s="7" t="n">
        <v>2666.3</v>
      </c>
      <c r="X83" s="7" t="n">
        <v>5867.3</v>
      </c>
      <c r="Z83" s="7" t="n">
        <v>4978.7</v>
      </c>
      <c r="AB83" s="7" t="n">
        <v>58559.2</v>
      </c>
    </row>
    <row r="84">
      <c r="A84" s="4" t="inlineStr">
        <is>
          <t>样品费</t>
        </is>
      </c>
      <c r="D84" s="7" t="n">
        <v>11077.5</v>
      </c>
      <c r="F84" s="7" t="n">
        <v>13542.8</v>
      </c>
      <c r="H84" s="7" t="n">
        <v>13583.5</v>
      </c>
      <c r="J84" s="7" t="n">
        <v>16343.4</v>
      </c>
      <c r="L84" s="7" t="n">
        <v>18019.1</v>
      </c>
      <c r="N84" s="7" t="n">
        <v>26506</v>
      </c>
      <c r="P84" s="7" t="n">
        <v>17863.1</v>
      </c>
      <c r="R84" s="7" t="n">
        <v>13774.5</v>
      </c>
      <c r="T84" s="7" t="n">
        <v>8103.7</v>
      </c>
      <c r="V84" s="7" t="n">
        <v>8038.2</v>
      </c>
      <c r="X84" s="7" t="n">
        <v>11685.1</v>
      </c>
      <c r="Z84" s="7" t="n">
        <v>14415.2</v>
      </c>
      <c r="AB84" s="7" t="n">
        <v>172952.1</v>
      </c>
    </row>
    <row r="85">
      <c r="A85" s="4" t="inlineStr">
        <is>
          <t>劳务费</t>
        </is>
      </c>
      <c r="D85" s="7" t="n">
        <v>1986.7</v>
      </c>
      <c r="F85" s="7" t="n">
        <v>1771</v>
      </c>
      <c r="H85" s="7" t="n">
        <v>2086.6</v>
      </c>
      <c r="J85" s="7" t="n">
        <v>2386.9</v>
      </c>
      <c r="L85" s="7" t="n">
        <v>2189.5</v>
      </c>
      <c r="N85" s="7" t="n">
        <v>4358.2</v>
      </c>
      <c r="P85" s="7" t="n">
        <v>2314.5</v>
      </c>
      <c r="R85" s="7" t="n">
        <v>1931.7</v>
      </c>
      <c r="T85" s="7" t="n">
        <v>1561</v>
      </c>
      <c r="V85" s="7" t="n">
        <v>1249.5</v>
      </c>
      <c r="X85" s="7" t="n">
        <v>2323.1</v>
      </c>
      <c r="Z85" s="7" t="n">
        <v>1767.2</v>
      </c>
      <c r="AB85" s="7" t="n">
        <v>25925.9</v>
      </c>
    </row>
    <row r="86">
      <c r="A86" s="4" t="inlineStr">
        <is>
          <t>销售佣金</t>
        </is>
      </c>
      <c r="D86" s="7" t="n">
        <v>740.7</v>
      </c>
      <c r="F86" s="7" t="n">
        <v>802.1</v>
      </c>
      <c r="H86" s="7" t="n">
        <v>775</v>
      </c>
      <c r="J86" s="7" t="n">
        <v>946</v>
      </c>
      <c r="L86" s="7" t="n">
        <v>1489.9</v>
      </c>
      <c r="N86" s="7" t="n">
        <v>1572.2</v>
      </c>
      <c r="P86" s="7" t="n">
        <v>1350.4</v>
      </c>
      <c r="R86" s="7" t="n">
        <v>564.6</v>
      </c>
      <c r="T86" s="7" t="n">
        <v>545.9</v>
      </c>
      <c r="V86" s="7" t="n">
        <v>720</v>
      </c>
      <c r="X86" s="7" t="n">
        <v>1087.9</v>
      </c>
      <c r="Z86" s="7" t="n">
        <v>764.2</v>
      </c>
      <c r="AB86" s="7" t="n">
        <v>11358.9</v>
      </c>
    </row>
    <row r="87">
      <c r="A87" s="4" t="inlineStr">
        <is>
          <t>检测费</t>
        </is>
      </c>
      <c r="D87" s="7" t="n">
        <v>1679.7</v>
      </c>
      <c r="F87" s="7" t="n">
        <v>2030.2</v>
      </c>
      <c r="H87" s="7" t="n">
        <v>1895.4</v>
      </c>
      <c r="J87" s="7" t="n">
        <v>3820.2</v>
      </c>
      <c r="L87" s="7" t="n">
        <v>2773.1</v>
      </c>
      <c r="N87" s="7" t="n">
        <v>3818</v>
      </c>
      <c r="P87" s="7" t="n">
        <v>2482.7</v>
      </c>
      <c r="R87" s="7" t="n">
        <v>2250.8</v>
      </c>
      <c r="T87" s="7" t="n">
        <v>1210.9</v>
      </c>
      <c r="V87" s="7" t="n">
        <v>1959.4</v>
      </c>
      <c r="X87" s="7" t="n">
        <v>2507.4</v>
      </c>
      <c r="Z87" s="7" t="n">
        <v>1871.5</v>
      </c>
      <c r="AB87" s="7" t="n">
        <v>28299.3</v>
      </c>
    </row>
    <row r="88">
      <c r="A88" s="4" t="inlineStr">
        <is>
          <t>质量赔偿</t>
        </is>
      </c>
      <c r="D88" s="7" t="n">
        <v>1176.3</v>
      </c>
      <c r="F88" s="7" t="n">
        <v>1927.7</v>
      </c>
      <c r="H88" s="7" t="n">
        <v>1783.9</v>
      </c>
      <c r="J88" s="7" t="n">
        <v>2297.3</v>
      </c>
      <c r="L88" s="7" t="n">
        <v>2379.5</v>
      </c>
      <c r="N88" s="7" t="n">
        <v>3170</v>
      </c>
      <c r="P88" s="7" t="n">
        <v>2091.3</v>
      </c>
      <c r="R88" s="7" t="n">
        <v>2125.6</v>
      </c>
      <c r="T88" s="7" t="n">
        <v>977.2</v>
      </c>
      <c r="V88" s="7" t="n">
        <v>1481.6</v>
      </c>
      <c r="X88" s="7" t="n">
        <v>3016.6</v>
      </c>
      <c r="Z88" s="7" t="n">
        <v>1525.6</v>
      </c>
      <c r="AB88" s="7" t="n">
        <v>23952.6</v>
      </c>
    </row>
    <row r="89">
      <c r="A89" s="4" t="inlineStr">
        <is>
          <t>保险费</t>
        </is>
      </c>
      <c r="D89" s="7" t="n">
        <v>1033.4</v>
      </c>
      <c r="F89" s="7" t="n">
        <v>1170.8</v>
      </c>
      <c r="H89" s="7" t="n">
        <v>1893.7</v>
      </c>
      <c r="J89" s="7" t="n">
        <v>1457.1</v>
      </c>
      <c r="L89" s="7" t="n">
        <v>1597.7</v>
      </c>
      <c r="N89" s="7" t="n">
        <v>1740.8</v>
      </c>
      <c r="P89" s="7" t="n">
        <v>1756.7</v>
      </c>
      <c r="R89" s="7" t="n">
        <v>1489.9</v>
      </c>
      <c r="T89" s="7" t="n">
        <v>1149.8</v>
      </c>
      <c r="V89" s="7" t="n">
        <v>888.9</v>
      </c>
      <c r="X89" s="7" t="n">
        <v>1490.4</v>
      </c>
      <c r="Z89" s="7" t="n">
        <v>1371.8</v>
      </c>
      <c r="AB89" s="7" t="n">
        <v>17041</v>
      </c>
    </row>
    <row r="90">
      <c r="A90" s="4" t="inlineStr">
        <is>
          <t>清洁费</t>
        </is>
      </c>
      <c r="D90" s="7" t="n">
        <v>1739.2</v>
      </c>
      <c r="F90" s="7" t="n">
        <v>2291.2</v>
      </c>
      <c r="H90" s="7" t="n">
        <v>3001.2</v>
      </c>
      <c r="J90" s="7" t="n">
        <v>3947.3</v>
      </c>
      <c r="L90" s="7" t="n">
        <v>4167.1</v>
      </c>
      <c r="N90" s="7" t="n">
        <v>4045.9</v>
      </c>
      <c r="P90" s="7" t="n">
        <v>4086.3</v>
      </c>
      <c r="R90" s="7" t="n">
        <v>3004.1</v>
      </c>
      <c r="T90" s="7" t="n">
        <v>1744.9</v>
      </c>
      <c r="V90" s="7" t="n">
        <v>2633.2</v>
      </c>
      <c r="X90" s="7" t="n">
        <v>4124.8</v>
      </c>
      <c r="Z90" s="7" t="n">
        <v>2438</v>
      </c>
      <c r="AB90" s="7" t="n">
        <v>37223.2</v>
      </c>
    </row>
    <row r="91">
      <c r="A91" s="4" t="inlineStr">
        <is>
          <t>低值易耗品</t>
        </is>
      </c>
      <c r="D91" s="7" t="n">
        <v>255.3</v>
      </c>
      <c r="F91" s="7" t="n">
        <v>282.7</v>
      </c>
      <c r="H91" s="7" t="n">
        <v>381.3</v>
      </c>
      <c r="J91" s="7" t="n">
        <v>551.8</v>
      </c>
      <c r="L91" s="7" t="n">
        <v>706.8</v>
      </c>
      <c r="N91" s="7" t="n">
        <v>627.8</v>
      </c>
      <c r="P91" s="7" t="n">
        <v>644</v>
      </c>
      <c r="R91" s="7" t="n">
        <v>365</v>
      </c>
      <c r="T91" s="7" t="n">
        <v>369.7</v>
      </c>
      <c r="V91" s="7" t="n">
        <v>395.7</v>
      </c>
      <c r="X91" s="7" t="n">
        <v>542</v>
      </c>
      <c r="Z91" s="7" t="n">
        <v>376.5</v>
      </c>
      <c r="AB91" s="7" t="n">
        <v>5498.6</v>
      </c>
    </row>
    <row r="92">
      <c r="A92" s="4" t="inlineStr">
        <is>
          <t>物料消耗</t>
        </is>
      </c>
      <c r="D92" s="7" t="n">
        <v>1709.5</v>
      </c>
      <c r="F92" s="7" t="n">
        <v>1490.9</v>
      </c>
      <c r="H92" s="7" t="n">
        <v>1684.5</v>
      </c>
      <c r="J92" s="7" t="n">
        <v>2460.2</v>
      </c>
      <c r="L92" s="7" t="n">
        <v>2291.6</v>
      </c>
      <c r="N92" s="7" t="n">
        <v>3830.8</v>
      </c>
      <c r="P92" s="7" t="n">
        <v>3139.1</v>
      </c>
      <c r="R92" s="7" t="n">
        <v>2314.9</v>
      </c>
      <c r="T92" s="7" t="n">
        <v>1080.1</v>
      </c>
      <c r="V92" s="7" t="n">
        <v>1828.7</v>
      </c>
      <c r="X92" s="7" t="n">
        <v>2046.5</v>
      </c>
      <c r="Z92" s="7" t="n">
        <v>2144.4</v>
      </c>
      <c r="AB92" s="7" t="n">
        <v>26021.2</v>
      </c>
    </row>
    <row r="93">
      <c r="A93" s="4" t="inlineStr">
        <is>
          <t>盘盈盘亏</t>
        </is>
      </c>
      <c r="D93" s="7" t="n">
        <v>2761.1</v>
      </c>
      <c r="F93" s="7" t="n">
        <v>2932.3</v>
      </c>
      <c r="H93" s="7" t="n">
        <v>2868.8</v>
      </c>
      <c r="J93" s="7" t="n">
        <v>5277</v>
      </c>
      <c r="L93" s="7" t="n">
        <v>4741.5</v>
      </c>
      <c r="N93" s="7" t="n">
        <v>5948.5</v>
      </c>
      <c r="P93" s="7" t="n">
        <v>3596.8</v>
      </c>
      <c r="R93" s="7" t="n">
        <v>2319.4</v>
      </c>
      <c r="T93" s="7" t="n">
        <v>1534.3</v>
      </c>
      <c r="V93" s="7" t="n">
        <v>3308.5</v>
      </c>
      <c r="X93" s="7" t="n">
        <v>5237</v>
      </c>
      <c r="Z93" s="7" t="n">
        <v>3039.8</v>
      </c>
      <c r="AB93" s="7" t="n">
        <v>43565</v>
      </c>
    </row>
    <row r="94">
      <c r="A94" s="4" t="inlineStr">
        <is>
          <t>平台服务费</t>
        </is>
      </c>
      <c r="D94" s="7" t="n">
        <v>1414.9</v>
      </c>
      <c r="F94" s="7" t="n">
        <v>1628.2</v>
      </c>
      <c r="H94" s="7" t="n">
        <v>2549.8</v>
      </c>
      <c r="J94" s="7" t="n">
        <v>2740.2</v>
      </c>
      <c r="L94" s="7" t="n">
        <v>3695.3</v>
      </c>
      <c r="N94" s="7" t="n">
        <v>3514.3</v>
      </c>
      <c r="P94" s="7" t="n">
        <v>2947</v>
      </c>
      <c r="R94" s="7" t="n">
        <v>2236.8</v>
      </c>
      <c r="T94" s="7" t="n">
        <v>1624.7</v>
      </c>
      <c r="V94" s="7" t="n">
        <v>2113.6</v>
      </c>
      <c r="X94" s="7" t="n">
        <v>2797.7</v>
      </c>
      <c r="Z94" s="7" t="n">
        <v>2085.5</v>
      </c>
      <c r="AB94" s="7" t="n">
        <v>29348</v>
      </c>
    </row>
    <row r="95">
      <c r="A95" s="4" t="inlineStr">
        <is>
          <t>无形资产摊销</t>
        </is>
      </c>
      <c r="D95" s="7" t="n">
        <v>777.1</v>
      </c>
      <c r="F95" s="7" t="n">
        <v>964.4</v>
      </c>
      <c r="H95" s="7" t="n">
        <v>1095.9</v>
      </c>
      <c r="J95" s="7" t="n">
        <v>1027.9</v>
      </c>
      <c r="L95" s="7" t="n">
        <v>1128.2</v>
      </c>
      <c r="N95" s="7" t="n">
        <v>1394.3</v>
      </c>
      <c r="P95" s="7" t="n">
        <v>1705.8</v>
      </c>
      <c r="R95" s="7" t="n">
        <v>852.7</v>
      </c>
      <c r="T95" s="7" t="n">
        <v>722.7</v>
      </c>
      <c r="V95" s="7" t="n">
        <v>1102.5</v>
      </c>
      <c r="X95" s="7" t="n">
        <v>1097.1</v>
      </c>
      <c r="Z95" s="7" t="n">
        <v>893.3</v>
      </c>
      <c r="AB95" s="7" t="n">
        <v>12761.9</v>
      </c>
    </row>
    <row r="96">
      <c r="A96" s="4" t="inlineStr">
        <is>
          <t>研发材料</t>
        </is>
      </c>
      <c r="D96" s="7" t="n">
        <v>2648.5</v>
      </c>
      <c r="F96" s="7" t="n">
        <v>3026</v>
      </c>
      <c r="H96" s="7" t="n">
        <v>3148.8</v>
      </c>
      <c r="J96" s="7" t="n">
        <v>3377.5</v>
      </c>
      <c r="L96" s="7" t="n">
        <v>5427</v>
      </c>
      <c r="N96" s="7" t="n">
        <v>7844.4</v>
      </c>
      <c r="P96" s="7" t="n">
        <v>4518.5</v>
      </c>
      <c r="R96" s="7" t="n">
        <v>3988.8</v>
      </c>
      <c r="T96" s="7" t="n">
        <v>2278</v>
      </c>
      <c r="V96" s="7" t="n">
        <v>3493.7</v>
      </c>
      <c r="X96" s="7" t="n">
        <v>4960.8</v>
      </c>
      <c r="Z96" s="7" t="n">
        <v>3436.9</v>
      </c>
      <c r="AB96" s="7" t="n">
        <v>48148.9</v>
      </c>
    </row>
    <row r="97">
      <c r="A97" s="4" t="inlineStr">
        <is>
          <t>项目名称</t>
        </is>
      </c>
      <c r="D97" s="7" t="n">
        <v>1633.8</v>
      </c>
      <c r="F97" s="7" t="n">
        <v>2187.3</v>
      </c>
      <c r="H97" s="7" t="n">
        <v>3509.5</v>
      </c>
      <c r="J97" s="7" t="n">
        <v>2545.1</v>
      </c>
      <c r="L97" s="7" t="n">
        <v>4134.4</v>
      </c>
      <c r="N97" s="7" t="n">
        <v>3412.4</v>
      </c>
      <c r="P97" s="7" t="n">
        <v>3626.4</v>
      </c>
      <c r="R97" s="7" t="n">
        <v>2980</v>
      </c>
      <c r="T97" s="7" t="n">
        <v>1861.4</v>
      </c>
      <c r="V97" s="7" t="n">
        <v>1671.1</v>
      </c>
      <c r="X97" s="7" t="n">
        <v>3754.2</v>
      </c>
      <c r="Z97" s="7" t="n">
        <v>3205.2</v>
      </c>
      <c r="AB97" s="7" t="n">
        <v>34520.8</v>
      </c>
    </row>
    <row r="98">
      <c r="A98" s="4" t="inlineStr">
        <is>
          <t>研发费</t>
        </is>
      </c>
      <c r="D98" s="7" t="n">
        <v>234.1</v>
      </c>
      <c r="F98" s="7" t="n">
        <v>245.2</v>
      </c>
      <c r="H98" s="7" t="n">
        <v>372.3</v>
      </c>
      <c r="J98" s="7" t="n">
        <v>487.2</v>
      </c>
      <c r="L98" s="7" t="n">
        <v>341.3</v>
      </c>
      <c r="N98" s="7" t="n">
        <v>576.3</v>
      </c>
      <c r="P98" s="7" t="n">
        <v>288.3</v>
      </c>
      <c r="R98" s="7" t="n">
        <v>224.2</v>
      </c>
      <c r="T98" s="7" t="n">
        <v>202.1</v>
      </c>
      <c r="V98" s="7" t="n">
        <v>201.2</v>
      </c>
      <c r="X98" s="7" t="n">
        <v>472.1</v>
      </c>
      <c r="Z98" s="7" t="n">
        <v>356.4</v>
      </c>
      <c r="AB98" s="7" t="n">
        <v>4000.7</v>
      </c>
    </row>
    <row r="99">
      <c r="A99" s="4" t="inlineStr">
        <is>
          <t>残保金</t>
        </is>
      </c>
      <c r="D99" s="7" t="n">
        <v>3544.7</v>
      </c>
      <c r="F99" s="7" t="n">
        <v>4055.2</v>
      </c>
      <c r="H99" s="7" t="n">
        <v>3848.8</v>
      </c>
      <c r="J99" s="7" t="n">
        <v>5155</v>
      </c>
      <c r="L99" s="7" t="n">
        <v>6273.8</v>
      </c>
      <c r="N99" s="7" t="n">
        <v>4564.2</v>
      </c>
      <c r="P99" s="7" t="n">
        <v>4573.9</v>
      </c>
      <c r="R99" s="7" t="n">
        <v>4194.1</v>
      </c>
      <c r="T99" s="7" t="n">
        <v>2381.4</v>
      </c>
      <c r="V99" s="7" t="n">
        <v>2041</v>
      </c>
      <c r="X99" s="7" t="n">
        <v>4940.3</v>
      </c>
      <c r="Z99" s="7" t="n">
        <v>3981</v>
      </c>
      <c r="AB99" s="7" t="n">
        <v>49553.4</v>
      </c>
    </row>
    <row r="100">
      <c r="A100" s="4" t="inlineStr">
        <is>
          <t>环保费</t>
        </is>
      </c>
      <c r="D100" s="7" t="n">
        <v>285.2</v>
      </c>
      <c r="F100" s="7" t="n">
        <v>484.6</v>
      </c>
      <c r="H100" s="7" t="n">
        <v>664.4</v>
      </c>
      <c r="J100" s="7" t="n">
        <v>723.8</v>
      </c>
      <c r="L100" s="7" t="n">
        <v>819</v>
      </c>
      <c r="N100" s="7" t="n">
        <v>822.3</v>
      </c>
      <c r="P100" s="7" t="n">
        <v>759.3</v>
      </c>
      <c r="R100" s="7" t="n">
        <v>579</v>
      </c>
      <c r="T100" s="7" t="n">
        <v>433.4</v>
      </c>
      <c r="V100" s="7" t="n">
        <v>325.3</v>
      </c>
      <c r="X100" s="7" t="n">
        <v>762.7</v>
      </c>
      <c r="Z100" s="7" t="n">
        <v>471.1</v>
      </c>
      <c r="AB100" s="7" t="n">
        <v>7130.1</v>
      </c>
    </row>
    <row r="101">
      <c r="A101" s="4" t="inlineStr">
        <is>
          <t>报废损失</t>
        </is>
      </c>
      <c r="D101" s="7" t="n">
        <v>2229.7</v>
      </c>
      <c r="F101" s="7" t="n">
        <v>2431.3</v>
      </c>
      <c r="H101" s="7" t="n">
        <v>2766.4</v>
      </c>
      <c r="J101" s="7" t="n">
        <v>3119.9</v>
      </c>
      <c r="L101" s="7" t="n">
        <v>3593.3</v>
      </c>
      <c r="N101" s="7" t="n">
        <v>5921.7</v>
      </c>
      <c r="P101" s="7" t="n">
        <v>5071.9</v>
      </c>
      <c r="R101" s="7" t="n">
        <v>3363</v>
      </c>
      <c r="T101" s="7" t="n">
        <v>1987.4</v>
      </c>
      <c r="V101" s="7" t="n">
        <v>2766.4</v>
      </c>
      <c r="X101" s="7" t="n">
        <v>4067.8</v>
      </c>
      <c r="Z101" s="7" t="n">
        <v>2699.4</v>
      </c>
      <c r="AB101" s="7" t="n">
        <v>40018.2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190455.8</v>
      </c>
      <c r="D102" s="7" t="n">
        <v>93034.89999999999</v>
      </c>
      <c r="E102" s="7" t="n">
        <v>168898.9</v>
      </c>
      <c r="F102" s="7" t="n">
        <v>159946.3</v>
      </c>
      <c r="G102" s="7" t="n">
        <v>200373.7</v>
      </c>
      <c r="H102" s="7" t="n">
        <v>173531.3</v>
      </c>
      <c r="I102" s="7" t="n">
        <v>184547.8</v>
      </c>
      <c r="J102" s="7" t="n">
        <v>150746</v>
      </c>
      <c r="K102" s="7" t="n">
        <v>155331.1</v>
      </c>
      <c r="L102" s="7" t="n">
        <v>131702</v>
      </c>
      <c r="M102" s="7" t="n">
        <v>174293.8</v>
      </c>
      <c r="N102" s="7" t="n">
        <v>185184.2</v>
      </c>
      <c r="O102" s="7" t="n">
        <v>188414.5</v>
      </c>
      <c r="P102" s="7" t="n">
        <v>162902.1</v>
      </c>
      <c r="Q102" s="7" t="n">
        <v>175480</v>
      </c>
      <c r="R102" s="7" t="n">
        <v>143317.2</v>
      </c>
      <c r="S102" s="7" t="n">
        <v>159815.9</v>
      </c>
      <c r="T102" s="7" t="n">
        <v>274781.6</v>
      </c>
      <c r="U102" s="7" t="n">
        <v>193910.6</v>
      </c>
      <c r="V102" s="7" t="n">
        <v>364983.3</v>
      </c>
      <c r="W102" s="7" t="n">
        <v>185352.2</v>
      </c>
      <c r="X102" s="7" t="n">
        <v>158100.7</v>
      </c>
      <c r="Y102" s="7" t="n">
        <v>194821.2</v>
      </c>
      <c r="Z102" s="7" t="n">
        <v>193596.6</v>
      </c>
      <c r="AA102" s="8" t="n">
        <v>2171695.5</v>
      </c>
      <c r="AB102" s="8" t="n">
        <v>2191826.2</v>
      </c>
    </row>
    <row r="103">
      <c r="A103" s="4" t="inlineStr">
        <is>
          <t>职工薪酬</t>
        </is>
      </c>
      <c r="D103" s="7" t="n">
        <v>50466.1</v>
      </c>
      <c r="F103" s="7" t="n">
        <v>91647.3</v>
      </c>
      <c r="H103" s="7" t="n">
        <v>80383.89999999999</v>
      </c>
      <c r="J103" s="7" t="n">
        <v>80101.8</v>
      </c>
      <c r="L103" s="7" t="n">
        <v>58741.4</v>
      </c>
      <c r="N103" s="7" t="n">
        <v>98596.60000000001</v>
      </c>
      <c r="P103" s="7" t="n">
        <v>88791.39999999999</v>
      </c>
      <c r="R103" s="7" t="n">
        <v>78217.2</v>
      </c>
      <c r="T103" s="7" t="n">
        <v>135504.2</v>
      </c>
      <c r="V103" s="7" t="n">
        <v>190551.9</v>
      </c>
      <c r="X103" s="7" t="n">
        <v>66021.60000000001</v>
      </c>
      <c r="Z103" s="7" t="n">
        <v>91801.10000000001</v>
      </c>
      <c r="AB103" s="7" t="n">
        <v>1110824.5</v>
      </c>
    </row>
    <row r="104">
      <c r="A104" s="4" t="inlineStr">
        <is>
          <t>工资</t>
        </is>
      </c>
      <c r="D104" s="7" t="n">
        <v>32569.1</v>
      </c>
      <c r="F104" s="7" t="n">
        <v>56060</v>
      </c>
      <c r="H104" s="7" t="n">
        <v>39766.4</v>
      </c>
      <c r="J104" s="7" t="n">
        <v>51892.6</v>
      </c>
      <c r="L104" s="7" t="n">
        <v>36712.8</v>
      </c>
      <c r="N104" s="7" t="n">
        <v>60682.7</v>
      </c>
      <c r="P104" s="7" t="n">
        <v>59720.7</v>
      </c>
      <c r="R104" s="7" t="n">
        <v>46459.9</v>
      </c>
      <c r="T104" s="7" t="n">
        <v>84950.89999999999</v>
      </c>
      <c r="V104" s="7" t="n">
        <v>130310.9</v>
      </c>
      <c r="X104" s="7" t="n">
        <v>39480.1</v>
      </c>
      <c r="Z104" s="7" t="n">
        <v>50022</v>
      </c>
      <c r="AB104" s="7" t="n">
        <v>688628.1</v>
      </c>
    </row>
    <row r="105">
      <c r="A105" s="4" t="inlineStr">
        <is>
          <t>奖金及提成</t>
        </is>
      </c>
      <c r="D105" s="7" t="n">
        <v>9759.299999999999</v>
      </c>
      <c r="F105" s="7" t="n">
        <v>18947.9</v>
      </c>
      <c r="H105" s="7" t="n">
        <v>19986.3</v>
      </c>
      <c r="J105" s="7" t="n">
        <v>11960</v>
      </c>
      <c r="L105" s="7" t="n">
        <v>11050.2</v>
      </c>
      <c r="N105" s="7" t="n">
        <v>21032.7</v>
      </c>
      <c r="P105" s="7" t="n">
        <v>15006.3</v>
      </c>
      <c r="R105" s="7" t="n">
        <v>17790</v>
      </c>
      <c r="T105" s="7" t="n">
        <v>20779.4</v>
      </c>
      <c r="V105" s="7" t="n">
        <v>29523.8</v>
      </c>
      <c r="X105" s="7" t="n">
        <v>12822.2</v>
      </c>
      <c r="Z105" s="7" t="n">
        <v>23568.7</v>
      </c>
      <c r="AB105" s="7" t="n">
        <v>212226.8</v>
      </c>
    </row>
    <row r="106">
      <c r="A106" s="4" t="inlineStr">
        <is>
          <t>社保</t>
        </is>
      </c>
      <c r="D106" s="7" t="n">
        <v>6053.3</v>
      </c>
      <c r="F106" s="7" t="n">
        <v>12722.9</v>
      </c>
      <c r="H106" s="7" t="n">
        <v>15794</v>
      </c>
      <c r="J106" s="7" t="n">
        <v>13127.4</v>
      </c>
      <c r="L106" s="7" t="n">
        <v>7508.4</v>
      </c>
      <c r="N106" s="7" t="n">
        <v>11818.5</v>
      </c>
      <c r="P106" s="7" t="n">
        <v>10512.3</v>
      </c>
      <c r="R106" s="7" t="n">
        <v>10737.5</v>
      </c>
      <c r="T106" s="7" t="n">
        <v>23404.6</v>
      </c>
      <c r="V106" s="7" t="n">
        <v>21655.8</v>
      </c>
      <c r="X106" s="7" t="n">
        <v>9400.4</v>
      </c>
      <c r="Z106" s="7" t="n">
        <v>13120.5</v>
      </c>
      <c r="AB106" s="7" t="n">
        <v>155855.6</v>
      </c>
    </row>
    <row r="107">
      <c r="A107" s="4" t="inlineStr">
        <is>
          <t>养老</t>
        </is>
      </c>
      <c r="D107" s="7" t="n">
        <v>711.2</v>
      </c>
      <c r="F107" s="7" t="n">
        <v>724.8</v>
      </c>
      <c r="H107" s="7" t="n">
        <v>1051.1</v>
      </c>
      <c r="J107" s="7" t="n">
        <v>1020.9</v>
      </c>
      <c r="L107" s="7" t="n">
        <v>930.2</v>
      </c>
      <c r="N107" s="7" t="n">
        <v>1172.4</v>
      </c>
      <c r="P107" s="7" t="n">
        <v>900</v>
      </c>
      <c r="R107" s="7" t="n">
        <v>608.7</v>
      </c>
      <c r="T107" s="7" t="n">
        <v>1959.1</v>
      </c>
      <c r="V107" s="7" t="n">
        <v>2519.8</v>
      </c>
      <c r="X107" s="7" t="n">
        <v>1024.2</v>
      </c>
      <c r="Z107" s="7" t="n">
        <v>838.2</v>
      </c>
      <c r="AB107" s="7" t="n">
        <v>13460.6</v>
      </c>
    </row>
    <row r="108">
      <c r="A108" s="4" t="inlineStr">
        <is>
          <t>医疗</t>
        </is>
      </c>
      <c r="D108" s="7" t="n">
        <v>113.7</v>
      </c>
      <c r="F108" s="7" t="n">
        <v>204.6</v>
      </c>
      <c r="H108" s="7" t="n">
        <v>304.2</v>
      </c>
      <c r="J108" s="7" t="n">
        <v>173.8</v>
      </c>
      <c r="L108" s="7" t="n">
        <v>274.5</v>
      </c>
      <c r="N108" s="7" t="n">
        <v>384.4</v>
      </c>
      <c r="P108" s="7" t="n">
        <v>202.6</v>
      </c>
      <c r="R108" s="7" t="n">
        <v>266.5</v>
      </c>
      <c r="T108" s="7" t="n">
        <v>404.1</v>
      </c>
      <c r="V108" s="7" t="n">
        <v>668.4</v>
      </c>
      <c r="X108" s="7" t="n">
        <v>211.5</v>
      </c>
      <c r="Z108" s="7" t="n">
        <v>311.6</v>
      </c>
      <c r="AB108" s="7" t="n">
        <v>3519.9</v>
      </c>
    </row>
    <row r="109">
      <c r="A109" s="4" t="inlineStr">
        <is>
          <t>工伤</t>
        </is>
      </c>
      <c r="D109" s="7" t="n">
        <v>331.9</v>
      </c>
      <c r="F109" s="7" t="n">
        <v>471</v>
      </c>
      <c r="H109" s="7" t="n">
        <v>575.8</v>
      </c>
      <c r="J109" s="7" t="n">
        <v>441</v>
      </c>
      <c r="L109" s="7" t="n">
        <v>356.6</v>
      </c>
      <c r="N109" s="7" t="n">
        <v>762.2</v>
      </c>
      <c r="P109" s="7" t="n">
        <v>647.2</v>
      </c>
      <c r="R109" s="7" t="n">
        <v>409.3</v>
      </c>
      <c r="T109" s="7" t="n">
        <v>1211.9</v>
      </c>
      <c r="V109" s="7" t="n">
        <v>1026.1</v>
      </c>
      <c r="X109" s="7" t="n">
        <v>512.4</v>
      </c>
      <c r="Z109" s="7" t="n">
        <v>719.5</v>
      </c>
      <c r="AB109" s="7" t="n">
        <v>7464.9</v>
      </c>
    </row>
    <row r="110">
      <c r="A110" s="4" t="inlineStr">
        <is>
          <t>失业</t>
        </is>
      </c>
      <c r="D110" s="7" t="n">
        <v>400.6</v>
      </c>
      <c r="F110" s="7" t="n">
        <v>1094.3</v>
      </c>
      <c r="H110" s="7" t="n">
        <v>680</v>
      </c>
      <c r="J110" s="7" t="n">
        <v>790.7</v>
      </c>
      <c r="L110" s="7" t="n">
        <v>569.6</v>
      </c>
      <c r="N110" s="7" t="n">
        <v>1110.4</v>
      </c>
      <c r="P110" s="7" t="n">
        <v>746.6</v>
      </c>
      <c r="R110" s="7" t="n">
        <v>964.9</v>
      </c>
      <c r="T110" s="7" t="n">
        <v>1403</v>
      </c>
      <c r="V110" s="7" t="n">
        <v>2463.5</v>
      </c>
      <c r="X110" s="7" t="n">
        <v>1035.2</v>
      </c>
      <c r="Z110" s="7" t="n">
        <v>815</v>
      </c>
      <c r="AB110" s="7" t="n">
        <v>12073.8</v>
      </c>
    </row>
    <row r="111">
      <c r="A111" s="4" t="inlineStr">
        <is>
          <t>生育</t>
        </is>
      </c>
      <c r="D111" s="7" t="n">
        <v>79.2</v>
      </c>
      <c r="F111" s="7" t="n">
        <v>135.3</v>
      </c>
      <c r="H111" s="7" t="n">
        <v>245.7</v>
      </c>
      <c r="J111" s="7" t="n">
        <v>153.3</v>
      </c>
      <c r="L111" s="7" t="n">
        <v>156.6</v>
      </c>
      <c r="N111" s="7" t="n">
        <v>158.8</v>
      </c>
      <c r="P111" s="7" t="n">
        <v>227.1</v>
      </c>
      <c r="R111" s="7" t="n">
        <v>199.5</v>
      </c>
      <c r="T111" s="7" t="n">
        <v>378</v>
      </c>
      <c r="V111" s="7" t="n">
        <v>431.3</v>
      </c>
      <c r="X111" s="7" t="n">
        <v>141.8</v>
      </c>
      <c r="Z111" s="7" t="n">
        <v>219.2</v>
      </c>
      <c r="AB111" s="7" t="n">
        <v>2525.8</v>
      </c>
    </row>
    <row r="112">
      <c r="A112" s="4" t="inlineStr">
        <is>
          <t>公积金</t>
        </is>
      </c>
      <c r="D112" s="7" t="n">
        <v>405.2</v>
      </c>
      <c r="F112" s="7" t="n">
        <v>496.9</v>
      </c>
      <c r="H112" s="7" t="n">
        <v>750.8</v>
      </c>
      <c r="J112" s="7" t="n">
        <v>522.1</v>
      </c>
      <c r="L112" s="7" t="n">
        <v>616.5</v>
      </c>
      <c r="N112" s="7" t="n">
        <v>661.9</v>
      </c>
      <c r="P112" s="7" t="n">
        <v>488.3</v>
      </c>
      <c r="R112" s="7" t="n">
        <v>704.2</v>
      </c>
      <c r="T112" s="7" t="n">
        <v>1185.2</v>
      </c>
      <c r="V112" s="7" t="n">
        <v>1807.8</v>
      </c>
      <c r="X112" s="7" t="n">
        <v>737.5</v>
      </c>
      <c r="Z112" s="7" t="n">
        <v>857.7</v>
      </c>
      <c r="AB112" s="7" t="n">
        <v>9234.1</v>
      </c>
    </row>
    <row r="113">
      <c r="A113" s="4" t="inlineStr">
        <is>
          <t>工会经费</t>
        </is>
      </c>
      <c r="D113" s="7" t="n">
        <v>32.7</v>
      </c>
      <c r="F113" s="7" t="n">
        <v>100.9</v>
      </c>
      <c r="H113" s="7" t="n">
        <v>68.59999999999999</v>
      </c>
      <c r="J113" s="7" t="n">
        <v>82.59999999999999</v>
      </c>
      <c r="L113" s="7" t="n">
        <v>58.8</v>
      </c>
      <c r="N113" s="7" t="n">
        <v>86.59999999999999</v>
      </c>
      <c r="P113" s="7" t="n">
        <v>92.40000000000001</v>
      </c>
      <c r="R113" s="7" t="n">
        <v>84.09999999999999</v>
      </c>
      <c r="T113" s="7" t="n">
        <v>135.8</v>
      </c>
      <c r="V113" s="7" t="n">
        <v>135.3</v>
      </c>
      <c r="X113" s="7" t="n">
        <v>82.90000000000001</v>
      </c>
      <c r="Z113" s="7" t="n">
        <v>123.7</v>
      </c>
      <c r="AB113" s="7" t="n">
        <v>1084.4</v>
      </c>
    </row>
    <row r="114">
      <c r="A114" s="4" t="inlineStr">
        <is>
          <t>职工教育经费</t>
        </is>
      </c>
      <c r="D114" s="7" t="n">
        <v>128.1</v>
      </c>
      <c r="F114" s="7" t="n">
        <v>378.8</v>
      </c>
      <c r="H114" s="7" t="n">
        <v>256.4</v>
      </c>
      <c r="J114" s="7" t="n">
        <v>256.3</v>
      </c>
      <c r="L114" s="7" t="n">
        <v>214.4</v>
      </c>
      <c r="N114" s="7" t="n">
        <v>322.7</v>
      </c>
      <c r="P114" s="7" t="n">
        <v>332</v>
      </c>
      <c r="R114" s="7" t="n">
        <v>248.2</v>
      </c>
      <c r="T114" s="7" t="n">
        <v>590.1</v>
      </c>
      <c r="V114" s="7" t="n">
        <v>599.9</v>
      </c>
      <c r="X114" s="7" t="n">
        <v>341</v>
      </c>
      <c r="Z114" s="7" t="n">
        <v>386.2</v>
      </c>
      <c r="AB114" s="7" t="n">
        <v>4054.1</v>
      </c>
    </row>
    <row r="115">
      <c r="A115" s="4" t="inlineStr">
        <is>
          <t>福利费</t>
        </is>
      </c>
      <c r="D115" s="7" t="n">
        <v>1518.4</v>
      </c>
      <c r="F115" s="7" t="n">
        <v>2939.9</v>
      </c>
      <c r="H115" s="7" t="n">
        <v>3761.4</v>
      </c>
      <c r="J115" s="7" t="n">
        <v>2260.8</v>
      </c>
      <c r="L115" s="7" t="n">
        <v>2580.3</v>
      </c>
      <c r="N115" s="7" t="n">
        <v>3991.5</v>
      </c>
      <c r="P115" s="7" t="n">
        <v>2639.4</v>
      </c>
      <c r="R115" s="7" t="n">
        <v>2193.3</v>
      </c>
      <c r="T115" s="7" t="n">
        <v>4458.2</v>
      </c>
      <c r="V115" s="7" t="n">
        <v>6518.4</v>
      </c>
      <c r="X115" s="7" t="n">
        <v>3157.5</v>
      </c>
      <c r="Z115" s="7" t="n">
        <v>3722.3</v>
      </c>
      <c r="AB115" s="7" t="n">
        <v>39741.4</v>
      </c>
    </row>
    <row r="116">
      <c r="A116" s="4" t="inlineStr">
        <is>
          <t>职工房租</t>
        </is>
      </c>
      <c r="D116" s="7" t="n">
        <v>360.8</v>
      </c>
      <c r="F116" s="7" t="n">
        <v>517.5</v>
      </c>
      <c r="H116" s="7" t="n">
        <v>1037.1</v>
      </c>
      <c r="J116" s="7" t="n">
        <v>493.7</v>
      </c>
      <c r="L116" s="7" t="n">
        <v>628.5</v>
      </c>
      <c r="N116" s="7" t="n">
        <v>1088.2</v>
      </c>
      <c r="P116" s="7" t="n">
        <v>940.7</v>
      </c>
      <c r="R116" s="7" t="n">
        <v>486.1</v>
      </c>
      <c r="T116" s="7" t="n">
        <v>1152.4</v>
      </c>
      <c r="V116" s="7" t="n">
        <v>2034.9</v>
      </c>
      <c r="X116" s="7" t="n">
        <v>889.3</v>
      </c>
      <c r="Z116" s="7" t="n">
        <v>1063.4</v>
      </c>
      <c r="AB116" s="7" t="n">
        <v>10692.6</v>
      </c>
    </row>
    <row r="117">
      <c r="A117" s="4" t="inlineStr">
        <is>
          <t>水电物业费</t>
        </is>
      </c>
      <c r="D117" s="7" t="n">
        <v>141.4</v>
      </c>
      <c r="F117" s="7" t="n">
        <v>374.6</v>
      </c>
      <c r="H117" s="7" t="n">
        <v>430.3</v>
      </c>
      <c r="J117" s="7" t="n">
        <v>363.5</v>
      </c>
      <c r="L117" s="7" t="n">
        <v>215.2</v>
      </c>
      <c r="N117" s="7" t="n">
        <v>428.2</v>
      </c>
      <c r="P117" s="7" t="n">
        <v>230.9</v>
      </c>
      <c r="R117" s="7" t="n">
        <v>216.8</v>
      </c>
      <c r="T117" s="7" t="n">
        <v>678.2</v>
      </c>
      <c r="V117" s="7" t="n">
        <v>791.6</v>
      </c>
      <c r="X117" s="7" t="n">
        <v>283.1</v>
      </c>
      <c r="Z117" s="7" t="n">
        <v>267.8</v>
      </c>
      <c r="AB117" s="7" t="n">
        <v>4421.6</v>
      </c>
    </row>
    <row r="118">
      <c r="A118" s="4" t="inlineStr">
        <is>
          <t>员工餐</t>
        </is>
      </c>
      <c r="D118" s="7" t="n">
        <v>543.3</v>
      </c>
      <c r="F118" s="7" t="n">
        <v>1134.3</v>
      </c>
      <c r="H118" s="7" t="n">
        <v>1205.2</v>
      </c>
      <c r="J118" s="7" t="n">
        <v>709.9</v>
      </c>
      <c r="L118" s="7" t="n">
        <v>1002</v>
      </c>
      <c r="N118" s="7" t="n">
        <v>1432.2</v>
      </c>
      <c r="P118" s="7" t="n">
        <v>740.2</v>
      </c>
      <c r="R118" s="7" t="n">
        <v>833.5</v>
      </c>
      <c r="T118" s="7" t="n">
        <v>1299.4</v>
      </c>
      <c r="V118" s="7" t="n">
        <v>1723.3</v>
      </c>
      <c r="X118" s="7" t="n">
        <v>1041.9</v>
      </c>
      <c r="Z118" s="7" t="n">
        <v>1455.5</v>
      </c>
      <c r="AB118" s="7" t="n">
        <v>13120.7</v>
      </c>
    </row>
    <row r="119">
      <c r="A119" s="4" t="inlineStr">
        <is>
          <t>节日礼品</t>
        </is>
      </c>
      <c r="D119" s="7" t="n">
        <v>73.90000000000001</v>
      </c>
      <c r="F119" s="7" t="n">
        <v>180</v>
      </c>
      <c r="H119" s="7" t="n">
        <v>195.7</v>
      </c>
      <c r="J119" s="7" t="n">
        <v>165.6</v>
      </c>
      <c r="L119" s="7" t="n">
        <v>113.7</v>
      </c>
      <c r="N119" s="7" t="n">
        <v>172.2</v>
      </c>
      <c r="P119" s="7" t="n">
        <v>144.3</v>
      </c>
      <c r="R119" s="7" t="n">
        <v>164.5</v>
      </c>
      <c r="T119" s="7" t="n">
        <v>301.4</v>
      </c>
      <c r="V119" s="7" t="n">
        <v>312.5</v>
      </c>
      <c r="X119" s="7" t="n">
        <v>123.2</v>
      </c>
      <c r="Z119" s="7" t="n">
        <v>233.5</v>
      </c>
      <c r="AB119" s="7" t="n">
        <v>2180.5</v>
      </c>
    </row>
    <row r="120">
      <c r="A120" s="4" t="inlineStr">
        <is>
          <t>生日礼品</t>
        </is>
      </c>
      <c r="D120" s="7" t="n">
        <v>22.5</v>
      </c>
      <c r="F120" s="7" t="n">
        <v>33.8</v>
      </c>
      <c r="H120" s="7" t="n">
        <v>25.8</v>
      </c>
      <c r="J120" s="7" t="n">
        <v>38.1</v>
      </c>
      <c r="L120" s="7" t="n">
        <v>30.7</v>
      </c>
      <c r="N120" s="7" t="n">
        <v>47.8</v>
      </c>
      <c r="P120" s="7" t="n">
        <v>35.4</v>
      </c>
      <c r="R120" s="7" t="n">
        <v>36.2</v>
      </c>
      <c r="T120" s="7" t="n">
        <v>72.40000000000001</v>
      </c>
      <c r="V120" s="7" t="n">
        <v>77</v>
      </c>
      <c r="X120" s="7" t="n">
        <v>37.5</v>
      </c>
      <c r="Z120" s="7" t="n">
        <v>38.9</v>
      </c>
      <c r="AB120" s="7" t="n">
        <v>496.1</v>
      </c>
    </row>
    <row r="121">
      <c r="A121" s="4" t="inlineStr">
        <is>
          <t>体检</t>
        </is>
      </c>
      <c r="D121" s="7" t="n">
        <v>122.8</v>
      </c>
      <c r="F121" s="7" t="n">
        <v>166.6</v>
      </c>
      <c r="H121" s="7" t="n">
        <v>229.6</v>
      </c>
      <c r="J121" s="7" t="n">
        <v>120.1</v>
      </c>
      <c r="L121" s="7" t="n">
        <v>112</v>
      </c>
      <c r="N121" s="7" t="n">
        <v>204</v>
      </c>
      <c r="P121" s="7" t="n">
        <v>139.2</v>
      </c>
      <c r="R121" s="7" t="n">
        <v>119.4</v>
      </c>
      <c r="T121" s="7" t="n">
        <v>324.2</v>
      </c>
      <c r="V121" s="7" t="n">
        <v>388.6</v>
      </c>
      <c r="X121" s="7" t="n">
        <v>195.9</v>
      </c>
      <c r="Z121" s="7" t="n">
        <v>236.9</v>
      </c>
      <c r="AB121" s="7" t="n">
        <v>2359.3</v>
      </c>
    </row>
    <row r="122">
      <c r="A122" s="4" t="inlineStr">
        <is>
          <t>其他福利支出</t>
        </is>
      </c>
      <c r="D122" s="7" t="n">
        <v>253.7</v>
      </c>
      <c r="F122" s="7" t="n">
        <v>533.1</v>
      </c>
      <c r="H122" s="7" t="n">
        <v>637.7</v>
      </c>
      <c r="J122" s="7" t="n">
        <v>369.9</v>
      </c>
      <c r="L122" s="7" t="n">
        <v>478.2</v>
      </c>
      <c r="N122" s="7" t="n">
        <v>618.9</v>
      </c>
      <c r="P122" s="7" t="n">
        <v>408.7</v>
      </c>
      <c r="R122" s="7" t="n">
        <v>336.8</v>
      </c>
      <c r="T122" s="7" t="n">
        <v>630.2</v>
      </c>
      <c r="V122" s="7" t="n">
        <v>1190.5</v>
      </c>
      <c r="X122" s="7" t="n">
        <v>586.6</v>
      </c>
      <c r="Z122" s="7" t="n">
        <v>426.3</v>
      </c>
      <c r="AB122" s="7" t="n">
        <v>6470.6</v>
      </c>
    </row>
    <row r="123">
      <c r="A123" s="4" t="inlineStr">
        <is>
          <t>招聘费</t>
        </is>
      </c>
      <c r="D123" s="7" t="n">
        <v>176.5</v>
      </c>
      <c r="F123" s="7" t="n">
        <v>218.8</v>
      </c>
      <c r="H123" s="7" t="n">
        <v>339.8</v>
      </c>
      <c r="J123" s="7" t="n">
        <v>321.9</v>
      </c>
      <c r="L123" s="7" t="n">
        <v>215.8</v>
      </c>
      <c r="N123" s="7" t="n">
        <v>353.3</v>
      </c>
      <c r="P123" s="7" t="n">
        <v>326.5</v>
      </c>
      <c r="R123" s="7" t="n">
        <v>190.8</v>
      </c>
      <c r="T123" s="7" t="n">
        <v>438.1</v>
      </c>
      <c r="V123" s="7" t="n">
        <v>868.6</v>
      </c>
      <c r="X123" s="7" t="n">
        <v>303.9</v>
      </c>
      <c r="Z123" s="7" t="n">
        <v>372</v>
      </c>
      <c r="AB123" s="7" t="n">
        <v>4126</v>
      </c>
    </row>
    <row r="124">
      <c r="A124" s="4" t="inlineStr">
        <is>
          <t>办公费</t>
        </is>
      </c>
      <c r="D124" s="7" t="n">
        <v>3277.1</v>
      </c>
      <c r="F124" s="7" t="n">
        <v>3490.4</v>
      </c>
      <c r="H124" s="7" t="n">
        <v>4626.8</v>
      </c>
      <c r="J124" s="7" t="n">
        <v>5725.8</v>
      </c>
      <c r="L124" s="7" t="n">
        <v>2785.8</v>
      </c>
      <c r="N124" s="7" t="n">
        <v>5077.7</v>
      </c>
      <c r="P124" s="7" t="n">
        <v>4249</v>
      </c>
      <c r="R124" s="7" t="n">
        <v>4036.7</v>
      </c>
      <c r="T124" s="7" t="n">
        <v>6734.3</v>
      </c>
      <c r="V124" s="7" t="n">
        <v>12604</v>
      </c>
      <c r="X124" s="7" t="n">
        <v>5385.3</v>
      </c>
      <c r="Z124" s="7" t="n">
        <v>7459.1</v>
      </c>
      <c r="AB124" s="7" t="n">
        <v>65452</v>
      </c>
    </row>
    <row r="125">
      <c r="A125" s="4" t="inlineStr">
        <is>
          <t>市内交通费</t>
        </is>
      </c>
      <c r="D125" s="7" t="n">
        <v>325.1</v>
      </c>
      <c r="F125" s="7" t="n">
        <v>696</v>
      </c>
      <c r="H125" s="7" t="n">
        <v>915.4</v>
      </c>
      <c r="J125" s="7" t="n">
        <v>528.3</v>
      </c>
      <c r="L125" s="7" t="n">
        <v>718.8</v>
      </c>
      <c r="N125" s="7" t="n">
        <v>674.2</v>
      </c>
      <c r="P125" s="7" t="n">
        <v>789.8</v>
      </c>
      <c r="R125" s="7" t="n">
        <v>613.6</v>
      </c>
      <c r="T125" s="7" t="n">
        <v>1331.7</v>
      </c>
      <c r="V125" s="7" t="n">
        <v>2036.9</v>
      </c>
      <c r="X125" s="7" t="n">
        <v>636.7</v>
      </c>
      <c r="Z125" s="7" t="n">
        <v>705.5</v>
      </c>
      <c r="AB125" s="7" t="n">
        <v>9972</v>
      </c>
    </row>
    <row r="126">
      <c r="A126" s="4" t="inlineStr">
        <is>
          <t>差旅费</t>
        </is>
      </c>
      <c r="D126" s="7" t="n">
        <v>5458.5</v>
      </c>
      <c r="F126" s="7" t="n">
        <v>11814.8</v>
      </c>
      <c r="H126" s="7" t="n">
        <v>7871.1</v>
      </c>
      <c r="J126" s="7" t="n">
        <v>10230.3</v>
      </c>
      <c r="L126" s="7" t="n">
        <v>9724.700000000001</v>
      </c>
      <c r="N126" s="7" t="n">
        <v>13160.9</v>
      </c>
      <c r="P126" s="7" t="n">
        <v>10678.5</v>
      </c>
      <c r="R126" s="7" t="n">
        <v>9986</v>
      </c>
      <c r="T126" s="7" t="n">
        <v>13133.9</v>
      </c>
      <c r="V126" s="7" t="n">
        <v>27991.3</v>
      </c>
      <c r="X126" s="7" t="n">
        <v>9578.799999999999</v>
      </c>
      <c r="Z126" s="7" t="n">
        <v>13209.9</v>
      </c>
      <c r="AB126" s="7" t="n">
        <v>142838.7</v>
      </c>
    </row>
    <row r="127">
      <c r="A127" s="4" t="inlineStr">
        <is>
          <t>交通费</t>
        </is>
      </c>
      <c r="D127" s="7" t="n">
        <v>500</v>
      </c>
      <c r="F127" s="7" t="n">
        <v>618.2</v>
      </c>
      <c r="H127" s="7" t="n">
        <v>868.1</v>
      </c>
      <c r="J127" s="7" t="n">
        <v>581.7</v>
      </c>
      <c r="L127" s="7" t="n">
        <v>515.4</v>
      </c>
      <c r="N127" s="7" t="n">
        <v>959.9</v>
      </c>
      <c r="P127" s="7" t="n">
        <v>667</v>
      </c>
      <c r="R127" s="7" t="n">
        <v>755.7</v>
      </c>
      <c r="T127" s="7" t="n">
        <v>1366.8</v>
      </c>
      <c r="V127" s="7" t="n">
        <v>1453.9</v>
      </c>
      <c r="X127" s="7" t="n">
        <v>557.3</v>
      </c>
      <c r="Z127" s="7" t="n">
        <v>881.7</v>
      </c>
      <c r="AB127" s="7" t="n">
        <v>9725.700000000001</v>
      </c>
    </row>
    <row r="128">
      <c r="A128" s="4" t="inlineStr">
        <is>
          <t>住宿费</t>
        </is>
      </c>
      <c r="D128" s="7" t="n">
        <v>36.2</v>
      </c>
      <c r="F128" s="7" t="n">
        <v>84.7</v>
      </c>
      <c r="H128" s="7" t="n">
        <v>85.2</v>
      </c>
      <c r="J128" s="7" t="n">
        <v>87.7</v>
      </c>
      <c r="L128" s="7" t="n">
        <v>50.9</v>
      </c>
      <c r="N128" s="7" t="n">
        <v>111.3</v>
      </c>
      <c r="P128" s="7" t="n">
        <v>82.40000000000001</v>
      </c>
      <c r="R128" s="7" t="n">
        <v>90.3</v>
      </c>
      <c r="T128" s="7" t="n">
        <v>158</v>
      </c>
      <c r="V128" s="7" t="n">
        <v>135</v>
      </c>
      <c r="X128" s="7" t="n">
        <v>58.8</v>
      </c>
      <c r="Z128" s="7" t="n">
        <v>84.59999999999999</v>
      </c>
      <c r="AB128" s="7" t="n">
        <v>1065.1</v>
      </c>
    </row>
    <row r="129">
      <c r="A129" s="4" t="inlineStr">
        <is>
          <t>餐补</t>
        </is>
      </c>
      <c r="D129" s="7" t="n">
        <v>454.1</v>
      </c>
      <c r="F129" s="7" t="n">
        <v>850.4</v>
      </c>
      <c r="H129" s="7" t="n">
        <v>975.7</v>
      </c>
      <c r="J129" s="7" t="n">
        <v>695.8</v>
      </c>
      <c r="L129" s="7" t="n">
        <v>651.4</v>
      </c>
      <c r="N129" s="7" t="n">
        <v>1319.3</v>
      </c>
      <c r="P129" s="7" t="n">
        <v>852.9</v>
      </c>
      <c r="R129" s="7" t="n">
        <v>863.7</v>
      </c>
      <c r="T129" s="7" t="n">
        <v>1436.7</v>
      </c>
      <c r="V129" s="7" t="n">
        <v>2740.7</v>
      </c>
      <c r="X129" s="7" t="n">
        <v>1055.7</v>
      </c>
      <c r="Z129" s="7" t="n">
        <v>930</v>
      </c>
      <c r="AB129" s="7" t="n">
        <v>12826.4</v>
      </c>
    </row>
    <row r="130">
      <c r="A130" s="4" t="inlineStr">
        <is>
          <t>交通补助</t>
        </is>
      </c>
      <c r="D130" s="7" t="n">
        <v>78.7</v>
      </c>
      <c r="F130" s="7" t="n">
        <v>94.09999999999999</v>
      </c>
      <c r="H130" s="7" t="n">
        <v>171.4</v>
      </c>
      <c r="J130" s="7" t="n">
        <v>115.3</v>
      </c>
      <c r="L130" s="7" t="n">
        <v>130</v>
      </c>
      <c r="N130" s="7" t="n">
        <v>188.2</v>
      </c>
      <c r="P130" s="7" t="n">
        <v>102.9</v>
      </c>
      <c r="R130" s="7" t="n">
        <v>107.2</v>
      </c>
      <c r="T130" s="7" t="n">
        <v>269.6</v>
      </c>
      <c r="V130" s="7" t="n">
        <v>377.2</v>
      </c>
      <c r="X130" s="7" t="n">
        <v>118.8</v>
      </c>
      <c r="Z130" s="7" t="n">
        <v>174.6</v>
      </c>
      <c r="AB130" s="7" t="n">
        <v>1928</v>
      </c>
    </row>
    <row r="131">
      <c r="A131" s="4" t="inlineStr">
        <is>
          <t>通讯补助</t>
        </is>
      </c>
      <c r="D131" s="7" t="n">
        <v>264.7</v>
      </c>
      <c r="F131" s="7" t="n">
        <v>650.2</v>
      </c>
      <c r="H131" s="7" t="n">
        <v>638.8</v>
      </c>
      <c r="J131" s="7" t="n">
        <v>536.3</v>
      </c>
      <c r="L131" s="7" t="n">
        <v>474.7</v>
      </c>
      <c r="N131" s="7" t="n">
        <v>703.2</v>
      </c>
      <c r="P131" s="7" t="n">
        <v>457.7</v>
      </c>
      <c r="R131" s="7" t="n">
        <v>567.1</v>
      </c>
      <c r="T131" s="7" t="n">
        <v>642.5</v>
      </c>
      <c r="V131" s="7" t="n">
        <v>1467.4</v>
      </c>
      <c r="X131" s="7" t="n">
        <v>458.6</v>
      </c>
      <c r="Z131" s="7" t="n">
        <v>510.6</v>
      </c>
      <c r="AB131" s="7" t="n">
        <v>7371.8</v>
      </c>
    </row>
    <row r="132">
      <c r="A132" s="4" t="inlineStr">
        <is>
          <t>招待费</t>
        </is>
      </c>
      <c r="D132" s="7" t="n">
        <v>3496.5</v>
      </c>
      <c r="F132" s="7" t="n">
        <v>4758.6</v>
      </c>
      <c r="H132" s="7" t="n">
        <v>6475.7</v>
      </c>
      <c r="J132" s="7" t="n">
        <v>5893.4</v>
      </c>
      <c r="L132" s="7" t="n">
        <v>3983.2</v>
      </c>
      <c r="N132" s="7" t="n">
        <v>7255.7</v>
      </c>
      <c r="P132" s="7" t="n">
        <v>7073.1</v>
      </c>
      <c r="R132" s="7" t="n">
        <v>7109</v>
      </c>
      <c r="T132" s="7" t="n">
        <v>10759.5</v>
      </c>
      <c r="V132" s="7" t="n">
        <v>10971.3</v>
      </c>
      <c r="X132" s="7" t="n">
        <v>7203.5</v>
      </c>
      <c r="Z132" s="7" t="n">
        <v>9683.5</v>
      </c>
      <c r="AB132" s="7" t="n">
        <v>84663</v>
      </c>
    </row>
    <row r="133">
      <c r="A133" s="4" t="inlineStr">
        <is>
          <t>通讯费</t>
        </is>
      </c>
      <c r="D133" s="7" t="n">
        <v>653.3</v>
      </c>
      <c r="F133" s="7" t="n">
        <v>793.1</v>
      </c>
      <c r="H133" s="7" t="n">
        <v>941.8</v>
      </c>
      <c r="J133" s="7" t="n">
        <v>811.9</v>
      </c>
      <c r="L133" s="7" t="n">
        <v>1034</v>
      </c>
      <c r="N133" s="7" t="n">
        <v>1111</v>
      </c>
      <c r="P133" s="7" t="n">
        <v>1105</v>
      </c>
      <c r="R133" s="7" t="n">
        <v>854.6</v>
      </c>
      <c r="T133" s="7" t="n">
        <v>1441.2</v>
      </c>
      <c r="V133" s="7" t="n">
        <v>1596.2</v>
      </c>
      <c r="X133" s="7" t="n">
        <v>758.8</v>
      </c>
      <c r="Z133" s="7" t="n">
        <v>1150</v>
      </c>
      <c r="AB133" s="7" t="n">
        <v>12250.9</v>
      </c>
    </row>
    <row r="134">
      <c r="A134" s="4" t="inlineStr">
        <is>
          <t>网络费</t>
        </is>
      </c>
      <c r="D134" s="7" t="n">
        <v>348.4</v>
      </c>
      <c r="F134" s="7" t="n">
        <v>482.7</v>
      </c>
      <c r="H134" s="7" t="n">
        <v>772.7</v>
      </c>
      <c r="J134" s="7" t="n">
        <v>587.4</v>
      </c>
      <c r="L134" s="7" t="n">
        <v>697.7</v>
      </c>
      <c r="N134" s="7" t="n">
        <v>712.8</v>
      </c>
      <c r="P134" s="7" t="n">
        <v>655.2</v>
      </c>
      <c r="R134" s="7" t="n">
        <v>592.1</v>
      </c>
      <c r="T134" s="7" t="n">
        <v>844.9</v>
      </c>
      <c r="V134" s="7" t="n">
        <v>1870.6</v>
      </c>
      <c r="X134" s="7" t="n">
        <v>844</v>
      </c>
      <c r="Z134" s="7" t="n">
        <v>902.3</v>
      </c>
      <c r="AB134" s="7" t="n">
        <v>9310.799999999999</v>
      </c>
    </row>
    <row r="135">
      <c r="A135" s="4" t="inlineStr">
        <is>
          <t>修理费</t>
        </is>
      </c>
      <c r="D135" s="7" t="n">
        <v>178</v>
      </c>
      <c r="F135" s="7" t="n">
        <v>212.3</v>
      </c>
      <c r="H135" s="7" t="n">
        <v>227.7</v>
      </c>
      <c r="J135" s="7" t="n">
        <v>251.6</v>
      </c>
      <c r="L135" s="7" t="n">
        <v>204.8</v>
      </c>
      <c r="N135" s="7" t="n">
        <v>369.4</v>
      </c>
      <c r="P135" s="7" t="n">
        <v>352.5</v>
      </c>
      <c r="R135" s="7" t="n">
        <v>257.4</v>
      </c>
      <c r="T135" s="7" t="n">
        <v>535.7</v>
      </c>
      <c r="V135" s="7" t="n">
        <v>552.6</v>
      </c>
      <c r="X135" s="7" t="n">
        <v>335.2</v>
      </c>
      <c r="Z135" s="7" t="n">
        <v>258.8</v>
      </c>
      <c r="AB135" s="7" t="n">
        <v>3736</v>
      </c>
    </row>
    <row r="136">
      <c r="A136" s="4" t="inlineStr">
        <is>
          <t>车辆费</t>
        </is>
      </c>
      <c r="D136" s="7" t="n">
        <v>497.9</v>
      </c>
      <c r="F136" s="7" t="n">
        <v>1089.3</v>
      </c>
      <c r="H136" s="7" t="n">
        <v>819.5</v>
      </c>
      <c r="J136" s="7" t="n">
        <v>810.7</v>
      </c>
      <c r="L136" s="7" t="n">
        <v>740.9</v>
      </c>
      <c r="N136" s="7" t="n">
        <v>1078.8</v>
      </c>
      <c r="P136" s="7" t="n">
        <v>1072.3</v>
      </c>
      <c r="R136" s="7" t="n">
        <v>674.8</v>
      </c>
      <c r="T136" s="7" t="n">
        <v>1816.3</v>
      </c>
      <c r="V136" s="7" t="n">
        <v>1969.8</v>
      </c>
      <c r="X136" s="7" t="n">
        <v>1042.9</v>
      </c>
      <c r="Z136" s="7" t="n">
        <v>1068.5</v>
      </c>
      <c r="AB136" s="7" t="n">
        <v>12681.7</v>
      </c>
    </row>
    <row r="137">
      <c r="A137" s="4" t="inlineStr">
        <is>
          <t>租赁费</t>
        </is>
      </c>
      <c r="D137" s="7" t="n">
        <v>3283.9</v>
      </c>
      <c r="F137" s="7" t="n">
        <v>9355.6</v>
      </c>
      <c r="H137" s="7" t="n">
        <v>9182.200000000001</v>
      </c>
      <c r="J137" s="7" t="n">
        <v>5628</v>
      </c>
      <c r="L137" s="7" t="n">
        <v>7248.7</v>
      </c>
      <c r="N137" s="7" t="n">
        <v>9906.5</v>
      </c>
      <c r="P137" s="7" t="n">
        <v>7283.7</v>
      </c>
      <c r="R137" s="7" t="n">
        <v>9257</v>
      </c>
      <c r="T137" s="7" t="n">
        <v>17357.7</v>
      </c>
      <c r="V137" s="7" t="n">
        <v>20908.1</v>
      </c>
      <c r="X137" s="7" t="n">
        <v>9027.799999999999</v>
      </c>
      <c r="Z137" s="7" t="n">
        <v>8614.200000000001</v>
      </c>
      <c r="AB137" s="7" t="n">
        <v>117053.4</v>
      </c>
    </row>
    <row r="138">
      <c r="A138" s="4" t="inlineStr">
        <is>
          <t>能源费</t>
        </is>
      </c>
      <c r="D138" s="7" t="n">
        <v>1405.5</v>
      </c>
      <c r="F138" s="7" t="n">
        <v>2273.2</v>
      </c>
      <c r="H138" s="7" t="n">
        <v>2524.4</v>
      </c>
      <c r="J138" s="7" t="n">
        <v>1892.8</v>
      </c>
      <c r="L138" s="7" t="n">
        <v>1953.7</v>
      </c>
      <c r="N138" s="7" t="n">
        <v>2734.9</v>
      </c>
      <c r="P138" s="7" t="n">
        <v>2095.3</v>
      </c>
      <c r="R138" s="7" t="n">
        <v>2139.8</v>
      </c>
      <c r="T138" s="7" t="n">
        <v>4213.5</v>
      </c>
      <c r="V138" s="7" t="n">
        <v>5942.7</v>
      </c>
      <c r="X138" s="7" t="n">
        <v>2031.8</v>
      </c>
      <c r="Z138" s="7" t="n">
        <v>2791.7</v>
      </c>
      <c r="AB138" s="7" t="n">
        <v>31999.3</v>
      </c>
    </row>
    <row r="139">
      <c r="A139" s="4" t="inlineStr">
        <is>
          <t>水费</t>
        </is>
      </c>
      <c r="D139" s="7" t="n">
        <v>351.3</v>
      </c>
      <c r="F139" s="7" t="n">
        <v>357.4</v>
      </c>
      <c r="H139" s="7" t="n">
        <v>425</v>
      </c>
      <c r="J139" s="7" t="n">
        <v>571.8</v>
      </c>
      <c r="L139" s="7" t="n">
        <v>369.5</v>
      </c>
      <c r="N139" s="7" t="n">
        <v>560.7</v>
      </c>
      <c r="P139" s="7" t="n">
        <v>383.8</v>
      </c>
      <c r="R139" s="7" t="n">
        <v>391.2</v>
      </c>
      <c r="T139" s="7" t="n">
        <v>735.8</v>
      </c>
      <c r="V139" s="7" t="n">
        <v>1367.3</v>
      </c>
      <c r="X139" s="7" t="n">
        <v>597.7</v>
      </c>
      <c r="Z139" s="7" t="n">
        <v>596.7</v>
      </c>
      <c r="AB139" s="7" t="n">
        <v>6708.2</v>
      </c>
    </row>
    <row r="140">
      <c r="A140" s="4" t="inlineStr">
        <is>
          <t>电费</t>
        </is>
      </c>
      <c r="D140" s="7" t="n">
        <v>10.4</v>
      </c>
      <c r="F140" s="7" t="n">
        <v>10.7</v>
      </c>
      <c r="H140" s="7" t="n">
        <v>20.2</v>
      </c>
      <c r="J140" s="7" t="n">
        <v>14.2</v>
      </c>
      <c r="L140" s="7" t="n">
        <v>15.1</v>
      </c>
      <c r="N140" s="7" t="n">
        <v>19.5</v>
      </c>
      <c r="P140" s="7" t="n">
        <v>16.7</v>
      </c>
      <c r="R140" s="7" t="n">
        <v>13.1</v>
      </c>
      <c r="T140" s="7" t="n">
        <v>24.5</v>
      </c>
      <c r="V140" s="7" t="n">
        <v>31.3</v>
      </c>
      <c r="X140" s="7" t="n">
        <v>15.3</v>
      </c>
      <c r="Z140" s="7" t="n">
        <v>18.5</v>
      </c>
      <c r="AB140" s="7" t="n">
        <v>209.5</v>
      </c>
    </row>
    <row r="141">
      <c r="A141" s="4" t="inlineStr">
        <is>
          <t>燃气费</t>
        </is>
      </c>
      <c r="D141" s="7" t="n">
        <v>358.5</v>
      </c>
      <c r="F141" s="7" t="n">
        <v>646.4</v>
      </c>
      <c r="H141" s="7" t="n">
        <v>833.2</v>
      </c>
      <c r="J141" s="7" t="n">
        <v>609.7</v>
      </c>
      <c r="L141" s="7" t="n">
        <v>698.4</v>
      </c>
      <c r="N141" s="7" t="n">
        <v>952.9</v>
      </c>
      <c r="P141" s="7" t="n">
        <v>759.2</v>
      </c>
      <c r="R141" s="7" t="n">
        <v>867.9</v>
      </c>
      <c r="T141" s="7" t="n">
        <v>1534.5</v>
      </c>
      <c r="V141" s="7" t="n">
        <v>1762.4</v>
      </c>
      <c r="X141" s="7" t="n">
        <v>690</v>
      </c>
      <c r="Z141" s="7" t="n">
        <v>1041.4</v>
      </c>
      <c r="AB141" s="7" t="n">
        <v>10754.5</v>
      </c>
    </row>
    <row r="142">
      <c r="A142" s="4" t="inlineStr">
        <is>
          <t>蒸汽费</t>
        </is>
      </c>
      <c r="D142" s="7" t="n">
        <v>685.3</v>
      </c>
      <c r="F142" s="7" t="n">
        <v>1258.7</v>
      </c>
      <c r="H142" s="7" t="n">
        <v>1246</v>
      </c>
      <c r="J142" s="7" t="n">
        <v>697.1</v>
      </c>
      <c r="L142" s="7" t="n">
        <v>870.7</v>
      </c>
      <c r="N142" s="7" t="n">
        <v>1201.8</v>
      </c>
      <c r="P142" s="7" t="n">
        <v>935.6</v>
      </c>
      <c r="R142" s="7" t="n">
        <v>867.6</v>
      </c>
      <c r="T142" s="7" t="n">
        <v>1918.7</v>
      </c>
      <c r="V142" s="7" t="n">
        <v>2781.7</v>
      </c>
      <c r="X142" s="7" t="n">
        <v>728.8</v>
      </c>
      <c r="Z142" s="7" t="n">
        <v>1135.1</v>
      </c>
      <c r="AB142" s="7" t="n">
        <v>14327.1</v>
      </c>
    </row>
    <row r="143">
      <c r="A143" s="4" t="inlineStr">
        <is>
          <t>物业费</t>
        </is>
      </c>
      <c r="D143" s="7" t="n">
        <v>255.2</v>
      </c>
      <c r="F143" s="7" t="n">
        <v>532.8</v>
      </c>
      <c r="H143" s="7" t="n">
        <v>629.9</v>
      </c>
      <c r="J143" s="7" t="n">
        <v>479</v>
      </c>
      <c r="L143" s="7" t="n">
        <v>488.3</v>
      </c>
      <c r="N143" s="7" t="n">
        <v>655.4</v>
      </c>
      <c r="P143" s="7" t="n">
        <v>507.5</v>
      </c>
      <c r="R143" s="7" t="n">
        <v>536.3</v>
      </c>
      <c r="T143" s="7" t="n">
        <v>811.3</v>
      </c>
      <c r="V143" s="7" t="n">
        <v>1781.4</v>
      </c>
      <c r="X143" s="7" t="n">
        <v>752.3</v>
      </c>
      <c r="Z143" s="7" t="n">
        <v>699.3</v>
      </c>
      <c r="AB143" s="7" t="n">
        <v>8128.7</v>
      </c>
    </row>
    <row r="144">
      <c r="A144" s="4" t="inlineStr">
        <is>
          <t>劳动保护费</t>
        </is>
      </c>
      <c r="D144" s="7" t="n">
        <v>561.7</v>
      </c>
      <c r="F144" s="7" t="n">
        <v>985</v>
      </c>
      <c r="H144" s="7" t="n">
        <v>657.8</v>
      </c>
      <c r="J144" s="7" t="n">
        <v>750</v>
      </c>
      <c r="L144" s="7" t="n">
        <v>591.2</v>
      </c>
      <c r="N144" s="7" t="n">
        <v>866.9</v>
      </c>
      <c r="P144" s="7" t="n">
        <v>1076</v>
      </c>
      <c r="R144" s="7" t="n">
        <v>662.1</v>
      </c>
      <c r="T144" s="7" t="n">
        <v>1778.5</v>
      </c>
      <c r="V144" s="7" t="n">
        <v>2311.2</v>
      </c>
      <c r="X144" s="7" t="n">
        <v>807</v>
      </c>
      <c r="Z144" s="7" t="n">
        <v>880</v>
      </c>
      <c r="AB144" s="7" t="n">
        <v>11927.4</v>
      </c>
    </row>
    <row r="145">
      <c r="A145" s="4" t="inlineStr">
        <is>
          <t>顾问费</t>
        </is>
      </c>
      <c r="D145" s="7" t="n">
        <v>521</v>
      </c>
      <c r="F145" s="7" t="n">
        <v>669.7</v>
      </c>
      <c r="H145" s="7" t="n">
        <v>811.3</v>
      </c>
      <c r="J145" s="7" t="n">
        <v>822.8</v>
      </c>
      <c r="L145" s="7" t="n">
        <v>925.1</v>
      </c>
      <c r="N145" s="7" t="n">
        <v>1303</v>
      </c>
      <c r="P145" s="7" t="n">
        <v>1019.3</v>
      </c>
      <c r="R145" s="7" t="n">
        <v>762.3</v>
      </c>
      <c r="T145" s="7" t="n">
        <v>2068.9</v>
      </c>
      <c r="V145" s="7" t="n">
        <v>2791.5</v>
      </c>
      <c r="X145" s="7" t="n">
        <v>788.7</v>
      </c>
      <c r="Z145" s="7" t="n">
        <v>1467.4</v>
      </c>
      <c r="AB145" s="7" t="n">
        <v>13951</v>
      </c>
    </row>
    <row r="146">
      <c r="A146" s="4" t="inlineStr">
        <is>
          <t>快递费</t>
        </is>
      </c>
      <c r="D146" s="7" t="n">
        <v>127.7</v>
      </c>
      <c r="F146" s="7" t="n">
        <v>241.9</v>
      </c>
      <c r="H146" s="7" t="n">
        <v>258.9</v>
      </c>
      <c r="J146" s="7" t="n">
        <v>199.3</v>
      </c>
      <c r="L146" s="7" t="n">
        <v>129.3</v>
      </c>
      <c r="N146" s="7" t="n">
        <v>253.1</v>
      </c>
      <c r="P146" s="7" t="n">
        <v>264.7</v>
      </c>
      <c r="R146" s="7" t="n">
        <v>145.6</v>
      </c>
      <c r="T146" s="7" t="n">
        <v>431.3</v>
      </c>
      <c r="V146" s="7" t="n">
        <v>465.9</v>
      </c>
      <c r="X146" s="7" t="n">
        <v>192.2</v>
      </c>
      <c r="Z146" s="7" t="n">
        <v>185.8</v>
      </c>
      <c r="AB146" s="7" t="n">
        <v>2895.7</v>
      </c>
    </row>
    <row r="147">
      <c r="A147" s="4" t="inlineStr">
        <is>
          <t>诉讼费</t>
        </is>
      </c>
      <c r="D147" s="7" t="n">
        <v>490</v>
      </c>
      <c r="F147" s="7" t="n">
        <v>906.6</v>
      </c>
      <c r="H147" s="7" t="n">
        <v>1067.2</v>
      </c>
      <c r="J147" s="7" t="n">
        <v>955</v>
      </c>
      <c r="L147" s="7" t="n">
        <v>744.8</v>
      </c>
      <c r="N147" s="7" t="n">
        <v>832.9</v>
      </c>
      <c r="P147" s="7" t="n">
        <v>883</v>
      </c>
      <c r="R147" s="7" t="n">
        <v>955.6</v>
      </c>
      <c r="T147" s="7" t="n">
        <v>1187</v>
      </c>
      <c r="V147" s="7" t="n">
        <v>1449.5</v>
      </c>
      <c r="X147" s="7" t="n">
        <v>799.4</v>
      </c>
      <c r="Z147" s="7" t="n">
        <v>1095.7</v>
      </c>
      <c r="AB147" s="7" t="n">
        <v>11366.7</v>
      </c>
    </row>
    <row r="148">
      <c r="A148" s="4" t="inlineStr">
        <is>
          <t>会员费</t>
        </is>
      </c>
      <c r="D148" s="7" t="n">
        <v>259.4</v>
      </c>
      <c r="F148" s="7" t="n">
        <v>699.8</v>
      </c>
      <c r="H148" s="7" t="n">
        <v>845.5</v>
      </c>
      <c r="J148" s="7" t="n">
        <v>438.2</v>
      </c>
      <c r="L148" s="7" t="n">
        <v>476.2</v>
      </c>
      <c r="N148" s="7" t="n">
        <v>825.2</v>
      </c>
      <c r="P148" s="7" t="n">
        <v>493.3</v>
      </c>
      <c r="R148" s="7" t="n">
        <v>542.1</v>
      </c>
      <c r="T148" s="7" t="n">
        <v>1153.4</v>
      </c>
      <c r="V148" s="7" t="n">
        <v>1299.1</v>
      </c>
      <c r="X148" s="7" t="n">
        <v>519</v>
      </c>
      <c r="Z148" s="7" t="n">
        <v>933</v>
      </c>
      <c r="AB148" s="7" t="n">
        <v>8484.200000000001</v>
      </c>
    </row>
    <row r="149">
      <c r="A149" s="4" t="inlineStr">
        <is>
          <t>广告宣传费</t>
        </is>
      </c>
      <c r="D149" s="7" t="n">
        <v>2451</v>
      </c>
      <c r="F149" s="7" t="n">
        <v>4900.4</v>
      </c>
      <c r="H149" s="7" t="n">
        <v>4410.2</v>
      </c>
      <c r="J149" s="7" t="n">
        <v>5282.2</v>
      </c>
      <c r="L149" s="7" t="n">
        <v>4629.2</v>
      </c>
      <c r="N149" s="7" t="n">
        <v>6456.8</v>
      </c>
      <c r="P149" s="7" t="n">
        <v>5354</v>
      </c>
      <c r="R149" s="7" t="n">
        <v>3719</v>
      </c>
      <c r="T149" s="7" t="n">
        <v>10394.9</v>
      </c>
      <c r="V149" s="7" t="n">
        <v>11786.7</v>
      </c>
      <c r="X149" s="7" t="n">
        <v>5136.8</v>
      </c>
      <c r="Z149" s="7" t="n">
        <v>6084.4</v>
      </c>
      <c r="AB149" s="7" t="n">
        <v>70605.60000000001</v>
      </c>
    </row>
    <row r="150">
      <c r="A150" s="4" t="inlineStr">
        <is>
          <t>会务费</t>
        </is>
      </c>
      <c r="D150" s="7" t="n">
        <v>61.5</v>
      </c>
      <c r="F150" s="7" t="n">
        <v>114.7</v>
      </c>
      <c r="H150" s="7" t="n">
        <v>89.90000000000001</v>
      </c>
      <c r="J150" s="7" t="n">
        <v>88.90000000000001</v>
      </c>
      <c r="L150" s="7" t="n">
        <v>110.5</v>
      </c>
      <c r="N150" s="7" t="n">
        <v>94.90000000000001</v>
      </c>
      <c r="P150" s="7" t="n">
        <v>110.1</v>
      </c>
      <c r="R150" s="7" t="n">
        <v>89.09999999999999</v>
      </c>
      <c r="T150" s="7" t="n">
        <v>224.2</v>
      </c>
      <c r="V150" s="7" t="n">
        <v>231.3</v>
      </c>
      <c r="X150" s="7" t="n">
        <v>106.6</v>
      </c>
      <c r="Z150" s="7" t="n">
        <v>93.59999999999999</v>
      </c>
      <c r="AB150" s="7" t="n">
        <v>1415.3</v>
      </c>
    </row>
    <row r="151">
      <c r="A151" s="4" t="inlineStr">
        <is>
          <t>装修费</t>
        </is>
      </c>
      <c r="D151" s="7" t="n">
        <v>57.3</v>
      </c>
      <c r="F151" s="7" t="n">
        <v>57.6</v>
      </c>
      <c r="H151" s="7" t="n">
        <v>93.09999999999999</v>
      </c>
      <c r="J151" s="7" t="n">
        <v>67.3</v>
      </c>
      <c r="L151" s="7" t="n">
        <v>56.4</v>
      </c>
      <c r="N151" s="7" t="n">
        <v>111.2</v>
      </c>
      <c r="P151" s="7" t="n">
        <v>93.09999999999999</v>
      </c>
      <c r="R151" s="7" t="n">
        <v>55.9</v>
      </c>
      <c r="T151" s="7" t="n">
        <v>93.59999999999999</v>
      </c>
      <c r="V151" s="7" t="n">
        <v>142.1</v>
      </c>
      <c r="X151" s="7" t="n">
        <v>79.40000000000001</v>
      </c>
      <c r="Z151" s="7" t="n">
        <v>99.40000000000001</v>
      </c>
      <c r="AB151" s="7" t="n">
        <v>1006.4</v>
      </c>
    </row>
    <row r="152">
      <c r="A152" s="4" t="inlineStr">
        <is>
          <t>推广费</t>
        </is>
      </c>
      <c r="D152" s="7" t="n">
        <v>24.7</v>
      </c>
      <c r="F152" s="7" t="n">
        <v>42.8</v>
      </c>
      <c r="H152" s="7" t="n">
        <v>35.4</v>
      </c>
      <c r="J152" s="7" t="n">
        <v>33.2</v>
      </c>
      <c r="L152" s="7" t="n">
        <v>27.9</v>
      </c>
      <c r="N152" s="7" t="n">
        <v>30.4</v>
      </c>
      <c r="P152" s="7" t="n">
        <v>38.5</v>
      </c>
      <c r="R152" s="7" t="n">
        <v>37.1</v>
      </c>
      <c r="T152" s="7" t="n">
        <v>46.2</v>
      </c>
      <c r="V152" s="7" t="n">
        <v>54</v>
      </c>
      <c r="X152" s="7" t="n">
        <v>23.3</v>
      </c>
      <c r="Z152" s="7" t="n">
        <v>40.2</v>
      </c>
      <c r="AB152" s="7" t="n">
        <v>433.7</v>
      </c>
    </row>
    <row r="153">
      <c r="A153" s="4" t="inlineStr">
        <is>
          <t>展会费</t>
        </is>
      </c>
      <c r="D153" s="7" t="n">
        <v>113.4</v>
      </c>
      <c r="F153" s="7" t="n">
        <v>122.9</v>
      </c>
      <c r="H153" s="7" t="n">
        <v>143.9</v>
      </c>
      <c r="J153" s="7" t="n">
        <v>135</v>
      </c>
      <c r="L153" s="7" t="n">
        <v>109.4</v>
      </c>
      <c r="N153" s="7" t="n">
        <v>210.3</v>
      </c>
      <c r="P153" s="7" t="n">
        <v>205.7</v>
      </c>
      <c r="R153" s="7" t="n">
        <v>123.2</v>
      </c>
      <c r="T153" s="7" t="n">
        <v>271.5</v>
      </c>
      <c r="V153" s="7" t="n">
        <v>463.8</v>
      </c>
      <c r="X153" s="7" t="n">
        <v>143.6</v>
      </c>
      <c r="Z153" s="7" t="n">
        <v>199.4</v>
      </c>
      <c r="AB153" s="7" t="n">
        <v>2242.1</v>
      </c>
    </row>
    <row r="154">
      <c r="A154" s="4" t="inlineStr">
        <is>
          <t>设计费</t>
        </is>
      </c>
      <c r="D154" s="7" t="n">
        <v>206</v>
      </c>
      <c r="F154" s="7" t="n">
        <v>307.9</v>
      </c>
      <c r="H154" s="7" t="n">
        <v>337.5</v>
      </c>
      <c r="J154" s="7" t="n">
        <v>273.5</v>
      </c>
      <c r="L154" s="7" t="n">
        <v>207.4</v>
      </c>
      <c r="N154" s="7" t="n">
        <v>287.3</v>
      </c>
      <c r="P154" s="7" t="n">
        <v>349.7</v>
      </c>
      <c r="R154" s="7" t="n">
        <v>340.9</v>
      </c>
      <c r="T154" s="7" t="n">
        <v>460.7</v>
      </c>
      <c r="V154" s="7" t="n">
        <v>659.1</v>
      </c>
      <c r="X154" s="7" t="n">
        <v>320.4</v>
      </c>
      <c r="Z154" s="7" t="n">
        <v>433.4</v>
      </c>
      <c r="AB154" s="7" t="n">
        <v>4183.8</v>
      </c>
    </row>
    <row r="155">
      <c r="A155" s="4" t="inlineStr">
        <is>
          <t>折旧费</t>
        </is>
      </c>
      <c r="D155" s="7" t="n">
        <v>3300.7</v>
      </c>
      <c r="F155" s="7" t="n">
        <v>7526.8</v>
      </c>
      <c r="H155" s="7" t="n">
        <v>8831.1</v>
      </c>
      <c r="J155" s="7" t="n">
        <v>5985.8</v>
      </c>
      <c r="L155" s="7" t="n">
        <v>6478.2</v>
      </c>
      <c r="N155" s="7" t="n">
        <v>7068.4</v>
      </c>
      <c r="P155" s="7" t="n">
        <v>7482.1</v>
      </c>
      <c r="R155" s="7" t="n">
        <v>6819.2</v>
      </c>
      <c r="T155" s="7" t="n">
        <v>11801.8</v>
      </c>
      <c r="V155" s="7" t="n">
        <v>15539.2</v>
      </c>
      <c r="X155" s="7" t="n">
        <v>6055.8</v>
      </c>
      <c r="Z155" s="7" t="n">
        <v>8055.8</v>
      </c>
      <c r="AB155" s="7" t="n">
        <v>94944.89999999999</v>
      </c>
    </row>
    <row r="156">
      <c r="A156" s="4" t="inlineStr">
        <is>
          <t>认证费</t>
        </is>
      </c>
      <c r="D156" s="7" t="n">
        <v>246.3</v>
      </c>
      <c r="F156" s="7" t="n">
        <v>289.7</v>
      </c>
      <c r="H156" s="7" t="n">
        <v>340.6</v>
      </c>
      <c r="J156" s="7" t="n">
        <v>266.2</v>
      </c>
      <c r="L156" s="7" t="n">
        <v>325.2</v>
      </c>
      <c r="N156" s="7" t="n">
        <v>477.8</v>
      </c>
      <c r="P156" s="7" t="n">
        <v>350</v>
      </c>
      <c r="R156" s="7" t="n">
        <v>420.3</v>
      </c>
      <c r="T156" s="7" t="n">
        <v>732.5</v>
      </c>
      <c r="V156" s="7" t="n">
        <v>1144.8</v>
      </c>
      <c r="X156" s="7" t="n">
        <v>353.3</v>
      </c>
      <c r="Z156" s="7" t="n">
        <v>340.8</v>
      </c>
      <c r="AB156" s="7" t="n">
        <v>5287.5</v>
      </c>
    </row>
    <row r="157">
      <c r="A157" s="4" t="inlineStr">
        <is>
          <t>样品费</t>
        </is>
      </c>
      <c r="D157" s="7" t="n">
        <v>1503.3</v>
      </c>
      <c r="F157" s="7" t="n">
        <v>2858.6</v>
      </c>
      <c r="H157" s="7" t="n">
        <v>4076.4</v>
      </c>
      <c r="J157" s="7" t="n">
        <v>2757.6</v>
      </c>
      <c r="L157" s="7" t="n">
        <v>1958.6</v>
      </c>
      <c r="N157" s="7" t="n">
        <v>4052.5</v>
      </c>
      <c r="P157" s="7" t="n">
        <v>3007.8</v>
      </c>
      <c r="R157" s="7" t="n">
        <v>3347.1</v>
      </c>
      <c r="T157" s="7" t="n">
        <v>4250.2</v>
      </c>
      <c r="V157" s="7" t="n">
        <v>6505.1</v>
      </c>
      <c r="X157" s="7" t="n">
        <v>2234.1</v>
      </c>
      <c r="Z157" s="7" t="n">
        <v>3474.4</v>
      </c>
      <c r="AB157" s="7" t="n">
        <v>40025.7</v>
      </c>
    </row>
    <row r="158">
      <c r="A158" s="4" t="inlineStr">
        <is>
          <t>劳务费</t>
        </is>
      </c>
      <c r="D158" s="7" t="n">
        <v>334.2</v>
      </c>
      <c r="F158" s="7" t="n">
        <v>604.9</v>
      </c>
      <c r="H158" s="7" t="n">
        <v>549.1</v>
      </c>
      <c r="J158" s="7" t="n">
        <v>428.4</v>
      </c>
      <c r="L158" s="7" t="n">
        <v>426.5</v>
      </c>
      <c r="N158" s="7" t="n">
        <v>574.4</v>
      </c>
      <c r="P158" s="7" t="n">
        <v>378.7</v>
      </c>
      <c r="R158" s="7" t="n">
        <v>379.1</v>
      </c>
      <c r="T158" s="7" t="n">
        <v>892.8</v>
      </c>
      <c r="V158" s="7" t="n">
        <v>1370</v>
      </c>
      <c r="X158" s="7" t="n">
        <v>586.7</v>
      </c>
      <c r="Z158" s="7" t="n">
        <v>440.1</v>
      </c>
      <c r="AB158" s="7" t="n">
        <v>6964.9</v>
      </c>
    </row>
    <row r="159">
      <c r="A159" s="4" t="inlineStr">
        <is>
          <t>销售佣金</t>
        </is>
      </c>
      <c r="D159" s="7" t="n">
        <v>519</v>
      </c>
      <c r="F159" s="7" t="n">
        <v>1080.2</v>
      </c>
      <c r="H159" s="7" t="n">
        <v>904.7</v>
      </c>
      <c r="J159" s="7" t="n">
        <v>787.2</v>
      </c>
      <c r="L159" s="7" t="n">
        <v>630.8</v>
      </c>
      <c r="N159" s="7" t="n">
        <v>1280.9</v>
      </c>
      <c r="P159" s="7" t="n">
        <v>952.8</v>
      </c>
      <c r="R159" s="7" t="n">
        <v>1085.7</v>
      </c>
      <c r="T159" s="7" t="n">
        <v>1532.4</v>
      </c>
      <c r="V159" s="7" t="n">
        <v>1654.6</v>
      </c>
      <c r="X159" s="7" t="n">
        <v>742.8</v>
      </c>
      <c r="Z159" s="7" t="n">
        <v>1015.5</v>
      </c>
      <c r="AB159" s="7" t="n">
        <v>12186.6</v>
      </c>
    </row>
    <row r="160">
      <c r="A160" s="4" t="inlineStr">
        <is>
          <t>检测费</t>
        </is>
      </c>
      <c r="D160" s="7" t="n">
        <v>244.3</v>
      </c>
      <c r="F160" s="7" t="n">
        <v>349.8</v>
      </c>
      <c r="H160" s="7" t="n">
        <v>473.2</v>
      </c>
      <c r="J160" s="7" t="n">
        <v>459.3</v>
      </c>
      <c r="L160" s="7" t="n">
        <v>427.4</v>
      </c>
      <c r="N160" s="7" t="n">
        <v>579.7</v>
      </c>
      <c r="P160" s="7" t="n">
        <v>356.1</v>
      </c>
      <c r="R160" s="7" t="n">
        <v>433.6</v>
      </c>
      <c r="T160" s="7" t="n">
        <v>649.6</v>
      </c>
      <c r="V160" s="7" t="n">
        <v>1133.9</v>
      </c>
      <c r="X160" s="7" t="n">
        <v>496.5</v>
      </c>
      <c r="Z160" s="7" t="n">
        <v>351.6</v>
      </c>
      <c r="AB160" s="7" t="n">
        <v>5955</v>
      </c>
    </row>
    <row r="161">
      <c r="A161" s="4" t="inlineStr">
        <is>
          <t>质量赔偿</t>
        </is>
      </c>
      <c r="D161" s="7" t="n">
        <v>291.7</v>
      </c>
      <c r="F161" s="7" t="n">
        <v>512</v>
      </c>
      <c r="H161" s="7" t="n">
        <v>866.9</v>
      </c>
      <c r="J161" s="7" t="n">
        <v>722.7</v>
      </c>
      <c r="L161" s="7" t="n">
        <v>481.6</v>
      </c>
      <c r="N161" s="7" t="n">
        <v>902.1</v>
      </c>
      <c r="P161" s="7" t="n">
        <v>647.6</v>
      </c>
      <c r="R161" s="7" t="n">
        <v>626.5</v>
      </c>
      <c r="T161" s="7" t="n">
        <v>1031.6</v>
      </c>
      <c r="V161" s="7" t="n">
        <v>1647.2</v>
      </c>
      <c r="X161" s="7" t="n">
        <v>625.7</v>
      </c>
      <c r="Z161" s="7" t="n">
        <v>915</v>
      </c>
      <c r="AB161" s="7" t="n">
        <v>9270.6</v>
      </c>
    </row>
    <row r="162">
      <c r="A162" s="4" t="inlineStr">
        <is>
          <t>保险费</t>
        </is>
      </c>
      <c r="D162" s="7" t="n">
        <v>335.3</v>
      </c>
      <c r="F162" s="7" t="n">
        <v>610.4</v>
      </c>
      <c r="H162" s="7" t="n">
        <v>399.8</v>
      </c>
      <c r="J162" s="7" t="n">
        <v>415.4</v>
      </c>
      <c r="L162" s="7" t="n">
        <v>420.4</v>
      </c>
      <c r="N162" s="7" t="n">
        <v>396.1</v>
      </c>
      <c r="P162" s="7" t="n">
        <v>353.8</v>
      </c>
      <c r="R162" s="7" t="n">
        <v>301.7</v>
      </c>
      <c r="T162" s="7" t="n">
        <v>625</v>
      </c>
      <c r="V162" s="7" t="n">
        <v>972.3</v>
      </c>
      <c r="X162" s="7" t="n">
        <v>524.3</v>
      </c>
      <c r="Z162" s="7" t="n">
        <v>554.8</v>
      </c>
      <c r="AB162" s="7" t="n">
        <v>5909.3</v>
      </c>
    </row>
    <row r="163">
      <c r="A163" s="4" t="inlineStr">
        <is>
          <t>清洁费</t>
        </is>
      </c>
      <c r="D163" s="7" t="n">
        <v>84.59999999999999</v>
      </c>
      <c r="F163" s="7" t="n">
        <v>221.6</v>
      </c>
      <c r="H163" s="7" t="n">
        <v>178.4</v>
      </c>
      <c r="J163" s="7" t="n">
        <v>208.9</v>
      </c>
      <c r="L163" s="7" t="n">
        <v>190.2</v>
      </c>
      <c r="N163" s="7" t="n">
        <v>260.5</v>
      </c>
      <c r="P163" s="7" t="n">
        <v>221.9</v>
      </c>
      <c r="R163" s="7" t="n">
        <v>136.9</v>
      </c>
      <c r="T163" s="7" t="n">
        <v>359.1</v>
      </c>
      <c r="V163" s="7" t="n">
        <v>312.2</v>
      </c>
      <c r="X163" s="7" t="n">
        <v>223.8</v>
      </c>
      <c r="Z163" s="7" t="n">
        <v>161</v>
      </c>
      <c r="AB163" s="7" t="n">
        <v>2559.1</v>
      </c>
    </row>
    <row r="164">
      <c r="A164" s="4" t="inlineStr">
        <is>
          <t>低值易耗品</t>
        </is>
      </c>
      <c r="D164" s="7" t="n">
        <v>214.5</v>
      </c>
      <c r="F164" s="7" t="n">
        <v>410.2</v>
      </c>
      <c r="H164" s="7" t="n">
        <v>323</v>
      </c>
      <c r="J164" s="7" t="n">
        <v>261.2</v>
      </c>
      <c r="L164" s="7" t="n">
        <v>222.6</v>
      </c>
      <c r="N164" s="7" t="n">
        <v>390.5</v>
      </c>
      <c r="P164" s="7" t="n">
        <v>272.9</v>
      </c>
      <c r="R164" s="7" t="n">
        <v>376.7</v>
      </c>
      <c r="T164" s="7" t="n">
        <v>683.5</v>
      </c>
      <c r="V164" s="7" t="n">
        <v>971.6</v>
      </c>
      <c r="X164" s="7" t="n">
        <v>436.9</v>
      </c>
      <c r="Z164" s="7" t="n">
        <v>396.3</v>
      </c>
      <c r="AB164" s="7" t="n">
        <v>4959.9</v>
      </c>
    </row>
    <row r="165">
      <c r="A165" s="4" t="inlineStr">
        <is>
          <t>物料消耗</t>
        </is>
      </c>
      <c r="D165" s="7" t="n">
        <v>210.8</v>
      </c>
      <c r="F165" s="7" t="n">
        <v>476.4</v>
      </c>
      <c r="H165" s="7" t="n">
        <v>532.2</v>
      </c>
      <c r="J165" s="7" t="n">
        <v>484.4</v>
      </c>
      <c r="L165" s="7" t="n">
        <v>496.1</v>
      </c>
      <c r="N165" s="7" t="n">
        <v>484.6</v>
      </c>
      <c r="P165" s="7" t="n">
        <v>543.4</v>
      </c>
      <c r="R165" s="7" t="n">
        <v>350.8</v>
      </c>
      <c r="T165" s="7" t="n">
        <v>690.9</v>
      </c>
      <c r="V165" s="7" t="n">
        <v>938.6</v>
      </c>
      <c r="X165" s="7" t="n">
        <v>347.2</v>
      </c>
      <c r="Z165" s="7" t="n">
        <v>587.1</v>
      </c>
      <c r="AB165" s="7" t="n">
        <v>6142.5</v>
      </c>
    </row>
    <row r="166">
      <c r="A166" s="4" t="inlineStr">
        <is>
          <t>盘盈盘亏</t>
        </is>
      </c>
      <c r="D166" s="7" t="n">
        <v>583.5</v>
      </c>
      <c r="F166" s="7" t="n">
        <v>1044.7</v>
      </c>
      <c r="H166" s="7" t="n">
        <v>818</v>
      </c>
      <c r="J166" s="7" t="n">
        <v>644.4</v>
      </c>
      <c r="L166" s="7" t="n">
        <v>967.2</v>
      </c>
      <c r="N166" s="7" t="n">
        <v>780.3</v>
      </c>
      <c r="P166" s="7" t="n">
        <v>660</v>
      </c>
      <c r="R166" s="7" t="n">
        <v>680.6</v>
      </c>
      <c r="T166" s="7" t="n">
        <v>1873.4</v>
      </c>
      <c r="V166" s="7" t="n">
        <v>1697.9</v>
      </c>
      <c r="X166" s="7" t="n">
        <v>690.2</v>
      </c>
      <c r="Z166" s="7" t="n">
        <v>914.4</v>
      </c>
      <c r="AB166" s="7" t="n">
        <v>11354.6</v>
      </c>
    </row>
    <row r="167">
      <c r="A167" s="4" t="inlineStr">
        <is>
          <t>平台服务费</t>
        </is>
      </c>
      <c r="D167" s="7" t="n">
        <v>366.2</v>
      </c>
      <c r="F167" s="7" t="n">
        <v>752.6</v>
      </c>
      <c r="H167" s="7" t="n">
        <v>777</v>
      </c>
      <c r="J167" s="7" t="n">
        <v>517.8</v>
      </c>
      <c r="L167" s="7" t="n">
        <v>495.9</v>
      </c>
      <c r="N167" s="7" t="n">
        <v>568.2</v>
      </c>
      <c r="P167" s="7" t="n">
        <v>632.5</v>
      </c>
      <c r="R167" s="7" t="n">
        <v>692.9</v>
      </c>
      <c r="T167" s="7" t="n">
        <v>884.5</v>
      </c>
      <c r="V167" s="7" t="n">
        <v>1297.7</v>
      </c>
      <c r="X167" s="7" t="n">
        <v>786.7</v>
      </c>
      <c r="Z167" s="7" t="n">
        <v>915.1</v>
      </c>
      <c r="AB167" s="7" t="n">
        <v>8687.1</v>
      </c>
    </row>
    <row r="168">
      <c r="A168" s="4" t="inlineStr">
        <is>
          <t>无形资产摊销</t>
        </is>
      </c>
      <c r="D168" s="7" t="n">
        <v>365.9</v>
      </c>
      <c r="F168" s="7" t="n">
        <v>437.7</v>
      </c>
      <c r="H168" s="7" t="n">
        <v>506.4</v>
      </c>
      <c r="J168" s="7" t="n">
        <v>405.3</v>
      </c>
      <c r="L168" s="7" t="n">
        <v>392.1</v>
      </c>
      <c r="N168" s="7" t="n">
        <v>761.9</v>
      </c>
      <c r="P168" s="7" t="n">
        <v>597.3</v>
      </c>
      <c r="R168" s="7" t="n">
        <v>380.4</v>
      </c>
      <c r="T168" s="7" t="n">
        <v>1134</v>
      </c>
      <c r="V168" s="7" t="n">
        <v>1409.6</v>
      </c>
      <c r="X168" s="7" t="n">
        <v>449.5</v>
      </c>
      <c r="Z168" s="7" t="n">
        <v>806</v>
      </c>
      <c r="AB168" s="7" t="n">
        <v>7646.1</v>
      </c>
    </row>
    <row r="169">
      <c r="A169" s="4" t="inlineStr">
        <is>
          <t>研发材料</t>
        </is>
      </c>
      <c r="D169" s="7" t="n">
        <v>81.8</v>
      </c>
      <c r="F169" s="7" t="n">
        <v>215.2</v>
      </c>
      <c r="H169" s="7" t="n">
        <v>206.8</v>
      </c>
      <c r="J169" s="7" t="n">
        <v>158.9</v>
      </c>
      <c r="L169" s="7" t="n">
        <v>202.9</v>
      </c>
      <c r="N169" s="7" t="n">
        <v>170.4</v>
      </c>
      <c r="P169" s="7" t="n">
        <v>191.6</v>
      </c>
      <c r="R169" s="7" t="n">
        <v>138.9</v>
      </c>
      <c r="T169" s="7" t="n">
        <v>337.4</v>
      </c>
      <c r="V169" s="7" t="n">
        <v>449.8</v>
      </c>
      <c r="X169" s="7" t="n">
        <v>141.9</v>
      </c>
      <c r="Z169" s="7" t="n">
        <v>205</v>
      </c>
      <c r="AB169" s="7" t="n">
        <v>2500.6</v>
      </c>
    </row>
    <row r="170">
      <c r="A170" s="4" t="inlineStr">
        <is>
          <t>项目名称</t>
        </is>
      </c>
      <c r="D170" s="7" t="n">
        <v>65</v>
      </c>
      <c r="F170" s="7" t="n">
        <v>116.9</v>
      </c>
      <c r="H170" s="7" t="n">
        <v>106.1</v>
      </c>
      <c r="J170" s="7" t="n">
        <v>84.7</v>
      </c>
      <c r="L170" s="7" t="n">
        <v>79.5</v>
      </c>
      <c r="N170" s="7" t="n">
        <v>125.5</v>
      </c>
      <c r="P170" s="7" t="n">
        <v>106.3</v>
      </c>
      <c r="R170" s="7" t="n">
        <v>91.59999999999999</v>
      </c>
      <c r="T170" s="7" t="n">
        <v>169.2</v>
      </c>
      <c r="V170" s="7" t="n">
        <v>259.5</v>
      </c>
      <c r="X170" s="7" t="n">
        <v>110.3</v>
      </c>
      <c r="Z170" s="7" t="n">
        <v>158.4</v>
      </c>
      <c r="AB170" s="7" t="n">
        <v>1473</v>
      </c>
    </row>
    <row r="171">
      <c r="A171" s="4" t="inlineStr">
        <is>
          <t>研发费</t>
        </is>
      </c>
      <c r="D171" s="7" t="n">
        <v>98</v>
      </c>
      <c r="F171" s="7" t="n">
        <v>166.1</v>
      </c>
      <c r="H171" s="7" t="n">
        <v>214.8</v>
      </c>
      <c r="J171" s="7" t="n">
        <v>160.5</v>
      </c>
      <c r="L171" s="7" t="n">
        <v>144.2</v>
      </c>
      <c r="N171" s="7" t="n">
        <v>222.9</v>
      </c>
      <c r="P171" s="7" t="n">
        <v>251.5</v>
      </c>
      <c r="R171" s="7" t="n">
        <v>233.1</v>
      </c>
      <c r="T171" s="7" t="n">
        <v>370</v>
      </c>
      <c r="V171" s="7" t="n">
        <v>399.8</v>
      </c>
      <c r="X171" s="7" t="n">
        <v>259.6</v>
      </c>
      <c r="Z171" s="7" t="n">
        <v>342.2</v>
      </c>
      <c r="AB171" s="7" t="n">
        <v>2862.7</v>
      </c>
    </row>
    <row r="172">
      <c r="A172" s="4" t="inlineStr">
        <is>
          <t>残保金</t>
        </is>
      </c>
      <c r="D172" s="7" t="n">
        <v>134.8</v>
      </c>
      <c r="F172" s="7" t="n">
        <v>329.6</v>
      </c>
      <c r="H172" s="7" t="n">
        <v>277.4</v>
      </c>
      <c r="J172" s="7" t="n">
        <v>231.4</v>
      </c>
      <c r="L172" s="7" t="n">
        <v>245.1</v>
      </c>
      <c r="N172" s="7" t="n">
        <v>371.5</v>
      </c>
      <c r="P172" s="7" t="n">
        <v>216.8</v>
      </c>
      <c r="R172" s="7" t="n">
        <v>252.6</v>
      </c>
      <c r="T172" s="7" t="n">
        <v>541.5</v>
      </c>
      <c r="V172" s="7" t="n">
        <v>633.1</v>
      </c>
      <c r="X172" s="7" t="n">
        <v>245.6</v>
      </c>
      <c r="Z172" s="7" t="n">
        <v>423.7</v>
      </c>
      <c r="AB172" s="7" t="n">
        <v>3903.1</v>
      </c>
    </row>
    <row r="173">
      <c r="A173" s="4" t="inlineStr">
        <is>
          <t>环保费</t>
        </is>
      </c>
      <c r="D173" s="7" t="n">
        <v>129.4</v>
      </c>
      <c r="F173" s="7" t="n">
        <v>185.6</v>
      </c>
      <c r="H173" s="7" t="n">
        <v>220.6</v>
      </c>
      <c r="J173" s="7" t="n">
        <v>292.5</v>
      </c>
      <c r="L173" s="7" t="n">
        <v>161.8</v>
      </c>
      <c r="N173" s="7" t="n">
        <v>205</v>
      </c>
      <c r="P173" s="7" t="n">
        <v>251</v>
      </c>
      <c r="R173" s="7" t="n">
        <v>201.9</v>
      </c>
      <c r="T173" s="7" t="n">
        <v>346.8</v>
      </c>
      <c r="V173" s="7" t="n">
        <v>490.2</v>
      </c>
      <c r="X173" s="7" t="n">
        <v>184.6</v>
      </c>
      <c r="Z173" s="7" t="n">
        <v>335.5</v>
      </c>
      <c r="AB173" s="7" t="n">
        <v>3004.9</v>
      </c>
    </row>
    <row r="174">
      <c r="A174" s="4" t="inlineStr">
        <is>
          <t>报废损失</t>
        </is>
      </c>
      <c r="D174" s="7" t="n">
        <v>549.8</v>
      </c>
      <c r="F174" s="7" t="n">
        <v>1146.8</v>
      </c>
      <c r="H174" s="7" t="n">
        <v>1019.2</v>
      </c>
      <c r="J174" s="7" t="n">
        <v>837.4</v>
      </c>
      <c r="L174" s="7" t="n">
        <v>625.1</v>
      </c>
      <c r="N174" s="7" t="n">
        <v>793.1</v>
      </c>
      <c r="P174" s="7" t="n">
        <v>1085.7</v>
      </c>
      <c r="R174" s="7" t="n">
        <v>834.1</v>
      </c>
      <c r="T174" s="7" t="n">
        <v>1989.4</v>
      </c>
      <c r="V174" s="7" t="n">
        <v>2452.6</v>
      </c>
      <c r="X174" s="7" t="n">
        <v>897.8</v>
      </c>
      <c r="Z174" s="7" t="n">
        <v>866.8</v>
      </c>
      <c r="AB174" s="7" t="n">
        <v>13097.8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92252.2</v>
      </c>
      <c r="D175" s="7" t="n">
        <v>32656.6</v>
      </c>
      <c r="E175" s="7" t="n">
        <v>96970</v>
      </c>
      <c r="F175" s="7" t="n">
        <v>31340.7</v>
      </c>
      <c r="G175" s="7" t="n">
        <v>93928</v>
      </c>
      <c r="H175" s="7" t="n">
        <v>57649.6</v>
      </c>
      <c r="I175" s="7" t="n">
        <v>96074</v>
      </c>
      <c r="J175" s="7" t="n">
        <v>125449.8</v>
      </c>
      <c r="K175" s="7" t="n">
        <v>97251</v>
      </c>
      <c r="L175" s="7" t="n">
        <v>96198.10000000001</v>
      </c>
      <c r="M175" s="7" t="n">
        <v>89273.5</v>
      </c>
      <c r="N175" s="7" t="n">
        <v>141589.3</v>
      </c>
      <c r="O175" s="7" t="n">
        <v>76699.39999999999</v>
      </c>
      <c r="P175" s="7" t="n">
        <v>202356.4</v>
      </c>
      <c r="Q175" s="7" t="n">
        <v>91617.7</v>
      </c>
      <c r="R175" s="7" t="n">
        <v>67891.3</v>
      </c>
      <c r="S175" s="7" t="n">
        <v>92722.3</v>
      </c>
      <c r="T175" s="7" t="n">
        <v>91105.2</v>
      </c>
      <c r="U175" s="7" t="n">
        <v>74303.39999999999</v>
      </c>
      <c r="V175" s="7" t="n">
        <v>100031.2</v>
      </c>
      <c r="W175" s="7" t="n">
        <v>99241.89999999999</v>
      </c>
      <c r="X175" s="7" t="n">
        <v>37804.7</v>
      </c>
      <c r="Y175" s="7" t="n">
        <v>96056</v>
      </c>
      <c r="Z175" s="7" t="n">
        <v>57297.9</v>
      </c>
      <c r="AA175" s="8" t="n">
        <v>1096389.4</v>
      </c>
      <c r="AB175" s="8" t="n">
        <v>1041370.8</v>
      </c>
    </row>
    <row r="176">
      <c r="A176" s="4" t="inlineStr">
        <is>
          <t>职工薪酬</t>
        </is>
      </c>
      <c r="D176" s="7" t="n">
        <v>19159.7</v>
      </c>
      <c r="F176" s="7" t="n">
        <v>16490.4</v>
      </c>
      <c r="H176" s="7" t="n">
        <v>33509.9</v>
      </c>
      <c r="J176" s="7" t="n">
        <v>66389.2</v>
      </c>
      <c r="L176" s="7" t="n">
        <v>59625.7</v>
      </c>
      <c r="N176" s="7" t="n">
        <v>75025.8</v>
      </c>
      <c r="P176" s="7" t="n">
        <v>94510.10000000001</v>
      </c>
      <c r="R176" s="7" t="n">
        <v>39037.9</v>
      </c>
      <c r="T176" s="7" t="n">
        <v>57026</v>
      </c>
      <c r="V176" s="7" t="n">
        <v>46636.5</v>
      </c>
      <c r="X176" s="7" t="n">
        <v>19264.7</v>
      </c>
      <c r="Z176" s="7" t="n">
        <v>34486.9</v>
      </c>
      <c r="AB176" s="7" t="n">
        <v>561162.8</v>
      </c>
    </row>
    <row r="177">
      <c r="A177" s="4" t="inlineStr">
        <is>
          <t>工资</t>
        </is>
      </c>
      <c r="D177" s="7" t="n">
        <v>12013.9</v>
      </c>
      <c r="F177" s="7" t="n">
        <v>10410.9</v>
      </c>
      <c r="H177" s="7" t="n">
        <v>21437.6</v>
      </c>
      <c r="J177" s="7" t="n">
        <v>36489.4</v>
      </c>
      <c r="L177" s="7" t="n">
        <v>36795.3</v>
      </c>
      <c r="N177" s="7" t="n">
        <v>43162.5</v>
      </c>
      <c r="P177" s="7" t="n">
        <v>52158.5</v>
      </c>
      <c r="R177" s="7" t="n">
        <v>22555.7</v>
      </c>
      <c r="T177" s="7" t="n">
        <v>33694.3</v>
      </c>
      <c r="V177" s="7" t="n">
        <v>28047.2</v>
      </c>
      <c r="X177" s="7" t="n">
        <v>10778.6</v>
      </c>
      <c r="Z177" s="7" t="n">
        <v>22283.7</v>
      </c>
      <c r="AB177" s="7" t="n">
        <v>329827.6</v>
      </c>
    </row>
    <row r="178">
      <c r="A178" s="4" t="inlineStr">
        <is>
          <t>奖金及提成</t>
        </is>
      </c>
      <c r="D178" s="7" t="n">
        <v>2892</v>
      </c>
      <c r="F178" s="7" t="n">
        <v>2271.1</v>
      </c>
      <c r="H178" s="7" t="n">
        <v>5834.4</v>
      </c>
      <c r="J178" s="7" t="n">
        <v>11365.3</v>
      </c>
      <c r="L178" s="7" t="n">
        <v>10268.4</v>
      </c>
      <c r="N178" s="7" t="n">
        <v>13593.6</v>
      </c>
      <c r="P178" s="7" t="n">
        <v>19689.6</v>
      </c>
      <c r="R178" s="7" t="n">
        <v>8696.1</v>
      </c>
      <c r="T178" s="7" t="n">
        <v>10708.5</v>
      </c>
      <c r="V178" s="7" t="n">
        <v>8733.200000000001</v>
      </c>
      <c r="X178" s="7" t="n">
        <v>4845.4</v>
      </c>
      <c r="Z178" s="7" t="n">
        <v>5726.1</v>
      </c>
      <c r="AB178" s="7" t="n">
        <v>104623.7</v>
      </c>
    </row>
    <row r="179">
      <c r="A179" s="4" t="inlineStr">
        <is>
          <t>社保</t>
        </is>
      </c>
      <c r="D179" s="7" t="n">
        <v>2903.3</v>
      </c>
      <c r="F179" s="7" t="n">
        <v>2456.6</v>
      </c>
      <c r="H179" s="7" t="n">
        <v>3644.1</v>
      </c>
      <c r="J179" s="7" t="n">
        <v>12846.1</v>
      </c>
      <c r="L179" s="7" t="n">
        <v>8267.5</v>
      </c>
      <c r="N179" s="7" t="n">
        <v>12443.9</v>
      </c>
      <c r="P179" s="7" t="n">
        <v>14281.3</v>
      </c>
      <c r="R179" s="7" t="n">
        <v>4741.3</v>
      </c>
      <c r="T179" s="7" t="n">
        <v>8599.4</v>
      </c>
      <c r="V179" s="7" t="n">
        <v>5676.6</v>
      </c>
      <c r="X179" s="7" t="n">
        <v>2191.4</v>
      </c>
      <c r="Z179" s="7" t="n">
        <v>3987.1</v>
      </c>
      <c r="AB179" s="7" t="n">
        <v>82038.60000000001</v>
      </c>
    </row>
    <row r="180">
      <c r="A180" s="4" t="inlineStr">
        <is>
          <t>养老</t>
        </is>
      </c>
      <c r="D180" s="7" t="n">
        <v>93</v>
      </c>
      <c r="F180" s="7" t="n">
        <v>107.7</v>
      </c>
      <c r="H180" s="7" t="n">
        <v>214.8</v>
      </c>
      <c r="J180" s="7" t="n">
        <v>534.8</v>
      </c>
      <c r="L180" s="7" t="n">
        <v>262</v>
      </c>
      <c r="N180" s="7" t="n">
        <v>468.5</v>
      </c>
      <c r="P180" s="7" t="n">
        <v>716.2</v>
      </c>
      <c r="R180" s="7" t="n">
        <v>229.7</v>
      </c>
      <c r="T180" s="7" t="n">
        <v>430.6</v>
      </c>
      <c r="V180" s="7" t="n">
        <v>427.6</v>
      </c>
      <c r="X180" s="7" t="n">
        <v>170.7</v>
      </c>
      <c r="Z180" s="7" t="n">
        <v>176.7</v>
      </c>
      <c r="AB180" s="7" t="n">
        <v>3832.3</v>
      </c>
    </row>
    <row r="181">
      <c r="A181" s="4" t="inlineStr">
        <is>
          <t>医疗</t>
        </is>
      </c>
      <c r="D181" s="7" t="n">
        <v>15.9</v>
      </c>
      <c r="F181" s="7" t="n">
        <v>22.9</v>
      </c>
      <c r="H181" s="7" t="n">
        <v>26.6</v>
      </c>
      <c r="J181" s="7" t="n">
        <v>74.40000000000001</v>
      </c>
      <c r="L181" s="7" t="n">
        <v>40.6</v>
      </c>
      <c r="N181" s="7" t="n">
        <v>66.40000000000001</v>
      </c>
      <c r="P181" s="7" t="n">
        <v>112.3</v>
      </c>
      <c r="R181" s="7" t="n">
        <v>34.9</v>
      </c>
      <c r="T181" s="7" t="n">
        <v>61</v>
      </c>
      <c r="V181" s="7" t="n">
        <v>61.1</v>
      </c>
      <c r="X181" s="7" t="n">
        <v>20.3</v>
      </c>
      <c r="Z181" s="7" t="n">
        <v>41.4</v>
      </c>
      <c r="AB181" s="7" t="n">
        <v>577.8</v>
      </c>
    </row>
    <row r="182">
      <c r="A182" s="4" t="inlineStr">
        <is>
          <t>工伤</t>
        </is>
      </c>
      <c r="D182" s="7" t="n">
        <v>18</v>
      </c>
      <c r="F182" s="7" t="n">
        <v>17.8</v>
      </c>
      <c r="H182" s="7" t="n">
        <v>32.9</v>
      </c>
      <c r="J182" s="7" t="n">
        <v>83.8</v>
      </c>
      <c r="L182" s="7" t="n">
        <v>68.59999999999999</v>
      </c>
      <c r="N182" s="7" t="n">
        <v>81.40000000000001</v>
      </c>
      <c r="P182" s="7" t="n">
        <v>136.3</v>
      </c>
      <c r="R182" s="7" t="n">
        <v>48.5</v>
      </c>
      <c r="T182" s="7" t="n">
        <v>48.1</v>
      </c>
      <c r="V182" s="7" t="n">
        <v>50.3</v>
      </c>
      <c r="X182" s="7" t="n">
        <v>25.1</v>
      </c>
      <c r="Z182" s="7" t="n">
        <v>32.5</v>
      </c>
      <c r="AB182" s="7" t="n">
        <v>643.3</v>
      </c>
    </row>
    <row r="183">
      <c r="A183" s="4" t="inlineStr">
        <is>
          <t>失业</t>
        </is>
      </c>
      <c r="D183" s="7" t="n">
        <v>19.1</v>
      </c>
      <c r="F183" s="7" t="n">
        <v>18.9</v>
      </c>
      <c r="H183" s="7" t="n">
        <v>33.2</v>
      </c>
      <c r="J183" s="7" t="n">
        <v>65.2</v>
      </c>
      <c r="L183" s="7" t="n">
        <v>66.2</v>
      </c>
      <c r="N183" s="7" t="n">
        <v>76.5</v>
      </c>
      <c r="P183" s="7" t="n">
        <v>89</v>
      </c>
      <c r="R183" s="7" t="n">
        <v>36.8</v>
      </c>
      <c r="T183" s="7" t="n">
        <v>45.4</v>
      </c>
      <c r="V183" s="7" t="n">
        <v>70.8</v>
      </c>
      <c r="X183" s="7" t="n">
        <v>23.9</v>
      </c>
      <c r="Z183" s="7" t="n">
        <v>31.6</v>
      </c>
      <c r="AB183" s="7" t="n">
        <v>576.6</v>
      </c>
    </row>
    <row r="184">
      <c r="A184" s="4" t="inlineStr">
        <is>
          <t>生育</t>
        </is>
      </c>
      <c r="D184" s="7" t="n">
        <v>87.2</v>
      </c>
      <c r="F184" s="7" t="n">
        <v>83.2</v>
      </c>
      <c r="H184" s="7" t="n">
        <v>115.9</v>
      </c>
      <c r="J184" s="7" t="n">
        <v>364.2</v>
      </c>
      <c r="L184" s="7" t="n">
        <v>343.8</v>
      </c>
      <c r="N184" s="7" t="n">
        <v>378.2</v>
      </c>
      <c r="P184" s="7" t="n">
        <v>654.6</v>
      </c>
      <c r="R184" s="7" t="n">
        <v>203.6</v>
      </c>
      <c r="T184" s="7" t="n">
        <v>225.2</v>
      </c>
      <c r="V184" s="7" t="n">
        <v>237.2</v>
      </c>
      <c r="X184" s="7" t="n">
        <v>106.8</v>
      </c>
      <c r="Z184" s="7" t="n">
        <v>124.8</v>
      </c>
      <c r="AB184" s="7" t="n">
        <v>2924.7</v>
      </c>
    </row>
    <row r="185">
      <c r="A185" s="4" t="inlineStr">
        <is>
          <t>公积金</t>
        </is>
      </c>
      <c r="D185" s="7" t="n">
        <v>120.9</v>
      </c>
      <c r="F185" s="7" t="n">
        <v>97.8</v>
      </c>
      <c r="H185" s="7" t="n">
        <v>236.8</v>
      </c>
      <c r="J185" s="7" t="n">
        <v>418.1</v>
      </c>
      <c r="L185" s="7" t="n">
        <v>322.7</v>
      </c>
      <c r="N185" s="7" t="n">
        <v>354.9</v>
      </c>
      <c r="P185" s="7" t="n">
        <v>853.9</v>
      </c>
      <c r="R185" s="7" t="n">
        <v>296.3</v>
      </c>
      <c r="T185" s="7" t="n">
        <v>316.8</v>
      </c>
      <c r="V185" s="7" t="n">
        <v>261.1</v>
      </c>
      <c r="X185" s="7" t="n">
        <v>98.7</v>
      </c>
      <c r="Z185" s="7" t="n">
        <v>244.5</v>
      </c>
      <c r="AB185" s="7" t="n">
        <v>3622.5</v>
      </c>
    </row>
    <row r="186">
      <c r="A186" s="4" t="inlineStr">
        <is>
          <t>工会经费</t>
        </is>
      </c>
      <c r="D186" s="7" t="n">
        <v>125.3</v>
      </c>
      <c r="F186" s="7" t="n">
        <v>101.3</v>
      </c>
      <c r="H186" s="7" t="n">
        <v>214.8</v>
      </c>
      <c r="J186" s="7" t="n">
        <v>528.7</v>
      </c>
      <c r="L186" s="7" t="n">
        <v>368.5</v>
      </c>
      <c r="N186" s="7" t="n">
        <v>444.4</v>
      </c>
      <c r="P186" s="7" t="n">
        <v>986.8</v>
      </c>
      <c r="R186" s="7" t="n">
        <v>319.6</v>
      </c>
      <c r="T186" s="7" t="n">
        <v>444</v>
      </c>
      <c r="V186" s="7" t="n">
        <v>312</v>
      </c>
      <c r="X186" s="7" t="n">
        <v>132.6</v>
      </c>
      <c r="Z186" s="7" t="n">
        <v>192</v>
      </c>
      <c r="AB186" s="7" t="n">
        <v>4170</v>
      </c>
    </row>
    <row r="187">
      <c r="A187" s="4" t="inlineStr">
        <is>
          <t>职工教育经费</t>
        </is>
      </c>
      <c r="D187" s="7" t="n">
        <v>158.1</v>
      </c>
      <c r="F187" s="7" t="n">
        <v>126.9</v>
      </c>
      <c r="H187" s="7" t="n">
        <v>309.4</v>
      </c>
      <c r="J187" s="7" t="n">
        <v>737.8</v>
      </c>
      <c r="L187" s="7" t="n">
        <v>411.3</v>
      </c>
      <c r="N187" s="7" t="n">
        <v>609.4</v>
      </c>
      <c r="P187" s="7" t="n">
        <v>1270.8</v>
      </c>
      <c r="R187" s="7" t="n">
        <v>232</v>
      </c>
      <c r="T187" s="7" t="n">
        <v>438.3</v>
      </c>
      <c r="V187" s="7" t="n">
        <v>540.4</v>
      </c>
      <c r="X187" s="7" t="n">
        <v>141.1</v>
      </c>
      <c r="Z187" s="7" t="n">
        <v>194.7</v>
      </c>
      <c r="AB187" s="7" t="n">
        <v>5170.2</v>
      </c>
    </row>
    <row r="188">
      <c r="A188" s="4" t="inlineStr">
        <is>
          <t>福利费</t>
        </is>
      </c>
      <c r="D188" s="7" t="n">
        <v>946.2</v>
      </c>
      <c r="F188" s="7" t="n">
        <v>1025.8</v>
      </c>
      <c r="H188" s="7" t="n">
        <v>1832.8</v>
      </c>
      <c r="J188" s="7" t="n">
        <v>4003.8</v>
      </c>
      <c r="L188" s="7" t="n">
        <v>3192</v>
      </c>
      <c r="N188" s="7" t="n">
        <v>4417.1</v>
      </c>
      <c r="P188" s="7" t="n">
        <v>5269.2</v>
      </c>
      <c r="R188" s="7" t="n">
        <v>2196.9</v>
      </c>
      <c r="T188" s="7" t="n">
        <v>2824.7</v>
      </c>
      <c r="V188" s="7" t="n">
        <v>3066</v>
      </c>
      <c r="X188" s="7" t="n">
        <v>1076.9</v>
      </c>
      <c r="Z188" s="7" t="n">
        <v>1858.8</v>
      </c>
      <c r="AB188" s="7" t="n">
        <v>31710.2</v>
      </c>
    </row>
    <row r="189">
      <c r="A189" s="4" t="inlineStr">
        <is>
          <t>职工房租</t>
        </is>
      </c>
      <c r="D189" s="7" t="n">
        <v>185.3</v>
      </c>
      <c r="F189" s="7" t="n">
        <v>206.4</v>
      </c>
      <c r="H189" s="7" t="n">
        <v>352.8</v>
      </c>
      <c r="J189" s="7" t="n">
        <v>841.7</v>
      </c>
      <c r="L189" s="7" t="n">
        <v>568.3</v>
      </c>
      <c r="N189" s="7" t="n">
        <v>749.8</v>
      </c>
      <c r="P189" s="7" t="n">
        <v>1208.2</v>
      </c>
      <c r="R189" s="7" t="n">
        <v>303.9</v>
      </c>
      <c r="T189" s="7" t="n">
        <v>599</v>
      </c>
      <c r="V189" s="7" t="n">
        <v>604.3</v>
      </c>
      <c r="X189" s="7" t="n">
        <v>167.4</v>
      </c>
      <c r="Z189" s="7" t="n">
        <v>362.1</v>
      </c>
      <c r="AB189" s="7" t="n">
        <v>6149.2</v>
      </c>
    </row>
    <row r="190">
      <c r="A190" s="4" t="inlineStr">
        <is>
          <t>水电物业费</t>
        </is>
      </c>
      <c r="D190" s="7" t="n">
        <v>115.4</v>
      </c>
      <c r="F190" s="7" t="n">
        <v>98.2</v>
      </c>
      <c r="H190" s="7" t="n">
        <v>227.4</v>
      </c>
      <c r="J190" s="7" t="n">
        <v>573.6</v>
      </c>
      <c r="L190" s="7" t="n">
        <v>343.4</v>
      </c>
      <c r="N190" s="7" t="n">
        <v>558.6</v>
      </c>
      <c r="P190" s="7" t="n">
        <v>678</v>
      </c>
      <c r="R190" s="7" t="n">
        <v>272.2</v>
      </c>
      <c r="T190" s="7" t="n">
        <v>249.6</v>
      </c>
      <c r="V190" s="7" t="n">
        <v>340.7</v>
      </c>
      <c r="X190" s="7" t="n">
        <v>129.4</v>
      </c>
      <c r="Z190" s="7" t="n">
        <v>147.2</v>
      </c>
      <c r="AB190" s="7" t="n">
        <v>3733.7</v>
      </c>
    </row>
    <row r="191">
      <c r="A191" s="4" t="inlineStr">
        <is>
          <t>员工餐</t>
        </is>
      </c>
      <c r="D191" s="7" t="n">
        <v>101.7</v>
      </c>
      <c r="F191" s="7" t="n">
        <v>66.40000000000001</v>
      </c>
      <c r="H191" s="7" t="n">
        <v>152.3</v>
      </c>
      <c r="J191" s="7" t="n">
        <v>408.7</v>
      </c>
      <c r="L191" s="7" t="n">
        <v>356.4</v>
      </c>
      <c r="N191" s="7" t="n">
        <v>454.9</v>
      </c>
      <c r="P191" s="7" t="n">
        <v>440.1</v>
      </c>
      <c r="R191" s="7" t="n">
        <v>253.2</v>
      </c>
      <c r="T191" s="7" t="n">
        <v>348.9</v>
      </c>
      <c r="V191" s="7" t="n">
        <v>294</v>
      </c>
      <c r="X191" s="7" t="n">
        <v>128.5</v>
      </c>
      <c r="Z191" s="7" t="n">
        <v>148.7</v>
      </c>
      <c r="AB191" s="7" t="n">
        <v>3153.8</v>
      </c>
    </row>
    <row r="192">
      <c r="A192" s="4" t="inlineStr">
        <is>
          <t>节日礼品</t>
        </is>
      </c>
      <c r="D192" s="7" t="n">
        <v>192.3</v>
      </c>
      <c r="F192" s="7" t="n">
        <v>244.8</v>
      </c>
      <c r="H192" s="7" t="n">
        <v>371.8</v>
      </c>
      <c r="J192" s="7" t="n">
        <v>734.4</v>
      </c>
      <c r="L192" s="7" t="n">
        <v>695.9</v>
      </c>
      <c r="N192" s="7" t="n">
        <v>851.7</v>
      </c>
      <c r="P192" s="7" t="n">
        <v>961</v>
      </c>
      <c r="R192" s="7" t="n">
        <v>478</v>
      </c>
      <c r="T192" s="7" t="n">
        <v>534.4</v>
      </c>
      <c r="V192" s="7" t="n">
        <v>728.7</v>
      </c>
      <c r="X192" s="7" t="n">
        <v>219.9</v>
      </c>
      <c r="Z192" s="7" t="n">
        <v>416.5</v>
      </c>
      <c r="AB192" s="7" t="n">
        <v>6429.4</v>
      </c>
    </row>
    <row r="193">
      <c r="A193" s="4" t="inlineStr">
        <is>
          <t>生日礼品</t>
        </is>
      </c>
      <c r="D193" s="7" t="n">
        <v>146.1</v>
      </c>
      <c r="F193" s="7" t="n">
        <v>187.2</v>
      </c>
      <c r="H193" s="7" t="n">
        <v>262.2</v>
      </c>
      <c r="J193" s="7" t="n">
        <v>606</v>
      </c>
      <c r="L193" s="7" t="n">
        <v>620.2</v>
      </c>
      <c r="N193" s="7" t="n">
        <v>794</v>
      </c>
      <c r="P193" s="7" t="n">
        <v>966.6</v>
      </c>
      <c r="R193" s="7" t="n">
        <v>344.3</v>
      </c>
      <c r="T193" s="7" t="n">
        <v>514.8</v>
      </c>
      <c r="V193" s="7" t="n">
        <v>539.6</v>
      </c>
      <c r="X193" s="7" t="n">
        <v>245</v>
      </c>
      <c r="Z193" s="7" t="n">
        <v>344.4</v>
      </c>
      <c r="AB193" s="7" t="n">
        <v>5570.4</v>
      </c>
    </row>
    <row r="194">
      <c r="A194" s="4" t="inlineStr">
        <is>
          <t>体检</t>
        </is>
      </c>
      <c r="D194" s="7" t="n">
        <v>87.5</v>
      </c>
      <c r="F194" s="7" t="n">
        <v>96.59999999999999</v>
      </c>
      <c r="H194" s="7" t="n">
        <v>252.9</v>
      </c>
      <c r="J194" s="7" t="n">
        <v>392.8</v>
      </c>
      <c r="L194" s="7" t="n">
        <v>354.8</v>
      </c>
      <c r="N194" s="7" t="n">
        <v>459.7</v>
      </c>
      <c r="P194" s="7" t="n">
        <v>506.8</v>
      </c>
      <c r="R194" s="7" t="n">
        <v>283.3</v>
      </c>
      <c r="T194" s="7" t="n">
        <v>249.7</v>
      </c>
      <c r="V194" s="7" t="n">
        <v>261.2</v>
      </c>
      <c r="X194" s="7" t="n">
        <v>99.5</v>
      </c>
      <c r="Z194" s="7" t="n">
        <v>248.9</v>
      </c>
      <c r="AB194" s="7" t="n">
        <v>3293.7</v>
      </c>
    </row>
    <row r="195">
      <c r="A195" s="4" t="inlineStr">
        <is>
          <t>其他福利支出</t>
        </is>
      </c>
      <c r="D195" s="7" t="n">
        <v>117.9</v>
      </c>
      <c r="F195" s="7" t="n">
        <v>126.2</v>
      </c>
      <c r="H195" s="7" t="n">
        <v>213.4</v>
      </c>
      <c r="J195" s="7" t="n">
        <v>446.6</v>
      </c>
      <c r="L195" s="7" t="n">
        <v>253</v>
      </c>
      <c r="N195" s="7" t="n">
        <v>548.4</v>
      </c>
      <c r="P195" s="7" t="n">
        <v>508.5</v>
      </c>
      <c r="R195" s="7" t="n">
        <v>262</v>
      </c>
      <c r="T195" s="7" t="n">
        <v>328.3</v>
      </c>
      <c r="V195" s="7" t="n">
        <v>297.5</v>
      </c>
      <c r="X195" s="7" t="n">
        <v>87.2</v>
      </c>
      <c r="Z195" s="7" t="n">
        <v>191</v>
      </c>
      <c r="AB195" s="7" t="n">
        <v>3380</v>
      </c>
    </row>
    <row r="196">
      <c r="A196" s="4" t="inlineStr">
        <is>
          <t>招聘费</t>
        </is>
      </c>
      <c r="D196" s="7" t="n">
        <v>29.6</v>
      </c>
      <c r="F196" s="7" t="n">
        <v>17.5</v>
      </c>
      <c r="H196" s="7" t="n">
        <v>50.1</v>
      </c>
      <c r="J196" s="7" t="n">
        <v>100.2</v>
      </c>
      <c r="L196" s="7" t="n">
        <v>87</v>
      </c>
      <c r="N196" s="7" t="n">
        <v>133.3</v>
      </c>
      <c r="P196" s="7" t="n">
        <v>135.6</v>
      </c>
      <c r="R196" s="7" t="n">
        <v>57</v>
      </c>
      <c r="T196" s="7" t="n">
        <v>63.4</v>
      </c>
      <c r="V196" s="7" t="n">
        <v>97.09999999999999</v>
      </c>
      <c r="X196" s="7" t="n">
        <v>29.6</v>
      </c>
      <c r="Z196" s="7" t="n">
        <v>35.3</v>
      </c>
      <c r="AB196" s="7" t="n">
        <v>835.7</v>
      </c>
    </row>
    <row r="197">
      <c r="A197" s="4" t="inlineStr">
        <is>
          <t>办公费</t>
        </is>
      </c>
      <c r="D197" s="7" t="n">
        <v>834.2</v>
      </c>
      <c r="F197" s="7" t="n">
        <v>905</v>
      </c>
      <c r="H197" s="7" t="n">
        <v>1507.5</v>
      </c>
      <c r="J197" s="7" t="n">
        <v>3088.8</v>
      </c>
      <c r="L197" s="7" t="n">
        <v>2300.8</v>
      </c>
      <c r="N197" s="7" t="n">
        <v>5047.5</v>
      </c>
      <c r="P197" s="7" t="n">
        <v>7195</v>
      </c>
      <c r="R197" s="7" t="n">
        <v>1660.7</v>
      </c>
      <c r="T197" s="7" t="n">
        <v>2867.8</v>
      </c>
      <c r="V197" s="7" t="n">
        <v>3233.4</v>
      </c>
      <c r="X197" s="7" t="n">
        <v>1248.9</v>
      </c>
      <c r="Z197" s="7" t="n">
        <v>1413.2</v>
      </c>
      <c r="AB197" s="7" t="n">
        <v>31302.8</v>
      </c>
    </row>
    <row r="198">
      <c r="A198" s="4" t="inlineStr">
        <is>
          <t>市内交通费</t>
        </is>
      </c>
      <c r="D198" s="7" t="n">
        <v>214.4</v>
      </c>
      <c r="F198" s="7" t="n">
        <v>152.4</v>
      </c>
      <c r="H198" s="7" t="n">
        <v>289.3</v>
      </c>
      <c r="J198" s="7" t="n">
        <v>685</v>
      </c>
      <c r="L198" s="7" t="n">
        <v>379.7</v>
      </c>
      <c r="N198" s="7" t="n">
        <v>610.1</v>
      </c>
      <c r="P198" s="7" t="n">
        <v>1223.1</v>
      </c>
      <c r="R198" s="7" t="n">
        <v>449.5</v>
      </c>
      <c r="T198" s="7" t="n">
        <v>525.2</v>
      </c>
      <c r="V198" s="7" t="n">
        <v>530.1</v>
      </c>
      <c r="X198" s="7" t="n">
        <v>240.8</v>
      </c>
      <c r="Z198" s="7" t="n">
        <v>317.2</v>
      </c>
      <c r="AB198" s="7" t="n">
        <v>5616.8</v>
      </c>
    </row>
    <row r="199">
      <c r="A199" s="4" t="inlineStr">
        <is>
          <t>差旅费</t>
        </is>
      </c>
      <c r="D199" s="7" t="n">
        <v>1928.5</v>
      </c>
      <c r="F199" s="7" t="n">
        <v>1713.6</v>
      </c>
      <c r="H199" s="7" t="n">
        <v>3704.9</v>
      </c>
      <c r="J199" s="7" t="n">
        <v>7792.1</v>
      </c>
      <c r="L199" s="7" t="n">
        <v>4517.8</v>
      </c>
      <c r="N199" s="7" t="n">
        <v>6289.1</v>
      </c>
      <c r="P199" s="7" t="n">
        <v>11613.3</v>
      </c>
      <c r="R199" s="7" t="n">
        <v>3770.7</v>
      </c>
      <c r="T199" s="7" t="n">
        <v>4058.8</v>
      </c>
      <c r="V199" s="7" t="n">
        <v>4482.7</v>
      </c>
      <c r="X199" s="7" t="n">
        <v>2652.6</v>
      </c>
      <c r="Z199" s="7" t="n">
        <v>3021.7</v>
      </c>
      <c r="AB199" s="7" t="n">
        <v>55545.8</v>
      </c>
    </row>
    <row r="200">
      <c r="A200" s="4" t="inlineStr">
        <is>
          <t>交通费</t>
        </is>
      </c>
      <c r="D200" s="7" t="n">
        <v>21.2</v>
      </c>
      <c r="F200" s="7" t="n">
        <v>25.7</v>
      </c>
      <c r="H200" s="7" t="n">
        <v>40.1</v>
      </c>
      <c r="J200" s="7" t="n">
        <v>80.90000000000001</v>
      </c>
      <c r="L200" s="7" t="n">
        <v>94.09999999999999</v>
      </c>
      <c r="N200" s="7" t="n">
        <v>137.2</v>
      </c>
      <c r="P200" s="7" t="n">
        <v>133.1</v>
      </c>
      <c r="R200" s="7" t="n">
        <v>58.9</v>
      </c>
      <c r="T200" s="7" t="n">
        <v>52.2</v>
      </c>
      <c r="V200" s="7" t="n">
        <v>94.59999999999999</v>
      </c>
      <c r="X200" s="7" t="n">
        <v>37.4</v>
      </c>
      <c r="Z200" s="7" t="n">
        <v>33</v>
      </c>
      <c r="AB200" s="7" t="n">
        <v>808.4</v>
      </c>
    </row>
    <row r="201">
      <c r="A201" s="4" t="inlineStr">
        <is>
          <t>住宿费</t>
        </is>
      </c>
      <c r="D201" s="7" t="n">
        <v>149.3</v>
      </c>
      <c r="F201" s="7" t="n">
        <v>148.9</v>
      </c>
      <c r="H201" s="7" t="n">
        <v>217.5</v>
      </c>
      <c r="J201" s="7" t="n">
        <v>444.7</v>
      </c>
      <c r="L201" s="7" t="n">
        <v>266.4</v>
      </c>
      <c r="N201" s="7" t="n">
        <v>597.5</v>
      </c>
      <c r="P201" s="7" t="n">
        <v>585.2</v>
      </c>
      <c r="R201" s="7" t="n">
        <v>251.7</v>
      </c>
      <c r="T201" s="7" t="n">
        <v>429.8</v>
      </c>
      <c r="V201" s="7" t="n">
        <v>323.7</v>
      </c>
      <c r="X201" s="7" t="n">
        <v>102.4</v>
      </c>
      <c r="Z201" s="7" t="n">
        <v>195.2</v>
      </c>
      <c r="AB201" s="7" t="n">
        <v>3712.3</v>
      </c>
    </row>
    <row r="202">
      <c r="A202" s="4" t="inlineStr">
        <is>
          <t>餐补</t>
        </is>
      </c>
      <c r="D202" s="7" t="n">
        <v>50.3</v>
      </c>
      <c r="F202" s="7" t="n">
        <v>62.1</v>
      </c>
      <c r="H202" s="7" t="n">
        <v>77.3</v>
      </c>
      <c r="J202" s="7" t="n">
        <v>220.7</v>
      </c>
      <c r="L202" s="7" t="n">
        <v>187.7</v>
      </c>
      <c r="N202" s="7" t="n">
        <v>303.9</v>
      </c>
      <c r="P202" s="7" t="n">
        <v>380.1</v>
      </c>
      <c r="R202" s="7" t="n">
        <v>142.5</v>
      </c>
      <c r="T202" s="7" t="n">
        <v>131.1</v>
      </c>
      <c r="V202" s="7" t="n">
        <v>127.3</v>
      </c>
      <c r="X202" s="7" t="n">
        <v>82.09999999999999</v>
      </c>
      <c r="Z202" s="7" t="n">
        <v>121.8</v>
      </c>
      <c r="AB202" s="7" t="n">
        <v>1886.9</v>
      </c>
    </row>
    <row r="203">
      <c r="A203" s="4" t="inlineStr">
        <is>
          <t>交通补助</t>
        </is>
      </c>
      <c r="D203" s="7" t="n">
        <v>174.6</v>
      </c>
      <c r="F203" s="7" t="n">
        <v>104.2</v>
      </c>
      <c r="H203" s="7" t="n">
        <v>342.5</v>
      </c>
      <c r="J203" s="7" t="n">
        <v>734.5</v>
      </c>
      <c r="L203" s="7" t="n">
        <v>469.6</v>
      </c>
      <c r="N203" s="7" t="n">
        <v>696.8</v>
      </c>
      <c r="P203" s="7" t="n">
        <v>698.2</v>
      </c>
      <c r="R203" s="7" t="n">
        <v>322.7</v>
      </c>
      <c r="T203" s="7" t="n">
        <v>532.6</v>
      </c>
      <c r="V203" s="7" t="n">
        <v>397.7</v>
      </c>
      <c r="X203" s="7" t="n">
        <v>126.4</v>
      </c>
      <c r="Z203" s="7" t="n">
        <v>190.6</v>
      </c>
      <c r="AB203" s="7" t="n">
        <v>4790.4</v>
      </c>
    </row>
    <row r="204">
      <c r="A204" s="4" t="inlineStr">
        <is>
          <t>通讯补助</t>
        </is>
      </c>
      <c r="D204" s="7" t="n">
        <v>118.5</v>
      </c>
      <c r="F204" s="7" t="n">
        <v>100</v>
      </c>
      <c r="H204" s="7" t="n">
        <v>169.3</v>
      </c>
      <c r="J204" s="7" t="n">
        <v>505.2</v>
      </c>
      <c r="L204" s="7" t="n">
        <v>410.8</v>
      </c>
      <c r="N204" s="7" t="n">
        <v>336</v>
      </c>
      <c r="P204" s="7" t="n">
        <v>493.9</v>
      </c>
      <c r="R204" s="7" t="n">
        <v>263.1</v>
      </c>
      <c r="T204" s="7" t="n">
        <v>359.9</v>
      </c>
      <c r="V204" s="7" t="n">
        <v>339.8</v>
      </c>
      <c r="X204" s="7" t="n">
        <v>153</v>
      </c>
      <c r="Z204" s="7" t="n">
        <v>211.5</v>
      </c>
      <c r="AB204" s="7" t="n">
        <v>3461</v>
      </c>
    </row>
    <row r="205">
      <c r="A205" s="4" t="inlineStr">
        <is>
          <t>招待费</t>
        </is>
      </c>
      <c r="D205" s="7" t="n">
        <v>1492.7</v>
      </c>
      <c r="F205" s="7" t="n">
        <v>1293.1</v>
      </c>
      <c r="H205" s="7" t="n">
        <v>1686.3</v>
      </c>
      <c r="J205" s="7" t="n">
        <v>5817.9</v>
      </c>
      <c r="L205" s="7" t="n">
        <v>4299.1</v>
      </c>
      <c r="N205" s="7" t="n">
        <v>5424.7</v>
      </c>
      <c r="P205" s="7" t="n">
        <v>7738.9</v>
      </c>
      <c r="R205" s="7" t="n">
        <v>2125.4</v>
      </c>
      <c r="T205" s="7" t="n">
        <v>3508.5</v>
      </c>
      <c r="V205" s="7" t="n">
        <v>4954.7</v>
      </c>
      <c r="X205" s="7" t="n">
        <v>1950</v>
      </c>
      <c r="Z205" s="7" t="n">
        <v>2110</v>
      </c>
      <c r="AB205" s="7" t="n">
        <v>42401.3</v>
      </c>
    </row>
    <row r="206">
      <c r="A206" s="4" t="inlineStr">
        <is>
          <t>通讯费</t>
        </is>
      </c>
      <c r="D206" s="7" t="n">
        <v>39.9</v>
      </c>
      <c r="F206" s="7" t="n">
        <v>29.2</v>
      </c>
      <c r="H206" s="7" t="n">
        <v>61.4</v>
      </c>
      <c r="J206" s="7" t="n">
        <v>167.8</v>
      </c>
      <c r="L206" s="7" t="n">
        <v>102.2</v>
      </c>
      <c r="N206" s="7" t="n">
        <v>206.5</v>
      </c>
      <c r="P206" s="7" t="n">
        <v>316.8</v>
      </c>
      <c r="R206" s="7" t="n">
        <v>101.4</v>
      </c>
      <c r="T206" s="7" t="n">
        <v>120.4</v>
      </c>
      <c r="V206" s="7" t="n">
        <v>164.4</v>
      </c>
      <c r="X206" s="7" t="n">
        <v>34</v>
      </c>
      <c r="Z206" s="7" t="n">
        <v>82.40000000000001</v>
      </c>
      <c r="AB206" s="7" t="n">
        <v>1426.4</v>
      </c>
    </row>
    <row r="207">
      <c r="A207" s="4" t="inlineStr">
        <is>
          <t>网络费</t>
        </is>
      </c>
      <c r="D207" s="7" t="n">
        <v>129.8</v>
      </c>
      <c r="F207" s="7" t="n">
        <v>129.6</v>
      </c>
      <c r="H207" s="7" t="n">
        <v>248.3</v>
      </c>
      <c r="J207" s="7" t="n">
        <v>485.5</v>
      </c>
      <c r="L207" s="7" t="n">
        <v>466.4</v>
      </c>
      <c r="N207" s="7" t="n">
        <v>824.7</v>
      </c>
      <c r="P207" s="7" t="n">
        <v>912.8</v>
      </c>
      <c r="R207" s="7" t="n">
        <v>316.7</v>
      </c>
      <c r="T207" s="7" t="n">
        <v>516.4</v>
      </c>
      <c r="V207" s="7" t="n">
        <v>526.2</v>
      </c>
      <c r="X207" s="7" t="n">
        <v>155.8</v>
      </c>
      <c r="Z207" s="7" t="n">
        <v>227.8</v>
      </c>
      <c r="AB207" s="7" t="n">
        <v>4940</v>
      </c>
    </row>
    <row r="208">
      <c r="A208" s="4" t="inlineStr">
        <is>
          <t>修理费</t>
        </is>
      </c>
      <c r="D208" s="7" t="n">
        <v>55</v>
      </c>
      <c r="F208" s="7" t="n">
        <v>51.3</v>
      </c>
      <c r="H208" s="7" t="n">
        <v>107.9</v>
      </c>
      <c r="J208" s="7" t="n">
        <v>188.2</v>
      </c>
      <c r="L208" s="7" t="n">
        <v>197.1</v>
      </c>
      <c r="N208" s="7" t="n">
        <v>193.3</v>
      </c>
      <c r="P208" s="7" t="n">
        <v>374.5</v>
      </c>
      <c r="R208" s="7" t="n">
        <v>140.9</v>
      </c>
      <c r="T208" s="7" t="n">
        <v>174.6</v>
      </c>
      <c r="V208" s="7" t="n">
        <v>143.7</v>
      </c>
      <c r="X208" s="7" t="n">
        <v>67.7</v>
      </c>
      <c r="Z208" s="7" t="n">
        <v>95.5</v>
      </c>
      <c r="AB208" s="7" t="n">
        <v>1789.7</v>
      </c>
    </row>
    <row r="209">
      <c r="A209" s="4" t="inlineStr">
        <is>
          <t>车辆费</t>
        </is>
      </c>
      <c r="D209" s="7" t="n">
        <v>64.09999999999999</v>
      </c>
      <c r="F209" s="7" t="n">
        <v>55.1</v>
      </c>
      <c r="H209" s="7" t="n">
        <v>74.09999999999999</v>
      </c>
      <c r="J209" s="7" t="n">
        <v>273</v>
      </c>
      <c r="L209" s="7" t="n">
        <v>189.6</v>
      </c>
      <c r="N209" s="7" t="n">
        <v>266.6</v>
      </c>
      <c r="P209" s="7" t="n">
        <v>308.1</v>
      </c>
      <c r="R209" s="7" t="n">
        <v>97.90000000000001</v>
      </c>
      <c r="T209" s="7" t="n">
        <v>125</v>
      </c>
      <c r="V209" s="7" t="n">
        <v>225.6</v>
      </c>
      <c r="X209" s="7" t="n">
        <v>55.6</v>
      </c>
      <c r="Z209" s="7" t="n">
        <v>115.1</v>
      </c>
      <c r="AB209" s="7" t="n">
        <v>1849.8</v>
      </c>
    </row>
    <row r="210">
      <c r="A210" s="4" t="inlineStr">
        <is>
          <t>租赁费</t>
        </is>
      </c>
      <c r="D210" s="7" t="n">
        <v>1349.5</v>
      </c>
      <c r="F210" s="7" t="n">
        <v>1447.1</v>
      </c>
      <c r="H210" s="7" t="n">
        <v>3429.7</v>
      </c>
      <c r="J210" s="7" t="n">
        <v>4925</v>
      </c>
      <c r="L210" s="7" t="n">
        <v>6189.1</v>
      </c>
      <c r="N210" s="7" t="n">
        <v>7922</v>
      </c>
      <c r="P210" s="7" t="n">
        <v>11027.9</v>
      </c>
      <c r="R210" s="7" t="n">
        <v>3300.4</v>
      </c>
      <c r="T210" s="7" t="n">
        <v>3500.9</v>
      </c>
      <c r="V210" s="7" t="n">
        <v>4998.3</v>
      </c>
      <c r="X210" s="7" t="n">
        <v>1361.4</v>
      </c>
      <c r="Z210" s="7" t="n">
        <v>2483.2</v>
      </c>
      <c r="AB210" s="7" t="n">
        <v>51934.5</v>
      </c>
    </row>
    <row r="211">
      <c r="A211" s="4" t="inlineStr">
        <is>
          <t>能源费</t>
        </is>
      </c>
      <c r="D211" s="7" t="n">
        <v>413</v>
      </c>
      <c r="F211" s="7" t="n">
        <v>397.5</v>
      </c>
      <c r="H211" s="7" t="n">
        <v>766.6</v>
      </c>
      <c r="J211" s="7" t="n">
        <v>1656.3</v>
      </c>
      <c r="L211" s="7" t="n">
        <v>1208.7</v>
      </c>
      <c r="N211" s="7" t="n">
        <v>1905.9</v>
      </c>
      <c r="P211" s="7" t="n">
        <v>2559.7</v>
      </c>
      <c r="R211" s="7" t="n">
        <v>885.3</v>
      </c>
      <c r="T211" s="7" t="n">
        <v>1240.1</v>
      </c>
      <c r="V211" s="7" t="n">
        <v>1545</v>
      </c>
      <c r="X211" s="7" t="n">
        <v>501.3</v>
      </c>
      <c r="Z211" s="7" t="n">
        <v>680.5</v>
      </c>
      <c r="AB211" s="7" t="n">
        <v>13759.9</v>
      </c>
    </row>
    <row r="212">
      <c r="A212" s="4" t="inlineStr">
        <is>
          <t>水费</t>
        </is>
      </c>
      <c r="D212" s="7" t="n">
        <v>9.9</v>
      </c>
      <c r="F212" s="7" t="n">
        <v>11</v>
      </c>
      <c r="H212" s="7" t="n">
        <v>18</v>
      </c>
      <c r="J212" s="7" t="n">
        <v>30.8</v>
      </c>
      <c r="L212" s="7" t="n">
        <v>35.1</v>
      </c>
      <c r="N212" s="7" t="n">
        <v>60</v>
      </c>
      <c r="P212" s="7" t="n">
        <v>86.90000000000001</v>
      </c>
      <c r="R212" s="7" t="n">
        <v>29</v>
      </c>
      <c r="T212" s="7" t="n">
        <v>37</v>
      </c>
      <c r="V212" s="7" t="n">
        <v>36.2</v>
      </c>
      <c r="X212" s="7" t="n">
        <v>15</v>
      </c>
      <c r="Z212" s="7" t="n">
        <v>17.8</v>
      </c>
      <c r="AB212" s="7" t="n">
        <v>386.7</v>
      </c>
    </row>
    <row r="213">
      <c r="A213" s="4" t="inlineStr">
        <is>
          <t>电费</t>
        </is>
      </c>
      <c r="D213" s="7" t="n">
        <v>170.6</v>
      </c>
      <c r="F213" s="7" t="n">
        <v>163</v>
      </c>
      <c r="H213" s="7" t="n">
        <v>356.6</v>
      </c>
      <c r="J213" s="7" t="n">
        <v>778.5</v>
      </c>
      <c r="L213" s="7" t="n">
        <v>384.1</v>
      </c>
      <c r="N213" s="7" t="n">
        <v>589.4</v>
      </c>
      <c r="P213" s="7" t="n">
        <v>1026.5</v>
      </c>
      <c r="R213" s="7" t="n">
        <v>418.2</v>
      </c>
      <c r="T213" s="7" t="n">
        <v>548.3</v>
      </c>
      <c r="V213" s="7" t="n">
        <v>660.9</v>
      </c>
      <c r="X213" s="7" t="n">
        <v>259.6</v>
      </c>
      <c r="Z213" s="7" t="n">
        <v>304.7</v>
      </c>
      <c r="AB213" s="7" t="n">
        <v>5660.4</v>
      </c>
    </row>
    <row r="214">
      <c r="A214" s="4" t="inlineStr">
        <is>
          <t>燃气费</t>
        </is>
      </c>
      <c r="D214" s="7" t="n">
        <v>127.6</v>
      </c>
      <c r="F214" s="7" t="n">
        <v>119</v>
      </c>
      <c r="H214" s="7" t="n">
        <v>172.6</v>
      </c>
      <c r="J214" s="7" t="n">
        <v>437.5</v>
      </c>
      <c r="L214" s="7" t="n">
        <v>414.4</v>
      </c>
      <c r="N214" s="7" t="n">
        <v>667.1</v>
      </c>
      <c r="P214" s="7" t="n">
        <v>592</v>
      </c>
      <c r="R214" s="7" t="n">
        <v>180.8</v>
      </c>
      <c r="T214" s="7" t="n">
        <v>403.6</v>
      </c>
      <c r="V214" s="7" t="n">
        <v>477.2</v>
      </c>
      <c r="X214" s="7" t="n">
        <v>106.6</v>
      </c>
      <c r="Z214" s="7" t="n">
        <v>182.9</v>
      </c>
      <c r="AB214" s="7" t="n">
        <v>3881.3</v>
      </c>
    </row>
    <row r="215">
      <c r="A215" s="4" t="inlineStr">
        <is>
          <t>蒸汽费</t>
        </is>
      </c>
      <c r="D215" s="7" t="n">
        <v>104.9</v>
      </c>
      <c r="F215" s="7" t="n">
        <v>104.5</v>
      </c>
      <c r="H215" s="7" t="n">
        <v>219.4</v>
      </c>
      <c r="J215" s="7" t="n">
        <v>409.5</v>
      </c>
      <c r="L215" s="7" t="n">
        <v>375.1</v>
      </c>
      <c r="N215" s="7" t="n">
        <v>589.4</v>
      </c>
      <c r="P215" s="7" t="n">
        <v>854.3</v>
      </c>
      <c r="R215" s="7" t="n">
        <v>257.3</v>
      </c>
      <c r="T215" s="7" t="n">
        <v>251.2</v>
      </c>
      <c r="V215" s="7" t="n">
        <v>370.7</v>
      </c>
      <c r="X215" s="7" t="n">
        <v>120.1</v>
      </c>
      <c r="Z215" s="7" t="n">
        <v>175.1</v>
      </c>
      <c r="AB215" s="7" t="n">
        <v>3831.5</v>
      </c>
    </row>
    <row r="216">
      <c r="A216" s="4" t="inlineStr">
        <is>
          <t>物业费</t>
        </is>
      </c>
      <c r="D216" s="7" t="n">
        <v>37.4</v>
      </c>
      <c r="F216" s="7" t="n">
        <v>35.4</v>
      </c>
      <c r="H216" s="7" t="n">
        <v>66.2</v>
      </c>
      <c r="J216" s="7" t="n">
        <v>188.2</v>
      </c>
      <c r="L216" s="7" t="n">
        <v>111.4</v>
      </c>
      <c r="N216" s="7" t="n">
        <v>200.3</v>
      </c>
      <c r="P216" s="7" t="n">
        <v>197.1</v>
      </c>
      <c r="R216" s="7" t="n">
        <v>58.5</v>
      </c>
      <c r="T216" s="7" t="n">
        <v>134.9</v>
      </c>
      <c r="V216" s="7" t="n">
        <v>101.5</v>
      </c>
      <c r="X216" s="7" t="n">
        <v>47.3</v>
      </c>
      <c r="Z216" s="7" t="n">
        <v>59.7</v>
      </c>
      <c r="AB216" s="7" t="n">
        <v>1237.9</v>
      </c>
    </row>
    <row r="217">
      <c r="A217" s="4" t="inlineStr">
        <is>
          <t>劳动保护费</t>
        </is>
      </c>
      <c r="D217" s="7" t="n">
        <v>11.1</v>
      </c>
      <c r="F217" s="7" t="n">
        <v>15.3</v>
      </c>
      <c r="H217" s="7" t="n">
        <v>21</v>
      </c>
      <c r="J217" s="7" t="n">
        <v>64.3</v>
      </c>
      <c r="L217" s="7" t="n">
        <v>31.4</v>
      </c>
      <c r="N217" s="7" t="n">
        <v>64.09999999999999</v>
      </c>
      <c r="P217" s="7" t="n">
        <v>67</v>
      </c>
      <c r="R217" s="7" t="n">
        <v>30.5</v>
      </c>
      <c r="T217" s="7" t="n">
        <v>27.9</v>
      </c>
      <c r="V217" s="7" t="n">
        <v>32.3</v>
      </c>
      <c r="X217" s="7" t="n">
        <v>11.5</v>
      </c>
      <c r="Z217" s="7" t="n">
        <v>26.7</v>
      </c>
      <c r="AB217" s="7" t="n">
        <v>403.1</v>
      </c>
    </row>
    <row r="218">
      <c r="A218" s="4" t="inlineStr">
        <is>
          <t>顾问费</t>
        </is>
      </c>
      <c r="D218" s="7" t="n">
        <v>193.1</v>
      </c>
      <c r="F218" s="7" t="n">
        <v>128.3</v>
      </c>
      <c r="H218" s="7" t="n">
        <v>367.7</v>
      </c>
      <c r="J218" s="7" t="n">
        <v>521.4</v>
      </c>
      <c r="L218" s="7" t="n">
        <v>612.7</v>
      </c>
      <c r="N218" s="7" t="n">
        <v>683.5</v>
      </c>
      <c r="P218" s="7" t="n">
        <v>975.7</v>
      </c>
      <c r="R218" s="7" t="n">
        <v>424.1</v>
      </c>
      <c r="T218" s="7" t="n">
        <v>624.4</v>
      </c>
      <c r="V218" s="7" t="n">
        <v>514.8</v>
      </c>
      <c r="X218" s="7" t="n">
        <v>241.3</v>
      </c>
      <c r="Z218" s="7" t="n">
        <v>342.8</v>
      </c>
      <c r="AB218" s="7" t="n">
        <v>5629.8</v>
      </c>
    </row>
    <row r="219">
      <c r="A219" s="4" t="inlineStr">
        <is>
          <t>快递费</t>
        </is>
      </c>
      <c r="D219" s="7" t="n">
        <v>55.9</v>
      </c>
      <c r="F219" s="7" t="n">
        <v>69.5</v>
      </c>
      <c r="H219" s="7" t="n">
        <v>133.1</v>
      </c>
      <c r="J219" s="7" t="n">
        <v>242.3</v>
      </c>
      <c r="L219" s="7" t="n">
        <v>197.6</v>
      </c>
      <c r="N219" s="7" t="n">
        <v>299.6</v>
      </c>
      <c r="P219" s="7" t="n">
        <v>553.9</v>
      </c>
      <c r="R219" s="7" t="n">
        <v>147.8</v>
      </c>
      <c r="T219" s="7" t="n">
        <v>226.7</v>
      </c>
      <c r="V219" s="7" t="n">
        <v>281.1</v>
      </c>
      <c r="X219" s="7" t="n">
        <v>68.09999999999999</v>
      </c>
      <c r="Z219" s="7" t="n">
        <v>117.7</v>
      </c>
      <c r="AB219" s="7" t="n">
        <v>2393.3</v>
      </c>
    </row>
    <row r="220">
      <c r="A220" s="4" t="inlineStr">
        <is>
          <t>诉讼费</t>
        </is>
      </c>
      <c r="D220" s="7" t="n">
        <v>152.1</v>
      </c>
      <c r="F220" s="7" t="n">
        <v>153.1</v>
      </c>
      <c r="H220" s="7" t="n">
        <v>325.1</v>
      </c>
      <c r="J220" s="7" t="n">
        <v>637</v>
      </c>
      <c r="L220" s="7" t="n">
        <v>638.4</v>
      </c>
      <c r="N220" s="7" t="n">
        <v>785.3</v>
      </c>
      <c r="P220" s="7" t="n">
        <v>832.7</v>
      </c>
      <c r="R220" s="7" t="n">
        <v>255</v>
      </c>
      <c r="T220" s="7" t="n">
        <v>592.4</v>
      </c>
      <c r="V220" s="7" t="n">
        <v>644.8</v>
      </c>
      <c r="X220" s="7" t="n">
        <v>139.8</v>
      </c>
      <c r="Z220" s="7" t="n">
        <v>315.5</v>
      </c>
      <c r="AB220" s="7" t="n">
        <v>5471.2</v>
      </c>
    </row>
    <row r="221">
      <c r="A221" s="4" t="inlineStr">
        <is>
          <t>会员费</t>
        </is>
      </c>
      <c r="D221" s="7" t="n">
        <v>174.2</v>
      </c>
      <c r="F221" s="7" t="n">
        <v>194</v>
      </c>
      <c r="H221" s="7" t="n">
        <v>307</v>
      </c>
      <c r="J221" s="7" t="n">
        <v>697.2</v>
      </c>
      <c r="L221" s="7" t="n">
        <v>462</v>
      </c>
      <c r="N221" s="7" t="n">
        <v>621.9</v>
      </c>
      <c r="P221" s="7" t="n">
        <v>1285</v>
      </c>
      <c r="R221" s="7" t="n">
        <v>258.8</v>
      </c>
      <c r="T221" s="7" t="n">
        <v>548.3</v>
      </c>
      <c r="V221" s="7" t="n">
        <v>492.2</v>
      </c>
      <c r="X221" s="7" t="n">
        <v>260.1</v>
      </c>
      <c r="Z221" s="7" t="n">
        <v>226.8</v>
      </c>
      <c r="AB221" s="7" t="n">
        <v>5527.5</v>
      </c>
    </row>
    <row r="222">
      <c r="A222" s="4" t="inlineStr">
        <is>
          <t>广告宣传费</t>
        </is>
      </c>
      <c r="D222" s="7" t="n">
        <v>731.2</v>
      </c>
      <c r="F222" s="7" t="n">
        <v>1185.9</v>
      </c>
      <c r="H222" s="7" t="n">
        <v>1443.7</v>
      </c>
      <c r="J222" s="7" t="n">
        <v>3771.4</v>
      </c>
      <c r="L222" s="7" t="n">
        <v>3014.8</v>
      </c>
      <c r="N222" s="7" t="n">
        <v>4370.6</v>
      </c>
      <c r="P222" s="7" t="n">
        <v>5772.3</v>
      </c>
      <c r="R222" s="7" t="n">
        <v>2321.5</v>
      </c>
      <c r="T222" s="7" t="n">
        <v>3303.2</v>
      </c>
      <c r="V222" s="7" t="n">
        <v>3050.9</v>
      </c>
      <c r="X222" s="7" t="n">
        <v>828.9</v>
      </c>
      <c r="Z222" s="7" t="n">
        <v>1690.4</v>
      </c>
      <c r="AB222" s="7" t="n">
        <v>31484.8</v>
      </c>
    </row>
    <row r="223">
      <c r="A223" s="4" t="inlineStr">
        <is>
          <t>会务费</t>
        </is>
      </c>
      <c r="D223" s="7" t="n">
        <v>108.3</v>
      </c>
      <c r="F223" s="7" t="n">
        <v>92.90000000000001</v>
      </c>
      <c r="H223" s="7" t="n">
        <v>238.2</v>
      </c>
      <c r="J223" s="7" t="n">
        <v>377.9</v>
      </c>
      <c r="L223" s="7" t="n">
        <v>280</v>
      </c>
      <c r="N223" s="7" t="n">
        <v>411.9</v>
      </c>
      <c r="P223" s="7" t="n">
        <v>807.7</v>
      </c>
      <c r="R223" s="7" t="n">
        <v>214.1</v>
      </c>
      <c r="T223" s="7" t="n">
        <v>305</v>
      </c>
      <c r="V223" s="7" t="n">
        <v>395.2</v>
      </c>
      <c r="X223" s="7" t="n">
        <v>100</v>
      </c>
      <c r="Z223" s="7" t="n">
        <v>166.4</v>
      </c>
      <c r="AB223" s="7" t="n">
        <v>3497.6</v>
      </c>
    </row>
    <row r="224">
      <c r="A224" s="4" t="inlineStr">
        <is>
          <t>装修费</t>
        </is>
      </c>
      <c r="D224" s="7" t="n">
        <v>192.7</v>
      </c>
      <c r="F224" s="7" t="n">
        <v>138.1</v>
      </c>
      <c r="H224" s="7" t="n">
        <v>252.4</v>
      </c>
      <c r="J224" s="7" t="n">
        <v>604.9</v>
      </c>
      <c r="L224" s="7" t="n">
        <v>577.3</v>
      </c>
      <c r="N224" s="7" t="n">
        <v>743</v>
      </c>
      <c r="P224" s="7" t="n">
        <v>1033.8</v>
      </c>
      <c r="R224" s="7" t="n">
        <v>316.2</v>
      </c>
      <c r="T224" s="7" t="n">
        <v>416.5</v>
      </c>
      <c r="V224" s="7" t="n">
        <v>500.7</v>
      </c>
      <c r="X224" s="7" t="n">
        <v>217.3</v>
      </c>
      <c r="Z224" s="7" t="n">
        <v>213.4</v>
      </c>
      <c r="AB224" s="7" t="n">
        <v>5206.3</v>
      </c>
    </row>
    <row r="225">
      <c r="A225" s="4" t="inlineStr">
        <is>
          <t>推广费</t>
        </is>
      </c>
      <c r="D225" s="7" t="n">
        <v>134.2</v>
      </c>
      <c r="F225" s="7" t="n">
        <v>104.4</v>
      </c>
      <c r="H225" s="7" t="n">
        <v>213.6</v>
      </c>
      <c r="J225" s="7" t="n">
        <v>346.2</v>
      </c>
      <c r="L225" s="7" t="n">
        <v>290.4</v>
      </c>
      <c r="N225" s="7" t="n">
        <v>435.3</v>
      </c>
      <c r="P225" s="7" t="n">
        <v>633.7</v>
      </c>
      <c r="R225" s="7" t="n">
        <v>179.2</v>
      </c>
      <c r="T225" s="7" t="n">
        <v>306</v>
      </c>
      <c r="V225" s="7" t="n">
        <v>454.9</v>
      </c>
      <c r="X225" s="7" t="n">
        <v>139.4</v>
      </c>
      <c r="Z225" s="7" t="n">
        <v>218.1</v>
      </c>
      <c r="AB225" s="7" t="n">
        <v>3455.4</v>
      </c>
    </row>
    <row r="226">
      <c r="A226" s="4" t="inlineStr">
        <is>
          <t>展会费</t>
        </is>
      </c>
      <c r="D226" s="7" t="n">
        <v>205.2</v>
      </c>
      <c r="F226" s="7" t="n">
        <v>194.6</v>
      </c>
      <c r="H226" s="7" t="n">
        <v>207.2</v>
      </c>
      <c r="J226" s="7" t="n">
        <v>491</v>
      </c>
      <c r="L226" s="7" t="n">
        <v>418.2</v>
      </c>
      <c r="N226" s="7" t="n">
        <v>740.9</v>
      </c>
      <c r="P226" s="7" t="n">
        <v>1289.8</v>
      </c>
      <c r="R226" s="7" t="n">
        <v>394.1</v>
      </c>
      <c r="T226" s="7" t="n">
        <v>358.1</v>
      </c>
      <c r="V226" s="7" t="n">
        <v>365.1</v>
      </c>
      <c r="X226" s="7" t="n">
        <v>183.7</v>
      </c>
      <c r="Z226" s="7" t="n">
        <v>323.4</v>
      </c>
      <c r="AB226" s="7" t="n">
        <v>5171.3</v>
      </c>
    </row>
    <row r="227">
      <c r="A227" s="4" t="inlineStr">
        <is>
          <t>设计费</t>
        </is>
      </c>
      <c r="D227" s="7" t="n">
        <v>165.2</v>
      </c>
      <c r="F227" s="7" t="n">
        <v>248.2</v>
      </c>
      <c r="H227" s="7" t="n">
        <v>468.2</v>
      </c>
      <c r="J227" s="7" t="n">
        <v>1011.9</v>
      </c>
      <c r="L227" s="7" t="n">
        <v>569.9</v>
      </c>
      <c r="N227" s="7" t="n">
        <v>865.2</v>
      </c>
      <c r="P227" s="7" t="n">
        <v>1358.4</v>
      </c>
      <c r="R227" s="7" t="n">
        <v>496.8</v>
      </c>
      <c r="T227" s="7" t="n">
        <v>456.2</v>
      </c>
      <c r="V227" s="7" t="n">
        <v>804.2</v>
      </c>
      <c r="X227" s="7" t="n">
        <v>304.1</v>
      </c>
      <c r="Z227" s="7" t="n">
        <v>392.4</v>
      </c>
      <c r="AB227" s="7" t="n">
        <v>7140.7</v>
      </c>
    </row>
    <row r="228">
      <c r="A228" s="4" t="inlineStr">
        <is>
          <t>折旧费</t>
        </is>
      </c>
      <c r="D228" s="7" t="n">
        <v>1397.7</v>
      </c>
      <c r="F228" s="7" t="n">
        <v>1625.3</v>
      </c>
      <c r="H228" s="7" t="n">
        <v>1676.8</v>
      </c>
      <c r="J228" s="7" t="n">
        <v>5736.8</v>
      </c>
      <c r="L228" s="7" t="n">
        <v>3513.1</v>
      </c>
      <c r="N228" s="7" t="n">
        <v>5489.9</v>
      </c>
      <c r="P228" s="7" t="n">
        <v>7651.7</v>
      </c>
      <c r="R228" s="7" t="n">
        <v>2633.8</v>
      </c>
      <c r="T228" s="7" t="n">
        <v>4376.3</v>
      </c>
      <c r="V228" s="7" t="n">
        <v>3495.4</v>
      </c>
      <c r="X228" s="7" t="n">
        <v>1491.4</v>
      </c>
      <c r="Z228" s="7" t="n">
        <v>1789.4</v>
      </c>
      <c r="AB228" s="7" t="n">
        <v>40877.6</v>
      </c>
    </row>
    <row r="229">
      <c r="A229" s="4" t="inlineStr">
        <is>
          <t>认证费</t>
        </is>
      </c>
      <c r="D229" s="7" t="n">
        <v>45.6</v>
      </c>
      <c r="F229" s="7" t="n">
        <v>47.1</v>
      </c>
      <c r="H229" s="7" t="n">
        <v>87.5</v>
      </c>
      <c r="J229" s="7" t="n">
        <v>113.2</v>
      </c>
      <c r="L229" s="7" t="n">
        <v>143.2</v>
      </c>
      <c r="N229" s="7" t="n">
        <v>179.9</v>
      </c>
      <c r="P229" s="7" t="n">
        <v>224.4</v>
      </c>
      <c r="R229" s="7" t="n">
        <v>89</v>
      </c>
      <c r="T229" s="7" t="n">
        <v>101.7</v>
      </c>
      <c r="V229" s="7" t="n">
        <v>115.9</v>
      </c>
      <c r="X229" s="7" t="n">
        <v>45.7</v>
      </c>
      <c r="Z229" s="7" t="n">
        <v>72.59999999999999</v>
      </c>
      <c r="AB229" s="7" t="n">
        <v>1265.8</v>
      </c>
    </row>
    <row r="230">
      <c r="A230" s="4" t="inlineStr">
        <is>
          <t>样品费</t>
        </is>
      </c>
      <c r="D230" s="7" t="n">
        <v>827.4</v>
      </c>
      <c r="F230" s="7" t="n">
        <v>475.2</v>
      </c>
      <c r="H230" s="7" t="n">
        <v>1012.8</v>
      </c>
      <c r="J230" s="7" t="n">
        <v>2269.8</v>
      </c>
      <c r="L230" s="7" t="n">
        <v>1998</v>
      </c>
      <c r="N230" s="7" t="n">
        <v>3506.8</v>
      </c>
      <c r="P230" s="7" t="n">
        <v>4241</v>
      </c>
      <c r="R230" s="7" t="n">
        <v>1638.1</v>
      </c>
      <c r="T230" s="7" t="n">
        <v>1742</v>
      </c>
      <c r="V230" s="7" t="n">
        <v>1787.9</v>
      </c>
      <c r="X230" s="7" t="n">
        <v>673.8</v>
      </c>
      <c r="Z230" s="7" t="n">
        <v>924.8</v>
      </c>
      <c r="AB230" s="7" t="n">
        <v>21097.6</v>
      </c>
    </row>
    <row r="231">
      <c r="A231" s="4" t="inlineStr">
        <is>
          <t>劳务费</t>
        </is>
      </c>
      <c r="D231" s="7" t="n">
        <v>36.4</v>
      </c>
      <c r="F231" s="7" t="n">
        <v>33.6</v>
      </c>
      <c r="H231" s="7" t="n">
        <v>70</v>
      </c>
      <c r="J231" s="7" t="n">
        <v>97.3</v>
      </c>
      <c r="L231" s="7" t="n">
        <v>91.40000000000001</v>
      </c>
      <c r="N231" s="7" t="n">
        <v>138.9</v>
      </c>
      <c r="P231" s="7" t="n">
        <v>203.2</v>
      </c>
      <c r="R231" s="7" t="n">
        <v>48.4</v>
      </c>
      <c r="T231" s="7" t="n">
        <v>74.5</v>
      </c>
      <c r="V231" s="7" t="n">
        <v>72.40000000000001</v>
      </c>
      <c r="X231" s="7" t="n">
        <v>30.7</v>
      </c>
      <c r="Z231" s="7" t="n">
        <v>51.8</v>
      </c>
      <c r="AB231" s="7" t="n">
        <v>948.6</v>
      </c>
    </row>
    <row r="232">
      <c r="A232" s="4" t="inlineStr">
        <is>
          <t>销售佣金</t>
        </is>
      </c>
      <c r="D232" s="7" t="n">
        <v>165.5</v>
      </c>
      <c r="F232" s="7" t="n">
        <v>227.6</v>
      </c>
      <c r="H232" s="7" t="n">
        <v>432.8</v>
      </c>
      <c r="J232" s="7" t="n">
        <v>839.1</v>
      </c>
      <c r="L232" s="7" t="n">
        <v>700.7</v>
      </c>
      <c r="N232" s="7" t="n">
        <v>904.1</v>
      </c>
      <c r="P232" s="7" t="n">
        <v>921.7</v>
      </c>
      <c r="R232" s="7" t="n">
        <v>324.8</v>
      </c>
      <c r="T232" s="7" t="n">
        <v>636.4</v>
      </c>
      <c r="V232" s="7" t="n">
        <v>669.5</v>
      </c>
      <c r="X232" s="7" t="n">
        <v>157.2</v>
      </c>
      <c r="Z232" s="7" t="n">
        <v>413</v>
      </c>
      <c r="AB232" s="7" t="n">
        <v>6392.4</v>
      </c>
    </row>
    <row r="233">
      <c r="A233" s="4" t="inlineStr">
        <is>
          <t>检测费</t>
        </is>
      </c>
      <c r="D233" s="7" t="n">
        <v>210.5</v>
      </c>
      <c r="F233" s="7" t="n">
        <v>232.7</v>
      </c>
      <c r="H233" s="7" t="n">
        <v>255.4</v>
      </c>
      <c r="J233" s="7" t="n">
        <v>947.1</v>
      </c>
      <c r="L233" s="7" t="n">
        <v>433.2</v>
      </c>
      <c r="N233" s="7" t="n">
        <v>732.4</v>
      </c>
      <c r="P233" s="7" t="n">
        <v>1611.3</v>
      </c>
      <c r="R233" s="7" t="n">
        <v>445.6</v>
      </c>
      <c r="T233" s="7" t="n">
        <v>653.3</v>
      </c>
      <c r="V233" s="7" t="n">
        <v>637.5</v>
      </c>
      <c r="X233" s="7" t="n">
        <v>285.2</v>
      </c>
      <c r="Z233" s="7" t="n">
        <v>316.3</v>
      </c>
      <c r="AB233" s="7" t="n">
        <v>6760.5</v>
      </c>
    </row>
    <row r="234">
      <c r="A234" s="4" t="inlineStr">
        <is>
          <t>质量赔偿</t>
        </is>
      </c>
      <c r="D234" s="7" t="n">
        <v>26.4</v>
      </c>
      <c r="F234" s="7" t="n">
        <v>27.2</v>
      </c>
      <c r="H234" s="7" t="n">
        <v>40.1</v>
      </c>
      <c r="J234" s="7" t="n">
        <v>86.5</v>
      </c>
      <c r="L234" s="7" t="n">
        <v>59.3</v>
      </c>
      <c r="N234" s="7" t="n">
        <v>124</v>
      </c>
      <c r="P234" s="7" t="n">
        <v>188.5</v>
      </c>
      <c r="R234" s="7" t="n">
        <v>55.6</v>
      </c>
      <c r="T234" s="7" t="n">
        <v>50.4</v>
      </c>
      <c r="V234" s="7" t="n">
        <v>65.59999999999999</v>
      </c>
      <c r="X234" s="7" t="n">
        <v>20.3</v>
      </c>
      <c r="Z234" s="7" t="n">
        <v>48.4</v>
      </c>
      <c r="AB234" s="7" t="n">
        <v>792.3</v>
      </c>
    </row>
    <row r="235">
      <c r="A235" s="4" t="inlineStr">
        <is>
          <t>保险费</t>
        </is>
      </c>
      <c r="D235" s="7" t="n">
        <v>139.6</v>
      </c>
      <c r="F235" s="7" t="n">
        <v>150.1</v>
      </c>
      <c r="H235" s="7" t="n">
        <v>238</v>
      </c>
      <c r="J235" s="7" t="n">
        <v>645.2</v>
      </c>
      <c r="L235" s="7" t="n">
        <v>462.4</v>
      </c>
      <c r="N235" s="7" t="n">
        <v>787.6</v>
      </c>
      <c r="P235" s="7" t="n">
        <v>1084.9</v>
      </c>
      <c r="R235" s="7" t="n">
        <v>287.8</v>
      </c>
      <c r="T235" s="7" t="n">
        <v>545.3</v>
      </c>
      <c r="V235" s="7" t="n">
        <v>458</v>
      </c>
      <c r="X235" s="7" t="n">
        <v>227.1</v>
      </c>
      <c r="Z235" s="7" t="n">
        <v>321.5</v>
      </c>
      <c r="AB235" s="7" t="n">
        <v>5347.5</v>
      </c>
    </row>
    <row r="236">
      <c r="A236" s="4" t="inlineStr">
        <is>
          <t>清洁费</t>
        </is>
      </c>
      <c r="D236" s="7" t="n">
        <v>81.90000000000001</v>
      </c>
      <c r="F236" s="7" t="n">
        <v>71.59999999999999</v>
      </c>
      <c r="H236" s="7" t="n">
        <v>147.2</v>
      </c>
      <c r="J236" s="7" t="n">
        <v>188.4</v>
      </c>
      <c r="L236" s="7" t="n">
        <v>216.5</v>
      </c>
      <c r="N236" s="7" t="n">
        <v>207.8</v>
      </c>
      <c r="P236" s="7" t="n">
        <v>329.5</v>
      </c>
      <c r="R236" s="7" t="n">
        <v>130.9</v>
      </c>
      <c r="T236" s="7" t="n">
        <v>240.1</v>
      </c>
      <c r="V236" s="7" t="n">
        <v>229.9</v>
      </c>
      <c r="X236" s="7" t="n">
        <v>67.59999999999999</v>
      </c>
      <c r="Z236" s="7" t="n">
        <v>94.40000000000001</v>
      </c>
      <c r="AB236" s="7" t="n">
        <v>2005.8</v>
      </c>
    </row>
    <row r="237">
      <c r="A237" s="4" t="inlineStr">
        <is>
          <t>低值易耗品</t>
        </is>
      </c>
      <c r="D237" s="7" t="n">
        <v>198.7</v>
      </c>
      <c r="F237" s="7" t="n">
        <v>145.4</v>
      </c>
      <c r="H237" s="7" t="n">
        <v>252</v>
      </c>
      <c r="J237" s="7" t="n">
        <v>820.5</v>
      </c>
      <c r="L237" s="7" t="n">
        <v>652.3</v>
      </c>
      <c r="N237" s="7" t="n">
        <v>917.6</v>
      </c>
      <c r="P237" s="7" t="n">
        <v>1241.6</v>
      </c>
      <c r="R237" s="7" t="n">
        <v>254.3</v>
      </c>
      <c r="T237" s="7" t="n">
        <v>360</v>
      </c>
      <c r="V237" s="7" t="n">
        <v>552.3</v>
      </c>
      <c r="X237" s="7" t="n">
        <v>166.5</v>
      </c>
      <c r="Z237" s="7" t="n">
        <v>246.7</v>
      </c>
      <c r="AB237" s="7" t="n">
        <v>5807.9</v>
      </c>
    </row>
    <row r="238">
      <c r="A238" s="4" t="inlineStr">
        <is>
          <t>物料消耗</t>
        </is>
      </c>
      <c r="D238" s="7" t="n">
        <v>76.8</v>
      </c>
      <c r="F238" s="7" t="n">
        <v>79.8</v>
      </c>
      <c r="H238" s="7" t="n">
        <v>166</v>
      </c>
      <c r="J238" s="7" t="n">
        <v>372.4</v>
      </c>
      <c r="L238" s="7" t="n">
        <v>261.3</v>
      </c>
      <c r="N238" s="7" t="n">
        <v>424.8</v>
      </c>
      <c r="P238" s="7" t="n">
        <v>448.4</v>
      </c>
      <c r="R238" s="7" t="n">
        <v>163.8</v>
      </c>
      <c r="T238" s="7" t="n">
        <v>209.6</v>
      </c>
      <c r="V238" s="7" t="n">
        <v>240.1</v>
      </c>
      <c r="X238" s="7" t="n">
        <v>102.7</v>
      </c>
      <c r="Z238" s="7" t="n">
        <v>185.1</v>
      </c>
      <c r="AB238" s="7" t="n">
        <v>2730.8</v>
      </c>
    </row>
    <row r="239">
      <c r="A239" s="4" t="inlineStr">
        <is>
          <t>盘盈盘亏</t>
        </is>
      </c>
      <c r="D239" s="7" t="n">
        <v>76.8</v>
      </c>
      <c r="F239" s="7" t="n">
        <v>79.7</v>
      </c>
      <c r="H239" s="7" t="n">
        <v>112.4</v>
      </c>
      <c r="J239" s="7" t="n">
        <v>247.6</v>
      </c>
      <c r="L239" s="7" t="n">
        <v>304</v>
      </c>
      <c r="N239" s="7" t="n">
        <v>419.9</v>
      </c>
      <c r="P239" s="7" t="n">
        <v>454</v>
      </c>
      <c r="R239" s="7" t="n">
        <v>223.8</v>
      </c>
      <c r="T239" s="7" t="n">
        <v>209.8</v>
      </c>
      <c r="V239" s="7" t="n">
        <v>282.3</v>
      </c>
      <c r="X239" s="7" t="n">
        <v>74.8</v>
      </c>
      <c r="Z239" s="7" t="n">
        <v>144.2</v>
      </c>
      <c r="AB239" s="7" t="n">
        <v>2629.3</v>
      </c>
    </row>
    <row r="240">
      <c r="A240" s="4" t="inlineStr">
        <is>
          <t>平台服务费</t>
        </is>
      </c>
      <c r="D240" s="7" t="n">
        <v>52.5</v>
      </c>
      <c r="F240" s="7" t="n">
        <v>73.3</v>
      </c>
      <c r="H240" s="7" t="n">
        <v>135.4</v>
      </c>
      <c r="J240" s="7" t="n">
        <v>305.4</v>
      </c>
      <c r="L240" s="7" t="n">
        <v>199.2</v>
      </c>
      <c r="N240" s="7" t="n">
        <v>350.2</v>
      </c>
      <c r="P240" s="7" t="n">
        <v>420.4</v>
      </c>
      <c r="R240" s="7" t="n">
        <v>134.5</v>
      </c>
      <c r="T240" s="7" t="n">
        <v>160.2</v>
      </c>
      <c r="V240" s="7" t="n">
        <v>182.9</v>
      </c>
      <c r="X240" s="7" t="n">
        <v>79.40000000000001</v>
      </c>
      <c r="Z240" s="7" t="n">
        <v>147.8</v>
      </c>
      <c r="AB240" s="7" t="n">
        <v>2241.2</v>
      </c>
    </row>
    <row r="241">
      <c r="A241" s="4" t="inlineStr">
        <is>
          <t>无形资产摊销</t>
        </is>
      </c>
      <c r="D241" s="7" t="n">
        <v>123.5</v>
      </c>
      <c r="F241" s="7" t="n">
        <v>187.1</v>
      </c>
      <c r="H241" s="7" t="n">
        <v>253.6</v>
      </c>
      <c r="J241" s="7" t="n">
        <v>573.5</v>
      </c>
      <c r="L241" s="7" t="n">
        <v>461.6</v>
      </c>
      <c r="N241" s="7" t="n">
        <v>701.5</v>
      </c>
      <c r="P241" s="7" t="n">
        <v>975.6</v>
      </c>
      <c r="R241" s="7" t="n">
        <v>434.7</v>
      </c>
      <c r="T241" s="7" t="n">
        <v>402.7</v>
      </c>
      <c r="V241" s="7" t="n">
        <v>583.8</v>
      </c>
      <c r="X241" s="7" t="n">
        <v>175.4</v>
      </c>
      <c r="Z241" s="7" t="n">
        <v>350.3</v>
      </c>
      <c r="AB241" s="7" t="n">
        <v>5223.3</v>
      </c>
    </row>
    <row r="242">
      <c r="A242" s="4" t="inlineStr">
        <is>
          <t>研发材料</t>
        </is>
      </c>
      <c r="D242" s="7" t="n">
        <v>62.5</v>
      </c>
      <c r="F242" s="7" t="n">
        <v>66.2</v>
      </c>
      <c r="H242" s="7" t="n">
        <v>93.3</v>
      </c>
      <c r="J242" s="7" t="n">
        <v>209</v>
      </c>
      <c r="L242" s="7" t="n">
        <v>209.2</v>
      </c>
      <c r="N242" s="7" t="n">
        <v>363.4</v>
      </c>
      <c r="P242" s="7" t="n">
        <v>437.2</v>
      </c>
      <c r="R242" s="7" t="n">
        <v>123.3</v>
      </c>
      <c r="T242" s="7" t="n">
        <v>195.9</v>
      </c>
      <c r="V242" s="7" t="n">
        <v>144.1</v>
      </c>
      <c r="X242" s="7" t="n">
        <v>86.7</v>
      </c>
      <c r="Z242" s="7" t="n">
        <v>136.9</v>
      </c>
      <c r="AB242" s="7" t="n">
        <v>2127.7</v>
      </c>
    </row>
    <row r="243">
      <c r="A243" s="4" t="inlineStr">
        <is>
          <t>项目名称</t>
        </is>
      </c>
      <c r="D243" s="7" t="n">
        <v>21.7</v>
      </c>
      <c r="F243" s="7" t="n">
        <v>23.1</v>
      </c>
      <c r="H243" s="7" t="n">
        <v>39.6</v>
      </c>
      <c r="J243" s="7" t="n">
        <v>76.59999999999999</v>
      </c>
      <c r="L243" s="7" t="n">
        <v>62.2</v>
      </c>
      <c r="N243" s="7" t="n">
        <v>84.7</v>
      </c>
      <c r="P243" s="7" t="n">
        <v>109.8</v>
      </c>
      <c r="R243" s="7" t="n">
        <v>32.9</v>
      </c>
      <c r="T243" s="7" t="n">
        <v>42.8</v>
      </c>
      <c r="V243" s="7" t="n">
        <v>60.5</v>
      </c>
      <c r="X243" s="7" t="n">
        <v>27.2</v>
      </c>
      <c r="Z243" s="7" t="n">
        <v>28.4</v>
      </c>
      <c r="AB243" s="7" t="n">
        <v>609.5</v>
      </c>
    </row>
    <row r="244">
      <c r="A244" s="4" t="inlineStr">
        <is>
          <t>研发费</t>
        </is>
      </c>
      <c r="D244" s="7" t="n">
        <v>213.9</v>
      </c>
      <c r="F244" s="7" t="n">
        <v>148</v>
      </c>
      <c r="H244" s="7" t="n">
        <v>251.2</v>
      </c>
      <c r="J244" s="7" t="n">
        <v>751.4</v>
      </c>
      <c r="L244" s="7" t="n">
        <v>638.9</v>
      </c>
      <c r="N244" s="7" t="n">
        <v>536.9</v>
      </c>
      <c r="P244" s="7" t="n">
        <v>757.1</v>
      </c>
      <c r="R244" s="7" t="n">
        <v>451</v>
      </c>
      <c r="T244" s="7" t="n">
        <v>364.5</v>
      </c>
      <c r="V244" s="7" t="n">
        <v>493.4</v>
      </c>
      <c r="X244" s="7" t="n">
        <v>196.8</v>
      </c>
      <c r="Z244" s="7" t="n">
        <v>239.1</v>
      </c>
      <c r="AB244" s="7" t="n">
        <v>5042.2</v>
      </c>
    </row>
    <row r="245">
      <c r="A245" s="4" t="inlineStr">
        <is>
          <t>残保金</t>
        </is>
      </c>
      <c r="D245" s="7" t="n">
        <v>54.1</v>
      </c>
      <c r="F245" s="7" t="n">
        <v>72.09999999999999</v>
      </c>
      <c r="H245" s="7" t="n">
        <v>96.7</v>
      </c>
      <c r="J245" s="7" t="n">
        <v>214.1</v>
      </c>
      <c r="L245" s="7" t="n">
        <v>147.2</v>
      </c>
      <c r="N245" s="7" t="n">
        <v>327.6</v>
      </c>
      <c r="P245" s="7" t="n">
        <v>437.3</v>
      </c>
      <c r="R245" s="7" t="n">
        <v>104.5</v>
      </c>
      <c r="T245" s="7" t="n">
        <v>206.1</v>
      </c>
      <c r="V245" s="7" t="n">
        <v>170.5</v>
      </c>
      <c r="X245" s="7" t="n">
        <v>56.1</v>
      </c>
      <c r="Z245" s="7" t="n">
        <v>84.3</v>
      </c>
      <c r="AB245" s="7" t="n">
        <v>1970.6</v>
      </c>
    </row>
    <row r="246">
      <c r="A246" s="4" t="inlineStr">
        <is>
          <t>环保费</t>
        </is>
      </c>
      <c r="D246" s="7" t="n">
        <v>179</v>
      </c>
      <c r="F246" s="7" t="n">
        <v>140.9</v>
      </c>
      <c r="H246" s="7" t="n">
        <v>193.5</v>
      </c>
      <c r="J246" s="7" t="n">
        <v>711.7</v>
      </c>
      <c r="L246" s="7" t="n">
        <v>484.2</v>
      </c>
      <c r="N246" s="7" t="n">
        <v>530.4</v>
      </c>
      <c r="P246" s="7" t="n">
        <v>1093.8</v>
      </c>
      <c r="R246" s="7" t="n">
        <v>377.9</v>
      </c>
      <c r="T246" s="7" t="n">
        <v>352.3</v>
      </c>
      <c r="V246" s="7" t="n">
        <v>503.7</v>
      </c>
      <c r="X246" s="7" t="n">
        <v>158.8</v>
      </c>
      <c r="Z246" s="7" t="n">
        <v>242.6</v>
      </c>
      <c r="AB246" s="7" t="n">
        <v>4968.8</v>
      </c>
    </row>
    <row r="247">
      <c r="A247" s="4" t="inlineStr">
        <is>
          <t>报废损失</t>
        </is>
      </c>
      <c r="D247" s="7" t="n">
        <v>78.3</v>
      </c>
      <c r="F247" s="7" t="n">
        <v>91</v>
      </c>
      <c r="H247" s="7" t="n">
        <v>159.1</v>
      </c>
      <c r="J247" s="7" t="n">
        <v>361.9</v>
      </c>
      <c r="L247" s="7" t="n">
        <v>353.5</v>
      </c>
      <c r="N247" s="7" t="n">
        <v>467.5</v>
      </c>
      <c r="P247" s="7" t="n">
        <v>594.7</v>
      </c>
      <c r="R247" s="7" t="n">
        <v>172.4</v>
      </c>
      <c r="T247" s="7" t="n">
        <v>391.8</v>
      </c>
      <c r="V247" s="7" t="n">
        <v>348.4</v>
      </c>
      <c r="X247" s="7" t="n">
        <v>125.7</v>
      </c>
      <c r="Z247" s="7" t="n">
        <v>239.6</v>
      </c>
      <c r="AB247" s="7" t="n">
        <v>3383.9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4288.3</v>
      </c>
      <c r="D248" s="7" t="n">
        <v>8330.1</v>
      </c>
      <c r="E248" s="7" t="n">
        <v>4547.1</v>
      </c>
      <c r="F248" s="7" t="n">
        <v>1115.4</v>
      </c>
      <c r="G248" s="7" t="n">
        <v>4653.8</v>
      </c>
      <c r="H248" s="7" t="n">
        <v>-4569.7</v>
      </c>
      <c r="I248" s="7" t="n">
        <v>4238.3</v>
      </c>
      <c r="J248" s="7" t="n">
        <v>7425.9</v>
      </c>
      <c r="K248" s="7" t="n">
        <v>4877.2</v>
      </c>
      <c r="L248" s="7" t="n">
        <v>4841.1</v>
      </c>
      <c r="M248" s="7" t="n">
        <v>5099.6</v>
      </c>
      <c r="N248" s="7" t="n">
        <v>4318.4</v>
      </c>
      <c r="O248" s="7" t="n">
        <v>3920.9</v>
      </c>
      <c r="P248" s="7" t="n">
        <v>8664.5</v>
      </c>
      <c r="Q248" s="7" t="n">
        <v>4019.8</v>
      </c>
      <c r="R248" s="7" t="n">
        <v>-2292.4</v>
      </c>
      <c r="S248" s="7" t="n">
        <v>4951</v>
      </c>
      <c r="T248" s="7" t="n">
        <v>601.5</v>
      </c>
      <c r="U248" s="7" t="n">
        <v>4449</v>
      </c>
      <c r="V248" s="7" t="n">
        <v>19379.8</v>
      </c>
      <c r="W248" s="7" t="n">
        <v>4127.9</v>
      </c>
      <c r="X248" s="7" t="n">
        <v>4933.7</v>
      </c>
      <c r="Y248" s="7" t="n">
        <v>3982.4</v>
      </c>
      <c r="Z248" s="7" t="n">
        <v>802.9</v>
      </c>
      <c r="AA248" s="8" t="n">
        <v>53155.3</v>
      </c>
      <c r="AB248" s="8" t="n">
        <v>53551.2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1164.9</v>
      </c>
      <c r="E250" s="7" t="n">
        <v>0</v>
      </c>
      <c r="F250" s="7" t="n">
        <v>-264.9</v>
      </c>
      <c r="G250" s="7" t="n">
        <v>0</v>
      </c>
      <c r="H250" s="7" t="n">
        <v>2230.3</v>
      </c>
      <c r="I250" s="7" t="n">
        <v>0</v>
      </c>
      <c r="J250" s="7" t="n">
        <v>666.4</v>
      </c>
      <c r="K250" s="7" t="n">
        <v>0</v>
      </c>
      <c r="L250" s="7" t="n">
        <v>-2675.7</v>
      </c>
      <c r="M250" s="7" t="n">
        <v>0</v>
      </c>
      <c r="N250" s="7" t="n">
        <v>2674.1</v>
      </c>
      <c r="O250" s="7" t="n">
        <v>0</v>
      </c>
      <c r="P250" s="7" t="n">
        <v>-2479.8</v>
      </c>
      <c r="Q250" s="7" t="n">
        <v>0</v>
      </c>
      <c r="R250" s="7" t="n">
        <v>-1885.5</v>
      </c>
      <c r="S250" s="7" t="n">
        <v>0</v>
      </c>
      <c r="T250" s="7" t="n">
        <v>-1621.3</v>
      </c>
      <c r="U250" s="7" t="n">
        <v>0</v>
      </c>
      <c r="V250" s="7" t="n">
        <v>-3493.9</v>
      </c>
      <c r="W250" s="7" t="n">
        <v>0</v>
      </c>
      <c r="X250" s="7" t="n">
        <v>-1785.6</v>
      </c>
      <c r="Y250" s="7" t="n">
        <v>0</v>
      </c>
      <c r="Z250" s="7" t="n">
        <v>653.1</v>
      </c>
      <c r="AA250" s="7" t="n">
        <v>0</v>
      </c>
      <c r="AB250" s="7" t="n">
        <v>-6817.9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18843.4</v>
      </c>
      <c r="D255" s="7" t="n">
        <v>12196</v>
      </c>
      <c r="E255" s="7" t="n">
        <v>14355.2</v>
      </c>
      <c r="F255" s="7" t="n">
        <v>167.2</v>
      </c>
      <c r="G255" s="7" t="n">
        <v>14471.4</v>
      </c>
      <c r="H255" s="7" t="n">
        <v>20711.9</v>
      </c>
      <c r="I255" s="7" t="n">
        <v>17397.9</v>
      </c>
      <c r="J255" s="7" t="n">
        <v>22651.1</v>
      </c>
      <c r="K255" s="7" t="n">
        <v>15804.4</v>
      </c>
      <c r="L255" s="7" t="n">
        <v>23840.9</v>
      </c>
      <c r="M255" s="7" t="n">
        <v>17681.8</v>
      </c>
      <c r="N255" s="7" t="n">
        <v>16367.7</v>
      </c>
      <c r="O255" s="7" t="n">
        <v>14752.4</v>
      </c>
      <c r="P255" s="7" t="n">
        <v>9390.5</v>
      </c>
      <c r="Q255" s="7" t="n">
        <v>17638.7</v>
      </c>
      <c r="R255" s="7" t="n">
        <v>19560.3</v>
      </c>
      <c r="S255" s="7" t="n">
        <v>14772.6</v>
      </c>
      <c r="T255" s="7" t="n">
        <v>9655.1</v>
      </c>
      <c r="U255" s="7" t="n">
        <v>16109.3</v>
      </c>
      <c r="V255" s="7" t="n">
        <v>21266</v>
      </c>
      <c r="W255" s="7" t="n">
        <v>18740.8</v>
      </c>
      <c r="X255" s="7" t="n">
        <v>15432.9</v>
      </c>
      <c r="Y255" s="7" t="n">
        <v>14146.5</v>
      </c>
      <c r="Z255" s="7" t="n">
        <v>25759.6</v>
      </c>
      <c r="AA255" s="7" t="n">
        <v>194714.4</v>
      </c>
      <c r="AB255" s="7" t="n">
        <v>196999.2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366998.5</v>
      </c>
      <c r="D256" s="7" t="n">
        <v>218827.3</v>
      </c>
      <c r="E256" s="7" t="n">
        <v>377127.7</v>
      </c>
      <c r="F256" s="7" t="n">
        <v>180898.5</v>
      </c>
      <c r="G256" s="7" t="n">
        <v>350501.4</v>
      </c>
      <c r="H256" s="7" t="n">
        <v>389711.3</v>
      </c>
      <c r="I256" s="7" t="n">
        <v>380968.5</v>
      </c>
      <c r="J256" s="7" t="n">
        <v>360252.1</v>
      </c>
      <c r="K256" s="7" t="n">
        <v>325335.7</v>
      </c>
      <c r="L256" s="7" t="n">
        <v>509318.9</v>
      </c>
      <c r="M256" s="7" t="n">
        <v>367082.9</v>
      </c>
      <c r="N256" s="7" t="n">
        <v>437086.5</v>
      </c>
      <c r="O256" s="7" t="n">
        <v>332219.4</v>
      </c>
      <c r="P256" s="7" t="n">
        <v>447167.3</v>
      </c>
      <c r="Q256" s="7" t="n">
        <v>377007.3</v>
      </c>
      <c r="R256" s="7" t="n">
        <v>307437.4</v>
      </c>
      <c r="S256" s="7" t="n">
        <v>387995.4</v>
      </c>
      <c r="T256" s="7" t="n">
        <v>362586.3</v>
      </c>
      <c r="U256" s="7" t="n">
        <v>366659.5</v>
      </c>
      <c r="V256" s="7" t="n">
        <v>365145.5</v>
      </c>
      <c r="W256" s="7" t="n">
        <v>337335.1</v>
      </c>
      <c r="X256" s="7" t="n">
        <v>483145.5</v>
      </c>
      <c r="Y256" s="7" t="n">
        <v>360480.6</v>
      </c>
      <c r="Z256" s="7" t="n">
        <v>312904</v>
      </c>
      <c r="AA256" s="8" t="n">
        <v>4329712</v>
      </c>
      <c r="AB256" s="8" t="n">
        <v>4374480.6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4681</v>
      </c>
      <c r="E257" s="7" t="n">
        <v>0</v>
      </c>
      <c r="F257" s="7" t="n">
        <v>4635.4</v>
      </c>
      <c r="G257" s="7" t="n">
        <v>0</v>
      </c>
      <c r="H257" s="7" t="n">
        <v>3600.7</v>
      </c>
      <c r="I257" s="7" t="n">
        <v>0</v>
      </c>
      <c r="J257" s="7" t="n">
        <v>4262</v>
      </c>
      <c r="K257" s="7" t="n">
        <v>0</v>
      </c>
      <c r="L257" s="7" t="n">
        <v>676.7</v>
      </c>
      <c r="M257" s="7" t="n">
        <v>0</v>
      </c>
      <c r="N257" s="7" t="n">
        <v>2621.9</v>
      </c>
      <c r="O257" s="7" t="n">
        <v>0</v>
      </c>
      <c r="P257" s="7" t="n">
        <v>4147</v>
      </c>
      <c r="Q257" s="7" t="n">
        <v>0</v>
      </c>
      <c r="R257" s="7" t="n">
        <v>49.1</v>
      </c>
      <c r="S257" s="7" t="n">
        <v>0</v>
      </c>
      <c r="T257" s="7" t="n">
        <v>2081.5</v>
      </c>
      <c r="U257" s="7" t="n">
        <v>0</v>
      </c>
      <c r="V257" s="7" t="n">
        <v>751.7</v>
      </c>
      <c r="W257" s="7" t="n">
        <v>0</v>
      </c>
      <c r="X257" s="7" t="n">
        <v>335.2</v>
      </c>
      <c r="Y257" s="7" t="n">
        <v>0</v>
      </c>
      <c r="Z257" s="7" t="n">
        <v>4884.9</v>
      </c>
      <c r="AA257" s="7" t="n">
        <v>0</v>
      </c>
      <c r="AB257" s="7" t="n">
        <v>32727.1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935.5</v>
      </c>
      <c r="E258" s="7" t="n">
        <v>0</v>
      </c>
      <c r="F258" s="7" t="n">
        <v>563</v>
      </c>
      <c r="G258" s="7" t="n">
        <v>0</v>
      </c>
      <c r="H258" s="7" t="n">
        <v>2082.1</v>
      </c>
      <c r="I258" s="7" t="n">
        <v>0</v>
      </c>
      <c r="J258" s="7" t="n">
        <v>1613.2</v>
      </c>
      <c r="K258" s="7" t="n">
        <v>0</v>
      </c>
      <c r="L258" s="7" t="n">
        <v>993.1</v>
      </c>
      <c r="M258" s="7" t="n">
        <v>0</v>
      </c>
      <c r="N258" s="7" t="n">
        <v>183.3</v>
      </c>
      <c r="O258" s="7" t="n">
        <v>0</v>
      </c>
      <c r="P258" s="7" t="n">
        <v>1406.1</v>
      </c>
      <c r="Q258" s="7" t="n">
        <v>0</v>
      </c>
      <c r="R258" s="7" t="n">
        <v>469.4</v>
      </c>
      <c r="S258" s="7" t="n">
        <v>0</v>
      </c>
      <c r="T258" s="7" t="n">
        <v>1051.4</v>
      </c>
      <c r="U258" s="7" t="n">
        <v>0</v>
      </c>
      <c r="V258" s="7" t="n">
        <v>1677.5</v>
      </c>
      <c r="W258" s="7" t="n">
        <v>0</v>
      </c>
      <c r="X258" s="7" t="n">
        <v>678.1</v>
      </c>
      <c r="Y258" s="7" t="n">
        <v>0</v>
      </c>
      <c r="Z258" s="7" t="n">
        <v>1886.5</v>
      </c>
      <c r="AA258" s="7" t="n">
        <v>0</v>
      </c>
      <c r="AB258" s="7" t="n">
        <v>13539.2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328996.7</v>
      </c>
      <c r="D259" s="7" t="n">
        <v>237553.6</v>
      </c>
      <c r="E259" s="7" t="n">
        <v>392711.9</v>
      </c>
      <c r="F259" s="7" t="n">
        <v>172742.9</v>
      </c>
      <c r="G259" s="7" t="n">
        <v>343052.8</v>
      </c>
      <c r="H259" s="7" t="n">
        <v>414711.6</v>
      </c>
      <c r="I259" s="7" t="n">
        <v>341174.3</v>
      </c>
      <c r="J259" s="7" t="n">
        <v>386773.4</v>
      </c>
      <c r="K259" s="7" t="n">
        <v>323476.3</v>
      </c>
      <c r="L259" s="7" t="n">
        <v>517923.2</v>
      </c>
      <c r="M259" s="7" t="n">
        <v>400009.3</v>
      </c>
      <c r="N259" s="7" t="n">
        <v>420105.7</v>
      </c>
      <c r="O259" s="7" t="n">
        <v>376917.3</v>
      </c>
      <c r="P259" s="7" t="n">
        <v>458301.8</v>
      </c>
      <c r="Q259" s="7" t="n">
        <v>396612.1</v>
      </c>
      <c r="R259" s="7" t="n">
        <v>301489.6</v>
      </c>
      <c r="S259" s="7" t="n">
        <v>348581.5</v>
      </c>
      <c r="T259" s="7" t="n">
        <v>344801.4</v>
      </c>
      <c r="U259" s="7" t="n">
        <v>397264.9</v>
      </c>
      <c r="V259" s="7" t="n">
        <v>368140.9</v>
      </c>
      <c r="W259" s="7" t="n">
        <v>377452</v>
      </c>
      <c r="X259" s="7" t="n">
        <v>498545</v>
      </c>
      <c r="Y259" s="7" t="n">
        <v>342750</v>
      </c>
      <c r="Z259" s="7" t="n">
        <v>286462.1</v>
      </c>
      <c r="AA259" s="8" t="n">
        <v>4368999.1</v>
      </c>
      <c r="AB259" s="8" t="n">
        <v>4407551.2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100289.2</v>
      </c>
      <c r="D260" s="7" t="n">
        <v>59388.4</v>
      </c>
      <c r="E260" s="7" t="n">
        <v>102053.3</v>
      </c>
      <c r="F260" s="7" t="n">
        <v>43185.7</v>
      </c>
      <c r="G260" s="7" t="n">
        <v>96465.60000000001</v>
      </c>
      <c r="H260" s="7" t="n">
        <v>103677.9</v>
      </c>
      <c r="I260" s="7" t="n">
        <v>91091.39999999999</v>
      </c>
      <c r="J260" s="7" t="n">
        <v>96693.39999999999</v>
      </c>
      <c r="K260" s="7" t="n">
        <v>82681</v>
      </c>
      <c r="L260" s="7" t="n">
        <v>129480.8</v>
      </c>
      <c r="M260" s="7" t="n">
        <v>99629.89999999999</v>
      </c>
      <c r="N260" s="7" t="n">
        <v>105026.4</v>
      </c>
      <c r="O260" s="7" t="n">
        <v>105297</v>
      </c>
      <c r="P260" s="7" t="n">
        <v>114575.4</v>
      </c>
      <c r="Q260" s="7" t="n">
        <v>80566.5</v>
      </c>
      <c r="R260" s="7" t="n">
        <v>75372.39999999999</v>
      </c>
      <c r="S260" s="7" t="n">
        <v>100180.5</v>
      </c>
      <c r="T260" s="7" t="n">
        <v>86200.39999999999</v>
      </c>
      <c r="U260" s="7" t="n">
        <v>82085.8</v>
      </c>
      <c r="V260" s="7" t="n">
        <v>92035.2</v>
      </c>
      <c r="W260" s="7" t="n">
        <v>82590.7</v>
      </c>
      <c r="X260" s="7" t="n">
        <v>124636.2</v>
      </c>
      <c r="Y260" s="7" t="n">
        <v>102143.5</v>
      </c>
      <c r="Z260" s="7" t="n">
        <v>71615.5</v>
      </c>
      <c r="AA260" s="7" t="n">
        <v>1125074.4</v>
      </c>
      <c r="AB260" s="7" t="n">
        <v>1101887.7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227378</v>
      </c>
      <c r="D261" s="7" t="n">
        <v>178165.2</v>
      </c>
      <c r="E261" s="7" t="n">
        <v>286822.7</v>
      </c>
      <c r="F261" s="7" t="n">
        <v>129557.2</v>
      </c>
      <c r="G261" s="7" t="n">
        <v>399339.8</v>
      </c>
      <c r="H261" s="7" t="n">
        <v>311033.7</v>
      </c>
      <c r="I261" s="7" t="n">
        <v>265710.5</v>
      </c>
      <c r="J261" s="7" t="n">
        <v>290080</v>
      </c>
      <c r="K261" s="7" t="n">
        <v>361996.2</v>
      </c>
      <c r="L261" s="7" t="n">
        <v>388442.4</v>
      </c>
      <c r="M261" s="7" t="n">
        <v>300932.5</v>
      </c>
      <c r="N261" s="7" t="n">
        <v>315079.3</v>
      </c>
      <c r="O261" s="7" t="n">
        <v>294994.1</v>
      </c>
      <c r="P261" s="7" t="n">
        <v>343726.4</v>
      </c>
      <c r="Q261" s="7" t="n">
        <v>394145.5</v>
      </c>
      <c r="R261" s="7" t="n">
        <v>226117.2</v>
      </c>
      <c r="S261" s="7" t="n">
        <v>401216.6</v>
      </c>
      <c r="T261" s="7" t="n">
        <v>258601</v>
      </c>
      <c r="U261" s="7" t="n">
        <v>319630.4</v>
      </c>
      <c r="V261" s="7" t="n">
        <v>276105.7</v>
      </c>
      <c r="W261" s="7" t="n">
        <v>349811.3</v>
      </c>
      <c r="X261" s="7" t="n">
        <v>373908.8</v>
      </c>
      <c r="Y261" s="7" t="n">
        <v>245222.5</v>
      </c>
      <c r="Z261" s="7" t="n">
        <v>214846.6</v>
      </c>
      <c r="AA261" s="8" t="n">
        <v>3847200.1</v>
      </c>
      <c r="AB261" s="8" t="n">
        <v>3305663.5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17282.3</v>
      </c>
      <c r="E262" s="7" t="n">
        <v>0</v>
      </c>
      <c r="F262" s="7" t="n">
        <v>34823.2</v>
      </c>
      <c r="G262" s="7" t="n">
        <v>0</v>
      </c>
      <c r="H262" s="7" t="n">
        <v>4869.8</v>
      </c>
      <c r="I262" s="7" t="n">
        <v>0</v>
      </c>
      <c r="J262" s="7" t="n">
        <v>44530.6</v>
      </c>
      <c r="K262" s="7" t="n">
        <v>0</v>
      </c>
      <c r="L262" s="7" t="n">
        <v>51238.2</v>
      </c>
      <c r="M262" s="7" t="n">
        <v>0</v>
      </c>
      <c r="N262" s="7" t="n">
        <v>62843.4</v>
      </c>
      <c r="O262" s="7" t="n">
        <v>0</v>
      </c>
      <c r="P262" s="7" t="n">
        <v>33728.8</v>
      </c>
      <c r="Q262" s="7" t="n">
        <v>0</v>
      </c>
      <c r="R262" s="7" t="n">
        <v>33943</v>
      </c>
      <c r="S262" s="7" t="n">
        <v>0</v>
      </c>
      <c r="T262" s="7" t="n">
        <v>9099.9</v>
      </c>
      <c r="U262" s="7" t="n">
        <v>0</v>
      </c>
      <c r="V262" s="7" t="n">
        <v>46397.8</v>
      </c>
      <c r="W262" s="7" t="n">
        <v>0</v>
      </c>
      <c r="X262" s="7" t="n">
        <v>42323.8</v>
      </c>
      <c r="Y262" s="7" t="n">
        <v>0</v>
      </c>
      <c r="Z262" s="7" t="n">
        <v>24848.9</v>
      </c>
      <c r="AA262" s="7" t="n">
        <v>0</v>
      </c>
      <c r="AB262" s="7" t="n">
        <v>405929.7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227378</v>
      </c>
      <c r="D263" s="7" t="n">
        <v>160882.9</v>
      </c>
      <c r="E263" s="7" t="n">
        <v>286822.7</v>
      </c>
      <c r="F263" s="7" t="n">
        <v>94734</v>
      </c>
      <c r="G263" s="7" t="n">
        <v>399339.8</v>
      </c>
      <c r="H263" s="7" t="n">
        <v>306163.9</v>
      </c>
      <c r="I263" s="7" t="n">
        <v>265710.5</v>
      </c>
      <c r="J263" s="7" t="n">
        <v>245549.4</v>
      </c>
      <c r="K263" s="7" t="n">
        <v>361996.2</v>
      </c>
      <c r="L263" s="7" t="n">
        <v>337204.2</v>
      </c>
      <c r="M263" s="7" t="n">
        <v>300932.5</v>
      </c>
      <c r="N263" s="7" t="n">
        <v>252235.9</v>
      </c>
      <c r="O263" s="7" t="n">
        <v>294994.1</v>
      </c>
      <c r="P263" s="7" t="n">
        <v>309997.6</v>
      </c>
      <c r="Q263" s="7" t="n">
        <v>394145.5</v>
      </c>
      <c r="R263" s="7" t="n">
        <v>192174.2</v>
      </c>
      <c r="S263" s="7" t="n">
        <v>401216.6</v>
      </c>
      <c r="T263" s="7" t="n">
        <v>249501.1</v>
      </c>
      <c r="U263" s="7" t="n">
        <v>319630.4</v>
      </c>
      <c r="V263" s="7" t="n">
        <v>229707.9</v>
      </c>
      <c r="W263" s="7" t="n">
        <v>349811.3</v>
      </c>
      <c r="X263" s="7" t="n">
        <v>331585</v>
      </c>
      <c r="Y263" s="7" t="n">
        <v>245222.5</v>
      </c>
      <c r="Z263" s="7" t="n">
        <v>189997.7</v>
      </c>
      <c r="AA263" s="8" t="n">
        <v>3847200.1</v>
      </c>
      <c r="AB263" s="8" t="n">
        <v>2899733.8</v>
      </c>
    </row>
    <row r="264">
      <c r="A264" s="4" t="inlineStr">
        <is>
          <t>净利率</t>
        </is>
      </c>
      <c r="D264" s="13" t="n">
        <v>7.9</v>
      </c>
      <c r="F264" s="13" t="n">
        <v>5.3</v>
      </c>
      <c r="H264" s="13" t="n">
        <v>10.3</v>
      </c>
      <c r="J264" s="13" t="n">
        <v>7.4</v>
      </c>
      <c r="L264" s="13" t="n">
        <v>9.5</v>
      </c>
      <c r="N264" s="13" t="n">
        <v>7.1</v>
      </c>
      <c r="P264" s="13" t="n">
        <v>6.7</v>
      </c>
      <c r="R264" s="13" t="n">
        <v>5.9</v>
      </c>
      <c r="T264" s="13" t="n">
        <v>7</v>
      </c>
      <c r="V264" s="13" t="n">
        <v>5.8</v>
      </c>
      <c r="X264" s="13" t="n">
        <v>10.3</v>
      </c>
      <c r="Z264" s="13" t="n">
        <v>7.7</v>
      </c>
    </row>
    <row r="265">
      <c r="A265" s="4" t="inlineStr">
        <is>
          <t>销售达成率</t>
        </is>
      </c>
      <c r="D265" s="13" t="n">
        <v>69.59999999999999</v>
      </c>
      <c r="F265" s="13" t="n">
        <v>68</v>
      </c>
      <c r="H265" s="13" t="n">
        <v>85.5</v>
      </c>
      <c r="J265" s="13" t="n">
        <v>95.2</v>
      </c>
      <c r="L265" s="13" t="n">
        <v>119.2</v>
      </c>
      <c r="N265" s="13" t="n">
        <v>131.5</v>
      </c>
      <c r="P265" s="13" t="n">
        <v>139.8</v>
      </c>
      <c r="R265" s="13" t="n">
        <v>105.9</v>
      </c>
      <c r="T265" s="13" t="n">
        <v>107.1</v>
      </c>
      <c r="V265" s="13" t="n">
        <v>139.5</v>
      </c>
      <c r="X265" s="13" t="n">
        <v>87</v>
      </c>
      <c r="Z265" s="13" t="n">
        <v>76.5</v>
      </c>
    </row>
    <row r="266">
      <c r="A266" s="4" t="inlineStr">
        <is>
          <t>净利达成率</t>
        </is>
      </c>
      <c r="D266" s="13" t="n">
        <v>78.40000000000001</v>
      </c>
      <c r="F266" s="13" t="n">
        <v>45.2</v>
      </c>
      <c r="H266" s="13" t="n">
        <v>77.90000000000001</v>
      </c>
      <c r="J266" s="13" t="n">
        <v>109.2</v>
      </c>
      <c r="L266" s="13" t="n">
        <v>107.3</v>
      </c>
      <c r="N266" s="13" t="n">
        <v>104.7</v>
      </c>
      <c r="P266" s="13" t="n">
        <v>116.5</v>
      </c>
      <c r="R266" s="13" t="n">
        <v>57.4</v>
      </c>
      <c r="T266" s="13" t="n">
        <v>64.5</v>
      </c>
      <c r="V266" s="13" t="n">
        <v>86.40000000000001</v>
      </c>
      <c r="X266" s="13" t="n">
        <v>106.9</v>
      </c>
      <c r="Z266" s="13" t="n">
        <v>87.59999999999999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浙江分部利润表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3525783</v>
      </c>
      <c r="D6" s="7" t="n">
        <v>2267036.2</v>
      </c>
      <c r="E6" s="7" t="n">
        <v>3982159.1</v>
      </c>
      <c r="F6" s="7" t="n">
        <v>2780994.4</v>
      </c>
      <c r="G6" s="7" t="n">
        <v>3870029.8</v>
      </c>
      <c r="H6" s="7" t="n">
        <v>3276298.4</v>
      </c>
      <c r="I6" s="7" t="n">
        <v>3202162.7</v>
      </c>
      <c r="J6" s="7" t="n">
        <v>3895812.8</v>
      </c>
      <c r="K6" s="7" t="n">
        <v>3111637.2</v>
      </c>
      <c r="L6" s="7" t="n">
        <v>4538798.2</v>
      </c>
      <c r="M6" s="7" t="n">
        <v>3570851.6</v>
      </c>
      <c r="N6" s="7" t="n">
        <v>3786413.9</v>
      </c>
      <c r="O6" s="7" t="n">
        <v>3696131.4</v>
      </c>
      <c r="P6" s="7" t="n">
        <v>4135054.9</v>
      </c>
      <c r="Q6" s="7" t="n">
        <v>3378634.1</v>
      </c>
      <c r="R6" s="7" t="n">
        <v>4217986.8</v>
      </c>
      <c r="S6" s="7" t="n">
        <v>3893913.8</v>
      </c>
      <c r="T6" s="7" t="n">
        <v>3313696.3</v>
      </c>
      <c r="U6" s="7" t="n">
        <v>3822166.7</v>
      </c>
      <c r="V6" s="7" t="n">
        <v>4325121.4</v>
      </c>
      <c r="W6" s="7" t="n">
        <v>3738629.1</v>
      </c>
      <c r="X6" s="7" t="n">
        <v>3157965.2</v>
      </c>
      <c r="Y6" s="7" t="n">
        <v>3260755.8</v>
      </c>
      <c r="Z6" s="7" t="n">
        <v>2310380.9</v>
      </c>
      <c r="AA6" s="8" t="n">
        <v>43052854.3</v>
      </c>
      <c r="AB6" s="8" t="n">
        <v>42005559.4</v>
      </c>
    </row>
    <row r="7">
      <c r="A7" s="4" t="inlineStr">
        <is>
          <t>中式汤底</t>
        </is>
      </c>
      <c r="D7" s="7" t="n">
        <v>392870.6</v>
      </c>
      <c r="F7" s="7" t="n">
        <v>502664</v>
      </c>
      <c r="H7" s="7" t="n">
        <v>590992.8</v>
      </c>
      <c r="J7" s="7" t="n">
        <v>757376.1</v>
      </c>
      <c r="L7" s="7" t="n">
        <v>877694.3</v>
      </c>
      <c r="N7" s="7" t="n">
        <v>608706.5</v>
      </c>
      <c r="P7" s="7" t="n">
        <v>898042</v>
      </c>
      <c r="R7" s="7" t="n">
        <v>530777.6</v>
      </c>
      <c r="T7" s="7" t="n">
        <v>529905</v>
      </c>
      <c r="V7" s="7" t="n">
        <v>803834.3</v>
      </c>
      <c r="X7" s="7" t="n">
        <v>590822.2</v>
      </c>
      <c r="Z7" s="7" t="n">
        <v>551687.7</v>
      </c>
      <c r="AB7" s="7" t="n">
        <v>7635373.1</v>
      </c>
    </row>
    <row r="8">
      <c r="A8" s="4" t="inlineStr">
        <is>
          <t>酱料</t>
        </is>
      </c>
      <c r="D8" s="7" t="n">
        <v>245912.2</v>
      </c>
      <c r="F8" s="7" t="n">
        <v>375293.8</v>
      </c>
      <c r="H8" s="7" t="n">
        <v>389207.7</v>
      </c>
      <c r="J8" s="7" t="n">
        <v>361400.1</v>
      </c>
      <c r="L8" s="7" t="n">
        <v>694573.8</v>
      </c>
      <c r="N8" s="7" t="n">
        <v>433931.3</v>
      </c>
      <c r="P8" s="7" t="n">
        <v>542862.1</v>
      </c>
      <c r="R8" s="7" t="n">
        <v>656850.6</v>
      </c>
      <c r="T8" s="7" t="n">
        <v>448011.8</v>
      </c>
      <c r="V8" s="7" t="n">
        <v>700074.3</v>
      </c>
      <c r="X8" s="7" t="n">
        <v>466768.9</v>
      </c>
      <c r="Z8" s="7" t="n">
        <v>371677.5</v>
      </c>
      <c r="AB8" s="7" t="n">
        <v>5686564.1</v>
      </c>
    </row>
    <row r="9">
      <c r="A9" s="4" t="inlineStr">
        <is>
          <t>川味底料</t>
        </is>
      </c>
      <c r="D9" s="7" t="n">
        <v>285854.5</v>
      </c>
      <c r="F9" s="7" t="n">
        <v>478982.4</v>
      </c>
      <c r="H9" s="7" t="n">
        <v>374980.9</v>
      </c>
      <c r="J9" s="7" t="n">
        <v>558916.7</v>
      </c>
      <c r="L9" s="7" t="n">
        <v>633256</v>
      </c>
      <c r="N9" s="7" t="n">
        <v>534357.4</v>
      </c>
      <c r="P9" s="7" t="n">
        <v>604398.3</v>
      </c>
      <c r="R9" s="7" t="n">
        <v>740678</v>
      </c>
      <c r="T9" s="7" t="n">
        <v>409128.8</v>
      </c>
      <c r="V9" s="7" t="n">
        <v>562857.3</v>
      </c>
      <c r="X9" s="7" t="n">
        <v>566754.1</v>
      </c>
      <c r="Z9" s="7" t="n">
        <v>324983.8</v>
      </c>
      <c r="AB9" s="7" t="n">
        <v>6075148.2</v>
      </c>
    </row>
    <row r="10">
      <c r="A10" s="4" t="inlineStr">
        <is>
          <t>调味汁</t>
        </is>
      </c>
      <c r="D10" s="7" t="n">
        <v>226998.3</v>
      </c>
      <c r="F10" s="7" t="n">
        <v>206288.5</v>
      </c>
      <c r="H10" s="7" t="n">
        <v>442205.8</v>
      </c>
      <c r="J10" s="7" t="n">
        <v>474887.4</v>
      </c>
      <c r="L10" s="7" t="n">
        <v>343183.2</v>
      </c>
      <c r="N10" s="7" t="n">
        <v>419989</v>
      </c>
      <c r="P10" s="7" t="n">
        <v>605485.4</v>
      </c>
      <c r="R10" s="7" t="n">
        <v>539167.6</v>
      </c>
      <c r="T10" s="7" t="n">
        <v>336054.9</v>
      </c>
      <c r="V10" s="7" t="n">
        <v>554351.9</v>
      </c>
      <c r="X10" s="7" t="n">
        <v>335946.5</v>
      </c>
      <c r="Z10" s="7" t="n">
        <v>219462.3</v>
      </c>
      <c r="AB10" s="7" t="n">
        <v>4704020.8</v>
      </c>
    </row>
    <row r="11">
      <c r="A11" s="4" t="inlineStr">
        <is>
          <t>复合调味粉</t>
        </is>
      </c>
      <c r="D11" s="7" t="n">
        <v>437999.3</v>
      </c>
      <c r="F11" s="7" t="n">
        <v>488395.2</v>
      </c>
      <c r="H11" s="7" t="n">
        <v>583525.5</v>
      </c>
      <c r="J11" s="7" t="n">
        <v>714536</v>
      </c>
      <c r="L11" s="7" t="n">
        <v>760975.7</v>
      </c>
      <c r="N11" s="7" t="n">
        <v>585998.3</v>
      </c>
      <c r="P11" s="7" t="n">
        <v>564544.7</v>
      </c>
      <c r="R11" s="7" t="n">
        <v>758925.7</v>
      </c>
      <c r="T11" s="7" t="n">
        <v>675622.3</v>
      </c>
      <c r="V11" s="7" t="n">
        <v>601690</v>
      </c>
      <c r="X11" s="7" t="n">
        <v>427477</v>
      </c>
      <c r="Z11" s="7" t="n">
        <v>324263.2</v>
      </c>
      <c r="AB11" s="7" t="n">
        <v>6923952.9</v>
      </c>
    </row>
    <row r="12">
      <c r="A12" s="4" t="inlineStr">
        <is>
          <t>团餐</t>
        </is>
      </c>
      <c r="D12" s="7" t="n">
        <v>435988</v>
      </c>
      <c r="F12" s="7" t="n">
        <v>431073.6</v>
      </c>
      <c r="H12" s="7" t="n">
        <v>658353.3</v>
      </c>
      <c r="J12" s="7" t="n">
        <v>717229</v>
      </c>
      <c r="L12" s="7" t="n">
        <v>800627</v>
      </c>
      <c r="N12" s="7" t="n">
        <v>870196.3</v>
      </c>
      <c r="P12" s="7" t="n">
        <v>564542.2</v>
      </c>
      <c r="R12" s="7" t="n">
        <v>710018.6</v>
      </c>
      <c r="T12" s="7" t="n">
        <v>603806.2</v>
      </c>
      <c r="V12" s="7" t="n">
        <v>634240.1</v>
      </c>
      <c r="X12" s="7" t="n">
        <v>435687.2</v>
      </c>
      <c r="Z12" s="7" t="n">
        <v>278543.7</v>
      </c>
      <c r="AB12" s="7" t="n">
        <v>7140305.2</v>
      </c>
    </row>
    <row r="13">
      <c r="A13" s="4" t="inlineStr">
        <is>
          <t>预制菜</t>
        </is>
      </c>
      <c r="D13" s="7" t="n">
        <v>263590.5</v>
      </c>
      <c r="F13" s="7" t="n">
        <v>299565.4</v>
      </c>
      <c r="H13" s="7" t="n">
        <v>259239.1</v>
      </c>
      <c r="J13" s="7" t="n">
        <v>348656.5</v>
      </c>
      <c r="L13" s="7" t="n">
        <v>516195</v>
      </c>
      <c r="N13" s="7" t="n">
        <v>410036.7</v>
      </c>
      <c r="P13" s="7" t="n">
        <v>476930.3</v>
      </c>
      <c r="R13" s="7" t="n">
        <v>374671.2</v>
      </c>
      <c r="T13" s="7" t="n">
        <v>369677</v>
      </c>
      <c r="V13" s="7" t="n">
        <v>515410.4</v>
      </c>
      <c r="X13" s="7" t="n">
        <v>373601.9</v>
      </c>
      <c r="Z13" s="7" t="n">
        <v>279560.9</v>
      </c>
      <c r="AB13" s="7" t="n">
        <v>4487134.9</v>
      </c>
    </row>
    <row r="14">
      <c r="A14" s="4" t="inlineStr">
        <is>
          <t>返利</t>
        </is>
      </c>
      <c r="D14" s="7" t="n">
        <v>-44615.8</v>
      </c>
      <c r="F14" s="7" t="n">
        <v>-45170.7</v>
      </c>
      <c r="H14" s="7" t="n">
        <v>-67420.5</v>
      </c>
      <c r="J14" s="7" t="n">
        <v>-81073.8</v>
      </c>
      <c r="L14" s="7" t="n">
        <v>-127995.6</v>
      </c>
      <c r="N14" s="7" t="n">
        <v>-103703.5</v>
      </c>
      <c r="P14" s="7" t="n">
        <v>-123903.7</v>
      </c>
      <c r="R14" s="7" t="n">
        <v>-124632.7</v>
      </c>
      <c r="T14" s="7" t="n">
        <v>-89943.8</v>
      </c>
      <c r="V14" s="7" t="n">
        <v>-105931.3</v>
      </c>
      <c r="X14" s="7" t="n">
        <v>-85673.2</v>
      </c>
      <c r="Z14" s="7" t="n">
        <v>-49846.6</v>
      </c>
      <c r="AB14" s="7" t="n">
        <v>-1049911.2</v>
      </c>
    </row>
    <row r="15">
      <c r="A15" s="4" t="inlineStr">
        <is>
          <t>其他</t>
        </is>
      </c>
      <c r="D15" s="7" t="n">
        <v>22438.6</v>
      </c>
      <c r="F15" s="7" t="n">
        <v>43902.2</v>
      </c>
      <c r="H15" s="7" t="n">
        <v>45213.8</v>
      </c>
      <c r="J15" s="7" t="n">
        <v>43884.8</v>
      </c>
      <c r="L15" s="7" t="n">
        <v>40288.8</v>
      </c>
      <c r="N15" s="7" t="n">
        <v>26901.9</v>
      </c>
      <c r="P15" s="7" t="n">
        <v>2153.6</v>
      </c>
      <c r="R15" s="7" t="n">
        <v>31530.2</v>
      </c>
      <c r="T15" s="7" t="n">
        <v>31434.1</v>
      </c>
      <c r="V15" s="7" t="n">
        <v>58594.4</v>
      </c>
      <c r="X15" s="7" t="n">
        <v>46580.6</v>
      </c>
      <c r="Z15" s="7" t="n">
        <v>10048.4</v>
      </c>
      <c r="AB15" s="7" t="n">
        <v>402971.4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2285327.6</v>
      </c>
      <c r="D16" s="7" t="n">
        <v>1540419</v>
      </c>
      <c r="E16" s="7" t="n">
        <v>2203178.7</v>
      </c>
      <c r="F16" s="7" t="n">
        <v>1909209.6</v>
      </c>
      <c r="G16" s="7" t="n">
        <v>2679772.8</v>
      </c>
      <c r="H16" s="7" t="n">
        <v>2265448.5</v>
      </c>
      <c r="I16" s="7" t="n">
        <v>2455115.6</v>
      </c>
      <c r="J16" s="7" t="n">
        <v>2633262.7</v>
      </c>
      <c r="K16" s="7" t="n">
        <v>2046004.7</v>
      </c>
      <c r="L16" s="7" t="n">
        <v>3054060.3</v>
      </c>
      <c r="M16" s="7" t="n">
        <v>2218302.2</v>
      </c>
      <c r="N16" s="7" t="n">
        <v>2626870.3</v>
      </c>
      <c r="O16" s="7" t="n">
        <v>2363737.1</v>
      </c>
      <c r="P16" s="7" t="n">
        <v>2798148.2</v>
      </c>
      <c r="Q16" s="7" t="n">
        <v>2053419.2</v>
      </c>
      <c r="R16" s="7" t="n">
        <v>2907324.2</v>
      </c>
      <c r="S16" s="7" t="n">
        <v>2518436.1</v>
      </c>
      <c r="T16" s="7" t="n">
        <v>2267785.7</v>
      </c>
      <c r="U16" s="7" t="n">
        <v>2202663.1</v>
      </c>
      <c r="V16" s="7" t="n">
        <v>2871303.4</v>
      </c>
      <c r="W16" s="7" t="n">
        <v>2468315.8</v>
      </c>
      <c r="X16" s="7" t="n">
        <v>2130109.6</v>
      </c>
      <c r="Y16" s="7" t="n">
        <v>2715154.4</v>
      </c>
      <c r="Z16" s="7" t="n">
        <v>1543020.7</v>
      </c>
      <c r="AA16" s="8" t="n">
        <v>28209427.3</v>
      </c>
      <c r="AB16" s="8" t="n">
        <v>28546962.2</v>
      </c>
    </row>
    <row r="17">
      <c r="A17" s="4" t="inlineStr">
        <is>
          <t>中式汤底</t>
        </is>
      </c>
      <c r="D17" s="7" t="n">
        <v>238622.8</v>
      </c>
      <c r="F17" s="7" t="n">
        <v>305309.4</v>
      </c>
      <c r="H17" s="7" t="n">
        <v>358958.8</v>
      </c>
      <c r="J17" s="7" t="n">
        <v>460017.2</v>
      </c>
      <c r="L17" s="7" t="n">
        <v>533096.4</v>
      </c>
      <c r="N17" s="7" t="n">
        <v>369717.8</v>
      </c>
      <c r="P17" s="7" t="n">
        <v>545455.2</v>
      </c>
      <c r="R17" s="7" t="n">
        <v>322385.2</v>
      </c>
      <c r="T17" s="7" t="n">
        <v>321855.2</v>
      </c>
      <c r="V17" s="7" t="n">
        <v>488235.1</v>
      </c>
      <c r="X17" s="7" t="n">
        <v>358855.2</v>
      </c>
      <c r="Z17" s="7" t="n">
        <v>335085.6</v>
      </c>
      <c r="AB17" s="7" t="n">
        <v>4637593.9</v>
      </c>
    </row>
    <row r="18">
      <c r="A18" s="4" t="inlineStr">
        <is>
          <t>酱料</t>
        </is>
      </c>
      <c r="D18" s="7" t="n">
        <v>156394.7</v>
      </c>
      <c r="F18" s="7" t="n">
        <v>238678.5</v>
      </c>
      <c r="H18" s="7" t="n">
        <v>247527.4</v>
      </c>
      <c r="J18" s="7" t="n">
        <v>229842.4</v>
      </c>
      <c r="L18" s="7" t="n">
        <v>441733.4</v>
      </c>
      <c r="N18" s="7" t="n">
        <v>275970.6</v>
      </c>
      <c r="P18" s="7" t="n">
        <v>345248.2</v>
      </c>
      <c r="R18" s="7" t="n">
        <v>417742.3</v>
      </c>
      <c r="T18" s="7" t="n">
        <v>284925.5</v>
      </c>
      <c r="V18" s="7" t="n">
        <v>445231.6</v>
      </c>
      <c r="X18" s="7" t="n">
        <v>296854.6</v>
      </c>
      <c r="Z18" s="7" t="n">
        <v>236378.6</v>
      </c>
      <c r="AB18" s="7" t="n">
        <v>3616527.8</v>
      </c>
    </row>
    <row r="19">
      <c r="A19" s="4" t="inlineStr">
        <is>
          <t>川味底料</t>
        </is>
      </c>
      <c r="D19" s="7" t="n">
        <v>190378.2</v>
      </c>
      <c r="F19" s="7" t="n">
        <v>319000.8</v>
      </c>
      <c r="H19" s="7" t="n">
        <v>249736.1</v>
      </c>
      <c r="J19" s="7" t="n">
        <v>372236.8</v>
      </c>
      <c r="L19" s="7" t="n">
        <v>421746.6</v>
      </c>
      <c r="N19" s="7" t="n">
        <v>355880.4</v>
      </c>
      <c r="P19" s="7" t="n">
        <v>402527.4</v>
      </c>
      <c r="R19" s="7" t="n">
        <v>493289.3</v>
      </c>
      <c r="T19" s="7" t="n">
        <v>272478.5</v>
      </c>
      <c r="V19" s="7" t="n">
        <v>374861.2</v>
      </c>
      <c r="X19" s="7" t="n">
        <v>377456.5</v>
      </c>
      <c r="Z19" s="7" t="n">
        <v>216438.2</v>
      </c>
      <c r="AB19" s="7" t="n">
        <v>4046030</v>
      </c>
    </row>
    <row r="20">
      <c r="A20" s="4" t="inlineStr">
        <is>
          <t>调味汁</t>
        </is>
      </c>
      <c r="D20" s="7" t="n">
        <v>154572.5</v>
      </c>
      <c r="F20" s="7" t="n">
        <v>140470.3</v>
      </c>
      <c r="H20" s="7" t="n">
        <v>301116.1</v>
      </c>
      <c r="J20" s="7" t="n">
        <v>323370.4</v>
      </c>
      <c r="L20" s="7" t="n">
        <v>233687.6</v>
      </c>
      <c r="N20" s="7" t="n">
        <v>285987.8</v>
      </c>
      <c r="P20" s="7" t="n">
        <v>412299.9</v>
      </c>
      <c r="R20" s="7" t="n">
        <v>367141.4</v>
      </c>
      <c r="T20" s="7" t="n">
        <v>228833.6</v>
      </c>
      <c r="V20" s="7" t="n">
        <v>377481</v>
      </c>
      <c r="X20" s="7" t="n">
        <v>228759.8</v>
      </c>
      <c r="Z20" s="7" t="n">
        <v>149440.9</v>
      </c>
      <c r="AB20" s="7" t="n">
        <v>3203161.3</v>
      </c>
    </row>
    <row r="21">
      <c r="A21" s="4" t="inlineStr">
        <is>
          <t>复合调味粉</t>
        </is>
      </c>
      <c r="D21" s="7" t="n">
        <v>281632.5</v>
      </c>
      <c r="F21" s="7" t="n">
        <v>314037</v>
      </c>
      <c r="H21" s="7" t="n">
        <v>375205.5</v>
      </c>
      <c r="J21" s="7" t="n">
        <v>459445</v>
      </c>
      <c r="L21" s="7" t="n">
        <v>489305.6</v>
      </c>
      <c r="N21" s="7" t="n">
        <v>376795.5</v>
      </c>
      <c r="P21" s="7" t="n">
        <v>363000.9</v>
      </c>
      <c r="R21" s="7" t="n">
        <v>487987.4</v>
      </c>
      <c r="T21" s="7" t="n">
        <v>434423.5</v>
      </c>
      <c r="V21" s="7" t="n">
        <v>386885.2</v>
      </c>
      <c r="X21" s="7" t="n">
        <v>274866.7</v>
      </c>
      <c r="Z21" s="7" t="n">
        <v>208500.5</v>
      </c>
      <c r="AB21" s="7" t="n">
        <v>4452085.3</v>
      </c>
    </row>
    <row r="22">
      <c r="A22" s="4" t="inlineStr">
        <is>
          <t>团餐</t>
        </is>
      </c>
      <c r="D22" s="7" t="n">
        <v>278348.7</v>
      </c>
      <c r="F22" s="7" t="n">
        <v>275211.2</v>
      </c>
      <c r="H22" s="7" t="n">
        <v>420313.8</v>
      </c>
      <c r="J22" s="7" t="n">
        <v>457901.9</v>
      </c>
      <c r="L22" s="7" t="n">
        <v>511145.9</v>
      </c>
      <c r="N22" s="7" t="n">
        <v>555561.1</v>
      </c>
      <c r="P22" s="7" t="n">
        <v>360421.8</v>
      </c>
      <c r="R22" s="7" t="n">
        <v>453298.6</v>
      </c>
      <c r="T22" s="7" t="n">
        <v>385489.2</v>
      </c>
      <c r="V22" s="7" t="n">
        <v>404919.2</v>
      </c>
      <c r="X22" s="7" t="n">
        <v>278156.6</v>
      </c>
      <c r="Z22" s="7" t="n">
        <v>177831.2</v>
      </c>
      <c r="AB22" s="7" t="n">
        <v>4558599.2</v>
      </c>
    </row>
    <row r="23">
      <c r="A23" s="4" t="inlineStr">
        <is>
          <t>预制菜</t>
        </is>
      </c>
      <c r="D23" s="7" t="n">
        <v>156240.7</v>
      </c>
      <c r="F23" s="7" t="n">
        <v>177564.5</v>
      </c>
      <c r="H23" s="7" t="n">
        <v>153661.5</v>
      </c>
      <c r="J23" s="7" t="n">
        <v>206662.8</v>
      </c>
      <c r="L23" s="7" t="n">
        <v>305969.6</v>
      </c>
      <c r="N23" s="7" t="n">
        <v>243045.3</v>
      </c>
      <c r="P23" s="7" t="n">
        <v>282695.8</v>
      </c>
      <c r="R23" s="7" t="n">
        <v>222082.7</v>
      </c>
      <c r="T23" s="7" t="n">
        <v>219122.4</v>
      </c>
      <c r="V23" s="7" t="n">
        <v>305504.5</v>
      </c>
      <c r="X23" s="7" t="n">
        <v>221448.9</v>
      </c>
      <c r="Z23" s="7" t="n">
        <v>165707</v>
      </c>
      <c r="AB23" s="7" t="n">
        <v>2659705.7</v>
      </c>
    </row>
    <row r="24">
      <c r="A24" s="4" t="inlineStr">
        <is>
          <t>其他</t>
        </is>
      </c>
      <c r="D24" s="7" t="n">
        <v>23978.4</v>
      </c>
      <c r="F24" s="7" t="n">
        <v>30561.5</v>
      </c>
      <c r="H24" s="7" t="n">
        <v>39079.1</v>
      </c>
      <c r="J24" s="7" t="n">
        <v>50050.6</v>
      </c>
      <c r="L24" s="7" t="n">
        <v>37133.8</v>
      </c>
      <c r="N24" s="7" t="n">
        <v>24151.8</v>
      </c>
      <c r="P24" s="7" t="n">
        <v>25676.5</v>
      </c>
      <c r="R24" s="7" t="n">
        <v>48365.2</v>
      </c>
      <c r="T24" s="7" t="n">
        <v>32232.1</v>
      </c>
      <c r="V24" s="7" t="n">
        <v>44943.5</v>
      </c>
      <c r="X24" s="7" t="n">
        <v>1555.5</v>
      </c>
      <c r="Z24" s="7" t="n">
        <v>859</v>
      </c>
      <c r="AB24" s="7" t="n">
        <v>358587</v>
      </c>
    </row>
    <row r="25">
      <c r="A25" s="4" t="inlineStr">
        <is>
          <t>运费</t>
        </is>
      </c>
      <c r="D25" s="7" t="n">
        <v>84228.89999999999</v>
      </c>
      <c r="F25" s="7" t="n">
        <v>138937.9</v>
      </c>
      <c r="H25" s="7" t="n">
        <v>158929.3</v>
      </c>
      <c r="J25" s="7" t="n">
        <v>123786.2</v>
      </c>
      <c r="L25" s="7" t="n">
        <v>117375.2</v>
      </c>
      <c r="N25" s="7" t="n">
        <v>163911.8</v>
      </c>
      <c r="P25" s="7" t="n">
        <v>86499</v>
      </c>
      <c r="R25" s="7" t="n">
        <v>143397.3</v>
      </c>
      <c r="T25" s="7" t="n">
        <v>120657.8</v>
      </c>
      <c r="V25" s="7" t="n">
        <v>88185.60000000001</v>
      </c>
      <c r="X25" s="7" t="n">
        <v>93711.3</v>
      </c>
      <c r="Z25" s="7" t="n">
        <v>53638.7</v>
      </c>
      <c r="AB25" s="7" t="n">
        <v>1373259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1240455.4</v>
      </c>
      <c r="D26" s="7" t="n">
        <v>726617.2</v>
      </c>
      <c r="E26" s="7" t="n">
        <v>1778980.4</v>
      </c>
      <c r="F26" s="7" t="n">
        <v>871784.8</v>
      </c>
      <c r="G26" s="7" t="n">
        <v>1190257</v>
      </c>
      <c r="H26" s="7" t="n">
        <v>1010849.9</v>
      </c>
      <c r="I26" s="7" t="n">
        <v>747047.1</v>
      </c>
      <c r="J26" s="7" t="n">
        <v>1262550.1</v>
      </c>
      <c r="K26" s="7" t="n">
        <v>1065632.5</v>
      </c>
      <c r="L26" s="7" t="n">
        <v>1484737.9</v>
      </c>
      <c r="M26" s="7" t="n">
        <v>1352549.4</v>
      </c>
      <c r="N26" s="7" t="n">
        <v>1159543.6</v>
      </c>
      <c r="O26" s="7" t="n">
        <v>1332394.3</v>
      </c>
      <c r="P26" s="7" t="n">
        <v>1336906.7</v>
      </c>
      <c r="Q26" s="7" t="n">
        <v>1325214.9</v>
      </c>
      <c r="R26" s="7" t="n">
        <v>1310662.6</v>
      </c>
      <c r="S26" s="7" t="n">
        <v>1375477.7</v>
      </c>
      <c r="T26" s="7" t="n">
        <v>1045910.6</v>
      </c>
      <c r="U26" s="7" t="n">
        <v>1619503.6</v>
      </c>
      <c r="V26" s="7" t="n">
        <v>1453818</v>
      </c>
      <c r="W26" s="7" t="n">
        <v>1270313.3</v>
      </c>
      <c r="X26" s="7" t="n">
        <v>1027855.6</v>
      </c>
      <c r="Y26" s="7" t="n">
        <v>545601.4</v>
      </c>
      <c r="Z26" s="7" t="n">
        <v>767360.2</v>
      </c>
      <c r="AA26" s="8" t="n">
        <v>14843427</v>
      </c>
      <c r="AB26" s="8" t="n">
        <v>13458597.2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35.2</v>
      </c>
      <c r="D27" s="13" t="n">
        <v>32.1</v>
      </c>
      <c r="E27" s="13" t="n">
        <v>44.7</v>
      </c>
      <c r="F27" s="13" t="n">
        <v>31.3</v>
      </c>
      <c r="G27" s="13" t="n">
        <v>30.8</v>
      </c>
      <c r="H27" s="13" t="n">
        <v>30.9</v>
      </c>
      <c r="I27" s="13" t="n">
        <v>23.3</v>
      </c>
      <c r="J27" s="13" t="n">
        <v>32.4</v>
      </c>
      <c r="K27" s="13" t="n">
        <v>34.2</v>
      </c>
      <c r="L27" s="13" t="n">
        <v>32.7</v>
      </c>
      <c r="M27" s="13" t="n">
        <v>37.9</v>
      </c>
      <c r="N27" s="13" t="n">
        <v>30.6</v>
      </c>
      <c r="O27" s="13" t="n">
        <v>36</v>
      </c>
      <c r="P27" s="13" t="n">
        <v>32.3</v>
      </c>
      <c r="Q27" s="13" t="n">
        <v>39.2</v>
      </c>
      <c r="R27" s="13" t="n">
        <v>31.1</v>
      </c>
      <c r="S27" s="13" t="n">
        <v>35.3</v>
      </c>
      <c r="T27" s="13" t="n">
        <v>31.6</v>
      </c>
      <c r="U27" s="13" t="n">
        <v>42.4</v>
      </c>
      <c r="V27" s="13" t="n">
        <v>33.6</v>
      </c>
      <c r="W27" s="13" t="n">
        <v>34</v>
      </c>
      <c r="X27" s="13" t="n">
        <v>32.5</v>
      </c>
      <c r="Y27" s="13" t="n">
        <v>16.7</v>
      </c>
      <c r="Z27" s="13" t="n">
        <v>33.2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37335.3</v>
      </c>
      <c r="D28" s="7" t="n">
        <v>31608.5</v>
      </c>
      <c r="E28" s="7" t="n">
        <v>29615.1</v>
      </c>
      <c r="F28" s="7" t="n">
        <v>18165.2</v>
      </c>
      <c r="G28" s="7" t="n">
        <v>33721.8</v>
      </c>
      <c r="H28" s="7" t="n">
        <v>40501.5</v>
      </c>
      <c r="I28" s="7" t="n">
        <v>27878.7</v>
      </c>
      <c r="J28" s="7" t="n">
        <v>53408.2</v>
      </c>
      <c r="K28" s="7" t="n">
        <v>35905.8</v>
      </c>
      <c r="L28" s="7" t="n">
        <v>28669.2</v>
      </c>
      <c r="M28" s="7" t="n">
        <v>36013</v>
      </c>
      <c r="N28" s="7" t="n">
        <v>34818.8</v>
      </c>
      <c r="O28" s="7" t="n">
        <v>30811.4</v>
      </c>
      <c r="P28" s="7" t="n">
        <v>55649.7</v>
      </c>
      <c r="Q28" s="7" t="n">
        <v>34654.1</v>
      </c>
      <c r="R28" s="7" t="n">
        <v>23454</v>
      </c>
      <c r="S28" s="7" t="n">
        <v>36575.4</v>
      </c>
      <c r="T28" s="7" t="n">
        <v>37692.6</v>
      </c>
      <c r="U28" s="7" t="n">
        <v>33456.2</v>
      </c>
      <c r="V28" s="7" t="n">
        <v>24321.3</v>
      </c>
      <c r="W28" s="7" t="n">
        <v>36952.8</v>
      </c>
      <c r="X28" s="7" t="n">
        <v>18868.1</v>
      </c>
      <c r="Y28" s="7" t="n">
        <v>32766.5</v>
      </c>
      <c r="Z28" s="7" t="n">
        <v>24122.3</v>
      </c>
      <c r="AA28" s="8" t="n">
        <v>405686.1</v>
      </c>
      <c r="AB28" s="8" t="n">
        <v>391279.4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609786.7</v>
      </c>
      <c r="D29" s="7" t="n">
        <v>546541.1</v>
      </c>
      <c r="E29" s="7" t="n">
        <v>549060.5</v>
      </c>
      <c r="F29" s="7" t="n">
        <v>446282.8</v>
      </c>
      <c r="G29" s="7" t="n">
        <v>653868.3</v>
      </c>
      <c r="H29" s="7" t="n">
        <v>739321.3</v>
      </c>
      <c r="I29" s="7" t="n">
        <v>670494</v>
      </c>
      <c r="J29" s="7" t="n">
        <v>780900.8</v>
      </c>
      <c r="K29" s="7" t="n">
        <v>518059.1</v>
      </c>
      <c r="L29" s="7" t="n">
        <v>498102.4</v>
      </c>
      <c r="M29" s="7" t="n">
        <v>567469.3</v>
      </c>
      <c r="N29" s="7" t="n">
        <v>847237.1</v>
      </c>
      <c r="O29" s="7" t="n">
        <v>581518</v>
      </c>
      <c r="P29" s="7" t="n">
        <v>724580.9</v>
      </c>
      <c r="Q29" s="7" t="n">
        <v>579831.9</v>
      </c>
      <c r="R29" s="7" t="n">
        <v>883008.4</v>
      </c>
      <c r="S29" s="7" t="n">
        <v>621239.4</v>
      </c>
      <c r="T29" s="7" t="n">
        <v>373106.6</v>
      </c>
      <c r="U29" s="7" t="n">
        <v>644638.6</v>
      </c>
      <c r="V29" s="7" t="n">
        <v>720175.2</v>
      </c>
      <c r="W29" s="7" t="n">
        <v>620877</v>
      </c>
      <c r="X29" s="7" t="n">
        <v>446311.5</v>
      </c>
      <c r="Y29" s="7" t="n">
        <v>602031.9</v>
      </c>
      <c r="Z29" s="7" t="n">
        <v>299893.2</v>
      </c>
      <c r="AA29" s="8" t="n">
        <v>7218874.7</v>
      </c>
      <c r="AB29" s="8" t="n">
        <v>7305461.3</v>
      </c>
    </row>
    <row r="30">
      <c r="A30" s="4" t="inlineStr">
        <is>
          <t>职工薪酬</t>
        </is>
      </c>
      <c r="D30" s="7" t="n">
        <v>252743.3</v>
      </c>
      <c r="F30" s="7" t="n">
        <v>255133</v>
      </c>
      <c r="H30" s="7" t="n">
        <v>398360.1</v>
      </c>
      <c r="J30" s="7" t="n">
        <v>455245.1</v>
      </c>
      <c r="L30" s="7" t="n">
        <v>219275.6</v>
      </c>
      <c r="N30" s="7" t="n">
        <v>489425.7</v>
      </c>
      <c r="P30" s="7" t="n">
        <v>306840.8</v>
      </c>
      <c r="R30" s="7" t="n">
        <v>391899.1</v>
      </c>
      <c r="T30" s="7" t="n">
        <v>205265.2</v>
      </c>
      <c r="V30" s="7" t="n">
        <v>333386.1</v>
      </c>
      <c r="X30" s="7" t="n">
        <v>209907.5</v>
      </c>
      <c r="Z30" s="7" t="n">
        <v>139214.7</v>
      </c>
      <c r="AB30" s="7" t="n">
        <v>3656696.2</v>
      </c>
    </row>
    <row r="31">
      <c r="A31" s="4" t="inlineStr">
        <is>
          <t>工资</t>
        </is>
      </c>
      <c r="D31" s="7" t="n">
        <v>139046.5</v>
      </c>
      <c r="F31" s="7" t="n">
        <v>160981.1</v>
      </c>
      <c r="H31" s="7" t="n">
        <v>240735.7</v>
      </c>
      <c r="J31" s="7" t="n">
        <v>290703</v>
      </c>
      <c r="L31" s="7" t="n">
        <v>121734</v>
      </c>
      <c r="N31" s="7" t="n">
        <v>293186.3</v>
      </c>
      <c r="P31" s="7" t="n">
        <v>169473.9</v>
      </c>
      <c r="R31" s="7" t="n">
        <v>193909</v>
      </c>
      <c r="T31" s="7" t="n">
        <v>125761</v>
      </c>
      <c r="V31" s="7" t="n">
        <v>174311.7</v>
      </c>
      <c r="X31" s="7" t="n">
        <v>105006.7</v>
      </c>
      <c r="Z31" s="7" t="n">
        <v>80010.7</v>
      </c>
      <c r="AB31" s="7" t="n">
        <v>2094859.6</v>
      </c>
    </row>
    <row r="32">
      <c r="A32" s="4" t="inlineStr">
        <is>
          <t>奖金及提成</t>
        </is>
      </c>
      <c r="D32" s="7" t="n">
        <v>45667.7</v>
      </c>
      <c r="F32" s="7" t="n">
        <v>36280.4</v>
      </c>
      <c r="H32" s="7" t="n">
        <v>90947</v>
      </c>
      <c r="J32" s="7" t="n">
        <v>62961.5</v>
      </c>
      <c r="L32" s="7" t="n">
        <v>43681.6</v>
      </c>
      <c r="N32" s="7" t="n">
        <v>94766.39999999999</v>
      </c>
      <c r="P32" s="7" t="n">
        <v>62221.7</v>
      </c>
      <c r="R32" s="7" t="n">
        <v>87765</v>
      </c>
      <c r="T32" s="7" t="n">
        <v>39072.4</v>
      </c>
      <c r="V32" s="7" t="n">
        <v>65486.6</v>
      </c>
      <c r="X32" s="7" t="n">
        <v>48429.1</v>
      </c>
      <c r="Z32" s="7" t="n">
        <v>29083.8</v>
      </c>
      <c r="AB32" s="7" t="n">
        <v>706363.2</v>
      </c>
    </row>
    <row r="33">
      <c r="A33" s="4" t="inlineStr">
        <is>
          <t>社保</t>
        </is>
      </c>
      <c r="D33" s="7" t="n">
        <v>47160.6</v>
      </c>
      <c r="F33" s="7" t="n">
        <v>42808.8</v>
      </c>
      <c r="H33" s="7" t="n">
        <v>42705.5</v>
      </c>
      <c r="J33" s="7" t="n">
        <v>75018.60000000001</v>
      </c>
      <c r="L33" s="7" t="n">
        <v>37114.9</v>
      </c>
      <c r="N33" s="7" t="n">
        <v>69322.2</v>
      </c>
      <c r="P33" s="7" t="n">
        <v>47903.4</v>
      </c>
      <c r="R33" s="7" t="n">
        <v>79210.3</v>
      </c>
      <c r="T33" s="7" t="n">
        <v>27107</v>
      </c>
      <c r="V33" s="7" t="n">
        <v>68361.60000000001</v>
      </c>
      <c r="X33" s="7" t="n">
        <v>42051.9</v>
      </c>
      <c r="Z33" s="7" t="n">
        <v>19780.2</v>
      </c>
      <c r="AB33" s="7" t="n">
        <v>598545</v>
      </c>
    </row>
    <row r="34">
      <c r="A34" s="4" t="inlineStr">
        <is>
          <t>养老</t>
        </is>
      </c>
      <c r="D34" s="7" t="n">
        <v>2513.1</v>
      </c>
      <c r="F34" s="7" t="n">
        <v>2452.7</v>
      </c>
      <c r="H34" s="7" t="n">
        <v>3990.9</v>
      </c>
      <c r="J34" s="7" t="n">
        <v>2703</v>
      </c>
      <c r="L34" s="7" t="n">
        <v>2660.1</v>
      </c>
      <c r="N34" s="7" t="n">
        <v>3323.1</v>
      </c>
      <c r="P34" s="7" t="n">
        <v>3259.9</v>
      </c>
      <c r="R34" s="7" t="n">
        <v>2912.2</v>
      </c>
      <c r="T34" s="7" t="n">
        <v>1316.7</v>
      </c>
      <c r="V34" s="7" t="n">
        <v>3618</v>
      </c>
      <c r="X34" s="7" t="n">
        <v>1662.4</v>
      </c>
      <c r="Z34" s="7" t="n">
        <v>1078.5</v>
      </c>
      <c r="AB34" s="7" t="n">
        <v>31490.6</v>
      </c>
    </row>
    <row r="35">
      <c r="A35" s="4" t="inlineStr">
        <is>
          <t>医疗</t>
        </is>
      </c>
      <c r="D35" s="7" t="n">
        <v>1941.9</v>
      </c>
      <c r="F35" s="7" t="n">
        <v>1591.5</v>
      </c>
      <c r="H35" s="7" t="n">
        <v>2995.8</v>
      </c>
      <c r="J35" s="7" t="n">
        <v>2164.5</v>
      </c>
      <c r="L35" s="7" t="n">
        <v>2148.2</v>
      </c>
      <c r="N35" s="7" t="n">
        <v>3513.4</v>
      </c>
      <c r="P35" s="7" t="n">
        <v>3406</v>
      </c>
      <c r="R35" s="7" t="n">
        <v>2394.6</v>
      </c>
      <c r="T35" s="7" t="n">
        <v>1368</v>
      </c>
      <c r="V35" s="7" t="n">
        <v>2496.4</v>
      </c>
      <c r="X35" s="7" t="n">
        <v>1869.8</v>
      </c>
      <c r="Z35" s="7" t="n">
        <v>877.2</v>
      </c>
      <c r="AB35" s="7" t="n">
        <v>26767.3</v>
      </c>
    </row>
    <row r="36">
      <c r="A36" s="4" t="inlineStr">
        <is>
          <t>工伤</t>
        </is>
      </c>
      <c r="D36" s="7" t="n">
        <v>2892.2</v>
      </c>
      <c r="F36" s="7" t="n">
        <v>2619.1</v>
      </c>
      <c r="H36" s="7" t="n">
        <v>3593.3</v>
      </c>
      <c r="J36" s="7" t="n">
        <v>3334.2</v>
      </c>
      <c r="L36" s="7" t="n">
        <v>3535.9</v>
      </c>
      <c r="N36" s="7" t="n">
        <v>4940.6</v>
      </c>
      <c r="P36" s="7" t="n">
        <v>4536.4</v>
      </c>
      <c r="R36" s="7" t="n">
        <v>5081</v>
      </c>
      <c r="T36" s="7" t="n">
        <v>2099.2</v>
      </c>
      <c r="V36" s="7" t="n">
        <v>5176.7</v>
      </c>
      <c r="X36" s="7" t="n">
        <v>2275.7</v>
      </c>
      <c r="Z36" s="7" t="n">
        <v>1659.1</v>
      </c>
      <c r="AB36" s="7" t="n">
        <v>41743.4</v>
      </c>
    </row>
    <row r="37">
      <c r="A37" s="4" t="inlineStr">
        <is>
          <t>失业</t>
        </is>
      </c>
      <c r="D37" s="7" t="n">
        <v>1340.6</v>
      </c>
      <c r="F37" s="7" t="n">
        <v>870.2</v>
      </c>
      <c r="H37" s="7" t="n">
        <v>2100.7</v>
      </c>
      <c r="J37" s="7" t="n">
        <v>2122</v>
      </c>
      <c r="L37" s="7" t="n">
        <v>1277.9</v>
      </c>
      <c r="N37" s="7" t="n">
        <v>2328.6</v>
      </c>
      <c r="P37" s="7" t="n">
        <v>1612.1</v>
      </c>
      <c r="R37" s="7" t="n">
        <v>1863.6</v>
      </c>
      <c r="T37" s="7" t="n">
        <v>962.6</v>
      </c>
      <c r="V37" s="7" t="n">
        <v>2030.2</v>
      </c>
      <c r="X37" s="7" t="n">
        <v>930</v>
      </c>
      <c r="Z37" s="7" t="n">
        <v>476.5</v>
      </c>
      <c r="AB37" s="7" t="n">
        <v>17915</v>
      </c>
    </row>
    <row r="38">
      <c r="A38" s="4" t="inlineStr">
        <is>
          <t>生育</t>
        </is>
      </c>
      <c r="D38" s="7" t="n">
        <v>2300.9</v>
      </c>
      <c r="F38" s="7" t="n">
        <v>1846.6</v>
      </c>
      <c r="H38" s="7" t="n">
        <v>3176.3</v>
      </c>
      <c r="J38" s="7" t="n">
        <v>3319.7</v>
      </c>
      <c r="L38" s="7" t="n">
        <v>1370.3</v>
      </c>
      <c r="N38" s="7" t="n">
        <v>3652.2</v>
      </c>
      <c r="P38" s="7" t="n">
        <v>2801.4</v>
      </c>
      <c r="R38" s="7" t="n">
        <v>2307.2</v>
      </c>
      <c r="T38" s="7" t="n">
        <v>1127.7</v>
      </c>
      <c r="V38" s="7" t="n">
        <v>3086.3</v>
      </c>
      <c r="X38" s="7" t="n">
        <v>1922.1</v>
      </c>
      <c r="Z38" s="7" t="n">
        <v>892</v>
      </c>
      <c r="AB38" s="7" t="n">
        <v>27802.7</v>
      </c>
    </row>
    <row r="39">
      <c r="A39" s="4" t="inlineStr">
        <is>
          <t>公积金</t>
        </is>
      </c>
      <c r="D39" s="7" t="n">
        <v>3241.1</v>
      </c>
      <c r="F39" s="7" t="n">
        <v>2185.6</v>
      </c>
      <c r="H39" s="7" t="n">
        <v>2967.2</v>
      </c>
      <c r="J39" s="7" t="n">
        <v>2747</v>
      </c>
      <c r="L39" s="7" t="n">
        <v>1972.3</v>
      </c>
      <c r="N39" s="7" t="n">
        <v>5232.3</v>
      </c>
      <c r="P39" s="7" t="n">
        <v>3204.9</v>
      </c>
      <c r="R39" s="7" t="n">
        <v>3317.8</v>
      </c>
      <c r="T39" s="7" t="n">
        <v>1577.1</v>
      </c>
      <c r="V39" s="7" t="n">
        <v>2972.8</v>
      </c>
      <c r="X39" s="7" t="n">
        <v>1690.2</v>
      </c>
      <c r="Z39" s="7" t="n">
        <v>1275.3</v>
      </c>
      <c r="AB39" s="7" t="n">
        <v>32383.6</v>
      </c>
    </row>
    <row r="40">
      <c r="A40" s="4" t="inlineStr">
        <is>
          <t>工会经费</t>
        </is>
      </c>
      <c r="D40" s="7" t="n">
        <v>2962.9</v>
      </c>
      <c r="F40" s="7" t="n">
        <v>1852.6</v>
      </c>
      <c r="H40" s="7" t="n">
        <v>3274.4</v>
      </c>
      <c r="J40" s="7" t="n">
        <v>3179.5</v>
      </c>
      <c r="L40" s="7" t="n">
        <v>2197.3</v>
      </c>
      <c r="N40" s="7" t="n">
        <v>4230.4</v>
      </c>
      <c r="P40" s="7" t="n">
        <v>3641.3</v>
      </c>
      <c r="R40" s="7" t="n">
        <v>4946.7</v>
      </c>
      <c r="T40" s="7" t="n">
        <v>1844.5</v>
      </c>
      <c r="V40" s="7" t="n">
        <v>3876.4</v>
      </c>
      <c r="X40" s="7" t="n">
        <v>2251.9</v>
      </c>
      <c r="Z40" s="7" t="n">
        <v>1559</v>
      </c>
      <c r="AB40" s="7" t="n">
        <v>35816.9</v>
      </c>
    </row>
    <row r="41">
      <c r="A41" s="4" t="inlineStr">
        <is>
          <t>职工教育经费</t>
        </is>
      </c>
      <c r="D41" s="7" t="n">
        <v>266.9</v>
      </c>
      <c r="F41" s="7" t="n">
        <v>324.7</v>
      </c>
      <c r="H41" s="7" t="n">
        <v>362.4</v>
      </c>
      <c r="J41" s="7" t="n">
        <v>571.1</v>
      </c>
      <c r="L41" s="7" t="n">
        <v>387.7</v>
      </c>
      <c r="N41" s="7" t="n">
        <v>634.5</v>
      </c>
      <c r="P41" s="7" t="n">
        <v>518.2</v>
      </c>
      <c r="R41" s="7" t="n">
        <v>529.7</v>
      </c>
      <c r="T41" s="7" t="n">
        <v>219.5</v>
      </c>
      <c r="V41" s="7" t="n">
        <v>336.2</v>
      </c>
      <c r="X41" s="7" t="n">
        <v>278.5</v>
      </c>
      <c r="Z41" s="7" t="n">
        <v>215.6</v>
      </c>
      <c r="AB41" s="7" t="n">
        <v>4645</v>
      </c>
    </row>
    <row r="42">
      <c r="A42" s="4" t="inlineStr">
        <is>
          <t>福利费</t>
        </is>
      </c>
      <c r="D42" s="7" t="n">
        <v>14397.6</v>
      </c>
      <c r="F42" s="7" t="n">
        <v>10699.8</v>
      </c>
      <c r="H42" s="7" t="n">
        <v>17367.9</v>
      </c>
      <c r="J42" s="7" t="n">
        <v>20064.4</v>
      </c>
      <c r="L42" s="7" t="n">
        <v>12187.8</v>
      </c>
      <c r="N42" s="7" t="n">
        <v>22053.6</v>
      </c>
      <c r="P42" s="7" t="n">
        <v>19877.4</v>
      </c>
      <c r="R42" s="7" t="n">
        <v>22220.6</v>
      </c>
      <c r="T42" s="7" t="n">
        <v>9683.700000000001</v>
      </c>
      <c r="V42" s="7" t="n">
        <v>18040.8</v>
      </c>
      <c r="X42" s="7" t="n">
        <v>10199.2</v>
      </c>
      <c r="Z42" s="7" t="n">
        <v>7290.1</v>
      </c>
      <c r="AB42" s="7" t="n">
        <v>184082.9</v>
      </c>
    </row>
    <row r="43">
      <c r="A43" s="4" t="inlineStr">
        <is>
          <t>职工房租</t>
        </is>
      </c>
      <c r="D43" s="7" t="n">
        <v>556.9</v>
      </c>
      <c r="F43" s="7" t="n">
        <v>528.8</v>
      </c>
      <c r="H43" s="7" t="n">
        <v>823.6</v>
      </c>
      <c r="J43" s="7" t="n">
        <v>1051.5</v>
      </c>
      <c r="L43" s="7" t="n">
        <v>586.6</v>
      </c>
      <c r="N43" s="7" t="n">
        <v>909.6</v>
      </c>
      <c r="P43" s="7" t="n">
        <v>832.5</v>
      </c>
      <c r="R43" s="7" t="n">
        <v>1298.2</v>
      </c>
      <c r="T43" s="7" t="n">
        <v>331.5</v>
      </c>
      <c r="V43" s="7" t="n">
        <v>1131.9</v>
      </c>
      <c r="X43" s="7" t="n">
        <v>524.3</v>
      </c>
      <c r="Z43" s="7" t="n">
        <v>295</v>
      </c>
      <c r="AB43" s="7" t="n">
        <v>8870.4</v>
      </c>
    </row>
    <row r="44">
      <c r="A44" s="4" t="inlineStr">
        <is>
          <t>水电物业费</t>
        </is>
      </c>
      <c r="D44" s="7" t="n">
        <v>2935.8</v>
      </c>
      <c r="F44" s="7" t="n">
        <v>1954.8</v>
      </c>
      <c r="H44" s="7" t="n">
        <v>2479.6</v>
      </c>
      <c r="J44" s="7" t="n">
        <v>3884.1</v>
      </c>
      <c r="L44" s="7" t="n">
        <v>1695.7</v>
      </c>
      <c r="N44" s="7" t="n">
        <v>4615.3</v>
      </c>
      <c r="P44" s="7" t="n">
        <v>3832.5</v>
      </c>
      <c r="R44" s="7" t="n">
        <v>2794.6</v>
      </c>
      <c r="T44" s="7" t="n">
        <v>1488.1</v>
      </c>
      <c r="V44" s="7" t="n">
        <v>3366.7</v>
      </c>
      <c r="X44" s="7" t="n">
        <v>1858</v>
      </c>
      <c r="Z44" s="7" t="n">
        <v>1305.4</v>
      </c>
      <c r="AB44" s="7" t="n">
        <v>32210.6</v>
      </c>
    </row>
    <row r="45">
      <c r="A45" s="4" t="inlineStr">
        <is>
          <t>员工餐</t>
        </is>
      </c>
      <c r="D45" s="7" t="n">
        <v>2223</v>
      </c>
      <c r="F45" s="7" t="n">
        <v>1338.8</v>
      </c>
      <c r="H45" s="7" t="n">
        <v>2740.5</v>
      </c>
      <c r="J45" s="7" t="n">
        <v>2195</v>
      </c>
      <c r="L45" s="7" t="n">
        <v>1357.9</v>
      </c>
      <c r="N45" s="7" t="n">
        <v>2918.2</v>
      </c>
      <c r="P45" s="7" t="n">
        <v>2453.4</v>
      </c>
      <c r="R45" s="7" t="n">
        <v>3325.6</v>
      </c>
      <c r="T45" s="7" t="n">
        <v>1153.9</v>
      </c>
      <c r="V45" s="7" t="n">
        <v>2120.6</v>
      </c>
      <c r="X45" s="7" t="n">
        <v>1400.2</v>
      </c>
      <c r="Z45" s="7" t="n">
        <v>861.4</v>
      </c>
      <c r="AB45" s="7" t="n">
        <v>24088.5</v>
      </c>
    </row>
    <row r="46">
      <c r="A46" s="4" t="inlineStr">
        <is>
          <t>节日礼品</t>
        </is>
      </c>
      <c r="D46" s="7" t="n">
        <v>1762</v>
      </c>
      <c r="F46" s="7" t="n">
        <v>1833.9</v>
      </c>
      <c r="H46" s="7" t="n">
        <v>3342</v>
      </c>
      <c r="J46" s="7" t="n">
        <v>2791.8</v>
      </c>
      <c r="L46" s="7" t="n">
        <v>1625.3</v>
      </c>
      <c r="N46" s="7" t="n">
        <v>3284</v>
      </c>
      <c r="P46" s="7" t="n">
        <v>2008.8</v>
      </c>
      <c r="R46" s="7" t="n">
        <v>2795.1</v>
      </c>
      <c r="T46" s="7" t="n">
        <v>1650</v>
      </c>
      <c r="V46" s="7" t="n">
        <v>2663.3</v>
      </c>
      <c r="X46" s="7" t="n">
        <v>1281.7</v>
      </c>
      <c r="Z46" s="7" t="n">
        <v>1249.6</v>
      </c>
      <c r="AB46" s="7" t="n">
        <v>26287.5</v>
      </c>
    </row>
    <row r="47">
      <c r="A47" s="4" t="inlineStr">
        <is>
          <t>生日礼品</t>
        </is>
      </c>
      <c r="D47" s="7" t="n">
        <v>2537.3</v>
      </c>
      <c r="F47" s="7" t="n">
        <v>1552.6</v>
      </c>
      <c r="H47" s="7" t="n">
        <v>3065.5</v>
      </c>
      <c r="J47" s="7" t="n">
        <v>2879.9</v>
      </c>
      <c r="L47" s="7" t="n">
        <v>2361.8</v>
      </c>
      <c r="N47" s="7" t="n">
        <v>3720.1</v>
      </c>
      <c r="P47" s="7" t="n">
        <v>4264.5</v>
      </c>
      <c r="R47" s="7" t="n">
        <v>4684.3</v>
      </c>
      <c r="T47" s="7" t="n">
        <v>1515.7</v>
      </c>
      <c r="V47" s="7" t="n">
        <v>3101.1</v>
      </c>
      <c r="X47" s="7" t="n">
        <v>1869</v>
      </c>
      <c r="Z47" s="7" t="n">
        <v>1704.9</v>
      </c>
      <c r="AB47" s="7" t="n">
        <v>33256.7</v>
      </c>
    </row>
    <row r="48">
      <c r="A48" s="4" t="inlineStr">
        <is>
          <t>体检</t>
        </is>
      </c>
      <c r="D48" s="7" t="n">
        <v>1570.2</v>
      </c>
      <c r="F48" s="7" t="n">
        <v>1451.9</v>
      </c>
      <c r="H48" s="7" t="n">
        <v>1869.5</v>
      </c>
      <c r="J48" s="7" t="n">
        <v>2486.8</v>
      </c>
      <c r="L48" s="7" t="n">
        <v>1917.4</v>
      </c>
      <c r="N48" s="7" t="n">
        <v>3188.6</v>
      </c>
      <c r="P48" s="7" t="n">
        <v>2357.9</v>
      </c>
      <c r="R48" s="7" t="n">
        <v>2268.9</v>
      </c>
      <c r="T48" s="7" t="n">
        <v>1518.1</v>
      </c>
      <c r="V48" s="7" t="n">
        <v>2176.5</v>
      </c>
      <c r="X48" s="7" t="n">
        <v>1192</v>
      </c>
      <c r="Z48" s="7" t="n">
        <v>807.7</v>
      </c>
      <c r="AB48" s="7" t="n">
        <v>22805.5</v>
      </c>
    </row>
    <row r="49">
      <c r="A49" s="4" t="inlineStr">
        <is>
          <t>其他福利支出</t>
        </is>
      </c>
      <c r="D49" s="7" t="n">
        <v>2812.4</v>
      </c>
      <c r="F49" s="7" t="n">
        <v>2039</v>
      </c>
      <c r="H49" s="7" t="n">
        <v>3047.2</v>
      </c>
      <c r="J49" s="7" t="n">
        <v>4775.3</v>
      </c>
      <c r="L49" s="7" t="n">
        <v>2643.1</v>
      </c>
      <c r="N49" s="7" t="n">
        <v>3417.8</v>
      </c>
      <c r="P49" s="7" t="n">
        <v>4127.8</v>
      </c>
      <c r="R49" s="7" t="n">
        <v>5053.9</v>
      </c>
      <c r="T49" s="7" t="n">
        <v>2026.4</v>
      </c>
      <c r="V49" s="7" t="n">
        <v>3480.7</v>
      </c>
      <c r="X49" s="7" t="n">
        <v>2074</v>
      </c>
      <c r="Z49" s="7" t="n">
        <v>1066.1</v>
      </c>
      <c r="AB49" s="7" t="n">
        <v>36563.7</v>
      </c>
    </row>
    <row r="50">
      <c r="A50" s="4" t="inlineStr">
        <is>
          <t>招聘费</t>
        </is>
      </c>
      <c r="D50" s="7" t="n">
        <v>1052.9</v>
      </c>
      <c r="F50" s="7" t="n">
        <v>1403.1</v>
      </c>
      <c r="H50" s="7" t="n">
        <v>1956.8</v>
      </c>
      <c r="J50" s="7" t="n">
        <v>2346.5</v>
      </c>
      <c r="L50" s="7" t="n">
        <v>1131.4</v>
      </c>
      <c r="N50" s="7" t="n">
        <v>2667.9</v>
      </c>
      <c r="P50" s="7" t="n">
        <v>1323.6</v>
      </c>
      <c r="R50" s="7" t="n">
        <v>2712.2</v>
      </c>
      <c r="T50" s="7" t="n">
        <v>1048.5</v>
      </c>
      <c r="V50" s="7" t="n">
        <v>1678.7</v>
      </c>
      <c r="X50" s="7" t="n">
        <v>778.4</v>
      </c>
      <c r="Z50" s="7" t="n">
        <v>931.2</v>
      </c>
      <c r="AB50" s="7" t="n">
        <v>19031.2</v>
      </c>
    </row>
    <row r="51">
      <c r="A51" s="4" t="inlineStr">
        <is>
          <t>办公费</t>
        </is>
      </c>
      <c r="D51" s="7" t="n">
        <v>14004.3</v>
      </c>
      <c r="F51" s="7" t="n">
        <v>14616.7</v>
      </c>
      <c r="H51" s="7" t="n">
        <v>27275.5</v>
      </c>
      <c r="J51" s="7" t="n">
        <v>28161.9</v>
      </c>
      <c r="L51" s="7" t="n">
        <v>14346.3</v>
      </c>
      <c r="N51" s="7" t="n">
        <v>19567.5</v>
      </c>
      <c r="P51" s="7" t="n">
        <v>17715.7</v>
      </c>
      <c r="R51" s="7" t="n">
        <v>22691.2</v>
      </c>
      <c r="T51" s="7" t="n">
        <v>9871.5</v>
      </c>
      <c r="V51" s="7" t="n">
        <v>21787.3</v>
      </c>
      <c r="X51" s="7" t="n">
        <v>16235.2</v>
      </c>
      <c r="Z51" s="7" t="n">
        <v>7613.6</v>
      </c>
      <c r="AB51" s="7" t="n">
        <v>213886.7</v>
      </c>
    </row>
    <row r="52">
      <c r="A52" s="4" t="inlineStr">
        <is>
          <t>市内交通费</t>
        </is>
      </c>
      <c r="D52" s="7" t="n">
        <v>2647.3</v>
      </c>
      <c r="F52" s="7" t="n">
        <v>2300.1</v>
      </c>
      <c r="H52" s="7" t="n">
        <v>4479.2</v>
      </c>
      <c r="J52" s="7" t="n">
        <v>3936.4</v>
      </c>
      <c r="L52" s="7" t="n">
        <v>2996.1</v>
      </c>
      <c r="N52" s="7" t="n">
        <v>5179.9</v>
      </c>
      <c r="P52" s="7" t="n">
        <v>3287.9</v>
      </c>
      <c r="R52" s="7" t="n">
        <v>5102</v>
      </c>
      <c r="T52" s="7" t="n">
        <v>2077.4</v>
      </c>
      <c r="V52" s="7" t="n">
        <v>4700.6</v>
      </c>
      <c r="X52" s="7" t="n">
        <v>2588.3</v>
      </c>
      <c r="Z52" s="7" t="n">
        <v>1356.9</v>
      </c>
      <c r="AB52" s="7" t="n">
        <v>40652.1</v>
      </c>
    </row>
    <row r="53">
      <c r="A53" s="4" t="inlineStr">
        <is>
          <t>差旅费</t>
        </is>
      </c>
      <c r="D53" s="7" t="n">
        <v>30966.2</v>
      </c>
      <c r="F53" s="7" t="n">
        <v>19044.6</v>
      </c>
      <c r="H53" s="7" t="n">
        <v>42079</v>
      </c>
      <c r="J53" s="7" t="n">
        <v>36445.9</v>
      </c>
      <c r="L53" s="7" t="n">
        <v>25709</v>
      </c>
      <c r="N53" s="7" t="n">
        <v>53856.2</v>
      </c>
      <c r="P53" s="7" t="n">
        <v>55888.6</v>
      </c>
      <c r="R53" s="7" t="n">
        <v>47200.1</v>
      </c>
      <c r="T53" s="7" t="n">
        <v>18643.3</v>
      </c>
      <c r="V53" s="7" t="n">
        <v>30715.9</v>
      </c>
      <c r="X53" s="7" t="n">
        <v>23960.6</v>
      </c>
      <c r="Z53" s="7" t="n">
        <v>13283.5</v>
      </c>
      <c r="AB53" s="7" t="n">
        <v>397792.9</v>
      </c>
    </row>
    <row r="54">
      <c r="A54" s="4" t="inlineStr">
        <is>
          <t>交通费</t>
        </is>
      </c>
      <c r="D54" s="7" t="n">
        <v>1162.8</v>
      </c>
      <c r="F54" s="7" t="n">
        <v>1007.6</v>
      </c>
      <c r="H54" s="7" t="n">
        <v>1469</v>
      </c>
      <c r="J54" s="7" t="n">
        <v>1593.1</v>
      </c>
      <c r="L54" s="7" t="n">
        <v>843.5</v>
      </c>
      <c r="N54" s="7" t="n">
        <v>1492.6</v>
      </c>
      <c r="P54" s="7" t="n">
        <v>1720.3</v>
      </c>
      <c r="R54" s="7" t="n">
        <v>1179.2</v>
      </c>
      <c r="T54" s="7" t="n">
        <v>636.9</v>
      </c>
      <c r="V54" s="7" t="n">
        <v>1234</v>
      </c>
      <c r="X54" s="7" t="n">
        <v>814.3</v>
      </c>
      <c r="Z54" s="7" t="n">
        <v>553.1</v>
      </c>
      <c r="AB54" s="7" t="n">
        <v>13706.4</v>
      </c>
    </row>
    <row r="55">
      <c r="A55" s="4" t="inlineStr">
        <is>
          <t>住宿费</t>
        </is>
      </c>
      <c r="D55" s="7" t="n">
        <v>2199.2</v>
      </c>
      <c r="F55" s="7" t="n">
        <v>2430.9</v>
      </c>
      <c r="H55" s="7" t="n">
        <v>3973.6</v>
      </c>
      <c r="J55" s="7" t="n">
        <v>3245.1</v>
      </c>
      <c r="L55" s="7" t="n">
        <v>1744.7</v>
      </c>
      <c r="N55" s="7" t="n">
        <v>4997.5</v>
      </c>
      <c r="P55" s="7" t="n">
        <v>4518.4</v>
      </c>
      <c r="R55" s="7" t="n">
        <v>4638.6</v>
      </c>
      <c r="T55" s="7" t="n">
        <v>1883.6</v>
      </c>
      <c r="V55" s="7" t="n">
        <v>3181.3</v>
      </c>
      <c r="X55" s="7" t="n">
        <v>1791.9</v>
      </c>
      <c r="Z55" s="7" t="n">
        <v>1885.1</v>
      </c>
      <c r="AB55" s="7" t="n">
        <v>36489.9</v>
      </c>
    </row>
    <row r="56">
      <c r="A56" s="4" t="inlineStr">
        <is>
          <t>餐补</t>
        </is>
      </c>
      <c r="D56" s="7" t="n">
        <v>1157.9</v>
      </c>
      <c r="F56" s="7" t="n">
        <v>960.7</v>
      </c>
      <c r="H56" s="7" t="n">
        <v>1977.2</v>
      </c>
      <c r="J56" s="7" t="n">
        <v>1356.9</v>
      </c>
      <c r="L56" s="7" t="n">
        <v>1296.2</v>
      </c>
      <c r="N56" s="7" t="n">
        <v>1641</v>
      </c>
      <c r="P56" s="7" t="n">
        <v>1598</v>
      </c>
      <c r="R56" s="7" t="n">
        <v>2049.9</v>
      </c>
      <c r="T56" s="7" t="n">
        <v>1172</v>
      </c>
      <c r="V56" s="7" t="n">
        <v>1244.9</v>
      </c>
      <c r="X56" s="7" t="n">
        <v>1387.4</v>
      </c>
      <c r="Z56" s="7" t="n">
        <v>750.6</v>
      </c>
      <c r="AB56" s="7" t="n">
        <v>16592.7</v>
      </c>
    </row>
    <row r="57">
      <c r="A57" s="4" t="inlineStr">
        <is>
          <t>交通补助</t>
        </is>
      </c>
      <c r="D57" s="7" t="n">
        <v>1478.9</v>
      </c>
      <c r="F57" s="7" t="n">
        <v>1799.1</v>
      </c>
      <c r="H57" s="7" t="n">
        <v>1853.4</v>
      </c>
      <c r="J57" s="7" t="n">
        <v>2674.5</v>
      </c>
      <c r="L57" s="7" t="n">
        <v>1939.2</v>
      </c>
      <c r="N57" s="7" t="n">
        <v>2067.2</v>
      </c>
      <c r="P57" s="7" t="n">
        <v>1937.7</v>
      </c>
      <c r="R57" s="7" t="n">
        <v>3680.7</v>
      </c>
      <c r="T57" s="7" t="n">
        <v>1251.7</v>
      </c>
      <c r="V57" s="7" t="n">
        <v>1870.7</v>
      </c>
      <c r="X57" s="7" t="n">
        <v>1142.5</v>
      </c>
      <c r="Z57" s="7" t="n">
        <v>1125.8</v>
      </c>
      <c r="AB57" s="7" t="n">
        <v>22821.4</v>
      </c>
    </row>
    <row r="58">
      <c r="A58" s="4" t="inlineStr">
        <is>
          <t>通讯补助</t>
        </is>
      </c>
      <c r="D58" s="7" t="n">
        <v>2476</v>
      </c>
      <c r="F58" s="7" t="n">
        <v>2031.4</v>
      </c>
      <c r="H58" s="7" t="n">
        <v>4097.5</v>
      </c>
      <c r="J58" s="7" t="n">
        <v>3576.3</v>
      </c>
      <c r="L58" s="7" t="n">
        <v>2541.8</v>
      </c>
      <c r="N58" s="7" t="n">
        <v>3638.3</v>
      </c>
      <c r="P58" s="7" t="n">
        <v>3203.2</v>
      </c>
      <c r="R58" s="7" t="n">
        <v>3246.4</v>
      </c>
      <c r="T58" s="7" t="n">
        <v>2211.8</v>
      </c>
      <c r="V58" s="7" t="n">
        <v>4426.3</v>
      </c>
      <c r="X58" s="7" t="n">
        <v>2487.1</v>
      </c>
      <c r="Z58" s="7" t="n">
        <v>1286.4</v>
      </c>
      <c r="AB58" s="7" t="n">
        <v>35222.5</v>
      </c>
    </row>
    <row r="59">
      <c r="A59" s="4" t="inlineStr">
        <is>
          <t>招待费</t>
        </is>
      </c>
      <c r="D59" s="7" t="n">
        <v>22329</v>
      </c>
      <c r="F59" s="7" t="n">
        <v>16696.4</v>
      </c>
      <c r="H59" s="7" t="n">
        <v>35943.8</v>
      </c>
      <c r="J59" s="7" t="n">
        <v>31139.2</v>
      </c>
      <c r="L59" s="7" t="n">
        <v>19492.7</v>
      </c>
      <c r="N59" s="7" t="n">
        <v>40521.1</v>
      </c>
      <c r="P59" s="7" t="n">
        <v>28104.3</v>
      </c>
      <c r="R59" s="7" t="n">
        <v>44303.9</v>
      </c>
      <c r="T59" s="7" t="n">
        <v>12037.6</v>
      </c>
      <c r="V59" s="7" t="n">
        <v>25149.8</v>
      </c>
      <c r="X59" s="7" t="n">
        <v>18202.4</v>
      </c>
      <c r="Z59" s="7" t="n">
        <v>10801.3</v>
      </c>
      <c r="AB59" s="7" t="n">
        <v>304721.5</v>
      </c>
    </row>
    <row r="60">
      <c r="A60" s="4" t="inlineStr">
        <is>
          <t>通讯费</t>
        </is>
      </c>
      <c r="D60" s="7" t="n">
        <v>1336</v>
      </c>
      <c r="F60" s="7" t="n">
        <v>1689.8</v>
      </c>
      <c r="H60" s="7" t="n">
        <v>2092.1</v>
      </c>
      <c r="J60" s="7" t="n">
        <v>2594.4</v>
      </c>
      <c r="L60" s="7" t="n">
        <v>1946.9</v>
      </c>
      <c r="N60" s="7" t="n">
        <v>2439.2</v>
      </c>
      <c r="P60" s="7" t="n">
        <v>2385.2</v>
      </c>
      <c r="R60" s="7" t="n">
        <v>2878.4</v>
      </c>
      <c r="T60" s="7" t="n">
        <v>889.1</v>
      </c>
      <c r="V60" s="7" t="n">
        <v>2349</v>
      </c>
      <c r="X60" s="7" t="n">
        <v>1764.5</v>
      </c>
      <c r="Z60" s="7" t="n">
        <v>967</v>
      </c>
      <c r="AB60" s="7" t="n">
        <v>23331.6</v>
      </c>
    </row>
    <row r="61">
      <c r="A61" s="4" t="inlineStr">
        <is>
          <t>网络费</t>
        </is>
      </c>
      <c r="D61" s="7" t="n">
        <v>3325.3</v>
      </c>
      <c r="F61" s="7" t="n">
        <v>1917.6</v>
      </c>
      <c r="H61" s="7" t="n">
        <v>3016.9</v>
      </c>
      <c r="J61" s="7" t="n">
        <v>3905</v>
      </c>
      <c r="L61" s="7" t="n">
        <v>2351.1</v>
      </c>
      <c r="N61" s="7" t="n">
        <v>3069.3</v>
      </c>
      <c r="P61" s="7" t="n">
        <v>3208</v>
      </c>
      <c r="R61" s="7" t="n">
        <v>4857.3</v>
      </c>
      <c r="T61" s="7" t="n">
        <v>2203.5</v>
      </c>
      <c r="V61" s="7" t="n">
        <v>3777.3</v>
      </c>
      <c r="X61" s="7" t="n">
        <v>2209.7</v>
      </c>
      <c r="Z61" s="7" t="n">
        <v>1753.7</v>
      </c>
      <c r="AB61" s="7" t="n">
        <v>35594.7</v>
      </c>
    </row>
    <row r="62">
      <c r="A62" s="4" t="inlineStr">
        <is>
          <t>修理费</t>
        </is>
      </c>
      <c r="D62" s="7" t="n">
        <v>2428.3</v>
      </c>
      <c r="F62" s="7" t="n">
        <v>2292.9</v>
      </c>
      <c r="H62" s="7" t="n">
        <v>5049</v>
      </c>
      <c r="J62" s="7" t="n">
        <v>3505.6</v>
      </c>
      <c r="L62" s="7" t="n">
        <v>3505.8</v>
      </c>
      <c r="N62" s="7" t="n">
        <v>5918.4</v>
      </c>
      <c r="P62" s="7" t="n">
        <v>3610.4</v>
      </c>
      <c r="R62" s="7" t="n">
        <v>4311.9</v>
      </c>
      <c r="T62" s="7" t="n">
        <v>2572.7</v>
      </c>
      <c r="V62" s="7" t="n">
        <v>3309.6</v>
      </c>
      <c r="X62" s="7" t="n">
        <v>2430.6</v>
      </c>
      <c r="Z62" s="7" t="n">
        <v>1416.4</v>
      </c>
      <c r="AB62" s="7" t="n">
        <v>40351.6</v>
      </c>
    </row>
    <row r="63">
      <c r="A63" s="4" t="inlineStr">
        <is>
          <t>车辆费</t>
        </is>
      </c>
      <c r="D63" s="7" t="n">
        <v>2797.2</v>
      </c>
      <c r="F63" s="7" t="n">
        <v>2079.7</v>
      </c>
      <c r="H63" s="7" t="n">
        <v>3754.2</v>
      </c>
      <c r="J63" s="7" t="n">
        <v>3089.4</v>
      </c>
      <c r="L63" s="7" t="n">
        <v>1510.7</v>
      </c>
      <c r="N63" s="7" t="n">
        <v>3560.6</v>
      </c>
      <c r="P63" s="7" t="n">
        <v>2576.1</v>
      </c>
      <c r="R63" s="7" t="n">
        <v>4373.5</v>
      </c>
      <c r="T63" s="7" t="n">
        <v>1174.2</v>
      </c>
      <c r="V63" s="7" t="n">
        <v>2784.2</v>
      </c>
      <c r="X63" s="7" t="n">
        <v>2255.4</v>
      </c>
      <c r="Z63" s="7" t="n">
        <v>835.3</v>
      </c>
      <c r="AB63" s="7" t="n">
        <v>30790.5</v>
      </c>
    </row>
    <row r="64">
      <c r="A64" s="4" t="inlineStr">
        <is>
          <t>租赁费</t>
        </is>
      </c>
      <c r="D64" s="7" t="n">
        <v>19658.9</v>
      </c>
      <c r="F64" s="7" t="n">
        <v>24682.2</v>
      </c>
      <c r="H64" s="7" t="n">
        <v>45107.4</v>
      </c>
      <c r="J64" s="7" t="n">
        <v>50653.9</v>
      </c>
      <c r="L64" s="7" t="n">
        <v>30317</v>
      </c>
      <c r="N64" s="7" t="n">
        <v>31441.8</v>
      </c>
      <c r="P64" s="7" t="n">
        <v>34426.8</v>
      </c>
      <c r="R64" s="7" t="n">
        <v>37793.5</v>
      </c>
      <c r="T64" s="7" t="n">
        <v>21072.8</v>
      </c>
      <c r="V64" s="7" t="n">
        <v>27820</v>
      </c>
      <c r="X64" s="7" t="n">
        <v>26019</v>
      </c>
      <c r="Z64" s="7" t="n">
        <v>16318</v>
      </c>
      <c r="AB64" s="7" t="n">
        <v>365311.3</v>
      </c>
    </row>
    <row r="65">
      <c r="A65" s="4" t="inlineStr">
        <is>
          <t>能源费</t>
        </is>
      </c>
      <c r="D65" s="7" t="n">
        <v>6697</v>
      </c>
      <c r="F65" s="7" t="n">
        <v>4859.4</v>
      </c>
      <c r="H65" s="7" t="n">
        <v>8594.799999999999</v>
      </c>
      <c r="J65" s="7" t="n">
        <v>10258</v>
      </c>
      <c r="L65" s="7" t="n">
        <v>6791.9</v>
      </c>
      <c r="N65" s="7" t="n">
        <v>8950</v>
      </c>
      <c r="P65" s="7" t="n">
        <v>9541.799999999999</v>
      </c>
      <c r="R65" s="7" t="n">
        <v>10197.4</v>
      </c>
      <c r="T65" s="7" t="n">
        <v>5150.3</v>
      </c>
      <c r="V65" s="7" t="n">
        <v>9586.4</v>
      </c>
      <c r="X65" s="7" t="n">
        <v>6385.8</v>
      </c>
      <c r="Z65" s="7" t="n">
        <v>3888.9</v>
      </c>
      <c r="AB65" s="7" t="n">
        <v>90901.7</v>
      </c>
    </row>
    <row r="66">
      <c r="A66" s="4" t="inlineStr">
        <is>
          <t>水费</t>
        </is>
      </c>
      <c r="D66" s="7" t="n">
        <v>1189.5</v>
      </c>
      <c r="F66" s="7" t="n">
        <v>987.8</v>
      </c>
      <c r="H66" s="7" t="n">
        <v>1781.7</v>
      </c>
      <c r="J66" s="7" t="n">
        <v>2622.9</v>
      </c>
      <c r="L66" s="7" t="n">
        <v>1612.9</v>
      </c>
      <c r="N66" s="7" t="n">
        <v>1826.5</v>
      </c>
      <c r="P66" s="7" t="n">
        <v>1631.9</v>
      </c>
      <c r="R66" s="7" t="n">
        <v>2351.9</v>
      </c>
      <c r="T66" s="7" t="n">
        <v>947.8</v>
      </c>
      <c r="V66" s="7" t="n">
        <v>2525.5</v>
      </c>
      <c r="X66" s="7" t="n">
        <v>1476.8</v>
      </c>
      <c r="Z66" s="7" t="n">
        <v>696.2</v>
      </c>
      <c r="AB66" s="7" t="n">
        <v>19651.4</v>
      </c>
    </row>
    <row r="67">
      <c r="A67" s="4" t="inlineStr">
        <is>
          <t>电费</t>
        </is>
      </c>
      <c r="D67" s="7" t="n">
        <v>377.8</v>
      </c>
      <c r="F67" s="7" t="n">
        <v>211.6</v>
      </c>
      <c r="H67" s="7" t="n">
        <v>583.6</v>
      </c>
      <c r="J67" s="7" t="n">
        <v>494.8</v>
      </c>
      <c r="L67" s="7" t="n">
        <v>268.6</v>
      </c>
      <c r="N67" s="7" t="n">
        <v>461.9</v>
      </c>
      <c r="P67" s="7" t="n">
        <v>404.8</v>
      </c>
      <c r="R67" s="7" t="n">
        <v>543.7</v>
      </c>
      <c r="T67" s="7" t="n">
        <v>278.6</v>
      </c>
      <c r="V67" s="7" t="n">
        <v>513.6</v>
      </c>
      <c r="X67" s="7" t="n">
        <v>295.9</v>
      </c>
      <c r="Z67" s="7" t="n">
        <v>201.8</v>
      </c>
      <c r="AB67" s="7" t="n">
        <v>4636.7</v>
      </c>
    </row>
    <row r="68">
      <c r="A68" s="4" t="inlineStr">
        <is>
          <t>燃气费</t>
        </is>
      </c>
      <c r="D68" s="7" t="n">
        <v>2152.3</v>
      </c>
      <c r="F68" s="7" t="n">
        <v>1945.1</v>
      </c>
      <c r="H68" s="7" t="n">
        <v>3073.1</v>
      </c>
      <c r="J68" s="7" t="n">
        <v>3596.4</v>
      </c>
      <c r="L68" s="7" t="n">
        <v>2281.9</v>
      </c>
      <c r="N68" s="7" t="n">
        <v>3699.8</v>
      </c>
      <c r="P68" s="7" t="n">
        <v>4582.7</v>
      </c>
      <c r="R68" s="7" t="n">
        <v>3504.5</v>
      </c>
      <c r="T68" s="7" t="n">
        <v>2012.3</v>
      </c>
      <c r="V68" s="7" t="n">
        <v>3542</v>
      </c>
      <c r="X68" s="7" t="n">
        <v>2147.7</v>
      </c>
      <c r="Z68" s="7" t="n">
        <v>1312.9</v>
      </c>
      <c r="AB68" s="7" t="n">
        <v>33850.7</v>
      </c>
    </row>
    <row r="69">
      <c r="A69" s="4" t="inlineStr">
        <is>
          <t>蒸汽费</t>
        </is>
      </c>
      <c r="D69" s="7" t="n">
        <v>2977.4</v>
      </c>
      <c r="F69" s="7" t="n">
        <v>1714.9</v>
      </c>
      <c r="H69" s="7" t="n">
        <v>3156.4</v>
      </c>
      <c r="J69" s="7" t="n">
        <v>3543.9</v>
      </c>
      <c r="L69" s="7" t="n">
        <v>2628.5</v>
      </c>
      <c r="N69" s="7" t="n">
        <v>2961.8</v>
      </c>
      <c r="P69" s="7" t="n">
        <v>2922.4</v>
      </c>
      <c r="R69" s="7" t="n">
        <v>3797.3</v>
      </c>
      <c r="T69" s="7" t="n">
        <v>1911.6</v>
      </c>
      <c r="V69" s="7" t="n">
        <v>3005.3</v>
      </c>
      <c r="X69" s="7" t="n">
        <v>2465.4</v>
      </c>
      <c r="Z69" s="7" t="n">
        <v>1678</v>
      </c>
      <c r="AB69" s="7" t="n">
        <v>32762.9</v>
      </c>
    </row>
    <row r="70">
      <c r="A70" s="4" t="inlineStr">
        <is>
          <t>物业费</t>
        </is>
      </c>
      <c r="D70" s="7" t="n">
        <v>3368.3</v>
      </c>
      <c r="F70" s="7" t="n">
        <v>3122.3</v>
      </c>
      <c r="H70" s="7" t="n">
        <v>3874.2</v>
      </c>
      <c r="J70" s="7" t="n">
        <v>4624</v>
      </c>
      <c r="L70" s="7" t="n">
        <v>2581.8</v>
      </c>
      <c r="N70" s="7" t="n">
        <v>6704.9</v>
      </c>
      <c r="P70" s="7" t="n">
        <v>4205.6</v>
      </c>
      <c r="R70" s="7" t="n">
        <v>5333</v>
      </c>
      <c r="T70" s="7" t="n">
        <v>2971.4</v>
      </c>
      <c r="V70" s="7" t="n">
        <v>4662.5</v>
      </c>
      <c r="X70" s="7" t="n">
        <v>2336.5</v>
      </c>
      <c r="Z70" s="7" t="n">
        <v>1988.5</v>
      </c>
      <c r="AB70" s="7" t="n">
        <v>45773</v>
      </c>
    </row>
    <row r="71">
      <c r="A71" s="4" t="inlineStr">
        <is>
          <t>劳动保护费</t>
        </is>
      </c>
      <c r="D71" s="7" t="n">
        <v>778.3</v>
      </c>
      <c r="F71" s="7" t="n">
        <v>363.7</v>
      </c>
      <c r="H71" s="7" t="n">
        <v>1078.3</v>
      </c>
      <c r="J71" s="7" t="n">
        <v>813.2</v>
      </c>
      <c r="L71" s="7" t="n">
        <v>507.3</v>
      </c>
      <c r="N71" s="7" t="n">
        <v>813.2</v>
      </c>
      <c r="P71" s="7" t="n">
        <v>722.5</v>
      </c>
      <c r="R71" s="7" t="n">
        <v>1184.9</v>
      </c>
      <c r="T71" s="7" t="n">
        <v>503.6</v>
      </c>
      <c r="V71" s="7" t="n">
        <v>902.8</v>
      </c>
      <c r="X71" s="7" t="n">
        <v>469.1</v>
      </c>
      <c r="Z71" s="7" t="n">
        <v>336.5</v>
      </c>
      <c r="AB71" s="7" t="n">
        <v>8473.4</v>
      </c>
    </row>
    <row r="72">
      <c r="A72" s="4" t="inlineStr">
        <is>
          <t>顾问费</t>
        </is>
      </c>
      <c r="D72" s="7" t="n">
        <v>4068.4</v>
      </c>
      <c r="F72" s="7" t="n">
        <v>3215.8</v>
      </c>
      <c r="H72" s="7" t="n">
        <v>5342.7</v>
      </c>
      <c r="J72" s="7" t="n">
        <v>5467.5</v>
      </c>
      <c r="L72" s="7" t="n">
        <v>3024.2</v>
      </c>
      <c r="N72" s="7" t="n">
        <v>4244.3</v>
      </c>
      <c r="P72" s="7" t="n">
        <v>3562.6</v>
      </c>
      <c r="R72" s="7" t="n">
        <v>5805.5</v>
      </c>
      <c r="T72" s="7" t="n">
        <v>2097</v>
      </c>
      <c r="V72" s="7" t="n">
        <v>3272.8</v>
      </c>
      <c r="X72" s="7" t="n">
        <v>2397.9</v>
      </c>
      <c r="Z72" s="7" t="n">
        <v>1328.8</v>
      </c>
      <c r="AB72" s="7" t="n">
        <v>43827.5</v>
      </c>
    </row>
    <row r="73">
      <c r="A73" s="4" t="inlineStr">
        <is>
          <t>快递费</t>
        </is>
      </c>
      <c r="D73" s="7" t="n">
        <v>2024.3</v>
      </c>
      <c r="F73" s="7" t="n">
        <v>1853.5</v>
      </c>
      <c r="H73" s="7" t="n">
        <v>3282</v>
      </c>
      <c r="J73" s="7" t="n">
        <v>3632.9</v>
      </c>
      <c r="L73" s="7" t="n">
        <v>1325.7</v>
      </c>
      <c r="N73" s="7" t="n">
        <v>3196.9</v>
      </c>
      <c r="P73" s="7" t="n">
        <v>2231.3</v>
      </c>
      <c r="R73" s="7" t="n">
        <v>2734.8</v>
      </c>
      <c r="T73" s="7" t="n">
        <v>1548.1</v>
      </c>
      <c r="V73" s="7" t="n">
        <v>2910.3</v>
      </c>
      <c r="X73" s="7" t="n">
        <v>1765.8</v>
      </c>
      <c r="Z73" s="7" t="n">
        <v>921.6</v>
      </c>
      <c r="AB73" s="7" t="n">
        <v>27427.2</v>
      </c>
    </row>
    <row r="74">
      <c r="A74" s="4" t="inlineStr">
        <is>
          <t>诉讼费</t>
        </is>
      </c>
      <c r="D74" s="7" t="n">
        <v>2406.4</v>
      </c>
      <c r="F74" s="7" t="n">
        <v>1461.4</v>
      </c>
      <c r="H74" s="7" t="n">
        <v>3562.3</v>
      </c>
      <c r="J74" s="7" t="n">
        <v>3641.5</v>
      </c>
      <c r="L74" s="7" t="n">
        <v>1700.2</v>
      </c>
      <c r="N74" s="7" t="n">
        <v>3118.8</v>
      </c>
      <c r="P74" s="7" t="n">
        <v>3926.9</v>
      </c>
      <c r="R74" s="7" t="n">
        <v>2947.8</v>
      </c>
      <c r="T74" s="7" t="n">
        <v>2095.4</v>
      </c>
      <c r="V74" s="7" t="n">
        <v>3300.9</v>
      </c>
      <c r="X74" s="7" t="n">
        <v>1486.5</v>
      </c>
      <c r="Z74" s="7" t="n">
        <v>1134.5</v>
      </c>
      <c r="AB74" s="7" t="n">
        <v>30782.6</v>
      </c>
    </row>
    <row r="75">
      <c r="A75" s="4" t="inlineStr">
        <is>
          <t>会员费</t>
        </is>
      </c>
      <c r="D75" s="7" t="n">
        <v>2201.3</v>
      </c>
      <c r="F75" s="7" t="n">
        <v>1677.2</v>
      </c>
      <c r="H75" s="7" t="n">
        <v>2902.3</v>
      </c>
      <c r="J75" s="7" t="n">
        <v>3505.4</v>
      </c>
      <c r="L75" s="7" t="n">
        <v>1705.1</v>
      </c>
      <c r="N75" s="7" t="n">
        <v>3515.2</v>
      </c>
      <c r="P75" s="7" t="n">
        <v>2275.9</v>
      </c>
      <c r="R75" s="7" t="n">
        <v>2610.7</v>
      </c>
      <c r="T75" s="7" t="n">
        <v>1074.7</v>
      </c>
      <c r="V75" s="7" t="n">
        <v>2263.7</v>
      </c>
      <c r="X75" s="7" t="n">
        <v>1757.6</v>
      </c>
      <c r="Z75" s="7" t="n">
        <v>954.8</v>
      </c>
      <c r="AB75" s="7" t="n">
        <v>26443.9</v>
      </c>
    </row>
    <row r="76">
      <c r="A76" s="4" t="inlineStr">
        <is>
          <t>广告宣传费</t>
        </is>
      </c>
      <c r="D76" s="7" t="n">
        <v>16270.6</v>
      </c>
      <c r="F76" s="7" t="n">
        <v>13945.4</v>
      </c>
      <c r="H76" s="7" t="n">
        <v>23267.1</v>
      </c>
      <c r="J76" s="7" t="n">
        <v>28503.3</v>
      </c>
      <c r="L76" s="7" t="n">
        <v>11460.1</v>
      </c>
      <c r="N76" s="7" t="n">
        <v>31311.6</v>
      </c>
      <c r="P76" s="7" t="n">
        <v>25355.4</v>
      </c>
      <c r="R76" s="7" t="n">
        <v>21639.3</v>
      </c>
      <c r="T76" s="7" t="n">
        <v>13246.7</v>
      </c>
      <c r="V76" s="7" t="n">
        <v>23088.4</v>
      </c>
      <c r="X76" s="7" t="n">
        <v>13037.9</v>
      </c>
      <c r="Z76" s="7" t="n">
        <v>6300.4</v>
      </c>
      <c r="AB76" s="7" t="n">
        <v>227426.2</v>
      </c>
    </row>
    <row r="77">
      <c r="A77" s="4" t="inlineStr">
        <is>
          <t>会务费</t>
        </is>
      </c>
      <c r="D77" s="7" t="n">
        <v>2868.7</v>
      </c>
      <c r="F77" s="7" t="n">
        <v>2198.4</v>
      </c>
      <c r="H77" s="7" t="n">
        <v>2948.1</v>
      </c>
      <c r="J77" s="7" t="n">
        <v>3880.8</v>
      </c>
      <c r="L77" s="7" t="n">
        <v>2485.6</v>
      </c>
      <c r="N77" s="7" t="n">
        <v>5327.5</v>
      </c>
      <c r="P77" s="7" t="n">
        <v>3154.2</v>
      </c>
      <c r="R77" s="7" t="n">
        <v>5331.8</v>
      </c>
      <c r="T77" s="7" t="n">
        <v>1568.1</v>
      </c>
      <c r="V77" s="7" t="n">
        <v>3082.9</v>
      </c>
      <c r="X77" s="7" t="n">
        <v>2289.5</v>
      </c>
      <c r="Z77" s="7" t="n">
        <v>1313.6</v>
      </c>
      <c r="AB77" s="7" t="n">
        <v>36449.2</v>
      </c>
    </row>
    <row r="78">
      <c r="A78" s="4" t="inlineStr">
        <is>
          <t>装修费</t>
        </is>
      </c>
      <c r="D78" s="7" t="n">
        <v>2028.6</v>
      </c>
      <c r="F78" s="7" t="n">
        <v>1632.1</v>
      </c>
      <c r="H78" s="7" t="n">
        <v>2117.4</v>
      </c>
      <c r="J78" s="7" t="n">
        <v>2008.9</v>
      </c>
      <c r="L78" s="7" t="n">
        <v>1846.4</v>
      </c>
      <c r="N78" s="7" t="n">
        <v>2401.5</v>
      </c>
      <c r="P78" s="7" t="n">
        <v>1668.2</v>
      </c>
      <c r="R78" s="7" t="n">
        <v>1883.8</v>
      </c>
      <c r="T78" s="7" t="n">
        <v>1032.7</v>
      </c>
      <c r="V78" s="7" t="n">
        <v>1834.5</v>
      </c>
      <c r="X78" s="7" t="n">
        <v>1616.5</v>
      </c>
      <c r="Z78" s="7" t="n">
        <v>835.9</v>
      </c>
      <c r="AB78" s="7" t="n">
        <v>20906.5</v>
      </c>
    </row>
    <row r="79">
      <c r="A79" s="4" t="inlineStr">
        <is>
          <t>推广费</t>
        </is>
      </c>
      <c r="D79" s="7" t="n">
        <v>2339</v>
      </c>
      <c r="F79" s="7" t="n">
        <v>1511.3</v>
      </c>
      <c r="H79" s="7" t="n">
        <v>3609.8</v>
      </c>
      <c r="J79" s="7" t="n">
        <v>3781.5</v>
      </c>
      <c r="L79" s="7" t="n">
        <v>1725</v>
      </c>
      <c r="N79" s="7" t="n">
        <v>3547.6</v>
      </c>
      <c r="P79" s="7" t="n">
        <v>2703.5</v>
      </c>
      <c r="R79" s="7" t="n">
        <v>3760.9</v>
      </c>
      <c r="T79" s="7" t="n">
        <v>1188.8</v>
      </c>
      <c r="V79" s="7" t="n">
        <v>2651</v>
      </c>
      <c r="X79" s="7" t="n">
        <v>1989.5</v>
      </c>
      <c r="Z79" s="7" t="n">
        <v>1307.8</v>
      </c>
      <c r="AB79" s="7" t="n">
        <v>30115.7</v>
      </c>
    </row>
    <row r="80">
      <c r="A80" s="4" t="inlineStr">
        <is>
          <t>展会费</t>
        </is>
      </c>
      <c r="D80" s="7" t="n">
        <v>439.8</v>
      </c>
      <c r="F80" s="7" t="n">
        <v>524.7</v>
      </c>
      <c r="H80" s="7" t="n">
        <v>878</v>
      </c>
      <c r="J80" s="7" t="n">
        <v>959</v>
      </c>
      <c r="L80" s="7" t="n">
        <v>538.3</v>
      </c>
      <c r="N80" s="7" t="n">
        <v>682.2</v>
      </c>
      <c r="P80" s="7" t="n">
        <v>935.8</v>
      </c>
      <c r="R80" s="7" t="n">
        <v>1153.6</v>
      </c>
      <c r="T80" s="7" t="n">
        <v>413.1</v>
      </c>
      <c r="V80" s="7" t="n">
        <v>856.6</v>
      </c>
      <c r="X80" s="7" t="n">
        <v>528.4</v>
      </c>
      <c r="Z80" s="7" t="n">
        <v>262</v>
      </c>
      <c r="AB80" s="7" t="n">
        <v>8171.5</v>
      </c>
    </row>
    <row r="81">
      <c r="A81" s="4" t="inlineStr">
        <is>
          <t>设计费</t>
        </is>
      </c>
      <c r="D81" s="7" t="n">
        <v>3287</v>
      </c>
      <c r="F81" s="7" t="n">
        <v>3313.4</v>
      </c>
      <c r="H81" s="7" t="n">
        <v>3989.6</v>
      </c>
      <c r="J81" s="7" t="n">
        <v>3759.3</v>
      </c>
      <c r="L81" s="7" t="n">
        <v>2742.9</v>
      </c>
      <c r="N81" s="7" t="n">
        <v>4728.4</v>
      </c>
      <c r="P81" s="7" t="n">
        <v>5084.4</v>
      </c>
      <c r="R81" s="7" t="n">
        <v>5238.4</v>
      </c>
      <c r="T81" s="7" t="n">
        <v>2180</v>
      </c>
      <c r="V81" s="7" t="n">
        <v>4123.9</v>
      </c>
      <c r="X81" s="7" t="n">
        <v>2594.3</v>
      </c>
      <c r="Z81" s="7" t="n">
        <v>2123.1</v>
      </c>
      <c r="AB81" s="7" t="n">
        <v>43164.7</v>
      </c>
    </row>
    <row r="82">
      <c r="A82" s="4" t="inlineStr">
        <is>
          <t>折旧费</t>
        </is>
      </c>
      <c r="D82" s="7" t="n">
        <v>20603.5</v>
      </c>
      <c r="F82" s="7" t="n">
        <v>22871.2</v>
      </c>
      <c r="H82" s="7" t="n">
        <v>26975.4</v>
      </c>
      <c r="J82" s="7" t="n">
        <v>36959.2</v>
      </c>
      <c r="L82" s="7" t="n">
        <v>25602.3</v>
      </c>
      <c r="N82" s="7" t="n">
        <v>39319.6</v>
      </c>
      <c r="P82" s="7" t="n">
        <v>20627</v>
      </c>
      <c r="R82" s="7" t="n">
        <v>39650.7</v>
      </c>
      <c r="T82" s="7" t="n">
        <v>12315</v>
      </c>
      <c r="V82" s="7" t="n">
        <v>32552</v>
      </c>
      <c r="X82" s="7" t="n">
        <v>15654.4</v>
      </c>
      <c r="Z82" s="7" t="n">
        <v>11085.1</v>
      </c>
      <c r="AB82" s="7" t="n">
        <v>304215.4</v>
      </c>
    </row>
    <row r="83">
      <c r="A83" s="4" t="inlineStr">
        <is>
          <t>认证费</t>
        </is>
      </c>
      <c r="D83" s="7" t="n">
        <v>1354.8</v>
      </c>
      <c r="F83" s="7" t="n">
        <v>843.4</v>
      </c>
      <c r="H83" s="7" t="n">
        <v>1616.5</v>
      </c>
      <c r="J83" s="7" t="n">
        <v>1350.9</v>
      </c>
      <c r="L83" s="7" t="n">
        <v>871.5</v>
      </c>
      <c r="N83" s="7" t="n">
        <v>1791.2</v>
      </c>
      <c r="P83" s="7" t="n">
        <v>1856.2</v>
      </c>
      <c r="R83" s="7" t="n">
        <v>1423.9</v>
      </c>
      <c r="T83" s="7" t="n">
        <v>666.1</v>
      </c>
      <c r="V83" s="7" t="n">
        <v>1360.8</v>
      </c>
      <c r="X83" s="7" t="n">
        <v>930.4</v>
      </c>
      <c r="Z83" s="7" t="n">
        <v>716.9</v>
      </c>
      <c r="AB83" s="7" t="n">
        <v>14782.6</v>
      </c>
    </row>
    <row r="84">
      <c r="A84" s="4" t="inlineStr">
        <is>
          <t>样品费</t>
        </is>
      </c>
      <c r="D84" s="7" t="n">
        <v>10733.2</v>
      </c>
      <c r="F84" s="7" t="n">
        <v>11448.8</v>
      </c>
      <c r="H84" s="7" t="n">
        <v>10758.6</v>
      </c>
      <c r="J84" s="7" t="n">
        <v>17111.9</v>
      </c>
      <c r="L84" s="7" t="n">
        <v>11084.6</v>
      </c>
      <c r="N84" s="7" t="n">
        <v>21101.8</v>
      </c>
      <c r="P84" s="7" t="n">
        <v>14378.9</v>
      </c>
      <c r="R84" s="7" t="n">
        <v>15330.5</v>
      </c>
      <c r="T84" s="7" t="n">
        <v>7939.9</v>
      </c>
      <c r="V84" s="7" t="n">
        <v>13323.4</v>
      </c>
      <c r="X84" s="7" t="n">
        <v>6791.6</v>
      </c>
      <c r="Z84" s="7" t="n">
        <v>6500.3</v>
      </c>
      <c r="AB84" s="7" t="n">
        <v>146503.5</v>
      </c>
    </row>
    <row r="85">
      <c r="A85" s="4" t="inlineStr">
        <is>
          <t>劳务费</t>
        </is>
      </c>
      <c r="D85" s="7" t="n">
        <v>911.8</v>
      </c>
      <c r="F85" s="7" t="n">
        <v>1013.2</v>
      </c>
      <c r="H85" s="7" t="n">
        <v>1025.9</v>
      </c>
      <c r="J85" s="7" t="n">
        <v>1103.4</v>
      </c>
      <c r="L85" s="7" t="n">
        <v>1036.8</v>
      </c>
      <c r="N85" s="7" t="n">
        <v>1372.2</v>
      </c>
      <c r="P85" s="7" t="n">
        <v>1528.2</v>
      </c>
      <c r="R85" s="7" t="n">
        <v>1515.7</v>
      </c>
      <c r="T85" s="7" t="n">
        <v>534.3</v>
      </c>
      <c r="V85" s="7" t="n">
        <v>1030.2</v>
      </c>
      <c r="X85" s="7" t="n">
        <v>710.4</v>
      </c>
      <c r="Z85" s="7" t="n">
        <v>445.1</v>
      </c>
      <c r="AB85" s="7" t="n">
        <v>12227.2</v>
      </c>
    </row>
    <row r="86">
      <c r="A86" s="4" t="inlineStr">
        <is>
          <t>销售佣金</t>
        </is>
      </c>
      <c r="D86" s="7" t="n">
        <v>267.2</v>
      </c>
      <c r="F86" s="7" t="n">
        <v>268.8</v>
      </c>
      <c r="H86" s="7" t="n">
        <v>493.9</v>
      </c>
      <c r="J86" s="7" t="n">
        <v>385.9</v>
      </c>
      <c r="L86" s="7" t="n">
        <v>292.8</v>
      </c>
      <c r="N86" s="7" t="n">
        <v>427.7</v>
      </c>
      <c r="P86" s="7" t="n">
        <v>298.2</v>
      </c>
      <c r="R86" s="7" t="n">
        <v>592.8</v>
      </c>
      <c r="T86" s="7" t="n">
        <v>159.5</v>
      </c>
      <c r="V86" s="7" t="n">
        <v>486.9</v>
      </c>
      <c r="X86" s="7" t="n">
        <v>290.2</v>
      </c>
      <c r="Z86" s="7" t="n">
        <v>153.7</v>
      </c>
      <c r="AB86" s="7" t="n">
        <v>4117.6</v>
      </c>
    </row>
    <row r="87">
      <c r="A87" s="4" t="inlineStr">
        <is>
          <t>检测费</t>
        </is>
      </c>
      <c r="D87" s="7" t="n">
        <v>3802</v>
      </c>
      <c r="F87" s="7" t="n">
        <v>2416.4</v>
      </c>
      <c r="H87" s="7" t="n">
        <v>5092.2</v>
      </c>
      <c r="J87" s="7" t="n">
        <v>3541.9</v>
      </c>
      <c r="L87" s="7" t="n">
        <v>2734.5</v>
      </c>
      <c r="N87" s="7" t="n">
        <v>4629.9</v>
      </c>
      <c r="P87" s="7" t="n">
        <v>3648.7</v>
      </c>
      <c r="R87" s="7" t="n">
        <v>5468.3</v>
      </c>
      <c r="T87" s="7" t="n">
        <v>2343.7</v>
      </c>
      <c r="V87" s="7" t="n">
        <v>3438.7</v>
      </c>
      <c r="X87" s="7" t="n">
        <v>2868.8</v>
      </c>
      <c r="Z87" s="7" t="n">
        <v>1198.1</v>
      </c>
      <c r="AB87" s="7" t="n">
        <v>41183.2</v>
      </c>
    </row>
    <row r="88">
      <c r="A88" s="4" t="inlineStr">
        <is>
          <t>质量赔偿</t>
        </is>
      </c>
      <c r="D88" s="7" t="n">
        <v>404.3</v>
      </c>
      <c r="F88" s="7" t="n">
        <v>327.1</v>
      </c>
      <c r="H88" s="7" t="n">
        <v>573.1</v>
      </c>
      <c r="J88" s="7" t="n">
        <v>444.8</v>
      </c>
      <c r="L88" s="7" t="n">
        <v>395.9</v>
      </c>
      <c r="N88" s="7" t="n">
        <v>826.3</v>
      </c>
      <c r="P88" s="7" t="n">
        <v>570.5</v>
      </c>
      <c r="R88" s="7" t="n">
        <v>489.8</v>
      </c>
      <c r="T88" s="7" t="n">
        <v>280.6</v>
      </c>
      <c r="V88" s="7" t="n">
        <v>404.8</v>
      </c>
      <c r="X88" s="7" t="n">
        <v>349.7</v>
      </c>
      <c r="Z88" s="7" t="n">
        <v>276.3</v>
      </c>
      <c r="AB88" s="7" t="n">
        <v>5343.2</v>
      </c>
    </row>
    <row r="89">
      <c r="A89" s="4" t="inlineStr">
        <is>
          <t>保险费</t>
        </is>
      </c>
      <c r="D89" s="7" t="n">
        <v>2818.2</v>
      </c>
      <c r="F89" s="7" t="n">
        <v>2416.1</v>
      </c>
      <c r="H89" s="7" t="n">
        <v>4139.4</v>
      </c>
      <c r="J89" s="7" t="n">
        <v>4615.1</v>
      </c>
      <c r="L89" s="7" t="n">
        <v>2681.9</v>
      </c>
      <c r="N89" s="7" t="n">
        <v>5638.8</v>
      </c>
      <c r="P89" s="7" t="n">
        <v>4386.3</v>
      </c>
      <c r="R89" s="7" t="n">
        <v>4662.3</v>
      </c>
      <c r="T89" s="7" t="n">
        <v>2279.5</v>
      </c>
      <c r="V89" s="7" t="n">
        <v>4506.7</v>
      </c>
      <c r="X89" s="7" t="n">
        <v>1740.4</v>
      </c>
      <c r="Z89" s="7" t="n">
        <v>1947.7</v>
      </c>
      <c r="AB89" s="7" t="n">
        <v>41832.4</v>
      </c>
    </row>
    <row r="90">
      <c r="A90" s="4" t="inlineStr">
        <is>
          <t>清洁费</t>
        </is>
      </c>
      <c r="D90" s="7" t="n">
        <v>2832.9</v>
      </c>
      <c r="F90" s="7" t="n">
        <v>2055</v>
      </c>
      <c r="H90" s="7" t="n">
        <v>3431.4</v>
      </c>
      <c r="J90" s="7" t="n">
        <v>2994.3</v>
      </c>
      <c r="L90" s="7" t="n">
        <v>1725.8</v>
      </c>
      <c r="N90" s="7" t="n">
        <v>3290.1</v>
      </c>
      <c r="P90" s="7" t="n">
        <v>3560.3</v>
      </c>
      <c r="R90" s="7" t="n">
        <v>4038.6</v>
      </c>
      <c r="T90" s="7" t="n">
        <v>1627.2</v>
      </c>
      <c r="V90" s="7" t="n">
        <v>2142.8</v>
      </c>
      <c r="X90" s="7" t="n">
        <v>1943.7</v>
      </c>
      <c r="Z90" s="7" t="n">
        <v>1084.3</v>
      </c>
      <c r="AB90" s="7" t="n">
        <v>30726.4</v>
      </c>
    </row>
    <row r="91">
      <c r="A91" s="4" t="inlineStr">
        <is>
          <t>低值易耗品</t>
        </is>
      </c>
      <c r="D91" s="7" t="n">
        <v>2109.8</v>
      </c>
      <c r="F91" s="7" t="n">
        <v>1841</v>
      </c>
      <c r="H91" s="7" t="n">
        <v>2454.6</v>
      </c>
      <c r="J91" s="7" t="n">
        <v>1926.4</v>
      </c>
      <c r="L91" s="7" t="n">
        <v>1800.9</v>
      </c>
      <c r="N91" s="7" t="n">
        <v>2063.4</v>
      </c>
      <c r="P91" s="7" t="n">
        <v>3001.1</v>
      </c>
      <c r="R91" s="7" t="n">
        <v>2173.5</v>
      </c>
      <c r="T91" s="7" t="n">
        <v>1078.3</v>
      </c>
      <c r="V91" s="7" t="n">
        <v>2383.2</v>
      </c>
      <c r="X91" s="7" t="n">
        <v>1321</v>
      </c>
      <c r="Z91" s="7" t="n">
        <v>865.2</v>
      </c>
      <c r="AB91" s="7" t="n">
        <v>23018.4</v>
      </c>
    </row>
    <row r="92">
      <c r="A92" s="4" t="inlineStr">
        <is>
          <t>物料消耗</t>
        </is>
      </c>
      <c r="D92" s="7" t="n">
        <v>2166</v>
      </c>
      <c r="F92" s="7" t="n">
        <v>1924</v>
      </c>
      <c r="H92" s="7" t="n">
        <v>3594.7</v>
      </c>
      <c r="J92" s="7" t="n">
        <v>4013.5</v>
      </c>
      <c r="L92" s="7" t="n">
        <v>2301.6</v>
      </c>
      <c r="N92" s="7" t="n">
        <v>3420.7</v>
      </c>
      <c r="P92" s="7" t="n">
        <v>3936.3</v>
      </c>
      <c r="R92" s="7" t="n">
        <v>4766.3</v>
      </c>
      <c r="T92" s="7" t="n">
        <v>1306.3</v>
      </c>
      <c r="V92" s="7" t="n">
        <v>3707.2</v>
      </c>
      <c r="X92" s="7" t="n">
        <v>1626.1</v>
      </c>
      <c r="Z92" s="7" t="n">
        <v>1073.1</v>
      </c>
      <c r="AB92" s="7" t="n">
        <v>33835.8</v>
      </c>
    </row>
    <row r="93">
      <c r="A93" s="4" t="inlineStr">
        <is>
          <t>盘盈盘亏</t>
        </is>
      </c>
      <c r="D93" s="7" t="n">
        <v>99.7</v>
      </c>
      <c r="F93" s="7" t="n">
        <v>92.59999999999999</v>
      </c>
      <c r="H93" s="7" t="n">
        <v>148.5</v>
      </c>
      <c r="J93" s="7" t="n">
        <v>137.5</v>
      </c>
      <c r="L93" s="7" t="n">
        <v>109</v>
      </c>
      <c r="N93" s="7" t="n">
        <v>130.6</v>
      </c>
      <c r="P93" s="7" t="n">
        <v>110.8</v>
      </c>
      <c r="R93" s="7" t="n">
        <v>127.3</v>
      </c>
      <c r="T93" s="7" t="n">
        <v>53</v>
      </c>
      <c r="V93" s="7" t="n">
        <v>109.2</v>
      </c>
      <c r="X93" s="7" t="n">
        <v>73.3</v>
      </c>
      <c r="Z93" s="7" t="n">
        <v>44.5</v>
      </c>
      <c r="AB93" s="7" t="n">
        <v>1236</v>
      </c>
    </row>
    <row r="94">
      <c r="A94" s="4" t="inlineStr">
        <is>
          <t>平台服务费</t>
        </is>
      </c>
      <c r="D94" s="7" t="n">
        <v>2786.3</v>
      </c>
      <c r="F94" s="7" t="n">
        <v>2502.2</v>
      </c>
      <c r="H94" s="7" t="n">
        <v>3551.4</v>
      </c>
      <c r="J94" s="7" t="n">
        <v>5941.9</v>
      </c>
      <c r="L94" s="7" t="n">
        <v>2947.4</v>
      </c>
      <c r="N94" s="7" t="n">
        <v>6244.7</v>
      </c>
      <c r="P94" s="7" t="n">
        <v>4115.4</v>
      </c>
      <c r="R94" s="7" t="n">
        <v>5239.1</v>
      </c>
      <c r="T94" s="7" t="n">
        <v>2626</v>
      </c>
      <c r="V94" s="7" t="n">
        <v>5058.1</v>
      </c>
      <c r="X94" s="7" t="n">
        <v>2543.6</v>
      </c>
      <c r="Z94" s="7" t="n">
        <v>1782.5</v>
      </c>
      <c r="AB94" s="7" t="n">
        <v>45338.6</v>
      </c>
    </row>
    <row r="95">
      <c r="A95" s="4" t="inlineStr">
        <is>
          <t>无形资产摊销</t>
        </is>
      </c>
      <c r="D95" s="7" t="n">
        <v>1177.9</v>
      </c>
      <c r="F95" s="7" t="n">
        <v>1084.4</v>
      </c>
      <c r="H95" s="7" t="n">
        <v>2300.4</v>
      </c>
      <c r="J95" s="7" t="n">
        <v>1544.7</v>
      </c>
      <c r="L95" s="7" t="n">
        <v>1049.6</v>
      </c>
      <c r="N95" s="7" t="n">
        <v>2767.6</v>
      </c>
      <c r="P95" s="7" t="n">
        <v>2152.1</v>
      </c>
      <c r="R95" s="7" t="n">
        <v>1786.7</v>
      </c>
      <c r="T95" s="7" t="n">
        <v>1127</v>
      </c>
      <c r="V95" s="7" t="n">
        <v>1455.7</v>
      </c>
      <c r="X95" s="7" t="n">
        <v>1160.6</v>
      </c>
      <c r="Z95" s="7" t="n">
        <v>834.4</v>
      </c>
      <c r="AB95" s="7" t="n">
        <v>18441.1</v>
      </c>
    </row>
    <row r="96">
      <c r="A96" s="4" t="inlineStr">
        <is>
          <t>研发材料</t>
        </is>
      </c>
      <c r="D96" s="7" t="n">
        <v>2391.6</v>
      </c>
      <c r="F96" s="7" t="n">
        <v>1787.1</v>
      </c>
      <c r="H96" s="7" t="n">
        <v>4692.4</v>
      </c>
      <c r="J96" s="7" t="n">
        <v>4529.4</v>
      </c>
      <c r="L96" s="7" t="n">
        <v>2242.8</v>
      </c>
      <c r="N96" s="7" t="n">
        <v>3553.4</v>
      </c>
      <c r="P96" s="7" t="n">
        <v>2732.8</v>
      </c>
      <c r="R96" s="7" t="n">
        <v>4228.7</v>
      </c>
      <c r="T96" s="7" t="n">
        <v>1291.9</v>
      </c>
      <c r="V96" s="7" t="n">
        <v>4184.9</v>
      </c>
      <c r="X96" s="7" t="n">
        <v>2062.8</v>
      </c>
      <c r="Z96" s="7" t="n">
        <v>1790.5</v>
      </c>
      <c r="AB96" s="7" t="n">
        <v>35488.3</v>
      </c>
    </row>
    <row r="97">
      <c r="A97" s="4" t="inlineStr">
        <is>
          <t>项目名称</t>
        </is>
      </c>
      <c r="D97" s="7" t="n">
        <v>1611.1</v>
      </c>
      <c r="F97" s="7" t="n">
        <v>1247.5</v>
      </c>
      <c r="H97" s="7" t="n">
        <v>1651.6</v>
      </c>
      <c r="J97" s="7" t="n">
        <v>2195.2</v>
      </c>
      <c r="L97" s="7" t="n">
        <v>1019.9</v>
      </c>
      <c r="N97" s="7" t="n">
        <v>2561.3</v>
      </c>
      <c r="P97" s="7" t="n">
        <v>1265</v>
      </c>
      <c r="R97" s="7" t="n">
        <v>2230.6</v>
      </c>
      <c r="T97" s="7" t="n">
        <v>810.3</v>
      </c>
      <c r="V97" s="7" t="n">
        <v>1646.2</v>
      </c>
      <c r="X97" s="7" t="n">
        <v>1319.1</v>
      </c>
      <c r="Z97" s="7" t="n">
        <v>603.2</v>
      </c>
      <c r="AB97" s="7" t="n">
        <v>18161</v>
      </c>
    </row>
    <row r="98">
      <c r="A98" s="4" t="inlineStr">
        <is>
          <t>研发费</t>
        </is>
      </c>
      <c r="D98" s="7" t="n">
        <v>2074</v>
      </c>
      <c r="F98" s="7" t="n">
        <v>1486.1</v>
      </c>
      <c r="H98" s="7" t="n">
        <v>2665.8</v>
      </c>
      <c r="J98" s="7" t="n">
        <v>3443.4</v>
      </c>
      <c r="L98" s="7" t="n">
        <v>1642.4</v>
      </c>
      <c r="N98" s="7" t="n">
        <v>2853.7</v>
      </c>
      <c r="P98" s="7" t="n">
        <v>3435.8</v>
      </c>
      <c r="R98" s="7" t="n">
        <v>4338.2</v>
      </c>
      <c r="T98" s="7" t="n">
        <v>1166.8</v>
      </c>
      <c r="V98" s="7" t="n">
        <v>3611.8</v>
      </c>
      <c r="X98" s="7" t="n">
        <v>2311</v>
      </c>
      <c r="Z98" s="7" t="n">
        <v>1396</v>
      </c>
      <c r="AB98" s="7" t="n">
        <v>30425</v>
      </c>
    </row>
    <row r="99">
      <c r="A99" s="4" t="inlineStr">
        <is>
          <t>残保金</t>
        </is>
      </c>
      <c r="D99" s="7" t="n">
        <v>1264.1</v>
      </c>
      <c r="F99" s="7" t="n">
        <v>864.2</v>
      </c>
      <c r="H99" s="7" t="n">
        <v>1447.8</v>
      </c>
      <c r="J99" s="7" t="n">
        <v>2401.6</v>
      </c>
      <c r="L99" s="7" t="n">
        <v>1553</v>
      </c>
      <c r="N99" s="7" t="n">
        <v>2364.9</v>
      </c>
      <c r="P99" s="7" t="n">
        <v>2094.9</v>
      </c>
      <c r="R99" s="7" t="n">
        <v>1741.1</v>
      </c>
      <c r="T99" s="7" t="n">
        <v>1116.3</v>
      </c>
      <c r="V99" s="7" t="n">
        <v>1344</v>
      </c>
      <c r="X99" s="7" t="n">
        <v>867.5</v>
      </c>
      <c r="Z99" s="7" t="n">
        <v>729.9</v>
      </c>
      <c r="AB99" s="7" t="n">
        <v>17789.3</v>
      </c>
    </row>
    <row r="100">
      <c r="A100" s="4" t="inlineStr">
        <is>
          <t>环保费</t>
        </is>
      </c>
      <c r="D100" s="7" t="n">
        <v>1179.4</v>
      </c>
      <c r="F100" s="7" t="n">
        <v>1115.5</v>
      </c>
      <c r="H100" s="7" t="n">
        <v>1274.7</v>
      </c>
      <c r="J100" s="7" t="n">
        <v>1399</v>
      </c>
      <c r="L100" s="7" t="n">
        <v>1169.6</v>
      </c>
      <c r="N100" s="7" t="n">
        <v>1528.6</v>
      </c>
      <c r="P100" s="7" t="n">
        <v>1793.5</v>
      </c>
      <c r="R100" s="7" t="n">
        <v>1276.9</v>
      </c>
      <c r="T100" s="7" t="n">
        <v>916</v>
      </c>
      <c r="V100" s="7" t="n">
        <v>1804</v>
      </c>
      <c r="X100" s="7" t="n">
        <v>652</v>
      </c>
      <c r="Z100" s="7" t="n">
        <v>557.5</v>
      </c>
      <c r="AB100" s="7" t="n">
        <v>14666.7</v>
      </c>
    </row>
    <row r="101">
      <c r="A101" s="4" t="inlineStr">
        <is>
          <t>报废损失</t>
        </is>
      </c>
      <c r="D101" s="7" t="n">
        <v>2177.4</v>
      </c>
      <c r="F101" s="7" t="n">
        <v>1392.3</v>
      </c>
      <c r="H101" s="7" t="n">
        <v>2057.1</v>
      </c>
      <c r="J101" s="7" t="n">
        <v>3795.1</v>
      </c>
      <c r="L101" s="7" t="n">
        <v>1476.5</v>
      </c>
      <c r="N101" s="7" t="n">
        <v>4299.1</v>
      </c>
      <c r="P101" s="7" t="n">
        <v>2182.4</v>
      </c>
      <c r="R101" s="7" t="n">
        <v>3414.9</v>
      </c>
      <c r="T101" s="7" t="n">
        <v>1889</v>
      </c>
      <c r="V101" s="7" t="n">
        <v>3430.4</v>
      </c>
      <c r="X101" s="7" t="n">
        <v>1790.2</v>
      </c>
      <c r="Z101" s="7" t="n">
        <v>918.8</v>
      </c>
      <c r="AB101" s="7" t="n">
        <v>28823.2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222966.1</v>
      </c>
      <c r="D102" s="7" t="n">
        <v>136393</v>
      </c>
      <c r="E102" s="7" t="n">
        <v>183296.4</v>
      </c>
      <c r="F102" s="7" t="n">
        <v>171984.4</v>
      </c>
      <c r="G102" s="7" t="n">
        <v>184689.4</v>
      </c>
      <c r="H102" s="7" t="n">
        <v>149306</v>
      </c>
      <c r="I102" s="7" t="n">
        <v>179274.3</v>
      </c>
      <c r="J102" s="7" t="n">
        <v>208326.1</v>
      </c>
      <c r="K102" s="7" t="n">
        <v>228430.6</v>
      </c>
      <c r="L102" s="7" t="n">
        <v>341064.1</v>
      </c>
      <c r="M102" s="7" t="n">
        <v>185067</v>
      </c>
      <c r="N102" s="7" t="n">
        <v>137863.1</v>
      </c>
      <c r="O102" s="7" t="n">
        <v>176393.3</v>
      </c>
      <c r="P102" s="7" t="n">
        <v>259758.8</v>
      </c>
      <c r="Q102" s="7" t="n">
        <v>177155.7</v>
      </c>
      <c r="R102" s="7" t="n">
        <v>203640.8</v>
      </c>
      <c r="S102" s="7" t="n">
        <v>195853.6</v>
      </c>
      <c r="T102" s="7" t="n">
        <v>201076.7</v>
      </c>
      <c r="U102" s="7" t="n">
        <v>225080.6</v>
      </c>
      <c r="V102" s="7" t="n">
        <v>284661.2</v>
      </c>
      <c r="W102" s="7" t="n">
        <v>177787.2</v>
      </c>
      <c r="X102" s="7" t="n">
        <v>170181.1</v>
      </c>
      <c r="Y102" s="7" t="n">
        <v>185107.6</v>
      </c>
      <c r="Z102" s="7" t="n">
        <v>155802.7</v>
      </c>
      <c r="AA102" s="8" t="n">
        <v>2321101.8</v>
      </c>
      <c r="AB102" s="8" t="n">
        <v>2420058</v>
      </c>
    </row>
    <row r="103">
      <c r="A103" s="4" t="inlineStr">
        <is>
          <t>职工薪酬</t>
        </is>
      </c>
      <c r="D103" s="7" t="n">
        <v>68913.89999999999</v>
      </c>
      <c r="F103" s="7" t="n">
        <v>105008.3</v>
      </c>
      <c r="H103" s="7" t="n">
        <v>66707.8</v>
      </c>
      <c r="J103" s="7" t="n">
        <v>119096.7</v>
      </c>
      <c r="L103" s="7" t="n">
        <v>178654.9</v>
      </c>
      <c r="N103" s="7" t="n">
        <v>60055</v>
      </c>
      <c r="P103" s="7" t="n">
        <v>124391.6</v>
      </c>
      <c r="R103" s="7" t="n">
        <v>91769.3</v>
      </c>
      <c r="T103" s="7" t="n">
        <v>87400.39999999999</v>
      </c>
      <c r="V103" s="7" t="n">
        <v>126371.8</v>
      </c>
      <c r="X103" s="7" t="n">
        <v>97940.8</v>
      </c>
      <c r="Z103" s="7" t="n">
        <v>65805.2</v>
      </c>
      <c r="AB103" s="7" t="n">
        <v>1192115.7</v>
      </c>
    </row>
    <row r="104">
      <c r="A104" s="4" t="inlineStr">
        <is>
          <t>工资</t>
        </is>
      </c>
      <c r="D104" s="7" t="n">
        <v>42866.5</v>
      </c>
      <c r="F104" s="7" t="n">
        <v>65050.1</v>
      </c>
      <c r="H104" s="7" t="n">
        <v>32274.1</v>
      </c>
      <c r="J104" s="7" t="n">
        <v>77722.8</v>
      </c>
      <c r="L104" s="7" t="n">
        <v>95261</v>
      </c>
      <c r="N104" s="7" t="n">
        <v>30142.8</v>
      </c>
      <c r="P104" s="7" t="n">
        <v>63802.3</v>
      </c>
      <c r="R104" s="7" t="n">
        <v>49442.2</v>
      </c>
      <c r="T104" s="7" t="n">
        <v>47400.2</v>
      </c>
      <c r="V104" s="7" t="n">
        <v>61526.8</v>
      </c>
      <c r="X104" s="7" t="n">
        <v>60084</v>
      </c>
      <c r="Z104" s="7" t="n">
        <v>37258.6</v>
      </c>
      <c r="AB104" s="7" t="n">
        <v>662831.4</v>
      </c>
    </row>
    <row r="105">
      <c r="A105" s="4" t="inlineStr">
        <is>
          <t>奖金及提成</t>
        </is>
      </c>
      <c r="D105" s="7" t="n">
        <v>12187</v>
      </c>
      <c r="F105" s="7" t="n">
        <v>17942.3</v>
      </c>
      <c r="H105" s="7" t="n">
        <v>14785.9</v>
      </c>
      <c r="J105" s="7" t="n">
        <v>18881.4</v>
      </c>
      <c r="L105" s="7" t="n">
        <v>36740.4</v>
      </c>
      <c r="N105" s="7" t="n">
        <v>16408.4</v>
      </c>
      <c r="P105" s="7" t="n">
        <v>27179.1</v>
      </c>
      <c r="R105" s="7" t="n">
        <v>19778.9</v>
      </c>
      <c r="T105" s="7" t="n">
        <v>16667.3</v>
      </c>
      <c r="V105" s="7" t="n">
        <v>30538.1</v>
      </c>
      <c r="X105" s="7" t="n">
        <v>17486.6</v>
      </c>
      <c r="Z105" s="7" t="n">
        <v>12007.6</v>
      </c>
      <c r="AB105" s="7" t="n">
        <v>240603</v>
      </c>
    </row>
    <row r="106">
      <c r="A106" s="4" t="inlineStr">
        <is>
          <t>社保</t>
        </is>
      </c>
      <c r="D106" s="7" t="n">
        <v>9466.6</v>
      </c>
      <c r="F106" s="7" t="n">
        <v>15975.4</v>
      </c>
      <c r="H106" s="7" t="n">
        <v>14982.3</v>
      </c>
      <c r="J106" s="7" t="n">
        <v>15038.7</v>
      </c>
      <c r="L106" s="7" t="n">
        <v>33711.2</v>
      </c>
      <c r="N106" s="7" t="n">
        <v>9409.700000000001</v>
      </c>
      <c r="P106" s="7" t="n">
        <v>24608.4</v>
      </c>
      <c r="R106" s="7" t="n">
        <v>16167.7</v>
      </c>
      <c r="T106" s="7" t="n">
        <v>16558.1</v>
      </c>
      <c r="V106" s="7" t="n">
        <v>25003.5</v>
      </c>
      <c r="X106" s="7" t="n">
        <v>14986.9</v>
      </c>
      <c r="Z106" s="7" t="n">
        <v>11285.4</v>
      </c>
      <c r="AB106" s="7" t="n">
        <v>207193.9</v>
      </c>
    </row>
    <row r="107">
      <c r="A107" s="4" t="inlineStr">
        <is>
          <t>养老</t>
        </is>
      </c>
      <c r="D107" s="7" t="n">
        <v>342.6</v>
      </c>
      <c r="F107" s="7" t="n">
        <v>538.1</v>
      </c>
      <c r="H107" s="7" t="n">
        <v>551.6</v>
      </c>
      <c r="J107" s="7" t="n">
        <v>906.8</v>
      </c>
      <c r="L107" s="7" t="n">
        <v>900.6</v>
      </c>
      <c r="N107" s="7" t="n">
        <v>392.4</v>
      </c>
      <c r="P107" s="7" t="n">
        <v>861.6</v>
      </c>
      <c r="R107" s="7" t="n">
        <v>531.4</v>
      </c>
      <c r="T107" s="7" t="n">
        <v>705.1</v>
      </c>
      <c r="V107" s="7" t="n">
        <v>850.2</v>
      </c>
      <c r="X107" s="7" t="n">
        <v>709</v>
      </c>
      <c r="Z107" s="7" t="n">
        <v>468.9</v>
      </c>
      <c r="AB107" s="7" t="n">
        <v>7758.3</v>
      </c>
    </row>
    <row r="108">
      <c r="A108" s="4" t="inlineStr">
        <is>
          <t>医疗</t>
        </is>
      </c>
      <c r="D108" s="7" t="n">
        <v>503.5</v>
      </c>
      <c r="F108" s="7" t="n">
        <v>368.8</v>
      </c>
      <c r="H108" s="7" t="n">
        <v>521.1</v>
      </c>
      <c r="J108" s="7" t="n">
        <v>597.5</v>
      </c>
      <c r="L108" s="7" t="n">
        <v>915.5</v>
      </c>
      <c r="N108" s="7" t="n">
        <v>498.7</v>
      </c>
      <c r="P108" s="7" t="n">
        <v>965.2</v>
      </c>
      <c r="R108" s="7" t="n">
        <v>475.8</v>
      </c>
      <c r="T108" s="7" t="n">
        <v>692.4</v>
      </c>
      <c r="V108" s="7" t="n">
        <v>678.3</v>
      </c>
      <c r="X108" s="7" t="n">
        <v>345.6</v>
      </c>
      <c r="Z108" s="7" t="n">
        <v>508</v>
      </c>
      <c r="AB108" s="7" t="n">
        <v>7070.4</v>
      </c>
    </row>
    <row r="109">
      <c r="A109" s="4" t="inlineStr">
        <is>
          <t>工伤</t>
        </is>
      </c>
      <c r="D109" s="7" t="n">
        <v>335.7</v>
      </c>
      <c r="F109" s="7" t="n">
        <v>315.8</v>
      </c>
      <c r="H109" s="7" t="n">
        <v>421.4</v>
      </c>
      <c r="J109" s="7" t="n">
        <v>490.8</v>
      </c>
      <c r="L109" s="7" t="n">
        <v>934.2</v>
      </c>
      <c r="N109" s="7" t="n">
        <v>293.6</v>
      </c>
      <c r="P109" s="7" t="n">
        <v>505.4</v>
      </c>
      <c r="R109" s="7" t="n">
        <v>599.4</v>
      </c>
      <c r="T109" s="7" t="n">
        <v>475.3</v>
      </c>
      <c r="V109" s="7" t="n">
        <v>610.9</v>
      </c>
      <c r="X109" s="7" t="n">
        <v>300.2</v>
      </c>
      <c r="Z109" s="7" t="n">
        <v>289.1</v>
      </c>
      <c r="AB109" s="7" t="n">
        <v>5571.8</v>
      </c>
    </row>
    <row r="110">
      <c r="A110" s="4" t="inlineStr">
        <is>
          <t>失业</t>
        </is>
      </c>
      <c r="D110" s="7" t="n">
        <v>607.5</v>
      </c>
      <c r="F110" s="7" t="n">
        <v>862.7</v>
      </c>
      <c r="H110" s="7" t="n">
        <v>714.6</v>
      </c>
      <c r="J110" s="7" t="n">
        <v>685.6</v>
      </c>
      <c r="L110" s="7" t="n">
        <v>1795</v>
      </c>
      <c r="N110" s="7" t="n">
        <v>611.2</v>
      </c>
      <c r="P110" s="7" t="n">
        <v>1312.7</v>
      </c>
      <c r="R110" s="7" t="n">
        <v>734.4</v>
      </c>
      <c r="T110" s="7" t="n">
        <v>1066.7</v>
      </c>
      <c r="V110" s="7" t="n">
        <v>1502.9</v>
      </c>
      <c r="X110" s="7" t="n">
        <v>621.4</v>
      </c>
      <c r="Z110" s="7" t="n">
        <v>804</v>
      </c>
      <c r="AB110" s="7" t="n">
        <v>11318.7</v>
      </c>
    </row>
    <row r="111">
      <c r="A111" s="4" t="inlineStr">
        <is>
          <t>生育</t>
        </is>
      </c>
      <c r="D111" s="7" t="n">
        <v>1074.7</v>
      </c>
      <c r="F111" s="7" t="n">
        <v>1075.2</v>
      </c>
      <c r="H111" s="7" t="n">
        <v>743.9</v>
      </c>
      <c r="J111" s="7" t="n">
        <v>1676.9</v>
      </c>
      <c r="L111" s="7" t="n">
        <v>1522.2</v>
      </c>
      <c r="N111" s="7" t="n">
        <v>747.6</v>
      </c>
      <c r="P111" s="7" t="n">
        <v>1711</v>
      </c>
      <c r="R111" s="7" t="n">
        <v>1151.3</v>
      </c>
      <c r="T111" s="7" t="n">
        <v>1606.9</v>
      </c>
      <c r="V111" s="7" t="n">
        <v>1937.5</v>
      </c>
      <c r="X111" s="7" t="n">
        <v>1383.6</v>
      </c>
      <c r="Z111" s="7" t="n">
        <v>730.4</v>
      </c>
      <c r="AB111" s="7" t="n">
        <v>15361.2</v>
      </c>
    </row>
    <row r="112">
      <c r="A112" s="4" t="inlineStr">
        <is>
          <t>公积金</t>
        </is>
      </c>
      <c r="D112" s="7" t="n">
        <v>288.6</v>
      </c>
      <c r="F112" s="7" t="n">
        <v>552.3</v>
      </c>
      <c r="H112" s="7" t="n">
        <v>465.6</v>
      </c>
      <c r="J112" s="7" t="n">
        <v>663.9</v>
      </c>
      <c r="L112" s="7" t="n">
        <v>1166.1</v>
      </c>
      <c r="N112" s="7" t="n">
        <v>313.7</v>
      </c>
      <c r="P112" s="7" t="n">
        <v>819.1</v>
      </c>
      <c r="R112" s="7" t="n">
        <v>596</v>
      </c>
      <c r="T112" s="7" t="n">
        <v>505.7</v>
      </c>
      <c r="V112" s="7" t="n">
        <v>625.1</v>
      </c>
      <c r="X112" s="7" t="n">
        <v>549.8</v>
      </c>
      <c r="Z112" s="7" t="n">
        <v>311.2</v>
      </c>
      <c r="AB112" s="7" t="n">
        <v>6857.1</v>
      </c>
    </row>
    <row r="113">
      <c r="A113" s="4" t="inlineStr">
        <is>
          <t>工会经费</t>
        </is>
      </c>
      <c r="D113" s="7" t="n">
        <v>745.9</v>
      </c>
      <c r="F113" s="7" t="n">
        <v>1342.4</v>
      </c>
      <c r="H113" s="7" t="n">
        <v>730.1</v>
      </c>
      <c r="J113" s="7" t="n">
        <v>1505.3</v>
      </c>
      <c r="L113" s="7" t="n">
        <v>2728.9</v>
      </c>
      <c r="N113" s="7" t="n">
        <v>689</v>
      </c>
      <c r="P113" s="7" t="n">
        <v>1585.2</v>
      </c>
      <c r="R113" s="7" t="n">
        <v>1419.4</v>
      </c>
      <c r="T113" s="7" t="n">
        <v>1468.8</v>
      </c>
      <c r="V113" s="7" t="n">
        <v>1270.4</v>
      </c>
      <c r="X113" s="7" t="n">
        <v>828.2</v>
      </c>
      <c r="Z113" s="7" t="n">
        <v>872.7</v>
      </c>
      <c r="AB113" s="7" t="n">
        <v>15186.3</v>
      </c>
    </row>
    <row r="114">
      <c r="A114" s="4" t="inlineStr">
        <is>
          <t>职工教育经费</t>
        </is>
      </c>
      <c r="D114" s="7" t="n">
        <v>98.90000000000001</v>
      </c>
      <c r="F114" s="7" t="n">
        <v>113.7</v>
      </c>
      <c r="H114" s="7" t="n">
        <v>110.1</v>
      </c>
      <c r="J114" s="7" t="n">
        <v>123.3</v>
      </c>
      <c r="L114" s="7" t="n">
        <v>177.8</v>
      </c>
      <c r="N114" s="7" t="n">
        <v>106.3</v>
      </c>
      <c r="P114" s="7" t="n">
        <v>170</v>
      </c>
      <c r="R114" s="7" t="n">
        <v>101.7</v>
      </c>
      <c r="T114" s="7" t="n">
        <v>174.2</v>
      </c>
      <c r="V114" s="7" t="n">
        <v>238.7</v>
      </c>
      <c r="X114" s="7" t="n">
        <v>103.6</v>
      </c>
      <c r="Z114" s="7" t="n">
        <v>90.5</v>
      </c>
      <c r="AB114" s="7" t="n">
        <v>1608.8</v>
      </c>
    </row>
    <row r="115">
      <c r="A115" s="4" t="inlineStr">
        <is>
          <t>福利费</t>
        </is>
      </c>
      <c r="D115" s="7" t="n">
        <v>3260.4</v>
      </c>
      <c r="F115" s="7" t="n">
        <v>4032.1</v>
      </c>
      <c r="H115" s="7" t="n">
        <v>3359.7</v>
      </c>
      <c r="J115" s="7" t="n">
        <v>5161.3</v>
      </c>
      <c r="L115" s="7" t="n">
        <v>8869.5</v>
      </c>
      <c r="N115" s="7" t="n">
        <v>2985.1</v>
      </c>
      <c r="P115" s="7" t="n">
        <v>6227.5</v>
      </c>
      <c r="R115" s="7" t="n">
        <v>4263.4</v>
      </c>
      <c r="T115" s="7" t="n">
        <v>4626.1</v>
      </c>
      <c r="V115" s="7" t="n">
        <v>7169.2</v>
      </c>
      <c r="X115" s="7" t="n">
        <v>3901.7</v>
      </c>
      <c r="Z115" s="7" t="n">
        <v>3979.2</v>
      </c>
      <c r="AB115" s="7" t="n">
        <v>57835.2</v>
      </c>
    </row>
    <row r="116">
      <c r="A116" s="4" t="inlineStr">
        <is>
          <t>职工房租</t>
        </is>
      </c>
      <c r="D116" s="7" t="n">
        <v>947.5</v>
      </c>
      <c r="F116" s="7" t="n">
        <v>1191.9</v>
      </c>
      <c r="H116" s="7" t="n">
        <v>896.2</v>
      </c>
      <c r="J116" s="7" t="n">
        <v>1664.8</v>
      </c>
      <c r="L116" s="7" t="n">
        <v>2451.9</v>
      </c>
      <c r="N116" s="7" t="n">
        <v>1084.1</v>
      </c>
      <c r="P116" s="7" t="n">
        <v>2171.6</v>
      </c>
      <c r="R116" s="7" t="n">
        <v>1269.5</v>
      </c>
      <c r="T116" s="7" t="n">
        <v>1424.3</v>
      </c>
      <c r="V116" s="7" t="n">
        <v>2270.2</v>
      </c>
      <c r="X116" s="7" t="n">
        <v>966.5</v>
      </c>
      <c r="Z116" s="7" t="n">
        <v>1156.2</v>
      </c>
      <c r="AB116" s="7" t="n">
        <v>17494.7</v>
      </c>
    </row>
    <row r="117">
      <c r="A117" s="4" t="inlineStr">
        <is>
          <t>水电物业费</t>
        </is>
      </c>
      <c r="D117" s="7" t="n">
        <v>210</v>
      </c>
      <c r="F117" s="7" t="n">
        <v>312.6</v>
      </c>
      <c r="H117" s="7" t="n">
        <v>257.1</v>
      </c>
      <c r="J117" s="7" t="n">
        <v>452.9</v>
      </c>
      <c r="L117" s="7" t="n">
        <v>795.8</v>
      </c>
      <c r="N117" s="7" t="n">
        <v>187</v>
      </c>
      <c r="P117" s="7" t="n">
        <v>357.4</v>
      </c>
      <c r="R117" s="7" t="n">
        <v>436</v>
      </c>
      <c r="T117" s="7" t="n">
        <v>307.6</v>
      </c>
      <c r="V117" s="7" t="n">
        <v>513.4</v>
      </c>
      <c r="X117" s="7" t="n">
        <v>324.7</v>
      </c>
      <c r="Z117" s="7" t="n">
        <v>309.8</v>
      </c>
      <c r="AB117" s="7" t="n">
        <v>4464.3</v>
      </c>
    </row>
    <row r="118">
      <c r="A118" s="4" t="inlineStr">
        <is>
          <t>员工餐</t>
        </is>
      </c>
      <c r="D118" s="7" t="n">
        <v>108.7</v>
      </c>
      <c r="F118" s="7" t="n">
        <v>131.9</v>
      </c>
      <c r="H118" s="7" t="n">
        <v>105.5</v>
      </c>
      <c r="J118" s="7" t="n">
        <v>170.8</v>
      </c>
      <c r="L118" s="7" t="n">
        <v>215.2</v>
      </c>
      <c r="N118" s="7" t="n">
        <v>95.09999999999999</v>
      </c>
      <c r="P118" s="7" t="n">
        <v>222.3</v>
      </c>
      <c r="R118" s="7" t="n">
        <v>129</v>
      </c>
      <c r="T118" s="7" t="n">
        <v>145.4</v>
      </c>
      <c r="V118" s="7" t="n">
        <v>204.6</v>
      </c>
      <c r="X118" s="7" t="n">
        <v>136.5</v>
      </c>
      <c r="Z118" s="7" t="n">
        <v>135.2</v>
      </c>
      <c r="AB118" s="7" t="n">
        <v>1800.2</v>
      </c>
    </row>
    <row r="119">
      <c r="A119" s="4" t="inlineStr">
        <is>
          <t>节日礼品</t>
        </is>
      </c>
      <c r="D119" s="7" t="n">
        <v>396.7</v>
      </c>
      <c r="F119" s="7" t="n">
        <v>752</v>
      </c>
      <c r="H119" s="7" t="n">
        <v>516.5</v>
      </c>
      <c r="J119" s="7" t="n">
        <v>867.8</v>
      </c>
      <c r="L119" s="7" t="n">
        <v>1599.3</v>
      </c>
      <c r="N119" s="7" t="n">
        <v>496</v>
      </c>
      <c r="P119" s="7" t="n">
        <v>918</v>
      </c>
      <c r="R119" s="7" t="n">
        <v>881.3</v>
      </c>
      <c r="T119" s="7" t="n">
        <v>689.4</v>
      </c>
      <c r="V119" s="7" t="n">
        <v>1260.2</v>
      </c>
      <c r="X119" s="7" t="n">
        <v>778.1</v>
      </c>
      <c r="Z119" s="7" t="n">
        <v>614</v>
      </c>
      <c r="AB119" s="7" t="n">
        <v>9769.299999999999</v>
      </c>
    </row>
    <row r="120">
      <c r="A120" s="4" t="inlineStr">
        <is>
          <t>生日礼品</t>
        </is>
      </c>
      <c r="D120" s="7" t="n">
        <v>591</v>
      </c>
      <c r="F120" s="7" t="n">
        <v>700.3</v>
      </c>
      <c r="H120" s="7" t="n">
        <v>551.2</v>
      </c>
      <c r="J120" s="7" t="n">
        <v>833.1</v>
      </c>
      <c r="L120" s="7" t="n">
        <v>1287.8</v>
      </c>
      <c r="N120" s="7" t="n">
        <v>338.1</v>
      </c>
      <c r="P120" s="7" t="n">
        <v>926.2</v>
      </c>
      <c r="R120" s="7" t="n">
        <v>498.8</v>
      </c>
      <c r="T120" s="7" t="n">
        <v>873.7</v>
      </c>
      <c r="V120" s="7" t="n">
        <v>740.9</v>
      </c>
      <c r="X120" s="7" t="n">
        <v>730.6</v>
      </c>
      <c r="Z120" s="7" t="n">
        <v>630.8</v>
      </c>
      <c r="AB120" s="7" t="n">
        <v>8702.5</v>
      </c>
    </row>
    <row r="121">
      <c r="A121" s="4" t="inlineStr">
        <is>
          <t>体检</t>
        </is>
      </c>
      <c r="D121" s="7" t="n">
        <v>788.8</v>
      </c>
      <c r="F121" s="7" t="n">
        <v>700.6</v>
      </c>
      <c r="H121" s="7" t="n">
        <v>850.1</v>
      </c>
      <c r="J121" s="7" t="n">
        <v>902.8</v>
      </c>
      <c r="L121" s="7" t="n">
        <v>2093.8</v>
      </c>
      <c r="N121" s="7" t="n">
        <v>559.7</v>
      </c>
      <c r="P121" s="7" t="n">
        <v>1201.6</v>
      </c>
      <c r="R121" s="7" t="n">
        <v>709.4</v>
      </c>
      <c r="T121" s="7" t="n">
        <v>937.2</v>
      </c>
      <c r="V121" s="7" t="n">
        <v>1761.8</v>
      </c>
      <c r="X121" s="7" t="n">
        <v>698</v>
      </c>
      <c r="Z121" s="7" t="n">
        <v>876.1</v>
      </c>
      <c r="AB121" s="7" t="n">
        <v>12079.9</v>
      </c>
    </row>
    <row r="122">
      <c r="A122" s="4" t="inlineStr">
        <is>
          <t>其他福利支出</t>
        </is>
      </c>
      <c r="D122" s="7" t="n">
        <v>217.7</v>
      </c>
      <c r="F122" s="7" t="n">
        <v>242.8</v>
      </c>
      <c r="H122" s="7" t="n">
        <v>183.1</v>
      </c>
      <c r="J122" s="7" t="n">
        <v>269.1</v>
      </c>
      <c r="L122" s="7" t="n">
        <v>425.7</v>
      </c>
      <c r="N122" s="7" t="n">
        <v>225.1</v>
      </c>
      <c r="P122" s="7" t="n">
        <v>430.4</v>
      </c>
      <c r="R122" s="7" t="n">
        <v>339.4</v>
      </c>
      <c r="T122" s="7" t="n">
        <v>248.5</v>
      </c>
      <c r="V122" s="7" t="n">
        <v>418.1</v>
      </c>
      <c r="X122" s="7" t="n">
        <v>267.3</v>
      </c>
      <c r="Z122" s="7" t="n">
        <v>257.1</v>
      </c>
      <c r="AB122" s="7" t="n">
        <v>3524.3</v>
      </c>
    </row>
    <row r="123">
      <c r="A123" s="4" t="inlineStr">
        <is>
          <t>招聘费</t>
        </is>
      </c>
      <c r="D123" s="7" t="n">
        <v>243.7</v>
      </c>
      <c r="F123" s="7" t="n">
        <v>195.3</v>
      </c>
      <c r="H123" s="7" t="n">
        <v>252.5</v>
      </c>
      <c r="J123" s="7" t="n">
        <v>336.9</v>
      </c>
      <c r="L123" s="7" t="n">
        <v>451.8</v>
      </c>
      <c r="N123" s="7" t="n">
        <v>205.4</v>
      </c>
      <c r="P123" s="7" t="n">
        <v>314.6</v>
      </c>
      <c r="R123" s="7" t="n">
        <v>282.5</v>
      </c>
      <c r="T123" s="7" t="n">
        <v>257.7</v>
      </c>
      <c r="V123" s="7" t="n">
        <v>477.7</v>
      </c>
      <c r="X123" s="7" t="n">
        <v>231.2</v>
      </c>
      <c r="Z123" s="7" t="n">
        <v>275.2</v>
      </c>
      <c r="AB123" s="7" t="n">
        <v>3524.5</v>
      </c>
    </row>
    <row r="124">
      <c r="A124" s="4" t="inlineStr">
        <is>
          <t>办公费</t>
        </is>
      </c>
      <c r="D124" s="7" t="n">
        <v>5063.5</v>
      </c>
      <c r="F124" s="7" t="n">
        <v>5948.2</v>
      </c>
      <c r="H124" s="7" t="n">
        <v>5713.6</v>
      </c>
      <c r="J124" s="7" t="n">
        <v>5585.2</v>
      </c>
      <c r="L124" s="7" t="n">
        <v>7846.7</v>
      </c>
      <c r="N124" s="7" t="n">
        <v>4339</v>
      </c>
      <c r="P124" s="7" t="n">
        <v>9704.299999999999</v>
      </c>
      <c r="R124" s="7" t="n">
        <v>6843.2</v>
      </c>
      <c r="T124" s="7" t="n">
        <v>6251.2</v>
      </c>
      <c r="V124" s="7" t="n">
        <v>9855.5</v>
      </c>
      <c r="X124" s="7" t="n">
        <v>5222.6</v>
      </c>
      <c r="Z124" s="7" t="n">
        <v>4387.9</v>
      </c>
      <c r="AB124" s="7" t="n">
        <v>76760.89999999999</v>
      </c>
    </row>
    <row r="125">
      <c r="A125" s="4" t="inlineStr">
        <is>
          <t>市内交通费</t>
        </is>
      </c>
      <c r="D125" s="7" t="n">
        <v>509.7</v>
      </c>
      <c r="F125" s="7" t="n">
        <v>591.8</v>
      </c>
      <c r="H125" s="7" t="n">
        <v>721.1</v>
      </c>
      <c r="J125" s="7" t="n">
        <v>1165.2</v>
      </c>
      <c r="L125" s="7" t="n">
        <v>1466.8</v>
      </c>
      <c r="N125" s="7" t="n">
        <v>539.6</v>
      </c>
      <c r="P125" s="7" t="n">
        <v>1338.4</v>
      </c>
      <c r="R125" s="7" t="n">
        <v>947.2</v>
      </c>
      <c r="T125" s="7" t="n">
        <v>860.4</v>
      </c>
      <c r="V125" s="7" t="n">
        <v>1626.7</v>
      </c>
      <c r="X125" s="7" t="n">
        <v>591.7</v>
      </c>
      <c r="Z125" s="7" t="n">
        <v>905.2</v>
      </c>
      <c r="AB125" s="7" t="n">
        <v>11263.8</v>
      </c>
    </row>
    <row r="126">
      <c r="A126" s="4" t="inlineStr">
        <is>
          <t>差旅费</t>
        </is>
      </c>
      <c r="D126" s="7" t="n">
        <v>9728.200000000001</v>
      </c>
      <c r="F126" s="7" t="n">
        <v>12717.9</v>
      </c>
      <c r="H126" s="7" t="n">
        <v>7850.6</v>
      </c>
      <c r="J126" s="7" t="n">
        <v>13025.3</v>
      </c>
      <c r="L126" s="7" t="n">
        <v>15334.1</v>
      </c>
      <c r="N126" s="7" t="n">
        <v>10750.5</v>
      </c>
      <c r="P126" s="7" t="n">
        <v>15048.2</v>
      </c>
      <c r="R126" s="7" t="n">
        <v>8851.799999999999</v>
      </c>
      <c r="T126" s="7" t="n">
        <v>12412</v>
      </c>
      <c r="V126" s="7" t="n">
        <v>18796.4</v>
      </c>
      <c r="X126" s="7" t="n">
        <v>8825</v>
      </c>
      <c r="Z126" s="7" t="n">
        <v>9317.299999999999</v>
      </c>
      <c r="AB126" s="7" t="n">
        <v>142657.3</v>
      </c>
    </row>
    <row r="127">
      <c r="A127" s="4" t="inlineStr">
        <is>
          <t>交通费</t>
        </is>
      </c>
      <c r="D127" s="7" t="n">
        <v>961.3</v>
      </c>
      <c r="F127" s="7" t="n">
        <v>796.1</v>
      </c>
      <c r="H127" s="7" t="n">
        <v>681.6</v>
      </c>
      <c r="J127" s="7" t="n">
        <v>1239.3</v>
      </c>
      <c r="L127" s="7" t="n">
        <v>1546</v>
      </c>
      <c r="N127" s="7" t="n">
        <v>532.9</v>
      </c>
      <c r="P127" s="7" t="n">
        <v>1201</v>
      </c>
      <c r="R127" s="7" t="n">
        <v>792.7</v>
      </c>
      <c r="T127" s="7" t="n">
        <v>1172.6</v>
      </c>
      <c r="V127" s="7" t="n">
        <v>1870.7</v>
      </c>
      <c r="X127" s="7" t="n">
        <v>882.2</v>
      </c>
      <c r="Z127" s="7" t="n">
        <v>877.5</v>
      </c>
      <c r="AB127" s="7" t="n">
        <v>12553.9</v>
      </c>
    </row>
    <row r="128">
      <c r="A128" s="4" t="inlineStr">
        <is>
          <t>住宿费</t>
        </is>
      </c>
      <c r="D128" s="7" t="n">
        <v>481.4</v>
      </c>
      <c r="F128" s="7" t="n">
        <v>774.4</v>
      </c>
      <c r="H128" s="7" t="n">
        <v>583.2</v>
      </c>
      <c r="J128" s="7" t="n">
        <v>835.3</v>
      </c>
      <c r="L128" s="7" t="n">
        <v>1566.8</v>
      </c>
      <c r="N128" s="7" t="n">
        <v>661.2</v>
      </c>
      <c r="P128" s="7" t="n">
        <v>1110.9</v>
      </c>
      <c r="R128" s="7" t="n">
        <v>852.7</v>
      </c>
      <c r="T128" s="7" t="n">
        <v>965.6</v>
      </c>
      <c r="V128" s="7" t="n">
        <v>1253.5</v>
      </c>
      <c r="X128" s="7" t="n">
        <v>544</v>
      </c>
      <c r="Z128" s="7" t="n">
        <v>535.2</v>
      </c>
      <c r="AB128" s="7" t="n">
        <v>10164.2</v>
      </c>
    </row>
    <row r="129">
      <c r="A129" s="4" t="inlineStr">
        <is>
          <t>餐补</t>
        </is>
      </c>
      <c r="D129" s="7" t="n">
        <v>1016</v>
      </c>
      <c r="F129" s="7" t="n">
        <v>905.5</v>
      </c>
      <c r="H129" s="7" t="n">
        <v>805.6</v>
      </c>
      <c r="J129" s="7" t="n">
        <v>1567.5</v>
      </c>
      <c r="L129" s="7" t="n">
        <v>1571.5</v>
      </c>
      <c r="N129" s="7" t="n">
        <v>989.4</v>
      </c>
      <c r="P129" s="7" t="n">
        <v>1980.4</v>
      </c>
      <c r="R129" s="7" t="n">
        <v>1019.4</v>
      </c>
      <c r="T129" s="7" t="n">
        <v>1214</v>
      </c>
      <c r="V129" s="7" t="n">
        <v>1305.8</v>
      </c>
      <c r="X129" s="7" t="n">
        <v>1294.3</v>
      </c>
      <c r="Z129" s="7" t="n">
        <v>1076.4</v>
      </c>
      <c r="AB129" s="7" t="n">
        <v>14745.8</v>
      </c>
    </row>
    <row r="130">
      <c r="A130" s="4" t="inlineStr">
        <is>
          <t>交通补助</t>
        </is>
      </c>
      <c r="D130" s="7" t="n">
        <v>447.2</v>
      </c>
      <c r="F130" s="7" t="n">
        <v>508.2</v>
      </c>
      <c r="H130" s="7" t="n">
        <v>588.4</v>
      </c>
      <c r="J130" s="7" t="n">
        <v>736.5</v>
      </c>
      <c r="L130" s="7" t="n">
        <v>1284.8</v>
      </c>
      <c r="N130" s="7" t="n">
        <v>518.6</v>
      </c>
      <c r="P130" s="7" t="n">
        <v>939.5</v>
      </c>
      <c r="R130" s="7" t="n">
        <v>699.6</v>
      </c>
      <c r="T130" s="7" t="n">
        <v>863.8</v>
      </c>
      <c r="V130" s="7" t="n">
        <v>927.5</v>
      </c>
      <c r="X130" s="7" t="n">
        <v>591.5</v>
      </c>
      <c r="Z130" s="7" t="n">
        <v>379.5</v>
      </c>
      <c r="AB130" s="7" t="n">
        <v>8485.1</v>
      </c>
    </row>
    <row r="131">
      <c r="A131" s="4" t="inlineStr">
        <is>
          <t>通讯补助</t>
        </is>
      </c>
      <c r="D131" s="7" t="n">
        <v>552.5</v>
      </c>
      <c r="F131" s="7" t="n">
        <v>671.1</v>
      </c>
      <c r="H131" s="7" t="n">
        <v>770.6</v>
      </c>
      <c r="J131" s="7" t="n">
        <v>678.6</v>
      </c>
      <c r="L131" s="7" t="n">
        <v>1433.7</v>
      </c>
      <c r="N131" s="7" t="n">
        <v>579.2</v>
      </c>
      <c r="P131" s="7" t="n">
        <v>774.2</v>
      </c>
      <c r="R131" s="7" t="n">
        <v>750.8</v>
      </c>
      <c r="T131" s="7" t="n">
        <v>995.9</v>
      </c>
      <c r="V131" s="7" t="n">
        <v>911</v>
      </c>
      <c r="X131" s="7" t="n">
        <v>766</v>
      </c>
      <c r="Z131" s="7" t="n">
        <v>467.4</v>
      </c>
      <c r="AB131" s="7" t="n">
        <v>9351</v>
      </c>
    </row>
    <row r="132">
      <c r="A132" s="4" t="inlineStr">
        <is>
          <t>招待费</t>
        </is>
      </c>
      <c r="D132" s="7" t="n">
        <v>6172.2</v>
      </c>
      <c r="F132" s="7" t="n">
        <v>7167.3</v>
      </c>
      <c r="H132" s="7" t="n">
        <v>7575.3</v>
      </c>
      <c r="J132" s="7" t="n">
        <v>9471.799999999999</v>
      </c>
      <c r="L132" s="7" t="n">
        <v>15391.1</v>
      </c>
      <c r="N132" s="7" t="n">
        <v>5484.1</v>
      </c>
      <c r="P132" s="7" t="n">
        <v>11663.5</v>
      </c>
      <c r="R132" s="7" t="n">
        <v>10309.5</v>
      </c>
      <c r="T132" s="7" t="n">
        <v>10389.4</v>
      </c>
      <c r="V132" s="7" t="n">
        <v>9440.799999999999</v>
      </c>
      <c r="X132" s="7" t="n">
        <v>6611.7</v>
      </c>
      <c r="Z132" s="7" t="n">
        <v>6375.7</v>
      </c>
      <c r="AB132" s="7" t="n">
        <v>106052.4</v>
      </c>
    </row>
    <row r="133">
      <c r="A133" s="4" t="inlineStr">
        <is>
          <t>通讯费</t>
        </is>
      </c>
      <c r="D133" s="7" t="n">
        <v>542.1</v>
      </c>
      <c r="F133" s="7" t="n">
        <v>792.8</v>
      </c>
      <c r="H133" s="7" t="n">
        <v>809.5</v>
      </c>
      <c r="J133" s="7" t="n">
        <v>1168.4</v>
      </c>
      <c r="L133" s="7" t="n">
        <v>1186.8</v>
      </c>
      <c r="N133" s="7" t="n">
        <v>624.4</v>
      </c>
      <c r="P133" s="7" t="n">
        <v>1274.2</v>
      </c>
      <c r="R133" s="7" t="n">
        <v>800.6</v>
      </c>
      <c r="T133" s="7" t="n">
        <v>626.3</v>
      </c>
      <c r="V133" s="7" t="n">
        <v>1342.2</v>
      </c>
      <c r="X133" s="7" t="n">
        <v>848.7</v>
      </c>
      <c r="Z133" s="7" t="n">
        <v>630.7</v>
      </c>
      <c r="AB133" s="7" t="n">
        <v>10646.7</v>
      </c>
    </row>
    <row r="134">
      <c r="A134" s="4" t="inlineStr">
        <is>
          <t>网络费</t>
        </is>
      </c>
      <c r="D134" s="7" t="n">
        <v>137.7</v>
      </c>
      <c r="F134" s="7" t="n">
        <v>144.2</v>
      </c>
      <c r="H134" s="7" t="n">
        <v>119.3</v>
      </c>
      <c r="J134" s="7" t="n">
        <v>186.1</v>
      </c>
      <c r="L134" s="7" t="n">
        <v>305</v>
      </c>
      <c r="N134" s="7" t="n">
        <v>91.90000000000001</v>
      </c>
      <c r="P134" s="7" t="n">
        <v>216.3</v>
      </c>
      <c r="R134" s="7" t="n">
        <v>184.6</v>
      </c>
      <c r="T134" s="7" t="n">
        <v>127.4</v>
      </c>
      <c r="V134" s="7" t="n">
        <v>180.7</v>
      </c>
      <c r="X134" s="7" t="n">
        <v>145.5</v>
      </c>
      <c r="Z134" s="7" t="n">
        <v>121.9</v>
      </c>
      <c r="AB134" s="7" t="n">
        <v>1960.6</v>
      </c>
    </row>
    <row r="135">
      <c r="A135" s="4" t="inlineStr">
        <is>
          <t>修理费</t>
        </is>
      </c>
      <c r="D135" s="7" t="n">
        <v>80.5</v>
      </c>
      <c r="F135" s="7" t="n">
        <v>170.8</v>
      </c>
      <c r="H135" s="7" t="n">
        <v>122.2</v>
      </c>
      <c r="J135" s="7" t="n">
        <v>207.2</v>
      </c>
      <c r="L135" s="7" t="n">
        <v>249.2</v>
      </c>
      <c r="N135" s="7" t="n">
        <v>102</v>
      </c>
      <c r="P135" s="7" t="n">
        <v>227.5</v>
      </c>
      <c r="R135" s="7" t="n">
        <v>125</v>
      </c>
      <c r="T135" s="7" t="n">
        <v>142.8</v>
      </c>
      <c r="V135" s="7" t="n">
        <v>169</v>
      </c>
      <c r="X135" s="7" t="n">
        <v>121.8</v>
      </c>
      <c r="Z135" s="7" t="n">
        <v>137.3</v>
      </c>
      <c r="AB135" s="7" t="n">
        <v>1855.3</v>
      </c>
    </row>
    <row r="136">
      <c r="A136" s="4" t="inlineStr">
        <is>
          <t>车辆费</t>
        </is>
      </c>
      <c r="D136" s="7" t="n">
        <v>786.1</v>
      </c>
      <c r="F136" s="7" t="n">
        <v>803.8</v>
      </c>
      <c r="H136" s="7" t="n">
        <v>809.8</v>
      </c>
      <c r="J136" s="7" t="n">
        <v>1003.9</v>
      </c>
      <c r="L136" s="7" t="n">
        <v>2538.9</v>
      </c>
      <c r="N136" s="7" t="n">
        <v>858.1</v>
      </c>
      <c r="P136" s="7" t="n">
        <v>1353.3</v>
      </c>
      <c r="R136" s="7" t="n">
        <v>1351.2</v>
      </c>
      <c r="T136" s="7" t="n">
        <v>1175.7</v>
      </c>
      <c r="V136" s="7" t="n">
        <v>1168.7</v>
      </c>
      <c r="X136" s="7" t="n">
        <v>1043.5</v>
      </c>
      <c r="Z136" s="7" t="n">
        <v>1157.8</v>
      </c>
      <c r="AB136" s="7" t="n">
        <v>14050.8</v>
      </c>
    </row>
    <row r="137">
      <c r="A137" s="4" t="inlineStr">
        <is>
          <t>租赁费</t>
        </is>
      </c>
      <c r="D137" s="7" t="n">
        <v>5015.8</v>
      </c>
      <c r="F137" s="7" t="n">
        <v>7944.7</v>
      </c>
      <c r="H137" s="7" t="n">
        <v>5980.5</v>
      </c>
      <c r="J137" s="7" t="n">
        <v>13313.7</v>
      </c>
      <c r="L137" s="7" t="n">
        <v>17351.2</v>
      </c>
      <c r="N137" s="7" t="n">
        <v>4844.5</v>
      </c>
      <c r="P137" s="7" t="n">
        <v>12089.9</v>
      </c>
      <c r="R137" s="7" t="n">
        <v>7296.4</v>
      </c>
      <c r="T137" s="7" t="n">
        <v>12497.8</v>
      </c>
      <c r="V137" s="7" t="n">
        <v>14774.2</v>
      </c>
      <c r="X137" s="7" t="n">
        <v>10343.7</v>
      </c>
      <c r="Z137" s="7" t="n">
        <v>9920.200000000001</v>
      </c>
      <c r="AB137" s="7" t="n">
        <v>121372.6</v>
      </c>
    </row>
    <row r="138">
      <c r="A138" s="4" t="inlineStr">
        <is>
          <t>能源费</t>
        </is>
      </c>
      <c r="D138" s="7" t="n">
        <v>1068</v>
      </c>
      <c r="F138" s="7" t="n">
        <v>1266.6</v>
      </c>
      <c r="H138" s="7" t="n">
        <v>1144.7</v>
      </c>
      <c r="J138" s="7" t="n">
        <v>1608.1</v>
      </c>
      <c r="L138" s="7" t="n">
        <v>2801.8</v>
      </c>
      <c r="N138" s="7" t="n">
        <v>1167.4</v>
      </c>
      <c r="P138" s="7" t="n">
        <v>2370.6</v>
      </c>
      <c r="R138" s="7" t="n">
        <v>1694.6</v>
      </c>
      <c r="T138" s="7" t="n">
        <v>1481.9</v>
      </c>
      <c r="V138" s="7" t="n">
        <v>2178.8</v>
      </c>
      <c r="X138" s="7" t="n">
        <v>1156.9</v>
      </c>
      <c r="Z138" s="7" t="n">
        <v>1192.2</v>
      </c>
      <c r="AB138" s="7" t="n">
        <v>19131.6</v>
      </c>
    </row>
    <row r="139">
      <c r="A139" s="4" t="inlineStr">
        <is>
          <t>水费</t>
        </is>
      </c>
      <c r="D139" s="7" t="n">
        <v>125.3</v>
      </c>
      <c r="F139" s="7" t="n">
        <v>238.5</v>
      </c>
      <c r="H139" s="7" t="n">
        <v>124.8</v>
      </c>
      <c r="J139" s="7" t="n">
        <v>175.4</v>
      </c>
      <c r="L139" s="7" t="n">
        <v>405.9</v>
      </c>
      <c r="N139" s="7" t="n">
        <v>204.6</v>
      </c>
      <c r="P139" s="7" t="n">
        <v>382.3</v>
      </c>
      <c r="R139" s="7" t="n">
        <v>280.7</v>
      </c>
      <c r="T139" s="7" t="n">
        <v>207.6</v>
      </c>
      <c r="V139" s="7" t="n">
        <v>289.9</v>
      </c>
      <c r="X139" s="7" t="n">
        <v>180.1</v>
      </c>
      <c r="Z139" s="7" t="n">
        <v>146.6</v>
      </c>
      <c r="AB139" s="7" t="n">
        <v>2761.7</v>
      </c>
    </row>
    <row r="140">
      <c r="A140" s="4" t="inlineStr">
        <is>
          <t>电费</t>
        </is>
      </c>
      <c r="D140" s="7" t="n">
        <v>575.1</v>
      </c>
      <c r="F140" s="7" t="n">
        <v>583.9</v>
      </c>
      <c r="H140" s="7" t="n">
        <v>539.2</v>
      </c>
      <c r="J140" s="7" t="n">
        <v>919.7</v>
      </c>
      <c r="L140" s="7" t="n">
        <v>1451.8</v>
      </c>
      <c r="N140" s="7" t="n">
        <v>591.9</v>
      </c>
      <c r="P140" s="7" t="n">
        <v>1110.3</v>
      </c>
      <c r="R140" s="7" t="n">
        <v>712.3</v>
      </c>
      <c r="T140" s="7" t="n">
        <v>638.1</v>
      </c>
      <c r="V140" s="7" t="n">
        <v>937.6</v>
      </c>
      <c r="X140" s="7" t="n">
        <v>445.4</v>
      </c>
      <c r="Z140" s="7" t="n">
        <v>547</v>
      </c>
      <c r="AB140" s="7" t="n">
        <v>9052.299999999999</v>
      </c>
    </row>
    <row r="141">
      <c r="A141" s="4" t="inlineStr">
        <is>
          <t>燃气费</t>
        </is>
      </c>
      <c r="D141" s="7" t="n">
        <v>278.2</v>
      </c>
      <c r="F141" s="7" t="n">
        <v>321.9</v>
      </c>
      <c r="H141" s="7" t="n">
        <v>394.4</v>
      </c>
      <c r="J141" s="7" t="n">
        <v>375.8</v>
      </c>
      <c r="L141" s="7" t="n">
        <v>713.2</v>
      </c>
      <c r="N141" s="7" t="n">
        <v>279.9</v>
      </c>
      <c r="P141" s="7" t="n">
        <v>720.4</v>
      </c>
      <c r="R141" s="7" t="n">
        <v>566</v>
      </c>
      <c r="T141" s="7" t="n">
        <v>529.3</v>
      </c>
      <c r="V141" s="7" t="n">
        <v>786.8</v>
      </c>
      <c r="X141" s="7" t="n">
        <v>424.6</v>
      </c>
      <c r="Z141" s="7" t="n">
        <v>416</v>
      </c>
      <c r="AB141" s="7" t="n">
        <v>5806.5</v>
      </c>
    </row>
    <row r="142">
      <c r="A142" s="4" t="inlineStr">
        <is>
          <t>蒸汽费</t>
        </is>
      </c>
      <c r="D142" s="7" t="n">
        <v>89.40000000000001</v>
      </c>
      <c r="F142" s="7" t="n">
        <v>122.3</v>
      </c>
      <c r="H142" s="7" t="n">
        <v>86.3</v>
      </c>
      <c r="J142" s="7" t="n">
        <v>137.2</v>
      </c>
      <c r="L142" s="7" t="n">
        <v>230.9</v>
      </c>
      <c r="N142" s="7" t="n">
        <v>91</v>
      </c>
      <c r="P142" s="7" t="n">
        <v>157.6</v>
      </c>
      <c r="R142" s="7" t="n">
        <v>135.6</v>
      </c>
      <c r="T142" s="7" t="n">
        <v>106.9</v>
      </c>
      <c r="V142" s="7" t="n">
        <v>164.5</v>
      </c>
      <c r="X142" s="7" t="n">
        <v>106.8</v>
      </c>
      <c r="Z142" s="7" t="n">
        <v>82.59999999999999</v>
      </c>
      <c r="AB142" s="7" t="n">
        <v>1511.1</v>
      </c>
    </row>
    <row r="143">
      <c r="A143" s="4" t="inlineStr">
        <is>
          <t>物业费</t>
        </is>
      </c>
      <c r="D143" s="7" t="n">
        <v>807.2</v>
      </c>
      <c r="F143" s="7" t="n">
        <v>1023.4</v>
      </c>
      <c r="H143" s="7" t="n">
        <v>692.8</v>
      </c>
      <c r="J143" s="7" t="n">
        <v>921.4</v>
      </c>
      <c r="L143" s="7" t="n">
        <v>1610.4</v>
      </c>
      <c r="N143" s="7" t="n">
        <v>885</v>
      </c>
      <c r="P143" s="7" t="n">
        <v>1714.2</v>
      </c>
      <c r="R143" s="7" t="n">
        <v>1114.1</v>
      </c>
      <c r="T143" s="7" t="n">
        <v>1612.8</v>
      </c>
      <c r="V143" s="7" t="n">
        <v>2048.9</v>
      </c>
      <c r="X143" s="7" t="n">
        <v>1225</v>
      </c>
      <c r="Z143" s="7" t="n">
        <v>1079.8</v>
      </c>
      <c r="AB143" s="7" t="n">
        <v>14735</v>
      </c>
    </row>
    <row r="144">
      <c r="A144" s="4" t="inlineStr">
        <is>
          <t>劳动保护费</t>
        </is>
      </c>
      <c r="D144" s="7" t="n">
        <v>342.1</v>
      </c>
      <c r="F144" s="7" t="n">
        <v>754.4</v>
      </c>
      <c r="H144" s="7" t="n">
        <v>456.7</v>
      </c>
      <c r="J144" s="7" t="n">
        <v>758.5</v>
      </c>
      <c r="L144" s="7" t="n">
        <v>1463.2</v>
      </c>
      <c r="N144" s="7" t="n">
        <v>489.2</v>
      </c>
      <c r="P144" s="7" t="n">
        <v>974.6</v>
      </c>
      <c r="R144" s="7" t="n">
        <v>805.6</v>
      </c>
      <c r="T144" s="7" t="n">
        <v>709.9</v>
      </c>
      <c r="V144" s="7" t="n">
        <v>717.2</v>
      </c>
      <c r="X144" s="7" t="n">
        <v>519.1</v>
      </c>
      <c r="Z144" s="7" t="n">
        <v>438.2</v>
      </c>
      <c r="AB144" s="7" t="n">
        <v>8428.700000000001</v>
      </c>
    </row>
    <row r="145">
      <c r="A145" s="4" t="inlineStr">
        <is>
          <t>顾问费</t>
        </is>
      </c>
      <c r="D145" s="7" t="n">
        <v>630.8</v>
      </c>
      <c r="F145" s="7" t="n">
        <v>1299.7</v>
      </c>
      <c r="H145" s="7" t="n">
        <v>1155.7</v>
      </c>
      <c r="J145" s="7" t="n">
        <v>1505.7</v>
      </c>
      <c r="L145" s="7" t="n">
        <v>2187.4</v>
      </c>
      <c r="N145" s="7" t="n">
        <v>703.4</v>
      </c>
      <c r="P145" s="7" t="n">
        <v>1515</v>
      </c>
      <c r="R145" s="7" t="n">
        <v>1441.4</v>
      </c>
      <c r="T145" s="7" t="n">
        <v>1584.6</v>
      </c>
      <c r="V145" s="7" t="n">
        <v>1366.4</v>
      </c>
      <c r="X145" s="7" t="n">
        <v>1366.5</v>
      </c>
      <c r="Z145" s="7" t="n">
        <v>1217</v>
      </c>
      <c r="AB145" s="7" t="n">
        <v>15973.6</v>
      </c>
    </row>
    <row r="146">
      <c r="A146" s="4" t="inlineStr">
        <is>
          <t>快递费</t>
        </is>
      </c>
      <c r="D146" s="7" t="n">
        <v>473.9</v>
      </c>
      <c r="F146" s="7" t="n">
        <v>660.6</v>
      </c>
      <c r="H146" s="7" t="n">
        <v>574.8</v>
      </c>
      <c r="J146" s="7" t="n">
        <v>1055.2</v>
      </c>
      <c r="L146" s="7" t="n">
        <v>1130.2</v>
      </c>
      <c r="N146" s="7" t="n">
        <v>807.1</v>
      </c>
      <c r="P146" s="7" t="n">
        <v>999.4</v>
      </c>
      <c r="R146" s="7" t="n">
        <v>1059.4</v>
      </c>
      <c r="T146" s="7" t="n">
        <v>1178.5</v>
      </c>
      <c r="V146" s="7" t="n">
        <v>934.6</v>
      </c>
      <c r="X146" s="7" t="n">
        <v>671.2</v>
      </c>
      <c r="Z146" s="7" t="n">
        <v>864.8</v>
      </c>
      <c r="AB146" s="7" t="n">
        <v>10409.7</v>
      </c>
    </row>
    <row r="147">
      <c r="A147" s="4" t="inlineStr">
        <is>
          <t>诉讼费</t>
        </is>
      </c>
      <c r="D147" s="7" t="n">
        <v>959.6</v>
      </c>
      <c r="F147" s="7" t="n">
        <v>1211.5</v>
      </c>
      <c r="H147" s="7" t="n">
        <v>973.4</v>
      </c>
      <c r="J147" s="7" t="n">
        <v>1048.3</v>
      </c>
      <c r="L147" s="7" t="n">
        <v>2236</v>
      </c>
      <c r="N147" s="7" t="n">
        <v>546.2</v>
      </c>
      <c r="P147" s="7" t="n">
        <v>1111.6</v>
      </c>
      <c r="R147" s="7" t="n">
        <v>941</v>
      </c>
      <c r="T147" s="7" t="n">
        <v>1206.9</v>
      </c>
      <c r="V147" s="7" t="n">
        <v>1907.3</v>
      </c>
      <c r="X147" s="7" t="n">
        <v>884.7</v>
      </c>
      <c r="Z147" s="7" t="n">
        <v>885.3</v>
      </c>
      <c r="AB147" s="7" t="n">
        <v>13911.8</v>
      </c>
    </row>
    <row r="148">
      <c r="A148" s="4" t="inlineStr">
        <is>
          <t>会员费</t>
        </is>
      </c>
      <c r="D148" s="7" t="n">
        <v>831</v>
      </c>
      <c r="F148" s="7" t="n">
        <v>801.6</v>
      </c>
      <c r="H148" s="7" t="n">
        <v>1037.8</v>
      </c>
      <c r="J148" s="7" t="n">
        <v>1347.5</v>
      </c>
      <c r="L148" s="7" t="n">
        <v>1668.2</v>
      </c>
      <c r="N148" s="7" t="n">
        <v>870</v>
      </c>
      <c r="P148" s="7" t="n">
        <v>1397</v>
      </c>
      <c r="R148" s="7" t="n">
        <v>1093.6</v>
      </c>
      <c r="T148" s="7" t="n">
        <v>987.2</v>
      </c>
      <c r="V148" s="7" t="n">
        <v>2000.3</v>
      </c>
      <c r="X148" s="7" t="n">
        <v>1147.1</v>
      </c>
      <c r="Z148" s="7" t="n">
        <v>876.2</v>
      </c>
      <c r="AB148" s="7" t="n">
        <v>14057.5</v>
      </c>
    </row>
    <row r="149">
      <c r="A149" s="4" t="inlineStr">
        <is>
          <t>广告宣传费</t>
        </is>
      </c>
      <c r="D149" s="7" t="n">
        <v>4337.6</v>
      </c>
      <c r="F149" s="7" t="n">
        <v>5551.3</v>
      </c>
      <c r="H149" s="7" t="n">
        <v>4198.3</v>
      </c>
      <c r="J149" s="7" t="n">
        <v>6984.8</v>
      </c>
      <c r="L149" s="7" t="n">
        <v>9919.6</v>
      </c>
      <c r="N149" s="7" t="n">
        <v>4540.3</v>
      </c>
      <c r="P149" s="7" t="n">
        <v>6497.5</v>
      </c>
      <c r="R149" s="7" t="n">
        <v>6613.6</v>
      </c>
      <c r="T149" s="7" t="n">
        <v>4639.8</v>
      </c>
      <c r="V149" s="7" t="n">
        <v>10600.8</v>
      </c>
      <c r="X149" s="7" t="n">
        <v>5070.3</v>
      </c>
      <c r="Z149" s="7" t="n">
        <v>3786.1</v>
      </c>
      <c r="AB149" s="7" t="n">
        <v>72740</v>
      </c>
    </row>
    <row r="150">
      <c r="A150" s="4" t="inlineStr">
        <is>
          <t>会务费</t>
        </is>
      </c>
      <c r="D150" s="7" t="n">
        <v>370.7</v>
      </c>
      <c r="F150" s="7" t="n">
        <v>315.3</v>
      </c>
      <c r="H150" s="7" t="n">
        <v>355.3</v>
      </c>
      <c r="J150" s="7" t="n">
        <v>562.8</v>
      </c>
      <c r="L150" s="7" t="n">
        <v>687.5</v>
      </c>
      <c r="N150" s="7" t="n">
        <v>302.4</v>
      </c>
      <c r="P150" s="7" t="n">
        <v>485.6</v>
      </c>
      <c r="R150" s="7" t="n">
        <v>455.6</v>
      </c>
      <c r="T150" s="7" t="n">
        <v>330.3</v>
      </c>
      <c r="V150" s="7" t="n">
        <v>471.5</v>
      </c>
      <c r="X150" s="7" t="n">
        <v>436.1</v>
      </c>
      <c r="Z150" s="7" t="n">
        <v>411.5</v>
      </c>
      <c r="AB150" s="7" t="n">
        <v>5184.6</v>
      </c>
    </row>
    <row r="151">
      <c r="A151" s="4" t="inlineStr">
        <is>
          <t>装修费</t>
        </is>
      </c>
      <c r="D151" s="7" t="n">
        <v>877.8</v>
      </c>
      <c r="F151" s="7" t="n">
        <v>1070.3</v>
      </c>
      <c r="H151" s="7" t="n">
        <v>722.2</v>
      </c>
      <c r="J151" s="7" t="n">
        <v>1684</v>
      </c>
      <c r="L151" s="7" t="n">
        <v>2085.5</v>
      </c>
      <c r="N151" s="7" t="n">
        <v>657.7</v>
      </c>
      <c r="P151" s="7" t="n">
        <v>1355</v>
      </c>
      <c r="R151" s="7" t="n">
        <v>1522.5</v>
      </c>
      <c r="T151" s="7" t="n">
        <v>1015.7</v>
      </c>
      <c r="V151" s="7" t="n">
        <v>2053.1</v>
      </c>
      <c r="X151" s="7" t="n">
        <v>1255.3</v>
      </c>
      <c r="Z151" s="7" t="n">
        <v>820.4</v>
      </c>
      <c r="AB151" s="7" t="n">
        <v>15119.5</v>
      </c>
    </row>
    <row r="152">
      <c r="A152" s="4" t="inlineStr">
        <is>
          <t>推广费</t>
        </is>
      </c>
      <c r="D152" s="7" t="n">
        <v>529.9</v>
      </c>
      <c r="F152" s="7" t="n">
        <v>545.2</v>
      </c>
      <c r="H152" s="7" t="n">
        <v>637.5</v>
      </c>
      <c r="J152" s="7" t="n">
        <v>609.1</v>
      </c>
      <c r="L152" s="7" t="n">
        <v>1734.2</v>
      </c>
      <c r="N152" s="7" t="n">
        <v>645.3</v>
      </c>
      <c r="P152" s="7" t="n">
        <v>852.5</v>
      </c>
      <c r="R152" s="7" t="n">
        <v>678.9</v>
      </c>
      <c r="T152" s="7" t="n">
        <v>722.7</v>
      </c>
      <c r="V152" s="7" t="n">
        <v>1196</v>
      </c>
      <c r="X152" s="7" t="n">
        <v>871.5</v>
      </c>
      <c r="Z152" s="7" t="n">
        <v>568.8</v>
      </c>
      <c r="AB152" s="7" t="n">
        <v>9591.6</v>
      </c>
    </row>
    <row r="153">
      <c r="A153" s="4" t="inlineStr">
        <is>
          <t>展会费</t>
        </is>
      </c>
      <c r="D153" s="7" t="n">
        <v>1065.2</v>
      </c>
      <c r="F153" s="7" t="n">
        <v>975.5</v>
      </c>
      <c r="H153" s="7" t="n">
        <v>763.4</v>
      </c>
      <c r="J153" s="7" t="n">
        <v>1410.6</v>
      </c>
      <c r="L153" s="7" t="n">
        <v>1987</v>
      </c>
      <c r="N153" s="7" t="n">
        <v>680.4</v>
      </c>
      <c r="P153" s="7" t="n">
        <v>1416.7</v>
      </c>
      <c r="R153" s="7" t="n">
        <v>936.9</v>
      </c>
      <c r="T153" s="7" t="n">
        <v>1015.5</v>
      </c>
      <c r="V153" s="7" t="n">
        <v>1448.7</v>
      </c>
      <c r="X153" s="7" t="n">
        <v>1161.2</v>
      </c>
      <c r="Z153" s="7" t="n">
        <v>935.4</v>
      </c>
      <c r="AB153" s="7" t="n">
        <v>13796.5</v>
      </c>
    </row>
    <row r="154">
      <c r="A154" s="4" t="inlineStr">
        <is>
          <t>设计费</t>
        </is>
      </c>
      <c r="D154" s="7" t="n">
        <v>578</v>
      </c>
      <c r="F154" s="7" t="n">
        <v>832.8</v>
      </c>
      <c r="H154" s="7" t="n">
        <v>867.7</v>
      </c>
      <c r="J154" s="7" t="n">
        <v>1230.9</v>
      </c>
      <c r="L154" s="7" t="n">
        <v>1531.7</v>
      </c>
      <c r="N154" s="7" t="n">
        <v>1007.1</v>
      </c>
      <c r="P154" s="7" t="n">
        <v>1089.4</v>
      </c>
      <c r="R154" s="7" t="n">
        <v>1292.5</v>
      </c>
      <c r="T154" s="7" t="n">
        <v>1086.8</v>
      </c>
      <c r="V154" s="7" t="n">
        <v>1659.9</v>
      </c>
      <c r="X154" s="7" t="n">
        <v>1041.5</v>
      </c>
      <c r="Z154" s="7" t="n">
        <v>713.9</v>
      </c>
      <c r="AB154" s="7" t="n">
        <v>12932.2</v>
      </c>
    </row>
    <row r="155">
      <c r="A155" s="4" t="inlineStr">
        <is>
          <t>折旧费</t>
        </is>
      </c>
      <c r="D155" s="7" t="n">
        <v>6872.5</v>
      </c>
      <c r="F155" s="7" t="n">
        <v>6344.3</v>
      </c>
      <c r="H155" s="7" t="n">
        <v>4694.7</v>
      </c>
      <c r="J155" s="7" t="n">
        <v>6352.1</v>
      </c>
      <c r="L155" s="7" t="n">
        <v>11462.4</v>
      </c>
      <c r="N155" s="7" t="n">
        <v>5121.5</v>
      </c>
      <c r="P155" s="7" t="n">
        <v>10781.3</v>
      </c>
      <c r="R155" s="7" t="n">
        <v>9678.799999999999</v>
      </c>
      <c r="T155" s="7" t="n">
        <v>9339.700000000001</v>
      </c>
      <c r="V155" s="7" t="n">
        <v>8787.9</v>
      </c>
      <c r="X155" s="7" t="n">
        <v>5682.1</v>
      </c>
      <c r="Z155" s="7" t="n">
        <v>6711.8</v>
      </c>
      <c r="AB155" s="7" t="n">
        <v>91829.10000000001</v>
      </c>
    </row>
    <row r="156">
      <c r="A156" s="4" t="inlineStr">
        <is>
          <t>认证费</t>
        </is>
      </c>
      <c r="D156" s="7" t="n">
        <v>375.2</v>
      </c>
      <c r="F156" s="7" t="n">
        <v>692.4</v>
      </c>
      <c r="H156" s="7" t="n">
        <v>687.9</v>
      </c>
      <c r="J156" s="7" t="n">
        <v>972</v>
      </c>
      <c r="L156" s="7" t="n">
        <v>1370.1</v>
      </c>
      <c r="N156" s="7" t="n">
        <v>443</v>
      </c>
      <c r="P156" s="7" t="n">
        <v>1026.9</v>
      </c>
      <c r="R156" s="7" t="n">
        <v>729.9</v>
      </c>
      <c r="T156" s="7" t="n">
        <v>853.8</v>
      </c>
      <c r="V156" s="7" t="n">
        <v>1167.6</v>
      </c>
      <c r="X156" s="7" t="n">
        <v>671.5</v>
      </c>
      <c r="Z156" s="7" t="n">
        <v>522.3</v>
      </c>
      <c r="AB156" s="7" t="n">
        <v>9512.6</v>
      </c>
    </row>
    <row r="157">
      <c r="A157" s="4" t="inlineStr">
        <is>
          <t>样品费</t>
        </is>
      </c>
      <c r="D157" s="7" t="n">
        <v>3526.5</v>
      </c>
      <c r="F157" s="7" t="n">
        <v>3346.8</v>
      </c>
      <c r="H157" s="7" t="n">
        <v>3737.6</v>
      </c>
      <c r="J157" s="7" t="n">
        <v>3299.4</v>
      </c>
      <c r="L157" s="7" t="n">
        <v>6970.5</v>
      </c>
      <c r="N157" s="7" t="n">
        <v>2525.9</v>
      </c>
      <c r="P157" s="7" t="n">
        <v>4086.8</v>
      </c>
      <c r="R157" s="7" t="n">
        <v>4407.8</v>
      </c>
      <c r="T157" s="7" t="n">
        <v>3235.8</v>
      </c>
      <c r="V157" s="7" t="n">
        <v>7289.7</v>
      </c>
      <c r="X157" s="7" t="n">
        <v>4423</v>
      </c>
      <c r="Z157" s="7" t="n">
        <v>3830.1</v>
      </c>
      <c r="AB157" s="7" t="n">
        <v>50679.9</v>
      </c>
    </row>
    <row r="158">
      <c r="A158" s="4" t="inlineStr">
        <is>
          <t>劳务费</t>
        </is>
      </c>
      <c r="D158" s="7" t="n">
        <v>234.6</v>
      </c>
      <c r="F158" s="7" t="n">
        <v>491.2</v>
      </c>
      <c r="H158" s="7" t="n">
        <v>283.4</v>
      </c>
      <c r="J158" s="7" t="n">
        <v>490.7</v>
      </c>
      <c r="L158" s="7" t="n">
        <v>927.3</v>
      </c>
      <c r="N158" s="7" t="n">
        <v>341</v>
      </c>
      <c r="P158" s="7" t="n">
        <v>524.3</v>
      </c>
      <c r="R158" s="7" t="n">
        <v>462.7</v>
      </c>
      <c r="T158" s="7" t="n">
        <v>584.4</v>
      </c>
      <c r="V158" s="7" t="n">
        <v>626.4</v>
      </c>
      <c r="X158" s="7" t="n">
        <v>519.7</v>
      </c>
      <c r="Z158" s="7" t="n">
        <v>358.3</v>
      </c>
      <c r="AB158" s="7" t="n">
        <v>5844</v>
      </c>
    </row>
    <row r="159">
      <c r="A159" s="4" t="inlineStr">
        <is>
          <t>销售佣金</t>
        </is>
      </c>
      <c r="D159" s="7" t="n">
        <v>425.9</v>
      </c>
      <c r="F159" s="7" t="n">
        <v>455.2</v>
      </c>
      <c r="H159" s="7" t="n">
        <v>381.6</v>
      </c>
      <c r="J159" s="7" t="n">
        <v>523.9</v>
      </c>
      <c r="L159" s="7" t="n">
        <v>836.7</v>
      </c>
      <c r="N159" s="7" t="n">
        <v>354.7</v>
      </c>
      <c r="P159" s="7" t="n">
        <v>806.9</v>
      </c>
      <c r="R159" s="7" t="n">
        <v>459.4</v>
      </c>
      <c r="T159" s="7" t="n">
        <v>457.2</v>
      </c>
      <c r="V159" s="7" t="n">
        <v>635.2</v>
      </c>
      <c r="X159" s="7" t="n">
        <v>380.7</v>
      </c>
      <c r="Z159" s="7" t="n">
        <v>522.4</v>
      </c>
      <c r="AB159" s="7" t="n">
        <v>6239.8</v>
      </c>
    </row>
    <row r="160">
      <c r="A160" s="4" t="inlineStr">
        <is>
          <t>检测费</t>
        </is>
      </c>
      <c r="D160" s="7" t="n">
        <v>631.7</v>
      </c>
      <c r="F160" s="7" t="n">
        <v>922.2</v>
      </c>
      <c r="H160" s="7" t="n">
        <v>664.2</v>
      </c>
      <c r="J160" s="7" t="n">
        <v>1043.3</v>
      </c>
      <c r="L160" s="7" t="n">
        <v>1393.4</v>
      </c>
      <c r="N160" s="7" t="n">
        <v>647.5</v>
      </c>
      <c r="P160" s="7" t="n">
        <v>930</v>
      </c>
      <c r="R160" s="7" t="n">
        <v>691</v>
      </c>
      <c r="T160" s="7" t="n">
        <v>665.2</v>
      </c>
      <c r="V160" s="7" t="n">
        <v>1343.1</v>
      </c>
      <c r="X160" s="7" t="n">
        <v>647.6</v>
      </c>
      <c r="Z160" s="7" t="n">
        <v>808.1</v>
      </c>
      <c r="AB160" s="7" t="n">
        <v>10387.3</v>
      </c>
    </row>
    <row r="161">
      <c r="A161" s="4" t="inlineStr">
        <is>
          <t>质量赔偿</t>
        </is>
      </c>
      <c r="D161" s="7" t="n">
        <v>744.1</v>
      </c>
      <c r="F161" s="7" t="n">
        <v>638.2</v>
      </c>
      <c r="H161" s="7" t="n">
        <v>629.7</v>
      </c>
      <c r="J161" s="7" t="n">
        <v>1090.9</v>
      </c>
      <c r="L161" s="7" t="n">
        <v>1375.5</v>
      </c>
      <c r="N161" s="7" t="n">
        <v>651.6</v>
      </c>
      <c r="P161" s="7" t="n">
        <v>1333.2</v>
      </c>
      <c r="R161" s="7" t="n">
        <v>835.9</v>
      </c>
      <c r="T161" s="7" t="n">
        <v>986.4</v>
      </c>
      <c r="V161" s="7" t="n">
        <v>1614.1</v>
      </c>
      <c r="X161" s="7" t="n">
        <v>805.2</v>
      </c>
      <c r="Z161" s="7" t="n">
        <v>870.6</v>
      </c>
      <c r="AB161" s="7" t="n">
        <v>11575.4</v>
      </c>
    </row>
    <row r="162">
      <c r="A162" s="4" t="inlineStr">
        <is>
          <t>保险费</t>
        </is>
      </c>
      <c r="D162" s="7" t="n">
        <v>280.5</v>
      </c>
      <c r="F162" s="7" t="n">
        <v>320</v>
      </c>
      <c r="H162" s="7" t="n">
        <v>212.3</v>
      </c>
      <c r="J162" s="7" t="n">
        <v>351.4</v>
      </c>
      <c r="L162" s="7" t="n">
        <v>714.7</v>
      </c>
      <c r="N162" s="7" t="n">
        <v>202.3</v>
      </c>
      <c r="P162" s="7" t="n">
        <v>440.8</v>
      </c>
      <c r="R162" s="7" t="n">
        <v>358.1</v>
      </c>
      <c r="T162" s="7" t="n">
        <v>440</v>
      </c>
      <c r="V162" s="7" t="n">
        <v>397.1</v>
      </c>
      <c r="X162" s="7" t="n">
        <v>383.9</v>
      </c>
      <c r="Z162" s="7" t="n">
        <v>248.4</v>
      </c>
      <c r="AB162" s="7" t="n">
        <v>4349.5</v>
      </c>
    </row>
    <row r="163">
      <c r="A163" s="4" t="inlineStr">
        <is>
          <t>清洁费</t>
        </is>
      </c>
      <c r="D163" s="7" t="n">
        <v>890.7</v>
      </c>
      <c r="F163" s="7" t="n">
        <v>1200.8</v>
      </c>
      <c r="H163" s="7" t="n">
        <v>1119.5</v>
      </c>
      <c r="J163" s="7" t="n">
        <v>1409.3</v>
      </c>
      <c r="L163" s="7" t="n">
        <v>2446</v>
      </c>
      <c r="N163" s="7" t="n">
        <v>633.8</v>
      </c>
      <c r="P163" s="7" t="n">
        <v>1120.7</v>
      </c>
      <c r="R163" s="7" t="n">
        <v>1516.7</v>
      </c>
      <c r="T163" s="7" t="n">
        <v>900.1</v>
      </c>
      <c r="V163" s="7" t="n">
        <v>2110.1</v>
      </c>
      <c r="X163" s="7" t="n">
        <v>924.6</v>
      </c>
      <c r="Z163" s="7" t="n">
        <v>1183</v>
      </c>
      <c r="AB163" s="7" t="n">
        <v>15455.3</v>
      </c>
    </row>
    <row r="164">
      <c r="A164" s="4" t="inlineStr">
        <is>
          <t>低值易耗品</t>
        </is>
      </c>
      <c r="D164" s="7" t="n">
        <v>143.5</v>
      </c>
      <c r="F164" s="7" t="n">
        <v>189.5</v>
      </c>
      <c r="H164" s="7" t="n">
        <v>239.4</v>
      </c>
      <c r="J164" s="7" t="n">
        <v>254.5</v>
      </c>
      <c r="L164" s="7" t="n">
        <v>565.5</v>
      </c>
      <c r="N164" s="7" t="n">
        <v>192.7</v>
      </c>
      <c r="P164" s="7" t="n">
        <v>413.9</v>
      </c>
      <c r="R164" s="7" t="n">
        <v>267</v>
      </c>
      <c r="T164" s="7" t="n">
        <v>300.4</v>
      </c>
      <c r="V164" s="7" t="n">
        <v>331.1</v>
      </c>
      <c r="X164" s="7" t="n">
        <v>172.4</v>
      </c>
      <c r="Z164" s="7" t="n">
        <v>215.1</v>
      </c>
      <c r="AB164" s="7" t="n">
        <v>3285</v>
      </c>
    </row>
    <row r="165">
      <c r="A165" s="4" t="inlineStr">
        <is>
          <t>物料消耗</t>
        </is>
      </c>
      <c r="D165" s="7" t="n">
        <v>637.5</v>
      </c>
      <c r="F165" s="7" t="n">
        <v>964.2</v>
      </c>
      <c r="H165" s="7" t="n">
        <v>899</v>
      </c>
      <c r="J165" s="7" t="n">
        <v>1317.9</v>
      </c>
      <c r="L165" s="7" t="n">
        <v>1601.6</v>
      </c>
      <c r="N165" s="7" t="n">
        <v>839.9</v>
      </c>
      <c r="P165" s="7" t="n">
        <v>1506.4</v>
      </c>
      <c r="R165" s="7" t="n">
        <v>1551.7</v>
      </c>
      <c r="T165" s="7" t="n">
        <v>1323.1</v>
      </c>
      <c r="V165" s="7" t="n">
        <v>2088.7</v>
      </c>
      <c r="X165" s="7" t="n">
        <v>1292.4</v>
      </c>
      <c r="Z165" s="7" t="n">
        <v>1010.8</v>
      </c>
      <c r="AB165" s="7" t="n">
        <v>15033.2</v>
      </c>
    </row>
    <row r="166">
      <c r="A166" s="4" t="inlineStr">
        <is>
          <t>盘盈盘亏</t>
        </is>
      </c>
      <c r="D166" s="7" t="n">
        <v>126.8</v>
      </c>
      <c r="F166" s="7" t="n">
        <v>190.8</v>
      </c>
      <c r="H166" s="7" t="n">
        <v>112.2</v>
      </c>
      <c r="J166" s="7" t="n">
        <v>186</v>
      </c>
      <c r="L166" s="7" t="n">
        <v>304.2</v>
      </c>
      <c r="N166" s="7" t="n">
        <v>106.4</v>
      </c>
      <c r="P166" s="7" t="n">
        <v>177.8</v>
      </c>
      <c r="R166" s="7" t="n">
        <v>217.9</v>
      </c>
      <c r="T166" s="7" t="n">
        <v>230.2</v>
      </c>
      <c r="V166" s="7" t="n">
        <v>344.5</v>
      </c>
      <c r="X166" s="7" t="n">
        <v>172</v>
      </c>
      <c r="Z166" s="7" t="n">
        <v>121.2</v>
      </c>
      <c r="AB166" s="7" t="n">
        <v>2290</v>
      </c>
    </row>
    <row r="167">
      <c r="A167" s="4" t="inlineStr">
        <is>
          <t>平台服务费</t>
        </is>
      </c>
      <c r="D167" s="7" t="n">
        <v>1025.2</v>
      </c>
      <c r="F167" s="7" t="n">
        <v>1278.4</v>
      </c>
      <c r="H167" s="7" t="n">
        <v>910.3</v>
      </c>
      <c r="J167" s="7" t="n">
        <v>1503.8</v>
      </c>
      <c r="L167" s="7" t="n">
        <v>2584.6</v>
      </c>
      <c r="N167" s="7" t="n">
        <v>995.6</v>
      </c>
      <c r="P167" s="7" t="n">
        <v>1128.9</v>
      </c>
      <c r="R167" s="7" t="n">
        <v>932.3</v>
      </c>
      <c r="T167" s="7" t="n">
        <v>1037.4</v>
      </c>
      <c r="V167" s="7" t="n">
        <v>1562.2</v>
      </c>
      <c r="X167" s="7" t="n">
        <v>787.8</v>
      </c>
      <c r="Z167" s="7" t="n">
        <v>1183.5</v>
      </c>
      <c r="AB167" s="7" t="n">
        <v>14930</v>
      </c>
    </row>
    <row r="168">
      <c r="A168" s="4" t="inlineStr">
        <is>
          <t>无形资产摊销</t>
        </is>
      </c>
      <c r="D168" s="7" t="n">
        <v>779.1</v>
      </c>
      <c r="F168" s="7" t="n">
        <v>1139.1</v>
      </c>
      <c r="H168" s="7" t="n">
        <v>691.1</v>
      </c>
      <c r="J168" s="7" t="n">
        <v>1217.6</v>
      </c>
      <c r="L168" s="7" t="n">
        <v>2245.3</v>
      </c>
      <c r="N168" s="7" t="n">
        <v>536.2</v>
      </c>
      <c r="P168" s="7" t="n">
        <v>1430.4</v>
      </c>
      <c r="R168" s="7" t="n">
        <v>1245.9</v>
      </c>
      <c r="T168" s="7" t="n">
        <v>740</v>
      </c>
      <c r="V168" s="7" t="n">
        <v>1822.9</v>
      </c>
      <c r="X168" s="7" t="n">
        <v>839.1</v>
      </c>
      <c r="Z168" s="7" t="n">
        <v>647.6</v>
      </c>
      <c r="AB168" s="7" t="n">
        <v>13334.3</v>
      </c>
    </row>
    <row r="169">
      <c r="A169" s="4" t="inlineStr">
        <is>
          <t>研发材料</t>
        </is>
      </c>
      <c r="D169" s="7" t="n">
        <v>620.7</v>
      </c>
      <c r="F169" s="7" t="n">
        <v>833.4</v>
      </c>
      <c r="H169" s="7" t="n">
        <v>843.6</v>
      </c>
      <c r="J169" s="7" t="n">
        <v>1453.1</v>
      </c>
      <c r="L169" s="7" t="n">
        <v>1891.9</v>
      </c>
      <c r="N169" s="7" t="n">
        <v>956.9</v>
      </c>
      <c r="P169" s="7" t="n">
        <v>1060.2</v>
      </c>
      <c r="R169" s="7" t="n">
        <v>958.6</v>
      </c>
      <c r="T169" s="7" t="n">
        <v>992.2</v>
      </c>
      <c r="V169" s="7" t="n">
        <v>1540.3</v>
      </c>
      <c r="X169" s="7" t="n">
        <v>911.7</v>
      </c>
      <c r="Z169" s="7" t="n">
        <v>629.9</v>
      </c>
      <c r="AB169" s="7" t="n">
        <v>12692.5</v>
      </c>
    </row>
    <row r="170">
      <c r="A170" s="4" t="inlineStr">
        <is>
          <t>项目名称</t>
        </is>
      </c>
      <c r="D170" s="7" t="n">
        <v>775.3</v>
      </c>
      <c r="F170" s="7" t="n">
        <v>824.6</v>
      </c>
      <c r="H170" s="7" t="n">
        <v>549.4</v>
      </c>
      <c r="J170" s="7" t="n">
        <v>1056.1</v>
      </c>
      <c r="L170" s="7" t="n">
        <v>1305.6</v>
      </c>
      <c r="N170" s="7" t="n">
        <v>872.6</v>
      </c>
      <c r="P170" s="7" t="n">
        <v>1372.7</v>
      </c>
      <c r="R170" s="7" t="n">
        <v>1142.5</v>
      </c>
      <c r="T170" s="7" t="n">
        <v>703.6</v>
      </c>
      <c r="V170" s="7" t="n">
        <v>1299.7</v>
      </c>
      <c r="X170" s="7" t="n">
        <v>1040.1</v>
      </c>
      <c r="Z170" s="7" t="n">
        <v>711.1</v>
      </c>
      <c r="AB170" s="7" t="n">
        <v>11653.3</v>
      </c>
    </row>
    <row r="171">
      <c r="A171" s="4" t="inlineStr">
        <is>
          <t>研发费</t>
        </is>
      </c>
      <c r="D171" s="7" t="n">
        <v>35.5</v>
      </c>
      <c r="F171" s="7" t="n">
        <v>45.4</v>
      </c>
      <c r="H171" s="7" t="n">
        <v>31.8</v>
      </c>
      <c r="J171" s="7" t="n">
        <v>58.1</v>
      </c>
      <c r="L171" s="7" t="n">
        <v>97.59999999999999</v>
      </c>
      <c r="N171" s="7" t="n">
        <v>38.1</v>
      </c>
      <c r="P171" s="7" t="n">
        <v>57.9</v>
      </c>
      <c r="R171" s="7" t="n">
        <v>43.5</v>
      </c>
      <c r="T171" s="7" t="n">
        <v>60.1</v>
      </c>
      <c r="V171" s="7" t="n">
        <v>76</v>
      </c>
      <c r="X171" s="7" t="n">
        <v>41.4</v>
      </c>
      <c r="Z171" s="7" t="n">
        <v>36.5</v>
      </c>
      <c r="AB171" s="7" t="n">
        <v>621.9</v>
      </c>
    </row>
    <row r="172">
      <c r="A172" s="4" t="inlineStr">
        <is>
          <t>残保金</t>
        </is>
      </c>
      <c r="D172" s="7" t="n">
        <v>297.7</v>
      </c>
      <c r="F172" s="7" t="n">
        <v>376.3</v>
      </c>
      <c r="H172" s="7" t="n">
        <v>196</v>
      </c>
      <c r="J172" s="7" t="n">
        <v>400.6</v>
      </c>
      <c r="L172" s="7" t="n">
        <v>531.5</v>
      </c>
      <c r="N172" s="7" t="n">
        <v>242.3</v>
      </c>
      <c r="P172" s="7" t="n">
        <v>348.9</v>
      </c>
      <c r="R172" s="7" t="n">
        <v>422.5</v>
      </c>
      <c r="T172" s="7" t="n">
        <v>416.2</v>
      </c>
      <c r="V172" s="7" t="n">
        <v>380.4</v>
      </c>
      <c r="X172" s="7" t="n">
        <v>221.6</v>
      </c>
      <c r="Z172" s="7" t="n">
        <v>251.8</v>
      </c>
      <c r="AB172" s="7" t="n">
        <v>4085.8</v>
      </c>
    </row>
    <row r="173">
      <c r="A173" s="4" t="inlineStr">
        <is>
          <t>环保费</t>
        </is>
      </c>
      <c r="D173" s="7" t="n">
        <v>162.7</v>
      </c>
      <c r="F173" s="7" t="n">
        <v>202.7</v>
      </c>
      <c r="H173" s="7" t="n">
        <v>183.7</v>
      </c>
      <c r="J173" s="7" t="n">
        <v>148.5</v>
      </c>
      <c r="L173" s="7" t="n">
        <v>243.9</v>
      </c>
      <c r="N173" s="7" t="n">
        <v>164.9</v>
      </c>
      <c r="P173" s="7" t="n">
        <v>320.6</v>
      </c>
      <c r="R173" s="7" t="n">
        <v>220.1</v>
      </c>
      <c r="T173" s="7" t="n">
        <v>161.2</v>
      </c>
      <c r="V173" s="7" t="n">
        <v>309.2</v>
      </c>
      <c r="X173" s="7" t="n">
        <v>210.2</v>
      </c>
      <c r="Z173" s="7" t="n">
        <v>153.6</v>
      </c>
      <c r="AB173" s="7" t="n">
        <v>2481.3</v>
      </c>
    </row>
    <row r="174">
      <c r="A174" s="4" t="inlineStr">
        <is>
          <t>报废损失</t>
        </is>
      </c>
      <c r="D174" s="7" t="n">
        <v>915.3</v>
      </c>
      <c r="F174" s="7" t="n">
        <v>752</v>
      </c>
      <c r="H174" s="7" t="n">
        <v>661.2</v>
      </c>
      <c r="J174" s="7" t="n">
        <v>1339.3</v>
      </c>
      <c r="L174" s="7" t="n">
        <v>1601.2</v>
      </c>
      <c r="N174" s="7" t="n">
        <v>906.1</v>
      </c>
      <c r="P174" s="7" t="n">
        <v>1113.8</v>
      </c>
      <c r="R174" s="7" t="n">
        <v>880.6</v>
      </c>
      <c r="T174" s="7" t="n">
        <v>1463.5</v>
      </c>
      <c r="V174" s="7" t="n">
        <v>1145</v>
      </c>
      <c r="X174" s="7" t="n">
        <v>1145.2</v>
      </c>
      <c r="Z174" s="7" t="n">
        <v>749.4</v>
      </c>
      <c r="AB174" s="7" t="n">
        <v>12672.6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71621.60000000001</v>
      </c>
      <c r="D175" s="7" t="n">
        <v>26070.8</v>
      </c>
      <c r="E175" s="7" t="n">
        <v>74681.39999999999</v>
      </c>
      <c r="F175" s="7" t="n">
        <v>34435.3</v>
      </c>
      <c r="G175" s="7" t="n">
        <v>70261.89999999999</v>
      </c>
      <c r="H175" s="7" t="n">
        <v>64255.3</v>
      </c>
      <c r="I175" s="7" t="n">
        <v>74456.8</v>
      </c>
      <c r="J175" s="7" t="n">
        <v>100823.7</v>
      </c>
      <c r="K175" s="7" t="n">
        <v>74997.89999999999</v>
      </c>
      <c r="L175" s="7" t="n">
        <v>110208</v>
      </c>
      <c r="M175" s="7" t="n">
        <v>73666.10000000001</v>
      </c>
      <c r="N175" s="7" t="n">
        <v>60275.9</v>
      </c>
      <c r="O175" s="7" t="n">
        <v>83516.5</v>
      </c>
      <c r="P175" s="7" t="n">
        <v>163904.8</v>
      </c>
      <c r="Q175" s="7" t="n">
        <v>94174</v>
      </c>
      <c r="R175" s="7" t="n">
        <v>118794.3</v>
      </c>
      <c r="S175" s="7" t="n">
        <v>87425.10000000001</v>
      </c>
      <c r="T175" s="7" t="n">
        <v>51633.8</v>
      </c>
      <c r="U175" s="7" t="n">
        <v>87496.89999999999</v>
      </c>
      <c r="V175" s="7" t="n">
        <v>80628.5</v>
      </c>
      <c r="W175" s="7" t="n">
        <v>71980.7</v>
      </c>
      <c r="X175" s="7" t="n">
        <v>95638.3</v>
      </c>
      <c r="Y175" s="7" t="n">
        <v>74733.89999999999</v>
      </c>
      <c r="Z175" s="7" t="n">
        <v>83058.8</v>
      </c>
      <c r="AA175" s="8" t="n">
        <v>939012.8</v>
      </c>
      <c r="AB175" s="8" t="n">
        <v>989727.5</v>
      </c>
    </row>
    <row r="176">
      <c r="A176" s="4" t="inlineStr">
        <is>
          <t>职工薪酬</t>
        </is>
      </c>
      <c r="D176" s="7" t="n">
        <v>14186.4</v>
      </c>
      <c r="F176" s="7" t="n">
        <v>19795.8</v>
      </c>
      <c r="H176" s="7" t="n">
        <v>30554.9</v>
      </c>
      <c r="J176" s="7" t="n">
        <v>53350.2</v>
      </c>
      <c r="L176" s="7" t="n">
        <v>49319.1</v>
      </c>
      <c r="N176" s="7" t="n">
        <v>26676.6</v>
      </c>
      <c r="P176" s="7" t="n">
        <v>80928.89999999999</v>
      </c>
      <c r="R176" s="7" t="n">
        <v>65093.1</v>
      </c>
      <c r="T176" s="7" t="n">
        <v>27935.5</v>
      </c>
      <c r="V176" s="7" t="n">
        <v>41677.2</v>
      </c>
      <c r="X176" s="7" t="n">
        <v>39169.7</v>
      </c>
      <c r="Z176" s="7" t="n">
        <v>47703.9</v>
      </c>
      <c r="AB176" s="7" t="n">
        <v>496391.3</v>
      </c>
    </row>
    <row r="177">
      <c r="A177" s="4" t="inlineStr">
        <is>
          <t>工资</t>
        </is>
      </c>
      <c r="D177" s="7" t="n">
        <v>8547.9</v>
      </c>
      <c r="F177" s="7" t="n">
        <v>13232.3</v>
      </c>
      <c r="H177" s="7" t="n">
        <v>16404.4</v>
      </c>
      <c r="J177" s="7" t="n">
        <v>34862.2</v>
      </c>
      <c r="L177" s="7" t="n">
        <v>24426.2</v>
      </c>
      <c r="N177" s="7" t="n">
        <v>13339.1</v>
      </c>
      <c r="P177" s="7" t="n">
        <v>44575.6</v>
      </c>
      <c r="R177" s="7" t="n">
        <v>40618.7</v>
      </c>
      <c r="T177" s="7" t="n">
        <v>16604</v>
      </c>
      <c r="V177" s="7" t="n">
        <v>28799.4</v>
      </c>
      <c r="X177" s="7" t="n">
        <v>21460.4</v>
      </c>
      <c r="Z177" s="7" t="n">
        <v>28871.1</v>
      </c>
      <c r="AB177" s="7" t="n">
        <v>291741.3</v>
      </c>
    </row>
    <row r="178">
      <c r="A178" s="4" t="inlineStr">
        <is>
          <t>奖金及提成</t>
        </is>
      </c>
      <c r="D178" s="7" t="n">
        <v>2945.1</v>
      </c>
      <c r="F178" s="7" t="n">
        <v>2435.3</v>
      </c>
      <c r="H178" s="7" t="n">
        <v>7367.3</v>
      </c>
      <c r="J178" s="7" t="n">
        <v>7591.4</v>
      </c>
      <c r="L178" s="7" t="n">
        <v>11603.6</v>
      </c>
      <c r="N178" s="7" t="n">
        <v>7533.3</v>
      </c>
      <c r="P178" s="7" t="n">
        <v>15028.2</v>
      </c>
      <c r="R178" s="7" t="n">
        <v>13170.1</v>
      </c>
      <c r="T178" s="7" t="n">
        <v>5715.4</v>
      </c>
      <c r="V178" s="7" t="n">
        <v>5962.7</v>
      </c>
      <c r="X178" s="7" t="n">
        <v>8200.6</v>
      </c>
      <c r="Z178" s="7" t="n">
        <v>9998.9</v>
      </c>
      <c r="AB178" s="7" t="n">
        <v>97551.89999999999</v>
      </c>
    </row>
    <row r="179">
      <c r="A179" s="4" t="inlineStr">
        <is>
          <t>社保</t>
        </is>
      </c>
      <c r="D179" s="7" t="n">
        <v>2024.1</v>
      </c>
      <c r="F179" s="7" t="n">
        <v>3155.1</v>
      </c>
      <c r="H179" s="7" t="n">
        <v>5080.1</v>
      </c>
      <c r="J179" s="7" t="n">
        <v>8064.4</v>
      </c>
      <c r="L179" s="7" t="n">
        <v>10210.1</v>
      </c>
      <c r="N179" s="7" t="n">
        <v>4282.4</v>
      </c>
      <c r="P179" s="7" t="n">
        <v>17039</v>
      </c>
      <c r="R179" s="7" t="n">
        <v>7737.5</v>
      </c>
      <c r="T179" s="7" t="n">
        <v>4346.9</v>
      </c>
      <c r="V179" s="7" t="n">
        <v>4680.5</v>
      </c>
      <c r="X179" s="7" t="n">
        <v>6975.8</v>
      </c>
      <c r="Z179" s="7" t="n">
        <v>6504.9</v>
      </c>
      <c r="AB179" s="7" t="n">
        <v>80100.8</v>
      </c>
    </row>
    <row r="180">
      <c r="A180" s="4" t="inlineStr">
        <is>
          <t>养老</t>
        </is>
      </c>
      <c r="D180" s="7" t="n">
        <v>99</v>
      </c>
      <c r="F180" s="7" t="n">
        <v>125.9</v>
      </c>
      <c r="H180" s="7" t="n">
        <v>249.6</v>
      </c>
      <c r="J180" s="7" t="n">
        <v>298.5</v>
      </c>
      <c r="L180" s="7" t="n">
        <v>413.5</v>
      </c>
      <c r="N180" s="7" t="n">
        <v>177.2</v>
      </c>
      <c r="P180" s="7" t="n">
        <v>389.6</v>
      </c>
      <c r="R180" s="7" t="n">
        <v>413.7</v>
      </c>
      <c r="T180" s="7" t="n">
        <v>148.8</v>
      </c>
      <c r="V180" s="7" t="n">
        <v>174.4</v>
      </c>
      <c r="X180" s="7" t="n">
        <v>226.9</v>
      </c>
      <c r="Z180" s="7" t="n">
        <v>223.8</v>
      </c>
      <c r="AB180" s="7" t="n">
        <v>2940.9</v>
      </c>
    </row>
    <row r="181">
      <c r="A181" s="4" t="inlineStr">
        <is>
          <t>医疗</t>
        </is>
      </c>
      <c r="D181" s="7" t="n">
        <v>182.6</v>
      </c>
      <c r="F181" s="7" t="n">
        <v>210</v>
      </c>
      <c r="H181" s="7" t="n">
        <v>295.4</v>
      </c>
      <c r="J181" s="7" t="n">
        <v>768.8</v>
      </c>
      <c r="L181" s="7" t="n">
        <v>784.7</v>
      </c>
      <c r="N181" s="7" t="n">
        <v>314.4</v>
      </c>
      <c r="P181" s="7" t="n">
        <v>1123.1</v>
      </c>
      <c r="R181" s="7" t="n">
        <v>624.8</v>
      </c>
      <c r="T181" s="7" t="n">
        <v>253.7</v>
      </c>
      <c r="V181" s="7" t="n">
        <v>489.2</v>
      </c>
      <c r="X181" s="7" t="n">
        <v>490.3</v>
      </c>
      <c r="Z181" s="7" t="n">
        <v>486.5</v>
      </c>
      <c r="AB181" s="7" t="n">
        <v>6023.5</v>
      </c>
    </row>
    <row r="182">
      <c r="A182" s="4" t="inlineStr">
        <is>
          <t>工伤</t>
        </is>
      </c>
      <c r="D182" s="7" t="n">
        <v>3.5</v>
      </c>
      <c r="F182" s="7" t="n">
        <v>4.3</v>
      </c>
      <c r="H182" s="7" t="n">
        <v>11.6</v>
      </c>
      <c r="J182" s="7" t="n">
        <v>14.8</v>
      </c>
      <c r="L182" s="7" t="n">
        <v>13.1</v>
      </c>
      <c r="N182" s="7" t="n">
        <v>8.5</v>
      </c>
      <c r="P182" s="7" t="n">
        <v>26.4</v>
      </c>
      <c r="R182" s="7" t="n">
        <v>16.2</v>
      </c>
      <c r="T182" s="7" t="n">
        <v>9.300000000000001</v>
      </c>
      <c r="V182" s="7" t="n">
        <v>9.1</v>
      </c>
      <c r="X182" s="7" t="n">
        <v>17.4</v>
      </c>
      <c r="Z182" s="7" t="n">
        <v>8.699999999999999</v>
      </c>
      <c r="AB182" s="7" t="n">
        <v>142.9</v>
      </c>
    </row>
    <row r="183">
      <c r="A183" s="4" t="inlineStr">
        <is>
          <t>失业</t>
        </is>
      </c>
      <c r="D183" s="7" t="n">
        <v>121.7</v>
      </c>
      <c r="F183" s="7" t="n">
        <v>194.1</v>
      </c>
      <c r="H183" s="7" t="n">
        <v>399.4</v>
      </c>
      <c r="J183" s="7" t="n">
        <v>555.3</v>
      </c>
      <c r="L183" s="7" t="n">
        <v>584.4</v>
      </c>
      <c r="N183" s="7" t="n">
        <v>481.1</v>
      </c>
      <c r="P183" s="7" t="n">
        <v>1221.6</v>
      </c>
      <c r="R183" s="7" t="n">
        <v>711.3</v>
      </c>
      <c r="T183" s="7" t="n">
        <v>230.4</v>
      </c>
      <c r="V183" s="7" t="n">
        <v>449.8</v>
      </c>
      <c r="X183" s="7" t="n">
        <v>479.4</v>
      </c>
      <c r="Z183" s="7" t="n">
        <v>564.6</v>
      </c>
      <c r="AB183" s="7" t="n">
        <v>5993.1</v>
      </c>
    </row>
    <row r="184">
      <c r="A184" s="4" t="inlineStr">
        <is>
          <t>生育</t>
        </is>
      </c>
      <c r="D184" s="7" t="n">
        <v>112</v>
      </c>
      <c r="F184" s="7" t="n">
        <v>119.4</v>
      </c>
      <c r="H184" s="7" t="n">
        <v>224.1</v>
      </c>
      <c r="J184" s="7" t="n">
        <v>393.1</v>
      </c>
      <c r="L184" s="7" t="n">
        <v>561</v>
      </c>
      <c r="N184" s="7" t="n">
        <v>320.2</v>
      </c>
      <c r="P184" s="7" t="n">
        <v>895.8</v>
      </c>
      <c r="R184" s="7" t="n">
        <v>491.2</v>
      </c>
      <c r="T184" s="7" t="n">
        <v>297</v>
      </c>
      <c r="V184" s="7" t="n">
        <v>266.9</v>
      </c>
      <c r="X184" s="7" t="n">
        <v>415.4</v>
      </c>
      <c r="Z184" s="7" t="n">
        <v>354</v>
      </c>
      <c r="AB184" s="7" t="n">
        <v>4450.1</v>
      </c>
    </row>
    <row r="185">
      <c r="A185" s="4" t="inlineStr">
        <is>
          <t>公积金</t>
        </is>
      </c>
      <c r="D185" s="7" t="n">
        <v>32.1</v>
      </c>
      <c r="F185" s="7" t="n">
        <v>39.7</v>
      </c>
      <c r="H185" s="7" t="n">
        <v>107.9</v>
      </c>
      <c r="J185" s="7" t="n">
        <v>122.9</v>
      </c>
      <c r="L185" s="7" t="n">
        <v>189.1</v>
      </c>
      <c r="N185" s="7" t="n">
        <v>106.3</v>
      </c>
      <c r="P185" s="7" t="n">
        <v>263.9</v>
      </c>
      <c r="R185" s="7" t="n">
        <v>168.5</v>
      </c>
      <c r="T185" s="7" t="n">
        <v>74.2</v>
      </c>
      <c r="V185" s="7" t="n">
        <v>99.5</v>
      </c>
      <c r="X185" s="7" t="n">
        <v>107.3</v>
      </c>
      <c r="Z185" s="7" t="n">
        <v>88.59999999999999</v>
      </c>
      <c r="AB185" s="7" t="n">
        <v>1400</v>
      </c>
    </row>
    <row r="186">
      <c r="A186" s="4" t="inlineStr">
        <is>
          <t>工会经费</t>
        </is>
      </c>
      <c r="D186" s="7" t="n">
        <v>59.4</v>
      </c>
      <c r="F186" s="7" t="n">
        <v>93.2</v>
      </c>
      <c r="H186" s="7" t="n">
        <v>113.5</v>
      </c>
      <c r="J186" s="7" t="n">
        <v>224.6</v>
      </c>
      <c r="L186" s="7" t="n">
        <v>195.9</v>
      </c>
      <c r="N186" s="7" t="n">
        <v>151.6</v>
      </c>
      <c r="P186" s="7" t="n">
        <v>343.5</v>
      </c>
      <c r="R186" s="7" t="n">
        <v>246.2</v>
      </c>
      <c r="T186" s="7" t="n">
        <v>77.5</v>
      </c>
      <c r="V186" s="7" t="n">
        <v>171.3</v>
      </c>
      <c r="X186" s="7" t="n">
        <v>152.9</v>
      </c>
      <c r="Z186" s="7" t="n">
        <v>201.6</v>
      </c>
      <c r="AB186" s="7" t="n">
        <v>2031.2</v>
      </c>
    </row>
    <row r="187">
      <c r="A187" s="4" t="inlineStr">
        <is>
          <t>职工教育经费</t>
        </is>
      </c>
      <c r="D187" s="7" t="n">
        <v>79.8</v>
      </c>
      <c r="F187" s="7" t="n">
        <v>140</v>
      </c>
      <c r="H187" s="7" t="n">
        <v>278.9</v>
      </c>
      <c r="J187" s="7" t="n">
        <v>509</v>
      </c>
      <c r="L187" s="7" t="n">
        <v>574.6</v>
      </c>
      <c r="N187" s="7" t="n">
        <v>211.9</v>
      </c>
      <c r="P187" s="7" t="n">
        <v>649.9</v>
      </c>
      <c r="R187" s="7" t="n">
        <v>566.6</v>
      </c>
      <c r="T187" s="7" t="n">
        <v>248</v>
      </c>
      <c r="V187" s="7" t="n">
        <v>285.4</v>
      </c>
      <c r="X187" s="7" t="n">
        <v>307.3</v>
      </c>
      <c r="Z187" s="7" t="n">
        <v>410.5</v>
      </c>
      <c r="AB187" s="7" t="n">
        <v>4261.9</v>
      </c>
    </row>
    <row r="188">
      <c r="A188" s="4" t="inlineStr">
        <is>
          <t>福利费</t>
        </is>
      </c>
      <c r="D188" s="7" t="n">
        <v>498</v>
      </c>
      <c r="F188" s="7" t="n">
        <v>700.2</v>
      </c>
      <c r="H188" s="7" t="n">
        <v>1202.8</v>
      </c>
      <c r="J188" s="7" t="n">
        <v>1975.7</v>
      </c>
      <c r="L188" s="7" t="n">
        <v>2119.6</v>
      </c>
      <c r="N188" s="7" t="n">
        <v>1052</v>
      </c>
      <c r="P188" s="7" t="n">
        <v>3028.8</v>
      </c>
      <c r="R188" s="7" t="n">
        <v>2585.5</v>
      </c>
      <c r="T188" s="7" t="n">
        <v>869.5</v>
      </c>
      <c r="V188" s="7" t="n">
        <v>1678.4</v>
      </c>
      <c r="X188" s="7" t="n">
        <v>1965.4</v>
      </c>
      <c r="Z188" s="7" t="n">
        <v>1628.3</v>
      </c>
      <c r="AB188" s="7" t="n">
        <v>19304.2</v>
      </c>
    </row>
    <row r="189">
      <c r="A189" s="4" t="inlineStr">
        <is>
          <t>职工房租</t>
        </is>
      </c>
      <c r="D189" s="7" t="n">
        <v>153.2</v>
      </c>
      <c r="F189" s="7" t="n">
        <v>237.2</v>
      </c>
      <c r="H189" s="7" t="n">
        <v>367.6</v>
      </c>
      <c r="J189" s="7" t="n">
        <v>420.8</v>
      </c>
      <c r="L189" s="7" t="n">
        <v>679</v>
      </c>
      <c r="N189" s="7" t="n">
        <v>371.8</v>
      </c>
      <c r="P189" s="7" t="n">
        <v>723.6</v>
      </c>
      <c r="R189" s="7" t="n">
        <v>757.1</v>
      </c>
      <c r="T189" s="7" t="n">
        <v>242.6</v>
      </c>
      <c r="V189" s="7" t="n">
        <v>511.7</v>
      </c>
      <c r="X189" s="7" t="n">
        <v>493</v>
      </c>
      <c r="Z189" s="7" t="n">
        <v>534.7</v>
      </c>
      <c r="AB189" s="7" t="n">
        <v>5492.3</v>
      </c>
    </row>
    <row r="190">
      <c r="A190" s="4" t="inlineStr">
        <is>
          <t>水电物业费</t>
        </is>
      </c>
      <c r="D190" s="7" t="n">
        <v>1.6</v>
      </c>
      <c r="F190" s="7" t="n">
        <v>1.9</v>
      </c>
      <c r="H190" s="7" t="n">
        <v>3.3</v>
      </c>
      <c r="J190" s="7" t="n">
        <v>7.9</v>
      </c>
      <c r="L190" s="7" t="n">
        <v>9.1</v>
      </c>
      <c r="N190" s="7" t="n">
        <v>3.2</v>
      </c>
      <c r="P190" s="7" t="n">
        <v>11.5</v>
      </c>
      <c r="R190" s="7" t="n">
        <v>10.6</v>
      </c>
      <c r="T190" s="7" t="n">
        <v>2.9</v>
      </c>
      <c r="V190" s="7" t="n">
        <v>6.2</v>
      </c>
      <c r="X190" s="7" t="n">
        <v>7.1</v>
      </c>
      <c r="Z190" s="7" t="n">
        <v>6.3</v>
      </c>
      <c r="AB190" s="7" t="n">
        <v>71.59999999999999</v>
      </c>
    </row>
    <row r="191">
      <c r="A191" s="4" t="inlineStr">
        <is>
          <t>员工餐</t>
        </is>
      </c>
      <c r="D191" s="7" t="n">
        <v>99.09999999999999</v>
      </c>
      <c r="F191" s="7" t="n">
        <v>148</v>
      </c>
      <c r="H191" s="7" t="n">
        <v>276.6</v>
      </c>
      <c r="J191" s="7" t="n">
        <v>563.5</v>
      </c>
      <c r="L191" s="7" t="n">
        <v>532.8</v>
      </c>
      <c r="N191" s="7" t="n">
        <v>239.1</v>
      </c>
      <c r="P191" s="7" t="n">
        <v>633.5</v>
      </c>
      <c r="R191" s="7" t="n">
        <v>752.5</v>
      </c>
      <c r="T191" s="7" t="n">
        <v>198.9</v>
      </c>
      <c r="V191" s="7" t="n">
        <v>489.5</v>
      </c>
      <c r="X191" s="7" t="n">
        <v>490.7</v>
      </c>
      <c r="Z191" s="7" t="n">
        <v>380.6</v>
      </c>
      <c r="AB191" s="7" t="n">
        <v>4804.8</v>
      </c>
    </row>
    <row r="192">
      <c r="A192" s="4" t="inlineStr">
        <is>
          <t>节日礼品</t>
        </is>
      </c>
      <c r="D192" s="7" t="n">
        <v>61</v>
      </c>
      <c r="F192" s="7" t="n">
        <v>73.3</v>
      </c>
      <c r="H192" s="7" t="n">
        <v>143.1</v>
      </c>
      <c r="J192" s="7" t="n">
        <v>226.7</v>
      </c>
      <c r="L192" s="7" t="n">
        <v>213.6</v>
      </c>
      <c r="N192" s="7" t="n">
        <v>111.6</v>
      </c>
      <c r="P192" s="7" t="n">
        <v>407.2</v>
      </c>
      <c r="R192" s="7" t="n">
        <v>177</v>
      </c>
      <c r="T192" s="7" t="n">
        <v>92.8</v>
      </c>
      <c r="V192" s="7" t="n">
        <v>173.2</v>
      </c>
      <c r="X192" s="7" t="n">
        <v>205.8</v>
      </c>
      <c r="Z192" s="7" t="n">
        <v>211.2</v>
      </c>
      <c r="AB192" s="7" t="n">
        <v>2096.5</v>
      </c>
    </row>
    <row r="193">
      <c r="A193" s="4" t="inlineStr">
        <is>
          <t>生日礼品</t>
        </is>
      </c>
      <c r="D193" s="7" t="n">
        <v>10.8</v>
      </c>
      <c r="F193" s="7" t="n">
        <v>9.800000000000001</v>
      </c>
      <c r="H193" s="7" t="n">
        <v>17.4</v>
      </c>
      <c r="J193" s="7" t="n">
        <v>27.4</v>
      </c>
      <c r="L193" s="7" t="n">
        <v>31.9</v>
      </c>
      <c r="N193" s="7" t="n">
        <v>22.4</v>
      </c>
      <c r="P193" s="7" t="n">
        <v>75.90000000000001</v>
      </c>
      <c r="R193" s="7" t="n">
        <v>36.6</v>
      </c>
      <c r="T193" s="7" t="n">
        <v>21.8</v>
      </c>
      <c r="V193" s="7" t="n">
        <v>37.9</v>
      </c>
      <c r="X193" s="7" t="n">
        <v>31.6</v>
      </c>
      <c r="Z193" s="7" t="n">
        <v>28.8</v>
      </c>
      <c r="AB193" s="7" t="n">
        <v>352.3</v>
      </c>
    </row>
    <row r="194">
      <c r="A194" s="4" t="inlineStr">
        <is>
          <t>体检</t>
        </is>
      </c>
      <c r="D194" s="7" t="n">
        <v>127.8</v>
      </c>
      <c r="F194" s="7" t="n">
        <v>174.1</v>
      </c>
      <c r="H194" s="7" t="n">
        <v>321.1</v>
      </c>
      <c r="J194" s="7" t="n">
        <v>538.7</v>
      </c>
      <c r="L194" s="7" t="n">
        <v>508.8</v>
      </c>
      <c r="N194" s="7" t="n">
        <v>235.3</v>
      </c>
      <c r="P194" s="7" t="n">
        <v>963.3</v>
      </c>
      <c r="R194" s="7" t="n">
        <v>695.2</v>
      </c>
      <c r="T194" s="7" t="n">
        <v>246.4</v>
      </c>
      <c r="V194" s="7" t="n">
        <v>305.3</v>
      </c>
      <c r="X194" s="7" t="n">
        <v>587.1</v>
      </c>
      <c r="Z194" s="7" t="n">
        <v>350.2</v>
      </c>
      <c r="AB194" s="7" t="n">
        <v>5053.3</v>
      </c>
    </row>
    <row r="195">
      <c r="A195" s="4" t="inlineStr">
        <is>
          <t>其他福利支出</t>
        </is>
      </c>
      <c r="D195" s="7" t="n">
        <v>44.5</v>
      </c>
      <c r="F195" s="7" t="n">
        <v>55.9</v>
      </c>
      <c r="H195" s="7" t="n">
        <v>73.7</v>
      </c>
      <c r="J195" s="7" t="n">
        <v>190.7</v>
      </c>
      <c r="L195" s="7" t="n">
        <v>144.4</v>
      </c>
      <c r="N195" s="7" t="n">
        <v>68.59999999999999</v>
      </c>
      <c r="P195" s="7" t="n">
        <v>213.8</v>
      </c>
      <c r="R195" s="7" t="n">
        <v>156.5</v>
      </c>
      <c r="T195" s="7" t="n">
        <v>64.09999999999999</v>
      </c>
      <c r="V195" s="7" t="n">
        <v>154.6</v>
      </c>
      <c r="X195" s="7" t="n">
        <v>150.1</v>
      </c>
      <c r="Z195" s="7" t="n">
        <v>116.5</v>
      </c>
      <c r="AB195" s="7" t="n">
        <v>1433.4</v>
      </c>
    </row>
    <row r="196">
      <c r="A196" s="4" t="inlineStr">
        <is>
          <t>招聘费</t>
        </is>
      </c>
      <c r="D196" s="7" t="n">
        <v>142.4</v>
      </c>
      <c r="F196" s="7" t="n">
        <v>121.5</v>
      </c>
      <c r="H196" s="7" t="n">
        <v>369.3</v>
      </c>
      <c r="J196" s="7" t="n">
        <v>497.5</v>
      </c>
      <c r="L196" s="7" t="n">
        <v>601.9</v>
      </c>
      <c r="N196" s="7" t="n">
        <v>334.1</v>
      </c>
      <c r="P196" s="7" t="n">
        <v>836.9</v>
      </c>
      <c r="R196" s="7" t="n">
        <v>426.4</v>
      </c>
      <c r="T196" s="7" t="n">
        <v>269.7</v>
      </c>
      <c r="V196" s="7" t="n">
        <v>329.9</v>
      </c>
      <c r="X196" s="7" t="n">
        <v>497.6</v>
      </c>
      <c r="Z196" s="7" t="n">
        <v>290</v>
      </c>
      <c r="AB196" s="7" t="n">
        <v>4717.2</v>
      </c>
    </row>
    <row r="197">
      <c r="A197" s="4" t="inlineStr">
        <is>
          <t>办公费</t>
        </is>
      </c>
      <c r="D197" s="7" t="n">
        <v>876.8</v>
      </c>
      <c r="F197" s="7" t="n">
        <v>1083.6</v>
      </c>
      <c r="H197" s="7" t="n">
        <v>1775.1</v>
      </c>
      <c r="J197" s="7" t="n">
        <v>3748.1</v>
      </c>
      <c r="L197" s="7" t="n">
        <v>2640.1</v>
      </c>
      <c r="N197" s="7" t="n">
        <v>1496.7</v>
      </c>
      <c r="P197" s="7" t="n">
        <v>5024</v>
      </c>
      <c r="R197" s="7" t="n">
        <v>4451.7</v>
      </c>
      <c r="T197" s="7" t="n">
        <v>1776</v>
      </c>
      <c r="V197" s="7" t="n">
        <v>2101.6</v>
      </c>
      <c r="X197" s="7" t="n">
        <v>2966</v>
      </c>
      <c r="Z197" s="7" t="n">
        <v>2508</v>
      </c>
      <c r="AB197" s="7" t="n">
        <v>30447.7</v>
      </c>
    </row>
    <row r="198">
      <c r="A198" s="4" t="inlineStr">
        <is>
          <t>市内交通费</t>
        </is>
      </c>
      <c r="D198" s="7" t="n">
        <v>22.4</v>
      </c>
      <c r="F198" s="7" t="n">
        <v>38.4</v>
      </c>
      <c r="H198" s="7" t="n">
        <v>60.7</v>
      </c>
      <c r="J198" s="7" t="n">
        <v>94.7</v>
      </c>
      <c r="L198" s="7" t="n">
        <v>98.90000000000001</v>
      </c>
      <c r="N198" s="7" t="n">
        <v>48.7</v>
      </c>
      <c r="P198" s="7" t="n">
        <v>149.7</v>
      </c>
      <c r="R198" s="7" t="n">
        <v>89.3</v>
      </c>
      <c r="T198" s="7" t="n">
        <v>57.5</v>
      </c>
      <c r="V198" s="7" t="n">
        <v>92.2</v>
      </c>
      <c r="X198" s="7" t="n">
        <v>101</v>
      </c>
      <c r="Z198" s="7" t="n">
        <v>82.09999999999999</v>
      </c>
      <c r="AB198" s="7" t="n">
        <v>935.6</v>
      </c>
    </row>
    <row r="199">
      <c r="A199" s="4" t="inlineStr">
        <is>
          <t>差旅费</t>
        </is>
      </c>
      <c r="D199" s="7" t="n">
        <v>1268.4</v>
      </c>
      <c r="F199" s="7" t="n">
        <v>1497.9</v>
      </c>
      <c r="H199" s="7" t="n">
        <v>4560</v>
      </c>
      <c r="J199" s="7" t="n">
        <v>6930.8</v>
      </c>
      <c r="L199" s="7" t="n">
        <v>8097.3</v>
      </c>
      <c r="N199" s="7" t="n">
        <v>2965.9</v>
      </c>
      <c r="P199" s="7" t="n">
        <v>10248.5</v>
      </c>
      <c r="R199" s="7" t="n">
        <v>8185.1</v>
      </c>
      <c r="T199" s="7" t="n">
        <v>3716.9</v>
      </c>
      <c r="V199" s="7" t="n">
        <v>5343.4</v>
      </c>
      <c r="X199" s="7" t="n">
        <v>7069.5</v>
      </c>
      <c r="Z199" s="7" t="n">
        <v>5934</v>
      </c>
      <c r="AB199" s="7" t="n">
        <v>65817.7</v>
      </c>
    </row>
    <row r="200">
      <c r="A200" s="4" t="inlineStr">
        <is>
          <t>交通费</t>
        </is>
      </c>
      <c r="D200" s="7" t="n">
        <v>45.2</v>
      </c>
      <c r="F200" s="7" t="n">
        <v>87.7</v>
      </c>
      <c r="H200" s="7" t="n">
        <v>158.2</v>
      </c>
      <c r="J200" s="7" t="n">
        <v>293.7</v>
      </c>
      <c r="L200" s="7" t="n">
        <v>222.1</v>
      </c>
      <c r="N200" s="7" t="n">
        <v>143.6</v>
      </c>
      <c r="P200" s="7" t="n">
        <v>343.7</v>
      </c>
      <c r="R200" s="7" t="n">
        <v>233.3</v>
      </c>
      <c r="T200" s="7" t="n">
        <v>98.8</v>
      </c>
      <c r="V200" s="7" t="n">
        <v>171.8</v>
      </c>
      <c r="X200" s="7" t="n">
        <v>226.3</v>
      </c>
      <c r="Z200" s="7" t="n">
        <v>222.5</v>
      </c>
      <c r="AB200" s="7" t="n">
        <v>2246.9</v>
      </c>
    </row>
    <row r="201">
      <c r="A201" s="4" t="inlineStr">
        <is>
          <t>住宿费</t>
        </is>
      </c>
      <c r="D201" s="7" t="n">
        <v>120</v>
      </c>
      <c r="F201" s="7" t="n">
        <v>151.9</v>
      </c>
      <c r="H201" s="7" t="n">
        <v>349.6</v>
      </c>
      <c r="J201" s="7" t="n">
        <v>596.2</v>
      </c>
      <c r="L201" s="7" t="n">
        <v>514.1</v>
      </c>
      <c r="N201" s="7" t="n">
        <v>301.1</v>
      </c>
      <c r="P201" s="7" t="n">
        <v>910.8</v>
      </c>
      <c r="R201" s="7" t="n">
        <v>617</v>
      </c>
      <c r="T201" s="7" t="n">
        <v>307.8</v>
      </c>
      <c r="V201" s="7" t="n">
        <v>284.2</v>
      </c>
      <c r="X201" s="7" t="n">
        <v>345.1</v>
      </c>
      <c r="Z201" s="7" t="n">
        <v>274.6</v>
      </c>
      <c r="AB201" s="7" t="n">
        <v>4772.4</v>
      </c>
    </row>
    <row r="202">
      <c r="A202" s="4" t="inlineStr">
        <is>
          <t>餐补</t>
        </is>
      </c>
      <c r="D202" s="7" t="n">
        <v>3.9</v>
      </c>
      <c r="F202" s="7" t="n">
        <v>5</v>
      </c>
      <c r="H202" s="7" t="n">
        <v>11.4</v>
      </c>
      <c r="J202" s="7" t="n">
        <v>14.4</v>
      </c>
      <c r="L202" s="7" t="n">
        <v>21.8</v>
      </c>
      <c r="N202" s="7" t="n">
        <v>14</v>
      </c>
      <c r="P202" s="7" t="n">
        <v>42.8</v>
      </c>
      <c r="R202" s="7" t="n">
        <v>18.4</v>
      </c>
      <c r="T202" s="7" t="n">
        <v>9.699999999999999</v>
      </c>
      <c r="V202" s="7" t="n">
        <v>17.9</v>
      </c>
      <c r="X202" s="7" t="n">
        <v>25.1</v>
      </c>
      <c r="Z202" s="7" t="n">
        <v>19.5</v>
      </c>
      <c r="AB202" s="7" t="n">
        <v>203.9</v>
      </c>
    </row>
    <row r="203">
      <c r="A203" s="4" t="inlineStr">
        <is>
          <t>交通补助</t>
        </is>
      </c>
      <c r="D203" s="7" t="n">
        <v>55.3</v>
      </c>
      <c r="F203" s="7" t="n">
        <v>91.90000000000001</v>
      </c>
      <c r="H203" s="7" t="n">
        <v>138</v>
      </c>
      <c r="J203" s="7" t="n">
        <v>177.7</v>
      </c>
      <c r="L203" s="7" t="n">
        <v>208</v>
      </c>
      <c r="N203" s="7" t="n">
        <v>115.7</v>
      </c>
      <c r="P203" s="7" t="n">
        <v>390.3</v>
      </c>
      <c r="R203" s="7" t="n">
        <v>365.7</v>
      </c>
      <c r="T203" s="7" t="n">
        <v>162.8</v>
      </c>
      <c r="V203" s="7" t="n">
        <v>246.1</v>
      </c>
      <c r="X203" s="7" t="n">
        <v>180.5</v>
      </c>
      <c r="Z203" s="7" t="n">
        <v>219.7</v>
      </c>
      <c r="AB203" s="7" t="n">
        <v>2351.7</v>
      </c>
    </row>
    <row r="204">
      <c r="A204" s="4" t="inlineStr">
        <is>
          <t>通讯补助</t>
        </is>
      </c>
      <c r="D204" s="7" t="n">
        <v>191.4</v>
      </c>
      <c r="F204" s="7" t="n">
        <v>264.1</v>
      </c>
      <c r="H204" s="7" t="n">
        <v>505.3</v>
      </c>
      <c r="J204" s="7" t="n">
        <v>506.7</v>
      </c>
      <c r="L204" s="7" t="n">
        <v>528.3</v>
      </c>
      <c r="N204" s="7" t="n">
        <v>427.2</v>
      </c>
      <c r="P204" s="7" t="n">
        <v>996.2</v>
      </c>
      <c r="R204" s="7" t="n">
        <v>913.9</v>
      </c>
      <c r="T204" s="7" t="n">
        <v>360.2</v>
      </c>
      <c r="V204" s="7" t="n">
        <v>435</v>
      </c>
      <c r="X204" s="7" t="n">
        <v>426.2</v>
      </c>
      <c r="Z204" s="7" t="n">
        <v>538.4</v>
      </c>
      <c r="AB204" s="7" t="n">
        <v>6092.9</v>
      </c>
    </row>
    <row r="205">
      <c r="A205" s="4" t="inlineStr">
        <is>
          <t>招待费</t>
        </is>
      </c>
      <c r="D205" s="7" t="n">
        <v>769.6</v>
      </c>
      <c r="F205" s="7" t="n">
        <v>1535.9</v>
      </c>
      <c r="H205" s="7" t="n">
        <v>2131.4</v>
      </c>
      <c r="J205" s="7" t="n">
        <v>3785</v>
      </c>
      <c r="L205" s="7" t="n">
        <v>4084.1</v>
      </c>
      <c r="N205" s="7" t="n">
        <v>1741.5</v>
      </c>
      <c r="P205" s="7" t="n">
        <v>6290.6</v>
      </c>
      <c r="R205" s="7" t="n">
        <v>4654</v>
      </c>
      <c r="T205" s="7" t="n">
        <v>1662.6</v>
      </c>
      <c r="V205" s="7" t="n">
        <v>2283.3</v>
      </c>
      <c r="X205" s="7" t="n">
        <v>4737.7</v>
      </c>
      <c r="Z205" s="7" t="n">
        <v>3634.5</v>
      </c>
      <c r="AB205" s="7" t="n">
        <v>37310.2</v>
      </c>
    </row>
    <row r="206">
      <c r="A206" s="4" t="inlineStr">
        <is>
          <t>通讯费</t>
        </is>
      </c>
      <c r="D206" s="7" t="n">
        <v>201.1</v>
      </c>
      <c r="F206" s="7" t="n">
        <v>243.9</v>
      </c>
      <c r="H206" s="7" t="n">
        <v>457.3</v>
      </c>
      <c r="J206" s="7" t="n">
        <v>521.2</v>
      </c>
      <c r="L206" s="7" t="n">
        <v>596.5</v>
      </c>
      <c r="N206" s="7" t="n">
        <v>418.2</v>
      </c>
      <c r="P206" s="7" t="n">
        <v>1317.8</v>
      </c>
      <c r="R206" s="7" t="n">
        <v>607.5</v>
      </c>
      <c r="T206" s="7" t="n">
        <v>361.8</v>
      </c>
      <c r="V206" s="7" t="n">
        <v>601.7</v>
      </c>
      <c r="X206" s="7" t="n">
        <v>780.7</v>
      </c>
      <c r="Z206" s="7" t="n">
        <v>379.6</v>
      </c>
      <c r="AB206" s="7" t="n">
        <v>6487.3</v>
      </c>
    </row>
    <row r="207">
      <c r="A207" s="4" t="inlineStr">
        <is>
          <t>网络费</t>
        </is>
      </c>
      <c r="D207" s="7" t="n">
        <v>116.9</v>
      </c>
      <c r="F207" s="7" t="n">
        <v>131.7</v>
      </c>
      <c r="H207" s="7" t="n">
        <v>266.2</v>
      </c>
      <c r="J207" s="7" t="n">
        <v>437.6</v>
      </c>
      <c r="L207" s="7" t="n">
        <v>459.7</v>
      </c>
      <c r="N207" s="7" t="n">
        <v>255</v>
      </c>
      <c r="P207" s="7" t="n">
        <v>527.8</v>
      </c>
      <c r="R207" s="7" t="n">
        <v>330.4</v>
      </c>
      <c r="T207" s="7" t="n">
        <v>175.5</v>
      </c>
      <c r="V207" s="7" t="n">
        <v>355.1</v>
      </c>
      <c r="X207" s="7" t="n">
        <v>362.7</v>
      </c>
      <c r="Z207" s="7" t="n">
        <v>283.4</v>
      </c>
      <c r="AB207" s="7" t="n">
        <v>3702</v>
      </c>
    </row>
    <row r="208">
      <c r="A208" s="4" t="inlineStr">
        <is>
          <t>修理费</t>
        </is>
      </c>
      <c r="D208" s="7" t="n">
        <v>175.1</v>
      </c>
      <c r="F208" s="7" t="n">
        <v>208.6</v>
      </c>
      <c r="H208" s="7" t="n">
        <v>339.1</v>
      </c>
      <c r="J208" s="7" t="n">
        <v>646.1</v>
      </c>
      <c r="L208" s="7" t="n">
        <v>615.4</v>
      </c>
      <c r="N208" s="7" t="n">
        <v>373.6</v>
      </c>
      <c r="P208" s="7" t="n">
        <v>894.9</v>
      </c>
      <c r="R208" s="7" t="n">
        <v>906.3</v>
      </c>
      <c r="T208" s="7" t="n">
        <v>354.3</v>
      </c>
      <c r="V208" s="7" t="n">
        <v>376</v>
      </c>
      <c r="X208" s="7" t="n">
        <v>624.2</v>
      </c>
      <c r="Z208" s="7" t="n">
        <v>605.9</v>
      </c>
      <c r="AB208" s="7" t="n">
        <v>6119.5</v>
      </c>
    </row>
    <row r="209">
      <c r="A209" s="4" t="inlineStr">
        <is>
          <t>车辆费</t>
        </is>
      </c>
      <c r="D209" s="7" t="n">
        <v>109.1</v>
      </c>
      <c r="F209" s="7" t="n">
        <v>194.8</v>
      </c>
      <c r="H209" s="7" t="n">
        <v>214.1</v>
      </c>
      <c r="J209" s="7" t="n">
        <v>380.6</v>
      </c>
      <c r="L209" s="7" t="n">
        <v>382.2</v>
      </c>
      <c r="N209" s="7" t="n">
        <v>335.1</v>
      </c>
      <c r="P209" s="7" t="n">
        <v>789.6</v>
      </c>
      <c r="R209" s="7" t="n">
        <v>510.8</v>
      </c>
      <c r="T209" s="7" t="n">
        <v>234.2</v>
      </c>
      <c r="V209" s="7" t="n">
        <v>395.9</v>
      </c>
      <c r="X209" s="7" t="n">
        <v>522.9</v>
      </c>
      <c r="Z209" s="7" t="n">
        <v>333.5</v>
      </c>
      <c r="AB209" s="7" t="n">
        <v>4402.8</v>
      </c>
    </row>
    <row r="210">
      <c r="A210" s="4" t="inlineStr">
        <is>
          <t>租赁费</t>
        </is>
      </c>
      <c r="D210" s="7" t="n">
        <v>1630.7</v>
      </c>
      <c r="F210" s="7" t="n">
        <v>2220.4</v>
      </c>
      <c r="H210" s="7" t="n">
        <v>2528.5</v>
      </c>
      <c r="J210" s="7" t="n">
        <v>4562.2</v>
      </c>
      <c r="L210" s="7" t="n">
        <v>5949.1</v>
      </c>
      <c r="N210" s="7" t="n">
        <v>3456.5</v>
      </c>
      <c r="P210" s="7" t="n">
        <v>9921.6</v>
      </c>
      <c r="R210" s="7" t="n">
        <v>6202.3</v>
      </c>
      <c r="T210" s="7" t="n">
        <v>3320.9</v>
      </c>
      <c r="V210" s="7" t="n">
        <v>4738.4</v>
      </c>
      <c r="X210" s="7" t="n">
        <v>5713.5</v>
      </c>
      <c r="Z210" s="7" t="n">
        <v>3894.7</v>
      </c>
      <c r="AB210" s="7" t="n">
        <v>54138.8</v>
      </c>
    </row>
    <row r="211">
      <c r="A211" s="4" t="inlineStr">
        <is>
          <t>能源费</t>
        </is>
      </c>
      <c r="D211" s="7" t="n">
        <v>370.2</v>
      </c>
      <c r="F211" s="7" t="n">
        <v>491</v>
      </c>
      <c r="H211" s="7" t="n">
        <v>891.7</v>
      </c>
      <c r="J211" s="7" t="n">
        <v>1228.3</v>
      </c>
      <c r="L211" s="7" t="n">
        <v>1385.8</v>
      </c>
      <c r="N211" s="7" t="n">
        <v>797.4</v>
      </c>
      <c r="P211" s="7" t="n">
        <v>1934.5</v>
      </c>
      <c r="R211" s="7" t="n">
        <v>1649.2</v>
      </c>
      <c r="T211" s="7" t="n">
        <v>607.6</v>
      </c>
      <c r="V211" s="7" t="n">
        <v>1111.2</v>
      </c>
      <c r="X211" s="7" t="n">
        <v>1355.3</v>
      </c>
      <c r="Z211" s="7" t="n">
        <v>1090.5</v>
      </c>
      <c r="AB211" s="7" t="n">
        <v>12912.7</v>
      </c>
    </row>
    <row r="212">
      <c r="A212" s="4" t="inlineStr">
        <is>
          <t>水费</t>
        </is>
      </c>
      <c r="D212" s="7" t="n">
        <v>74.90000000000001</v>
      </c>
      <c r="F212" s="7" t="n">
        <v>132.8</v>
      </c>
      <c r="H212" s="7" t="n">
        <v>190.4</v>
      </c>
      <c r="J212" s="7" t="n">
        <v>408.2</v>
      </c>
      <c r="L212" s="7" t="n">
        <v>358.4</v>
      </c>
      <c r="N212" s="7" t="n">
        <v>230.4</v>
      </c>
      <c r="P212" s="7" t="n">
        <v>437.1</v>
      </c>
      <c r="R212" s="7" t="n">
        <v>347</v>
      </c>
      <c r="T212" s="7" t="n">
        <v>156.5</v>
      </c>
      <c r="V212" s="7" t="n">
        <v>297.7</v>
      </c>
      <c r="X212" s="7" t="n">
        <v>234.3</v>
      </c>
      <c r="Z212" s="7" t="n">
        <v>288.9</v>
      </c>
      <c r="AB212" s="7" t="n">
        <v>3156.6</v>
      </c>
    </row>
    <row r="213">
      <c r="A213" s="4" t="inlineStr">
        <is>
          <t>电费</t>
        </is>
      </c>
      <c r="D213" s="7" t="n">
        <v>93.09999999999999</v>
      </c>
      <c r="F213" s="7" t="n">
        <v>126.7</v>
      </c>
      <c r="H213" s="7" t="n">
        <v>155.4</v>
      </c>
      <c r="J213" s="7" t="n">
        <v>210.1</v>
      </c>
      <c r="L213" s="7" t="n">
        <v>385.6</v>
      </c>
      <c r="N213" s="7" t="n">
        <v>179.8</v>
      </c>
      <c r="P213" s="7" t="n">
        <v>372.8</v>
      </c>
      <c r="R213" s="7" t="n">
        <v>278</v>
      </c>
      <c r="T213" s="7" t="n">
        <v>114.2</v>
      </c>
      <c r="V213" s="7" t="n">
        <v>304.6</v>
      </c>
      <c r="X213" s="7" t="n">
        <v>240.4</v>
      </c>
      <c r="Z213" s="7" t="n">
        <v>233.2</v>
      </c>
      <c r="AB213" s="7" t="n">
        <v>2693.9</v>
      </c>
    </row>
    <row r="214">
      <c r="A214" s="4" t="inlineStr">
        <is>
          <t>燃气费</t>
        </is>
      </c>
      <c r="D214" s="7" t="n">
        <v>144.6</v>
      </c>
      <c r="F214" s="7" t="n">
        <v>141.2</v>
      </c>
      <c r="H214" s="7" t="n">
        <v>413.3</v>
      </c>
      <c r="J214" s="7" t="n">
        <v>389.6</v>
      </c>
      <c r="L214" s="7" t="n">
        <v>428.6</v>
      </c>
      <c r="N214" s="7" t="n">
        <v>252</v>
      </c>
      <c r="P214" s="7" t="n">
        <v>719.7</v>
      </c>
      <c r="R214" s="7" t="n">
        <v>749.3</v>
      </c>
      <c r="T214" s="7" t="n">
        <v>207.5</v>
      </c>
      <c r="V214" s="7" t="n">
        <v>371.8</v>
      </c>
      <c r="X214" s="7" t="n">
        <v>657.6</v>
      </c>
      <c r="Z214" s="7" t="n">
        <v>428.4</v>
      </c>
      <c r="AB214" s="7" t="n">
        <v>4903.6</v>
      </c>
    </row>
    <row r="215">
      <c r="A215" s="4" t="inlineStr">
        <is>
          <t>蒸汽费</t>
        </is>
      </c>
      <c r="D215" s="7" t="n">
        <v>57.6</v>
      </c>
      <c r="F215" s="7" t="n">
        <v>90.3</v>
      </c>
      <c r="H215" s="7" t="n">
        <v>132.6</v>
      </c>
      <c r="J215" s="7" t="n">
        <v>220.4</v>
      </c>
      <c r="L215" s="7" t="n">
        <v>213.2</v>
      </c>
      <c r="N215" s="7" t="n">
        <v>135.2</v>
      </c>
      <c r="P215" s="7" t="n">
        <v>404.9</v>
      </c>
      <c r="R215" s="7" t="n">
        <v>274.9</v>
      </c>
      <c r="T215" s="7" t="n">
        <v>129.4</v>
      </c>
      <c r="V215" s="7" t="n">
        <v>137.1</v>
      </c>
      <c r="X215" s="7" t="n">
        <v>223</v>
      </c>
      <c r="Z215" s="7" t="n">
        <v>140</v>
      </c>
      <c r="AB215" s="7" t="n">
        <v>2158.6</v>
      </c>
    </row>
    <row r="216">
      <c r="A216" s="4" t="inlineStr">
        <is>
          <t>物业费</t>
        </is>
      </c>
      <c r="D216" s="7" t="n">
        <v>39.3</v>
      </c>
      <c r="F216" s="7" t="n">
        <v>80.90000000000001</v>
      </c>
      <c r="H216" s="7" t="n">
        <v>163.9</v>
      </c>
      <c r="J216" s="7" t="n">
        <v>196.6</v>
      </c>
      <c r="L216" s="7" t="n">
        <v>236.4</v>
      </c>
      <c r="N216" s="7" t="n">
        <v>95.90000000000001</v>
      </c>
      <c r="P216" s="7" t="n">
        <v>382.4</v>
      </c>
      <c r="R216" s="7" t="n">
        <v>266.9</v>
      </c>
      <c r="T216" s="7" t="n">
        <v>98.59999999999999</v>
      </c>
      <c r="V216" s="7" t="n">
        <v>216.8</v>
      </c>
      <c r="X216" s="7" t="n">
        <v>199.3</v>
      </c>
      <c r="Z216" s="7" t="n">
        <v>124.7</v>
      </c>
      <c r="AB216" s="7" t="n">
        <v>2101.7</v>
      </c>
    </row>
    <row r="217">
      <c r="A217" s="4" t="inlineStr">
        <is>
          <t>劳动保护费</t>
        </is>
      </c>
      <c r="D217" s="7" t="n">
        <v>6.6</v>
      </c>
      <c r="F217" s="7" t="n">
        <v>10.9</v>
      </c>
      <c r="H217" s="7" t="n">
        <v>16</v>
      </c>
      <c r="J217" s="7" t="n">
        <v>26.2</v>
      </c>
      <c r="L217" s="7" t="n">
        <v>21</v>
      </c>
      <c r="N217" s="7" t="n">
        <v>17.3</v>
      </c>
      <c r="P217" s="7" t="n">
        <v>46.9</v>
      </c>
      <c r="R217" s="7" t="n">
        <v>37.8</v>
      </c>
      <c r="T217" s="7" t="n">
        <v>12.7</v>
      </c>
      <c r="V217" s="7" t="n">
        <v>23.5</v>
      </c>
      <c r="X217" s="7" t="n">
        <v>20.5</v>
      </c>
      <c r="Z217" s="7" t="n">
        <v>27.2</v>
      </c>
      <c r="AB217" s="7" t="n">
        <v>266.6</v>
      </c>
    </row>
    <row r="218">
      <c r="A218" s="4" t="inlineStr">
        <is>
          <t>顾问费</t>
        </is>
      </c>
      <c r="D218" s="7" t="n">
        <v>5.2</v>
      </c>
      <c r="F218" s="7" t="n">
        <v>9</v>
      </c>
      <c r="H218" s="7" t="n">
        <v>17.5</v>
      </c>
      <c r="J218" s="7" t="n">
        <v>18.8</v>
      </c>
      <c r="L218" s="7" t="n">
        <v>23.5</v>
      </c>
      <c r="N218" s="7" t="n">
        <v>9.6</v>
      </c>
      <c r="P218" s="7" t="n">
        <v>28.7</v>
      </c>
      <c r="R218" s="7" t="n">
        <v>32.6</v>
      </c>
      <c r="T218" s="7" t="n">
        <v>13.6</v>
      </c>
      <c r="V218" s="7" t="n">
        <v>22.9</v>
      </c>
      <c r="X218" s="7" t="n">
        <v>20.8</v>
      </c>
      <c r="Z218" s="7" t="n">
        <v>18.7</v>
      </c>
      <c r="AB218" s="7" t="n">
        <v>220.9</v>
      </c>
    </row>
    <row r="219">
      <c r="A219" s="4" t="inlineStr">
        <is>
          <t>快递费</t>
        </is>
      </c>
      <c r="D219" s="7" t="n">
        <v>88.5</v>
      </c>
      <c r="F219" s="7" t="n">
        <v>97.59999999999999</v>
      </c>
      <c r="H219" s="7" t="n">
        <v>244.9</v>
      </c>
      <c r="J219" s="7" t="n">
        <v>334.5</v>
      </c>
      <c r="L219" s="7" t="n">
        <v>244.1</v>
      </c>
      <c r="N219" s="7" t="n">
        <v>192.5</v>
      </c>
      <c r="P219" s="7" t="n">
        <v>557</v>
      </c>
      <c r="R219" s="7" t="n">
        <v>358.9</v>
      </c>
      <c r="T219" s="7" t="n">
        <v>194.7</v>
      </c>
      <c r="V219" s="7" t="n">
        <v>214.5</v>
      </c>
      <c r="X219" s="7" t="n">
        <v>231.7</v>
      </c>
      <c r="Z219" s="7" t="n">
        <v>220.5</v>
      </c>
      <c r="AB219" s="7" t="n">
        <v>2979.4</v>
      </c>
    </row>
    <row r="220">
      <c r="A220" s="4" t="inlineStr">
        <is>
          <t>诉讼费</t>
        </is>
      </c>
      <c r="D220" s="7" t="n">
        <v>43.4</v>
      </c>
      <c r="F220" s="7" t="n">
        <v>59.3</v>
      </c>
      <c r="H220" s="7" t="n">
        <v>167.9</v>
      </c>
      <c r="J220" s="7" t="n">
        <v>179.6</v>
      </c>
      <c r="L220" s="7" t="n">
        <v>237.5</v>
      </c>
      <c r="N220" s="7" t="n">
        <v>92.09999999999999</v>
      </c>
      <c r="P220" s="7" t="n">
        <v>415.1</v>
      </c>
      <c r="R220" s="7" t="n">
        <v>305.7</v>
      </c>
      <c r="T220" s="7" t="n">
        <v>139.5</v>
      </c>
      <c r="V220" s="7" t="n">
        <v>203.9</v>
      </c>
      <c r="X220" s="7" t="n">
        <v>151</v>
      </c>
      <c r="Z220" s="7" t="n">
        <v>146.1</v>
      </c>
      <c r="AB220" s="7" t="n">
        <v>2141.1</v>
      </c>
    </row>
    <row r="221">
      <c r="A221" s="4" t="inlineStr">
        <is>
          <t>会员费</t>
        </is>
      </c>
      <c r="D221" s="7" t="n">
        <v>64.5</v>
      </c>
      <c r="F221" s="7" t="n">
        <v>92.7</v>
      </c>
      <c r="H221" s="7" t="n">
        <v>120</v>
      </c>
      <c r="J221" s="7" t="n">
        <v>217.4</v>
      </c>
      <c r="L221" s="7" t="n">
        <v>275.4</v>
      </c>
      <c r="N221" s="7" t="n">
        <v>167.6</v>
      </c>
      <c r="P221" s="7" t="n">
        <v>278.1</v>
      </c>
      <c r="R221" s="7" t="n">
        <v>207.6</v>
      </c>
      <c r="T221" s="7" t="n">
        <v>131.7</v>
      </c>
      <c r="V221" s="7" t="n">
        <v>228</v>
      </c>
      <c r="X221" s="7" t="n">
        <v>221.3</v>
      </c>
      <c r="Z221" s="7" t="n">
        <v>178.3</v>
      </c>
      <c r="AB221" s="7" t="n">
        <v>2182.6</v>
      </c>
    </row>
    <row r="222">
      <c r="A222" s="4" t="inlineStr">
        <is>
          <t>广告宣传费</t>
        </is>
      </c>
      <c r="D222" s="7" t="n">
        <v>719.6</v>
      </c>
      <c r="F222" s="7" t="n">
        <v>1156.4</v>
      </c>
      <c r="H222" s="7" t="n">
        <v>1373.1</v>
      </c>
      <c r="J222" s="7" t="n">
        <v>3070.4</v>
      </c>
      <c r="L222" s="7" t="n">
        <v>3690.7</v>
      </c>
      <c r="N222" s="7" t="n">
        <v>1954.6</v>
      </c>
      <c r="P222" s="7" t="n">
        <v>3755.7</v>
      </c>
      <c r="R222" s="7" t="n">
        <v>3507.5</v>
      </c>
      <c r="T222" s="7" t="n">
        <v>1343.5</v>
      </c>
      <c r="V222" s="7" t="n">
        <v>2502</v>
      </c>
      <c r="X222" s="7" t="n">
        <v>2735.3</v>
      </c>
      <c r="Z222" s="7" t="n">
        <v>1841.7</v>
      </c>
      <c r="AB222" s="7" t="n">
        <v>27650.5</v>
      </c>
    </row>
    <row r="223">
      <c r="A223" s="4" t="inlineStr">
        <is>
          <t>会务费</t>
        </is>
      </c>
      <c r="D223" s="7" t="n">
        <v>57</v>
      </c>
      <c r="F223" s="7" t="n">
        <v>54.3</v>
      </c>
      <c r="H223" s="7" t="n">
        <v>104.2</v>
      </c>
      <c r="J223" s="7" t="n">
        <v>217.4</v>
      </c>
      <c r="L223" s="7" t="n">
        <v>236.2</v>
      </c>
      <c r="N223" s="7" t="n">
        <v>127.3</v>
      </c>
      <c r="P223" s="7" t="n">
        <v>218.2</v>
      </c>
      <c r="R223" s="7" t="n">
        <v>163.2</v>
      </c>
      <c r="T223" s="7" t="n">
        <v>92.7</v>
      </c>
      <c r="V223" s="7" t="n">
        <v>152.7</v>
      </c>
      <c r="X223" s="7" t="n">
        <v>159.5</v>
      </c>
      <c r="Z223" s="7" t="n">
        <v>185.8</v>
      </c>
      <c r="AB223" s="7" t="n">
        <v>1768.5</v>
      </c>
    </row>
    <row r="224">
      <c r="A224" s="4" t="inlineStr">
        <is>
          <t>装修费</t>
        </is>
      </c>
      <c r="D224" s="7" t="n">
        <v>54.7</v>
      </c>
      <c r="F224" s="7" t="n">
        <v>62.4</v>
      </c>
      <c r="H224" s="7" t="n">
        <v>184.7</v>
      </c>
      <c r="J224" s="7" t="n">
        <v>200.2</v>
      </c>
      <c r="L224" s="7" t="n">
        <v>255.7</v>
      </c>
      <c r="N224" s="7" t="n">
        <v>152.8</v>
      </c>
      <c r="P224" s="7" t="n">
        <v>336.8</v>
      </c>
      <c r="R224" s="7" t="n">
        <v>229.3</v>
      </c>
      <c r="T224" s="7" t="n">
        <v>98.59999999999999</v>
      </c>
      <c r="V224" s="7" t="n">
        <v>221.2</v>
      </c>
      <c r="X224" s="7" t="n">
        <v>165.5</v>
      </c>
      <c r="Z224" s="7" t="n">
        <v>149.6</v>
      </c>
      <c r="AB224" s="7" t="n">
        <v>2111.5</v>
      </c>
    </row>
    <row r="225">
      <c r="A225" s="4" t="inlineStr">
        <is>
          <t>推广费</t>
        </is>
      </c>
      <c r="D225" s="7" t="n">
        <v>103.4</v>
      </c>
      <c r="F225" s="7" t="n">
        <v>195.7</v>
      </c>
      <c r="H225" s="7" t="n">
        <v>349.1</v>
      </c>
      <c r="J225" s="7" t="n">
        <v>367.5</v>
      </c>
      <c r="L225" s="7" t="n">
        <v>699.5</v>
      </c>
      <c r="N225" s="7" t="n">
        <v>243.7</v>
      </c>
      <c r="P225" s="7" t="n">
        <v>1060.8</v>
      </c>
      <c r="R225" s="7" t="n">
        <v>746.7</v>
      </c>
      <c r="T225" s="7" t="n">
        <v>315.1</v>
      </c>
      <c r="V225" s="7" t="n">
        <v>338.8</v>
      </c>
      <c r="X225" s="7" t="n">
        <v>486.8</v>
      </c>
      <c r="Z225" s="7" t="n">
        <v>423.8</v>
      </c>
      <c r="AB225" s="7" t="n">
        <v>5330.9</v>
      </c>
    </row>
    <row r="226">
      <c r="A226" s="4" t="inlineStr">
        <is>
          <t>展会费</t>
        </is>
      </c>
      <c r="D226" s="7" t="n">
        <v>15.8</v>
      </c>
      <c r="F226" s="7" t="n">
        <v>24.2</v>
      </c>
      <c r="H226" s="7" t="n">
        <v>42.8</v>
      </c>
      <c r="J226" s="7" t="n">
        <v>77.40000000000001</v>
      </c>
      <c r="L226" s="7" t="n">
        <v>56.4</v>
      </c>
      <c r="N226" s="7" t="n">
        <v>30.4</v>
      </c>
      <c r="P226" s="7" t="n">
        <v>107.1</v>
      </c>
      <c r="R226" s="7" t="n">
        <v>93.90000000000001</v>
      </c>
      <c r="T226" s="7" t="n">
        <v>24.8</v>
      </c>
      <c r="V226" s="7" t="n">
        <v>52.8</v>
      </c>
      <c r="X226" s="7" t="n">
        <v>80.3</v>
      </c>
      <c r="Z226" s="7" t="n">
        <v>56.1</v>
      </c>
      <c r="AB226" s="7" t="n">
        <v>662</v>
      </c>
    </row>
    <row r="227">
      <c r="A227" s="4" t="inlineStr">
        <is>
          <t>设计费</t>
        </is>
      </c>
      <c r="D227" s="7" t="n">
        <v>48.7</v>
      </c>
      <c r="F227" s="7" t="n">
        <v>67.2</v>
      </c>
      <c r="H227" s="7" t="n">
        <v>95.5</v>
      </c>
      <c r="J227" s="7" t="n">
        <v>136.4</v>
      </c>
      <c r="L227" s="7" t="n">
        <v>153.1</v>
      </c>
      <c r="N227" s="7" t="n">
        <v>71.90000000000001</v>
      </c>
      <c r="P227" s="7" t="n">
        <v>254.7</v>
      </c>
      <c r="R227" s="7" t="n">
        <v>235.3</v>
      </c>
      <c r="T227" s="7" t="n">
        <v>97.7</v>
      </c>
      <c r="V227" s="7" t="n">
        <v>93.59999999999999</v>
      </c>
      <c r="X227" s="7" t="n">
        <v>170.9</v>
      </c>
      <c r="Z227" s="7" t="n">
        <v>169.3</v>
      </c>
      <c r="AB227" s="7" t="n">
        <v>1594.3</v>
      </c>
    </row>
    <row r="228">
      <c r="A228" s="4" t="inlineStr">
        <is>
          <t>折旧费</t>
        </is>
      </c>
      <c r="D228" s="7" t="n">
        <v>974.5</v>
      </c>
      <c r="F228" s="7" t="n">
        <v>1465.4</v>
      </c>
      <c r="H228" s="7" t="n">
        <v>3136.1</v>
      </c>
      <c r="J228" s="7" t="n">
        <v>4634.5</v>
      </c>
      <c r="L228" s="7" t="n">
        <v>3422.6</v>
      </c>
      <c r="N228" s="7" t="n">
        <v>2577.2</v>
      </c>
      <c r="P228" s="7" t="n">
        <v>7698.8</v>
      </c>
      <c r="R228" s="7" t="n">
        <v>5860.1</v>
      </c>
      <c r="T228" s="7" t="n">
        <v>2246.3</v>
      </c>
      <c r="V228" s="7" t="n">
        <v>3719.4</v>
      </c>
      <c r="X228" s="7" t="n">
        <v>3038.9</v>
      </c>
      <c r="Z228" s="7" t="n">
        <v>3519.7</v>
      </c>
      <c r="AB228" s="7" t="n">
        <v>42293.5</v>
      </c>
    </row>
    <row r="229">
      <c r="A229" s="4" t="inlineStr">
        <is>
          <t>认证费</t>
        </is>
      </c>
      <c r="D229" s="7" t="n">
        <v>57.2</v>
      </c>
      <c r="F229" s="7" t="n">
        <v>62.3</v>
      </c>
      <c r="H229" s="7" t="n">
        <v>87.09999999999999</v>
      </c>
      <c r="J229" s="7" t="n">
        <v>140.7</v>
      </c>
      <c r="L229" s="7" t="n">
        <v>156.1</v>
      </c>
      <c r="N229" s="7" t="n">
        <v>140.4</v>
      </c>
      <c r="P229" s="7" t="n">
        <v>243.4</v>
      </c>
      <c r="R229" s="7" t="n">
        <v>243.1</v>
      </c>
      <c r="T229" s="7" t="n">
        <v>89.8</v>
      </c>
      <c r="V229" s="7" t="n">
        <v>142.3</v>
      </c>
      <c r="X229" s="7" t="n">
        <v>176.5</v>
      </c>
      <c r="Z229" s="7" t="n">
        <v>185.5</v>
      </c>
      <c r="AB229" s="7" t="n">
        <v>1724.4</v>
      </c>
    </row>
    <row r="230">
      <c r="A230" s="4" t="inlineStr">
        <is>
          <t>样品费</t>
        </is>
      </c>
      <c r="D230" s="7" t="n">
        <v>651.9</v>
      </c>
      <c r="F230" s="7" t="n">
        <v>607.5</v>
      </c>
      <c r="H230" s="7" t="n">
        <v>1312.3</v>
      </c>
      <c r="J230" s="7" t="n">
        <v>1807.3</v>
      </c>
      <c r="L230" s="7" t="n">
        <v>1950.4</v>
      </c>
      <c r="N230" s="7" t="n">
        <v>1529.9</v>
      </c>
      <c r="P230" s="7" t="n">
        <v>3300.6</v>
      </c>
      <c r="R230" s="7" t="n">
        <v>2213.5</v>
      </c>
      <c r="T230" s="7" t="n">
        <v>1262.6</v>
      </c>
      <c r="V230" s="7" t="n">
        <v>1794.9</v>
      </c>
      <c r="X230" s="7" t="n">
        <v>2136.8</v>
      </c>
      <c r="Z230" s="7" t="n">
        <v>2083.2</v>
      </c>
      <c r="AB230" s="7" t="n">
        <v>20650.9</v>
      </c>
    </row>
    <row r="231">
      <c r="A231" s="4" t="inlineStr">
        <is>
          <t>劳务费</t>
        </is>
      </c>
      <c r="D231" s="7" t="n">
        <v>113.5</v>
      </c>
      <c r="F231" s="7" t="n">
        <v>142.7</v>
      </c>
      <c r="H231" s="7" t="n">
        <v>250.3</v>
      </c>
      <c r="J231" s="7" t="n">
        <v>301.9</v>
      </c>
      <c r="L231" s="7" t="n">
        <v>434.7</v>
      </c>
      <c r="N231" s="7" t="n">
        <v>216.6</v>
      </c>
      <c r="P231" s="7" t="n">
        <v>657.1</v>
      </c>
      <c r="R231" s="7" t="n">
        <v>508.6</v>
      </c>
      <c r="T231" s="7" t="n">
        <v>174.4</v>
      </c>
      <c r="V231" s="7" t="n">
        <v>275.5</v>
      </c>
      <c r="X231" s="7" t="n">
        <v>327.5</v>
      </c>
      <c r="Z231" s="7" t="n">
        <v>287.9</v>
      </c>
      <c r="AB231" s="7" t="n">
        <v>3690.7</v>
      </c>
    </row>
    <row r="232">
      <c r="A232" s="4" t="inlineStr">
        <is>
          <t>销售佣金</t>
        </is>
      </c>
      <c r="D232" s="7" t="n">
        <v>77.90000000000001</v>
      </c>
      <c r="F232" s="7" t="n">
        <v>144.2</v>
      </c>
      <c r="H232" s="7" t="n">
        <v>269.2</v>
      </c>
      <c r="J232" s="7" t="n">
        <v>353</v>
      </c>
      <c r="L232" s="7" t="n">
        <v>337.4</v>
      </c>
      <c r="N232" s="7" t="n">
        <v>179.4</v>
      </c>
      <c r="P232" s="7" t="n">
        <v>659.8</v>
      </c>
      <c r="R232" s="7" t="n">
        <v>404.3</v>
      </c>
      <c r="T232" s="7" t="n">
        <v>164.6</v>
      </c>
      <c r="V232" s="7" t="n">
        <v>233</v>
      </c>
      <c r="X232" s="7" t="n">
        <v>307.3</v>
      </c>
      <c r="Z232" s="7" t="n">
        <v>306.4</v>
      </c>
      <c r="AB232" s="7" t="n">
        <v>3436.5</v>
      </c>
    </row>
    <row r="233">
      <c r="A233" s="4" t="inlineStr">
        <is>
          <t>检测费</t>
        </is>
      </c>
      <c r="D233" s="7" t="n">
        <v>162.1</v>
      </c>
      <c r="F233" s="7" t="n">
        <v>135.9</v>
      </c>
      <c r="H233" s="7" t="n">
        <v>376.2</v>
      </c>
      <c r="J233" s="7" t="n">
        <v>445.5</v>
      </c>
      <c r="L233" s="7" t="n">
        <v>617.6</v>
      </c>
      <c r="N233" s="7" t="n">
        <v>278.4</v>
      </c>
      <c r="P233" s="7" t="n">
        <v>847</v>
      </c>
      <c r="R233" s="7" t="n">
        <v>534.3</v>
      </c>
      <c r="T233" s="7" t="n">
        <v>306.7</v>
      </c>
      <c r="V233" s="7" t="n">
        <v>426.1</v>
      </c>
      <c r="X233" s="7" t="n">
        <v>387.4</v>
      </c>
      <c r="Z233" s="7" t="n">
        <v>474.9</v>
      </c>
      <c r="AB233" s="7" t="n">
        <v>4992.1</v>
      </c>
    </row>
    <row r="234">
      <c r="A234" s="4" t="inlineStr">
        <is>
          <t>质量赔偿</t>
        </is>
      </c>
      <c r="D234" s="7" t="n">
        <v>162.2</v>
      </c>
      <c r="F234" s="7" t="n">
        <v>162.9</v>
      </c>
      <c r="H234" s="7" t="n">
        <v>433.4</v>
      </c>
      <c r="J234" s="7" t="n">
        <v>694.1</v>
      </c>
      <c r="L234" s="7" t="n">
        <v>512.8</v>
      </c>
      <c r="N234" s="7" t="n">
        <v>376.9</v>
      </c>
      <c r="P234" s="7" t="n">
        <v>939.9</v>
      </c>
      <c r="R234" s="7" t="n">
        <v>578.3</v>
      </c>
      <c r="T234" s="7" t="n">
        <v>293.9</v>
      </c>
      <c r="V234" s="7" t="n">
        <v>399.5</v>
      </c>
      <c r="X234" s="7" t="n">
        <v>571.9</v>
      </c>
      <c r="Z234" s="7" t="n">
        <v>487.9</v>
      </c>
      <c r="AB234" s="7" t="n">
        <v>5613.7</v>
      </c>
    </row>
    <row r="235">
      <c r="A235" s="4" t="inlineStr">
        <is>
          <t>保险费</t>
        </is>
      </c>
      <c r="D235" s="7" t="n">
        <v>26.6</v>
      </c>
      <c r="F235" s="7" t="n">
        <v>28.1</v>
      </c>
      <c r="H235" s="7" t="n">
        <v>78.90000000000001</v>
      </c>
      <c r="J235" s="7" t="n">
        <v>114.9</v>
      </c>
      <c r="L235" s="7" t="n">
        <v>136.5</v>
      </c>
      <c r="N235" s="7" t="n">
        <v>40.6</v>
      </c>
      <c r="P235" s="7" t="n">
        <v>127.9</v>
      </c>
      <c r="R235" s="7" t="n">
        <v>143.7</v>
      </c>
      <c r="T235" s="7" t="n">
        <v>62.3</v>
      </c>
      <c r="V235" s="7" t="n">
        <v>75.3</v>
      </c>
      <c r="X235" s="7" t="n">
        <v>118.8</v>
      </c>
      <c r="Z235" s="7" t="n">
        <v>83.7</v>
      </c>
      <c r="AB235" s="7" t="n">
        <v>1037.3</v>
      </c>
    </row>
    <row r="236">
      <c r="A236" s="4" t="inlineStr">
        <is>
          <t>清洁费</t>
        </is>
      </c>
      <c r="D236" s="7" t="n">
        <v>49.3</v>
      </c>
      <c r="F236" s="7" t="n">
        <v>51.3</v>
      </c>
      <c r="H236" s="7" t="n">
        <v>85.3</v>
      </c>
      <c r="J236" s="7" t="n">
        <v>175.2</v>
      </c>
      <c r="L236" s="7" t="n">
        <v>258.1</v>
      </c>
      <c r="N236" s="7" t="n">
        <v>115.8</v>
      </c>
      <c r="P236" s="7" t="n">
        <v>293.6</v>
      </c>
      <c r="R236" s="7" t="n">
        <v>201.2</v>
      </c>
      <c r="T236" s="7" t="n">
        <v>72.40000000000001</v>
      </c>
      <c r="V236" s="7" t="n">
        <v>118.5</v>
      </c>
      <c r="X236" s="7" t="n">
        <v>159.3</v>
      </c>
      <c r="Z236" s="7" t="n">
        <v>178.2</v>
      </c>
      <c r="AB236" s="7" t="n">
        <v>1758.2</v>
      </c>
    </row>
    <row r="237">
      <c r="A237" s="4" t="inlineStr">
        <is>
          <t>低值易耗品</t>
        </is>
      </c>
      <c r="D237" s="7" t="n">
        <v>11.3</v>
      </c>
      <c r="F237" s="7" t="n">
        <v>10.7</v>
      </c>
      <c r="H237" s="7" t="n">
        <v>23.6</v>
      </c>
      <c r="J237" s="7" t="n">
        <v>31</v>
      </c>
      <c r="L237" s="7" t="n">
        <v>46.1</v>
      </c>
      <c r="N237" s="7" t="n">
        <v>27</v>
      </c>
      <c r="P237" s="7" t="n">
        <v>65.09999999999999</v>
      </c>
      <c r="R237" s="7" t="n">
        <v>34.9</v>
      </c>
      <c r="T237" s="7" t="n">
        <v>22.8</v>
      </c>
      <c r="V237" s="7" t="n">
        <v>30</v>
      </c>
      <c r="X237" s="7" t="n">
        <v>24.1</v>
      </c>
      <c r="Z237" s="7" t="n">
        <v>26.8</v>
      </c>
      <c r="AB237" s="7" t="n">
        <v>353.4</v>
      </c>
    </row>
    <row r="238">
      <c r="A238" s="4" t="inlineStr">
        <is>
          <t>物料消耗</t>
        </is>
      </c>
      <c r="D238" s="7" t="n">
        <v>92.5</v>
      </c>
      <c r="F238" s="7" t="n">
        <v>135</v>
      </c>
      <c r="H238" s="7" t="n">
        <v>220.5</v>
      </c>
      <c r="J238" s="7" t="n">
        <v>442.1</v>
      </c>
      <c r="L238" s="7" t="n">
        <v>470.3</v>
      </c>
      <c r="N238" s="7" t="n">
        <v>212.2</v>
      </c>
      <c r="P238" s="7" t="n">
        <v>692.2</v>
      </c>
      <c r="R238" s="7" t="n">
        <v>585.8</v>
      </c>
      <c r="T238" s="7" t="n">
        <v>167.2</v>
      </c>
      <c r="V238" s="7" t="n">
        <v>340.7</v>
      </c>
      <c r="X238" s="7" t="n">
        <v>348.5</v>
      </c>
      <c r="Z238" s="7" t="n">
        <v>282.9</v>
      </c>
      <c r="AB238" s="7" t="n">
        <v>3989.9</v>
      </c>
    </row>
    <row r="239">
      <c r="A239" s="4" t="inlineStr">
        <is>
          <t>盘盈盘亏</t>
        </is>
      </c>
      <c r="D239" s="7" t="n">
        <v>164.6</v>
      </c>
      <c r="F239" s="7" t="n">
        <v>149.5</v>
      </c>
      <c r="H239" s="7" t="n">
        <v>363.2</v>
      </c>
      <c r="J239" s="7" t="n">
        <v>677.9</v>
      </c>
      <c r="L239" s="7" t="n">
        <v>439.4</v>
      </c>
      <c r="N239" s="7" t="n">
        <v>364.4</v>
      </c>
      <c r="P239" s="7" t="n">
        <v>1114.7</v>
      </c>
      <c r="R239" s="7" t="n">
        <v>540.9</v>
      </c>
      <c r="T239" s="7" t="n">
        <v>270.5</v>
      </c>
      <c r="V239" s="7" t="n">
        <v>322.6</v>
      </c>
      <c r="X239" s="7" t="n">
        <v>610</v>
      </c>
      <c r="Z239" s="7" t="n">
        <v>365.4</v>
      </c>
      <c r="AB239" s="7" t="n">
        <v>5383.1</v>
      </c>
    </row>
    <row r="240">
      <c r="A240" s="4" t="inlineStr">
        <is>
          <t>平台服务费</t>
        </is>
      </c>
      <c r="D240" s="7" t="n">
        <v>62.8</v>
      </c>
      <c r="F240" s="7" t="n">
        <v>83.40000000000001</v>
      </c>
      <c r="H240" s="7" t="n">
        <v>161.1</v>
      </c>
      <c r="J240" s="7" t="n">
        <v>232.2</v>
      </c>
      <c r="L240" s="7" t="n">
        <v>280</v>
      </c>
      <c r="N240" s="7" t="n">
        <v>160.8</v>
      </c>
      <c r="P240" s="7" t="n">
        <v>517.5</v>
      </c>
      <c r="R240" s="7" t="n">
        <v>379.4</v>
      </c>
      <c r="T240" s="7" t="n">
        <v>145</v>
      </c>
      <c r="V240" s="7" t="n">
        <v>201.2</v>
      </c>
      <c r="X240" s="7" t="n">
        <v>219.1</v>
      </c>
      <c r="Z240" s="7" t="n">
        <v>187.5</v>
      </c>
      <c r="AB240" s="7" t="n">
        <v>2630</v>
      </c>
    </row>
    <row r="241">
      <c r="A241" s="4" t="inlineStr">
        <is>
          <t>无形资产摊销</t>
        </is>
      </c>
      <c r="D241" s="7" t="n">
        <v>117.6</v>
      </c>
      <c r="F241" s="7" t="n">
        <v>184</v>
      </c>
      <c r="H241" s="7" t="n">
        <v>279.4</v>
      </c>
      <c r="J241" s="7" t="n">
        <v>503.5</v>
      </c>
      <c r="L241" s="7" t="n">
        <v>477.8</v>
      </c>
      <c r="N241" s="7" t="n">
        <v>288.6</v>
      </c>
      <c r="P241" s="7" t="n">
        <v>660.8</v>
      </c>
      <c r="R241" s="7" t="n">
        <v>682.1</v>
      </c>
      <c r="T241" s="7" t="n">
        <v>240</v>
      </c>
      <c r="V241" s="7" t="n">
        <v>442.1</v>
      </c>
      <c r="X241" s="7" t="n">
        <v>453.2</v>
      </c>
      <c r="Z241" s="7" t="n">
        <v>346.6</v>
      </c>
      <c r="AB241" s="7" t="n">
        <v>4675.7</v>
      </c>
    </row>
    <row r="242">
      <c r="A242" s="4" t="inlineStr">
        <is>
          <t>研发材料</t>
        </is>
      </c>
      <c r="D242" s="7" t="n">
        <v>91.2</v>
      </c>
      <c r="F242" s="7" t="n">
        <v>135.6</v>
      </c>
      <c r="H242" s="7" t="n">
        <v>223.7</v>
      </c>
      <c r="J242" s="7" t="n">
        <v>304.8</v>
      </c>
      <c r="L242" s="7" t="n">
        <v>404.7</v>
      </c>
      <c r="N242" s="7" t="n">
        <v>209.2</v>
      </c>
      <c r="P242" s="7" t="n">
        <v>600.4</v>
      </c>
      <c r="R242" s="7" t="n">
        <v>360.2</v>
      </c>
      <c r="T242" s="7" t="n">
        <v>198.2</v>
      </c>
      <c r="V242" s="7" t="n">
        <v>217.5</v>
      </c>
      <c r="X242" s="7" t="n">
        <v>278.1</v>
      </c>
      <c r="Z242" s="7" t="n">
        <v>256.3</v>
      </c>
      <c r="AB242" s="7" t="n">
        <v>3279.9</v>
      </c>
    </row>
    <row r="243">
      <c r="A243" s="4" t="inlineStr">
        <is>
          <t>项目名称</t>
        </is>
      </c>
      <c r="D243" s="7" t="n">
        <v>37.2</v>
      </c>
      <c r="F243" s="7" t="n">
        <v>47.1</v>
      </c>
      <c r="H243" s="7" t="n">
        <v>111.1</v>
      </c>
      <c r="J243" s="7" t="n">
        <v>161.5</v>
      </c>
      <c r="L243" s="7" t="n">
        <v>128.5</v>
      </c>
      <c r="N243" s="7" t="n">
        <v>124</v>
      </c>
      <c r="P243" s="7" t="n">
        <v>226.3</v>
      </c>
      <c r="R243" s="7" t="n">
        <v>216.8</v>
      </c>
      <c r="T243" s="7" t="n">
        <v>81.8</v>
      </c>
      <c r="V243" s="7" t="n">
        <v>155.2</v>
      </c>
      <c r="X243" s="7" t="n">
        <v>145.6</v>
      </c>
      <c r="Z243" s="7" t="n">
        <v>122.9</v>
      </c>
      <c r="AB243" s="7" t="n">
        <v>1558</v>
      </c>
    </row>
    <row r="244">
      <c r="A244" s="4" t="inlineStr">
        <is>
          <t>研发费</t>
        </is>
      </c>
      <c r="D244" s="7" t="n">
        <v>64.8</v>
      </c>
      <c r="F244" s="7" t="n">
        <v>97.59999999999999</v>
      </c>
      <c r="H244" s="7" t="n">
        <v>199.9</v>
      </c>
      <c r="J244" s="7" t="n">
        <v>189.8</v>
      </c>
      <c r="L244" s="7" t="n">
        <v>234.8</v>
      </c>
      <c r="N244" s="7" t="n">
        <v>126.1</v>
      </c>
      <c r="P244" s="7" t="n">
        <v>376.7</v>
      </c>
      <c r="R244" s="7" t="n">
        <v>385.3</v>
      </c>
      <c r="T244" s="7" t="n">
        <v>127.3</v>
      </c>
      <c r="V244" s="7" t="n">
        <v>161.4</v>
      </c>
      <c r="X244" s="7" t="n">
        <v>289.6</v>
      </c>
      <c r="Z244" s="7" t="n">
        <v>225.5</v>
      </c>
      <c r="AB244" s="7" t="n">
        <v>2478.8</v>
      </c>
    </row>
    <row r="245">
      <c r="A245" s="4" t="inlineStr">
        <is>
          <t>残保金</t>
        </is>
      </c>
      <c r="D245" s="7" t="n">
        <v>121.5</v>
      </c>
      <c r="F245" s="7" t="n">
        <v>163.4</v>
      </c>
      <c r="H245" s="7" t="n">
        <v>325</v>
      </c>
      <c r="J245" s="7" t="n">
        <v>363.9</v>
      </c>
      <c r="L245" s="7" t="n">
        <v>500.7</v>
      </c>
      <c r="N245" s="7" t="n">
        <v>178.5</v>
      </c>
      <c r="P245" s="7" t="n">
        <v>804.6</v>
      </c>
      <c r="R245" s="7" t="n">
        <v>352.6</v>
      </c>
      <c r="T245" s="7" t="n">
        <v>226.6</v>
      </c>
      <c r="V245" s="7" t="n">
        <v>231.2</v>
      </c>
      <c r="X245" s="7" t="n">
        <v>280.9</v>
      </c>
      <c r="Z245" s="7" t="n">
        <v>410.9</v>
      </c>
      <c r="AB245" s="7" t="n">
        <v>3959.8</v>
      </c>
    </row>
    <row r="246">
      <c r="A246" s="4" t="inlineStr">
        <is>
          <t>环保费</t>
        </is>
      </c>
      <c r="D246" s="7" t="n">
        <v>67.8</v>
      </c>
      <c r="F246" s="7" t="n">
        <v>124.3</v>
      </c>
      <c r="H246" s="7" t="n">
        <v>165.5</v>
      </c>
      <c r="J246" s="7" t="n">
        <v>374.3</v>
      </c>
      <c r="L246" s="7" t="n">
        <v>274.2</v>
      </c>
      <c r="N246" s="7" t="n">
        <v>158.8</v>
      </c>
      <c r="P246" s="7" t="n">
        <v>493</v>
      </c>
      <c r="R246" s="7" t="n">
        <v>296.2</v>
      </c>
      <c r="T246" s="7" t="n">
        <v>115.9</v>
      </c>
      <c r="V246" s="7" t="n">
        <v>175.2</v>
      </c>
      <c r="X246" s="7" t="n">
        <v>310.5</v>
      </c>
      <c r="Z246" s="7" t="n">
        <v>288.9</v>
      </c>
      <c r="AB246" s="7" t="n">
        <v>2844.6</v>
      </c>
    </row>
    <row r="247">
      <c r="A247" s="4" t="inlineStr">
        <is>
          <t>报废损失</t>
        </is>
      </c>
      <c r="D247" s="7" t="n">
        <v>206.3</v>
      </c>
      <c r="F247" s="7" t="n">
        <v>173.5</v>
      </c>
      <c r="H247" s="7" t="n">
        <v>413.5</v>
      </c>
      <c r="J247" s="7" t="n">
        <v>797.9</v>
      </c>
      <c r="L247" s="7" t="n">
        <v>852.7</v>
      </c>
      <c r="N247" s="7" t="n">
        <v>317.3</v>
      </c>
      <c r="P247" s="7" t="n">
        <v>1214.5</v>
      </c>
      <c r="R247" s="7" t="n">
        <v>607.2</v>
      </c>
      <c r="T247" s="7" t="n">
        <v>364.1</v>
      </c>
      <c r="V247" s="7" t="n">
        <v>373.4</v>
      </c>
      <c r="X247" s="7" t="n">
        <v>455.2</v>
      </c>
      <c r="Z247" s="7" t="n">
        <v>618.4</v>
      </c>
      <c r="AB247" s="7" t="n">
        <v>6394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5928.8</v>
      </c>
      <c r="D248" s="7" t="n">
        <v>-531.7</v>
      </c>
      <c r="E248" s="7" t="n">
        <v>6933.8</v>
      </c>
      <c r="F248" s="7" t="n">
        <v>-1896.6</v>
      </c>
      <c r="G248" s="7" t="n">
        <v>6003.9</v>
      </c>
      <c r="H248" s="7" t="n">
        <v>6563.4</v>
      </c>
      <c r="I248" s="7" t="n">
        <v>6166.1</v>
      </c>
      <c r="J248" s="7" t="n">
        <v>14021.5</v>
      </c>
      <c r="K248" s="7" t="n">
        <v>5986.2</v>
      </c>
      <c r="L248" s="7" t="n">
        <v>13080.2</v>
      </c>
      <c r="M248" s="7" t="n">
        <v>6209.7</v>
      </c>
      <c r="N248" s="7" t="n">
        <v>-1182</v>
      </c>
      <c r="O248" s="7" t="n">
        <v>6160.6</v>
      </c>
      <c r="P248" s="7" t="n">
        <v>18303.8</v>
      </c>
      <c r="Q248" s="7" t="n">
        <v>7675.8</v>
      </c>
      <c r="R248" s="7" t="n">
        <v>1141.2</v>
      </c>
      <c r="S248" s="7" t="n">
        <v>7618.9</v>
      </c>
      <c r="T248" s="7" t="n">
        <v>-4781.3</v>
      </c>
      <c r="U248" s="7" t="n">
        <v>7077.9</v>
      </c>
      <c r="V248" s="7" t="n">
        <v>16385.2</v>
      </c>
      <c r="W248" s="7" t="n">
        <v>6465.9</v>
      </c>
      <c r="X248" s="7" t="n">
        <v>14158.7</v>
      </c>
      <c r="Y248" s="7" t="n">
        <v>6396.4</v>
      </c>
      <c r="Z248" s="7" t="n">
        <v>7831.1</v>
      </c>
      <c r="AA248" s="8" t="n">
        <v>78624</v>
      </c>
      <c r="AB248" s="8" t="n">
        <v>83093.5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-3248.5</v>
      </c>
      <c r="E250" s="7" t="n">
        <v>0</v>
      </c>
      <c r="F250" s="7" t="n">
        <v>-3901.2</v>
      </c>
      <c r="G250" s="7" t="n">
        <v>0</v>
      </c>
      <c r="H250" s="7" t="n">
        <v>-2517.9</v>
      </c>
      <c r="I250" s="7" t="n">
        <v>0</v>
      </c>
      <c r="J250" s="7" t="n">
        <v>1401.4</v>
      </c>
      <c r="K250" s="7" t="n">
        <v>0</v>
      </c>
      <c r="L250" s="7" t="n">
        <v>2545.1</v>
      </c>
      <c r="M250" s="7" t="n">
        <v>0</v>
      </c>
      <c r="N250" s="7" t="n">
        <v>-4329.3</v>
      </c>
      <c r="O250" s="7" t="n">
        <v>0</v>
      </c>
      <c r="P250" s="7" t="n">
        <v>-1225.7</v>
      </c>
      <c r="Q250" s="7" t="n">
        <v>0</v>
      </c>
      <c r="R250" s="7" t="n">
        <v>-4994.3</v>
      </c>
      <c r="S250" s="7" t="n">
        <v>0</v>
      </c>
      <c r="T250" s="7" t="n">
        <v>-392.3</v>
      </c>
      <c r="U250" s="7" t="n">
        <v>0</v>
      </c>
      <c r="V250" s="7" t="n">
        <v>2988.4</v>
      </c>
      <c r="W250" s="7" t="n">
        <v>0</v>
      </c>
      <c r="X250" s="7" t="n">
        <v>1775.3</v>
      </c>
      <c r="Y250" s="7" t="n">
        <v>0</v>
      </c>
      <c r="Z250" s="7" t="n">
        <v>-1049.8</v>
      </c>
      <c r="AA250" s="7" t="n">
        <v>0</v>
      </c>
      <c r="AB250" s="7" t="n">
        <v>-12948.8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18732</v>
      </c>
      <c r="D255" s="7" t="n">
        <v>16244.1</v>
      </c>
      <c r="E255" s="7" t="n">
        <v>18712.8</v>
      </c>
      <c r="F255" s="7" t="n">
        <v>12117</v>
      </c>
      <c r="G255" s="7" t="n">
        <v>20425.8</v>
      </c>
      <c r="H255" s="7" t="n">
        <v>15751.5</v>
      </c>
      <c r="I255" s="7" t="n">
        <v>17068.8</v>
      </c>
      <c r="J255" s="7" t="n">
        <v>28863.1</v>
      </c>
      <c r="K255" s="7" t="n">
        <v>19274.6</v>
      </c>
      <c r="L255" s="7" t="n">
        <v>28298.6</v>
      </c>
      <c r="M255" s="7" t="n">
        <v>17970.5</v>
      </c>
      <c r="N255" s="7" t="n">
        <v>10618.1</v>
      </c>
      <c r="O255" s="7" t="n">
        <v>17582.7</v>
      </c>
      <c r="P255" s="7" t="n">
        <v>18165.5</v>
      </c>
      <c r="Q255" s="7" t="n">
        <v>19300.5</v>
      </c>
      <c r="R255" s="7" t="n">
        <v>21550.7</v>
      </c>
      <c r="S255" s="7" t="n">
        <v>18222.6</v>
      </c>
      <c r="T255" s="7" t="n">
        <v>22480.3</v>
      </c>
      <c r="U255" s="7" t="n">
        <v>18017.9</v>
      </c>
      <c r="V255" s="7" t="n">
        <v>22548.9</v>
      </c>
      <c r="W255" s="7" t="n">
        <v>18004.8</v>
      </c>
      <c r="X255" s="7" t="n">
        <v>15704.1</v>
      </c>
      <c r="Y255" s="7" t="n">
        <v>17673.2</v>
      </c>
      <c r="Z255" s="7" t="n">
        <v>12230.3</v>
      </c>
      <c r="AA255" s="7" t="n">
        <v>220986.2</v>
      </c>
      <c r="AB255" s="7" t="n">
        <v>224572.2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344741.8</v>
      </c>
      <c r="D256" s="7" t="n">
        <v>188637.7</v>
      </c>
      <c r="E256" s="7" t="n">
        <v>368617.6</v>
      </c>
      <c r="F256" s="7" t="n">
        <v>178552.4</v>
      </c>
      <c r="G256" s="7" t="n">
        <v>373996.4</v>
      </c>
      <c r="H256" s="7" t="n">
        <v>334248.9</v>
      </c>
      <c r="I256" s="7" t="n">
        <v>371695.4</v>
      </c>
      <c r="J256" s="7" t="n">
        <v>494333.9</v>
      </c>
      <c r="K256" s="7" t="n">
        <v>371566.5</v>
      </c>
      <c r="L256" s="7" t="n">
        <v>362500.3</v>
      </c>
      <c r="M256" s="7" t="n">
        <v>418559.9</v>
      </c>
      <c r="N256" s="7" t="n">
        <v>532878.9</v>
      </c>
      <c r="O256" s="7" t="n">
        <v>371351.9</v>
      </c>
      <c r="P256" s="7" t="n">
        <v>584438.5</v>
      </c>
      <c r="Q256" s="7" t="n">
        <v>366001.3</v>
      </c>
      <c r="R256" s="7" t="n">
        <v>556727</v>
      </c>
      <c r="S256" s="7" t="n">
        <v>324947.1</v>
      </c>
      <c r="T256" s="7" t="n">
        <v>412843.3</v>
      </c>
      <c r="U256" s="7" t="n">
        <v>425920.4</v>
      </c>
      <c r="V256" s="7" t="n">
        <v>422467.4</v>
      </c>
      <c r="W256" s="7" t="n">
        <v>420210.8</v>
      </c>
      <c r="X256" s="7" t="n">
        <v>280961.8</v>
      </c>
      <c r="Y256" s="7" t="n">
        <v>423106.7</v>
      </c>
      <c r="Z256" s="7" t="n">
        <v>157242.4</v>
      </c>
      <c r="AA256" s="8" t="n">
        <v>4580715.8</v>
      </c>
      <c r="AB256" s="8" t="n">
        <v>4505832.5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1477.1</v>
      </c>
      <c r="E257" s="7" t="n">
        <v>0</v>
      </c>
      <c r="F257" s="7" t="n">
        <v>265.6</v>
      </c>
      <c r="G257" s="7" t="n">
        <v>0</v>
      </c>
      <c r="H257" s="7" t="n">
        <v>2325.4</v>
      </c>
      <c r="I257" s="7" t="n">
        <v>0</v>
      </c>
      <c r="J257" s="7" t="n">
        <v>1932.8</v>
      </c>
      <c r="K257" s="7" t="n">
        <v>0</v>
      </c>
      <c r="L257" s="7" t="n">
        <v>3267.2</v>
      </c>
      <c r="M257" s="7" t="n">
        <v>0</v>
      </c>
      <c r="N257" s="7" t="n">
        <v>2166.9</v>
      </c>
      <c r="O257" s="7" t="n">
        <v>0</v>
      </c>
      <c r="P257" s="7" t="n">
        <v>2991.2</v>
      </c>
      <c r="Q257" s="7" t="n">
        <v>0</v>
      </c>
      <c r="R257" s="7" t="n">
        <v>1773.9</v>
      </c>
      <c r="S257" s="7" t="n">
        <v>0</v>
      </c>
      <c r="T257" s="7" t="n">
        <v>2562.8</v>
      </c>
      <c r="U257" s="7" t="n">
        <v>0</v>
      </c>
      <c r="V257" s="7" t="n">
        <v>2385.5</v>
      </c>
      <c r="W257" s="7" t="n">
        <v>0</v>
      </c>
      <c r="X257" s="7" t="n">
        <v>4669.9</v>
      </c>
      <c r="Y257" s="7" t="n">
        <v>0</v>
      </c>
      <c r="Z257" s="7" t="n">
        <v>4343.1</v>
      </c>
      <c r="AA257" s="7" t="n">
        <v>0</v>
      </c>
      <c r="AB257" s="7" t="n">
        <v>30161.4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1438.4</v>
      </c>
      <c r="E258" s="7" t="n">
        <v>0</v>
      </c>
      <c r="F258" s="7" t="n">
        <v>1057.4</v>
      </c>
      <c r="G258" s="7" t="n">
        <v>0</v>
      </c>
      <c r="H258" s="7" t="n">
        <v>580.4</v>
      </c>
      <c r="I258" s="7" t="n">
        <v>0</v>
      </c>
      <c r="J258" s="7" t="n">
        <v>2766</v>
      </c>
      <c r="K258" s="7" t="n">
        <v>0</v>
      </c>
      <c r="L258" s="7" t="n">
        <v>497.8</v>
      </c>
      <c r="M258" s="7" t="n">
        <v>0</v>
      </c>
      <c r="N258" s="7" t="n">
        <v>2976.3</v>
      </c>
      <c r="O258" s="7" t="n">
        <v>0</v>
      </c>
      <c r="P258" s="7" t="n">
        <v>437.8</v>
      </c>
      <c r="Q258" s="7" t="n">
        <v>0</v>
      </c>
      <c r="R258" s="7" t="n">
        <v>2133.3</v>
      </c>
      <c r="S258" s="7" t="n">
        <v>0</v>
      </c>
      <c r="T258" s="7" t="n">
        <v>808.8</v>
      </c>
      <c r="U258" s="7" t="n">
        <v>0</v>
      </c>
      <c r="V258" s="7" t="n">
        <v>74.09999999999999</v>
      </c>
      <c r="W258" s="7" t="n">
        <v>0</v>
      </c>
      <c r="X258" s="7" t="n">
        <v>656.1</v>
      </c>
      <c r="Y258" s="7" t="n">
        <v>0</v>
      </c>
      <c r="Z258" s="7" t="n">
        <v>1563.3</v>
      </c>
      <c r="AA258" s="7" t="n">
        <v>0</v>
      </c>
      <c r="AB258" s="7" t="n">
        <v>14989.7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316149.4</v>
      </c>
      <c r="D259" s="7" t="n">
        <v>170684.7</v>
      </c>
      <c r="E259" s="7" t="n">
        <v>398027.1</v>
      </c>
      <c r="F259" s="7" t="n">
        <v>175103.2</v>
      </c>
      <c r="G259" s="7" t="n">
        <v>392447.4</v>
      </c>
      <c r="H259" s="7" t="n">
        <v>354204.3</v>
      </c>
      <c r="I259" s="7" t="n">
        <v>374564.2</v>
      </c>
      <c r="J259" s="7" t="n">
        <v>490408</v>
      </c>
      <c r="K259" s="7" t="n">
        <v>319579.5</v>
      </c>
      <c r="L259" s="7" t="n">
        <v>371328.8</v>
      </c>
      <c r="M259" s="7" t="n">
        <v>418830.7</v>
      </c>
      <c r="N259" s="7" t="n">
        <v>509957.3</v>
      </c>
      <c r="O259" s="7" t="n">
        <v>414954.5</v>
      </c>
      <c r="P259" s="7" t="n">
        <v>531946.1</v>
      </c>
      <c r="Q259" s="7" t="n">
        <v>353804.2</v>
      </c>
      <c r="R259" s="7" t="n">
        <v>558619.6</v>
      </c>
      <c r="S259" s="7" t="n">
        <v>384950.1</v>
      </c>
      <c r="T259" s="7" t="n">
        <v>381739.5</v>
      </c>
      <c r="U259" s="7" t="n">
        <v>360628.1</v>
      </c>
      <c r="V259" s="7" t="n">
        <v>417262.4</v>
      </c>
      <c r="W259" s="7" t="n">
        <v>391773</v>
      </c>
      <c r="X259" s="7" t="n">
        <v>280260.3</v>
      </c>
      <c r="Y259" s="7" t="n">
        <v>341594.6</v>
      </c>
      <c r="Z259" s="7" t="n">
        <v>165533.5</v>
      </c>
      <c r="AA259" s="8" t="n">
        <v>4467302.8</v>
      </c>
      <c r="AB259" s="8" t="n">
        <v>4407047.7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81958.5</v>
      </c>
      <c r="D260" s="7" t="n">
        <v>42671.2</v>
      </c>
      <c r="E260" s="7" t="n">
        <v>103244.1</v>
      </c>
      <c r="F260" s="7" t="n">
        <v>43775.8</v>
      </c>
      <c r="G260" s="7" t="n">
        <v>80608.3</v>
      </c>
      <c r="H260" s="7" t="n">
        <v>88551.10000000001</v>
      </c>
      <c r="I260" s="7" t="n">
        <v>88615.3</v>
      </c>
      <c r="J260" s="7" t="n">
        <v>122602</v>
      </c>
      <c r="K260" s="7" t="n">
        <v>88904.8</v>
      </c>
      <c r="L260" s="7" t="n">
        <v>92832.2</v>
      </c>
      <c r="M260" s="7" t="n">
        <v>79195.3</v>
      </c>
      <c r="N260" s="7" t="n">
        <v>127489.3</v>
      </c>
      <c r="O260" s="7" t="n">
        <v>86384.89999999999</v>
      </c>
      <c r="P260" s="7" t="n">
        <v>132986.5</v>
      </c>
      <c r="Q260" s="7" t="n">
        <v>104306.4</v>
      </c>
      <c r="R260" s="7" t="n">
        <v>139654.9</v>
      </c>
      <c r="S260" s="7" t="n">
        <v>83398.60000000001</v>
      </c>
      <c r="T260" s="7" t="n">
        <v>95434.89999999999</v>
      </c>
      <c r="U260" s="7" t="n">
        <v>93722.2</v>
      </c>
      <c r="V260" s="7" t="n">
        <v>104315.6</v>
      </c>
      <c r="W260" s="7" t="n">
        <v>89543.60000000001</v>
      </c>
      <c r="X260" s="7" t="n">
        <v>70065.10000000001</v>
      </c>
      <c r="Y260" s="7" t="n">
        <v>100790.7</v>
      </c>
      <c r="Z260" s="7" t="n">
        <v>41383.4</v>
      </c>
      <c r="AA260" s="7" t="n">
        <v>1080672.7</v>
      </c>
      <c r="AB260" s="7" t="n">
        <v>1101762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239477.7</v>
      </c>
      <c r="D261" s="7" t="n">
        <v>128013.5</v>
      </c>
      <c r="E261" s="7" t="n">
        <v>154010.3</v>
      </c>
      <c r="F261" s="7" t="n">
        <v>131327.4</v>
      </c>
      <c r="G261" s="7" t="n">
        <v>251946.9</v>
      </c>
      <c r="H261" s="7" t="n">
        <v>265653.2</v>
      </c>
      <c r="I261" s="7" t="n">
        <v>254453.9</v>
      </c>
      <c r="J261" s="7" t="n">
        <v>367806</v>
      </c>
      <c r="K261" s="7" t="n">
        <v>167285.8</v>
      </c>
      <c r="L261" s="7" t="n">
        <v>278496.6</v>
      </c>
      <c r="M261" s="7" t="n">
        <v>209139.4</v>
      </c>
      <c r="N261" s="7" t="n">
        <v>382468</v>
      </c>
      <c r="O261" s="7" t="n">
        <v>176390.6</v>
      </c>
      <c r="P261" s="7" t="n">
        <v>398959.6</v>
      </c>
      <c r="Q261" s="7" t="n">
        <v>279143.7</v>
      </c>
      <c r="R261" s="7" t="n">
        <v>418964.7</v>
      </c>
      <c r="S261" s="7" t="n">
        <v>221333.4</v>
      </c>
      <c r="T261" s="7" t="n">
        <v>286304.6</v>
      </c>
      <c r="U261" s="7" t="n">
        <v>159879.8</v>
      </c>
      <c r="V261" s="7" t="n">
        <v>312946.8</v>
      </c>
      <c r="W261" s="7" t="n">
        <v>186022.6</v>
      </c>
      <c r="X261" s="7" t="n">
        <v>210195.2</v>
      </c>
      <c r="Y261" s="7" t="n">
        <v>264740</v>
      </c>
      <c r="Z261" s="7" t="n">
        <v>124150.1</v>
      </c>
      <c r="AA261" s="8" t="n">
        <v>2563824.1</v>
      </c>
      <c r="AB261" s="8" t="n">
        <v>3305285.7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5823.8</v>
      </c>
      <c r="E262" s="7" t="n">
        <v>0</v>
      </c>
      <c r="F262" s="7" t="n">
        <v>21553</v>
      </c>
      <c r="G262" s="7" t="n">
        <v>0</v>
      </c>
      <c r="H262" s="7" t="n">
        <v>20334.3</v>
      </c>
      <c r="I262" s="7" t="n">
        <v>0</v>
      </c>
      <c r="J262" s="7" t="n">
        <v>101081</v>
      </c>
      <c r="K262" s="7" t="n">
        <v>0</v>
      </c>
      <c r="L262" s="7" t="n">
        <v>47.4</v>
      </c>
      <c r="M262" s="7" t="n">
        <v>0</v>
      </c>
      <c r="N262" s="7" t="n">
        <v>7599.1</v>
      </c>
      <c r="O262" s="7" t="n">
        <v>0</v>
      </c>
      <c r="P262" s="7" t="n">
        <v>102792.8</v>
      </c>
      <c r="Q262" s="7" t="n">
        <v>0</v>
      </c>
      <c r="R262" s="7" t="n">
        <v>33371.5</v>
      </c>
      <c r="S262" s="7" t="n">
        <v>0</v>
      </c>
      <c r="T262" s="7" t="n">
        <v>41456.7</v>
      </c>
      <c r="U262" s="7" t="n">
        <v>0</v>
      </c>
      <c r="V262" s="7" t="n">
        <v>6204.7</v>
      </c>
      <c r="W262" s="7" t="n">
        <v>0</v>
      </c>
      <c r="X262" s="7" t="n">
        <v>29530.7</v>
      </c>
      <c r="Y262" s="7" t="n">
        <v>0</v>
      </c>
      <c r="Z262" s="7" t="n">
        <v>36544.7</v>
      </c>
      <c r="AA262" s="7" t="n">
        <v>0</v>
      </c>
      <c r="AB262" s="7" t="n">
        <v>406339.7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239477.7</v>
      </c>
      <c r="D263" s="7" t="n">
        <v>122189.7</v>
      </c>
      <c r="E263" s="7" t="n">
        <v>154010.3</v>
      </c>
      <c r="F263" s="7" t="n">
        <v>109774.4</v>
      </c>
      <c r="G263" s="7" t="n">
        <v>251946.9</v>
      </c>
      <c r="H263" s="7" t="n">
        <v>245318.9</v>
      </c>
      <c r="I263" s="7" t="n">
        <v>254453.9</v>
      </c>
      <c r="J263" s="7" t="n">
        <v>266725</v>
      </c>
      <c r="K263" s="7" t="n">
        <v>167285.8</v>
      </c>
      <c r="L263" s="7" t="n">
        <v>278449.2</v>
      </c>
      <c r="M263" s="7" t="n">
        <v>209139.4</v>
      </c>
      <c r="N263" s="7" t="n">
        <v>374868.9</v>
      </c>
      <c r="O263" s="7" t="n">
        <v>176390.6</v>
      </c>
      <c r="P263" s="7" t="n">
        <v>296166.8</v>
      </c>
      <c r="Q263" s="7" t="n">
        <v>279143.7</v>
      </c>
      <c r="R263" s="7" t="n">
        <v>385593.2</v>
      </c>
      <c r="S263" s="7" t="n">
        <v>221333.4</v>
      </c>
      <c r="T263" s="7" t="n">
        <v>244847.9</v>
      </c>
      <c r="U263" s="7" t="n">
        <v>159879.8</v>
      </c>
      <c r="V263" s="7" t="n">
        <v>306742.1</v>
      </c>
      <c r="W263" s="7" t="n">
        <v>186022.6</v>
      </c>
      <c r="X263" s="7" t="n">
        <v>180664.5</v>
      </c>
      <c r="Y263" s="7" t="n">
        <v>264740</v>
      </c>
      <c r="Z263" s="7" t="n">
        <v>87605.39999999999</v>
      </c>
      <c r="AA263" s="8" t="n">
        <v>2563824.1</v>
      </c>
      <c r="AB263" s="8" t="n">
        <v>2898946</v>
      </c>
    </row>
    <row r="264">
      <c r="A264" s="4" t="inlineStr">
        <is>
          <t>净利率</t>
        </is>
      </c>
      <c r="D264" s="13" t="n">
        <v>5.6</v>
      </c>
      <c r="F264" s="13" t="n">
        <v>4.7</v>
      </c>
      <c r="H264" s="13" t="n">
        <v>8.1</v>
      </c>
      <c r="J264" s="13" t="n">
        <v>9.4</v>
      </c>
      <c r="L264" s="13" t="n">
        <v>6.1</v>
      </c>
      <c r="N264" s="13" t="n">
        <v>10.1</v>
      </c>
      <c r="P264" s="13" t="n">
        <v>9.6</v>
      </c>
      <c r="R264" s="13" t="n">
        <v>9.9</v>
      </c>
      <c r="T264" s="13" t="n">
        <v>8.6</v>
      </c>
      <c r="V264" s="13" t="n">
        <v>7.2</v>
      </c>
      <c r="X264" s="13" t="n">
        <v>6.7</v>
      </c>
      <c r="Z264" s="13" t="n">
        <v>5.4</v>
      </c>
    </row>
    <row r="265">
      <c r="A265" s="4" t="inlineStr">
        <is>
          <t>销售达成率</t>
        </is>
      </c>
      <c r="D265" s="13" t="n">
        <v>64.3</v>
      </c>
      <c r="F265" s="13" t="n">
        <v>69.8</v>
      </c>
      <c r="H265" s="13" t="n">
        <v>84.7</v>
      </c>
      <c r="J265" s="13" t="n">
        <v>121.7</v>
      </c>
      <c r="L265" s="13" t="n">
        <v>145.9</v>
      </c>
      <c r="N265" s="13" t="n">
        <v>106</v>
      </c>
      <c r="P265" s="13" t="n">
        <v>111.9</v>
      </c>
      <c r="R265" s="13" t="n">
        <v>124.8</v>
      </c>
      <c r="T265" s="13" t="n">
        <v>85.09999999999999</v>
      </c>
      <c r="V265" s="13" t="n">
        <v>113.2</v>
      </c>
      <c r="X265" s="13" t="n">
        <v>84.5</v>
      </c>
      <c r="Z265" s="13" t="n">
        <v>70.90000000000001</v>
      </c>
    </row>
    <row r="266">
      <c r="A266" s="4" t="inlineStr">
        <is>
          <t>净利达成率</t>
        </is>
      </c>
      <c r="D266" s="13" t="n">
        <v>53.5</v>
      </c>
      <c r="F266" s="13" t="n">
        <v>85.3</v>
      </c>
      <c r="H266" s="13" t="n">
        <v>105.4</v>
      </c>
      <c r="J266" s="13" t="n">
        <v>144.5</v>
      </c>
      <c r="L266" s="13" t="n">
        <v>166.5</v>
      </c>
      <c r="N266" s="13" t="n">
        <v>182.9</v>
      </c>
      <c r="P266" s="13" t="n">
        <v>226.2</v>
      </c>
      <c r="R266" s="13" t="n">
        <v>150.1</v>
      </c>
      <c r="T266" s="13" t="n">
        <v>129.4</v>
      </c>
      <c r="V266" s="13" t="n">
        <v>195.7</v>
      </c>
      <c r="X266" s="13" t="n">
        <v>113</v>
      </c>
      <c r="Z266" s="13" t="n">
        <v>46.9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上海分部利润表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3261388.3</v>
      </c>
      <c r="D6" s="7" t="n">
        <v>2336768.9</v>
      </c>
      <c r="E6" s="7" t="n">
        <v>3340801.8</v>
      </c>
      <c r="F6" s="7" t="n">
        <v>2601243.3</v>
      </c>
      <c r="G6" s="7" t="n">
        <v>3260172.6</v>
      </c>
      <c r="H6" s="7" t="n">
        <v>3450323.5</v>
      </c>
      <c r="I6" s="7" t="n">
        <v>3719803.9</v>
      </c>
      <c r="J6" s="7" t="n">
        <v>3749628.8</v>
      </c>
      <c r="K6" s="7" t="n">
        <v>3969681.5</v>
      </c>
      <c r="L6" s="7" t="n">
        <v>4423823.3</v>
      </c>
      <c r="M6" s="7" t="n">
        <v>3332593.7</v>
      </c>
      <c r="N6" s="7" t="n">
        <v>5144573</v>
      </c>
      <c r="O6" s="7" t="n">
        <v>3367078.8</v>
      </c>
      <c r="P6" s="7" t="n">
        <v>4531085</v>
      </c>
      <c r="Q6" s="7" t="n">
        <v>3662762.1</v>
      </c>
      <c r="R6" s="7" t="n">
        <v>3853878.3</v>
      </c>
      <c r="S6" s="7" t="n">
        <v>3928163.7</v>
      </c>
      <c r="T6" s="7" t="n">
        <v>3687363.9</v>
      </c>
      <c r="U6" s="7" t="n">
        <v>4206411.7</v>
      </c>
      <c r="V6" s="7" t="n">
        <v>4067690.2</v>
      </c>
      <c r="W6" s="7" t="n">
        <v>3707408.5</v>
      </c>
      <c r="X6" s="7" t="n">
        <v>3168950.4</v>
      </c>
      <c r="Y6" s="7" t="n">
        <v>3440624.9</v>
      </c>
      <c r="Z6" s="7" t="n">
        <v>2696742.3</v>
      </c>
      <c r="AA6" s="8" t="n">
        <v>43196891.5</v>
      </c>
      <c r="AB6" s="8" t="n">
        <v>43712070.9</v>
      </c>
    </row>
    <row r="7">
      <c r="A7" s="4" t="inlineStr">
        <is>
          <t>中式汤底</t>
        </is>
      </c>
      <c r="D7" s="7" t="n">
        <v>489810.2</v>
      </c>
      <c r="F7" s="7" t="n">
        <v>548975.1</v>
      </c>
      <c r="H7" s="7" t="n">
        <v>824378.8</v>
      </c>
      <c r="J7" s="7" t="n">
        <v>839358.4</v>
      </c>
      <c r="L7" s="7" t="n">
        <v>977780.7</v>
      </c>
      <c r="N7" s="7" t="n">
        <v>1102259.9</v>
      </c>
      <c r="P7" s="7" t="n">
        <v>949645.7</v>
      </c>
      <c r="R7" s="7" t="n">
        <v>692201.9</v>
      </c>
      <c r="T7" s="7" t="n">
        <v>860071.4</v>
      </c>
      <c r="V7" s="7" t="n">
        <v>957814.7</v>
      </c>
      <c r="X7" s="7" t="n">
        <v>498350.2</v>
      </c>
      <c r="Z7" s="7" t="n">
        <v>448117.2</v>
      </c>
      <c r="AB7" s="7" t="n">
        <v>9188764.199999999</v>
      </c>
    </row>
    <row r="8">
      <c r="A8" s="4" t="inlineStr">
        <is>
          <t>酱料</t>
        </is>
      </c>
      <c r="D8" s="7" t="n">
        <v>254442.8</v>
      </c>
      <c r="F8" s="7" t="n">
        <v>423223.5</v>
      </c>
      <c r="H8" s="7" t="n">
        <v>359980.1</v>
      </c>
      <c r="J8" s="7" t="n">
        <v>555427.7</v>
      </c>
      <c r="L8" s="7" t="n">
        <v>490949.2</v>
      </c>
      <c r="N8" s="7" t="n">
        <v>807759.6</v>
      </c>
      <c r="P8" s="7" t="n">
        <v>786651</v>
      </c>
      <c r="R8" s="7" t="n">
        <v>690674.4</v>
      </c>
      <c r="T8" s="7" t="n">
        <v>381022.8</v>
      </c>
      <c r="V8" s="7" t="n">
        <v>748737.2</v>
      </c>
      <c r="X8" s="7" t="n">
        <v>620030.5</v>
      </c>
      <c r="Z8" s="7" t="n">
        <v>435407.8</v>
      </c>
      <c r="AB8" s="7" t="n">
        <v>6554306.6</v>
      </c>
    </row>
    <row r="9">
      <c r="A9" s="4" t="inlineStr">
        <is>
          <t>川味底料</t>
        </is>
      </c>
      <c r="D9" s="7" t="n">
        <v>294607.6</v>
      </c>
      <c r="F9" s="7" t="n">
        <v>397053.2</v>
      </c>
      <c r="H9" s="7" t="n">
        <v>478734.2</v>
      </c>
      <c r="J9" s="7" t="n">
        <v>556062.3</v>
      </c>
      <c r="L9" s="7" t="n">
        <v>636226.4</v>
      </c>
      <c r="N9" s="7" t="n">
        <v>759844.9</v>
      </c>
      <c r="P9" s="7" t="n">
        <v>718143.2</v>
      </c>
      <c r="R9" s="7" t="n">
        <v>464798.5</v>
      </c>
      <c r="T9" s="7" t="n">
        <v>460983.1</v>
      </c>
      <c r="V9" s="7" t="n">
        <v>516899.8</v>
      </c>
      <c r="X9" s="7" t="n">
        <v>439083</v>
      </c>
      <c r="Z9" s="7" t="n">
        <v>477676.2</v>
      </c>
      <c r="AB9" s="7" t="n">
        <v>6200112.4</v>
      </c>
    </row>
    <row r="10">
      <c r="A10" s="4" t="inlineStr">
        <is>
          <t>调味汁</t>
        </is>
      </c>
      <c r="D10" s="7" t="n">
        <v>506459.2</v>
      </c>
      <c r="F10" s="7" t="n">
        <v>369131.6</v>
      </c>
      <c r="H10" s="7" t="n">
        <v>648504</v>
      </c>
      <c r="J10" s="7" t="n">
        <v>640542.7</v>
      </c>
      <c r="L10" s="7" t="n">
        <v>904958.3</v>
      </c>
      <c r="N10" s="7" t="n">
        <v>973543.3</v>
      </c>
      <c r="P10" s="7" t="n">
        <v>750018.6</v>
      </c>
      <c r="R10" s="7" t="n">
        <v>612805.9</v>
      </c>
      <c r="T10" s="7" t="n">
        <v>775481.9</v>
      </c>
      <c r="V10" s="7" t="n">
        <v>701753.6</v>
      </c>
      <c r="X10" s="7" t="n">
        <v>734971.6</v>
      </c>
      <c r="Z10" s="7" t="n">
        <v>524445</v>
      </c>
      <c r="AB10" s="7" t="n">
        <v>8142615.7</v>
      </c>
    </row>
    <row r="11">
      <c r="A11" s="4" t="inlineStr">
        <is>
          <t>复合调味粉</t>
        </is>
      </c>
      <c r="D11" s="7" t="n">
        <v>154044</v>
      </c>
      <c r="F11" s="7" t="n">
        <v>115358.5</v>
      </c>
      <c r="H11" s="7" t="n">
        <v>172036.9</v>
      </c>
      <c r="J11" s="7" t="n">
        <v>274692.9</v>
      </c>
      <c r="L11" s="7" t="n">
        <v>267584</v>
      </c>
      <c r="N11" s="7" t="n">
        <v>288124.5</v>
      </c>
      <c r="P11" s="7" t="n">
        <v>213195.7</v>
      </c>
      <c r="R11" s="7" t="n">
        <v>286821.2</v>
      </c>
      <c r="T11" s="7" t="n">
        <v>166472.8</v>
      </c>
      <c r="V11" s="7" t="n">
        <v>302399.9</v>
      </c>
      <c r="X11" s="7" t="n">
        <v>185582.3</v>
      </c>
      <c r="Z11" s="7" t="n">
        <v>151362.6</v>
      </c>
      <c r="AB11" s="7" t="n">
        <v>2577675.3</v>
      </c>
    </row>
    <row r="12">
      <c r="A12" s="4" t="inlineStr">
        <is>
          <t>团餐</t>
        </is>
      </c>
      <c r="D12" s="7" t="n">
        <v>557557.3</v>
      </c>
      <c r="F12" s="7" t="n">
        <v>695764.4</v>
      </c>
      <c r="H12" s="7" t="n">
        <v>839017</v>
      </c>
      <c r="J12" s="7" t="n">
        <v>748528.2</v>
      </c>
      <c r="L12" s="7" t="n">
        <v>1095752.4</v>
      </c>
      <c r="N12" s="7" t="n">
        <v>1107191.7</v>
      </c>
      <c r="P12" s="7" t="n">
        <v>1002246.3</v>
      </c>
      <c r="R12" s="7" t="n">
        <v>975264.9</v>
      </c>
      <c r="T12" s="7" t="n">
        <v>942989.5</v>
      </c>
      <c r="V12" s="7" t="n">
        <v>702668.5</v>
      </c>
      <c r="X12" s="7" t="n">
        <v>593101.2</v>
      </c>
      <c r="Z12" s="7" t="n">
        <v>581151.1</v>
      </c>
      <c r="AB12" s="7" t="n">
        <v>9841232.5</v>
      </c>
    </row>
    <row r="13">
      <c r="A13" s="4" t="inlineStr">
        <is>
          <t>预制菜</t>
        </is>
      </c>
      <c r="D13" s="7" t="n">
        <v>108729.6</v>
      </c>
      <c r="F13" s="7" t="n">
        <v>86686.7</v>
      </c>
      <c r="H13" s="7" t="n">
        <v>121818.9</v>
      </c>
      <c r="J13" s="7" t="n">
        <v>167764.2</v>
      </c>
      <c r="L13" s="7" t="n">
        <v>116267.7</v>
      </c>
      <c r="N13" s="7" t="n">
        <v>134970.8</v>
      </c>
      <c r="P13" s="7" t="n">
        <v>193269.2</v>
      </c>
      <c r="R13" s="7" t="n">
        <v>183495.9</v>
      </c>
      <c r="T13" s="7" t="n">
        <v>148870.1</v>
      </c>
      <c r="V13" s="7" t="n">
        <v>135772.7</v>
      </c>
      <c r="X13" s="7" t="n">
        <v>150228.2</v>
      </c>
      <c r="Z13" s="7" t="n">
        <v>109913.7</v>
      </c>
      <c r="AB13" s="7" t="n">
        <v>1657787.7</v>
      </c>
    </row>
    <row r="14">
      <c r="A14" s="4" t="inlineStr">
        <is>
          <t>返利</t>
        </is>
      </c>
      <c r="D14" s="7" t="n">
        <v>-67412.60000000001</v>
      </c>
      <c r="F14" s="7" t="n">
        <v>-52380.2</v>
      </c>
      <c r="H14" s="7" t="n">
        <v>-39953.8</v>
      </c>
      <c r="J14" s="7" t="n">
        <v>-72591.8</v>
      </c>
      <c r="L14" s="7" t="n">
        <v>-125653.1</v>
      </c>
      <c r="N14" s="7" t="n">
        <v>-115559.5</v>
      </c>
      <c r="P14" s="7" t="n">
        <v>-136499.8</v>
      </c>
      <c r="R14" s="7" t="n">
        <v>-105510.1</v>
      </c>
      <c r="T14" s="7" t="n">
        <v>-108764.4</v>
      </c>
      <c r="V14" s="7" t="n">
        <v>-61648</v>
      </c>
      <c r="X14" s="7" t="n">
        <v>-68200.3</v>
      </c>
      <c r="Z14" s="7" t="n">
        <v>-75795.2</v>
      </c>
      <c r="AB14" s="7" t="n">
        <v>-1029968.8</v>
      </c>
    </row>
    <row r="15">
      <c r="A15" s="4" t="inlineStr">
        <is>
          <t>其他</t>
        </is>
      </c>
      <c r="D15" s="7" t="n">
        <v>38530.8</v>
      </c>
      <c r="F15" s="7" t="n">
        <v>17430.5</v>
      </c>
      <c r="H15" s="7" t="n">
        <v>45807.4</v>
      </c>
      <c r="J15" s="7" t="n">
        <v>39844.2</v>
      </c>
      <c r="L15" s="7" t="n">
        <v>59957.7</v>
      </c>
      <c r="N15" s="7" t="n">
        <v>86437.8</v>
      </c>
      <c r="P15" s="7" t="n">
        <v>54415.1</v>
      </c>
      <c r="R15" s="7" t="n">
        <v>53325.7</v>
      </c>
      <c r="T15" s="7" t="n">
        <v>60236.7</v>
      </c>
      <c r="V15" s="7" t="n">
        <v>63291.8</v>
      </c>
      <c r="X15" s="7" t="n">
        <v>15803.7</v>
      </c>
      <c r="Z15" s="7" t="n">
        <v>44463.9</v>
      </c>
      <c r="AB15" s="7" t="n">
        <v>579545.3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2752841.5</v>
      </c>
      <c r="D16" s="7" t="n">
        <v>1587665.6</v>
      </c>
      <c r="E16" s="7" t="n">
        <v>2284629.5</v>
      </c>
      <c r="F16" s="7" t="n">
        <v>1760395.4</v>
      </c>
      <c r="G16" s="7" t="n">
        <v>2836440.2</v>
      </c>
      <c r="H16" s="7" t="n">
        <v>2368740.5</v>
      </c>
      <c r="I16" s="7" t="n">
        <v>2468307.1</v>
      </c>
      <c r="J16" s="7" t="n">
        <v>2539396</v>
      </c>
      <c r="K16" s="7" t="n">
        <v>2235457.4</v>
      </c>
      <c r="L16" s="7" t="n">
        <v>3093267</v>
      </c>
      <c r="M16" s="7" t="n">
        <v>2194543.8</v>
      </c>
      <c r="N16" s="7" t="n">
        <v>3573698.7</v>
      </c>
      <c r="O16" s="7" t="n">
        <v>2526586.4</v>
      </c>
      <c r="P16" s="7" t="n">
        <v>3055136.3</v>
      </c>
      <c r="Q16" s="7" t="n">
        <v>2392443.4</v>
      </c>
      <c r="R16" s="7" t="n">
        <v>2640341.6</v>
      </c>
      <c r="S16" s="7" t="n">
        <v>2676521.2</v>
      </c>
      <c r="T16" s="7" t="n">
        <v>2545116.8</v>
      </c>
      <c r="U16" s="7" t="n">
        <v>2434582.7</v>
      </c>
      <c r="V16" s="7" t="n">
        <v>2725447.1</v>
      </c>
      <c r="W16" s="7" t="n">
        <v>2368656.3</v>
      </c>
      <c r="X16" s="7" t="n">
        <v>2201395.4</v>
      </c>
      <c r="Y16" s="7" t="n">
        <v>2181469</v>
      </c>
      <c r="Z16" s="7" t="n">
        <v>1849314</v>
      </c>
      <c r="AA16" s="8" t="n">
        <v>29352478.5</v>
      </c>
      <c r="AB16" s="8" t="n">
        <v>29939914.4</v>
      </c>
    </row>
    <row r="17">
      <c r="A17" s="4" t="inlineStr">
        <is>
          <t>中式汤底</t>
        </is>
      </c>
      <c r="D17" s="7" t="n">
        <v>321405.8</v>
      </c>
      <c r="F17" s="7" t="n">
        <v>360228.9</v>
      </c>
      <c r="H17" s="7" t="n">
        <v>540944.5</v>
      </c>
      <c r="J17" s="7" t="n">
        <v>550773.9</v>
      </c>
      <c r="L17" s="7" t="n">
        <v>641604.4</v>
      </c>
      <c r="N17" s="7" t="n">
        <v>723285.7</v>
      </c>
      <c r="P17" s="7" t="n">
        <v>623142.7</v>
      </c>
      <c r="R17" s="7" t="n">
        <v>454212.1</v>
      </c>
      <c r="T17" s="7" t="n">
        <v>564365.4</v>
      </c>
      <c r="V17" s="7" t="n">
        <v>628503.1</v>
      </c>
      <c r="X17" s="7" t="n">
        <v>327009.6</v>
      </c>
      <c r="Z17" s="7" t="n">
        <v>294047.5</v>
      </c>
      <c r="AB17" s="7" t="n">
        <v>6029523.6</v>
      </c>
    </row>
    <row r="18">
      <c r="A18" s="4" t="inlineStr">
        <is>
          <t>酱料</t>
        </is>
      </c>
      <c r="D18" s="7" t="n">
        <v>161596.8</v>
      </c>
      <c r="F18" s="7" t="n">
        <v>268789.6</v>
      </c>
      <c r="H18" s="7" t="n">
        <v>228623.6</v>
      </c>
      <c r="J18" s="7" t="n">
        <v>352752.6</v>
      </c>
      <c r="L18" s="7" t="n">
        <v>311802.2</v>
      </c>
      <c r="N18" s="7" t="n">
        <v>513008.7</v>
      </c>
      <c r="P18" s="7" t="n">
        <v>499602.6</v>
      </c>
      <c r="R18" s="7" t="n">
        <v>438647.8</v>
      </c>
      <c r="T18" s="7" t="n">
        <v>241987.9</v>
      </c>
      <c r="V18" s="7" t="n">
        <v>475523.6</v>
      </c>
      <c r="X18" s="7" t="n">
        <v>393781.8</v>
      </c>
      <c r="Z18" s="7" t="n">
        <v>276527.8</v>
      </c>
      <c r="AB18" s="7" t="n">
        <v>4162645</v>
      </c>
    </row>
    <row r="19">
      <c r="A19" s="4" t="inlineStr">
        <is>
          <t>川味底料</t>
        </is>
      </c>
      <c r="D19" s="7" t="n">
        <v>205985.8</v>
      </c>
      <c r="F19" s="7" t="n">
        <v>277614.5</v>
      </c>
      <c r="H19" s="7" t="n">
        <v>334724.8</v>
      </c>
      <c r="J19" s="7" t="n">
        <v>388791.6</v>
      </c>
      <c r="L19" s="7" t="n">
        <v>444841.3</v>
      </c>
      <c r="N19" s="7" t="n">
        <v>531273.7</v>
      </c>
      <c r="P19" s="7" t="n">
        <v>502116.5</v>
      </c>
      <c r="R19" s="7" t="n">
        <v>324981.1</v>
      </c>
      <c r="T19" s="7" t="n">
        <v>322313.4</v>
      </c>
      <c r="V19" s="7" t="n">
        <v>361409.7</v>
      </c>
      <c r="X19" s="7" t="n">
        <v>307001.2</v>
      </c>
      <c r="Z19" s="7" t="n">
        <v>333985</v>
      </c>
      <c r="AB19" s="7" t="n">
        <v>4335038.6</v>
      </c>
    </row>
    <row r="20">
      <c r="A20" s="4" t="inlineStr">
        <is>
          <t>调味汁</t>
        </is>
      </c>
      <c r="D20" s="7" t="n">
        <v>312059</v>
      </c>
      <c r="F20" s="7" t="n">
        <v>227443.5</v>
      </c>
      <c r="H20" s="7" t="n">
        <v>399581.1</v>
      </c>
      <c r="J20" s="7" t="n">
        <v>394675.7</v>
      </c>
      <c r="L20" s="7" t="n">
        <v>557597.5</v>
      </c>
      <c r="N20" s="7" t="n">
        <v>599856.7</v>
      </c>
      <c r="P20" s="7" t="n">
        <v>462130.2</v>
      </c>
      <c r="R20" s="7" t="n">
        <v>377585.4</v>
      </c>
      <c r="T20" s="7" t="n">
        <v>477819.6</v>
      </c>
      <c r="V20" s="7" t="n">
        <v>432391.3</v>
      </c>
      <c r="X20" s="7" t="n">
        <v>452858.8</v>
      </c>
      <c r="Z20" s="7" t="n">
        <v>323141.1</v>
      </c>
      <c r="AB20" s="7" t="n">
        <v>5017139.9</v>
      </c>
    </row>
    <row r="21">
      <c r="A21" s="4" t="inlineStr">
        <is>
          <t>复合调味粉</t>
        </is>
      </c>
      <c r="D21" s="7" t="n">
        <v>106378.3</v>
      </c>
      <c r="F21" s="7" t="n">
        <v>79663.2</v>
      </c>
      <c r="H21" s="7" t="n">
        <v>118803.7</v>
      </c>
      <c r="J21" s="7" t="n">
        <v>189694.9</v>
      </c>
      <c r="L21" s="7" t="n">
        <v>184785.7</v>
      </c>
      <c r="N21" s="7" t="n">
        <v>198970.4</v>
      </c>
      <c r="P21" s="7" t="n">
        <v>147226.8</v>
      </c>
      <c r="R21" s="7" t="n">
        <v>198070.4</v>
      </c>
      <c r="T21" s="7" t="n">
        <v>114961.3</v>
      </c>
      <c r="V21" s="7" t="n">
        <v>208828.6</v>
      </c>
      <c r="X21" s="7" t="n">
        <v>128157.8</v>
      </c>
      <c r="Z21" s="7" t="n">
        <v>104526.6</v>
      </c>
      <c r="AB21" s="7" t="n">
        <v>1780067.7</v>
      </c>
    </row>
    <row r="22">
      <c r="A22" s="4" t="inlineStr">
        <is>
          <t>团餐</t>
        </is>
      </c>
      <c r="D22" s="7" t="n">
        <v>336866.8</v>
      </c>
      <c r="F22" s="7" t="n">
        <v>420369.2</v>
      </c>
      <c r="H22" s="7" t="n">
        <v>506920</v>
      </c>
      <c r="J22" s="7" t="n">
        <v>452248.2</v>
      </c>
      <c r="L22" s="7" t="n">
        <v>662035.3</v>
      </c>
      <c r="N22" s="7" t="n">
        <v>668946.7</v>
      </c>
      <c r="P22" s="7" t="n">
        <v>605540.5</v>
      </c>
      <c r="R22" s="7" t="n">
        <v>589238.8</v>
      </c>
      <c r="T22" s="7" t="n">
        <v>569738.5</v>
      </c>
      <c r="V22" s="7" t="n">
        <v>424540.6</v>
      </c>
      <c r="X22" s="7" t="n">
        <v>358341.8</v>
      </c>
      <c r="Z22" s="7" t="n">
        <v>351121.8</v>
      </c>
      <c r="AB22" s="7" t="n">
        <v>5945908.2</v>
      </c>
    </row>
    <row r="23">
      <c r="A23" s="4" t="inlineStr">
        <is>
          <t>预制菜</t>
        </is>
      </c>
      <c r="D23" s="7" t="n">
        <v>65268.3</v>
      </c>
      <c r="F23" s="7" t="n">
        <v>52036.4</v>
      </c>
      <c r="H23" s="7" t="n">
        <v>73125.5</v>
      </c>
      <c r="J23" s="7" t="n">
        <v>100705.6</v>
      </c>
      <c r="L23" s="7" t="n">
        <v>69793.3</v>
      </c>
      <c r="N23" s="7" t="n">
        <v>81020.39999999999</v>
      </c>
      <c r="P23" s="7" t="n">
        <v>116015.8</v>
      </c>
      <c r="R23" s="7" t="n">
        <v>110149.1</v>
      </c>
      <c r="T23" s="7" t="n">
        <v>89363.89999999999</v>
      </c>
      <c r="V23" s="7" t="n">
        <v>81501.7</v>
      </c>
      <c r="X23" s="7" t="n">
        <v>90179.10000000001</v>
      </c>
      <c r="Z23" s="7" t="n">
        <v>65979.10000000001</v>
      </c>
      <c r="AB23" s="7" t="n">
        <v>995138.2</v>
      </c>
    </row>
    <row r="24">
      <c r="A24" s="4" t="inlineStr">
        <is>
          <t>其他</t>
        </is>
      </c>
      <c r="D24" s="7" t="n">
        <v>4904.4</v>
      </c>
      <c r="F24" s="7" t="n">
        <v>16226.6</v>
      </c>
      <c r="H24" s="7" t="n">
        <v>40900.6</v>
      </c>
      <c r="J24" s="7" t="n">
        <v>3222.7</v>
      </c>
      <c r="L24" s="7" t="n">
        <v>18036.6</v>
      </c>
      <c r="N24" s="7" t="n">
        <v>58985.3</v>
      </c>
      <c r="P24" s="7" t="n">
        <v>25752.1</v>
      </c>
      <c r="R24" s="7" t="n">
        <v>40637.1</v>
      </c>
      <c r="T24" s="7" t="n">
        <v>7334.3</v>
      </c>
      <c r="V24" s="7" t="n">
        <v>24725.2</v>
      </c>
      <c r="X24" s="7" t="n">
        <v>1258.9</v>
      </c>
      <c r="Z24" s="7" t="n">
        <v>32803.2</v>
      </c>
      <c r="AB24" s="7" t="n">
        <v>274787</v>
      </c>
    </row>
    <row r="25">
      <c r="A25" s="4" t="inlineStr">
        <is>
          <t>运费</t>
        </is>
      </c>
      <c r="D25" s="7" t="n">
        <v>78104.8</v>
      </c>
      <c r="F25" s="7" t="n">
        <v>74250.10000000001</v>
      </c>
      <c r="H25" s="7" t="n">
        <v>166017.3</v>
      </c>
      <c r="J25" s="7" t="n">
        <v>109753.5</v>
      </c>
      <c r="L25" s="7" t="n">
        <v>220807.3</v>
      </c>
      <c r="N25" s="7" t="n">
        <v>257336.4</v>
      </c>
      <c r="P25" s="7" t="n">
        <v>99361.2</v>
      </c>
      <c r="R25" s="7" t="n">
        <v>147456.9</v>
      </c>
      <c r="T25" s="7" t="n">
        <v>164566.8</v>
      </c>
      <c r="V25" s="7" t="n">
        <v>112748.5</v>
      </c>
      <c r="X25" s="7" t="n">
        <v>144065.3</v>
      </c>
      <c r="Z25" s="7" t="n">
        <v>99985.10000000001</v>
      </c>
      <c r="AB25" s="7" t="n">
        <v>1674453.2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508546.8</v>
      </c>
      <c r="D26" s="7" t="n">
        <v>749103.3</v>
      </c>
      <c r="E26" s="7" t="n">
        <v>1056172.3</v>
      </c>
      <c r="F26" s="7" t="n">
        <v>840847.9</v>
      </c>
      <c r="G26" s="7" t="n">
        <v>423732.4</v>
      </c>
      <c r="H26" s="7" t="n">
        <v>1081583</v>
      </c>
      <c r="I26" s="7" t="n">
        <v>1251496.8</v>
      </c>
      <c r="J26" s="7" t="n">
        <v>1210232.8</v>
      </c>
      <c r="K26" s="7" t="n">
        <v>1734224.1</v>
      </c>
      <c r="L26" s="7" t="n">
        <v>1330556.3</v>
      </c>
      <c r="M26" s="7" t="n">
        <v>1138049.9</v>
      </c>
      <c r="N26" s="7" t="n">
        <v>1570874.3</v>
      </c>
      <c r="O26" s="7" t="n">
        <v>840492.4</v>
      </c>
      <c r="P26" s="7" t="n">
        <v>1475948.7</v>
      </c>
      <c r="Q26" s="7" t="n">
        <v>1270318.7</v>
      </c>
      <c r="R26" s="7" t="n">
        <v>1213536.7</v>
      </c>
      <c r="S26" s="7" t="n">
        <v>1251642.5</v>
      </c>
      <c r="T26" s="7" t="n">
        <v>1142247.1</v>
      </c>
      <c r="U26" s="7" t="n">
        <v>1771829</v>
      </c>
      <c r="V26" s="7" t="n">
        <v>1342243.1</v>
      </c>
      <c r="W26" s="7" t="n">
        <v>1338752.2</v>
      </c>
      <c r="X26" s="7" t="n">
        <v>967555</v>
      </c>
      <c r="Y26" s="7" t="n">
        <v>1259155.9</v>
      </c>
      <c r="Z26" s="7" t="n">
        <v>847428.3</v>
      </c>
      <c r="AA26" s="8" t="n">
        <v>13844413</v>
      </c>
      <c r="AB26" s="8" t="n">
        <v>13772156.5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15.6</v>
      </c>
      <c r="D27" s="13" t="n">
        <v>32.1</v>
      </c>
      <c r="E27" s="13" t="n">
        <v>31.6</v>
      </c>
      <c r="F27" s="13" t="n">
        <v>32.3</v>
      </c>
      <c r="G27" s="13" t="n">
        <v>13</v>
      </c>
      <c r="H27" s="13" t="n">
        <v>31.3</v>
      </c>
      <c r="I27" s="13" t="n">
        <v>33.6</v>
      </c>
      <c r="J27" s="13" t="n">
        <v>32.3</v>
      </c>
      <c r="K27" s="13" t="n">
        <v>43.7</v>
      </c>
      <c r="L27" s="13" t="n">
        <v>30.1</v>
      </c>
      <c r="M27" s="13" t="n">
        <v>34.1</v>
      </c>
      <c r="N27" s="13" t="n">
        <v>30.5</v>
      </c>
      <c r="O27" s="13" t="n">
        <v>25</v>
      </c>
      <c r="P27" s="13" t="n">
        <v>32.6</v>
      </c>
      <c r="Q27" s="13" t="n">
        <v>34.7</v>
      </c>
      <c r="R27" s="13" t="n">
        <v>31.5</v>
      </c>
      <c r="S27" s="13" t="n">
        <v>31.9</v>
      </c>
      <c r="T27" s="13" t="n">
        <v>31</v>
      </c>
      <c r="U27" s="13" t="n">
        <v>42.1</v>
      </c>
      <c r="V27" s="13" t="n">
        <v>33</v>
      </c>
      <c r="W27" s="13" t="n">
        <v>36.1</v>
      </c>
      <c r="X27" s="13" t="n">
        <v>30.5</v>
      </c>
      <c r="Y27" s="13" t="n">
        <v>36.6</v>
      </c>
      <c r="Z27" s="13" t="n">
        <v>31.4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35153.4</v>
      </c>
      <c r="D28" s="7" t="n">
        <v>14446.5</v>
      </c>
      <c r="E28" s="7" t="n">
        <v>35706.3</v>
      </c>
      <c r="F28" s="7" t="n">
        <v>19136.9</v>
      </c>
      <c r="G28" s="7" t="n">
        <v>32436.5</v>
      </c>
      <c r="H28" s="7" t="n">
        <v>47583.6</v>
      </c>
      <c r="I28" s="7" t="n">
        <v>32427.8</v>
      </c>
      <c r="J28" s="7" t="n">
        <v>37191.1</v>
      </c>
      <c r="K28" s="7" t="n">
        <v>40370.6</v>
      </c>
      <c r="L28" s="7" t="n">
        <v>64511.5</v>
      </c>
      <c r="M28" s="7" t="n">
        <v>31609.1</v>
      </c>
      <c r="N28" s="7" t="n">
        <v>55994.7</v>
      </c>
      <c r="O28" s="7" t="n">
        <v>37525.1</v>
      </c>
      <c r="P28" s="7" t="n">
        <v>41020.7</v>
      </c>
      <c r="Q28" s="7" t="n">
        <v>36994.3</v>
      </c>
      <c r="R28" s="7" t="n">
        <v>52006.2</v>
      </c>
      <c r="S28" s="7" t="n">
        <v>32541.5</v>
      </c>
      <c r="T28" s="7" t="n">
        <v>28999.9</v>
      </c>
      <c r="U28" s="7" t="n">
        <v>42304.5</v>
      </c>
      <c r="V28" s="7" t="n">
        <v>45174.7</v>
      </c>
      <c r="W28" s="7" t="n">
        <v>40503</v>
      </c>
      <c r="X28" s="7" t="n">
        <v>21070.2</v>
      </c>
      <c r="Y28" s="7" t="n">
        <v>38721.9</v>
      </c>
      <c r="Z28" s="7" t="n">
        <v>17776.7</v>
      </c>
      <c r="AA28" s="8" t="n">
        <v>436294</v>
      </c>
      <c r="AB28" s="8" t="n">
        <v>444912.7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608446.6</v>
      </c>
      <c r="D29" s="7" t="n">
        <v>581331.1</v>
      </c>
      <c r="E29" s="7" t="n">
        <v>552438.8</v>
      </c>
      <c r="F29" s="7" t="n">
        <v>260938.8</v>
      </c>
      <c r="G29" s="7" t="n">
        <v>657053.8</v>
      </c>
      <c r="H29" s="7" t="n">
        <v>436935</v>
      </c>
      <c r="I29" s="7" t="n">
        <v>735011.2</v>
      </c>
      <c r="J29" s="7" t="n">
        <v>450039.8</v>
      </c>
      <c r="K29" s="7" t="n">
        <v>663112.3</v>
      </c>
      <c r="L29" s="7" t="n">
        <v>1095140.3</v>
      </c>
      <c r="M29" s="7" t="n">
        <v>702938.4</v>
      </c>
      <c r="N29" s="7" t="n">
        <v>797486.2</v>
      </c>
      <c r="O29" s="7" t="n">
        <v>581924.9</v>
      </c>
      <c r="P29" s="7" t="n">
        <v>919127.2</v>
      </c>
      <c r="Q29" s="7" t="n">
        <v>577633.2</v>
      </c>
      <c r="R29" s="7" t="n">
        <v>863321.2</v>
      </c>
      <c r="S29" s="7" t="n">
        <v>620125.7</v>
      </c>
      <c r="T29" s="7" t="n">
        <v>566333.3</v>
      </c>
      <c r="U29" s="7" t="n">
        <v>736029.9</v>
      </c>
      <c r="V29" s="7" t="n">
        <v>755775.2</v>
      </c>
      <c r="W29" s="7" t="n">
        <v>565632.2</v>
      </c>
      <c r="X29" s="7" t="n">
        <v>336113.1</v>
      </c>
      <c r="Y29" s="7" t="n">
        <v>659074.6</v>
      </c>
      <c r="Z29" s="7" t="n">
        <v>630854.2</v>
      </c>
      <c r="AA29" s="8" t="n">
        <v>7659421.6</v>
      </c>
      <c r="AB29" s="8" t="n">
        <v>7693395.4</v>
      </c>
    </row>
    <row r="30">
      <c r="A30" s="4" t="inlineStr">
        <is>
          <t>职工薪酬</t>
        </is>
      </c>
      <c r="D30" s="7" t="n">
        <v>253625.1</v>
      </c>
      <c r="F30" s="7" t="n">
        <v>149478.1</v>
      </c>
      <c r="H30" s="7" t="n">
        <v>235304</v>
      </c>
      <c r="J30" s="7" t="n">
        <v>239762</v>
      </c>
      <c r="L30" s="7" t="n">
        <v>607437.6</v>
      </c>
      <c r="N30" s="7" t="n">
        <v>368114.4</v>
      </c>
      <c r="P30" s="7" t="n">
        <v>433878.3</v>
      </c>
      <c r="R30" s="7" t="n">
        <v>416951.9</v>
      </c>
      <c r="T30" s="7" t="n">
        <v>309785.2</v>
      </c>
      <c r="V30" s="7" t="n">
        <v>354132.2</v>
      </c>
      <c r="X30" s="7" t="n">
        <v>189437.5</v>
      </c>
      <c r="Z30" s="7" t="n">
        <v>289622</v>
      </c>
      <c r="AB30" s="7" t="n">
        <v>3847528.3</v>
      </c>
    </row>
    <row r="31">
      <c r="A31" s="4" t="inlineStr">
        <is>
          <t>工资</t>
        </is>
      </c>
      <c r="D31" s="7" t="n">
        <v>125431.5</v>
      </c>
      <c r="F31" s="7" t="n">
        <v>94822.10000000001</v>
      </c>
      <c r="H31" s="7" t="n">
        <v>144058.1</v>
      </c>
      <c r="J31" s="7" t="n">
        <v>150800.9</v>
      </c>
      <c r="L31" s="7" t="n">
        <v>389704.3</v>
      </c>
      <c r="N31" s="7" t="n">
        <v>218970</v>
      </c>
      <c r="P31" s="7" t="n">
        <v>277206.6</v>
      </c>
      <c r="R31" s="7" t="n">
        <v>226930.5</v>
      </c>
      <c r="T31" s="7" t="n">
        <v>190864.7</v>
      </c>
      <c r="V31" s="7" t="n">
        <v>213277.4</v>
      </c>
      <c r="X31" s="7" t="n">
        <v>119405.5</v>
      </c>
      <c r="Z31" s="7" t="n">
        <v>159178.7</v>
      </c>
      <c r="AB31" s="7" t="n">
        <v>2310650.3</v>
      </c>
    </row>
    <row r="32">
      <c r="A32" s="4" t="inlineStr">
        <is>
          <t>奖金及提成</t>
        </is>
      </c>
      <c r="D32" s="7" t="n">
        <v>75035.8</v>
      </c>
      <c r="F32" s="7" t="n">
        <v>23108.6</v>
      </c>
      <c r="H32" s="7" t="n">
        <v>39147.9</v>
      </c>
      <c r="J32" s="7" t="n">
        <v>38001.8</v>
      </c>
      <c r="L32" s="7" t="n">
        <v>86432</v>
      </c>
      <c r="N32" s="7" t="n">
        <v>63251.1</v>
      </c>
      <c r="P32" s="7" t="n">
        <v>68720.60000000001</v>
      </c>
      <c r="R32" s="7" t="n">
        <v>90874</v>
      </c>
      <c r="T32" s="7" t="n">
        <v>43643.4</v>
      </c>
      <c r="V32" s="7" t="n">
        <v>57786.9</v>
      </c>
      <c r="X32" s="7" t="n">
        <v>32581.2</v>
      </c>
      <c r="Z32" s="7" t="n">
        <v>49812</v>
      </c>
      <c r="AB32" s="7" t="n">
        <v>668395.3</v>
      </c>
    </row>
    <row r="33">
      <c r="A33" s="4" t="inlineStr">
        <is>
          <t>社保</t>
        </is>
      </c>
      <c r="D33" s="7" t="n">
        <v>34603.9</v>
      </c>
      <c r="F33" s="7" t="n">
        <v>24261.5</v>
      </c>
      <c r="H33" s="7" t="n">
        <v>38892</v>
      </c>
      <c r="J33" s="7" t="n">
        <v>37715.6</v>
      </c>
      <c r="L33" s="7" t="n">
        <v>99104.39999999999</v>
      </c>
      <c r="N33" s="7" t="n">
        <v>61323.6</v>
      </c>
      <c r="P33" s="7" t="n">
        <v>56880.8</v>
      </c>
      <c r="R33" s="7" t="n">
        <v>75045.89999999999</v>
      </c>
      <c r="T33" s="7" t="n">
        <v>57337.7</v>
      </c>
      <c r="V33" s="7" t="n">
        <v>62352.8</v>
      </c>
      <c r="X33" s="7" t="n">
        <v>28303.5</v>
      </c>
      <c r="Z33" s="7" t="n">
        <v>63714.3</v>
      </c>
      <c r="AB33" s="7" t="n">
        <v>639536</v>
      </c>
    </row>
    <row r="34">
      <c r="A34" s="4" t="inlineStr">
        <is>
          <t>养老</t>
        </is>
      </c>
      <c r="D34" s="7" t="n">
        <v>786.8</v>
      </c>
      <c r="F34" s="7" t="n">
        <v>258.5</v>
      </c>
      <c r="H34" s="7" t="n">
        <v>477.2</v>
      </c>
      <c r="J34" s="7" t="n">
        <v>504.5</v>
      </c>
      <c r="L34" s="7" t="n">
        <v>1114.2</v>
      </c>
      <c r="N34" s="7" t="n">
        <v>788.5</v>
      </c>
      <c r="P34" s="7" t="n">
        <v>1532.1</v>
      </c>
      <c r="R34" s="7" t="n">
        <v>1011</v>
      </c>
      <c r="T34" s="7" t="n">
        <v>632.5</v>
      </c>
      <c r="V34" s="7" t="n">
        <v>1038.1</v>
      </c>
      <c r="X34" s="7" t="n">
        <v>506.3</v>
      </c>
      <c r="Z34" s="7" t="n">
        <v>814.4</v>
      </c>
      <c r="AB34" s="7" t="n">
        <v>9464.1</v>
      </c>
    </row>
    <row r="35">
      <c r="A35" s="4" t="inlineStr">
        <is>
          <t>医疗</t>
        </is>
      </c>
      <c r="D35" s="7" t="n">
        <v>2417.1</v>
      </c>
      <c r="F35" s="7" t="n">
        <v>946.1</v>
      </c>
      <c r="H35" s="7" t="n">
        <v>1820.8</v>
      </c>
      <c r="J35" s="7" t="n">
        <v>2678.7</v>
      </c>
      <c r="L35" s="7" t="n">
        <v>4855.3</v>
      </c>
      <c r="N35" s="7" t="n">
        <v>3296.3</v>
      </c>
      <c r="P35" s="7" t="n">
        <v>5339.5</v>
      </c>
      <c r="R35" s="7" t="n">
        <v>4174.9</v>
      </c>
      <c r="T35" s="7" t="n">
        <v>2949.3</v>
      </c>
      <c r="V35" s="7" t="n">
        <v>2475.8</v>
      </c>
      <c r="X35" s="7" t="n">
        <v>1828.5</v>
      </c>
      <c r="Z35" s="7" t="n">
        <v>3733.1</v>
      </c>
      <c r="AB35" s="7" t="n">
        <v>36515.4</v>
      </c>
    </row>
    <row r="36">
      <c r="A36" s="4" t="inlineStr">
        <is>
          <t>工伤</t>
        </is>
      </c>
      <c r="D36" s="7" t="n">
        <v>1572.6</v>
      </c>
      <c r="F36" s="7" t="n">
        <v>919.9</v>
      </c>
      <c r="H36" s="7" t="n">
        <v>939.8</v>
      </c>
      <c r="J36" s="7" t="n">
        <v>1509.9</v>
      </c>
      <c r="L36" s="7" t="n">
        <v>2520.2</v>
      </c>
      <c r="N36" s="7" t="n">
        <v>2310</v>
      </c>
      <c r="P36" s="7" t="n">
        <v>3193.3</v>
      </c>
      <c r="R36" s="7" t="n">
        <v>2929.2</v>
      </c>
      <c r="T36" s="7" t="n">
        <v>1748.7</v>
      </c>
      <c r="V36" s="7" t="n">
        <v>1959.1</v>
      </c>
      <c r="X36" s="7" t="n">
        <v>1065.4</v>
      </c>
      <c r="Z36" s="7" t="n">
        <v>1855.8</v>
      </c>
      <c r="AB36" s="7" t="n">
        <v>22523.9</v>
      </c>
    </row>
    <row r="37">
      <c r="A37" s="4" t="inlineStr">
        <is>
          <t>失业</t>
        </is>
      </c>
      <c r="D37" s="7" t="n">
        <v>3200.2</v>
      </c>
      <c r="F37" s="7" t="n">
        <v>1124.5</v>
      </c>
      <c r="H37" s="7" t="n">
        <v>1430.1</v>
      </c>
      <c r="J37" s="7" t="n">
        <v>2077.6</v>
      </c>
      <c r="L37" s="7" t="n">
        <v>6102.6</v>
      </c>
      <c r="N37" s="7" t="n">
        <v>3722.4</v>
      </c>
      <c r="P37" s="7" t="n">
        <v>3544.2</v>
      </c>
      <c r="R37" s="7" t="n">
        <v>3622.4</v>
      </c>
      <c r="T37" s="7" t="n">
        <v>2893.3</v>
      </c>
      <c r="V37" s="7" t="n">
        <v>4025.8</v>
      </c>
      <c r="X37" s="7" t="n">
        <v>1572.5</v>
      </c>
      <c r="Z37" s="7" t="n">
        <v>2997.2</v>
      </c>
      <c r="AB37" s="7" t="n">
        <v>36312.8</v>
      </c>
    </row>
    <row r="38">
      <c r="A38" s="4" t="inlineStr">
        <is>
          <t>生育</t>
        </is>
      </c>
      <c r="D38" s="7" t="n">
        <v>4395.5</v>
      </c>
      <c r="F38" s="7" t="n">
        <v>1624.9</v>
      </c>
      <c r="H38" s="7" t="n">
        <v>2720.4</v>
      </c>
      <c r="J38" s="7" t="n">
        <v>2522.8</v>
      </c>
      <c r="L38" s="7" t="n">
        <v>8112.5</v>
      </c>
      <c r="N38" s="7" t="n">
        <v>5490.2</v>
      </c>
      <c r="P38" s="7" t="n">
        <v>5216.7</v>
      </c>
      <c r="R38" s="7" t="n">
        <v>5698.1</v>
      </c>
      <c r="T38" s="7" t="n">
        <v>3397</v>
      </c>
      <c r="V38" s="7" t="n">
        <v>4511.3</v>
      </c>
      <c r="X38" s="7" t="n">
        <v>2261.6</v>
      </c>
      <c r="Z38" s="7" t="n">
        <v>2674.3</v>
      </c>
      <c r="AB38" s="7" t="n">
        <v>48625.3</v>
      </c>
    </row>
    <row r="39">
      <c r="A39" s="4" t="inlineStr">
        <is>
          <t>公积金</t>
        </is>
      </c>
      <c r="D39" s="7" t="n">
        <v>1197.4</v>
      </c>
      <c r="F39" s="7" t="n">
        <v>612.5</v>
      </c>
      <c r="H39" s="7" t="n">
        <v>1119.8</v>
      </c>
      <c r="J39" s="7" t="n">
        <v>966.5</v>
      </c>
      <c r="L39" s="7" t="n">
        <v>2930.6</v>
      </c>
      <c r="N39" s="7" t="n">
        <v>2187.1</v>
      </c>
      <c r="P39" s="7" t="n">
        <v>2502.7</v>
      </c>
      <c r="R39" s="7" t="n">
        <v>2005.8</v>
      </c>
      <c r="T39" s="7" t="n">
        <v>1035.8</v>
      </c>
      <c r="V39" s="7" t="n">
        <v>1465.6</v>
      </c>
      <c r="X39" s="7" t="n">
        <v>773</v>
      </c>
      <c r="Z39" s="7" t="n">
        <v>1334</v>
      </c>
      <c r="AB39" s="7" t="n">
        <v>18130.8</v>
      </c>
    </row>
    <row r="40">
      <c r="A40" s="4" t="inlineStr">
        <is>
          <t>工会经费</t>
        </is>
      </c>
      <c r="D40" s="7" t="n">
        <v>1249.1</v>
      </c>
      <c r="F40" s="7" t="n">
        <v>371.6</v>
      </c>
      <c r="H40" s="7" t="n">
        <v>720.7</v>
      </c>
      <c r="J40" s="7" t="n">
        <v>1101.2</v>
      </c>
      <c r="L40" s="7" t="n">
        <v>1838.3</v>
      </c>
      <c r="N40" s="7" t="n">
        <v>1349.2</v>
      </c>
      <c r="P40" s="7" t="n">
        <v>1843.2</v>
      </c>
      <c r="R40" s="7" t="n">
        <v>1231.3</v>
      </c>
      <c r="T40" s="7" t="n">
        <v>1417.6</v>
      </c>
      <c r="V40" s="7" t="n">
        <v>1442.9</v>
      </c>
      <c r="X40" s="7" t="n">
        <v>620.9</v>
      </c>
      <c r="Z40" s="7" t="n">
        <v>1190</v>
      </c>
      <c r="AB40" s="7" t="n">
        <v>14376</v>
      </c>
    </row>
    <row r="41">
      <c r="A41" s="4" t="inlineStr">
        <is>
          <t>职工教育经费</t>
        </is>
      </c>
      <c r="D41" s="7" t="n">
        <v>4317.4</v>
      </c>
      <c r="F41" s="7" t="n">
        <v>1417.5</v>
      </c>
      <c r="H41" s="7" t="n">
        <v>3264.8</v>
      </c>
      <c r="J41" s="7" t="n">
        <v>2908</v>
      </c>
      <c r="L41" s="7" t="n">
        <v>6540.4</v>
      </c>
      <c r="N41" s="7" t="n">
        <v>5018.4</v>
      </c>
      <c r="P41" s="7" t="n">
        <v>7346.8</v>
      </c>
      <c r="R41" s="7" t="n">
        <v>6386.3</v>
      </c>
      <c r="T41" s="7" t="n">
        <v>3859.1</v>
      </c>
      <c r="V41" s="7" t="n">
        <v>4198.5</v>
      </c>
      <c r="X41" s="7" t="n">
        <v>2239.9</v>
      </c>
      <c r="Z41" s="7" t="n">
        <v>2897.8</v>
      </c>
      <c r="AB41" s="7" t="n">
        <v>50394.9</v>
      </c>
    </row>
    <row r="42">
      <c r="A42" s="4" t="inlineStr">
        <is>
          <t>福利费</t>
        </is>
      </c>
      <c r="D42" s="7" t="n">
        <v>11790</v>
      </c>
      <c r="F42" s="7" t="n">
        <v>4884.3</v>
      </c>
      <c r="H42" s="7" t="n">
        <v>8100.7</v>
      </c>
      <c r="J42" s="7" t="n">
        <v>8268</v>
      </c>
      <c r="L42" s="7" t="n">
        <v>20887.6</v>
      </c>
      <c r="N42" s="7" t="n">
        <v>16015</v>
      </c>
      <c r="P42" s="7" t="n">
        <v>19377.6</v>
      </c>
      <c r="R42" s="7" t="n">
        <v>14478.1</v>
      </c>
      <c r="T42" s="7" t="n">
        <v>11626.9</v>
      </c>
      <c r="V42" s="7" t="n">
        <v>13608.1</v>
      </c>
      <c r="X42" s="7" t="n">
        <v>5513.5</v>
      </c>
      <c r="Z42" s="7" t="n">
        <v>11495.2</v>
      </c>
      <c r="AB42" s="7" t="n">
        <v>146045</v>
      </c>
    </row>
    <row r="43">
      <c r="A43" s="4" t="inlineStr">
        <is>
          <t>职工房租</t>
        </is>
      </c>
      <c r="D43" s="7" t="n">
        <v>330.5</v>
      </c>
      <c r="F43" s="7" t="n">
        <v>172.9</v>
      </c>
      <c r="H43" s="7" t="n">
        <v>162.6</v>
      </c>
      <c r="J43" s="7" t="n">
        <v>182.9</v>
      </c>
      <c r="L43" s="7" t="n">
        <v>657.8</v>
      </c>
      <c r="N43" s="7" t="n">
        <v>356.2</v>
      </c>
      <c r="P43" s="7" t="n">
        <v>525.6</v>
      </c>
      <c r="R43" s="7" t="n">
        <v>497.6</v>
      </c>
      <c r="T43" s="7" t="n">
        <v>280.9</v>
      </c>
      <c r="V43" s="7" t="n">
        <v>491.1</v>
      </c>
      <c r="X43" s="7" t="n">
        <v>144.4</v>
      </c>
      <c r="Z43" s="7" t="n">
        <v>263.1</v>
      </c>
      <c r="AB43" s="7" t="n">
        <v>4065.6</v>
      </c>
    </row>
    <row r="44">
      <c r="A44" s="4" t="inlineStr">
        <is>
          <t>水电物业费</t>
        </is>
      </c>
      <c r="D44" s="7" t="n">
        <v>468.5</v>
      </c>
      <c r="F44" s="7" t="n">
        <v>147.9</v>
      </c>
      <c r="H44" s="7" t="n">
        <v>286.8</v>
      </c>
      <c r="J44" s="7" t="n">
        <v>296.5</v>
      </c>
      <c r="L44" s="7" t="n">
        <v>519.5</v>
      </c>
      <c r="N44" s="7" t="n">
        <v>658.3</v>
      </c>
      <c r="P44" s="7" t="n">
        <v>720</v>
      </c>
      <c r="R44" s="7" t="n">
        <v>669.6</v>
      </c>
      <c r="T44" s="7" t="n">
        <v>254.5</v>
      </c>
      <c r="V44" s="7" t="n">
        <v>408.1</v>
      </c>
      <c r="X44" s="7" t="n">
        <v>251.1</v>
      </c>
      <c r="Z44" s="7" t="n">
        <v>475.1</v>
      </c>
      <c r="AB44" s="7" t="n">
        <v>5155.9</v>
      </c>
    </row>
    <row r="45">
      <c r="A45" s="4" t="inlineStr">
        <is>
          <t>员工餐</t>
        </is>
      </c>
      <c r="D45" s="7" t="n">
        <v>4604.6</v>
      </c>
      <c r="F45" s="7" t="n">
        <v>1241</v>
      </c>
      <c r="H45" s="7" t="n">
        <v>2626.7</v>
      </c>
      <c r="J45" s="7" t="n">
        <v>2153.9</v>
      </c>
      <c r="L45" s="7" t="n">
        <v>7864.1</v>
      </c>
      <c r="N45" s="7" t="n">
        <v>5766.8</v>
      </c>
      <c r="P45" s="7" t="n">
        <v>5573.2</v>
      </c>
      <c r="R45" s="7" t="n">
        <v>4134</v>
      </c>
      <c r="T45" s="7" t="n">
        <v>3860.6</v>
      </c>
      <c r="V45" s="7" t="n">
        <v>4057.6</v>
      </c>
      <c r="X45" s="7" t="n">
        <v>1561</v>
      </c>
      <c r="Z45" s="7" t="n">
        <v>4584</v>
      </c>
      <c r="AB45" s="7" t="n">
        <v>48027.5</v>
      </c>
    </row>
    <row r="46">
      <c r="A46" s="4" t="inlineStr">
        <is>
          <t>节日礼品</t>
        </is>
      </c>
      <c r="D46" s="7" t="n">
        <v>1256</v>
      </c>
      <c r="F46" s="7" t="n">
        <v>491.7</v>
      </c>
      <c r="H46" s="7" t="n">
        <v>1282.3</v>
      </c>
      <c r="J46" s="7" t="n">
        <v>1183.4</v>
      </c>
      <c r="L46" s="7" t="n">
        <v>3162.1</v>
      </c>
      <c r="N46" s="7" t="n">
        <v>1980.6</v>
      </c>
      <c r="P46" s="7" t="n">
        <v>2728.6</v>
      </c>
      <c r="R46" s="7" t="n">
        <v>2319.5</v>
      </c>
      <c r="T46" s="7" t="n">
        <v>1699.2</v>
      </c>
      <c r="V46" s="7" t="n">
        <v>1395.9</v>
      </c>
      <c r="X46" s="7" t="n">
        <v>704.8</v>
      </c>
      <c r="Z46" s="7" t="n">
        <v>1480.6</v>
      </c>
      <c r="AB46" s="7" t="n">
        <v>19684.7</v>
      </c>
    </row>
    <row r="47">
      <c r="A47" s="4" t="inlineStr">
        <is>
          <t>生日礼品</t>
        </is>
      </c>
      <c r="D47" s="7" t="n">
        <v>2146.2</v>
      </c>
      <c r="F47" s="7" t="n">
        <v>1527.5</v>
      </c>
      <c r="H47" s="7" t="n">
        <v>2280.6</v>
      </c>
      <c r="J47" s="7" t="n">
        <v>1853.4</v>
      </c>
      <c r="L47" s="7" t="n">
        <v>4476.9</v>
      </c>
      <c r="N47" s="7" t="n">
        <v>3366.3</v>
      </c>
      <c r="P47" s="7" t="n">
        <v>4796.1</v>
      </c>
      <c r="R47" s="7" t="n">
        <v>2975</v>
      </c>
      <c r="T47" s="7" t="n">
        <v>2579.8</v>
      </c>
      <c r="V47" s="7" t="n">
        <v>4056.6</v>
      </c>
      <c r="X47" s="7" t="n">
        <v>1257.5</v>
      </c>
      <c r="Z47" s="7" t="n">
        <v>2322.1</v>
      </c>
      <c r="AB47" s="7" t="n">
        <v>33638</v>
      </c>
    </row>
    <row r="48">
      <c r="A48" s="4" t="inlineStr">
        <is>
          <t>体检</t>
        </is>
      </c>
      <c r="D48" s="7" t="n">
        <v>2828.8</v>
      </c>
      <c r="F48" s="7" t="n">
        <v>1252.9</v>
      </c>
      <c r="H48" s="7" t="n">
        <v>1351.9</v>
      </c>
      <c r="J48" s="7" t="n">
        <v>2437.8</v>
      </c>
      <c r="L48" s="7" t="n">
        <v>3827.4</v>
      </c>
      <c r="N48" s="7" t="n">
        <v>3647.8</v>
      </c>
      <c r="P48" s="7" t="n">
        <v>4794</v>
      </c>
      <c r="R48" s="7" t="n">
        <v>3596.7</v>
      </c>
      <c r="T48" s="7" t="n">
        <v>2752.1</v>
      </c>
      <c r="V48" s="7" t="n">
        <v>2945.7</v>
      </c>
      <c r="X48" s="7" t="n">
        <v>1525.2</v>
      </c>
      <c r="Z48" s="7" t="n">
        <v>2161</v>
      </c>
      <c r="AB48" s="7" t="n">
        <v>33121.3</v>
      </c>
    </row>
    <row r="49">
      <c r="A49" s="4" t="inlineStr">
        <is>
          <t>其他福利支出</t>
        </is>
      </c>
      <c r="D49" s="7" t="n">
        <v>155.4</v>
      </c>
      <c r="F49" s="7" t="n">
        <v>50.4</v>
      </c>
      <c r="H49" s="7" t="n">
        <v>109.8</v>
      </c>
      <c r="J49" s="7" t="n">
        <v>160.1</v>
      </c>
      <c r="L49" s="7" t="n">
        <v>379.8</v>
      </c>
      <c r="N49" s="7" t="n">
        <v>239</v>
      </c>
      <c r="P49" s="7" t="n">
        <v>240.1</v>
      </c>
      <c r="R49" s="7" t="n">
        <v>285.7</v>
      </c>
      <c r="T49" s="7" t="n">
        <v>199.8</v>
      </c>
      <c r="V49" s="7" t="n">
        <v>253.1</v>
      </c>
      <c r="X49" s="7" t="n">
        <v>69.5</v>
      </c>
      <c r="Z49" s="7" t="n">
        <v>209.3</v>
      </c>
      <c r="AB49" s="7" t="n">
        <v>2352</v>
      </c>
    </row>
    <row r="50">
      <c r="A50" s="4" t="inlineStr">
        <is>
          <t>招聘费</t>
        </is>
      </c>
      <c r="D50" s="7" t="n">
        <v>2350.3</v>
      </c>
      <c r="F50" s="7" t="n">
        <v>783.4</v>
      </c>
      <c r="H50" s="7" t="n">
        <v>1331.4</v>
      </c>
      <c r="J50" s="7" t="n">
        <v>1748.9</v>
      </c>
      <c r="L50" s="7" t="n">
        <v>5541.5</v>
      </c>
      <c r="N50" s="7" t="n">
        <v>3531.2</v>
      </c>
      <c r="P50" s="7" t="n">
        <v>3241.4</v>
      </c>
      <c r="R50" s="7" t="n">
        <v>3618.7</v>
      </c>
      <c r="T50" s="7" t="n">
        <v>1588.9</v>
      </c>
      <c r="V50" s="7" t="n">
        <v>3539.8</v>
      </c>
      <c r="X50" s="7" t="n">
        <v>1166.8</v>
      </c>
      <c r="Z50" s="7" t="n">
        <v>2182.5</v>
      </c>
      <c r="AB50" s="7" t="n">
        <v>30624.8</v>
      </c>
    </row>
    <row r="51">
      <c r="A51" s="4" t="inlineStr">
        <is>
          <t>办公费</t>
        </is>
      </c>
      <c r="D51" s="7" t="n">
        <v>20811.1</v>
      </c>
      <c r="F51" s="7" t="n">
        <v>6858</v>
      </c>
      <c r="H51" s="7" t="n">
        <v>15928.8</v>
      </c>
      <c r="J51" s="7" t="n">
        <v>9895.700000000001</v>
      </c>
      <c r="L51" s="7" t="n">
        <v>28915.7</v>
      </c>
      <c r="N51" s="7" t="n">
        <v>30586.3</v>
      </c>
      <c r="P51" s="7" t="n">
        <v>21566.9</v>
      </c>
      <c r="R51" s="7" t="n">
        <v>22143.4</v>
      </c>
      <c r="T51" s="7" t="n">
        <v>15762.4</v>
      </c>
      <c r="V51" s="7" t="n">
        <v>17953.2</v>
      </c>
      <c r="X51" s="7" t="n">
        <v>9115</v>
      </c>
      <c r="Z51" s="7" t="n">
        <v>17926.7</v>
      </c>
      <c r="AB51" s="7" t="n">
        <v>217463.2</v>
      </c>
    </row>
    <row r="52">
      <c r="A52" s="4" t="inlineStr">
        <is>
          <t>市内交通费</t>
        </is>
      </c>
      <c r="D52" s="7" t="n">
        <v>288.9</v>
      </c>
      <c r="F52" s="7" t="n">
        <v>94.8</v>
      </c>
      <c r="H52" s="7" t="n">
        <v>188.7</v>
      </c>
      <c r="J52" s="7" t="n">
        <v>193.2</v>
      </c>
      <c r="L52" s="7" t="n">
        <v>381.3</v>
      </c>
      <c r="N52" s="7" t="n">
        <v>501.4</v>
      </c>
      <c r="P52" s="7" t="n">
        <v>402.1</v>
      </c>
      <c r="R52" s="7" t="n">
        <v>474.7</v>
      </c>
      <c r="T52" s="7" t="n">
        <v>337.5</v>
      </c>
      <c r="V52" s="7" t="n">
        <v>464.1</v>
      </c>
      <c r="X52" s="7" t="n">
        <v>174.1</v>
      </c>
      <c r="Z52" s="7" t="n">
        <v>372.7</v>
      </c>
      <c r="AB52" s="7" t="n">
        <v>3873.5</v>
      </c>
    </row>
    <row r="53">
      <c r="A53" s="4" t="inlineStr">
        <is>
          <t>差旅费</t>
        </is>
      </c>
      <c r="D53" s="7" t="n">
        <v>32003</v>
      </c>
      <c r="F53" s="7" t="n">
        <v>11853.3</v>
      </c>
      <c r="H53" s="7" t="n">
        <v>22507</v>
      </c>
      <c r="J53" s="7" t="n">
        <v>24309.5</v>
      </c>
      <c r="L53" s="7" t="n">
        <v>81021.39999999999</v>
      </c>
      <c r="N53" s="7" t="n">
        <v>38737.3</v>
      </c>
      <c r="P53" s="7" t="n">
        <v>45628.4</v>
      </c>
      <c r="R53" s="7" t="n">
        <v>61134.7</v>
      </c>
      <c r="T53" s="7" t="n">
        <v>28506.2</v>
      </c>
      <c r="V53" s="7" t="n">
        <v>39266</v>
      </c>
      <c r="X53" s="7" t="n">
        <v>24298.6</v>
      </c>
      <c r="Z53" s="7" t="n">
        <v>38991.5</v>
      </c>
      <c r="AB53" s="7" t="n">
        <v>448256.9</v>
      </c>
    </row>
    <row r="54">
      <c r="A54" s="4" t="inlineStr">
        <is>
          <t>交通费</t>
        </is>
      </c>
      <c r="D54" s="7" t="n">
        <v>2508.2</v>
      </c>
      <c r="F54" s="7" t="n">
        <v>1099.4</v>
      </c>
      <c r="H54" s="7" t="n">
        <v>1596.5</v>
      </c>
      <c r="J54" s="7" t="n">
        <v>1671.6</v>
      </c>
      <c r="L54" s="7" t="n">
        <v>4331.5</v>
      </c>
      <c r="N54" s="7" t="n">
        <v>2486.3</v>
      </c>
      <c r="P54" s="7" t="n">
        <v>3365</v>
      </c>
      <c r="R54" s="7" t="n">
        <v>2692.2</v>
      </c>
      <c r="T54" s="7" t="n">
        <v>2487</v>
      </c>
      <c r="V54" s="7" t="n">
        <v>3088.8</v>
      </c>
      <c r="X54" s="7" t="n">
        <v>864.3</v>
      </c>
      <c r="Z54" s="7" t="n">
        <v>2802</v>
      </c>
      <c r="AB54" s="7" t="n">
        <v>28992.8</v>
      </c>
    </row>
    <row r="55">
      <c r="A55" s="4" t="inlineStr">
        <is>
          <t>住宿费</t>
        </is>
      </c>
      <c r="D55" s="7" t="n">
        <v>1753.4</v>
      </c>
      <c r="F55" s="7" t="n">
        <v>619.3</v>
      </c>
      <c r="H55" s="7" t="n">
        <v>880.3</v>
      </c>
      <c r="J55" s="7" t="n">
        <v>919.1</v>
      </c>
      <c r="L55" s="7" t="n">
        <v>3830.2</v>
      </c>
      <c r="N55" s="7" t="n">
        <v>2313.7</v>
      </c>
      <c r="P55" s="7" t="n">
        <v>1935</v>
      </c>
      <c r="R55" s="7" t="n">
        <v>2345.8</v>
      </c>
      <c r="T55" s="7" t="n">
        <v>1531.6</v>
      </c>
      <c r="V55" s="7" t="n">
        <v>1908.8</v>
      </c>
      <c r="X55" s="7" t="n">
        <v>949.4</v>
      </c>
      <c r="Z55" s="7" t="n">
        <v>1492.3</v>
      </c>
      <c r="AB55" s="7" t="n">
        <v>20478.9</v>
      </c>
    </row>
    <row r="56">
      <c r="A56" s="4" t="inlineStr">
        <is>
          <t>餐补</t>
        </is>
      </c>
      <c r="D56" s="7" t="n">
        <v>2335</v>
      </c>
      <c r="F56" s="7" t="n">
        <v>1189.4</v>
      </c>
      <c r="H56" s="7" t="n">
        <v>1268.3</v>
      </c>
      <c r="J56" s="7" t="n">
        <v>1396.7</v>
      </c>
      <c r="L56" s="7" t="n">
        <v>4621.1</v>
      </c>
      <c r="N56" s="7" t="n">
        <v>3217.8</v>
      </c>
      <c r="P56" s="7" t="n">
        <v>4344.6</v>
      </c>
      <c r="R56" s="7" t="n">
        <v>3607.5</v>
      </c>
      <c r="T56" s="7" t="n">
        <v>1558.1</v>
      </c>
      <c r="V56" s="7" t="n">
        <v>2433.5</v>
      </c>
      <c r="X56" s="7" t="n">
        <v>1464.9</v>
      </c>
      <c r="Z56" s="7" t="n">
        <v>1959.3</v>
      </c>
      <c r="AB56" s="7" t="n">
        <v>29396.2</v>
      </c>
    </row>
    <row r="57">
      <c r="A57" s="4" t="inlineStr">
        <is>
          <t>交通补助</t>
        </is>
      </c>
      <c r="D57" s="7" t="n">
        <v>4445.8</v>
      </c>
      <c r="F57" s="7" t="n">
        <v>1647.5</v>
      </c>
      <c r="H57" s="7" t="n">
        <v>3548.6</v>
      </c>
      <c r="J57" s="7" t="n">
        <v>1986.5</v>
      </c>
      <c r="L57" s="7" t="n">
        <v>6969.3</v>
      </c>
      <c r="N57" s="7" t="n">
        <v>4325.2</v>
      </c>
      <c r="P57" s="7" t="n">
        <v>6789.7</v>
      </c>
      <c r="R57" s="7" t="n">
        <v>6317.6</v>
      </c>
      <c r="T57" s="7" t="n">
        <v>2888.6</v>
      </c>
      <c r="V57" s="7" t="n">
        <v>4879.6</v>
      </c>
      <c r="X57" s="7" t="n">
        <v>1552.1</v>
      </c>
      <c r="Z57" s="7" t="n">
        <v>3273.4</v>
      </c>
      <c r="AB57" s="7" t="n">
        <v>48623.9</v>
      </c>
    </row>
    <row r="58">
      <c r="A58" s="4" t="inlineStr">
        <is>
          <t>通讯补助</t>
        </is>
      </c>
      <c r="D58" s="7" t="n">
        <v>2073.1</v>
      </c>
      <c r="F58" s="7" t="n">
        <v>1160.1</v>
      </c>
      <c r="H58" s="7" t="n">
        <v>1732.2</v>
      </c>
      <c r="J58" s="7" t="n">
        <v>1855.3</v>
      </c>
      <c r="L58" s="7" t="n">
        <v>5049.9</v>
      </c>
      <c r="N58" s="7" t="n">
        <v>4346.9</v>
      </c>
      <c r="P58" s="7" t="n">
        <v>3507.3</v>
      </c>
      <c r="R58" s="7" t="n">
        <v>3206.8</v>
      </c>
      <c r="T58" s="7" t="n">
        <v>3005.8</v>
      </c>
      <c r="V58" s="7" t="n">
        <v>2560.7</v>
      </c>
      <c r="X58" s="7" t="n">
        <v>1399.5</v>
      </c>
      <c r="Z58" s="7" t="n">
        <v>3004.3</v>
      </c>
      <c r="AB58" s="7" t="n">
        <v>32901.9</v>
      </c>
    </row>
    <row r="59">
      <c r="A59" s="4" t="inlineStr">
        <is>
          <t>招待费</t>
        </is>
      </c>
      <c r="D59" s="7" t="n">
        <v>23220.8</v>
      </c>
      <c r="F59" s="7" t="n">
        <v>13429.9</v>
      </c>
      <c r="H59" s="7" t="n">
        <v>16486.9</v>
      </c>
      <c r="J59" s="7" t="n">
        <v>14665.9</v>
      </c>
      <c r="L59" s="7" t="n">
        <v>37311.9</v>
      </c>
      <c r="N59" s="7" t="n">
        <v>24783.1</v>
      </c>
      <c r="P59" s="7" t="n">
        <v>29802.3</v>
      </c>
      <c r="R59" s="7" t="n">
        <v>37450.6</v>
      </c>
      <c r="T59" s="7" t="n">
        <v>17488.1</v>
      </c>
      <c r="V59" s="7" t="n">
        <v>33333.1</v>
      </c>
      <c r="X59" s="7" t="n">
        <v>10479.6</v>
      </c>
      <c r="Z59" s="7" t="n">
        <v>18272.7</v>
      </c>
      <c r="AB59" s="7" t="n">
        <v>276724.9</v>
      </c>
    </row>
    <row r="60">
      <c r="A60" s="4" t="inlineStr">
        <is>
          <t>通讯费</t>
        </is>
      </c>
      <c r="D60" s="7" t="n">
        <v>4364</v>
      </c>
      <c r="F60" s="7" t="n">
        <v>1944.9</v>
      </c>
      <c r="H60" s="7" t="n">
        <v>3175.7</v>
      </c>
      <c r="J60" s="7" t="n">
        <v>2296.9</v>
      </c>
      <c r="L60" s="7" t="n">
        <v>5955.7</v>
      </c>
      <c r="N60" s="7" t="n">
        <v>6658.5</v>
      </c>
      <c r="P60" s="7" t="n">
        <v>6285.1</v>
      </c>
      <c r="R60" s="7" t="n">
        <v>6165.5</v>
      </c>
      <c r="T60" s="7" t="n">
        <v>4189.9</v>
      </c>
      <c r="V60" s="7" t="n">
        <v>5926.1</v>
      </c>
      <c r="X60" s="7" t="n">
        <v>1558.1</v>
      </c>
      <c r="Z60" s="7" t="n">
        <v>3155.3</v>
      </c>
      <c r="AB60" s="7" t="n">
        <v>51675.7</v>
      </c>
    </row>
    <row r="61">
      <c r="A61" s="4" t="inlineStr">
        <is>
          <t>网络费</t>
        </is>
      </c>
      <c r="D61" s="7" t="n">
        <v>618.7</v>
      </c>
      <c r="F61" s="7" t="n">
        <v>400.6</v>
      </c>
      <c r="H61" s="7" t="n">
        <v>692.5</v>
      </c>
      <c r="J61" s="7" t="n">
        <v>743.6</v>
      </c>
      <c r="L61" s="7" t="n">
        <v>1326.2</v>
      </c>
      <c r="N61" s="7" t="n">
        <v>1021.5</v>
      </c>
      <c r="P61" s="7" t="n">
        <v>1362.6</v>
      </c>
      <c r="R61" s="7" t="n">
        <v>1294.5</v>
      </c>
      <c r="T61" s="7" t="n">
        <v>740.2</v>
      </c>
      <c r="V61" s="7" t="n">
        <v>839.5</v>
      </c>
      <c r="X61" s="7" t="n">
        <v>491.6</v>
      </c>
      <c r="Z61" s="7" t="n">
        <v>703.4</v>
      </c>
      <c r="AB61" s="7" t="n">
        <v>10234.9</v>
      </c>
    </row>
    <row r="62">
      <c r="A62" s="4" t="inlineStr">
        <is>
          <t>修理费</t>
        </is>
      </c>
      <c r="D62" s="7" t="n">
        <v>1645.2</v>
      </c>
      <c r="F62" s="7" t="n">
        <v>734.2</v>
      </c>
      <c r="H62" s="7" t="n">
        <v>1110.4</v>
      </c>
      <c r="J62" s="7" t="n">
        <v>1035.9</v>
      </c>
      <c r="L62" s="7" t="n">
        <v>3219.7</v>
      </c>
      <c r="N62" s="7" t="n">
        <v>1777.6</v>
      </c>
      <c r="P62" s="7" t="n">
        <v>1812</v>
      </c>
      <c r="R62" s="7" t="n">
        <v>1919.4</v>
      </c>
      <c r="T62" s="7" t="n">
        <v>1042.9</v>
      </c>
      <c r="V62" s="7" t="n">
        <v>2045.8</v>
      </c>
      <c r="X62" s="7" t="n">
        <v>934.3</v>
      </c>
      <c r="Z62" s="7" t="n">
        <v>1678.7</v>
      </c>
      <c r="AB62" s="7" t="n">
        <v>18956.1</v>
      </c>
    </row>
    <row r="63">
      <c r="A63" s="4" t="inlineStr">
        <is>
          <t>车辆费</t>
        </is>
      </c>
      <c r="D63" s="7" t="n">
        <v>1643.4</v>
      </c>
      <c r="F63" s="7" t="n">
        <v>687.4</v>
      </c>
      <c r="H63" s="7" t="n">
        <v>1310.4</v>
      </c>
      <c r="J63" s="7" t="n">
        <v>1346.2</v>
      </c>
      <c r="L63" s="7" t="n">
        <v>3035.5</v>
      </c>
      <c r="N63" s="7" t="n">
        <v>3184.3</v>
      </c>
      <c r="P63" s="7" t="n">
        <v>3109.1</v>
      </c>
      <c r="R63" s="7" t="n">
        <v>3435.7</v>
      </c>
      <c r="T63" s="7" t="n">
        <v>1439.2</v>
      </c>
      <c r="V63" s="7" t="n">
        <v>2527.2</v>
      </c>
      <c r="X63" s="7" t="n">
        <v>1019.1</v>
      </c>
      <c r="Z63" s="7" t="n">
        <v>1810.1</v>
      </c>
      <c r="AB63" s="7" t="n">
        <v>24547.6</v>
      </c>
    </row>
    <row r="64">
      <c r="A64" s="4" t="inlineStr">
        <is>
          <t>租赁费</t>
        </is>
      </c>
      <c r="D64" s="7" t="n">
        <v>23850.7</v>
      </c>
      <c r="F64" s="7" t="n">
        <v>15895.2</v>
      </c>
      <c r="H64" s="7" t="n">
        <v>26296.5</v>
      </c>
      <c r="J64" s="7" t="n">
        <v>28759.9</v>
      </c>
      <c r="L64" s="7" t="n">
        <v>47188.7</v>
      </c>
      <c r="N64" s="7" t="n">
        <v>39404.2</v>
      </c>
      <c r="P64" s="7" t="n">
        <v>44250.3</v>
      </c>
      <c r="R64" s="7" t="n">
        <v>33673.5</v>
      </c>
      <c r="T64" s="7" t="n">
        <v>33091</v>
      </c>
      <c r="V64" s="7" t="n">
        <v>41081.4</v>
      </c>
      <c r="X64" s="7" t="n">
        <v>15641.8</v>
      </c>
      <c r="Z64" s="7" t="n">
        <v>40749.9</v>
      </c>
      <c r="AB64" s="7" t="n">
        <v>389883.1</v>
      </c>
    </row>
    <row r="65">
      <c r="A65" s="4" t="inlineStr">
        <is>
          <t>能源费</t>
        </is>
      </c>
      <c r="D65" s="7" t="n">
        <v>7233.8</v>
      </c>
      <c r="F65" s="7" t="n">
        <v>4013.3</v>
      </c>
      <c r="H65" s="7" t="n">
        <v>6071.8</v>
      </c>
      <c r="J65" s="7" t="n">
        <v>5949.5</v>
      </c>
      <c r="L65" s="7" t="n">
        <v>15547.9</v>
      </c>
      <c r="N65" s="7" t="n">
        <v>12604</v>
      </c>
      <c r="P65" s="7" t="n">
        <v>13506.2</v>
      </c>
      <c r="R65" s="7" t="n">
        <v>13448</v>
      </c>
      <c r="T65" s="7" t="n">
        <v>8046.2</v>
      </c>
      <c r="V65" s="7" t="n">
        <v>11992.5</v>
      </c>
      <c r="X65" s="7" t="n">
        <v>4981.1</v>
      </c>
      <c r="Z65" s="7" t="n">
        <v>9549.9</v>
      </c>
      <c r="AB65" s="7" t="n">
        <v>112944.2</v>
      </c>
    </row>
    <row r="66">
      <c r="A66" s="4" t="inlineStr">
        <is>
          <t>水费</t>
        </is>
      </c>
      <c r="D66" s="7" t="n">
        <v>2788.6</v>
      </c>
      <c r="F66" s="7" t="n">
        <v>2029.6</v>
      </c>
      <c r="H66" s="7" t="n">
        <v>2334.5</v>
      </c>
      <c r="J66" s="7" t="n">
        <v>2391.3</v>
      </c>
      <c r="L66" s="7" t="n">
        <v>8761.1</v>
      </c>
      <c r="N66" s="7" t="n">
        <v>6300.9</v>
      </c>
      <c r="P66" s="7" t="n">
        <v>7000.5</v>
      </c>
      <c r="R66" s="7" t="n">
        <v>5660.5</v>
      </c>
      <c r="T66" s="7" t="n">
        <v>4459.7</v>
      </c>
      <c r="V66" s="7" t="n">
        <v>5944.1</v>
      </c>
      <c r="X66" s="7" t="n">
        <v>2271</v>
      </c>
      <c r="Z66" s="7" t="n">
        <v>5093.8</v>
      </c>
      <c r="AB66" s="7" t="n">
        <v>55035.6</v>
      </c>
    </row>
    <row r="67">
      <c r="A67" s="4" t="inlineStr">
        <is>
          <t>电费</t>
        </is>
      </c>
      <c r="D67" s="7" t="n">
        <v>16.4</v>
      </c>
      <c r="F67" s="7" t="n">
        <v>5.2</v>
      </c>
      <c r="H67" s="7" t="n">
        <v>10.8</v>
      </c>
      <c r="J67" s="7" t="n">
        <v>10.3</v>
      </c>
      <c r="L67" s="7" t="n">
        <v>25.2</v>
      </c>
      <c r="N67" s="7" t="n">
        <v>12.4</v>
      </c>
      <c r="P67" s="7" t="n">
        <v>16.6</v>
      </c>
      <c r="R67" s="7" t="n">
        <v>14.6</v>
      </c>
      <c r="T67" s="7" t="n">
        <v>11.1</v>
      </c>
      <c r="V67" s="7" t="n">
        <v>19.4</v>
      </c>
      <c r="X67" s="7" t="n">
        <v>6.3</v>
      </c>
      <c r="Z67" s="7" t="n">
        <v>16.5</v>
      </c>
      <c r="AB67" s="7" t="n">
        <v>164.8</v>
      </c>
    </row>
    <row r="68">
      <c r="A68" s="4" t="inlineStr">
        <is>
          <t>燃气费</t>
        </is>
      </c>
      <c r="D68" s="7" t="n">
        <v>2407.3</v>
      </c>
      <c r="F68" s="7" t="n">
        <v>1105.2</v>
      </c>
      <c r="H68" s="7" t="n">
        <v>2143.7</v>
      </c>
      <c r="J68" s="7" t="n">
        <v>1797.6</v>
      </c>
      <c r="L68" s="7" t="n">
        <v>3848.1</v>
      </c>
      <c r="N68" s="7" t="n">
        <v>2844.6</v>
      </c>
      <c r="P68" s="7" t="n">
        <v>3797.2</v>
      </c>
      <c r="R68" s="7" t="n">
        <v>4095.5</v>
      </c>
      <c r="T68" s="7" t="n">
        <v>1948</v>
      </c>
      <c r="V68" s="7" t="n">
        <v>3528.8</v>
      </c>
      <c r="X68" s="7" t="n">
        <v>1181</v>
      </c>
      <c r="Z68" s="7" t="n">
        <v>2801.7</v>
      </c>
      <c r="AB68" s="7" t="n">
        <v>31498.7</v>
      </c>
    </row>
    <row r="69">
      <c r="A69" s="4" t="inlineStr">
        <is>
          <t>蒸汽费</t>
        </is>
      </c>
      <c r="D69" s="7" t="n">
        <v>2021.5</v>
      </c>
      <c r="F69" s="7" t="n">
        <v>873.3</v>
      </c>
      <c r="H69" s="7" t="n">
        <v>1582.8</v>
      </c>
      <c r="J69" s="7" t="n">
        <v>1750.3</v>
      </c>
      <c r="L69" s="7" t="n">
        <v>2913.5</v>
      </c>
      <c r="N69" s="7" t="n">
        <v>3446.1</v>
      </c>
      <c r="P69" s="7" t="n">
        <v>2691.9</v>
      </c>
      <c r="R69" s="7" t="n">
        <v>3677.4</v>
      </c>
      <c r="T69" s="7" t="n">
        <v>1627.4</v>
      </c>
      <c r="V69" s="7" t="n">
        <v>2500.2</v>
      </c>
      <c r="X69" s="7" t="n">
        <v>1522.8</v>
      </c>
      <c r="Z69" s="7" t="n">
        <v>1637.9</v>
      </c>
      <c r="AB69" s="7" t="n">
        <v>26245.1</v>
      </c>
    </row>
    <row r="70">
      <c r="A70" s="4" t="inlineStr">
        <is>
          <t>物业费</t>
        </is>
      </c>
      <c r="D70" s="7" t="n">
        <v>3337.1</v>
      </c>
      <c r="F70" s="7" t="n">
        <v>1124.1</v>
      </c>
      <c r="H70" s="7" t="n">
        <v>1524.6</v>
      </c>
      <c r="J70" s="7" t="n">
        <v>2296.6</v>
      </c>
      <c r="L70" s="7" t="n">
        <v>4064.1</v>
      </c>
      <c r="N70" s="7" t="n">
        <v>2699.7</v>
      </c>
      <c r="P70" s="7" t="n">
        <v>3504.5</v>
      </c>
      <c r="R70" s="7" t="n">
        <v>4822.3</v>
      </c>
      <c r="T70" s="7" t="n">
        <v>2391</v>
      </c>
      <c r="V70" s="7" t="n">
        <v>4369.6</v>
      </c>
      <c r="X70" s="7" t="n">
        <v>1629.6</v>
      </c>
      <c r="Z70" s="7" t="n">
        <v>3475.8</v>
      </c>
      <c r="AB70" s="7" t="n">
        <v>35239</v>
      </c>
    </row>
    <row r="71">
      <c r="A71" s="4" t="inlineStr">
        <is>
          <t>劳动保护费</t>
        </is>
      </c>
      <c r="D71" s="7" t="n">
        <v>2574.1</v>
      </c>
      <c r="F71" s="7" t="n">
        <v>1916.5</v>
      </c>
      <c r="H71" s="7" t="n">
        <v>2730.5</v>
      </c>
      <c r="J71" s="7" t="n">
        <v>1992.8</v>
      </c>
      <c r="L71" s="7" t="n">
        <v>5452.8</v>
      </c>
      <c r="N71" s="7" t="n">
        <v>4945.9</v>
      </c>
      <c r="P71" s="7" t="n">
        <v>6178.6</v>
      </c>
      <c r="R71" s="7" t="n">
        <v>6385.5</v>
      </c>
      <c r="T71" s="7" t="n">
        <v>2801.7</v>
      </c>
      <c r="V71" s="7" t="n">
        <v>4362.4</v>
      </c>
      <c r="X71" s="7" t="n">
        <v>1705.1</v>
      </c>
      <c r="Z71" s="7" t="n">
        <v>2956.5</v>
      </c>
      <c r="AB71" s="7" t="n">
        <v>44002.4</v>
      </c>
    </row>
    <row r="72">
      <c r="A72" s="4" t="inlineStr">
        <is>
          <t>顾问费</t>
        </is>
      </c>
      <c r="D72" s="7" t="n">
        <v>3283</v>
      </c>
      <c r="F72" s="7" t="n">
        <v>1627.2</v>
      </c>
      <c r="H72" s="7" t="n">
        <v>2156.2</v>
      </c>
      <c r="J72" s="7" t="n">
        <v>2895</v>
      </c>
      <c r="L72" s="7" t="n">
        <v>6403.5</v>
      </c>
      <c r="N72" s="7" t="n">
        <v>4881.1</v>
      </c>
      <c r="P72" s="7" t="n">
        <v>3469.2</v>
      </c>
      <c r="R72" s="7" t="n">
        <v>4296.8</v>
      </c>
      <c r="T72" s="7" t="n">
        <v>2355.7</v>
      </c>
      <c r="V72" s="7" t="n">
        <v>3923.7</v>
      </c>
      <c r="X72" s="7" t="n">
        <v>1168.5</v>
      </c>
      <c r="Z72" s="7" t="n">
        <v>3502</v>
      </c>
      <c r="AB72" s="7" t="n">
        <v>39961.9</v>
      </c>
    </row>
    <row r="73">
      <c r="A73" s="4" t="inlineStr">
        <is>
          <t>快递费</t>
        </is>
      </c>
      <c r="D73" s="7" t="n">
        <v>4104.5</v>
      </c>
      <c r="F73" s="7" t="n">
        <v>1653.3</v>
      </c>
      <c r="H73" s="7" t="n">
        <v>2138.5</v>
      </c>
      <c r="J73" s="7" t="n">
        <v>3153.6</v>
      </c>
      <c r="L73" s="7" t="n">
        <v>8647.9</v>
      </c>
      <c r="N73" s="7" t="n">
        <v>5098</v>
      </c>
      <c r="P73" s="7" t="n">
        <v>6198.7</v>
      </c>
      <c r="R73" s="7" t="n">
        <v>4315.1</v>
      </c>
      <c r="T73" s="7" t="n">
        <v>4142.2</v>
      </c>
      <c r="V73" s="7" t="n">
        <v>3893.4</v>
      </c>
      <c r="X73" s="7" t="n">
        <v>1497.9</v>
      </c>
      <c r="Z73" s="7" t="n">
        <v>3122.7</v>
      </c>
      <c r="AB73" s="7" t="n">
        <v>47965.8</v>
      </c>
    </row>
    <row r="74">
      <c r="A74" s="4" t="inlineStr">
        <is>
          <t>诉讼费</t>
        </is>
      </c>
      <c r="D74" s="7" t="n">
        <v>2581.5</v>
      </c>
      <c r="F74" s="7" t="n">
        <v>1241.4</v>
      </c>
      <c r="H74" s="7" t="n">
        <v>1746.3</v>
      </c>
      <c r="J74" s="7" t="n">
        <v>2367.3</v>
      </c>
      <c r="L74" s="7" t="n">
        <v>6363.8</v>
      </c>
      <c r="N74" s="7" t="n">
        <v>3110.1</v>
      </c>
      <c r="P74" s="7" t="n">
        <v>5661.4</v>
      </c>
      <c r="R74" s="7" t="n">
        <v>5312.9</v>
      </c>
      <c r="T74" s="7" t="n">
        <v>2826.4</v>
      </c>
      <c r="V74" s="7" t="n">
        <v>4731.1</v>
      </c>
      <c r="X74" s="7" t="n">
        <v>2109</v>
      </c>
      <c r="Z74" s="7" t="n">
        <v>4109.6</v>
      </c>
      <c r="AB74" s="7" t="n">
        <v>42160.8</v>
      </c>
    </row>
    <row r="75">
      <c r="A75" s="4" t="inlineStr">
        <is>
          <t>会员费</t>
        </is>
      </c>
      <c r="D75" s="7" t="n">
        <v>1831.7</v>
      </c>
      <c r="F75" s="7" t="n">
        <v>886.8</v>
      </c>
      <c r="H75" s="7" t="n">
        <v>984.1</v>
      </c>
      <c r="J75" s="7" t="n">
        <v>1181.1</v>
      </c>
      <c r="L75" s="7" t="n">
        <v>2489.6</v>
      </c>
      <c r="N75" s="7" t="n">
        <v>1628.3</v>
      </c>
      <c r="P75" s="7" t="n">
        <v>2095.3</v>
      </c>
      <c r="R75" s="7" t="n">
        <v>2947.6</v>
      </c>
      <c r="T75" s="7" t="n">
        <v>1527</v>
      </c>
      <c r="V75" s="7" t="n">
        <v>1607</v>
      </c>
      <c r="X75" s="7" t="n">
        <v>756.2</v>
      </c>
      <c r="Z75" s="7" t="n">
        <v>1328.9</v>
      </c>
      <c r="AB75" s="7" t="n">
        <v>19263.6</v>
      </c>
    </row>
    <row r="76">
      <c r="A76" s="4" t="inlineStr">
        <is>
          <t>广告宣传费</t>
        </is>
      </c>
      <c r="D76" s="7" t="n">
        <v>16551</v>
      </c>
      <c r="F76" s="7" t="n">
        <v>7521.1</v>
      </c>
      <c r="H76" s="7" t="n">
        <v>14678.6</v>
      </c>
      <c r="J76" s="7" t="n">
        <v>10797.1</v>
      </c>
      <c r="L76" s="7" t="n">
        <v>37066.7</v>
      </c>
      <c r="N76" s="7" t="n">
        <v>26992.5</v>
      </c>
      <c r="P76" s="7" t="n">
        <v>33924</v>
      </c>
      <c r="R76" s="7" t="n">
        <v>26379.3</v>
      </c>
      <c r="T76" s="7" t="n">
        <v>21076.9</v>
      </c>
      <c r="V76" s="7" t="n">
        <v>23920.5</v>
      </c>
      <c r="X76" s="7" t="n">
        <v>12877.9</v>
      </c>
      <c r="Z76" s="7" t="n">
        <v>19897.9</v>
      </c>
      <c r="AB76" s="7" t="n">
        <v>251683.5</v>
      </c>
    </row>
    <row r="77">
      <c r="A77" s="4" t="inlineStr">
        <is>
          <t>会务费</t>
        </is>
      </c>
      <c r="D77" s="7" t="n">
        <v>1222.7</v>
      </c>
      <c r="F77" s="7" t="n">
        <v>676.1</v>
      </c>
      <c r="H77" s="7" t="n">
        <v>999.1</v>
      </c>
      <c r="J77" s="7" t="n">
        <v>1067.8</v>
      </c>
      <c r="L77" s="7" t="n">
        <v>1965.7</v>
      </c>
      <c r="N77" s="7" t="n">
        <v>1673.2</v>
      </c>
      <c r="P77" s="7" t="n">
        <v>1597.9</v>
      </c>
      <c r="R77" s="7" t="n">
        <v>2245.9</v>
      </c>
      <c r="T77" s="7" t="n">
        <v>1185.3</v>
      </c>
      <c r="V77" s="7" t="n">
        <v>1454.8</v>
      </c>
      <c r="X77" s="7" t="n">
        <v>773.8</v>
      </c>
      <c r="Z77" s="7" t="n">
        <v>1714.5</v>
      </c>
      <c r="AB77" s="7" t="n">
        <v>16576.8</v>
      </c>
    </row>
    <row r="78">
      <c r="A78" s="4" t="inlineStr">
        <is>
          <t>装修费</t>
        </is>
      </c>
      <c r="D78" s="7" t="n">
        <v>3655.9</v>
      </c>
      <c r="F78" s="7" t="n">
        <v>1117</v>
      </c>
      <c r="H78" s="7" t="n">
        <v>2006.7</v>
      </c>
      <c r="J78" s="7" t="n">
        <v>2741.1</v>
      </c>
      <c r="L78" s="7" t="n">
        <v>5612</v>
      </c>
      <c r="N78" s="7" t="n">
        <v>3150.3</v>
      </c>
      <c r="P78" s="7" t="n">
        <v>5046.4</v>
      </c>
      <c r="R78" s="7" t="n">
        <v>5323.5</v>
      </c>
      <c r="T78" s="7" t="n">
        <v>2300.7</v>
      </c>
      <c r="V78" s="7" t="n">
        <v>2897.1</v>
      </c>
      <c r="X78" s="7" t="n">
        <v>2009.7</v>
      </c>
      <c r="Z78" s="7" t="n">
        <v>3368.8</v>
      </c>
      <c r="AB78" s="7" t="n">
        <v>39229.2</v>
      </c>
    </row>
    <row r="79">
      <c r="A79" s="4" t="inlineStr">
        <is>
          <t>推广费</t>
        </is>
      </c>
      <c r="D79" s="7" t="n">
        <v>3385.3</v>
      </c>
      <c r="F79" s="7" t="n">
        <v>1373.9</v>
      </c>
      <c r="H79" s="7" t="n">
        <v>2676.5</v>
      </c>
      <c r="J79" s="7" t="n">
        <v>2852</v>
      </c>
      <c r="L79" s="7" t="n">
        <v>7325.3</v>
      </c>
      <c r="N79" s="7" t="n">
        <v>3279.9</v>
      </c>
      <c r="P79" s="7" t="n">
        <v>4173.7</v>
      </c>
      <c r="R79" s="7" t="n">
        <v>5946.7</v>
      </c>
      <c r="T79" s="7" t="n">
        <v>3754.2</v>
      </c>
      <c r="V79" s="7" t="n">
        <v>3586.6</v>
      </c>
      <c r="X79" s="7" t="n">
        <v>1380</v>
      </c>
      <c r="Z79" s="7" t="n">
        <v>4308.2</v>
      </c>
      <c r="AB79" s="7" t="n">
        <v>44042.3</v>
      </c>
    </row>
    <row r="80">
      <c r="A80" s="4" t="inlineStr">
        <is>
          <t>展会费</t>
        </is>
      </c>
      <c r="D80" s="7" t="n">
        <v>1543</v>
      </c>
      <c r="F80" s="7" t="n">
        <v>952</v>
      </c>
      <c r="H80" s="7" t="n">
        <v>1168.5</v>
      </c>
      <c r="J80" s="7" t="n">
        <v>1628.6</v>
      </c>
      <c r="L80" s="7" t="n">
        <v>2952.1</v>
      </c>
      <c r="N80" s="7" t="n">
        <v>2435.6</v>
      </c>
      <c r="P80" s="7" t="n">
        <v>3372.9</v>
      </c>
      <c r="R80" s="7" t="n">
        <v>3683.7</v>
      </c>
      <c r="T80" s="7" t="n">
        <v>1466.6</v>
      </c>
      <c r="V80" s="7" t="n">
        <v>2679</v>
      </c>
      <c r="X80" s="7" t="n">
        <v>1441.2</v>
      </c>
      <c r="Z80" s="7" t="n">
        <v>1762.9</v>
      </c>
      <c r="AB80" s="7" t="n">
        <v>25086.1</v>
      </c>
    </row>
    <row r="81">
      <c r="A81" s="4" t="inlineStr">
        <is>
          <t>设计费</t>
        </is>
      </c>
      <c r="D81" s="7" t="n">
        <v>3370.8</v>
      </c>
      <c r="F81" s="7" t="n">
        <v>1018.8</v>
      </c>
      <c r="H81" s="7" t="n">
        <v>1785.2</v>
      </c>
      <c r="J81" s="7" t="n">
        <v>2250.8</v>
      </c>
      <c r="L81" s="7" t="n">
        <v>5408.3</v>
      </c>
      <c r="N81" s="7" t="n">
        <v>4463.2</v>
      </c>
      <c r="P81" s="7" t="n">
        <v>3562.1</v>
      </c>
      <c r="R81" s="7" t="n">
        <v>5170.5</v>
      </c>
      <c r="T81" s="7" t="n">
        <v>2865.1</v>
      </c>
      <c r="V81" s="7" t="n">
        <v>4341.3</v>
      </c>
      <c r="X81" s="7" t="n">
        <v>2256</v>
      </c>
      <c r="Z81" s="7" t="n">
        <v>2949.9</v>
      </c>
      <c r="AB81" s="7" t="n">
        <v>39442</v>
      </c>
    </row>
    <row r="82">
      <c r="A82" s="4" t="inlineStr">
        <is>
          <t>折旧费</t>
        </is>
      </c>
      <c r="D82" s="7" t="n">
        <v>16739.2</v>
      </c>
      <c r="F82" s="7" t="n">
        <v>7378.5</v>
      </c>
      <c r="H82" s="7" t="n">
        <v>12520.7</v>
      </c>
      <c r="J82" s="7" t="n">
        <v>19782.5</v>
      </c>
      <c r="L82" s="7" t="n">
        <v>31300.2</v>
      </c>
      <c r="N82" s="7" t="n">
        <v>37825</v>
      </c>
      <c r="P82" s="7" t="n">
        <v>26405</v>
      </c>
      <c r="R82" s="7" t="n">
        <v>30855</v>
      </c>
      <c r="T82" s="7" t="n">
        <v>26154.1</v>
      </c>
      <c r="V82" s="7" t="n">
        <v>35817.2</v>
      </c>
      <c r="X82" s="7" t="n">
        <v>14137</v>
      </c>
      <c r="Z82" s="7" t="n">
        <v>18915</v>
      </c>
      <c r="AB82" s="7" t="n">
        <v>277829.4</v>
      </c>
    </row>
    <row r="83">
      <c r="A83" s="4" t="inlineStr">
        <is>
          <t>认证费</t>
        </is>
      </c>
      <c r="D83" s="7" t="n">
        <v>923.2</v>
      </c>
      <c r="F83" s="7" t="n">
        <v>247.3</v>
      </c>
      <c r="H83" s="7" t="n">
        <v>638.4</v>
      </c>
      <c r="J83" s="7" t="n">
        <v>575.1</v>
      </c>
      <c r="L83" s="7" t="n">
        <v>1262.1</v>
      </c>
      <c r="N83" s="7" t="n">
        <v>1167.6</v>
      </c>
      <c r="P83" s="7" t="n">
        <v>1318.8</v>
      </c>
      <c r="R83" s="7" t="n">
        <v>1145.8</v>
      </c>
      <c r="T83" s="7" t="n">
        <v>800.2</v>
      </c>
      <c r="V83" s="7" t="n">
        <v>1220.3</v>
      </c>
      <c r="X83" s="7" t="n">
        <v>372.6</v>
      </c>
      <c r="Z83" s="7" t="n">
        <v>869.1</v>
      </c>
      <c r="AB83" s="7" t="n">
        <v>10540.5</v>
      </c>
    </row>
    <row r="84">
      <c r="A84" s="4" t="inlineStr">
        <is>
          <t>样品费</t>
        </is>
      </c>
      <c r="D84" s="7" t="n">
        <v>13682.4</v>
      </c>
      <c r="F84" s="7" t="n">
        <v>5231.4</v>
      </c>
      <c r="H84" s="7" t="n">
        <v>7636.9</v>
      </c>
      <c r="J84" s="7" t="n">
        <v>7878.2</v>
      </c>
      <c r="L84" s="7" t="n">
        <v>17425.1</v>
      </c>
      <c r="N84" s="7" t="n">
        <v>16387.8</v>
      </c>
      <c r="P84" s="7" t="n">
        <v>14499.5</v>
      </c>
      <c r="R84" s="7" t="n">
        <v>19008.4</v>
      </c>
      <c r="T84" s="7" t="n">
        <v>11598.6</v>
      </c>
      <c r="V84" s="7" t="n">
        <v>13185.4</v>
      </c>
      <c r="X84" s="7" t="n">
        <v>6811.9</v>
      </c>
      <c r="Z84" s="7" t="n">
        <v>14645.8</v>
      </c>
      <c r="AB84" s="7" t="n">
        <v>147991.4</v>
      </c>
    </row>
    <row r="85">
      <c r="A85" s="4" t="inlineStr">
        <is>
          <t>劳务费</t>
        </is>
      </c>
      <c r="D85" s="7" t="n">
        <v>685.7</v>
      </c>
      <c r="F85" s="7" t="n">
        <v>225</v>
      </c>
      <c r="H85" s="7" t="n">
        <v>462.9</v>
      </c>
      <c r="J85" s="7" t="n">
        <v>322.4</v>
      </c>
      <c r="L85" s="7" t="n">
        <v>1003.1</v>
      </c>
      <c r="N85" s="7" t="n">
        <v>570.3</v>
      </c>
      <c r="P85" s="7" t="n">
        <v>872</v>
      </c>
      <c r="R85" s="7" t="n">
        <v>610.1</v>
      </c>
      <c r="T85" s="7" t="n">
        <v>592.5</v>
      </c>
      <c r="V85" s="7" t="n">
        <v>523.6</v>
      </c>
      <c r="X85" s="7" t="n">
        <v>284.3</v>
      </c>
      <c r="Z85" s="7" t="n">
        <v>527.8</v>
      </c>
      <c r="AB85" s="7" t="n">
        <v>6679.7</v>
      </c>
    </row>
    <row r="86">
      <c r="A86" s="4" t="inlineStr">
        <is>
          <t>销售佣金</t>
        </is>
      </c>
      <c r="D86" s="7" t="n">
        <v>1191.3</v>
      </c>
      <c r="F86" s="7" t="n">
        <v>541.8</v>
      </c>
      <c r="H86" s="7" t="n">
        <v>998.9</v>
      </c>
      <c r="J86" s="7" t="n">
        <v>1037.5</v>
      </c>
      <c r="L86" s="7" t="n">
        <v>2339</v>
      </c>
      <c r="N86" s="7" t="n">
        <v>1874.3</v>
      </c>
      <c r="P86" s="7" t="n">
        <v>1751.5</v>
      </c>
      <c r="R86" s="7" t="n">
        <v>1543.7</v>
      </c>
      <c r="T86" s="7" t="n">
        <v>1105.1</v>
      </c>
      <c r="V86" s="7" t="n">
        <v>1432.1</v>
      </c>
      <c r="X86" s="7" t="n">
        <v>679.7</v>
      </c>
      <c r="Z86" s="7" t="n">
        <v>1566.9</v>
      </c>
      <c r="AB86" s="7" t="n">
        <v>16061.8</v>
      </c>
    </row>
    <row r="87">
      <c r="A87" s="4" t="inlineStr">
        <is>
          <t>检测费</t>
        </is>
      </c>
      <c r="D87" s="7" t="n">
        <v>1665.4</v>
      </c>
      <c r="F87" s="7" t="n">
        <v>733.8</v>
      </c>
      <c r="H87" s="7" t="n">
        <v>970.8</v>
      </c>
      <c r="J87" s="7" t="n">
        <v>783.7</v>
      </c>
      <c r="L87" s="7" t="n">
        <v>2968</v>
      </c>
      <c r="N87" s="7" t="n">
        <v>2058.7</v>
      </c>
      <c r="P87" s="7" t="n">
        <v>1615.3</v>
      </c>
      <c r="R87" s="7" t="n">
        <v>1709.8</v>
      </c>
      <c r="T87" s="7" t="n">
        <v>1286.7</v>
      </c>
      <c r="V87" s="7" t="n">
        <v>2202.6</v>
      </c>
      <c r="X87" s="7" t="n">
        <v>835.4</v>
      </c>
      <c r="Z87" s="7" t="n">
        <v>1622.3</v>
      </c>
      <c r="AB87" s="7" t="n">
        <v>18452.5</v>
      </c>
    </row>
    <row r="88">
      <c r="A88" s="4" t="inlineStr">
        <is>
          <t>质量赔偿</t>
        </is>
      </c>
      <c r="D88" s="7" t="n">
        <v>2129.3</v>
      </c>
      <c r="F88" s="7" t="n">
        <v>1446.2</v>
      </c>
      <c r="H88" s="7" t="n">
        <v>2437.7</v>
      </c>
      <c r="J88" s="7" t="n">
        <v>2931.9</v>
      </c>
      <c r="L88" s="7" t="n">
        <v>7087.3</v>
      </c>
      <c r="N88" s="7" t="n">
        <v>3335.1</v>
      </c>
      <c r="P88" s="7" t="n">
        <v>3501.8</v>
      </c>
      <c r="R88" s="7" t="n">
        <v>3832.3</v>
      </c>
      <c r="T88" s="7" t="n">
        <v>2127</v>
      </c>
      <c r="V88" s="7" t="n">
        <v>3014.8</v>
      </c>
      <c r="X88" s="7" t="n">
        <v>1620.8</v>
      </c>
      <c r="Z88" s="7" t="n">
        <v>3907.4</v>
      </c>
      <c r="AB88" s="7" t="n">
        <v>37371.6</v>
      </c>
    </row>
    <row r="89">
      <c r="A89" s="4" t="inlineStr">
        <is>
          <t>保险费</t>
        </is>
      </c>
      <c r="D89" s="7" t="n">
        <v>489.6</v>
      </c>
      <c r="F89" s="7" t="n">
        <v>216.4</v>
      </c>
      <c r="H89" s="7" t="n">
        <v>250.3</v>
      </c>
      <c r="J89" s="7" t="n">
        <v>394.3</v>
      </c>
      <c r="L89" s="7" t="n">
        <v>763.2</v>
      </c>
      <c r="N89" s="7" t="n">
        <v>789</v>
      </c>
      <c r="P89" s="7" t="n">
        <v>604</v>
      </c>
      <c r="R89" s="7" t="n">
        <v>892.8</v>
      </c>
      <c r="T89" s="7" t="n">
        <v>461</v>
      </c>
      <c r="V89" s="7" t="n">
        <v>775.1</v>
      </c>
      <c r="X89" s="7" t="n">
        <v>276.5</v>
      </c>
      <c r="Z89" s="7" t="n">
        <v>476.4</v>
      </c>
      <c r="AB89" s="7" t="n">
        <v>6388.6</v>
      </c>
    </row>
    <row r="90">
      <c r="A90" s="4" t="inlineStr">
        <is>
          <t>清洁费</t>
        </is>
      </c>
      <c r="D90" s="7" t="n">
        <v>2961.3</v>
      </c>
      <c r="F90" s="7" t="n">
        <v>965.2</v>
      </c>
      <c r="H90" s="7" t="n">
        <v>1883.6</v>
      </c>
      <c r="J90" s="7" t="n">
        <v>1787.4</v>
      </c>
      <c r="L90" s="7" t="n">
        <v>4055.5</v>
      </c>
      <c r="N90" s="7" t="n">
        <v>4465.8</v>
      </c>
      <c r="P90" s="7" t="n">
        <v>4932.7</v>
      </c>
      <c r="R90" s="7" t="n">
        <v>3792.8</v>
      </c>
      <c r="T90" s="7" t="n">
        <v>2276.5</v>
      </c>
      <c r="V90" s="7" t="n">
        <v>3947.8</v>
      </c>
      <c r="X90" s="7" t="n">
        <v>1854.8</v>
      </c>
      <c r="Z90" s="7" t="n">
        <v>3597</v>
      </c>
      <c r="AB90" s="7" t="n">
        <v>36520.4</v>
      </c>
    </row>
    <row r="91">
      <c r="A91" s="4" t="inlineStr">
        <is>
          <t>低值易耗品</t>
        </is>
      </c>
      <c r="D91" s="7" t="n">
        <v>1235.6</v>
      </c>
      <c r="F91" s="7" t="n">
        <v>589.8</v>
      </c>
      <c r="H91" s="7" t="n">
        <v>1111.8</v>
      </c>
      <c r="J91" s="7" t="n">
        <v>1359.6</v>
      </c>
      <c r="L91" s="7" t="n">
        <v>2696</v>
      </c>
      <c r="N91" s="7" t="n">
        <v>2419.8</v>
      </c>
      <c r="P91" s="7" t="n">
        <v>2498.6</v>
      </c>
      <c r="R91" s="7" t="n">
        <v>1911.5</v>
      </c>
      <c r="T91" s="7" t="n">
        <v>1340.9</v>
      </c>
      <c r="V91" s="7" t="n">
        <v>2357.6</v>
      </c>
      <c r="X91" s="7" t="n">
        <v>673.2</v>
      </c>
      <c r="Z91" s="7" t="n">
        <v>2064.2</v>
      </c>
      <c r="AB91" s="7" t="n">
        <v>20258.6</v>
      </c>
    </row>
    <row r="92">
      <c r="A92" s="4" t="inlineStr">
        <is>
          <t>物料消耗</t>
        </is>
      </c>
      <c r="D92" s="7" t="n">
        <v>2741.8</v>
      </c>
      <c r="F92" s="7" t="n">
        <v>1813.5</v>
      </c>
      <c r="H92" s="7" t="n">
        <v>2199.6</v>
      </c>
      <c r="J92" s="7" t="n">
        <v>2214.4</v>
      </c>
      <c r="L92" s="7" t="n">
        <v>6789.8</v>
      </c>
      <c r="N92" s="7" t="n">
        <v>4963.3</v>
      </c>
      <c r="P92" s="7" t="n">
        <v>6043.3</v>
      </c>
      <c r="R92" s="7" t="n">
        <v>3375.7</v>
      </c>
      <c r="T92" s="7" t="n">
        <v>2875.6</v>
      </c>
      <c r="V92" s="7" t="n">
        <v>3411.7</v>
      </c>
      <c r="X92" s="7" t="n">
        <v>2002.8</v>
      </c>
      <c r="Z92" s="7" t="n">
        <v>3074</v>
      </c>
      <c r="AB92" s="7" t="n">
        <v>41505.5</v>
      </c>
    </row>
    <row r="93">
      <c r="A93" s="4" t="inlineStr">
        <is>
          <t>盘盈盘亏</t>
        </is>
      </c>
      <c r="D93" s="7" t="n">
        <v>2282.1</v>
      </c>
      <c r="F93" s="7" t="n">
        <v>1491.1</v>
      </c>
      <c r="H93" s="7" t="n">
        <v>2440.6</v>
      </c>
      <c r="J93" s="7" t="n">
        <v>1439.4</v>
      </c>
      <c r="L93" s="7" t="n">
        <v>3683.3</v>
      </c>
      <c r="N93" s="7" t="n">
        <v>3309.6</v>
      </c>
      <c r="P93" s="7" t="n">
        <v>3898.2</v>
      </c>
      <c r="R93" s="7" t="n">
        <v>3356.6</v>
      </c>
      <c r="T93" s="7" t="n">
        <v>2218.3</v>
      </c>
      <c r="V93" s="7" t="n">
        <v>3539.6</v>
      </c>
      <c r="X93" s="7" t="n">
        <v>1790.1</v>
      </c>
      <c r="Z93" s="7" t="n">
        <v>2835</v>
      </c>
      <c r="AB93" s="7" t="n">
        <v>32283.9</v>
      </c>
    </row>
    <row r="94">
      <c r="A94" s="4" t="inlineStr">
        <is>
          <t>平台服务费</t>
        </is>
      </c>
      <c r="D94" s="7" t="n">
        <v>4070.8</v>
      </c>
      <c r="F94" s="7" t="n">
        <v>1788.4</v>
      </c>
      <c r="H94" s="7" t="n">
        <v>2422.6</v>
      </c>
      <c r="J94" s="7" t="n">
        <v>2800.4</v>
      </c>
      <c r="L94" s="7" t="n">
        <v>6596.6</v>
      </c>
      <c r="N94" s="7" t="n">
        <v>3874.7</v>
      </c>
      <c r="P94" s="7" t="n">
        <v>7134.3</v>
      </c>
      <c r="R94" s="7" t="n">
        <v>4671.9</v>
      </c>
      <c r="T94" s="7" t="n">
        <v>4375.8</v>
      </c>
      <c r="V94" s="7" t="n">
        <v>4456.1</v>
      </c>
      <c r="X94" s="7" t="n">
        <v>2426.2</v>
      </c>
      <c r="Z94" s="7" t="n">
        <v>2798.6</v>
      </c>
      <c r="AB94" s="7" t="n">
        <v>47416.4</v>
      </c>
    </row>
    <row r="95">
      <c r="A95" s="4" t="inlineStr">
        <is>
          <t>无形资产摊销</t>
        </is>
      </c>
      <c r="D95" s="7" t="n">
        <v>1895.6</v>
      </c>
      <c r="F95" s="7" t="n">
        <v>1309.7</v>
      </c>
      <c r="H95" s="7" t="n">
        <v>1448.4</v>
      </c>
      <c r="J95" s="7" t="n">
        <v>2461.2</v>
      </c>
      <c r="L95" s="7" t="n">
        <v>4168</v>
      </c>
      <c r="N95" s="7" t="n">
        <v>4498.6</v>
      </c>
      <c r="P95" s="7" t="n">
        <v>3423.7</v>
      </c>
      <c r="R95" s="7" t="n">
        <v>4515.9</v>
      </c>
      <c r="T95" s="7" t="n">
        <v>2333.7</v>
      </c>
      <c r="V95" s="7" t="n">
        <v>4083.3</v>
      </c>
      <c r="X95" s="7" t="n">
        <v>1296.4</v>
      </c>
      <c r="Z95" s="7" t="n">
        <v>2531.2</v>
      </c>
      <c r="AB95" s="7" t="n">
        <v>33965.7</v>
      </c>
    </row>
    <row r="96">
      <c r="A96" s="4" t="inlineStr">
        <is>
          <t>研发材料</t>
        </is>
      </c>
      <c r="D96" s="7" t="n">
        <v>2531.6</v>
      </c>
      <c r="F96" s="7" t="n">
        <v>1010.5</v>
      </c>
      <c r="H96" s="7" t="n">
        <v>1594.1</v>
      </c>
      <c r="J96" s="7" t="n">
        <v>1592.6</v>
      </c>
      <c r="L96" s="7" t="n">
        <v>3852.3</v>
      </c>
      <c r="N96" s="7" t="n">
        <v>3929.1</v>
      </c>
      <c r="P96" s="7" t="n">
        <v>4339.6</v>
      </c>
      <c r="R96" s="7" t="n">
        <v>4545.8</v>
      </c>
      <c r="T96" s="7" t="n">
        <v>3086.4</v>
      </c>
      <c r="V96" s="7" t="n">
        <v>3606.7</v>
      </c>
      <c r="X96" s="7" t="n">
        <v>1662.2</v>
      </c>
      <c r="Z96" s="7" t="n">
        <v>2402.2</v>
      </c>
      <c r="AB96" s="7" t="n">
        <v>34153.1</v>
      </c>
    </row>
    <row r="97">
      <c r="A97" s="4" t="inlineStr">
        <is>
          <t>项目名称</t>
        </is>
      </c>
      <c r="D97" s="7" t="n">
        <v>2439.3</v>
      </c>
      <c r="F97" s="7" t="n">
        <v>831.2</v>
      </c>
      <c r="H97" s="7" t="n">
        <v>1411.1</v>
      </c>
      <c r="J97" s="7" t="n">
        <v>1651.1</v>
      </c>
      <c r="L97" s="7" t="n">
        <v>3808.3</v>
      </c>
      <c r="N97" s="7" t="n">
        <v>2592.1</v>
      </c>
      <c r="P97" s="7" t="n">
        <v>4396.4</v>
      </c>
      <c r="R97" s="7" t="n">
        <v>4073.9</v>
      </c>
      <c r="T97" s="7" t="n">
        <v>2498.7</v>
      </c>
      <c r="V97" s="7" t="n">
        <v>3745.3</v>
      </c>
      <c r="X97" s="7" t="n">
        <v>1635.8</v>
      </c>
      <c r="Z97" s="7" t="n">
        <v>2619.2</v>
      </c>
      <c r="AB97" s="7" t="n">
        <v>31702.4</v>
      </c>
    </row>
    <row r="98">
      <c r="A98" s="4" t="inlineStr">
        <is>
          <t>研发费</t>
        </is>
      </c>
      <c r="D98" s="7" t="n">
        <v>2223</v>
      </c>
      <c r="F98" s="7" t="n">
        <v>774.5</v>
      </c>
      <c r="H98" s="7" t="n">
        <v>1350.5</v>
      </c>
      <c r="J98" s="7" t="n">
        <v>1455.7</v>
      </c>
      <c r="L98" s="7" t="n">
        <v>3627.2</v>
      </c>
      <c r="N98" s="7" t="n">
        <v>2493.2</v>
      </c>
      <c r="P98" s="7" t="n">
        <v>3138.9</v>
      </c>
      <c r="R98" s="7" t="n">
        <v>3482.5</v>
      </c>
      <c r="T98" s="7" t="n">
        <v>2315.8</v>
      </c>
      <c r="V98" s="7" t="n">
        <v>1767.5</v>
      </c>
      <c r="X98" s="7" t="n">
        <v>902.4</v>
      </c>
      <c r="Z98" s="7" t="n">
        <v>2490</v>
      </c>
      <c r="AB98" s="7" t="n">
        <v>26021.2</v>
      </c>
    </row>
    <row r="99">
      <c r="A99" s="4" t="inlineStr">
        <is>
          <t>残保金</t>
        </is>
      </c>
      <c r="D99" s="7" t="n">
        <v>2728.2</v>
      </c>
      <c r="F99" s="7" t="n">
        <v>1303.8</v>
      </c>
      <c r="H99" s="7" t="n">
        <v>3335</v>
      </c>
      <c r="J99" s="7" t="n">
        <v>2257.9</v>
      </c>
      <c r="L99" s="7" t="n">
        <v>5562.7</v>
      </c>
      <c r="N99" s="7" t="n">
        <v>5519.2</v>
      </c>
      <c r="P99" s="7" t="n">
        <v>7540.8</v>
      </c>
      <c r="R99" s="7" t="n">
        <v>4779.8</v>
      </c>
      <c r="T99" s="7" t="n">
        <v>3430.8</v>
      </c>
      <c r="V99" s="7" t="n">
        <v>4860.1</v>
      </c>
      <c r="X99" s="7" t="n">
        <v>2465.5</v>
      </c>
      <c r="Z99" s="7" t="n">
        <v>3541</v>
      </c>
      <c r="AB99" s="7" t="n">
        <v>47324.8</v>
      </c>
    </row>
    <row r="100">
      <c r="A100" s="4" t="inlineStr">
        <is>
          <t>环保费</t>
        </is>
      </c>
      <c r="D100" s="7" t="n">
        <v>1392</v>
      </c>
      <c r="F100" s="7" t="n">
        <v>374.6</v>
      </c>
      <c r="H100" s="7" t="n">
        <v>922.3</v>
      </c>
      <c r="J100" s="7" t="n">
        <v>794.6</v>
      </c>
      <c r="L100" s="7" t="n">
        <v>1429.6</v>
      </c>
      <c r="N100" s="7" t="n">
        <v>1591.1</v>
      </c>
      <c r="P100" s="7" t="n">
        <v>1415.9</v>
      </c>
      <c r="R100" s="7" t="n">
        <v>1478.5</v>
      </c>
      <c r="T100" s="7" t="n">
        <v>1238</v>
      </c>
      <c r="V100" s="7" t="n">
        <v>1097</v>
      </c>
      <c r="X100" s="7" t="n">
        <v>459.4</v>
      </c>
      <c r="Z100" s="7" t="n">
        <v>1040.5</v>
      </c>
      <c r="AB100" s="7" t="n">
        <v>13233.5</v>
      </c>
    </row>
    <row r="101">
      <c r="A101" s="4" t="inlineStr">
        <is>
          <t>报废损失</t>
        </is>
      </c>
      <c r="D101" s="7" t="n">
        <v>209.2</v>
      </c>
      <c r="F101" s="7" t="n">
        <v>123.2</v>
      </c>
      <c r="H101" s="7" t="n">
        <v>236.3</v>
      </c>
      <c r="J101" s="7" t="n">
        <v>182.5</v>
      </c>
      <c r="L101" s="7" t="n">
        <v>521.2</v>
      </c>
      <c r="N101" s="7" t="n">
        <v>309.8</v>
      </c>
      <c r="P101" s="7" t="n">
        <v>401</v>
      </c>
      <c r="R101" s="7" t="n">
        <v>396</v>
      </c>
      <c r="T101" s="7" t="n">
        <v>316.8</v>
      </c>
      <c r="V101" s="7" t="n">
        <v>369.7</v>
      </c>
      <c r="X101" s="7" t="n">
        <v>180.3</v>
      </c>
      <c r="Z101" s="7" t="n">
        <v>277</v>
      </c>
      <c r="AB101" s="7" t="n">
        <v>3523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215597.1</v>
      </c>
      <c r="D102" s="7" t="n">
        <v>90035.8</v>
      </c>
      <c r="E102" s="7" t="n">
        <v>182688.7</v>
      </c>
      <c r="F102" s="7" t="n">
        <v>172066.3</v>
      </c>
      <c r="G102" s="7" t="n">
        <v>195875.4</v>
      </c>
      <c r="H102" s="7" t="n">
        <v>265951</v>
      </c>
      <c r="I102" s="7" t="n">
        <v>189307.4</v>
      </c>
      <c r="J102" s="7" t="n">
        <v>226209.2</v>
      </c>
      <c r="K102" s="7" t="n">
        <v>209163.4</v>
      </c>
      <c r="L102" s="7" t="n">
        <v>244604.8</v>
      </c>
      <c r="M102" s="7" t="n">
        <v>213979.3</v>
      </c>
      <c r="N102" s="7" t="n">
        <v>173243.9</v>
      </c>
      <c r="O102" s="7" t="n">
        <v>202348</v>
      </c>
      <c r="P102" s="7" t="n">
        <v>238174.7</v>
      </c>
      <c r="Q102" s="7" t="n">
        <v>210967</v>
      </c>
      <c r="R102" s="7" t="n">
        <v>180205.7</v>
      </c>
      <c r="S102" s="7" t="n">
        <v>185232.4</v>
      </c>
      <c r="T102" s="7" t="n">
        <v>187736.4</v>
      </c>
      <c r="U102" s="7" t="n">
        <v>194280.4</v>
      </c>
      <c r="V102" s="7" t="n">
        <v>140787.8</v>
      </c>
      <c r="W102" s="7" t="n">
        <v>188620.9</v>
      </c>
      <c r="X102" s="7" t="n">
        <v>243023.3</v>
      </c>
      <c r="Y102" s="7" t="n">
        <v>190950.3</v>
      </c>
      <c r="Z102" s="7" t="n">
        <v>174670.3</v>
      </c>
      <c r="AA102" s="8" t="n">
        <v>2379010.3</v>
      </c>
      <c r="AB102" s="8" t="n">
        <v>2336709.2</v>
      </c>
    </row>
    <row r="103">
      <c r="A103" s="4" t="inlineStr">
        <is>
          <t>职工薪酬</t>
        </is>
      </c>
      <c r="D103" s="7" t="n">
        <v>48550.9</v>
      </c>
      <c r="F103" s="7" t="n">
        <v>100542.2</v>
      </c>
      <c r="H103" s="7" t="n">
        <v>119100.9</v>
      </c>
      <c r="J103" s="7" t="n">
        <v>135558.8</v>
      </c>
      <c r="L103" s="7" t="n">
        <v>94910.60000000001</v>
      </c>
      <c r="N103" s="7" t="n">
        <v>76520.60000000001</v>
      </c>
      <c r="P103" s="7" t="n">
        <v>120094.1</v>
      </c>
      <c r="R103" s="7" t="n">
        <v>92574.8</v>
      </c>
      <c r="T103" s="7" t="n">
        <v>106888.7</v>
      </c>
      <c r="V103" s="7" t="n">
        <v>64095.9</v>
      </c>
      <c r="X103" s="7" t="n">
        <v>113279.4</v>
      </c>
      <c r="Z103" s="7" t="n">
        <v>78795.39999999999</v>
      </c>
      <c r="AB103" s="7" t="n">
        <v>1150912.3</v>
      </c>
    </row>
    <row r="104">
      <c r="A104" s="4" t="inlineStr">
        <is>
          <t>工资</t>
        </is>
      </c>
      <c r="D104" s="7" t="n">
        <v>25237.6</v>
      </c>
      <c r="F104" s="7" t="n">
        <v>63529.8</v>
      </c>
      <c r="H104" s="7" t="n">
        <v>60080.6</v>
      </c>
      <c r="J104" s="7" t="n">
        <v>82978.60000000001</v>
      </c>
      <c r="L104" s="7" t="n">
        <v>52567.7</v>
      </c>
      <c r="N104" s="7" t="n">
        <v>41183.3</v>
      </c>
      <c r="P104" s="7" t="n">
        <v>69550.2</v>
      </c>
      <c r="R104" s="7" t="n">
        <v>48235.3</v>
      </c>
      <c r="T104" s="7" t="n">
        <v>64605.5</v>
      </c>
      <c r="V104" s="7" t="n">
        <v>32098.2</v>
      </c>
      <c r="X104" s="7" t="n">
        <v>58712.4</v>
      </c>
      <c r="Z104" s="7" t="n">
        <v>43553.8</v>
      </c>
      <c r="AB104" s="7" t="n">
        <v>642333</v>
      </c>
    </row>
    <row r="105">
      <c r="A105" s="4" t="inlineStr">
        <is>
          <t>奖金及提成</t>
        </is>
      </c>
      <c r="D105" s="7" t="n">
        <v>11150.9</v>
      </c>
      <c r="F105" s="7" t="n">
        <v>15717.9</v>
      </c>
      <c r="H105" s="7" t="n">
        <v>31659.8</v>
      </c>
      <c r="J105" s="7" t="n">
        <v>22744.1</v>
      </c>
      <c r="L105" s="7" t="n">
        <v>19814</v>
      </c>
      <c r="N105" s="7" t="n">
        <v>18073.2</v>
      </c>
      <c r="P105" s="7" t="n">
        <v>23608.6</v>
      </c>
      <c r="R105" s="7" t="n">
        <v>21777.1</v>
      </c>
      <c r="T105" s="7" t="n">
        <v>17922.9</v>
      </c>
      <c r="V105" s="7" t="n">
        <v>14597.2</v>
      </c>
      <c r="X105" s="7" t="n">
        <v>30170.1</v>
      </c>
      <c r="Z105" s="7" t="n">
        <v>18737</v>
      </c>
      <c r="AB105" s="7" t="n">
        <v>245972.8</v>
      </c>
    </row>
    <row r="106">
      <c r="A106" s="4" t="inlineStr">
        <is>
          <t>社保</t>
        </is>
      </c>
      <c r="D106" s="7" t="n">
        <v>9294.200000000001</v>
      </c>
      <c r="F106" s="7" t="n">
        <v>16502.3</v>
      </c>
      <c r="H106" s="7" t="n">
        <v>18600.4</v>
      </c>
      <c r="J106" s="7" t="n">
        <v>23125.4</v>
      </c>
      <c r="L106" s="7" t="n">
        <v>15057.8</v>
      </c>
      <c r="N106" s="7" t="n">
        <v>12229.7</v>
      </c>
      <c r="P106" s="7" t="n">
        <v>19677.4</v>
      </c>
      <c r="R106" s="7" t="n">
        <v>16957.9</v>
      </c>
      <c r="T106" s="7" t="n">
        <v>19390.7</v>
      </c>
      <c r="V106" s="7" t="n">
        <v>13156.9</v>
      </c>
      <c r="X106" s="7" t="n">
        <v>17605.9</v>
      </c>
      <c r="Z106" s="7" t="n">
        <v>11772.2</v>
      </c>
      <c r="AB106" s="7" t="n">
        <v>193370.8</v>
      </c>
    </row>
    <row r="107">
      <c r="A107" s="4" t="inlineStr">
        <is>
          <t>养老</t>
        </is>
      </c>
      <c r="D107" s="7" t="n">
        <v>635.6</v>
      </c>
      <c r="F107" s="7" t="n">
        <v>1111.8</v>
      </c>
      <c r="H107" s="7" t="n">
        <v>1530.6</v>
      </c>
      <c r="J107" s="7" t="n">
        <v>1208.8</v>
      </c>
      <c r="L107" s="7" t="n">
        <v>1144.8</v>
      </c>
      <c r="N107" s="7" t="n">
        <v>1065.6</v>
      </c>
      <c r="P107" s="7" t="n">
        <v>1440.2</v>
      </c>
      <c r="R107" s="7" t="n">
        <v>789.7</v>
      </c>
      <c r="T107" s="7" t="n">
        <v>808.8</v>
      </c>
      <c r="V107" s="7" t="n">
        <v>734.7</v>
      </c>
      <c r="X107" s="7" t="n">
        <v>1532.7</v>
      </c>
      <c r="Z107" s="7" t="n">
        <v>702.5</v>
      </c>
      <c r="AB107" s="7" t="n">
        <v>12705.8</v>
      </c>
    </row>
    <row r="108">
      <c r="A108" s="4" t="inlineStr">
        <is>
          <t>医疗</t>
        </is>
      </c>
      <c r="D108" s="7" t="n">
        <v>487.6</v>
      </c>
      <c r="F108" s="7" t="n">
        <v>1202.3</v>
      </c>
      <c r="H108" s="7" t="n">
        <v>1503.5</v>
      </c>
      <c r="J108" s="7" t="n">
        <v>901.2</v>
      </c>
      <c r="L108" s="7" t="n">
        <v>1152.2</v>
      </c>
      <c r="N108" s="7" t="n">
        <v>975.6</v>
      </c>
      <c r="P108" s="7" t="n">
        <v>1619.3</v>
      </c>
      <c r="R108" s="7" t="n">
        <v>1096.8</v>
      </c>
      <c r="T108" s="7" t="n">
        <v>983.8</v>
      </c>
      <c r="V108" s="7" t="n">
        <v>647.6</v>
      </c>
      <c r="X108" s="7" t="n">
        <v>1552</v>
      </c>
      <c r="Z108" s="7" t="n">
        <v>886.9</v>
      </c>
      <c r="AB108" s="7" t="n">
        <v>13008.8</v>
      </c>
    </row>
    <row r="109">
      <c r="A109" s="4" t="inlineStr">
        <is>
          <t>工伤</t>
        </is>
      </c>
      <c r="D109" s="7" t="n">
        <v>368.4</v>
      </c>
      <c r="F109" s="7" t="n">
        <v>853.7</v>
      </c>
      <c r="H109" s="7" t="n">
        <v>993</v>
      </c>
      <c r="J109" s="7" t="n">
        <v>953.1</v>
      </c>
      <c r="L109" s="7" t="n">
        <v>1136.2</v>
      </c>
      <c r="N109" s="7" t="n">
        <v>829.8</v>
      </c>
      <c r="P109" s="7" t="n">
        <v>1021.6</v>
      </c>
      <c r="R109" s="7" t="n">
        <v>846.5</v>
      </c>
      <c r="T109" s="7" t="n">
        <v>798.6</v>
      </c>
      <c r="V109" s="7" t="n">
        <v>637.9</v>
      </c>
      <c r="X109" s="7" t="n">
        <v>1093.4</v>
      </c>
      <c r="Z109" s="7" t="n">
        <v>757</v>
      </c>
      <c r="AB109" s="7" t="n">
        <v>10289.2</v>
      </c>
    </row>
    <row r="110">
      <c r="A110" s="4" t="inlineStr">
        <is>
          <t>失业</t>
        </is>
      </c>
      <c r="D110" s="7" t="n">
        <v>544.8</v>
      </c>
      <c r="F110" s="7" t="n">
        <v>647.3</v>
      </c>
      <c r="H110" s="7" t="n">
        <v>1345</v>
      </c>
      <c r="J110" s="7" t="n">
        <v>888.6</v>
      </c>
      <c r="L110" s="7" t="n">
        <v>1428.4</v>
      </c>
      <c r="N110" s="7" t="n">
        <v>905.7</v>
      </c>
      <c r="P110" s="7" t="n">
        <v>1286.2</v>
      </c>
      <c r="R110" s="7" t="n">
        <v>936.5</v>
      </c>
      <c r="T110" s="7" t="n">
        <v>738.5</v>
      </c>
      <c r="V110" s="7" t="n">
        <v>730.2</v>
      </c>
      <c r="X110" s="7" t="n">
        <v>1063.2</v>
      </c>
      <c r="Z110" s="7" t="n">
        <v>1014.2</v>
      </c>
      <c r="AB110" s="7" t="n">
        <v>11528.6</v>
      </c>
    </row>
    <row r="111">
      <c r="A111" s="4" t="inlineStr">
        <is>
          <t>生育</t>
        </is>
      </c>
      <c r="D111" s="7" t="n">
        <v>545.7</v>
      </c>
      <c r="F111" s="7" t="n">
        <v>1176.8</v>
      </c>
      <c r="H111" s="7" t="n">
        <v>1878.8</v>
      </c>
      <c r="J111" s="7" t="n">
        <v>1674.2</v>
      </c>
      <c r="L111" s="7" t="n">
        <v>1756.8</v>
      </c>
      <c r="N111" s="7" t="n">
        <v>771.2</v>
      </c>
      <c r="P111" s="7" t="n">
        <v>1667.9</v>
      </c>
      <c r="R111" s="7" t="n">
        <v>1241.7</v>
      </c>
      <c r="T111" s="7" t="n">
        <v>910.8</v>
      </c>
      <c r="V111" s="7" t="n">
        <v>957.1</v>
      </c>
      <c r="X111" s="7" t="n">
        <v>1648.5</v>
      </c>
      <c r="Z111" s="7" t="n">
        <v>973.6</v>
      </c>
      <c r="AB111" s="7" t="n">
        <v>15203.1</v>
      </c>
    </row>
    <row r="112">
      <c r="A112" s="4" t="inlineStr">
        <is>
          <t>公积金</t>
        </is>
      </c>
      <c r="D112" s="7" t="n">
        <v>425</v>
      </c>
      <c r="F112" s="7" t="n">
        <v>466.3</v>
      </c>
      <c r="H112" s="7" t="n">
        <v>1055.6</v>
      </c>
      <c r="J112" s="7" t="n">
        <v>597.1</v>
      </c>
      <c r="L112" s="7" t="n">
        <v>935.9</v>
      </c>
      <c r="N112" s="7" t="n">
        <v>508</v>
      </c>
      <c r="P112" s="7" t="n">
        <v>954.8</v>
      </c>
      <c r="R112" s="7" t="n">
        <v>649.2</v>
      </c>
      <c r="T112" s="7" t="n">
        <v>659.9</v>
      </c>
      <c r="V112" s="7" t="n">
        <v>642.9</v>
      </c>
      <c r="X112" s="7" t="n">
        <v>975.2</v>
      </c>
      <c r="Z112" s="7" t="n">
        <v>519.5</v>
      </c>
      <c r="AB112" s="7" t="n">
        <v>8389.4</v>
      </c>
    </row>
    <row r="113">
      <c r="A113" s="4" t="inlineStr">
        <is>
          <t>工会经费</t>
        </is>
      </c>
      <c r="D113" s="7" t="n">
        <v>132.2</v>
      </c>
      <c r="F113" s="7" t="n">
        <v>315.9</v>
      </c>
      <c r="H113" s="7" t="n">
        <v>315.1</v>
      </c>
      <c r="J113" s="7" t="n">
        <v>340.8</v>
      </c>
      <c r="L113" s="7" t="n">
        <v>310.1</v>
      </c>
      <c r="N113" s="7" t="n">
        <v>269.2</v>
      </c>
      <c r="P113" s="7" t="n">
        <v>419.7</v>
      </c>
      <c r="R113" s="7" t="n">
        <v>278.1</v>
      </c>
      <c r="T113" s="7" t="n">
        <v>329.3</v>
      </c>
      <c r="V113" s="7" t="n">
        <v>201.7</v>
      </c>
      <c r="X113" s="7" t="n">
        <v>376.5</v>
      </c>
      <c r="Z113" s="7" t="n">
        <v>256.4</v>
      </c>
      <c r="AB113" s="7" t="n">
        <v>3545</v>
      </c>
    </row>
    <row r="114">
      <c r="A114" s="4" t="inlineStr">
        <is>
          <t>职工教育经费</t>
        </is>
      </c>
      <c r="D114" s="7" t="n">
        <v>12.3</v>
      </c>
      <c r="F114" s="7" t="n">
        <v>17.2</v>
      </c>
      <c r="H114" s="7" t="n">
        <v>21.4</v>
      </c>
      <c r="J114" s="7" t="n">
        <v>23.5</v>
      </c>
      <c r="L114" s="7" t="n">
        <v>26.5</v>
      </c>
      <c r="N114" s="7" t="n">
        <v>21.8</v>
      </c>
      <c r="P114" s="7" t="n">
        <v>35.2</v>
      </c>
      <c r="R114" s="7" t="n">
        <v>25.7</v>
      </c>
      <c r="T114" s="7" t="n">
        <v>22.4</v>
      </c>
      <c r="V114" s="7" t="n">
        <v>15.5</v>
      </c>
      <c r="X114" s="7" t="n">
        <v>20</v>
      </c>
      <c r="Z114" s="7" t="n">
        <v>23.7</v>
      </c>
      <c r="AB114" s="7" t="n">
        <v>265.2</v>
      </c>
    </row>
    <row r="115">
      <c r="A115" s="4" t="inlineStr">
        <is>
          <t>福利费</t>
        </is>
      </c>
      <c r="D115" s="7" t="n">
        <v>2298.7</v>
      </c>
      <c r="F115" s="7" t="n">
        <v>3992.8</v>
      </c>
      <c r="H115" s="7" t="n">
        <v>7368</v>
      </c>
      <c r="J115" s="7" t="n">
        <v>5749.3</v>
      </c>
      <c r="L115" s="7" t="n">
        <v>6198.6</v>
      </c>
      <c r="N115" s="7" t="n">
        <v>4235.4</v>
      </c>
      <c r="P115" s="7" t="n">
        <v>5848.2</v>
      </c>
      <c r="R115" s="7" t="n">
        <v>4651.5</v>
      </c>
      <c r="T115" s="7" t="n">
        <v>3958</v>
      </c>
      <c r="V115" s="7" t="n">
        <v>3383.5</v>
      </c>
      <c r="X115" s="7" t="n">
        <v>5419.3</v>
      </c>
      <c r="Z115" s="7" t="n">
        <v>3932.8</v>
      </c>
      <c r="AB115" s="7" t="n">
        <v>57036.1</v>
      </c>
    </row>
    <row r="116">
      <c r="A116" s="4" t="inlineStr">
        <is>
          <t>职工房租</t>
        </is>
      </c>
      <c r="D116" s="7" t="n">
        <v>132.6</v>
      </c>
      <c r="F116" s="7" t="n">
        <v>289.7</v>
      </c>
      <c r="H116" s="7" t="n">
        <v>286.7</v>
      </c>
      <c r="J116" s="7" t="n">
        <v>385.1</v>
      </c>
      <c r="L116" s="7" t="n">
        <v>427.2</v>
      </c>
      <c r="N116" s="7" t="n">
        <v>285.4</v>
      </c>
      <c r="P116" s="7" t="n">
        <v>400.7</v>
      </c>
      <c r="R116" s="7" t="n">
        <v>227.4</v>
      </c>
      <c r="T116" s="7" t="n">
        <v>240.6</v>
      </c>
      <c r="V116" s="7" t="n">
        <v>250.9</v>
      </c>
      <c r="X116" s="7" t="n">
        <v>266.6</v>
      </c>
      <c r="Z116" s="7" t="n">
        <v>299.2</v>
      </c>
      <c r="AB116" s="7" t="n">
        <v>3492.1</v>
      </c>
    </row>
    <row r="117">
      <c r="A117" s="4" t="inlineStr">
        <is>
          <t>水电物业费</t>
        </is>
      </c>
      <c r="D117" s="7" t="n">
        <v>431</v>
      </c>
      <c r="F117" s="7" t="n">
        <v>692.2</v>
      </c>
      <c r="H117" s="7" t="n">
        <v>1426.7</v>
      </c>
      <c r="J117" s="7" t="n">
        <v>1341.8</v>
      </c>
      <c r="L117" s="7" t="n">
        <v>1508.2</v>
      </c>
      <c r="N117" s="7" t="n">
        <v>762.1</v>
      </c>
      <c r="P117" s="7" t="n">
        <v>1504.5</v>
      </c>
      <c r="R117" s="7" t="n">
        <v>1113.8</v>
      </c>
      <c r="T117" s="7" t="n">
        <v>1147.7</v>
      </c>
      <c r="V117" s="7" t="n">
        <v>573</v>
      </c>
      <c r="X117" s="7" t="n">
        <v>1426.1</v>
      </c>
      <c r="Z117" s="7" t="n">
        <v>623.7</v>
      </c>
      <c r="AB117" s="7" t="n">
        <v>12550.8</v>
      </c>
    </row>
    <row r="118">
      <c r="A118" s="4" t="inlineStr">
        <is>
          <t>员工餐</t>
        </is>
      </c>
      <c r="D118" s="7" t="n">
        <v>397.5</v>
      </c>
      <c r="F118" s="7" t="n">
        <v>798.8</v>
      </c>
      <c r="H118" s="7" t="n">
        <v>1449.1</v>
      </c>
      <c r="J118" s="7" t="n">
        <v>924.7</v>
      </c>
      <c r="L118" s="7" t="n">
        <v>1391.3</v>
      </c>
      <c r="N118" s="7" t="n">
        <v>584.1</v>
      </c>
      <c r="P118" s="7" t="n">
        <v>1343</v>
      </c>
      <c r="R118" s="7" t="n">
        <v>735.6</v>
      </c>
      <c r="T118" s="7" t="n">
        <v>675.1</v>
      </c>
      <c r="V118" s="7" t="n">
        <v>461.5</v>
      </c>
      <c r="X118" s="7" t="n">
        <v>868.3</v>
      </c>
      <c r="Z118" s="7" t="n">
        <v>816.1</v>
      </c>
      <c r="AB118" s="7" t="n">
        <v>10445.1</v>
      </c>
    </row>
    <row r="119">
      <c r="A119" s="4" t="inlineStr">
        <is>
          <t>节日礼品</t>
        </is>
      </c>
      <c r="D119" s="7" t="n">
        <v>580.6</v>
      </c>
      <c r="F119" s="7" t="n">
        <v>664.7</v>
      </c>
      <c r="H119" s="7" t="n">
        <v>1820</v>
      </c>
      <c r="J119" s="7" t="n">
        <v>1130.1</v>
      </c>
      <c r="L119" s="7" t="n">
        <v>969</v>
      </c>
      <c r="N119" s="7" t="n">
        <v>1018.8</v>
      </c>
      <c r="P119" s="7" t="n">
        <v>962.2</v>
      </c>
      <c r="R119" s="7" t="n">
        <v>1049</v>
      </c>
      <c r="T119" s="7" t="n">
        <v>754.2</v>
      </c>
      <c r="V119" s="7" t="n">
        <v>868.8</v>
      </c>
      <c r="X119" s="7" t="n">
        <v>961.5</v>
      </c>
      <c r="Z119" s="7" t="n">
        <v>891.1</v>
      </c>
      <c r="AB119" s="7" t="n">
        <v>11670</v>
      </c>
    </row>
    <row r="120">
      <c r="A120" s="4" t="inlineStr">
        <is>
          <t>生日礼品</t>
        </is>
      </c>
      <c r="D120" s="7" t="n">
        <v>112.7</v>
      </c>
      <c r="F120" s="7" t="n">
        <v>163.4</v>
      </c>
      <c r="H120" s="7" t="n">
        <v>324.3</v>
      </c>
      <c r="J120" s="7" t="n">
        <v>253.9</v>
      </c>
      <c r="L120" s="7" t="n">
        <v>269.1</v>
      </c>
      <c r="N120" s="7" t="n">
        <v>158.3</v>
      </c>
      <c r="P120" s="7" t="n">
        <v>314.9</v>
      </c>
      <c r="R120" s="7" t="n">
        <v>174.3</v>
      </c>
      <c r="T120" s="7" t="n">
        <v>189.3</v>
      </c>
      <c r="V120" s="7" t="n">
        <v>116.2</v>
      </c>
      <c r="X120" s="7" t="n">
        <v>281.6</v>
      </c>
      <c r="Z120" s="7" t="n">
        <v>196</v>
      </c>
      <c r="AB120" s="7" t="n">
        <v>2554</v>
      </c>
    </row>
    <row r="121">
      <c r="A121" s="4" t="inlineStr">
        <is>
          <t>体检</t>
        </is>
      </c>
      <c r="D121" s="7" t="n">
        <v>132.5</v>
      </c>
      <c r="F121" s="7" t="n">
        <v>358.5</v>
      </c>
      <c r="H121" s="7" t="n">
        <v>475.9</v>
      </c>
      <c r="J121" s="7" t="n">
        <v>327.3</v>
      </c>
      <c r="L121" s="7" t="n">
        <v>425.3</v>
      </c>
      <c r="N121" s="7" t="n">
        <v>389.4</v>
      </c>
      <c r="P121" s="7" t="n">
        <v>484.9</v>
      </c>
      <c r="R121" s="7" t="n">
        <v>351.9</v>
      </c>
      <c r="T121" s="7" t="n">
        <v>314.2</v>
      </c>
      <c r="V121" s="7" t="n">
        <v>268.5</v>
      </c>
      <c r="X121" s="7" t="n">
        <v>338.8</v>
      </c>
      <c r="Z121" s="7" t="n">
        <v>394.5</v>
      </c>
      <c r="AB121" s="7" t="n">
        <v>4261.7</v>
      </c>
    </row>
    <row r="122">
      <c r="A122" s="4" t="inlineStr">
        <is>
          <t>其他福利支出</t>
        </is>
      </c>
      <c r="D122" s="7" t="n">
        <v>511.8</v>
      </c>
      <c r="F122" s="7" t="n">
        <v>1025.5</v>
      </c>
      <c r="H122" s="7" t="n">
        <v>1585.3</v>
      </c>
      <c r="J122" s="7" t="n">
        <v>1386.4</v>
      </c>
      <c r="L122" s="7" t="n">
        <v>1208.5</v>
      </c>
      <c r="N122" s="7" t="n">
        <v>1037.3</v>
      </c>
      <c r="P122" s="7" t="n">
        <v>838</v>
      </c>
      <c r="R122" s="7" t="n">
        <v>999.5</v>
      </c>
      <c r="T122" s="7" t="n">
        <v>636.9</v>
      </c>
      <c r="V122" s="7" t="n">
        <v>844.6</v>
      </c>
      <c r="X122" s="7" t="n">
        <v>1276.4</v>
      </c>
      <c r="Z122" s="7" t="n">
        <v>712.2</v>
      </c>
      <c r="AB122" s="7" t="n">
        <v>12062.4</v>
      </c>
    </row>
    <row r="123">
      <c r="A123" s="4" t="inlineStr">
        <is>
          <t>招聘费</t>
        </is>
      </c>
      <c r="D123" s="7" t="n">
        <v>469.2</v>
      </c>
      <c r="F123" s="7" t="n">
        <v>1064.5</v>
      </c>
      <c r="H123" s="7" t="n">
        <v>1275</v>
      </c>
      <c r="J123" s="7" t="n">
        <v>1122.1</v>
      </c>
      <c r="L123" s="7" t="n">
        <v>1959.1</v>
      </c>
      <c r="N123" s="7" t="n">
        <v>1008.3</v>
      </c>
      <c r="P123" s="7" t="n">
        <v>1906.9</v>
      </c>
      <c r="R123" s="7" t="n">
        <v>942</v>
      </c>
      <c r="T123" s="7" t="n">
        <v>1492.5</v>
      </c>
      <c r="V123" s="7" t="n">
        <v>842.7</v>
      </c>
      <c r="X123" s="7" t="n">
        <v>1515.8</v>
      </c>
      <c r="Z123" s="7" t="n">
        <v>1396.2</v>
      </c>
      <c r="AB123" s="7" t="n">
        <v>14994.3</v>
      </c>
    </row>
    <row r="124">
      <c r="A124" s="4" t="inlineStr">
        <is>
          <t>办公费</t>
        </is>
      </c>
      <c r="D124" s="7" t="n">
        <v>2643.1</v>
      </c>
      <c r="F124" s="7" t="n">
        <v>4248.1</v>
      </c>
      <c r="H124" s="7" t="n">
        <v>10353.5</v>
      </c>
      <c r="J124" s="7" t="n">
        <v>8446.1</v>
      </c>
      <c r="L124" s="7" t="n">
        <v>8122</v>
      </c>
      <c r="N124" s="7" t="n">
        <v>3883.2</v>
      </c>
      <c r="P124" s="7" t="n">
        <v>5702.1</v>
      </c>
      <c r="R124" s="7" t="n">
        <v>5016.4</v>
      </c>
      <c r="T124" s="7" t="n">
        <v>4682.1</v>
      </c>
      <c r="V124" s="7" t="n">
        <v>4025.7</v>
      </c>
      <c r="X124" s="7" t="n">
        <v>8713.1</v>
      </c>
      <c r="Z124" s="7" t="n">
        <v>6747.8</v>
      </c>
      <c r="AB124" s="7" t="n">
        <v>72583.2</v>
      </c>
    </row>
    <row r="125">
      <c r="A125" s="4" t="inlineStr">
        <is>
          <t>市内交通费</t>
        </is>
      </c>
      <c r="D125" s="7" t="n">
        <v>184</v>
      </c>
      <c r="F125" s="7" t="n">
        <v>368.4</v>
      </c>
      <c r="H125" s="7" t="n">
        <v>712.6</v>
      </c>
      <c r="J125" s="7" t="n">
        <v>436.3</v>
      </c>
      <c r="L125" s="7" t="n">
        <v>415</v>
      </c>
      <c r="N125" s="7" t="n">
        <v>349.6</v>
      </c>
      <c r="P125" s="7" t="n">
        <v>612.8</v>
      </c>
      <c r="R125" s="7" t="n">
        <v>385.7</v>
      </c>
      <c r="T125" s="7" t="n">
        <v>345.9</v>
      </c>
      <c r="V125" s="7" t="n">
        <v>309.6</v>
      </c>
      <c r="X125" s="7" t="n">
        <v>575</v>
      </c>
      <c r="Z125" s="7" t="n">
        <v>291.6</v>
      </c>
      <c r="AB125" s="7" t="n">
        <v>4986.5</v>
      </c>
    </row>
    <row r="126">
      <c r="A126" s="4" t="inlineStr">
        <is>
          <t>差旅费</t>
        </is>
      </c>
      <c r="D126" s="7" t="n">
        <v>5657.6</v>
      </c>
      <c r="F126" s="7" t="n">
        <v>7522.8</v>
      </c>
      <c r="H126" s="7" t="n">
        <v>19443.3</v>
      </c>
      <c r="J126" s="7" t="n">
        <v>11895.1</v>
      </c>
      <c r="L126" s="7" t="n">
        <v>10652.1</v>
      </c>
      <c r="N126" s="7" t="n">
        <v>12374.6</v>
      </c>
      <c r="P126" s="7" t="n">
        <v>13700.2</v>
      </c>
      <c r="R126" s="7" t="n">
        <v>9416</v>
      </c>
      <c r="T126" s="7" t="n">
        <v>8242.5</v>
      </c>
      <c r="V126" s="7" t="n">
        <v>8202.700000000001</v>
      </c>
      <c r="X126" s="7" t="n">
        <v>16174.1</v>
      </c>
      <c r="Z126" s="7" t="n">
        <v>12567.9</v>
      </c>
      <c r="AB126" s="7" t="n">
        <v>135848.9</v>
      </c>
    </row>
    <row r="127">
      <c r="A127" s="4" t="inlineStr">
        <is>
          <t>交通费</t>
        </is>
      </c>
      <c r="D127" s="7" t="n">
        <v>240</v>
      </c>
      <c r="F127" s="7" t="n">
        <v>564.8</v>
      </c>
      <c r="H127" s="7" t="n">
        <v>863.5</v>
      </c>
      <c r="J127" s="7" t="n">
        <v>676.3</v>
      </c>
      <c r="L127" s="7" t="n">
        <v>638.8</v>
      </c>
      <c r="N127" s="7" t="n">
        <v>456.2</v>
      </c>
      <c r="P127" s="7" t="n">
        <v>777.1</v>
      </c>
      <c r="R127" s="7" t="n">
        <v>350.7</v>
      </c>
      <c r="T127" s="7" t="n">
        <v>588.7</v>
      </c>
      <c r="V127" s="7" t="n">
        <v>398.5</v>
      </c>
      <c r="X127" s="7" t="n">
        <v>778.9</v>
      </c>
      <c r="Z127" s="7" t="n">
        <v>564.2</v>
      </c>
      <c r="AB127" s="7" t="n">
        <v>6897.7</v>
      </c>
    </row>
    <row r="128">
      <c r="A128" s="4" t="inlineStr">
        <is>
          <t>住宿费</t>
        </is>
      </c>
      <c r="D128" s="7" t="n">
        <v>416</v>
      </c>
      <c r="F128" s="7" t="n">
        <v>506</v>
      </c>
      <c r="H128" s="7" t="n">
        <v>838.2</v>
      </c>
      <c r="J128" s="7" t="n">
        <v>883.9</v>
      </c>
      <c r="L128" s="7" t="n">
        <v>1213.2</v>
      </c>
      <c r="N128" s="7" t="n">
        <v>537.3</v>
      </c>
      <c r="P128" s="7" t="n">
        <v>945.3</v>
      </c>
      <c r="R128" s="7" t="n">
        <v>793.9</v>
      </c>
      <c r="T128" s="7" t="n">
        <v>721.3</v>
      </c>
      <c r="V128" s="7" t="n">
        <v>619.2</v>
      </c>
      <c r="X128" s="7" t="n">
        <v>998.6</v>
      </c>
      <c r="Z128" s="7" t="n">
        <v>566.9</v>
      </c>
      <c r="AB128" s="7" t="n">
        <v>9039.799999999999</v>
      </c>
    </row>
    <row r="129">
      <c r="A129" s="4" t="inlineStr">
        <is>
          <t>餐补</t>
        </is>
      </c>
      <c r="D129" s="7" t="n">
        <v>300.8</v>
      </c>
      <c r="F129" s="7" t="n">
        <v>588.8</v>
      </c>
      <c r="H129" s="7" t="n">
        <v>760.5</v>
      </c>
      <c r="J129" s="7" t="n">
        <v>774.7</v>
      </c>
      <c r="L129" s="7" t="n">
        <v>826</v>
      </c>
      <c r="N129" s="7" t="n">
        <v>390.2</v>
      </c>
      <c r="P129" s="7" t="n">
        <v>737.8</v>
      </c>
      <c r="R129" s="7" t="n">
        <v>448.6</v>
      </c>
      <c r="T129" s="7" t="n">
        <v>376.3</v>
      </c>
      <c r="V129" s="7" t="n">
        <v>329.3</v>
      </c>
      <c r="X129" s="7" t="n">
        <v>780.9</v>
      </c>
      <c r="Z129" s="7" t="n">
        <v>622.6</v>
      </c>
      <c r="AB129" s="7" t="n">
        <v>6936.5</v>
      </c>
    </row>
    <row r="130">
      <c r="A130" s="4" t="inlineStr">
        <is>
          <t>交通补助</t>
        </is>
      </c>
      <c r="D130" s="7" t="n">
        <v>15.8</v>
      </c>
      <c r="F130" s="7" t="n">
        <v>27.2</v>
      </c>
      <c r="H130" s="7" t="n">
        <v>45.2</v>
      </c>
      <c r="J130" s="7" t="n">
        <v>32.5</v>
      </c>
      <c r="L130" s="7" t="n">
        <v>40.7</v>
      </c>
      <c r="N130" s="7" t="n">
        <v>33.8</v>
      </c>
      <c r="P130" s="7" t="n">
        <v>34.8</v>
      </c>
      <c r="R130" s="7" t="n">
        <v>30.3</v>
      </c>
      <c r="T130" s="7" t="n">
        <v>26.6</v>
      </c>
      <c r="V130" s="7" t="n">
        <v>26.7</v>
      </c>
      <c r="X130" s="7" t="n">
        <v>30.7</v>
      </c>
      <c r="Z130" s="7" t="n">
        <v>24.8</v>
      </c>
      <c r="AB130" s="7" t="n">
        <v>369.1</v>
      </c>
    </row>
    <row r="131">
      <c r="A131" s="4" t="inlineStr">
        <is>
          <t>通讯补助</t>
        </is>
      </c>
      <c r="D131" s="7" t="n">
        <v>362.8</v>
      </c>
      <c r="F131" s="7" t="n">
        <v>1034.3</v>
      </c>
      <c r="H131" s="7" t="n">
        <v>1250</v>
      </c>
      <c r="J131" s="7" t="n">
        <v>811.3</v>
      </c>
      <c r="L131" s="7" t="n">
        <v>1281.4</v>
      </c>
      <c r="N131" s="7" t="n">
        <v>665</v>
      </c>
      <c r="P131" s="7" t="n">
        <v>1467</v>
      </c>
      <c r="R131" s="7" t="n">
        <v>744.9</v>
      </c>
      <c r="T131" s="7" t="n">
        <v>1034.5</v>
      </c>
      <c r="V131" s="7" t="n">
        <v>645.6</v>
      </c>
      <c r="X131" s="7" t="n">
        <v>988.7</v>
      </c>
      <c r="Z131" s="7" t="n">
        <v>1157</v>
      </c>
      <c r="AB131" s="7" t="n">
        <v>11442.5</v>
      </c>
    </row>
    <row r="132">
      <c r="A132" s="4" t="inlineStr">
        <is>
          <t>招待费</t>
        </is>
      </c>
      <c r="D132" s="7" t="n">
        <v>3987.7</v>
      </c>
      <c r="F132" s="7" t="n">
        <v>7541.5</v>
      </c>
      <c r="H132" s="7" t="n">
        <v>7541.3</v>
      </c>
      <c r="J132" s="7" t="n">
        <v>8152.9</v>
      </c>
      <c r="L132" s="7" t="n">
        <v>12654.1</v>
      </c>
      <c r="N132" s="7" t="n">
        <v>8747</v>
      </c>
      <c r="P132" s="7" t="n">
        <v>10594.5</v>
      </c>
      <c r="R132" s="7" t="n">
        <v>6797.1</v>
      </c>
      <c r="T132" s="7" t="n">
        <v>5934</v>
      </c>
      <c r="V132" s="7" t="n">
        <v>4188.3</v>
      </c>
      <c r="X132" s="7" t="n">
        <v>10603.4</v>
      </c>
      <c r="Z132" s="7" t="n">
        <v>8819</v>
      </c>
      <c r="AB132" s="7" t="n">
        <v>95560.8</v>
      </c>
    </row>
    <row r="133">
      <c r="A133" s="4" t="inlineStr">
        <is>
          <t>通讯费</t>
        </is>
      </c>
      <c r="D133" s="7" t="n">
        <v>44.8</v>
      </c>
      <c r="F133" s="7" t="n">
        <v>73.59999999999999</v>
      </c>
      <c r="H133" s="7" t="n">
        <v>119.1</v>
      </c>
      <c r="J133" s="7" t="n">
        <v>105.1</v>
      </c>
      <c r="L133" s="7" t="n">
        <v>123.3</v>
      </c>
      <c r="N133" s="7" t="n">
        <v>59.8</v>
      </c>
      <c r="P133" s="7" t="n">
        <v>119.8</v>
      </c>
      <c r="R133" s="7" t="n">
        <v>100</v>
      </c>
      <c r="T133" s="7" t="n">
        <v>77.09999999999999</v>
      </c>
      <c r="V133" s="7" t="n">
        <v>64.3</v>
      </c>
      <c r="X133" s="7" t="n">
        <v>123.5</v>
      </c>
      <c r="Z133" s="7" t="n">
        <v>72.8</v>
      </c>
      <c r="AB133" s="7" t="n">
        <v>1083.2</v>
      </c>
    </row>
    <row r="134">
      <c r="A134" s="4" t="inlineStr">
        <is>
          <t>网络费</t>
        </is>
      </c>
      <c r="D134" s="7" t="n">
        <v>229.1</v>
      </c>
      <c r="F134" s="7" t="n">
        <v>490.4</v>
      </c>
      <c r="H134" s="7" t="n">
        <v>1177.8</v>
      </c>
      <c r="J134" s="7" t="n">
        <v>586.1</v>
      </c>
      <c r="L134" s="7" t="n">
        <v>787.9</v>
      </c>
      <c r="N134" s="7" t="n">
        <v>447.4</v>
      </c>
      <c r="P134" s="7" t="n">
        <v>907.8</v>
      </c>
      <c r="R134" s="7" t="n">
        <v>735.1</v>
      </c>
      <c r="T134" s="7" t="n">
        <v>738.6</v>
      </c>
      <c r="V134" s="7" t="n">
        <v>517.5</v>
      </c>
      <c r="X134" s="7" t="n">
        <v>1119.6</v>
      </c>
      <c r="Z134" s="7" t="n">
        <v>663.1</v>
      </c>
      <c r="AB134" s="7" t="n">
        <v>8400.4</v>
      </c>
    </row>
    <row r="135">
      <c r="A135" s="4" t="inlineStr">
        <is>
          <t>修理费</t>
        </is>
      </c>
      <c r="D135" s="7" t="n">
        <v>410</v>
      </c>
      <c r="F135" s="7" t="n">
        <v>682.7</v>
      </c>
      <c r="H135" s="7" t="n">
        <v>938.1</v>
      </c>
      <c r="J135" s="7" t="n">
        <v>1261</v>
      </c>
      <c r="L135" s="7" t="n">
        <v>1001</v>
      </c>
      <c r="N135" s="7" t="n">
        <v>896.4</v>
      </c>
      <c r="P135" s="7" t="n">
        <v>1087.7</v>
      </c>
      <c r="R135" s="7" t="n">
        <v>880.5</v>
      </c>
      <c r="T135" s="7" t="n">
        <v>926.4</v>
      </c>
      <c r="V135" s="7" t="n">
        <v>555.4</v>
      </c>
      <c r="X135" s="7" t="n">
        <v>1070</v>
      </c>
      <c r="Z135" s="7" t="n">
        <v>813.6</v>
      </c>
      <c r="AB135" s="7" t="n">
        <v>10522.8</v>
      </c>
    </row>
    <row r="136">
      <c r="A136" s="4" t="inlineStr">
        <is>
          <t>车辆费</t>
        </is>
      </c>
      <c r="D136" s="7" t="n">
        <v>320.7</v>
      </c>
      <c r="F136" s="7" t="n">
        <v>644.6</v>
      </c>
      <c r="H136" s="7" t="n">
        <v>892.1</v>
      </c>
      <c r="J136" s="7" t="n">
        <v>655.3</v>
      </c>
      <c r="L136" s="7" t="n">
        <v>671.4</v>
      </c>
      <c r="N136" s="7" t="n">
        <v>420</v>
      </c>
      <c r="P136" s="7" t="n">
        <v>884.7</v>
      </c>
      <c r="R136" s="7" t="n">
        <v>509.1</v>
      </c>
      <c r="T136" s="7" t="n">
        <v>526.6</v>
      </c>
      <c r="V136" s="7" t="n">
        <v>345.6</v>
      </c>
      <c r="X136" s="7" t="n">
        <v>847.5</v>
      </c>
      <c r="Z136" s="7" t="n">
        <v>573.8</v>
      </c>
      <c r="AB136" s="7" t="n">
        <v>7291.4</v>
      </c>
    </row>
    <row r="137">
      <c r="A137" s="4" t="inlineStr">
        <is>
          <t>租赁费</t>
        </is>
      </c>
      <c r="D137" s="7" t="n">
        <v>3222.1</v>
      </c>
      <c r="F137" s="7" t="n">
        <v>9200</v>
      </c>
      <c r="H137" s="7" t="n">
        <v>11501.6</v>
      </c>
      <c r="J137" s="7" t="n">
        <v>13212.3</v>
      </c>
      <c r="L137" s="7" t="n">
        <v>15631.6</v>
      </c>
      <c r="N137" s="7" t="n">
        <v>6393.5</v>
      </c>
      <c r="P137" s="7" t="n">
        <v>12822</v>
      </c>
      <c r="R137" s="7" t="n">
        <v>11569.3</v>
      </c>
      <c r="T137" s="7" t="n">
        <v>9358.1</v>
      </c>
      <c r="V137" s="7" t="n">
        <v>7175.4</v>
      </c>
      <c r="X137" s="7" t="n">
        <v>11308.9</v>
      </c>
      <c r="Z137" s="7" t="n">
        <v>6899</v>
      </c>
      <c r="AB137" s="7" t="n">
        <v>118293.8</v>
      </c>
    </row>
    <row r="138">
      <c r="A138" s="4" t="inlineStr">
        <is>
          <t>能源费</t>
        </is>
      </c>
      <c r="D138" s="7" t="n">
        <v>1225.8</v>
      </c>
      <c r="F138" s="7" t="n">
        <v>2954.6</v>
      </c>
      <c r="H138" s="7" t="n">
        <v>4402.5</v>
      </c>
      <c r="J138" s="7" t="n">
        <v>3119.9</v>
      </c>
      <c r="L138" s="7" t="n">
        <v>3625.7</v>
      </c>
      <c r="N138" s="7" t="n">
        <v>2652.9</v>
      </c>
      <c r="P138" s="7" t="n">
        <v>4218.9</v>
      </c>
      <c r="R138" s="7" t="n">
        <v>3280.9</v>
      </c>
      <c r="T138" s="7" t="n">
        <v>2902.2</v>
      </c>
      <c r="V138" s="7" t="n">
        <v>2405.3</v>
      </c>
      <c r="X138" s="7" t="n">
        <v>4002.4</v>
      </c>
      <c r="Z138" s="7" t="n">
        <v>2991.3</v>
      </c>
      <c r="AB138" s="7" t="n">
        <v>37782.4</v>
      </c>
    </row>
    <row r="139">
      <c r="A139" s="4" t="inlineStr">
        <is>
          <t>水费</t>
        </is>
      </c>
      <c r="D139" s="7" t="n">
        <v>281.8</v>
      </c>
      <c r="F139" s="7" t="n">
        <v>835.2</v>
      </c>
      <c r="H139" s="7" t="n">
        <v>1318.6</v>
      </c>
      <c r="J139" s="7" t="n">
        <v>1188.4</v>
      </c>
      <c r="L139" s="7" t="n">
        <v>1007.1</v>
      </c>
      <c r="N139" s="7" t="n">
        <v>865.1</v>
      </c>
      <c r="P139" s="7" t="n">
        <v>1309.1</v>
      </c>
      <c r="R139" s="7" t="n">
        <v>884.4</v>
      </c>
      <c r="T139" s="7" t="n">
        <v>1024.2</v>
      </c>
      <c r="V139" s="7" t="n">
        <v>725.7</v>
      </c>
      <c r="X139" s="7" t="n">
        <v>1014.6</v>
      </c>
      <c r="Z139" s="7" t="n">
        <v>887.3</v>
      </c>
      <c r="AB139" s="7" t="n">
        <v>11341.5</v>
      </c>
    </row>
    <row r="140">
      <c r="A140" s="4" t="inlineStr">
        <is>
          <t>电费</t>
        </is>
      </c>
      <c r="D140" s="7" t="n">
        <v>190.8</v>
      </c>
      <c r="F140" s="7" t="n">
        <v>270.7</v>
      </c>
      <c r="H140" s="7" t="n">
        <v>638.9</v>
      </c>
      <c r="J140" s="7" t="n">
        <v>394.2</v>
      </c>
      <c r="L140" s="7" t="n">
        <v>660</v>
      </c>
      <c r="N140" s="7" t="n">
        <v>303.7</v>
      </c>
      <c r="P140" s="7" t="n">
        <v>595</v>
      </c>
      <c r="R140" s="7" t="n">
        <v>475.1</v>
      </c>
      <c r="T140" s="7" t="n">
        <v>351.8</v>
      </c>
      <c r="V140" s="7" t="n">
        <v>248</v>
      </c>
      <c r="X140" s="7" t="n">
        <v>536.4</v>
      </c>
      <c r="Z140" s="7" t="n">
        <v>371.2</v>
      </c>
      <c r="AB140" s="7" t="n">
        <v>5035.8</v>
      </c>
    </row>
    <row r="141">
      <c r="A141" s="4" t="inlineStr">
        <is>
          <t>燃气费</t>
        </is>
      </c>
      <c r="D141" s="7" t="n">
        <v>182.5</v>
      </c>
      <c r="F141" s="7" t="n">
        <v>531.7</v>
      </c>
      <c r="H141" s="7" t="n">
        <v>733.2</v>
      </c>
      <c r="J141" s="7" t="n">
        <v>474.3</v>
      </c>
      <c r="L141" s="7" t="n">
        <v>536</v>
      </c>
      <c r="N141" s="7" t="n">
        <v>569</v>
      </c>
      <c r="P141" s="7" t="n">
        <v>683.2</v>
      </c>
      <c r="R141" s="7" t="n">
        <v>532.5</v>
      </c>
      <c r="T141" s="7" t="n">
        <v>586</v>
      </c>
      <c r="V141" s="7" t="n">
        <v>427</v>
      </c>
      <c r="X141" s="7" t="n">
        <v>752.4</v>
      </c>
      <c r="Z141" s="7" t="n">
        <v>376.1</v>
      </c>
      <c r="AB141" s="7" t="n">
        <v>6383.9</v>
      </c>
    </row>
    <row r="142">
      <c r="A142" s="4" t="inlineStr">
        <is>
          <t>蒸汽费</t>
        </is>
      </c>
      <c r="D142" s="7" t="n">
        <v>570.7</v>
      </c>
      <c r="F142" s="7" t="n">
        <v>1317</v>
      </c>
      <c r="H142" s="7" t="n">
        <v>1711.8</v>
      </c>
      <c r="J142" s="7" t="n">
        <v>1063</v>
      </c>
      <c r="L142" s="7" t="n">
        <v>1422.6</v>
      </c>
      <c r="N142" s="7" t="n">
        <v>915.1</v>
      </c>
      <c r="P142" s="7" t="n">
        <v>1631.6</v>
      </c>
      <c r="R142" s="7" t="n">
        <v>1388.9</v>
      </c>
      <c r="T142" s="7" t="n">
        <v>940.2</v>
      </c>
      <c r="V142" s="7" t="n">
        <v>1004.6</v>
      </c>
      <c r="X142" s="7" t="n">
        <v>1699</v>
      </c>
      <c r="Z142" s="7" t="n">
        <v>1356.7</v>
      </c>
      <c r="AB142" s="7" t="n">
        <v>15021.2</v>
      </c>
    </row>
    <row r="143">
      <c r="A143" s="4" t="inlineStr">
        <is>
          <t>物业费</t>
        </is>
      </c>
      <c r="D143" s="7" t="n">
        <v>133.1</v>
      </c>
      <c r="F143" s="7" t="n">
        <v>187.4</v>
      </c>
      <c r="H143" s="7" t="n">
        <v>397.5</v>
      </c>
      <c r="J143" s="7" t="n">
        <v>211.9</v>
      </c>
      <c r="L143" s="7" t="n">
        <v>361.7</v>
      </c>
      <c r="N143" s="7" t="n">
        <v>168.3</v>
      </c>
      <c r="P143" s="7" t="n">
        <v>310.3</v>
      </c>
      <c r="R143" s="7" t="n">
        <v>190.5</v>
      </c>
      <c r="T143" s="7" t="n">
        <v>233.2</v>
      </c>
      <c r="V143" s="7" t="n">
        <v>182.6</v>
      </c>
      <c r="X143" s="7" t="n">
        <v>215.8</v>
      </c>
      <c r="Z143" s="7" t="n">
        <v>247.8</v>
      </c>
      <c r="AB143" s="7" t="n">
        <v>2840.1</v>
      </c>
    </row>
    <row r="144">
      <c r="A144" s="4" t="inlineStr">
        <is>
          <t>劳动保护费</t>
        </is>
      </c>
      <c r="D144" s="7" t="n">
        <v>423.7</v>
      </c>
      <c r="F144" s="7" t="n">
        <v>1194.1</v>
      </c>
      <c r="H144" s="7" t="n">
        <v>1510</v>
      </c>
      <c r="J144" s="7" t="n">
        <v>997.1</v>
      </c>
      <c r="L144" s="7" t="n">
        <v>1638.9</v>
      </c>
      <c r="N144" s="7" t="n">
        <v>1079.5</v>
      </c>
      <c r="P144" s="7" t="n">
        <v>1869.2</v>
      </c>
      <c r="R144" s="7" t="n">
        <v>1409.8</v>
      </c>
      <c r="T144" s="7" t="n">
        <v>1197.4</v>
      </c>
      <c r="V144" s="7" t="n">
        <v>615.3</v>
      </c>
      <c r="X144" s="7" t="n">
        <v>1336</v>
      </c>
      <c r="Z144" s="7" t="n">
        <v>1068.3</v>
      </c>
      <c r="AB144" s="7" t="n">
        <v>14339.3</v>
      </c>
    </row>
    <row r="145">
      <c r="A145" s="4" t="inlineStr">
        <is>
          <t>顾问费</t>
        </is>
      </c>
      <c r="D145" s="7" t="n">
        <v>479.8</v>
      </c>
      <c r="F145" s="7" t="n">
        <v>640.4</v>
      </c>
      <c r="H145" s="7" t="n">
        <v>968.4</v>
      </c>
      <c r="J145" s="7" t="n">
        <v>1086.4</v>
      </c>
      <c r="L145" s="7" t="n">
        <v>842.1</v>
      </c>
      <c r="N145" s="7" t="n">
        <v>853.9</v>
      </c>
      <c r="P145" s="7" t="n">
        <v>1070</v>
      </c>
      <c r="R145" s="7" t="n">
        <v>840.8</v>
      </c>
      <c r="T145" s="7" t="n">
        <v>1051.4</v>
      </c>
      <c r="V145" s="7" t="n">
        <v>482.2</v>
      </c>
      <c r="X145" s="7" t="n">
        <v>1071.6</v>
      </c>
      <c r="Z145" s="7" t="n">
        <v>771.6</v>
      </c>
      <c r="AB145" s="7" t="n">
        <v>10158.6</v>
      </c>
    </row>
    <row r="146">
      <c r="A146" s="4" t="inlineStr">
        <is>
          <t>快递费</t>
        </is>
      </c>
      <c r="D146" s="7" t="n">
        <v>28</v>
      </c>
      <c r="F146" s="7" t="n">
        <v>59.4</v>
      </c>
      <c r="H146" s="7" t="n">
        <v>85.8</v>
      </c>
      <c r="J146" s="7" t="n">
        <v>59.9</v>
      </c>
      <c r="L146" s="7" t="n">
        <v>54.3</v>
      </c>
      <c r="N146" s="7" t="n">
        <v>64.09999999999999</v>
      </c>
      <c r="P146" s="7" t="n">
        <v>60.5</v>
      </c>
      <c r="R146" s="7" t="n">
        <v>49</v>
      </c>
      <c r="T146" s="7" t="n">
        <v>51.7</v>
      </c>
      <c r="V146" s="7" t="n">
        <v>42.1</v>
      </c>
      <c r="X146" s="7" t="n">
        <v>67</v>
      </c>
      <c r="Z146" s="7" t="n">
        <v>48.2</v>
      </c>
      <c r="AB146" s="7" t="n">
        <v>670</v>
      </c>
    </row>
    <row r="147">
      <c r="A147" s="4" t="inlineStr">
        <is>
          <t>诉讼费</t>
        </is>
      </c>
      <c r="D147" s="7" t="n">
        <v>72</v>
      </c>
      <c r="F147" s="7" t="n">
        <v>111.3</v>
      </c>
      <c r="H147" s="7" t="n">
        <v>230.3</v>
      </c>
      <c r="J147" s="7" t="n">
        <v>189.3</v>
      </c>
      <c r="L147" s="7" t="n">
        <v>169.5</v>
      </c>
      <c r="N147" s="7" t="n">
        <v>147.1</v>
      </c>
      <c r="P147" s="7" t="n">
        <v>169.9</v>
      </c>
      <c r="R147" s="7" t="n">
        <v>106.8</v>
      </c>
      <c r="T147" s="7" t="n">
        <v>126.2</v>
      </c>
      <c r="V147" s="7" t="n">
        <v>119.9</v>
      </c>
      <c r="X147" s="7" t="n">
        <v>124.3</v>
      </c>
      <c r="Z147" s="7" t="n">
        <v>156.7</v>
      </c>
      <c r="AB147" s="7" t="n">
        <v>1723.3</v>
      </c>
    </row>
    <row r="148">
      <c r="A148" s="4" t="inlineStr">
        <is>
          <t>会员费</t>
        </is>
      </c>
      <c r="D148" s="7" t="n">
        <v>189.5</v>
      </c>
      <c r="F148" s="7" t="n">
        <v>335.3</v>
      </c>
      <c r="H148" s="7" t="n">
        <v>503.3</v>
      </c>
      <c r="J148" s="7" t="n">
        <v>301.7</v>
      </c>
      <c r="L148" s="7" t="n">
        <v>541.5</v>
      </c>
      <c r="N148" s="7" t="n">
        <v>354.9</v>
      </c>
      <c r="P148" s="7" t="n">
        <v>299.3</v>
      </c>
      <c r="R148" s="7" t="n">
        <v>286.5</v>
      </c>
      <c r="T148" s="7" t="n">
        <v>318.6</v>
      </c>
      <c r="V148" s="7" t="n">
        <v>262.4</v>
      </c>
      <c r="X148" s="7" t="n">
        <v>537.3</v>
      </c>
      <c r="Z148" s="7" t="n">
        <v>235.4</v>
      </c>
      <c r="AB148" s="7" t="n">
        <v>4165.7</v>
      </c>
    </row>
    <row r="149">
      <c r="A149" s="4" t="inlineStr">
        <is>
          <t>广告宣传费</t>
        </is>
      </c>
      <c r="D149" s="7" t="n">
        <v>2849.7</v>
      </c>
      <c r="F149" s="7" t="n">
        <v>5078</v>
      </c>
      <c r="H149" s="7" t="n">
        <v>5872.9</v>
      </c>
      <c r="J149" s="7" t="n">
        <v>7733</v>
      </c>
      <c r="L149" s="7" t="n">
        <v>5716.3</v>
      </c>
      <c r="N149" s="7" t="n">
        <v>5128.8</v>
      </c>
      <c r="P149" s="7" t="n">
        <v>6166.4</v>
      </c>
      <c r="R149" s="7" t="n">
        <v>4205.3</v>
      </c>
      <c r="T149" s="7" t="n">
        <v>6796.9</v>
      </c>
      <c r="V149" s="7" t="n">
        <v>4291.5</v>
      </c>
      <c r="X149" s="7" t="n">
        <v>8850</v>
      </c>
      <c r="Z149" s="7" t="n">
        <v>4763.2</v>
      </c>
      <c r="AB149" s="7" t="n">
        <v>67452</v>
      </c>
    </row>
    <row r="150">
      <c r="A150" s="4" t="inlineStr">
        <is>
          <t>会务费</t>
        </is>
      </c>
      <c r="D150" s="7" t="n">
        <v>75.2</v>
      </c>
      <c r="F150" s="7" t="n">
        <v>165</v>
      </c>
      <c r="H150" s="7" t="n">
        <v>336.5</v>
      </c>
      <c r="J150" s="7" t="n">
        <v>286.3</v>
      </c>
      <c r="L150" s="7" t="n">
        <v>249.9</v>
      </c>
      <c r="N150" s="7" t="n">
        <v>135.9</v>
      </c>
      <c r="P150" s="7" t="n">
        <v>227.5</v>
      </c>
      <c r="R150" s="7" t="n">
        <v>223.9</v>
      </c>
      <c r="T150" s="7" t="n">
        <v>201.2</v>
      </c>
      <c r="V150" s="7" t="n">
        <v>176.6</v>
      </c>
      <c r="X150" s="7" t="n">
        <v>251.6</v>
      </c>
      <c r="Z150" s="7" t="n">
        <v>180</v>
      </c>
      <c r="AB150" s="7" t="n">
        <v>2509.6</v>
      </c>
    </row>
    <row r="151">
      <c r="A151" s="4" t="inlineStr">
        <is>
          <t>装修费</t>
        </is>
      </c>
      <c r="D151" s="7" t="n">
        <v>141.2</v>
      </c>
      <c r="F151" s="7" t="n">
        <v>335.5</v>
      </c>
      <c r="H151" s="7" t="n">
        <v>470.2</v>
      </c>
      <c r="J151" s="7" t="n">
        <v>399.7</v>
      </c>
      <c r="L151" s="7" t="n">
        <v>548.2</v>
      </c>
      <c r="N151" s="7" t="n">
        <v>373.7</v>
      </c>
      <c r="P151" s="7" t="n">
        <v>478</v>
      </c>
      <c r="R151" s="7" t="n">
        <v>318.9</v>
      </c>
      <c r="T151" s="7" t="n">
        <v>387.1</v>
      </c>
      <c r="V151" s="7" t="n">
        <v>352.6</v>
      </c>
      <c r="X151" s="7" t="n">
        <v>560.6</v>
      </c>
      <c r="Z151" s="7" t="n">
        <v>304.6</v>
      </c>
      <c r="AB151" s="7" t="n">
        <v>4670.3</v>
      </c>
    </row>
    <row r="152">
      <c r="A152" s="4" t="inlineStr">
        <is>
          <t>推广费</t>
        </is>
      </c>
      <c r="D152" s="7" t="n">
        <v>449.5</v>
      </c>
      <c r="F152" s="7" t="n">
        <v>648.7</v>
      </c>
      <c r="H152" s="7" t="n">
        <v>966.1</v>
      </c>
      <c r="J152" s="7" t="n">
        <v>1347.6</v>
      </c>
      <c r="L152" s="7" t="n">
        <v>1424.6</v>
      </c>
      <c r="N152" s="7" t="n">
        <v>1036.8</v>
      </c>
      <c r="P152" s="7" t="n">
        <v>1321.7</v>
      </c>
      <c r="R152" s="7" t="n">
        <v>805.8</v>
      </c>
      <c r="T152" s="7" t="n">
        <v>789.1</v>
      </c>
      <c r="V152" s="7" t="n">
        <v>514.3</v>
      </c>
      <c r="X152" s="7" t="n">
        <v>1374.9</v>
      </c>
      <c r="Z152" s="7" t="n">
        <v>1003.6</v>
      </c>
      <c r="AB152" s="7" t="n">
        <v>11682.7</v>
      </c>
    </row>
    <row r="153">
      <c r="A153" s="4" t="inlineStr">
        <is>
          <t>展会费</t>
        </is>
      </c>
      <c r="D153" s="7" t="n">
        <v>29.9</v>
      </c>
      <c r="F153" s="7" t="n">
        <v>44.7</v>
      </c>
      <c r="H153" s="7" t="n">
        <v>62.6</v>
      </c>
      <c r="J153" s="7" t="n">
        <v>69.2</v>
      </c>
      <c r="L153" s="7" t="n">
        <v>57.7</v>
      </c>
      <c r="N153" s="7" t="n">
        <v>62.1</v>
      </c>
      <c r="P153" s="7" t="n">
        <v>52.1</v>
      </c>
      <c r="R153" s="7" t="n">
        <v>62.1</v>
      </c>
      <c r="T153" s="7" t="n">
        <v>64.90000000000001</v>
      </c>
      <c r="V153" s="7" t="n">
        <v>47.3</v>
      </c>
      <c r="X153" s="7" t="n">
        <v>80.59999999999999</v>
      </c>
      <c r="Z153" s="7" t="n">
        <v>60</v>
      </c>
      <c r="AB153" s="7" t="n">
        <v>693.2</v>
      </c>
    </row>
    <row r="154">
      <c r="A154" s="4" t="inlineStr">
        <is>
          <t>设计费</t>
        </is>
      </c>
      <c r="D154" s="7" t="n">
        <v>28.8</v>
      </c>
      <c r="F154" s="7" t="n">
        <v>70.59999999999999</v>
      </c>
      <c r="H154" s="7" t="n">
        <v>87</v>
      </c>
      <c r="J154" s="7" t="n">
        <v>84.5</v>
      </c>
      <c r="L154" s="7" t="n">
        <v>119.9</v>
      </c>
      <c r="N154" s="7" t="n">
        <v>81.3</v>
      </c>
      <c r="P154" s="7" t="n">
        <v>87.5</v>
      </c>
      <c r="R154" s="7" t="n">
        <v>62.2</v>
      </c>
      <c r="T154" s="7" t="n">
        <v>75.2</v>
      </c>
      <c r="V154" s="7" t="n">
        <v>77.40000000000001</v>
      </c>
      <c r="X154" s="7" t="n">
        <v>112</v>
      </c>
      <c r="Z154" s="7" t="n">
        <v>73.7</v>
      </c>
      <c r="AB154" s="7" t="n">
        <v>960.1</v>
      </c>
    </row>
    <row r="155">
      <c r="A155" s="4" t="inlineStr">
        <is>
          <t>折旧费</t>
        </is>
      </c>
      <c r="D155" s="7" t="n">
        <v>3788.2</v>
      </c>
      <c r="F155" s="7" t="n">
        <v>8927.200000000001</v>
      </c>
      <c r="H155" s="7" t="n">
        <v>10578.2</v>
      </c>
      <c r="J155" s="7" t="n">
        <v>9046.1</v>
      </c>
      <c r="L155" s="7" t="n">
        <v>11840.9</v>
      </c>
      <c r="N155" s="7" t="n">
        <v>8969</v>
      </c>
      <c r="P155" s="7" t="n">
        <v>7938.4</v>
      </c>
      <c r="R155" s="7" t="n">
        <v>6987.7</v>
      </c>
      <c r="T155" s="7" t="n">
        <v>8128.2</v>
      </c>
      <c r="V155" s="7" t="n">
        <v>5432.4</v>
      </c>
      <c r="X155" s="7" t="n">
        <v>12342.4</v>
      </c>
      <c r="Z155" s="7" t="n">
        <v>7586.9</v>
      </c>
      <c r="AB155" s="7" t="n">
        <v>101565.6</v>
      </c>
    </row>
    <row r="156">
      <c r="A156" s="4" t="inlineStr">
        <is>
          <t>认证费</t>
        </is>
      </c>
      <c r="D156" s="7" t="n">
        <v>62.2</v>
      </c>
      <c r="F156" s="7" t="n">
        <v>155.4</v>
      </c>
      <c r="H156" s="7" t="n">
        <v>263.5</v>
      </c>
      <c r="J156" s="7" t="n">
        <v>253.9</v>
      </c>
      <c r="L156" s="7" t="n">
        <v>192.2</v>
      </c>
      <c r="N156" s="7" t="n">
        <v>156.7</v>
      </c>
      <c r="P156" s="7" t="n">
        <v>193</v>
      </c>
      <c r="R156" s="7" t="n">
        <v>225.6</v>
      </c>
      <c r="T156" s="7" t="n">
        <v>187.2</v>
      </c>
      <c r="V156" s="7" t="n">
        <v>163.5</v>
      </c>
      <c r="X156" s="7" t="n">
        <v>191.7</v>
      </c>
      <c r="Z156" s="7" t="n">
        <v>175.9</v>
      </c>
      <c r="AB156" s="7" t="n">
        <v>2220.8</v>
      </c>
    </row>
    <row r="157">
      <c r="A157" s="4" t="inlineStr">
        <is>
          <t>样品费</t>
        </is>
      </c>
      <c r="D157" s="7" t="n">
        <v>2142.5</v>
      </c>
      <c r="F157" s="7" t="n">
        <v>3930.8</v>
      </c>
      <c r="H157" s="7" t="n">
        <v>4331</v>
      </c>
      <c r="J157" s="7" t="n">
        <v>3337.7</v>
      </c>
      <c r="L157" s="7" t="n">
        <v>4012.1</v>
      </c>
      <c r="N157" s="7" t="n">
        <v>2723.1</v>
      </c>
      <c r="P157" s="7" t="n">
        <v>5738.6</v>
      </c>
      <c r="R157" s="7" t="n">
        <v>2538.2</v>
      </c>
      <c r="T157" s="7" t="n">
        <v>3315.1</v>
      </c>
      <c r="V157" s="7" t="n">
        <v>2127.5</v>
      </c>
      <c r="X157" s="7" t="n">
        <v>4502.2</v>
      </c>
      <c r="Z157" s="7" t="n">
        <v>2462.4</v>
      </c>
      <c r="AB157" s="7" t="n">
        <v>41161.2</v>
      </c>
    </row>
    <row r="158">
      <c r="A158" s="4" t="inlineStr">
        <is>
          <t>劳务费</t>
        </is>
      </c>
      <c r="D158" s="7" t="n">
        <v>44.9</v>
      </c>
      <c r="F158" s="7" t="n">
        <v>86.90000000000001</v>
      </c>
      <c r="H158" s="7" t="n">
        <v>124.7</v>
      </c>
      <c r="J158" s="7" t="n">
        <v>150.7</v>
      </c>
      <c r="L158" s="7" t="n">
        <v>140.9</v>
      </c>
      <c r="N158" s="7" t="n">
        <v>72.90000000000001</v>
      </c>
      <c r="P158" s="7" t="n">
        <v>112.1</v>
      </c>
      <c r="R158" s="7" t="n">
        <v>104.4</v>
      </c>
      <c r="T158" s="7" t="n">
        <v>111.9</v>
      </c>
      <c r="V158" s="7" t="n">
        <v>62.4</v>
      </c>
      <c r="X158" s="7" t="n">
        <v>139.4</v>
      </c>
      <c r="Z158" s="7" t="n">
        <v>120.6</v>
      </c>
      <c r="AB158" s="7" t="n">
        <v>1271.8</v>
      </c>
    </row>
    <row r="159">
      <c r="A159" s="4" t="inlineStr">
        <is>
          <t>销售佣金</t>
        </is>
      </c>
      <c r="D159" s="7" t="n">
        <v>524.9</v>
      </c>
      <c r="F159" s="7" t="n">
        <v>906.2</v>
      </c>
      <c r="H159" s="7" t="n">
        <v>1801.7</v>
      </c>
      <c r="J159" s="7" t="n">
        <v>1225.2</v>
      </c>
      <c r="L159" s="7" t="n">
        <v>1553.9</v>
      </c>
      <c r="N159" s="7" t="n">
        <v>1012.3</v>
      </c>
      <c r="P159" s="7" t="n">
        <v>1303.3</v>
      </c>
      <c r="R159" s="7" t="n">
        <v>1294.8</v>
      </c>
      <c r="T159" s="7" t="n">
        <v>1401.6</v>
      </c>
      <c r="V159" s="7" t="n">
        <v>743.7</v>
      </c>
      <c r="X159" s="7" t="n">
        <v>1536.1</v>
      </c>
      <c r="Z159" s="7" t="n">
        <v>1037.4</v>
      </c>
      <c r="AB159" s="7" t="n">
        <v>14341.1</v>
      </c>
    </row>
    <row r="160">
      <c r="A160" s="4" t="inlineStr">
        <is>
          <t>检测费</t>
        </is>
      </c>
      <c r="D160" s="7" t="n">
        <v>504.5</v>
      </c>
      <c r="F160" s="7" t="n">
        <v>850.6</v>
      </c>
      <c r="H160" s="7" t="n">
        <v>1676.8</v>
      </c>
      <c r="J160" s="7" t="n">
        <v>1187.5</v>
      </c>
      <c r="L160" s="7" t="n">
        <v>1415.2</v>
      </c>
      <c r="N160" s="7" t="n">
        <v>824.2</v>
      </c>
      <c r="P160" s="7" t="n">
        <v>1247.1</v>
      </c>
      <c r="R160" s="7" t="n">
        <v>741.4</v>
      </c>
      <c r="T160" s="7" t="n">
        <v>920.1</v>
      </c>
      <c r="V160" s="7" t="n">
        <v>553.1</v>
      </c>
      <c r="X160" s="7" t="n">
        <v>1212.7</v>
      </c>
      <c r="Z160" s="7" t="n">
        <v>655.5</v>
      </c>
      <c r="AB160" s="7" t="n">
        <v>11788.7</v>
      </c>
    </row>
    <row r="161">
      <c r="A161" s="4" t="inlineStr">
        <is>
          <t>质量赔偿</t>
        </is>
      </c>
      <c r="D161" s="7" t="n">
        <v>332.4</v>
      </c>
      <c r="F161" s="7" t="n">
        <v>909.4</v>
      </c>
      <c r="H161" s="7" t="n">
        <v>1363.2</v>
      </c>
      <c r="J161" s="7" t="n">
        <v>1280.3</v>
      </c>
      <c r="L161" s="7" t="n">
        <v>1205.5</v>
      </c>
      <c r="N161" s="7" t="n">
        <v>999.7</v>
      </c>
      <c r="P161" s="7" t="n">
        <v>1367.9</v>
      </c>
      <c r="R161" s="7" t="n">
        <v>1020.1</v>
      </c>
      <c r="T161" s="7" t="n">
        <v>757.9</v>
      </c>
      <c r="V161" s="7" t="n">
        <v>510</v>
      </c>
      <c r="X161" s="7" t="n">
        <v>1146</v>
      </c>
      <c r="Z161" s="7" t="n">
        <v>819</v>
      </c>
      <c r="AB161" s="7" t="n">
        <v>11711.4</v>
      </c>
    </row>
    <row r="162">
      <c r="A162" s="4" t="inlineStr">
        <is>
          <t>保险费</t>
        </is>
      </c>
      <c r="D162" s="7" t="n">
        <v>415.5</v>
      </c>
      <c r="F162" s="7" t="n">
        <v>852.5</v>
      </c>
      <c r="H162" s="7" t="n">
        <v>1365.1</v>
      </c>
      <c r="J162" s="7" t="n">
        <v>1039.4</v>
      </c>
      <c r="L162" s="7" t="n">
        <v>1163.3</v>
      </c>
      <c r="N162" s="7" t="n">
        <v>764.3</v>
      </c>
      <c r="P162" s="7" t="n">
        <v>1009.3</v>
      </c>
      <c r="R162" s="7" t="n">
        <v>787.7</v>
      </c>
      <c r="T162" s="7" t="n">
        <v>637.1</v>
      </c>
      <c r="V162" s="7" t="n">
        <v>584.8</v>
      </c>
      <c r="X162" s="7" t="n">
        <v>824.8</v>
      </c>
      <c r="Z162" s="7" t="n">
        <v>563.3</v>
      </c>
      <c r="AB162" s="7" t="n">
        <v>10007.1</v>
      </c>
    </row>
    <row r="163">
      <c r="A163" s="4" t="inlineStr">
        <is>
          <t>清洁费</t>
        </is>
      </c>
      <c r="D163" s="7" t="n">
        <v>432.6</v>
      </c>
      <c r="F163" s="7" t="n">
        <v>624.1</v>
      </c>
      <c r="H163" s="7" t="n">
        <v>1192.4</v>
      </c>
      <c r="J163" s="7" t="n">
        <v>1198.5</v>
      </c>
      <c r="L163" s="7" t="n">
        <v>861.3</v>
      </c>
      <c r="N163" s="7" t="n">
        <v>767.1</v>
      </c>
      <c r="P163" s="7" t="n">
        <v>902.8</v>
      </c>
      <c r="R163" s="7" t="n">
        <v>734</v>
      </c>
      <c r="T163" s="7" t="n">
        <v>799</v>
      </c>
      <c r="V163" s="7" t="n">
        <v>655.5</v>
      </c>
      <c r="X163" s="7" t="n">
        <v>1189.2</v>
      </c>
      <c r="Z163" s="7" t="n">
        <v>920</v>
      </c>
      <c r="AB163" s="7" t="n">
        <v>10276.5</v>
      </c>
    </row>
    <row r="164">
      <c r="A164" s="4" t="inlineStr">
        <is>
          <t>低值易耗品</t>
        </is>
      </c>
      <c r="D164" s="7" t="n">
        <v>153.1</v>
      </c>
      <c r="F164" s="7" t="n">
        <v>215.8</v>
      </c>
      <c r="H164" s="7" t="n">
        <v>482.9</v>
      </c>
      <c r="J164" s="7" t="n">
        <v>338.5</v>
      </c>
      <c r="L164" s="7" t="n">
        <v>300.7</v>
      </c>
      <c r="N164" s="7" t="n">
        <v>211.9</v>
      </c>
      <c r="P164" s="7" t="n">
        <v>405.6</v>
      </c>
      <c r="R164" s="7" t="n">
        <v>301.3</v>
      </c>
      <c r="T164" s="7" t="n">
        <v>287.4</v>
      </c>
      <c r="V164" s="7" t="n">
        <v>229.3</v>
      </c>
      <c r="X164" s="7" t="n">
        <v>281.9</v>
      </c>
      <c r="Z164" s="7" t="n">
        <v>242.7</v>
      </c>
      <c r="AB164" s="7" t="n">
        <v>3451.1</v>
      </c>
    </row>
    <row r="165">
      <c r="A165" s="4" t="inlineStr">
        <is>
          <t>物料消耗</t>
        </is>
      </c>
      <c r="D165" s="7" t="n">
        <v>592.4</v>
      </c>
      <c r="F165" s="7" t="n">
        <v>896.5</v>
      </c>
      <c r="H165" s="7" t="n">
        <v>1168.2</v>
      </c>
      <c r="J165" s="7" t="n">
        <v>984.5</v>
      </c>
      <c r="L165" s="7" t="n">
        <v>981.6</v>
      </c>
      <c r="N165" s="7" t="n">
        <v>687.1</v>
      </c>
      <c r="P165" s="7" t="n">
        <v>1092.3</v>
      </c>
      <c r="R165" s="7" t="n">
        <v>1209.3</v>
      </c>
      <c r="T165" s="7" t="n">
        <v>996.3</v>
      </c>
      <c r="V165" s="7" t="n">
        <v>773.9</v>
      </c>
      <c r="X165" s="7" t="n">
        <v>1312.7</v>
      </c>
      <c r="Z165" s="7" t="n">
        <v>725.1</v>
      </c>
      <c r="AB165" s="7" t="n">
        <v>11419.9</v>
      </c>
    </row>
    <row r="166">
      <c r="A166" s="4" t="inlineStr">
        <is>
          <t>盘盈盘亏</t>
        </is>
      </c>
      <c r="D166" s="7" t="n">
        <v>358.2</v>
      </c>
      <c r="F166" s="7" t="n">
        <v>495.8</v>
      </c>
      <c r="H166" s="7" t="n">
        <v>895.9</v>
      </c>
      <c r="J166" s="7" t="n">
        <v>752.8</v>
      </c>
      <c r="L166" s="7" t="n">
        <v>982.3</v>
      </c>
      <c r="N166" s="7" t="n">
        <v>471.1</v>
      </c>
      <c r="P166" s="7" t="n">
        <v>604.6</v>
      </c>
      <c r="R166" s="7" t="n">
        <v>688</v>
      </c>
      <c r="T166" s="7" t="n">
        <v>695.2</v>
      </c>
      <c r="V166" s="7" t="n">
        <v>343.6</v>
      </c>
      <c r="X166" s="7" t="n">
        <v>918.9</v>
      </c>
      <c r="Z166" s="7" t="n">
        <v>526.9</v>
      </c>
      <c r="AB166" s="7" t="n">
        <v>7733.3</v>
      </c>
    </row>
    <row r="167">
      <c r="A167" s="4" t="inlineStr">
        <is>
          <t>平台服务费</t>
        </is>
      </c>
      <c r="D167" s="7" t="n">
        <v>568.4</v>
      </c>
      <c r="F167" s="7" t="n">
        <v>917.7</v>
      </c>
      <c r="H167" s="7" t="n">
        <v>1108.4</v>
      </c>
      <c r="J167" s="7" t="n">
        <v>1442.5</v>
      </c>
      <c r="L167" s="7" t="n">
        <v>1089.5</v>
      </c>
      <c r="N167" s="7" t="n">
        <v>927.3</v>
      </c>
      <c r="P167" s="7" t="n">
        <v>1313.7</v>
      </c>
      <c r="R167" s="7" t="n">
        <v>1180.7</v>
      </c>
      <c r="T167" s="7" t="n">
        <v>1198</v>
      </c>
      <c r="V167" s="7" t="n">
        <v>738</v>
      </c>
      <c r="X167" s="7" t="n">
        <v>1264.3</v>
      </c>
      <c r="Z167" s="7" t="n">
        <v>943</v>
      </c>
      <c r="AB167" s="7" t="n">
        <v>12691.5</v>
      </c>
    </row>
    <row r="168">
      <c r="A168" s="4" t="inlineStr">
        <is>
          <t>无形资产摊销</t>
        </is>
      </c>
      <c r="D168" s="7" t="n">
        <v>170.4</v>
      </c>
      <c r="F168" s="7" t="n">
        <v>450.9</v>
      </c>
      <c r="H168" s="7" t="n">
        <v>684.1</v>
      </c>
      <c r="J168" s="7" t="n">
        <v>478.4</v>
      </c>
      <c r="L168" s="7" t="n">
        <v>565.1</v>
      </c>
      <c r="N168" s="7" t="n">
        <v>321.7</v>
      </c>
      <c r="P168" s="7" t="n">
        <v>590.5</v>
      </c>
      <c r="R168" s="7" t="n">
        <v>386.6</v>
      </c>
      <c r="T168" s="7" t="n">
        <v>316.7</v>
      </c>
      <c r="V168" s="7" t="n">
        <v>387.9</v>
      </c>
      <c r="X168" s="7" t="n">
        <v>640.4</v>
      </c>
      <c r="Z168" s="7" t="n">
        <v>519.5</v>
      </c>
      <c r="AB168" s="7" t="n">
        <v>5512.2</v>
      </c>
    </row>
    <row r="169">
      <c r="A169" s="4" t="inlineStr">
        <is>
          <t>研发材料</t>
        </is>
      </c>
      <c r="D169" s="7" t="n">
        <v>372.6</v>
      </c>
      <c r="F169" s="7" t="n">
        <v>751.7</v>
      </c>
      <c r="H169" s="7" t="n">
        <v>1181.2</v>
      </c>
      <c r="J169" s="7" t="n">
        <v>1429.1</v>
      </c>
      <c r="L169" s="7" t="n">
        <v>1340.3</v>
      </c>
      <c r="N169" s="7" t="n">
        <v>1038</v>
      </c>
      <c r="P169" s="7" t="n">
        <v>1456.2</v>
      </c>
      <c r="R169" s="7" t="n">
        <v>948.4</v>
      </c>
      <c r="T169" s="7" t="n">
        <v>724.5</v>
      </c>
      <c r="V169" s="7" t="n">
        <v>525</v>
      </c>
      <c r="X169" s="7" t="n">
        <v>1471.1</v>
      </c>
      <c r="Z169" s="7" t="n">
        <v>702.3</v>
      </c>
      <c r="AB169" s="7" t="n">
        <v>11940.4</v>
      </c>
    </row>
    <row r="170">
      <c r="A170" s="4" t="inlineStr">
        <is>
          <t>项目名称</t>
        </is>
      </c>
      <c r="D170" s="7" t="n">
        <v>141</v>
      </c>
      <c r="F170" s="7" t="n">
        <v>293.7</v>
      </c>
      <c r="H170" s="7" t="n">
        <v>447.1</v>
      </c>
      <c r="J170" s="7" t="n">
        <v>222.4</v>
      </c>
      <c r="L170" s="7" t="n">
        <v>266</v>
      </c>
      <c r="N170" s="7" t="n">
        <v>249.7</v>
      </c>
      <c r="P170" s="7" t="n">
        <v>383</v>
      </c>
      <c r="R170" s="7" t="n">
        <v>282.4</v>
      </c>
      <c r="T170" s="7" t="n">
        <v>272.1</v>
      </c>
      <c r="V170" s="7" t="n">
        <v>176.3</v>
      </c>
      <c r="X170" s="7" t="n">
        <v>239.1</v>
      </c>
      <c r="Z170" s="7" t="n">
        <v>212.1</v>
      </c>
      <c r="AB170" s="7" t="n">
        <v>3184.9</v>
      </c>
    </row>
    <row r="171">
      <c r="A171" s="4" t="inlineStr">
        <is>
          <t>研发费</t>
        </is>
      </c>
      <c r="D171" s="7" t="n">
        <v>308.2</v>
      </c>
      <c r="F171" s="7" t="n">
        <v>615.3</v>
      </c>
      <c r="H171" s="7" t="n">
        <v>679.9</v>
      </c>
      <c r="J171" s="7" t="n">
        <v>756.7</v>
      </c>
      <c r="L171" s="7" t="n">
        <v>627</v>
      </c>
      <c r="N171" s="7" t="n">
        <v>381.7</v>
      </c>
      <c r="P171" s="7" t="n">
        <v>708.7</v>
      </c>
      <c r="R171" s="7" t="n">
        <v>554.7</v>
      </c>
      <c r="T171" s="7" t="n">
        <v>486.2</v>
      </c>
      <c r="V171" s="7" t="n">
        <v>466</v>
      </c>
      <c r="X171" s="7" t="n">
        <v>575.7</v>
      </c>
      <c r="Z171" s="7" t="n">
        <v>701</v>
      </c>
      <c r="AB171" s="7" t="n">
        <v>6861.1</v>
      </c>
    </row>
    <row r="172">
      <c r="A172" s="4" t="inlineStr">
        <is>
          <t>残保金</t>
        </is>
      </c>
      <c r="D172" s="7" t="n">
        <v>62.5</v>
      </c>
      <c r="F172" s="7" t="n">
        <v>129.5</v>
      </c>
      <c r="H172" s="7" t="n">
        <v>200.3</v>
      </c>
      <c r="J172" s="7" t="n">
        <v>177.5</v>
      </c>
      <c r="L172" s="7" t="n">
        <v>179.5</v>
      </c>
      <c r="N172" s="7" t="n">
        <v>183.4</v>
      </c>
      <c r="P172" s="7" t="n">
        <v>254</v>
      </c>
      <c r="R172" s="7" t="n">
        <v>167.5</v>
      </c>
      <c r="T172" s="7" t="n">
        <v>175.1</v>
      </c>
      <c r="V172" s="7" t="n">
        <v>146.9</v>
      </c>
      <c r="X172" s="7" t="n">
        <v>169.4</v>
      </c>
      <c r="Z172" s="7" t="n">
        <v>176.9</v>
      </c>
      <c r="AB172" s="7" t="n">
        <v>2022.5</v>
      </c>
    </row>
    <row r="173">
      <c r="A173" s="4" t="inlineStr">
        <is>
          <t>环保费</t>
        </is>
      </c>
      <c r="D173" s="7" t="n">
        <v>331.9</v>
      </c>
      <c r="F173" s="7" t="n">
        <v>646.1</v>
      </c>
      <c r="H173" s="7" t="n">
        <v>1225.1</v>
      </c>
      <c r="J173" s="7" t="n">
        <v>860.6</v>
      </c>
      <c r="L173" s="7" t="n">
        <v>967.4</v>
      </c>
      <c r="N173" s="7" t="n">
        <v>654.8</v>
      </c>
      <c r="P173" s="7" t="n">
        <v>1320.1</v>
      </c>
      <c r="R173" s="7" t="n">
        <v>853.3</v>
      </c>
      <c r="T173" s="7" t="n">
        <v>1041.3</v>
      </c>
      <c r="V173" s="7" t="n">
        <v>755.6</v>
      </c>
      <c r="X173" s="7" t="n">
        <v>1492.4</v>
      </c>
      <c r="Z173" s="7" t="n">
        <v>987.8</v>
      </c>
      <c r="AB173" s="7" t="n">
        <v>11136.4</v>
      </c>
    </row>
    <row r="174">
      <c r="A174" s="4" t="inlineStr">
        <is>
          <t>报废损失</t>
        </is>
      </c>
      <c r="D174" s="7" t="n">
        <v>450.7</v>
      </c>
      <c r="F174" s="7" t="n">
        <v>1129.7</v>
      </c>
      <c r="H174" s="7" t="n">
        <v>1850.1</v>
      </c>
      <c r="J174" s="7" t="n">
        <v>998.9</v>
      </c>
      <c r="L174" s="7" t="n">
        <v>1560</v>
      </c>
      <c r="N174" s="7" t="n">
        <v>1015.7</v>
      </c>
      <c r="P174" s="7" t="n">
        <v>1314.1</v>
      </c>
      <c r="R174" s="7" t="n">
        <v>1125.7</v>
      </c>
      <c r="T174" s="7" t="n">
        <v>1258.3</v>
      </c>
      <c r="V174" s="7" t="n">
        <v>837.7</v>
      </c>
      <c r="X174" s="7" t="n">
        <v>1821.9</v>
      </c>
      <c r="Z174" s="7" t="n">
        <v>1267.4</v>
      </c>
      <c r="AB174" s="7" t="n">
        <v>14630.2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85109.39999999999</v>
      </c>
      <c r="D175" s="7" t="n">
        <v>77813.10000000001</v>
      </c>
      <c r="E175" s="7" t="n">
        <v>92823.2</v>
      </c>
      <c r="F175" s="7" t="n">
        <v>34099.4</v>
      </c>
      <c r="G175" s="7" t="n">
        <v>72584.89999999999</v>
      </c>
      <c r="H175" s="7" t="n">
        <v>113621.9</v>
      </c>
      <c r="I175" s="7" t="n">
        <v>75907.89999999999</v>
      </c>
      <c r="J175" s="7" t="n">
        <v>69223.2</v>
      </c>
      <c r="K175" s="7" t="n">
        <v>72066.2</v>
      </c>
      <c r="L175" s="7" t="n">
        <v>57570.6</v>
      </c>
      <c r="M175" s="7" t="n">
        <v>89368.60000000001</v>
      </c>
      <c r="N175" s="7" t="n">
        <v>95347</v>
      </c>
      <c r="O175" s="7" t="n">
        <v>83320.7</v>
      </c>
      <c r="P175" s="7" t="n">
        <v>152675.4</v>
      </c>
      <c r="Q175" s="7" t="n">
        <v>85978</v>
      </c>
      <c r="R175" s="7" t="n">
        <v>117509.6</v>
      </c>
      <c r="S175" s="7" t="n">
        <v>77854.5</v>
      </c>
      <c r="T175" s="7" t="n">
        <v>106050.3</v>
      </c>
      <c r="U175" s="7" t="n">
        <v>92475.10000000001</v>
      </c>
      <c r="V175" s="7" t="n">
        <v>57835.8</v>
      </c>
      <c r="W175" s="7" t="n">
        <v>86487.60000000001</v>
      </c>
      <c r="X175" s="7" t="n">
        <v>63742.4</v>
      </c>
      <c r="Y175" s="7" t="n">
        <v>89360.2</v>
      </c>
      <c r="Z175" s="7" t="n">
        <v>27674.7</v>
      </c>
      <c r="AA175" s="8" t="n">
        <v>1003336.3</v>
      </c>
      <c r="AB175" s="8" t="n">
        <v>973163.4</v>
      </c>
    </row>
    <row r="176">
      <c r="A176" s="4" t="inlineStr">
        <is>
          <t>职工薪酬</t>
        </is>
      </c>
      <c r="D176" s="7" t="n">
        <v>46669</v>
      </c>
      <c r="F176" s="7" t="n">
        <v>16217.1</v>
      </c>
      <c r="H176" s="7" t="n">
        <v>53572.2</v>
      </c>
      <c r="J176" s="7" t="n">
        <v>36815.6</v>
      </c>
      <c r="L176" s="7" t="n">
        <v>30889.7</v>
      </c>
      <c r="N176" s="7" t="n">
        <v>43206.4</v>
      </c>
      <c r="P176" s="7" t="n">
        <v>71698.10000000001</v>
      </c>
      <c r="R176" s="7" t="n">
        <v>51819.3</v>
      </c>
      <c r="T176" s="7" t="n">
        <v>60234</v>
      </c>
      <c r="V176" s="7" t="n">
        <v>27229.1</v>
      </c>
      <c r="X176" s="7" t="n">
        <v>27145.9</v>
      </c>
      <c r="Z176" s="7" t="n">
        <v>16534.4</v>
      </c>
      <c r="AB176" s="7" t="n">
        <v>482030.8</v>
      </c>
    </row>
    <row r="177">
      <c r="A177" s="4" t="inlineStr">
        <is>
          <t>工资</t>
        </is>
      </c>
      <c r="D177" s="7" t="n">
        <v>29911.3</v>
      </c>
      <c r="F177" s="7" t="n">
        <v>7889.1</v>
      </c>
      <c r="H177" s="7" t="n">
        <v>29494.3</v>
      </c>
      <c r="J177" s="7" t="n">
        <v>19818.3</v>
      </c>
      <c r="L177" s="7" t="n">
        <v>15810.2</v>
      </c>
      <c r="N177" s="7" t="n">
        <v>25628.8</v>
      </c>
      <c r="P177" s="7" t="n">
        <v>42139.1</v>
      </c>
      <c r="R177" s="7" t="n">
        <v>31169.4</v>
      </c>
      <c r="T177" s="7" t="n">
        <v>39909.2</v>
      </c>
      <c r="V177" s="7" t="n">
        <v>14352.7</v>
      </c>
      <c r="X177" s="7" t="n">
        <v>13696.2</v>
      </c>
      <c r="Z177" s="7" t="n">
        <v>10501.8</v>
      </c>
      <c r="AB177" s="7" t="n">
        <v>280320.4</v>
      </c>
    </row>
    <row r="178">
      <c r="A178" s="4" t="inlineStr">
        <is>
          <t>奖金及提成</t>
        </is>
      </c>
      <c r="D178" s="7" t="n">
        <v>9593.299999999999</v>
      </c>
      <c r="F178" s="7" t="n">
        <v>3979.8</v>
      </c>
      <c r="H178" s="7" t="n">
        <v>8128.4</v>
      </c>
      <c r="J178" s="7" t="n">
        <v>8957.9</v>
      </c>
      <c r="L178" s="7" t="n">
        <v>7243</v>
      </c>
      <c r="N178" s="7" t="n">
        <v>9091.1</v>
      </c>
      <c r="P178" s="7" t="n">
        <v>14001.8</v>
      </c>
      <c r="R178" s="7" t="n">
        <v>9367.5</v>
      </c>
      <c r="T178" s="7" t="n">
        <v>8892.1</v>
      </c>
      <c r="V178" s="7" t="n">
        <v>5765.7</v>
      </c>
      <c r="X178" s="7" t="n">
        <v>4692.6</v>
      </c>
      <c r="Z178" s="7" t="n">
        <v>2932</v>
      </c>
      <c r="AB178" s="7" t="n">
        <v>92645.2</v>
      </c>
    </row>
    <row r="179">
      <c r="A179" s="4" t="inlineStr">
        <is>
          <t>社保</t>
        </is>
      </c>
      <c r="D179" s="7" t="n">
        <v>4587.3</v>
      </c>
      <c r="F179" s="7" t="n">
        <v>3086.1</v>
      </c>
      <c r="H179" s="7" t="n">
        <v>11620.3</v>
      </c>
      <c r="J179" s="7" t="n">
        <v>5309.3</v>
      </c>
      <c r="L179" s="7" t="n">
        <v>5605.9</v>
      </c>
      <c r="N179" s="7" t="n">
        <v>5441.9</v>
      </c>
      <c r="P179" s="7" t="n">
        <v>10222.2</v>
      </c>
      <c r="R179" s="7" t="n">
        <v>7294</v>
      </c>
      <c r="T179" s="7" t="n">
        <v>7371.3</v>
      </c>
      <c r="V179" s="7" t="n">
        <v>5043.5</v>
      </c>
      <c r="X179" s="7" t="n">
        <v>6326.7</v>
      </c>
      <c r="Z179" s="7" t="n">
        <v>2004.6</v>
      </c>
      <c r="AB179" s="7" t="n">
        <v>73913.10000000001</v>
      </c>
    </row>
    <row r="180">
      <c r="A180" s="4" t="inlineStr">
        <is>
          <t>养老</t>
        </is>
      </c>
      <c r="D180" s="7" t="n">
        <v>162.3</v>
      </c>
      <c r="F180" s="7" t="n">
        <v>69.90000000000001</v>
      </c>
      <c r="H180" s="7" t="n">
        <v>216</v>
      </c>
      <c r="J180" s="7" t="n">
        <v>128.6</v>
      </c>
      <c r="L180" s="7" t="n">
        <v>82.09999999999999</v>
      </c>
      <c r="N180" s="7" t="n">
        <v>183.8</v>
      </c>
      <c r="P180" s="7" t="n">
        <v>227.7</v>
      </c>
      <c r="R180" s="7" t="n">
        <v>171</v>
      </c>
      <c r="T180" s="7" t="n">
        <v>140.7</v>
      </c>
      <c r="V180" s="7" t="n">
        <v>105.9</v>
      </c>
      <c r="X180" s="7" t="n">
        <v>135.8</v>
      </c>
      <c r="Z180" s="7" t="n">
        <v>44.7</v>
      </c>
      <c r="AB180" s="7" t="n">
        <v>1668.5</v>
      </c>
    </row>
    <row r="181">
      <c r="A181" s="4" t="inlineStr">
        <is>
          <t>医疗</t>
        </is>
      </c>
      <c r="D181" s="7" t="n">
        <v>316.2</v>
      </c>
      <c r="F181" s="7" t="n">
        <v>120.3</v>
      </c>
      <c r="H181" s="7" t="n">
        <v>340.7</v>
      </c>
      <c r="J181" s="7" t="n">
        <v>278.5</v>
      </c>
      <c r="L181" s="7" t="n">
        <v>165.8</v>
      </c>
      <c r="N181" s="7" t="n">
        <v>229.3</v>
      </c>
      <c r="P181" s="7" t="n">
        <v>479.9</v>
      </c>
      <c r="R181" s="7" t="n">
        <v>423.1</v>
      </c>
      <c r="T181" s="7" t="n">
        <v>448.3</v>
      </c>
      <c r="V181" s="7" t="n">
        <v>173.8</v>
      </c>
      <c r="X181" s="7" t="n">
        <v>198.2</v>
      </c>
      <c r="Z181" s="7" t="n">
        <v>72.40000000000001</v>
      </c>
      <c r="AB181" s="7" t="n">
        <v>3246.5</v>
      </c>
    </row>
    <row r="182">
      <c r="A182" s="4" t="inlineStr">
        <is>
          <t>工伤</t>
        </is>
      </c>
      <c r="D182" s="7" t="n">
        <v>124</v>
      </c>
      <c r="F182" s="7" t="n">
        <v>42</v>
      </c>
      <c r="H182" s="7" t="n">
        <v>220.4</v>
      </c>
      <c r="J182" s="7" t="n">
        <v>95</v>
      </c>
      <c r="L182" s="7" t="n">
        <v>89.2</v>
      </c>
      <c r="N182" s="7" t="n">
        <v>117.9</v>
      </c>
      <c r="P182" s="7" t="n">
        <v>254.5</v>
      </c>
      <c r="R182" s="7" t="n">
        <v>220.3</v>
      </c>
      <c r="T182" s="7" t="n">
        <v>201.7</v>
      </c>
      <c r="V182" s="7" t="n">
        <v>94.09999999999999</v>
      </c>
      <c r="X182" s="7" t="n">
        <v>74.40000000000001</v>
      </c>
      <c r="Z182" s="7" t="n">
        <v>32</v>
      </c>
      <c r="AB182" s="7" t="n">
        <v>1565.5</v>
      </c>
    </row>
    <row r="183">
      <c r="A183" s="4" t="inlineStr">
        <is>
          <t>失业</t>
        </is>
      </c>
      <c r="D183" s="7" t="n">
        <v>546.7</v>
      </c>
      <c r="F183" s="7" t="n">
        <v>210.4</v>
      </c>
      <c r="H183" s="7" t="n">
        <v>516.3</v>
      </c>
      <c r="J183" s="7" t="n">
        <v>388.6</v>
      </c>
      <c r="L183" s="7" t="n">
        <v>398.5</v>
      </c>
      <c r="N183" s="7" t="n">
        <v>429.7</v>
      </c>
      <c r="P183" s="7" t="n">
        <v>727.4</v>
      </c>
      <c r="R183" s="7" t="n">
        <v>709.2</v>
      </c>
      <c r="T183" s="7" t="n">
        <v>650.7</v>
      </c>
      <c r="V183" s="7" t="n">
        <v>349.2</v>
      </c>
      <c r="X183" s="7" t="n">
        <v>452.4</v>
      </c>
      <c r="Z183" s="7" t="n">
        <v>182.3</v>
      </c>
      <c r="AB183" s="7" t="n">
        <v>5561.4</v>
      </c>
    </row>
    <row r="184">
      <c r="A184" s="4" t="inlineStr">
        <is>
          <t>生育</t>
        </is>
      </c>
      <c r="D184" s="7" t="n">
        <v>180.2</v>
      </c>
      <c r="F184" s="7" t="n">
        <v>71.90000000000001</v>
      </c>
      <c r="H184" s="7" t="n">
        <v>377.6</v>
      </c>
      <c r="J184" s="7" t="n">
        <v>261.1</v>
      </c>
      <c r="L184" s="7" t="n">
        <v>189.8</v>
      </c>
      <c r="N184" s="7" t="n">
        <v>273.8</v>
      </c>
      <c r="P184" s="7" t="n">
        <v>366.4</v>
      </c>
      <c r="R184" s="7" t="n">
        <v>250.3</v>
      </c>
      <c r="T184" s="7" t="n">
        <v>302.6</v>
      </c>
      <c r="V184" s="7" t="n">
        <v>144</v>
      </c>
      <c r="X184" s="7" t="n">
        <v>182.9</v>
      </c>
      <c r="Z184" s="7" t="n">
        <v>68.09999999999999</v>
      </c>
      <c r="AB184" s="7" t="n">
        <v>2668.7</v>
      </c>
    </row>
    <row r="185">
      <c r="A185" s="4" t="inlineStr">
        <is>
          <t>公积金</t>
        </is>
      </c>
      <c r="D185" s="7" t="n">
        <v>29.6</v>
      </c>
      <c r="F185" s="7" t="n">
        <v>21.8</v>
      </c>
      <c r="H185" s="7" t="n">
        <v>54.4</v>
      </c>
      <c r="J185" s="7" t="n">
        <v>36.8</v>
      </c>
      <c r="L185" s="7" t="n">
        <v>26</v>
      </c>
      <c r="N185" s="7" t="n">
        <v>43.9</v>
      </c>
      <c r="P185" s="7" t="n">
        <v>94.2</v>
      </c>
      <c r="R185" s="7" t="n">
        <v>49.4</v>
      </c>
      <c r="T185" s="7" t="n">
        <v>62.2</v>
      </c>
      <c r="V185" s="7" t="n">
        <v>21.6</v>
      </c>
      <c r="X185" s="7" t="n">
        <v>34.6</v>
      </c>
      <c r="Z185" s="7" t="n">
        <v>11.7</v>
      </c>
      <c r="AB185" s="7" t="n">
        <v>486.2</v>
      </c>
    </row>
    <row r="186">
      <c r="A186" s="4" t="inlineStr">
        <is>
          <t>工会经费</t>
        </is>
      </c>
      <c r="D186" s="7" t="n">
        <v>275.9</v>
      </c>
      <c r="F186" s="7" t="n">
        <v>108.6</v>
      </c>
      <c r="H186" s="7" t="n">
        <v>378.5</v>
      </c>
      <c r="J186" s="7" t="n">
        <v>231.1</v>
      </c>
      <c r="L186" s="7" t="n">
        <v>171.1</v>
      </c>
      <c r="N186" s="7" t="n">
        <v>238.6</v>
      </c>
      <c r="P186" s="7" t="n">
        <v>411.1</v>
      </c>
      <c r="R186" s="7" t="n">
        <v>288.1</v>
      </c>
      <c r="T186" s="7" t="n">
        <v>303</v>
      </c>
      <c r="V186" s="7" t="n">
        <v>222.3</v>
      </c>
      <c r="X186" s="7" t="n">
        <v>271.9</v>
      </c>
      <c r="Z186" s="7" t="n">
        <v>79.09999999999999</v>
      </c>
      <c r="AB186" s="7" t="n">
        <v>2979.3</v>
      </c>
    </row>
    <row r="187">
      <c r="A187" s="4" t="inlineStr">
        <is>
          <t>职工教育经费</t>
        </is>
      </c>
      <c r="D187" s="7" t="n">
        <v>245.2</v>
      </c>
      <c r="F187" s="7" t="n">
        <v>112.7</v>
      </c>
      <c r="H187" s="7" t="n">
        <v>289.1</v>
      </c>
      <c r="J187" s="7" t="n">
        <v>155.8</v>
      </c>
      <c r="L187" s="7" t="n">
        <v>146.3</v>
      </c>
      <c r="N187" s="7" t="n">
        <v>235.6</v>
      </c>
      <c r="P187" s="7" t="n">
        <v>481.2</v>
      </c>
      <c r="R187" s="7" t="n">
        <v>231.8</v>
      </c>
      <c r="T187" s="7" t="n">
        <v>294.3</v>
      </c>
      <c r="V187" s="7" t="n">
        <v>154.9</v>
      </c>
      <c r="X187" s="7" t="n">
        <v>201.7</v>
      </c>
      <c r="Z187" s="7" t="n">
        <v>81.8</v>
      </c>
      <c r="AB187" s="7" t="n">
        <v>2630.4</v>
      </c>
    </row>
    <row r="188">
      <c r="A188" s="4" t="inlineStr">
        <is>
          <t>福利费</t>
        </is>
      </c>
      <c r="D188" s="7" t="n">
        <v>2026.4</v>
      </c>
      <c r="F188" s="7" t="n">
        <v>1019</v>
      </c>
      <c r="H188" s="7" t="n">
        <v>3607.2</v>
      </c>
      <c r="J188" s="7" t="n">
        <v>2306.4</v>
      </c>
      <c r="L188" s="7" t="n">
        <v>1887.2</v>
      </c>
      <c r="N188" s="7" t="n">
        <v>2526.5</v>
      </c>
      <c r="P188" s="7" t="n">
        <v>4348.5</v>
      </c>
      <c r="R188" s="7" t="n">
        <v>3419.1</v>
      </c>
      <c r="T188" s="7" t="n">
        <v>3401.9</v>
      </c>
      <c r="V188" s="7" t="n">
        <v>1668.4</v>
      </c>
      <c r="X188" s="7" t="n">
        <v>1922.2</v>
      </c>
      <c r="Z188" s="7" t="n">
        <v>923.4</v>
      </c>
      <c r="AB188" s="7" t="n">
        <v>29056.2</v>
      </c>
    </row>
    <row r="189">
      <c r="A189" s="4" t="inlineStr">
        <is>
          <t>职工房租</t>
        </is>
      </c>
      <c r="D189" s="7" t="n">
        <v>263.4</v>
      </c>
      <c r="F189" s="7" t="n">
        <v>126.9</v>
      </c>
      <c r="H189" s="7" t="n">
        <v>353.5</v>
      </c>
      <c r="J189" s="7" t="n">
        <v>330.7</v>
      </c>
      <c r="L189" s="7" t="n">
        <v>264.5</v>
      </c>
      <c r="N189" s="7" t="n">
        <v>427.7</v>
      </c>
      <c r="P189" s="7" t="n">
        <v>844.1</v>
      </c>
      <c r="R189" s="7" t="n">
        <v>380.5</v>
      </c>
      <c r="T189" s="7" t="n">
        <v>523.3</v>
      </c>
      <c r="V189" s="7" t="n">
        <v>291.8</v>
      </c>
      <c r="X189" s="7" t="n">
        <v>338.4</v>
      </c>
      <c r="Z189" s="7" t="n">
        <v>130.5</v>
      </c>
      <c r="AB189" s="7" t="n">
        <v>4275.3</v>
      </c>
    </row>
    <row r="190">
      <c r="A190" s="4" t="inlineStr">
        <is>
          <t>水电物业费</t>
        </is>
      </c>
      <c r="D190" s="7" t="n">
        <v>96.5</v>
      </c>
      <c r="F190" s="7" t="n">
        <v>51.2</v>
      </c>
      <c r="H190" s="7" t="n">
        <v>260.8</v>
      </c>
      <c r="J190" s="7" t="n">
        <v>90.5</v>
      </c>
      <c r="L190" s="7" t="n">
        <v>119.1</v>
      </c>
      <c r="N190" s="7" t="n">
        <v>122.3</v>
      </c>
      <c r="P190" s="7" t="n">
        <v>287.8</v>
      </c>
      <c r="R190" s="7" t="n">
        <v>207.9</v>
      </c>
      <c r="T190" s="7" t="n">
        <v>222.1</v>
      </c>
      <c r="V190" s="7" t="n">
        <v>89.8</v>
      </c>
      <c r="X190" s="7" t="n">
        <v>135</v>
      </c>
      <c r="Z190" s="7" t="n">
        <v>58.4</v>
      </c>
      <c r="AB190" s="7" t="n">
        <v>1741.4</v>
      </c>
    </row>
    <row r="191">
      <c r="A191" s="4" t="inlineStr">
        <is>
          <t>员工餐</t>
        </is>
      </c>
      <c r="D191" s="7" t="n">
        <v>444.3</v>
      </c>
      <c r="F191" s="7" t="n">
        <v>221</v>
      </c>
      <c r="H191" s="7" t="n">
        <v>895.8</v>
      </c>
      <c r="J191" s="7" t="n">
        <v>457</v>
      </c>
      <c r="L191" s="7" t="n">
        <v>382</v>
      </c>
      <c r="N191" s="7" t="n">
        <v>476</v>
      </c>
      <c r="P191" s="7" t="n">
        <v>980.7</v>
      </c>
      <c r="R191" s="7" t="n">
        <v>795.6</v>
      </c>
      <c r="T191" s="7" t="n">
        <v>767.8</v>
      </c>
      <c r="V191" s="7" t="n">
        <v>327.5</v>
      </c>
      <c r="X191" s="7" t="n">
        <v>401.6</v>
      </c>
      <c r="Z191" s="7" t="n">
        <v>147.7</v>
      </c>
      <c r="AB191" s="7" t="n">
        <v>6297</v>
      </c>
    </row>
    <row r="192">
      <c r="A192" s="4" t="inlineStr">
        <is>
          <t>节日礼品</t>
        </is>
      </c>
      <c r="D192" s="7" t="n">
        <v>194.8</v>
      </c>
      <c r="F192" s="7" t="n">
        <v>69.8</v>
      </c>
      <c r="H192" s="7" t="n">
        <v>254</v>
      </c>
      <c r="J192" s="7" t="n">
        <v>162.6</v>
      </c>
      <c r="L192" s="7" t="n">
        <v>113.2</v>
      </c>
      <c r="N192" s="7" t="n">
        <v>253.8</v>
      </c>
      <c r="P192" s="7" t="n">
        <v>353.6</v>
      </c>
      <c r="R192" s="7" t="n">
        <v>265.9</v>
      </c>
      <c r="T192" s="7" t="n">
        <v>229.9</v>
      </c>
      <c r="V192" s="7" t="n">
        <v>139.2</v>
      </c>
      <c r="X192" s="7" t="n">
        <v>139.1</v>
      </c>
      <c r="Z192" s="7" t="n">
        <v>85.2</v>
      </c>
      <c r="AB192" s="7" t="n">
        <v>2261.1</v>
      </c>
    </row>
    <row r="193">
      <c r="A193" s="4" t="inlineStr">
        <is>
          <t>生日礼品</t>
        </is>
      </c>
      <c r="D193" s="7" t="n">
        <v>543.7</v>
      </c>
      <c r="F193" s="7" t="n">
        <v>228.6</v>
      </c>
      <c r="H193" s="7" t="n">
        <v>756.3</v>
      </c>
      <c r="J193" s="7" t="n">
        <v>547.5</v>
      </c>
      <c r="L193" s="7" t="n">
        <v>473.6</v>
      </c>
      <c r="N193" s="7" t="n">
        <v>585.1</v>
      </c>
      <c r="P193" s="7" t="n">
        <v>686.2</v>
      </c>
      <c r="R193" s="7" t="n">
        <v>839.7</v>
      </c>
      <c r="T193" s="7" t="n">
        <v>838.4</v>
      </c>
      <c r="V193" s="7" t="n">
        <v>293.1</v>
      </c>
      <c r="X193" s="7" t="n">
        <v>387.4</v>
      </c>
      <c r="Z193" s="7" t="n">
        <v>226.9</v>
      </c>
      <c r="AB193" s="7" t="n">
        <v>6406.5</v>
      </c>
    </row>
    <row r="194">
      <c r="A194" s="4" t="inlineStr">
        <is>
          <t>体检</t>
        </is>
      </c>
      <c r="D194" s="7" t="n">
        <v>241.2</v>
      </c>
      <c r="F194" s="7" t="n">
        <v>144.8</v>
      </c>
      <c r="H194" s="7" t="n">
        <v>496.6</v>
      </c>
      <c r="J194" s="7" t="n">
        <v>357.3</v>
      </c>
      <c r="L194" s="7" t="n">
        <v>255.3</v>
      </c>
      <c r="N194" s="7" t="n">
        <v>331.5</v>
      </c>
      <c r="P194" s="7" t="n">
        <v>498.1</v>
      </c>
      <c r="R194" s="7" t="n">
        <v>372.9</v>
      </c>
      <c r="T194" s="7" t="n">
        <v>365.1</v>
      </c>
      <c r="V194" s="7" t="n">
        <v>275.3</v>
      </c>
      <c r="X194" s="7" t="n">
        <v>197.7</v>
      </c>
      <c r="Z194" s="7" t="n">
        <v>141.6</v>
      </c>
      <c r="AB194" s="7" t="n">
        <v>3677.4</v>
      </c>
    </row>
    <row r="195">
      <c r="A195" s="4" t="inlineStr">
        <is>
          <t>其他福利支出</t>
        </is>
      </c>
      <c r="D195" s="7" t="n">
        <v>242.5</v>
      </c>
      <c r="F195" s="7" t="n">
        <v>176.7</v>
      </c>
      <c r="H195" s="7" t="n">
        <v>590.2</v>
      </c>
      <c r="J195" s="7" t="n">
        <v>360.8</v>
      </c>
      <c r="L195" s="7" t="n">
        <v>279.5</v>
      </c>
      <c r="N195" s="7" t="n">
        <v>330.1</v>
      </c>
      <c r="P195" s="7" t="n">
        <v>698</v>
      </c>
      <c r="R195" s="7" t="n">
        <v>556.6</v>
      </c>
      <c r="T195" s="7" t="n">
        <v>455.3</v>
      </c>
      <c r="V195" s="7" t="n">
        <v>251.7</v>
      </c>
      <c r="X195" s="7" t="n">
        <v>323</v>
      </c>
      <c r="Z195" s="7" t="n">
        <v>133.1</v>
      </c>
      <c r="AB195" s="7" t="n">
        <v>4397.5</v>
      </c>
    </row>
    <row r="196">
      <c r="A196" s="4" t="inlineStr">
        <is>
          <t>招聘费</t>
        </is>
      </c>
      <c r="D196" s="7" t="n">
        <v>180.4</v>
      </c>
      <c r="F196" s="7" t="n">
        <v>77</v>
      </c>
      <c r="H196" s="7" t="n">
        <v>429.7</v>
      </c>
      <c r="J196" s="7" t="n">
        <v>260.1</v>
      </c>
      <c r="L196" s="7" t="n">
        <v>192.8</v>
      </c>
      <c r="N196" s="7" t="n">
        <v>286.8</v>
      </c>
      <c r="P196" s="7" t="n">
        <v>483</v>
      </c>
      <c r="R196" s="7" t="n">
        <v>442</v>
      </c>
      <c r="T196" s="7" t="n">
        <v>392</v>
      </c>
      <c r="V196" s="7" t="n">
        <v>171</v>
      </c>
      <c r="X196" s="7" t="n">
        <v>223</v>
      </c>
      <c r="Z196" s="7" t="n">
        <v>98.59999999999999</v>
      </c>
      <c r="AB196" s="7" t="n">
        <v>3236.4</v>
      </c>
    </row>
    <row r="197">
      <c r="A197" s="4" t="inlineStr">
        <is>
          <t>办公费</t>
        </is>
      </c>
      <c r="D197" s="7" t="n">
        <v>2993.4</v>
      </c>
      <c r="F197" s="7" t="n">
        <v>1285.7</v>
      </c>
      <c r="H197" s="7" t="n">
        <v>4214.8</v>
      </c>
      <c r="J197" s="7" t="n">
        <v>1832.6</v>
      </c>
      <c r="L197" s="7" t="n">
        <v>1352.2</v>
      </c>
      <c r="N197" s="7" t="n">
        <v>3302.9</v>
      </c>
      <c r="P197" s="7" t="n">
        <v>4446.4</v>
      </c>
      <c r="R197" s="7" t="n">
        <v>4329.4</v>
      </c>
      <c r="T197" s="7" t="n">
        <v>2906.7</v>
      </c>
      <c r="V197" s="7" t="n">
        <v>1748.8</v>
      </c>
      <c r="X197" s="7" t="n">
        <v>2402.3</v>
      </c>
      <c r="Z197" s="7" t="n">
        <v>865.7</v>
      </c>
      <c r="AB197" s="7" t="n">
        <v>31680.9</v>
      </c>
    </row>
    <row r="198">
      <c r="A198" s="4" t="inlineStr">
        <is>
          <t>市内交通费</t>
        </is>
      </c>
      <c r="D198" s="7" t="n">
        <v>225.6</v>
      </c>
      <c r="F198" s="7" t="n">
        <v>94.8</v>
      </c>
      <c r="H198" s="7" t="n">
        <v>231.9</v>
      </c>
      <c r="J198" s="7" t="n">
        <v>160.6</v>
      </c>
      <c r="L198" s="7" t="n">
        <v>197.3</v>
      </c>
      <c r="N198" s="7" t="n">
        <v>235.6</v>
      </c>
      <c r="P198" s="7" t="n">
        <v>321</v>
      </c>
      <c r="R198" s="7" t="n">
        <v>334.1</v>
      </c>
      <c r="T198" s="7" t="n">
        <v>301.3</v>
      </c>
      <c r="V198" s="7" t="n">
        <v>126.3</v>
      </c>
      <c r="X198" s="7" t="n">
        <v>221.9</v>
      </c>
      <c r="Z198" s="7" t="n">
        <v>96.3</v>
      </c>
      <c r="AB198" s="7" t="n">
        <v>2546.7</v>
      </c>
    </row>
    <row r="199">
      <c r="A199" s="4" t="inlineStr">
        <is>
          <t>差旅费</t>
        </is>
      </c>
      <c r="D199" s="7" t="n">
        <v>4333.3</v>
      </c>
      <c r="F199" s="7" t="n">
        <v>1536.7</v>
      </c>
      <c r="H199" s="7" t="n">
        <v>7208.7</v>
      </c>
      <c r="J199" s="7" t="n">
        <v>3135.4</v>
      </c>
      <c r="L199" s="7" t="n">
        <v>3760.9</v>
      </c>
      <c r="N199" s="7" t="n">
        <v>4293</v>
      </c>
      <c r="P199" s="7" t="n">
        <v>7279.9</v>
      </c>
      <c r="R199" s="7" t="n">
        <v>8704.6</v>
      </c>
      <c r="T199" s="7" t="n">
        <v>7028.6</v>
      </c>
      <c r="V199" s="7" t="n">
        <v>3658.4</v>
      </c>
      <c r="X199" s="7" t="n">
        <v>4493.4</v>
      </c>
      <c r="Z199" s="7" t="n">
        <v>1760</v>
      </c>
      <c r="AB199" s="7" t="n">
        <v>57192.9</v>
      </c>
    </row>
    <row r="200">
      <c r="A200" s="4" t="inlineStr">
        <is>
          <t>交通费</t>
        </is>
      </c>
      <c r="D200" s="7" t="n">
        <v>268.4</v>
      </c>
      <c r="F200" s="7" t="n">
        <v>74.8</v>
      </c>
      <c r="H200" s="7" t="n">
        <v>358.3</v>
      </c>
      <c r="J200" s="7" t="n">
        <v>179.8</v>
      </c>
      <c r="L200" s="7" t="n">
        <v>202.4</v>
      </c>
      <c r="N200" s="7" t="n">
        <v>291.8</v>
      </c>
      <c r="P200" s="7" t="n">
        <v>512.5</v>
      </c>
      <c r="R200" s="7" t="n">
        <v>358.5</v>
      </c>
      <c r="T200" s="7" t="n">
        <v>215</v>
      </c>
      <c r="V200" s="7" t="n">
        <v>116.6</v>
      </c>
      <c r="X200" s="7" t="n">
        <v>161.6</v>
      </c>
      <c r="Z200" s="7" t="n">
        <v>86.7</v>
      </c>
      <c r="AB200" s="7" t="n">
        <v>2826.4</v>
      </c>
    </row>
    <row r="201">
      <c r="A201" s="4" t="inlineStr">
        <is>
          <t>住宿费</t>
        </is>
      </c>
      <c r="D201" s="7" t="n">
        <v>155</v>
      </c>
      <c r="F201" s="7" t="n">
        <v>67.90000000000001</v>
      </c>
      <c r="H201" s="7" t="n">
        <v>183.9</v>
      </c>
      <c r="J201" s="7" t="n">
        <v>107.2</v>
      </c>
      <c r="L201" s="7" t="n">
        <v>70.90000000000001</v>
      </c>
      <c r="N201" s="7" t="n">
        <v>200.5</v>
      </c>
      <c r="P201" s="7" t="n">
        <v>281.1</v>
      </c>
      <c r="R201" s="7" t="n">
        <v>160.7</v>
      </c>
      <c r="T201" s="7" t="n">
        <v>156.6</v>
      </c>
      <c r="V201" s="7" t="n">
        <v>121.3</v>
      </c>
      <c r="X201" s="7" t="n">
        <v>120.5</v>
      </c>
      <c r="Z201" s="7" t="n">
        <v>48.6</v>
      </c>
      <c r="AB201" s="7" t="n">
        <v>1674.2</v>
      </c>
    </row>
    <row r="202">
      <c r="A202" s="4" t="inlineStr">
        <is>
          <t>餐补</t>
        </is>
      </c>
      <c r="D202" s="7" t="n">
        <v>157.6</v>
      </c>
      <c r="F202" s="7" t="n">
        <v>57</v>
      </c>
      <c r="H202" s="7" t="n">
        <v>312.6</v>
      </c>
      <c r="J202" s="7" t="n">
        <v>158.7</v>
      </c>
      <c r="L202" s="7" t="n">
        <v>152.9</v>
      </c>
      <c r="N202" s="7" t="n">
        <v>228.2</v>
      </c>
      <c r="P202" s="7" t="n">
        <v>362</v>
      </c>
      <c r="R202" s="7" t="n">
        <v>207.8</v>
      </c>
      <c r="T202" s="7" t="n">
        <v>251.3</v>
      </c>
      <c r="V202" s="7" t="n">
        <v>155.6</v>
      </c>
      <c r="X202" s="7" t="n">
        <v>174.9</v>
      </c>
      <c r="Z202" s="7" t="n">
        <v>67.8</v>
      </c>
      <c r="AB202" s="7" t="n">
        <v>2286.4</v>
      </c>
    </row>
    <row r="203">
      <c r="A203" s="4" t="inlineStr">
        <is>
          <t>交通补助</t>
        </is>
      </c>
      <c r="D203" s="7" t="n">
        <v>153.9</v>
      </c>
      <c r="F203" s="7" t="n">
        <v>58.9</v>
      </c>
      <c r="H203" s="7" t="n">
        <v>179.1</v>
      </c>
      <c r="J203" s="7" t="n">
        <v>110.3</v>
      </c>
      <c r="L203" s="7" t="n">
        <v>114</v>
      </c>
      <c r="N203" s="7" t="n">
        <v>126.6</v>
      </c>
      <c r="P203" s="7" t="n">
        <v>275.4</v>
      </c>
      <c r="R203" s="7" t="n">
        <v>193.5</v>
      </c>
      <c r="T203" s="7" t="n">
        <v>145.4</v>
      </c>
      <c r="V203" s="7" t="n">
        <v>75.90000000000001</v>
      </c>
      <c r="X203" s="7" t="n">
        <v>122.6</v>
      </c>
      <c r="Z203" s="7" t="n">
        <v>39.1</v>
      </c>
      <c r="AB203" s="7" t="n">
        <v>1594.7</v>
      </c>
    </row>
    <row r="204">
      <c r="A204" s="4" t="inlineStr">
        <is>
          <t>通讯补助</t>
        </is>
      </c>
      <c r="D204" s="7" t="n">
        <v>93.59999999999999</v>
      </c>
      <c r="F204" s="7" t="n">
        <v>29.1</v>
      </c>
      <c r="H204" s="7" t="n">
        <v>122.6</v>
      </c>
      <c r="J204" s="7" t="n">
        <v>77.2</v>
      </c>
      <c r="L204" s="7" t="n">
        <v>50.7</v>
      </c>
      <c r="N204" s="7" t="n">
        <v>91.3</v>
      </c>
      <c r="P204" s="7" t="n">
        <v>110.4</v>
      </c>
      <c r="R204" s="7" t="n">
        <v>109.8</v>
      </c>
      <c r="T204" s="7" t="n">
        <v>103.4</v>
      </c>
      <c r="V204" s="7" t="n">
        <v>63.4</v>
      </c>
      <c r="X204" s="7" t="n">
        <v>49.6</v>
      </c>
      <c r="Z204" s="7" t="n">
        <v>26.4</v>
      </c>
      <c r="AB204" s="7" t="n">
        <v>927.5</v>
      </c>
    </row>
    <row r="205">
      <c r="A205" s="4" t="inlineStr">
        <is>
          <t>招待费</t>
        </is>
      </c>
      <c r="D205" s="7" t="n">
        <v>3173.6</v>
      </c>
      <c r="F205" s="7" t="n">
        <v>1365.5</v>
      </c>
      <c r="H205" s="7" t="n">
        <v>4856</v>
      </c>
      <c r="J205" s="7" t="n">
        <v>3400.8</v>
      </c>
      <c r="L205" s="7" t="n">
        <v>1801.9</v>
      </c>
      <c r="N205" s="7" t="n">
        <v>3261.3</v>
      </c>
      <c r="P205" s="7" t="n">
        <v>6032</v>
      </c>
      <c r="R205" s="7" t="n">
        <v>6084</v>
      </c>
      <c r="T205" s="7" t="n">
        <v>4885.7</v>
      </c>
      <c r="V205" s="7" t="n">
        <v>2237.3</v>
      </c>
      <c r="X205" s="7" t="n">
        <v>2665.6</v>
      </c>
      <c r="Z205" s="7" t="n">
        <v>1057.1</v>
      </c>
      <c r="AB205" s="7" t="n">
        <v>40820.8</v>
      </c>
    </row>
    <row r="206">
      <c r="A206" s="4" t="inlineStr">
        <is>
          <t>通讯费</t>
        </is>
      </c>
      <c r="D206" s="7" t="n">
        <v>234.7</v>
      </c>
      <c r="F206" s="7" t="n">
        <v>122.6</v>
      </c>
      <c r="H206" s="7" t="n">
        <v>384.8</v>
      </c>
      <c r="J206" s="7" t="n">
        <v>338.9</v>
      </c>
      <c r="L206" s="7" t="n">
        <v>247.5</v>
      </c>
      <c r="N206" s="7" t="n">
        <v>449.7</v>
      </c>
      <c r="P206" s="7" t="n">
        <v>708.1</v>
      </c>
      <c r="R206" s="7" t="n">
        <v>439.3</v>
      </c>
      <c r="T206" s="7" t="n">
        <v>499.8</v>
      </c>
      <c r="V206" s="7" t="n">
        <v>250.5</v>
      </c>
      <c r="X206" s="7" t="n">
        <v>309.7</v>
      </c>
      <c r="Z206" s="7" t="n">
        <v>146.9</v>
      </c>
      <c r="AB206" s="7" t="n">
        <v>4132.5</v>
      </c>
    </row>
    <row r="207">
      <c r="A207" s="4" t="inlineStr">
        <is>
          <t>网络费</t>
        </is>
      </c>
      <c r="D207" s="7" t="n">
        <v>502.9</v>
      </c>
      <c r="F207" s="7" t="n">
        <v>149.3</v>
      </c>
      <c r="H207" s="7" t="n">
        <v>538.6</v>
      </c>
      <c r="J207" s="7" t="n">
        <v>448.6</v>
      </c>
      <c r="L207" s="7" t="n">
        <v>407.6</v>
      </c>
      <c r="N207" s="7" t="n">
        <v>494.1</v>
      </c>
      <c r="P207" s="7" t="n">
        <v>1126.4</v>
      </c>
      <c r="R207" s="7" t="n">
        <v>488.6</v>
      </c>
      <c r="T207" s="7" t="n">
        <v>517.8</v>
      </c>
      <c r="V207" s="7" t="n">
        <v>342.3</v>
      </c>
      <c r="X207" s="7" t="n">
        <v>276.1</v>
      </c>
      <c r="Z207" s="7" t="n">
        <v>142.5</v>
      </c>
      <c r="AB207" s="7" t="n">
        <v>5434.8</v>
      </c>
    </row>
    <row r="208">
      <c r="A208" s="4" t="inlineStr">
        <is>
          <t>修理费</t>
        </is>
      </c>
      <c r="D208" s="7" t="n">
        <v>302</v>
      </c>
      <c r="F208" s="7" t="n">
        <v>148.4</v>
      </c>
      <c r="H208" s="7" t="n">
        <v>769.3</v>
      </c>
      <c r="J208" s="7" t="n">
        <v>326.7</v>
      </c>
      <c r="L208" s="7" t="n">
        <v>276.1</v>
      </c>
      <c r="N208" s="7" t="n">
        <v>408.3</v>
      </c>
      <c r="P208" s="7" t="n">
        <v>643.8</v>
      </c>
      <c r="R208" s="7" t="n">
        <v>485.1</v>
      </c>
      <c r="T208" s="7" t="n">
        <v>514.2</v>
      </c>
      <c r="V208" s="7" t="n">
        <v>226.3</v>
      </c>
      <c r="X208" s="7" t="n">
        <v>283.1</v>
      </c>
      <c r="Z208" s="7" t="n">
        <v>131.6</v>
      </c>
      <c r="AB208" s="7" t="n">
        <v>4514.9</v>
      </c>
    </row>
    <row r="209">
      <c r="A209" s="4" t="inlineStr">
        <is>
          <t>车辆费</t>
        </is>
      </c>
      <c r="D209" s="7" t="n">
        <v>15</v>
      </c>
      <c r="F209" s="7" t="n">
        <v>5.9</v>
      </c>
      <c r="H209" s="7" t="n">
        <v>15.5</v>
      </c>
      <c r="J209" s="7" t="n">
        <v>14.8</v>
      </c>
      <c r="L209" s="7" t="n">
        <v>10.6</v>
      </c>
      <c r="N209" s="7" t="n">
        <v>22</v>
      </c>
      <c r="P209" s="7" t="n">
        <v>32.5</v>
      </c>
      <c r="R209" s="7" t="n">
        <v>25.3</v>
      </c>
      <c r="T209" s="7" t="n">
        <v>15.2</v>
      </c>
      <c r="V209" s="7" t="n">
        <v>9.199999999999999</v>
      </c>
      <c r="X209" s="7" t="n">
        <v>12.1</v>
      </c>
      <c r="Z209" s="7" t="n">
        <v>5.9</v>
      </c>
      <c r="AB209" s="7" t="n">
        <v>184</v>
      </c>
    </row>
    <row r="210">
      <c r="A210" s="4" t="inlineStr">
        <is>
          <t>租赁费</t>
        </is>
      </c>
      <c r="D210" s="7" t="n">
        <v>4195.3</v>
      </c>
      <c r="F210" s="7" t="n">
        <v>1752.7</v>
      </c>
      <c r="H210" s="7" t="n">
        <v>7236.9</v>
      </c>
      <c r="J210" s="7" t="n">
        <v>3937.7</v>
      </c>
      <c r="L210" s="7" t="n">
        <v>3511.2</v>
      </c>
      <c r="N210" s="7" t="n">
        <v>4657.9</v>
      </c>
      <c r="P210" s="7" t="n">
        <v>7868.1</v>
      </c>
      <c r="R210" s="7" t="n">
        <v>4454.4</v>
      </c>
      <c r="T210" s="7" t="n">
        <v>3965.1</v>
      </c>
      <c r="V210" s="7" t="n">
        <v>2494.2</v>
      </c>
      <c r="X210" s="7" t="n">
        <v>3219.6</v>
      </c>
      <c r="Z210" s="7" t="n">
        <v>1794.9</v>
      </c>
      <c r="AB210" s="7" t="n">
        <v>49088</v>
      </c>
    </row>
    <row r="211">
      <c r="A211" s="4" t="inlineStr">
        <is>
          <t>能源费</t>
        </is>
      </c>
      <c r="D211" s="7" t="n">
        <v>967.4</v>
      </c>
      <c r="F211" s="7" t="n">
        <v>502.9</v>
      </c>
      <c r="H211" s="7" t="n">
        <v>1429.8</v>
      </c>
      <c r="J211" s="7" t="n">
        <v>1015.8</v>
      </c>
      <c r="L211" s="7" t="n">
        <v>819.8</v>
      </c>
      <c r="N211" s="7" t="n">
        <v>1214.5</v>
      </c>
      <c r="P211" s="7" t="n">
        <v>1884.7</v>
      </c>
      <c r="R211" s="7" t="n">
        <v>1505.2</v>
      </c>
      <c r="T211" s="7" t="n">
        <v>1518.3</v>
      </c>
      <c r="V211" s="7" t="n">
        <v>660.1</v>
      </c>
      <c r="X211" s="7" t="n">
        <v>795.9</v>
      </c>
      <c r="Z211" s="7" t="n">
        <v>307</v>
      </c>
      <c r="AB211" s="7" t="n">
        <v>12621.4</v>
      </c>
    </row>
    <row r="212">
      <c r="A212" s="4" t="inlineStr">
        <is>
          <t>水费</t>
        </is>
      </c>
      <c r="D212" s="7" t="n">
        <v>216.3</v>
      </c>
      <c r="F212" s="7" t="n">
        <v>85.3</v>
      </c>
      <c r="H212" s="7" t="n">
        <v>371.1</v>
      </c>
      <c r="J212" s="7" t="n">
        <v>166.9</v>
      </c>
      <c r="L212" s="7" t="n">
        <v>132.6</v>
      </c>
      <c r="N212" s="7" t="n">
        <v>305.8</v>
      </c>
      <c r="P212" s="7" t="n">
        <v>298.9</v>
      </c>
      <c r="R212" s="7" t="n">
        <v>275.8</v>
      </c>
      <c r="T212" s="7" t="n">
        <v>235.8</v>
      </c>
      <c r="V212" s="7" t="n">
        <v>133.3</v>
      </c>
      <c r="X212" s="7" t="n">
        <v>181.3</v>
      </c>
      <c r="Z212" s="7" t="n">
        <v>55.1</v>
      </c>
      <c r="AB212" s="7" t="n">
        <v>2458.2</v>
      </c>
    </row>
    <row r="213">
      <c r="A213" s="4" t="inlineStr">
        <is>
          <t>电费</t>
        </is>
      </c>
      <c r="D213" s="7" t="n">
        <v>354.9</v>
      </c>
      <c r="F213" s="7" t="n">
        <v>152</v>
      </c>
      <c r="H213" s="7" t="n">
        <v>336.1</v>
      </c>
      <c r="J213" s="7" t="n">
        <v>309.9</v>
      </c>
      <c r="L213" s="7" t="n">
        <v>228.6</v>
      </c>
      <c r="N213" s="7" t="n">
        <v>351.8</v>
      </c>
      <c r="P213" s="7" t="n">
        <v>687</v>
      </c>
      <c r="R213" s="7" t="n">
        <v>439.3</v>
      </c>
      <c r="T213" s="7" t="n">
        <v>476.6</v>
      </c>
      <c r="V213" s="7" t="n">
        <v>212</v>
      </c>
      <c r="X213" s="7" t="n">
        <v>190.4</v>
      </c>
      <c r="Z213" s="7" t="n">
        <v>83.2</v>
      </c>
      <c r="AB213" s="7" t="n">
        <v>3821.8</v>
      </c>
    </row>
    <row r="214">
      <c r="A214" s="4" t="inlineStr">
        <is>
          <t>燃气费</t>
        </is>
      </c>
      <c r="D214" s="7" t="n">
        <v>256.8</v>
      </c>
      <c r="F214" s="7" t="n">
        <v>183.1</v>
      </c>
      <c r="H214" s="7" t="n">
        <v>520.2</v>
      </c>
      <c r="J214" s="7" t="n">
        <v>360.4</v>
      </c>
      <c r="L214" s="7" t="n">
        <v>305.3</v>
      </c>
      <c r="N214" s="7" t="n">
        <v>351.9</v>
      </c>
      <c r="P214" s="7" t="n">
        <v>607.4</v>
      </c>
      <c r="R214" s="7" t="n">
        <v>497.9</v>
      </c>
      <c r="T214" s="7" t="n">
        <v>534.4</v>
      </c>
      <c r="V214" s="7" t="n">
        <v>200.8</v>
      </c>
      <c r="X214" s="7" t="n">
        <v>287.9</v>
      </c>
      <c r="Z214" s="7" t="n">
        <v>106.1</v>
      </c>
      <c r="AB214" s="7" t="n">
        <v>4212.2</v>
      </c>
    </row>
    <row r="215">
      <c r="A215" s="4" t="inlineStr">
        <is>
          <t>蒸汽费</t>
        </is>
      </c>
      <c r="D215" s="7" t="n">
        <v>139.4</v>
      </c>
      <c r="F215" s="7" t="n">
        <v>82.5</v>
      </c>
      <c r="H215" s="7" t="n">
        <v>202.4</v>
      </c>
      <c r="J215" s="7" t="n">
        <v>178.6</v>
      </c>
      <c r="L215" s="7" t="n">
        <v>153.3</v>
      </c>
      <c r="N215" s="7" t="n">
        <v>205</v>
      </c>
      <c r="P215" s="7" t="n">
        <v>291.4</v>
      </c>
      <c r="R215" s="7" t="n">
        <v>292.2</v>
      </c>
      <c r="T215" s="7" t="n">
        <v>271.5</v>
      </c>
      <c r="V215" s="7" t="n">
        <v>114</v>
      </c>
      <c r="X215" s="7" t="n">
        <v>136.3</v>
      </c>
      <c r="Z215" s="7" t="n">
        <v>62.6</v>
      </c>
      <c r="AB215" s="7" t="n">
        <v>2129.2</v>
      </c>
    </row>
    <row r="216">
      <c r="A216" s="4" t="inlineStr">
        <is>
          <t>物业费</t>
        </is>
      </c>
      <c r="D216" s="7" t="n">
        <v>233.3</v>
      </c>
      <c r="F216" s="7" t="n">
        <v>98.2</v>
      </c>
      <c r="H216" s="7" t="n">
        <v>319.8</v>
      </c>
      <c r="J216" s="7" t="n">
        <v>176</v>
      </c>
      <c r="L216" s="7" t="n">
        <v>136.1</v>
      </c>
      <c r="N216" s="7" t="n">
        <v>234.1</v>
      </c>
      <c r="P216" s="7" t="n">
        <v>274.1</v>
      </c>
      <c r="R216" s="7" t="n">
        <v>339.1</v>
      </c>
      <c r="T216" s="7" t="n">
        <v>223.6</v>
      </c>
      <c r="V216" s="7" t="n">
        <v>100.8</v>
      </c>
      <c r="X216" s="7" t="n">
        <v>184.1</v>
      </c>
      <c r="Z216" s="7" t="n">
        <v>60.3</v>
      </c>
      <c r="AB216" s="7" t="n">
        <v>2379.5</v>
      </c>
    </row>
    <row r="217">
      <c r="A217" s="4" t="inlineStr">
        <is>
          <t>劳动保护费</t>
        </is>
      </c>
      <c r="D217" s="7" t="n">
        <v>198.5</v>
      </c>
      <c r="F217" s="7" t="n">
        <v>109.3</v>
      </c>
      <c r="H217" s="7" t="n">
        <v>285.3</v>
      </c>
      <c r="J217" s="7" t="n">
        <v>237.6</v>
      </c>
      <c r="L217" s="7" t="n">
        <v>166.7</v>
      </c>
      <c r="N217" s="7" t="n">
        <v>309.7</v>
      </c>
      <c r="P217" s="7" t="n">
        <v>375.4</v>
      </c>
      <c r="R217" s="7" t="n">
        <v>290.9</v>
      </c>
      <c r="T217" s="7" t="n">
        <v>245.2</v>
      </c>
      <c r="V217" s="7" t="n">
        <v>187.8</v>
      </c>
      <c r="X217" s="7" t="n">
        <v>209.5</v>
      </c>
      <c r="Z217" s="7" t="n">
        <v>55.1</v>
      </c>
      <c r="AB217" s="7" t="n">
        <v>2671</v>
      </c>
    </row>
    <row r="218">
      <c r="A218" s="4" t="inlineStr">
        <is>
          <t>顾问费</t>
        </is>
      </c>
      <c r="D218" s="7" t="n">
        <v>81.09999999999999</v>
      </c>
      <c r="F218" s="7" t="n">
        <v>27</v>
      </c>
      <c r="H218" s="7" t="n">
        <v>115</v>
      </c>
      <c r="J218" s="7" t="n">
        <v>72.8</v>
      </c>
      <c r="L218" s="7" t="n">
        <v>57.8</v>
      </c>
      <c r="N218" s="7" t="n">
        <v>99.2</v>
      </c>
      <c r="P218" s="7" t="n">
        <v>106.2</v>
      </c>
      <c r="R218" s="7" t="n">
        <v>95.90000000000001</v>
      </c>
      <c r="T218" s="7" t="n">
        <v>102</v>
      </c>
      <c r="V218" s="7" t="n">
        <v>36.4</v>
      </c>
      <c r="X218" s="7" t="n">
        <v>51.3</v>
      </c>
      <c r="Z218" s="7" t="n">
        <v>21.4</v>
      </c>
      <c r="AB218" s="7" t="n">
        <v>866.1</v>
      </c>
    </row>
    <row r="219">
      <c r="A219" s="4" t="inlineStr">
        <is>
          <t>快递费</t>
        </is>
      </c>
      <c r="D219" s="7" t="n">
        <v>259.9</v>
      </c>
      <c r="F219" s="7" t="n">
        <v>99.59999999999999</v>
      </c>
      <c r="H219" s="7" t="n">
        <v>506.1</v>
      </c>
      <c r="J219" s="7" t="n">
        <v>305.1</v>
      </c>
      <c r="L219" s="7" t="n">
        <v>182.8</v>
      </c>
      <c r="N219" s="7" t="n">
        <v>308.8</v>
      </c>
      <c r="P219" s="7" t="n">
        <v>490.2</v>
      </c>
      <c r="R219" s="7" t="n">
        <v>410.8</v>
      </c>
      <c r="T219" s="7" t="n">
        <v>540.6</v>
      </c>
      <c r="V219" s="7" t="n">
        <v>271.9</v>
      </c>
      <c r="X219" s="7" t="n">
        <v>243.3</v>
      </c>
      <c r="Z219" s="7" t="n">
        <v>135.6</v>
      </c>
      <c r="AB219" s="7" t="n">
        <v>3754.7</v>
      </c>
    </row>
    <row r="220">
      <c r="A220" s="4" t="inlineStr">
        <is>
          <t>诉讼费</t>
        </is>
      </c>
      <c r="D220" s="7" t="n">
        <v>348.6</v>
      </c>
      <c r="F220" s="7" t="n">
        <v>146</v>
      </c>
      <c r="H220" s="7" t="n">
        <v>598.9</v>
      </c>
      <c r="J220" s="7" t="n">
        <v>336.4</v>
      </c>
      <c r="L220" s="7" t="n">
        <v>244.7</v>
      </c>
      <c r="N220" s="7" t="n">
        <v>330.7</v>
      </c>
      <c r="P220" s="7" t="n">
        <v>560.1</v>
      </c>
      <c r="R220" s="7" t="n">
        <v>601.8</v>
      </c>
      <c r="T220" s="7" t="n">
        <v>366.7</v>
      </c>
      <c r="V220" s="7" t="n">
        <v>243</v>
      </c>
      <c r="X220" s="7" t="n">
        <v>372.3</v>
      </c>
      <c r="Z220" s="7" t="n">
        <v>126.2</v>
      </c>
      <c r="AB220" s="7" t="n">
        <v>4275.4</v>
      </c>
    </row>
    <row r="221">
      <c r="A221" s="4" t="inlineStr">
        <is>
          <t>会员费</t>
        </is>
      </c>
      <c r="D221" s="7" t="n">
        <v>497.9</v>
      </c>
      <c r="F221" s="7" t="n">
        <v>216.1</v>
      </c>
      <c r="H221" s="7" t="n">
        <v>664.9</v>
      </c>
      <c r="J221" s="7" t="n">
        <v>319.6</v>
      </c>
      <c r="L221" s="7" t="n">
        <v>417.5</v>
      </c>
      <c r="N221" s="7" t="n">
        <v>770.1</v>
      </c>
      <c r="P221" s="7" t="n">
        <v>679</v>
      </c>
      <c r="R221" s="7" t="n">
        <v>725.8</v>
      </c>
      <c r="T221" s="7" t="n">
        <v>671.7</v>
      </c>
      <c r="V221" s="7" t="n">
        <v>340.2</v>
      </c>
      <c r="X221" s="7" t="n">
        <v>450.4</v>
      </c>
      <c r="Z221" s="7" t="n">
        <v>224.8</v>
      </c>
      <c r="AB221" s="7" t="n">
        <v>5978</v>
      </c>
    </row>
    <row r="222">
      <c r="A222" s="4" t="inlineStr">
        <is>
          <t>广告宣传费</t>
        </is>
      </c>
      <c r="D222" s="7" t="n">
        <v>1813.1</v>
      </c>
      <c r="F222" s="7" t="n">
        <v>1252.9</v>
      </c>
      <c r="H222" s="7" t="n">
        <v>2739.7</v>
      </c>
      <c r="J222" s="7" t="n">
        <v>2195.7</v>
      </c>
      <c r="L222" s="7" t="n">
        <v>2184.9</v>
      </c>
      <c r="N222" s="7" t="n">
        <v>2764.5</v>
      </c>
      <c r="P222" s="7" t="n">
        <v>5365.1</v>
      </c>
      <c r="R222" s="7" t="n">
        <v>2496.5</v>
      </c>
      <c r="T222" s="7" t="n">
        <v>3757.8</v>
      </c>
      <c r="V222" s="7" t="n">
        <v>1679</v>
      </c>
      <c r="X222" s="7" t="n">
        <v>2479.3</v>
      </c>
      <c r="Z222" s="7" t="n">
        <v>784.7</v>
      </c>
      <c r="AB222" s="7" t="n">
        <v>29513.2</v>
      </c>
    </row>
    <row r="223">
      <c r="A223" s="4" t="inlineStr">
        <is>
          <t>会务费</t>
        </is>
      </c>
      <c r="D223" s="7" t="n">
        <v>107.2</v>
      </c>
      <c r="F223" s="7" t="n">
        <v>69.8</v>
      </c>
      <c r="H223" s="7" t="n">
        <v>146.2</v>
      </c>
      <c r="J223" s="7" t="n">
        <v>136</v>
      </c>
      <c r="L223" s="7" t="n">
        <v>124.3</v>
      </c>
      <c r="N223" s="7" t="n">
        <v>120.4</v>
      </c>
      <c r="P223" s="7" t="n">
        <v>268</v>
      </c>
      <c r="R223" s="7" t="n">
        <v>169.8</v>
      </c>
      <c r="T223" s="7" t="n">
        <v>211.5</v>
      </c>
      <c r="V223" s="7" t="n">
        <v>98.5</v>
      </c>
      <c r="X223" s="7" t="n">
        <v>92</v>
      </c>
      <c r="Z223" s="7" t="n">
        <v>43.3</v>
      </c>
      <c r="AB223" s="7" t="n">
        <v>1587</v>
      </c>
    </row>
    <row r="224">
      <c r="A224" s="4" t="inlineStr">
        <is>
          <t>装修费</t>
        </is>
      </c>
      <c r="D224" s="7" t="n">
        <v>279.8</v>
      </c>
      <c r="F224" s="7" t="n">
        <v>151.6</v>
      </c>
      <c r="H224" s="7" t="n">
        <v>319.7</v>
      </c>
      <c r="J224" s="7" t="n">
        <v>275.9</v>
      </c>
      <c r="L224" s="7" t="n">
        <v>285.4</v>
      </c>
      <c r="N224" s="7" t="n">
        <v>398</v>
      </c>
      <c r="P224" s="7" t="n">
        <v>542.9</v>
      </c>
      <c r="R224" s="7" t="n">
        <v>389.6</v>
      </c>
      <c r="T224" s="7" t="n">
        <v>412.9</v>
      </c>
      <c r="V224" s="7" t="n">
        <v>197.8</v>
      </c>
      <c r="X224" s="7" t="n">
        <v>190.5</v>
      </c>
      <c r="Z224" s="7" t="n">
        <v>110.5</v>
      </c>
      <c r="AB224" s="7" t="n">
        <v>3554.6</v>
      </c>
    </row>
    <row r="225">
      <c r="A225" s="4" t="inlineStr">
        <is>
          <t>推广费</t>
        </is>
      </c>
      <c r="D225" s="7" t="n">
        <v>384.1</v>
      </c>
      <c r="F225" s="7" t="n">
        <v>206.1</v>
      </c>
      <c r="H225" s="7" t="n">
        <v>513.3</v>
      </c>
      <c r="J225" s="7" t="n">
        <v>392.6</v>
      </c>
      <c r="L225" s="7" t="n">
        <v>360.1</v>
      </c>
      <c r="N225" s="7" t="n">
        <v>342</v>
      </c>
      <c r="P225" s="7" t="n">
        <v>831.4</v>
      </c>
      <c r="R225" s="7" t="n">
        <v>554.2</v>
      </c>
      <c r="T225" s="7" t="n">
        <v>461.4</v>
      </c>
      <c r="V225" s="7" t="n">
        <v>262.2</v>
      </c>
      <c r="X225" s="7" t="n">
        <v>342.7</v>
      </c>
      <c r="Z225" s="7" t="n">
        <v>123.1</v>
      </c>
      <c r="AB225" s="7" t="n">
        <v>4773.2</v>
      </c>
    </row>
    <row r="226">
      <c r="A226" s="4" t="inlineStr">
        <is>
          <t>展会费</t>
        </is>
      </c>
      <c r="D226" s="7" t="n">
        <v>60.8</v>
      </c>
      <c r="F226" s="7" t="n">
        <v>40</v>
      </c>
      <c r="H226" s="7" t="n">
        <v>83.2</v>
      </c>
      <c r="J226" s="7" t="n">
        <v>83.7</v>
      </c>
      <c r="L226" s="7" t="n">
        <v>43.6</v>
      </c>
      <c r="N226" s="7" t="n">
        <v>102.7</v>
      </c>
      <c r="P226" s="7" t="n">
        <v>141.2</v>
      </c>
      <c r="R226" s="7" t="n">
        <v>130.4</v>
      </c>
      <c r="T226" s="7" t="n">
        <v>108.3</v>
      </c>
      <c r="V226" s="7" t="n">
        <v>63.1</v>
      </c>
      <c r="X226" s="7" t="n">
        <v>78.3</v>
      </c>
      <c r="Z226" s="7" t="n">
        <v>29.3</v>
      </c>
      <c r="AB226" s="7" t="n">
        <v>964.6</v>
      </c>
    </row>
    <row r="227">
      <c r="A227" s="4" t="inlineStr">
        <is>
          <t>设计费</t>
        </is>
      </c>
      <c r="D227" s="7" t="n">
        <v>376.7</v>
      </c>
      <c r="F227" s="7" t="n">
        <v>104.2</v>
      </c>
      <c r="H227" s="7" t="n">
        <v>445.4</v>
      </c>
      <c r="J227" s="7" t="n">
        <v>328</v>
      </c>
      <c r="L227" s="7" t="n">
        <v>271.5</v>
      </c>
      <c r="N227" s="7" t="n">
        <v>328.3</v>
      </c>
      <c r="P227" s="7" t="n">
        <v>544.5</v>
      </c>
      <c r="R227" s="7" t="n">
        <v>519</v>
      </c>
      <c r="T227" s="7" t="n">
        <v>494.5</v>
      </c>
      <c r="V227" s="7" t="n">
        <v>233.9</v>
      </c>
      <c r="X227" s="7" t="n">
        <v>186.4</v>
      </c>
      <c r="Z227" s="7" t="n">
        <v>137.5</v>
      </c>
      <c r="AB227" s="7" t="n">
        <v>3969.9</v>
      </c>
    </row>
    <row r="228">
      <c r="A228" s="4" t="inlineStr">
        <is>
          <t>折旧费</t>
        </is>
      </c>
      <c r="D228" s="7" t="n">
        <v>3215.4</v>
      </c>
      <c r="F228" s="7" t="n">
        <v>1265.4</v>
      </c>
      <c r="H228" s="7" t="n">
        <v>3644.2</v>
      </c>
      <c r="J228" s="7" t="n">
        <v>2059.2</v>
      </c>
      <c r="L228" s="7" t="n">
        <v>2267.9</v>
      </c>
      <c r="N228" s="7" t="n">
        <v>4304.1</v>
      </c>
      <c r="P228" s="7" t="n">
        <v>6675.2</v>
      </c>
      <c r="R228" s="7" t="n">
        <v>3461.7</v>
      </c>
      <c r="T228" s="7" t="n">
        <v>5124.7</v>
      </c>
      <c r="V228" s="7" t="n">
        <v>2461.6</v>
      </c>
      <c r="X228" s="7" t="n">
        <v>2376.9</v>
      </c>
      <c r="Z228" s="7" t="n">
        <v>938.9</v>
      </c>
      <c r="AB228" s="7" t="n">
        <v>37795.2</v>
      </c>
    </row>
    <row r="229">
      <c r="A229" s="4" t="inlineStr">
        <is>
          <t>认证费</t>
        </is>
      </c>
      <c r="D229" s="7" t="n">
        <v>19.1</v>
      </c>
      <c r="F229" s="7" t="n">
        <v>10.1</v>
      </c>
      <c r="H229" s="7" t="n">
        <v>22.4</v>
      </c>
      <c r="J229" s="7" t="n">
        <v>20.2</v>
      </c>
      <c r="L229" s="7" t="n">
        <v>18.5</v>
      </c>
      <c r="N229" s="7" t="n">
        <v>21.8</v>
      </c>
      <c r="P229" s="7" t="n">
        <v>47.2</v>
      </c>
      <c r="R229" s="7" t="n">
        <v>32.2</v>
      </c>
      <c r="T229" s="7" t="n">
        <v>22.8</v>
      </c>
      <c r="V229" s="7" t="n">
        <v>17</v>
      </c>
      <c r="X229" s="7" t="n">
        <v>14.6</v>
      </c>
      <c r="Z229" s="7" t="n">
        <v>9.1</v>
      </c>
      <c r="AB229" s="7" t="n">
        <v>255</v>
      </c>
    </row>
    <row r="230">
      <c r="A230" s="4" t="inlineStr">
        <is>
          <t>样品费</t>
        </is>
      </c>
      <c r="D230" s="7" t="n">
        <v>1912.1</v>
      </c>
      <c r="F230" s="7" t="n">
        <v>482.2</v>
      </c>
      <c r="H230" s="7" t="n">
        <v>2760.3</v>
      </c>
      <c r="J230" s="7" t="n">
        <v>1686.2</v>
      </c>
      <c r="L230" s="7" t="n">
        <v>1350.3</v>
      </c>
      <c r="N230" s="7" t="n">
        <v>2181.9</v>
      </c>
      <c r="P230" s="7" t="n">
        <v>3080.4</v>
      </c>
      <c r="R230" s="7" t="n">
        <v>2653.6</v>
      </c>
      <c r="T230" s="7" t="n">
        <v>1989.1</v>
      </c>
      <c r="V230" s="7" t="n">
        <v>1138.8</v>
      </c>
      <c r="X230" s="7" t="n">
        <v>1111.6</v>
      </c>
      <c r="Z230" s="7" t="n">
        <v>688</v>
      </c>
      <c r="AB230" s="7" t="n">
        <v>21034.5</v>
      </c>
    </row>
    <row r="231">
      <c r="A231" s="4" t="inlineStr">
        <is>
          <t>劳务费</t>
        </is>
      </c>
      <c r="D231" s="7" t="n">
        <v>390</v>
      </c>
      <c r="F231" s="7" t="n">
        <v>151.4</v>
      </c>
      <c r="H231" s="7" t="n">
        <v>535.1</v>
      </c>
      <c r="J231" s="7" t="n">
        <v>478.1</v>
      </c>
      <c r="L231" s="7" t="n">
        <v>405</v>
      </c>
      <c r="N231" s="7" t="n">
        <v>451.5</v>
      </c>
      <c r="P231" s="7" t="n">
        <v>806.8</v>
      </c>
      <c r="R231" s="7" t="n">
        <v>776.2</v>
      </c>
      <c r="T231" s="7" t="n">
        <v>484.1</v>
      </c>
      <c r="V231" s="7" t="n">
        <v>326.3</v>
      </c>
      <c r="X231" s="7" t="n">
        <v>322.9</v>
      </c>
      <c r="Z231" s="7" t="n">
        <v>113.1</v>
      </c>
      <c r="AB231" s="7" t="n">
        <v>5240.5</v>
      </c>
    </row>
    <row r="232">
      <c r="A232" s="4" t="inlineStr">
        <is>
          <t>销售佣金</t>
        </is>
      </c>
      <c r="D232" s="7" t="n">
        <v>255.4</v>
      </c>
      <c r="F232" s="7" t="n">
        <v>151.3</v>
      </c>
      <c r="H232" s="7" t="n">
        <v>463.2</v>
      </c>
      <c r="J232" s="7" t="n">
        <v>194.1</v>
      </c>
      <c r="L232" s="7" t="n">
        <v>253</v>
      </c>
      <c r="N232" s="7" t="n">
        <v>434.7</v>
      </c>
      <c r="P232" s="7" t="n">
        <v>712.2</v>
      </c>
      <c r="R232" s="7" t="n">
        <v>511.7</v>
      </c>
      <c r="T232" s="7" t="n">
        <v>354</v>
      </c>
      <c r="V232" s="7" t="n">
        <v>241.7</v>
      </c>
      <c r="X232" s="7" t="n">
        <v>198.6</v>
      </c>
      <c r="Z232" s="7" t="n">
        <v>106.5</v>
      </c>
      <c r="AB232" s="7" t="n">
        <v>3876.4</v>
      </c>
    </row>
    <row r="233">
      <c r="A233" s="4" t="inlineStr">
        <is>
          <t>检测费</t>
        </is>
      </c>
      <c r="D233" s="7" t="n">
        <v>281.1</v>
      </c>
      <c r="F233" s="7" t="n">
        <v>137.5</v>
      </c>
      <c r="H233" s="7" t="n">
        <v>427.1</v>
      </c>
      <c r="J233" s="7" t="n">
        <v>269.6</v>
      </c>
      <c r="L233" s="7" t="n">
        <v>197.4</v>
      </c>
      <c r="N233" s="7" t="n">
        <v>300.1</v>
      </c>
      <c r="P233" s="7" t="n">
        <v>529</v>
      </c>
      <c r="R233" s="7" t="n">
        <v>390.4</v>
      </c>
      <c r="T233" s="7" t="n">
        <v>277</v>
      </c>
      <c r="V233" s="7" t="n">
        <v>234.7</v>
      </c>
      <c r="X233" s="7" t="n">
        <v>234</v>
      </c>
      <c r="Z233" s="7" t="n">
        <v>67.09999999999999</v>
      </c>
      <c r="AB233" s="7" t="n">
        <v>3345</v>
      </c>
    </row>
    <row r="234">
      <c r="A234" s="4" t="inlineStr">
        <is>
          <t>质量赔偿</t>
        </is>
      </c>
      <c r="D234" s="7" t="n">
        <v>450.4</v>
      </c>
      <c r="F234" s="7" t="n">
        <v>232.6</v>
      </c>
      <c r="H234" s="7" t="n">
        <v>577</v>
      </c>
      <c r="J234" s="7" t="n">
        <v>445.3</v>
      </c>
      <c r="L234" s="7" t="n">
        <v>324.2</v>
      </c>
      <c r="N234" s="7" t="n">
        <v>602.1</v>
      </c>
      <c r="P234" s="7" t="n">
        <v>778.1</v>
      </c>
      <c r="R234" s="7" t="n">
        <v>708.8</v>
      </c>
      <c r="T234" s="7" t="n">
        <v>498.6</v>
      </c>
      <c r="V234" s="7" t="n">
        <v>283.9</v>
      </c>
      <c r="X234" s="7" t="n">
        <v>472.2</v>
      </c>
      <c r="Z234" s="7" t="n">
        <v>190.9</v>
      </c>
      <c r="AB234" s="7" t="n">
        <v>5564.1</v>
      </c>
    </row>
    <row r="235">
      <c r="A235" s="4" t="inlineStr">
        <is>
          <t>保险费</t>
        </is>
      </c>
      <c r="D235" s="7" t="n">
        <v>354.4</v>
      </c>
      <c r="F235" s="7" t="n">
        <v>142.4</v>
      </c>
      <c r="H235" s="7" t="n">
        <v>479.5</v>
      </c>
      <c r="J235" s="7" t="n">
        <v>421.8</v>
      </c>
      <c r="L235" s="7" t="n">
        <v>338.4</v>
      </c>
      <c r="N235" s="7" t="n">
        <v>509.2</v>
      </c>
      <c r="P235" s="7" t="n">
        <v>790.1</v>
      </c>
      <c r="R235" s="7" t="n">
        <v>459.6</v>
      </c>
      <c r="T235" s="7" t="n">
        <v>437.4</v>
      </c>
      <c r="V235" s="7" t="n">
        <v>295.1</v>
      </c>
      <c r="X235" s="7" t="n">
        <v>238.1</v>
      </c>
      <c r="Z235" s="7" t="n">
        <v>174.4</v>
      </c>
      <c r="AB235" s="7" t="n">
        <v>4640.4</v>
      </c>
    </row>
    <row r="236">
      <c r="A236" s="4" t="inlineStr">
        <is>
          <t>清洁费</t>
        </is>
      </c>
      <c r="D236" s="7" t="n">
        <v>550.9</v>
      </c>
      <c r="F236" s="7" t="n">
        <v>220.3</v>
      </c>
      <c r="H236" s="7" t="n">
        <v>686.5</v>
      </c>
      <c r="J236" s="7" t="n">
        <v>532.3</v>
      </c>
      <c r="L236" s="7" t="n">
        <v>471</v>
      </c>
      <c r="N236" s="7" t="n">
        <v>640.7</v>
      </c>
      <c r="P236" s="7" t="n">
        <v>1272.6</v>
      </c>
      <c r="R236" s="7" t="n">
        <v>767</v>
      </c>
      <c r="T236" s="7" t="n">
        <v>691.2</v>
      </c>
      <c r="V236" s="7" t="n">
        <v>272.7</v>
      </c>
      <c r="X236" s="7" t="n">
        <v>431.1</v>
      </c>
      <c r="Z236" s="7" t="n">
        <v>224.3</v>
      </c>
      <c r="AB236" s="7" t="n">
        <v>6760.6</v>
      </c>
    </row>
    <row r="237">
      <c r="A237" s="4" t="inlineStr">
        <is>
          <t>低值易耗品</t>
        </is>
      </c>
      <c r="D237" s="7" t="n">
        <v>66.09999999999999</v>
      </c>
      <c r="F237" s="7" t="n">
        <v>44.6</v>
      </c>
      <c r="H237" s="7" t="n">
        <v>88.59999999999999</v>
      </c>
      <c r="J237" s="7" t="n">
        <v>63.8</v>
      </c>
      <c r="L237" s="7" t="n">
        <v>78.09999999999999</v>
      </c>
      <c r="N237" s="7" t="n">
        <v>74.5</v>
      </c>
      <c r="P237" s="7" t="n">
        <v>187.3</v>
      </c>
      <c r="R237" s="7" t="n">
        <v>120.4</v>
      </c>
      <c r="T237" s="7" t="n">
        <v>112.1</v>
      </c>
      <c r="V237" s="7" t="n">
        <v>48.9</v>
      </c>
      <c r="X237" s="7" t="n">
        <v>87.40000000000001</v>
      </c>
      <c r="Z237" s="7" t="n">
        <v>30.6</v>
      </c>
      <c r="AB237" s="7" t="n">
        <v>1002.4</v>
      </c>
    </row>
    <row r="238">
      <c r="A238" s="4" t="inlineStr">
        <is>
          <t>物料消耗</t>
        </is>
      </c>
      <c r="D238" s="7" t="n">
        <v>355.3</v>
      </c>
      <c r="F238" s="7" t="n">
        <v>146.1</v>
      </c>
      <c r="H238" s="7" t="n">
        <v>555.7</v>
      </c>
      <c r="J238" s="7" t="n">
        <v>283.3</v>
      </c>
      <c r="L238" s="7" t="n">
        <v>222.1</v>
      </c>
      <c r="N238" s="7" t="n">
        <v>279</v>
      </c>
      <c r="P238" s="7" t="n">
        <v>474.2</v>
      </c>
      <c r="R238" s="7" t="n">
        <v>426.8</v>
      </c>
      <c r="T238" s="7" t="n">
        <v>405.5</v>
      </c>
      <c r="V238" s="7" t="n">
        <v>282.1</v>
      </c>
      <c r="X238" s="7" t="n">
        <v>230.5</v>
      </c>
      <c r="Z238" s="7" t="n">
        <v>143.3</v>
      </c>
      <c r="AB238" s="7" t="n">
        <v>3803.9</v>
      </c>
    </row>
    <row r="239">
      <c r="A239" s="4" t="inlineStr">
        <is>
          <t>盘盈盘亏</t>
        </is>
      </c>
      <c r="D239" s="7" t="n">
        <v>123.8</v>
      </c>
      <c r="F239" s="7" t="n">
        <v>66.09999999999999</v>
      </c>
      <c r="H239" s="7" t="n">
        <v>191</v>
      </c>
      <c r="J239" s="7" t="n">
        <v>115.8</v>
      </c>
      <c r="L239" s="7" t="n">
        <v>66.7</v>
      </c>
      <c r="N239" s="7" t="n">
        <v>148</v>
      </c>
      <c r="P239" s="7" t="n">
        <v>171.5</v>
      </c>
      <c r="R239" s="7" t="n">
        <v>179.4</v>
      </c>
      <c r="T239" s="7" t="n">
        <v>155.8</v>
      </c>
      <c r="V239" s="7" t="n">
        <v>102.7</v>
      </c>
      <c r="X239" s="7" t="n">
        <v>119.3</v>
      </c>
      <c r="Z239" s="7" t="n">
        <v>46.3</v>
      </c>
      <c r="AB239" s="7" t="n">
        <v>1486.4</v>
      </c>
    </row>
    <row r="240">
      <c r="A240" s="4" t="inlineStr">
        <is>
          <t>平台服务费</t>
        </is>
      </c>
      <c r="D240" s="7" t="n">
        <v>88.09999999999999</v>
      </c>
      <c r="F240" s="7" t="n">
        <v>53.2</v>
      </c>
      <c r="H240" s="7" t="n">
        <v>153</v>
      </c>
      <c r="J240" s="7" t="n">
        <v>106.1</v>
      </c>
      <c r="L240" s="7" t="n">
        <v>86.40000000000001</v>
      </c>
      <c r="N240" s="7" t="n">
        <v>87.90000000000001</v>
      </c>
      <c r="P240" s="7" t="n">
        <v>159.9</v>
      </c>
      <c r="R240" s="7" t="n">
        <v>174.9</v>
      </c>
      <c r="T240" s="7" t="n">
        <v>96.3</v>
      </c>
      <c r="V240" s="7" t="n">
        <v>88.8</v>
      </c>
      <c r="X240" s="7" t="n">
        <v>76.8</v>
      </c>
      <c r="Z240" s="7" t="n">
        <v>28.6</v>
      </c>
      <c r="AB240" s="7" t="n">
        <v>1200</v>
      </c>
    </row>
    <row r="241">
      <c r="A241" s="4" t="inlineStr">
        <is>
          <t>无形资产摊销</t>
        </is>
      </c>
      <c r="D241" s="7" t="n">
        <v>224.6</v>
      </c>
      <c r="F241" s="7" t="n">
        <v>104.8</v>
      </c>
      <c r="H241" s="7" t="n">
        <v>350.6</v>
      </c>
      <c r="J241" s="7" t="n">
        <v>176.9</v>
      </c>
      <c r="L241" s="7" t="n">
        <v>134.5</v>
      </c>
      <c r="N241" s="7" t="n">
        <v>172.3</v>
      </c>
      <c r="P241" s="7" t="n">
        <v>263.7</v>
      </c>
      <c r="R241" s="7" t="n">
        <v>317.5</v>
      </c>
      <c r="T241" s="7" t="n">
        <v>247.4</v>
      </c>
      <c r="V241" s="7" t="n">
        <v>180.1</v>
      </c>
      <c r="X241" s="7" t="n">
        <v>170.3</v>
      </c>
      <c r="Z241" s="7" t="n">
        <v>64</v>
      </c>
      <c r="AB241" s="7" t="n">
        <v>2406.7</v>
      </c>
    </row>
    <row r="242">
      <c r="A242" s="4" t="inlineStr">
        <is>
          <t>研发材料</t>
        </is>
      </c>
      <c r="D242" s="7" t="n">
        <v>33.2</v>
      </c>
      <c r="F242" s="7" t="n">
        <v>22.4</v>
      </c>
      <c r="H242" s="7" t="n">
        <v>85.7</v>
      </c>
      <c r="J242" s="7" t="n">
        <v>36.7</v>
      </c>
      <c r="L242" s="7" t="n">
        <v>26.1</v>
      </c>
      <c r="N242" s="7" t="n">
        <v>43.4</v>
      </c>
      <c r="P242" s="7" t="n">
        <v>111</v>
      </c>
      <c r="R242" s="7" t="n">
        <v>91.90000000000001</v>
      </c>
      <c r="T242" s="7" t="n">
        <v>53.4</v>
      </c>
      <c r="V242" s="7" t="n">
        <v>30.3</v>
      </c>
      <c r="X242" s="7" t="n">
        <v>45.6</v>
      </c>
      <c r="Z242" s="7" t="n">
        <v>17.1</v>
      </c>
      <c r="AB242" s="7" t="n">
        <v>596.8</v>
      </c>
    </row>
    <row r="243">
      <c r="A243" s="4" t="inlineStr">
        <is>
          <t>项目名称</t>
        </is>
      </c>
      <c r="D243" s="7" t="n">
        <v>54.8</v>
      </c>
      <c r="F243" s="7" t="n">
        <v>28.2</v>
      </c>
      <c r="H243" s="7" t="n">
        <v>79</v>
      </c>
      <c r="J243" s="7" t="n">
        <v>53.1</v>
      </c>
      <c r="L243" s="7" t="n">
        <v>37.3</v>
      </c>
      <c r="N243" s="7" t="n">
        <v>63.7</v>
      </c>
      <c r="P243" s="7" t="n">
        <v>71.40000000000001</v>
      </c>
      <c r="R243" s="7" t="n">
        <v>90.2</v>
      </c>
      <c r="T243" s="7" t="n">
        <v>80.90000000000001</v>
      </c>
      <c r="V243" s="7" t="n">
        <v>36.5</v>
      </c>
      <c r="X243" s="7" t="n">
        <v>43.3</v>
      </c>
      <c r="Z243" s="7" t="n">
        <v>16</v>
      </c>
      <c r="AB243" s="7" t="n">
        <v>654.4</v>
      </c>
    </row>
    <row r="244">
      <c r="A244" s="4" t="inlineStr">
        <is>
          <t>研发费</t>
        </is>
      </c>
      <c r="D244" s="7" t="n">
        <v>73.3</v>
      </c>
      <c r="F244" s="7" t="n">
        <v>32.8</v>
      </c>
      <c r="H244" s="7" t="n">
        <v>112.6</v>
      </c>
      <c r="J244" s="7" t="n">
        <v>50.9</v>
      </c>
      <c r="L244" s="7" t="n">
        <v>56.6</v>
      </c>
      <c r="N244" s="7" t="n">
        <v>103.1</v>
      </c>
      <c r="P244" s="7" t="n">
        <v>143.4</v>
      </c>
      <c r="R244" s="7" t="n">
        <v>111.1</v>
      </c>
      <c r="T244" s="7" t="n">
        <v>101.3</v>
      </c>
      <c r="V244" s="7" t="n">
        <v>54.1</v>
      </c>
      <c r="X244" s="7" t="n">
        <v>63.6</v>
      </c>
      <c r="Z244" s="7" t="n">
        <v>19.7</v>
      </c>
      <c r="AB244" s="7" t="n">
        <v>922.5</v>
      </c>
    </row>
    <row r="245">
      <c r="A245" s="4" t="inlineStr">
        <is>
          <t>残保金</t>
        </is>
      </c>
      <c r="D245" s="7" t="n">
        <v>299.5</v>
      </c>
      <c r="F245" s="7" t="n">
        <v>128.3</v>
      </c>
      <c r="H245" s="7" t="n">
        <v>460.8</v>
      </c>
      <c r="J245" s="7" t="n">
        <v>178.6</v>
      </c>
      <c r="L245" s="7" t="n">
        <v>143.5</v>
      </c>
      <c r="N245" s="7" t="n">
        <v>390.9</v>
      </c>
      <c r="P245" s="7" t="n">
        <v>507.1</v>
      </c>
      <c r="R245" s="7" t="n">
        <v>374.2</v>
      </c>
      <c r="T245" s="7" t="n">
        <v>443.9</v>
      </c>
      <c r="V245" s="7" t="n">
        <v>209</v>
      </c>
      <c r="X245" s="7" t="n">
        <v>273.8</v>
      </c>
      <c r="Z245" s="7" t="n">
        <v>68.59999999999999</v>
      </c>
      <c r="AB245" s="7" t="n">
        <v>3478.2</v>
      </c>
    </row>
    <row r="246">
      <c r="A246" s="4" t="inlineStr">
        <is>
          <t>环保费</t>
        </is>
      </c>
      <c r="D246" s="7" t="n">
        <v>235.4</v>
      </c>
      <c r="F246" s="7" t="n">
        <v>168.3</v>
      </c>
      <c r="H246" s="7" t="n">
        <v>345.4</v>
      </c>
      <c r="J246" s="7" t="n">
        <v>331.7</v>
      </c>
      <c r="L246" s="7" t="n">
        <v>260.1</v>
      </c>
      <c r="N246" s="7" t="n">
        <v>340.3</v>
      </c>
      <c r="P246" s="7" t="n">
        <v>720.2</v>
      </c>
      <c r="R246" s="7" t="n">
        <v>494.3</v>
      </c>
      <c r="T246" s="7" t="n">
        <v>432.7</v>
      </c>
      <c r="V246" s="7" t="n">
        <v>270.3</v>
      </c>
      <c r="X246" s="7" t="n">
        <v>201.9</v>
      </c>
      <c r="Z246" s="7" t="n">
        <v>76.5</v>
      </c>
      <c r="AB246" s="7" t="n">
        <v>3877.1</v>
      </c>
    </row>
    <row r="247">
      <c r="A247" s="4" t="inlineStr">
        <is>
          <t>报废损失</t>
        </is>
      </c>
      <c r="D247" s="7" t="n">
        <v>514.9</v>
      </c>
      <c r="F247" s="7" t="n">
        <v>153.8</v>
      </c>
      <c r="H247" s="7" t="n">
        <v>922.4</v>
      </c>
      <c r="J247" s="7" t="n">
        <v>549.6</v>
      </c>
      <c r="L247" s="7" t="n">
        <v>340</v>
      </c>
      <c r="N247" s="7" t="n">
        <v>479</v>
      </c>
      <c r="P247" s="7" t="n">
        <v>728</v>
      </c>
      <c r="R247" s="7" t="n">
        <v>735.8</v>
      </c>
      <c r="T247" s="7" t="n">
        <v>612.9</v>
      </c>
      <c r="V247" s="7" t="n">
        <v>329.5</v>
      </c>
      <c r="X247" s="7" t="n">
        <v>520.8</v>
      </c>
      <c r="Z247" s="7" t="n">
        <v>173.2</v>
      </c>
      <c r="AB247" s="7" t="n">
        <v>6059.9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7940</v>
      </c>
      <c r="D248" s="7" t="n">
        <v>6423</v>
      </c>
      <c r="E248" s="7" t="n">
        <v>7902.3</v>
      </c>
      <c r="F248" s="7" t="n">
        <v>12651.7</v>
      </c>
      <c r="G248" s="7" t="n">
        <v>8704.5</v>
      </c>
      <c r="H248" s="7" t="n">
        <v>11774.1</v>
      </c>
      <c r="I248" s="7" t="n">
        <v>7541.3</v>
      </c>
      <c r="J248" s="7" t="n">
        <v>-1550.8</v>
      </c>
      <c r="K248" s="7" t="n">
        <v>6944.5</v>
      </c>
      <c r="L248" s="7" t="n">
        <v>2419.9</v>
      </c>
      <c r="M248" s="7" t="n">
        <v>6861.2</v>
      </c>
      <c r="N248" s="7" t="n">
        <v>10053.1</v>
      </c>
      <c r="O248" s="7" t="n">
        <v>8711.6</v>
      </c>
      <c r="P248" s="7" t="n">
        <v>14601.5</v>
      </c>
      <c r="Q248" s="7" t="n">
        <v>7307.2</v>
      </c>
      <c r="R248" s="7" t="n">
        <v>-2585.7</v>
      </c>
      <c r="S248" s="7" t="n">
        <v>7891.7</v>
      </c>
      <c r="T248" s="7" t="n">
        <v>11824.4</v>
      </c>
      <c r="U248" s="7" t="n">
        <v>7572.6</v>
      </c>
      <c r="V248" s="7" t="n">
        <v>15869.6</v>
      </c>
      <c r="W248" s="7" t="n">
        <v>8407.4</v>
      </c>
      <c r="X248" s="7" t="n">
        <v>8785.6</v>
      </c>
      <c r="Y248" s="7" t="n">
        <v>8570</v>
      </c>
      <c r="Z248" s="7" t="n">
        <v>2008.3</v>
      </c>
      <c r="AA248" s="8" t="n">
        <v>94354.3</v>
      </c>
      <c r="AB248" s="8" t="n">
        <v>92274.7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4134.1</v>
      </c>
      <c r="E250" s="7" t="n">
        <v>0</v>
      </c>
      <c r="F250" s="7" t="n">
        <v>-2356.7</v>
      </c>
      <c r="G250" s="7" t="n">
        <v>0</v>
      </c>
      <c r="H250" s="7" t="n">
        <v>2314.1</v>
      </c>
      <c r="I250" s="7" t="n">
        <v>0</v>
      </c>
      <c r="J250" s="7" t="n">
        <v>-2336</v>
      </c>
      <c r="K250" s="7" t="n">
        <v>0</v>
      </c>
      <c r="L250" s="7" t="n">
        <v>-3681.1</v>
      </c>
      <c r="M250" s="7" t="n">
        <v>0</v>
      </c>
      <c r="N250" s="7" t="n">
        <v>3233.1</v>
      </c>
      <c r="O250" s="7" t="n">
        <v>0</v>
      </c>
      <c r="P250" s="7" t="n">
        <v>-1533.9</v>
      </c>
      <c r="Q250" s="7" t="n">
        <v>0</v>
      </c>
      <c r="R250" s="7" t="n">
        <v>-2063.5</v>
      </c>
      <c r="S250" s="7" t="n">
        <v>0</v>
      </c>
      <c r="T250" s="7" t="n">
        <v>-138.9</v>
      </c>
      <c r="U250" s="7" t="n">
        <v>0</v>
      </c>
      <c r="V250" s="7" t="n">
        <v>3350.1</v>
      </c>
      <c r="W250" s="7" t="n">
        <v>0</v>
      </c>
      <c r="X250" s="7" t="n">
        <v>-1810.4</v>
      </c>
      <c r="Y250" s="7" t="n">
        <v>0</v>
      </c>
      <c r="Z250" s="7" t="n">
        <v>2795</v>
      </c>
      <c r="AA250" s="7" t="n">
        <v>0</v>
      </c>
      <c r="AB250" s="7" t="n">
        <v>1905.9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16809.4</v>
      </c>
      <c r="D255" s="7" t="n">
        <v>3792.6</v>
      </c>
      <c r="E255" s="7" t="n">
        <v>14609.2</v>
      </c>
      <c r="F255" s="7" t="n">
        <v>25347.7</v>
      </c>
      <c r="G255" s="7" t="n">
        <v>17044.4</v>
      </c>
      <c r="H255" s="7" t="n">
        <v>4246.1</v>
      </c>
      <c r="I255" s="7" t="n">
        <v>14831.5</v>
      </c>
      <c r="J255" s="7" t="n">
        <v>25336.9</v>
      </c>
      <c r="K255" s="7" t="n">
        <v>13714</v>
      </c>
      <c r="L255" s="7" t="n">
        <v>11015.1</v>
      </c>
      <c r="M255" s="7" t="n">
        <v>13375</v>
      </c>
      <c r="N255" s="7" t="n">
        <v>24915.1</v>
      </c>
      <c r="O255" s="7" t="n">
        <v>16580.3</v>
      </c>
      <c r="P255" s="7" t="n">
        <v>21309.2</v>
      </c>
      <c r="Q255" s="7" t="n">
        <v>14879.4</v>
      </c>
      <c r="R255" s="7" t="n">
        <v>541.9</v>
      </c>
      <c r="S255" s="7" t="n">
        <v>13562.4</v>
      </c>
      <c r="T255" s="7" t="n">
        <v>22029.5</v>
      </c>
      <c r="U255" s="7" t="n">
        <v>13496.4</v>
      </c>
      <c r="V255" s="7" t="n">
        <v>1901.1</v>
      </c>
      <c r="W255" s="7" t="n">
        <v>15284.7</v>
      </c>
      <c r="X255" s="7" t="n">
        <v>11979</v>
      </c>
      <c r="Y255" s="7" t="n">
        <v>14240.2</v>
      </c>
      <c r="Z255" s="7" t="n">
        <v>27760.2</v>
      </c>
      <c r="AA255" s="7" t="n">
        <v>178426.9</v>
      </c>
      <c r="AB255" s="7" t="n">
        <v>180174.4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395212.8</v>
      </c>
      <c r="D256" s="7" t="n">
        <v>311878.6</v>
      </c>
      <c r="E256" s="7" t="n">
        <v>391543.9</v>
      </c>
      <c r="F256" s="7" t="n">
        <v>366831.9</v>
      </c>
      <c r="G256" s="7" t="n">
        <v>457692.7</v>
      </c>
      <c r="H256" s="7" t="n">
        <v>217957.4</v>
      </c>
      <c r="I256" s="7" t="n">
        <v>456506.4</v>
      </c>
      <c r="J256" s="7" t="n">
        <v>274345</v>
      </c>
      <c r="K256" s="7" t="n">
        <v>440790.9</v>
      </c>
      <c r="L256" s="7" t="n">
        <v>473746.2</v>
      </c>
      <c r="M256" s="7" t="n">
        <v>389558.2</v>
      </c>
      <c r="N256" s="7" t="n">
        <v>759668.5</v>
      </c>
      <c r="O256" s="7" t="n">
        <v>402719.2</v>
      </c>
      <c r="P256" s="7" t="n">
        <v>656868.2</v>
      </c>
      <c r="Q256" s="7" t="n">
        <v>351382.7</v>
      </c>
      <c r="R256" s="7" t="n">
        <v>309246.1</v>
      </c>
      <c r="S256" s="7" t="n">
        <v>386920.7</v>
      </c>
      <c r="T256" s="7" t="n">
        <v>464499.6</v>
      </c>
      <c r="U256" s="7" t="n">
        <v>412558.5</v>
      </c>
      <c r="V256" s="7" t="n">
        <v>557196</v>
      </c>
      <c r="W256" s="7" t="n">
        <v>429027.4</v>
      </c>
      <c r="X256" s="7" t="n">
        <v>263282.5</v>
      </c>
      <c r="Y256" s="7" t="n">
        <v>459494.5</v>
      </c>
      <c r="Z256" s="7" t="n">
        <v>204124.2</v>
      </c>
      <c r="AA256" s="8" t="n">
        <v>4973407.9</v>
      </c>
      <c r="AB256" s="8" t="n">
        <v>4859644.2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457.3</v>
      </c>
      <c r="E257" s="7" t="n">
        <v>0</v>
      </c>
      <c r="F257" s="7" t="n">
        <v>2871.8</v>
      </c>
      <c r="G257" s="7" t="n">
        <v>0</v>
      </c>
      <c r="H257" s="7" t="n">
        <v>4873.6</v>
      </c>
      <c r="I257" s="7" t="n">
        <v>0</v>
      </c>
      <c r="J257" s="7" t="n">
        <v>3052.1</v>
      </c>
      <c r="K257" s="7" t="n">
        <v>0</v>
      </c>
      <c r="L257" s="7" t="n">
        <v>4219.2</v>
      </c>
      <c r="M257" s="7" t="n">
        <v>0</v>
      </c>
      <c r="N257" s="7" t="n">
        <v>4429.5</v>
      </c>
      <c r="O257" s="7" t="n">
        <v>0</v>
      </c>
      <c r="P257" s="7" t="n">
        <v>546</v>
      </c>
      <c r="Q257" s="7" t="n">
        <v>0</v>
      </c>
      <c r="R257" s="7" t="n">
        <v>4081.4</v>
      </c>
      <c r="S257" s="7" t="n">
        <v>0</v>
      </c>
      <c r="T257" s="7" t="n">
        <v>430.9</v>
      </c>
      <c r="U257" s="7" t="n">
        <v>0</v>
      </c>
      <c r="V257" s="7" t="n">
        <v>929.6</v>
      </c>
      <c r="W257" s="7" t="n">
        <v>0</v>
      </c>
      <c r="X257" s="7" t="n">
        <v>404.4</v>
      </c>
      <c r="Y257" s="7" t="n">
        <v>0</v>
      </c>
      <c r="Z257" s="7" t="n">
        <v>4400.6</v>
      </c>
      <c r="AA257" s="7" t="n">
        <v>0</v>
      </c>
      <c r="AB257" s="7" t="n">
        <v>30696.4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2231.6</v>
      </c>
      <c r="E258" s="7" t="n">
        <v>0</v>
      </c>
      <c r="F258" s="7" t="n">
        <v>682.2</v>
      </c>
      <c r="G258" s="7" t="n">
        <v>0</v>
      </c>
      <c r="H258" s="7" t="n">
        <v>2450.8</v>
      </c>
      <c r="I258" s="7" t="n">
        <v>0</v>
      </c>
      <c r="J258" s="7" t="n">
        <v>2381.8</v>
      </c>
      <c r="K258" s="7" t="n">
        <v>0</v>
      </c>
      <c r="L258" s="7" t="n">
        <v>159.7</v>
      </c>
      <c r="M258" s="7" t="n">
        <v>0</v>
      </c>
      <c r="N258" s="7" t="n">
        <v>1708.5</v>
      </c>
      <c r="O258" s="7" t="n">
        <v>0</v>
      </c>
      <c r="P258" s="7" t="n">
        <v>598.8</v>
      </c>
      <c r="Q258" s="7" t="n">
        <v>0</v>
      </c>
      <c r="R258" s="7" t="n">
        <v>98.5</v>
      </c>
      <c r="S258" s="7" t="n">
        <v>0</v>
      </c>
      <c r="T258" s="7" t="n">
        <v>212.6</v>
      </c>
      <c r="U258" s="7" t="n">
        <v>0</v>
      </c>
      <c r="V258" s="7" t="n">
        <v>1290.6</v>
      </c>
      <c r="W258" s="7" t="n">
        <v>0</v>
      </c>
      <c r="X258" s="7" t="n">
        <v>941.7</v>
      </c>
      <c r="Y258" s="7" t="n">
        <v>0</v>
      </c>
      <c r="Z258" s="7" t="n">
        <v>44.1</v>
      </c>
      <c r="AA258" s="7" t="n">
        <v>0</v>
      </c>
      <c r="AB258" s="7" t="n">
        <v>12800.9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414147.1</v>
      </c>
      <c r="D259" s="7" t="n">
        <v>340383.1</v>
      </c>
      <c r="E259" s="7" t="n">
        <v>402071.3</v>
      </c>
      <c r="F259" s="7" t="n">
        <v>348961.7</v>
      </c>
      <c r="G259" s="7" t="n">
        <v>417265.9</v>
      </c>
      <c r="H259" s="7" t="n">
        <v>226704.5</v>
      </c>
      <c r="I259" s="7" t="n">
        <v>414828.7</v>
      </c>
      <c r="J259" s="7" t="n">
        <v>301119.7</v>
      </c>
      <c r="K259" s="7" t="n">
        <v>450402.7</v>
      </c>
      <c r="L259" s="7" t="n">
        <v>434579.1</v>
      </c>
      <c r="M259" s="7" t="n">
        <v>395227.3</v>
      </c>
      <c r="N259" s="7" t="n">
        <v>760303.6</v>
      </c>
      <c r="O259" s="7" t="n">
        <v>361053.8</v>
      </c>
      <c r="P259" s="7" t="n">
        <v>694337</v>
      </c>
      <c r="Q259" s="7" t="n">
        <v>376347.5</v>
      </c>
      <c r="R259" s="7" t="n">
        <v>313066.8</v>
      </c>
      <c r="S259" s="7" t="n">
        <v>461526.6</v>
      </c>
      <c r="T259" s="7" t="n">
        <v>448449.2</v>
      </c>
      <c r="U259" s="7" t="n">
        <v>438320.6</v>
      </c>
      <c r="V259" s="7" t="n">
        <v>534132</v>
      </c>
      <c r="W259" s="7" t="n">
        <v>395384.9</v>
      </c>
      <c r="X259" s="7" t="n">
        <v>279644.4</v>
      </c>
      <c r="Y259" s="7" t="n">
        <v>434266.8</v>
      </c>
      <c r="Z259" s="7" t="n">
        <v>189461.9</v>
      </c>
      <c r="AA259" s="8" t="n">
        <v>4960843.2</v>
      </c>
      <c r="AB259" s="8" t="n">
        <v>4871143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115466.5</v>
      </c>
      <c r="D260" s="7" t="n">
        <v>85095.8</v>
      </c>
      <c r="E260" s="7" t="n">
        <v>110403.4</v>
      </c>
      <c r="F260" s="7" t="n">
        <v>87240.39999999999</v>
      </c>
      <c r="G260" s="7" t="n">
        <v>101928.8</v>
      </c>
      <c r="H260" s="7" t="n">
        <v>56676.1</v>
      </c>
      <c r="I260" s="7" t="n">
        <v>90560.10000000001</v>
      </c>
      <c r="J260" s="7" t="n">
        <v>75279.89999999999</v>
      </c>
      <c r="K260" s="7" t="n">
        <v>100694.7</v>
      </c>
      <c r="L260" s="7" t="n">
        <v>108644.8</v>
      </c>
      <c r="M260" s="7" t="n">
        <v>110760.9</v>
      </c>
      <c r="N260" s="7" t="n">
        <v>190075.9</v>
      </c>
      <c r="O260" s="7" t="n">
        <v>110948.5</v>
      </c>
      <c r="P260" s="7" t="n">
        <v>173584.2</v>
      </c>
      <c r="Q260" s="7" t="n">
        <v>88775.8</v>
      </c>
      <c r="R260" s="7" t="n">
        <v>78266.7</v>
      </c>
      <c r="S260" s="7" t="n">
        <v>113711.6</v>
      </c>
      <c r="T260" s="7" t="n">
        <v>112112.3</v>
      </c>
      <c r="U260" s="7" t="n">
        <v>108342.9</v>
      </c>
      <c r="V260" s="7" t="n">
        <v>133533</v>
      </c>
      <c r="W260" s="7" t="n">
        <v>88413</v>
      </c>
      <c r="X260" s="7" t="n">
        <v>69911.10000000001</v>
      </c>
      <c r="Y260" s="7" t="n">
        <v>94109</v>
      </c>
      <c r="Z260" s="7" t="n">
        <v>47365.5</v>
      </c>
      <c r="AA260" s="7" t="n">
        <v>1234115.2</v>
      </c>
      <c r="AB260" s="7" t="n">
        <v>1217785.7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220631.1</v>
      </c>
      <c r="D261" s="7" t="n">
        <v>255287.3</v>
      </c>
      <c r="E261" s="7" t="n">
        <v>271456.9</v>
      </c>
      <c r="F261" s="7" t="n">
        <v>261721.3</v>
      </c>
      <c r="G261" s="7" t="n">
        <v>231703.7</v>
      </c>
      <c r="H261" s="7" t="n">
        <v>170028.4</v>
      </c>
      <c r="I261" s="7" t="n">
        <v>217771.7</v>
      </c>
      <c r="J261" s="7" t="n">
        <v>225839.8</v>
      </c>
      <c r="K261" s="7" t="n">
        <v>213921.2</v>
      </c>
      <c r="L261" s="7" t="n">
        <v>325934.3</v>
      </c>
      <c r="M261" s="7" t="n">
        <v>179831.8</v>
      </c>
      <c r="N261" s="7" t="n">
        <v>570227.7</v>
      </c>
      <c r="O261" s="7" t="n">
        <v>162130.3</v>
      </c>
      <c r="P261" s="7" t="n">
        <v>520752.8</v>
      </c>
      <c r="Q261" s="7" t="n">
        <v>280553.9</v>
      </c>
      <c r="R261" s="7" t="n">
        <v>234800.1</v>
      </c>
      <c r="S261" s="7" t="n">
        <v>218880.8</v>
      </c>
      <c r="T261" s="7" t="n">
        <v>336336.9</v>
      </c>
      <c r="U261" s="7" t="n">
        <v>264721.1</v>
      </c>
      <c r="V261" s="7" t="n">
        <v>400599</v>
      </c>
      <c r="W261" s="7" t="n">
        <v>208628.7</v>
      </c>
      <c r="X261" s="7" t="n">
        <v>209733.3</v>
      </c>
      <c r="Y261" s="7" t="n">
        <v>165152.5</v>
      </c>
      <c r="Z261" s="7" t="n">
        <v>142096.4</v>
      </c>
      <c r="AA261" s="8" t="n">
        <v>2635383.7</v>
      </c>
      <c r="AB261" s="8" t="n">
        <v>3653357.3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3477.3</v>
      </c>
      <c r="E262" s="7" t="n">
        <v>0</v>
      </c>
      <c r="F262" s="7" t="n">
        <v>27621.7</v>
      </c>
      <c r="G262" s="7" t="n">
        <v>0</v>
      </c>
      <c r="H262" s="7" t="n">
        <v>28640.3</v>
      </c>
      <c r="I262" s="7" t="n">
        <v>0</v>
      </c>
      <c r="J262" s="7" t="n">
        <v>41381.1</v>
      </c>
      <c r="K262" s="7" t="n">
        <v>0</v>
      </c>
      <c r="L262" s="7" t="n">
        <v>21685.6</v>
      </c>
      <c r="M262" s="7" t="n">
        <v>0</v>
      </c>
      <c r="N262" s="7" t="n">
        <v>31335.6</v>
      </c>
      <c r="O262" s="7" t="n">
        <v>0</v>
      </c>
      <c r="P262" s="7" t="n">
        <v>73156.2</v>
      </c>
      <c r="Q262" s="7" t="n">
        <v>0</v>
      </c>
      <c r="R262" s="7" t="n">
        <v>20904.5</v>
      </c>
      <c r="S262" s="7" t="n">
        <v>0</v>
      </c>
      <c r="T262" s="7" t="n">
        <v>97956.8</v>
      </c>
      <c r="U262" s="7" t="n">
        <v>0</v>
      </c>
      <c r="V262" s="7" t="n">
        <v>94181.39999999999</v>
      </c>
      <c r="W262" s="7" t="n">
        <v>0</v>
      </c>
      <c r="X262" s="7" t="n">
        <v>45829.2</v>
      </c>
      <c r="Y262" s="7" t="n">
        <v>0</v>
      </c>
      <c r="Z262" s="7" t="n">
        <v>18665.1</v>
      </c>
      <c r="AA262" s="7" t="n">
        <v>0</v>
      </c>
      <c r="AB262" s="7" t="n">
        <v>504834.8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220631.1</v>
      </c>
      <c r="D263" s="7" t="n">
        <v>251810</v>
      </c>
      <c r="E263" s="7" t="n">
        <v>271456.9</v>
      </c>
      <c r="F263" s="7" t="n">
        <v>234099.6</v>
      </c>
      <c r="G263" s="7" t="n">
        <v>231703.7</v>
      </c>
      <c r="H263" s="7" t="n">
        <v>141388.1</v>
      </c>
      <c r="I263" s="7" t="n">
        <v>217771.7</v>
      </c>
      <c r="J263" s="7" t="n">
        <v>184458.7</v>
      </c>
      <c r="K263" s="7" t="n">
        <v>213921.2</v>
      </c>
      <c r="L263" s="7" t="n">
        <v>304248.7</v>
      </c>
      <c r="M263" s="7" t="n">
        <v>179831.8</v>
      </c>
      <c r="N263" s="7" t="n">
        <v>538892.1</v>
      </c>
      <c r="O263" s="7" t="n">
        <v>162130.3</v>
      </c>
      <c r="P263" s="7" t="n">
        <v>447596.6</v>
      </c>
      <c r="Q263" s="7" t="n">
        <v>280553.9</v>
      </c>
      <c r="R263" s="7" t="n">
        <v>213895.6</v>
      </c>
      <c r="S263" s="7" t="n">
        <v>218880.8</v>
      </c>
      <c r="T263" s="7" t="n">
        <v>238380.1</v>
      </c>
      <c r="U263" s="7" t="n">
        <v>264721.1</v>
      </c>
      <c r="V263" s="7" t="n">
        <v>306417.6</v>
      </c>
      <c r="W263" s="7" t="n">
        <v>208628.7</v>
      </c>
      <c r="X263" s="7" t="n">
        <v>163904.1</v>
      </c>
      <c r="Y263" s="7" t="n">
        <v>165152.5</v>
      </c>
      <c r="Z263" s="7" t="n">
        <v>123431.3</v>
      </c>
      <c r="AA263" s="8" t="n">
        <v>2635383.7</v>
      </c>
      <c r="AB263" s="8" t="n">
        <v>3148522.5</v>
      </c>
    </row>
    <row r="264">
      <c r="A264" s="4" t="inlineStr">
        <is>
          <t>净利率</t>
        </is>
      </c>
      <c r="D264" s="13" t="n">
        <v>10.9</v>
      </c>
      <c r="F264" s="13" t="n">
        <v>10.1</v>
      </c>
      <c r="H264" s="13" t="n">
        <v>4.9</v>
      </c>
      <c r="J264" s="13" t="n">
        <v>6</v>
      </c>
      <c r="L264" s="13" t="n">
        <v>7.4</v>
      </c>
      <c r="N264" s="13" t="n">
        <v>11.1</v>
      </c>
      <c r="P264" s="13" t="n">
        <v>11.5</v>
      </c>
      <c r="R264" s="13" t="n">
        <v>6.1</v>
      </c>
      <c r="T264" s="13" t="n">
        <v>9.1</v>
      </c>
      <c r="V264" s="13" t="n">
        <v>9.800000000000001</v>
      </c>
      <c r="X264" s="13" t="n">
        <v>6.6</v>
      </c>
      <c r="Z264" s="13" t="n">
        <v>5.3</v>
      </c>
    </row>
    <row r="265">
      <c r="A265" s="4" t="inlineStr">
        <is>
          <t>销售达成率</t>
        </is>
      </c>
      <c r="D265" s="13" t="n">
        <v>71.59999999999999</v>
      </c>
      <c r="F265" s="13" t="n">
        <v>77.90000000000001</v>
      </c>
      <c r="H265" s="13" t="n">
        <v>105.8</v>
      </c>
      <c r="J265" s="13" t="n">
        <v>100.8</v>
      </c>
      <c r="L265" s="13" t="n">
        <v>111.4</v>
      </c>
      <c r="N265" s="13" t="n">
        <v>154.4</v>
      </c>
      <c r="P265" s="13" t="n">
        <v>134.6</v>
      </c>
      <c r="R265" s="13" t="n">
        <v>105.2</v>
      </c>
      <c r="T265" s="13" t="n">
        <v>93.90000000000001</v>
      </c>
      <c r="V265" s="13" t="n">
        <v>96.7</v>
      </c>
      <c r="X265" s="13" t="n">
        <v>85.5</v>
      </c>
      <c r="Z265" s="13" t="n">
        <v>78.40000000000001</v>
      </c>
    </row>
    <row r="266">
      <c r="A266" s="4" t="inlineStr">
        <is>
          <t>净利达成率</t>
        </is>
      </c>
      <c r="D266" s="13" t="n">
        <v>115.7</v>
      </c>
      <c r="F266" s="13" t="n">
        <v>96.40000000000001</v>
      </c>
      <c r="H266" s="13" t="n">
        <v>73.40000000000001</v>
      </c>
      <c r="J266" s="13" t="n">
        <v>103.7</v>
      </c>
      <c r="L266" s="13" t="n">
        <v>152.4</v>
      </c>
      <c r="N266" s="13" t="n">
        <v>317.1</v>
      </c>
      <c r="P266" s="13" t="n">
        <v>321.2</v>
      </c>
      <c r="R266" s="13" t="n">
        <v>83.7</v>
      </c>
      <c r="T266" s="13" t="n">
        <v>153.7</v>
      </c>
      <c r="V266" s="13" t="n">
        <v>151.3</v>
      </c>
      <c r="X266" s="13" t="n">
        <v>100.5</v>
      </c>
      <c r="Z266" s="13" t="n">
        <v>86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赣皖区域利润表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2270804.6</v>
      </c>
      <c r="D6" s="7" t="n">
        <v>1287162.1</v>
      </c>
      <c r="E6" s="7" t="n">
        <v>2524340.9</v>
      </c>
      <c r="F6" s="7" t="n">
        <v>1776854.1</v>
      </c>
      <c r="G6" s="7" t="n">
        <v>2493651.1</v>
      </c>
      <c r="H6" s="7" t="n">
        <v>2123956.5</v>
      </c>
      <c r="I6" s="7" t="n">
        <v>2638214.7</v>
      </c>
      <c r="J6" s="7" t="n">
        <v>2475569.7</v>
      </c>
      <c r="K6" s="7" t="n">
        <v>2638627.1</v>
      </c>
      <c r="L6" s="7" t="n">
        <v>2609642.5</v>
      </c>
      <c r="M6" s="7" t="n">
        <v>2643639.1</v>
      </c>
      <c r="N6" s="7" t="n">
        <v>2882149.6</v>
      </c>
      <c r="O6" s="7" t="n">
        <v>2300477.9</v>
      </c>
      <c r="P6" s="7" t="n">
        <v>3238767.8</v>
      </c>
      <c r="Q6" s="7" t="n">
        <v>2255126</v>
      </c>
      <c r="R6" s="7" t="n">
        <v>2773773</v>
      </c>
      <c r="S6" s="7" t="n">
        <v>2542963.8</v>
      </c>
      <c r="T6" s="7" t="n">
        <v>2343016.3</v>
      </c>
      <c r="U6" s="7" t="n">
        <v>2572090.4</v>
      </c>
      <c r="V6" s="7" t="n">
        <v>3015272.9</v>
      </c>
      <c r="W6" s="7" t="n">
        <v>2652975.2</v>
      </c>
      <c r="X6" s="7" t="n">
        <v>2283639</v>
      </c>
      <c r="Y6" s="7" t="n">
        <v>2054124.5</v>
      </c>
      <c r="Z6" s="7" t="n">
        <v>1708007.3</v>
      </c>
      <c r="AA6" s="8" t="n">
        <v>29587035.3</v>
      </c>
      <c r="AB6" s="8" t="n">
        <v>28517810.8</v>
      </c>
    </row>
    <row r="7">
      <c r="A7" s="4" t="inlineStr">
        <is>
          <t>中式汤底</t>
        </is>
      </c>
      <c r="D7" s="7" t="n">
        <v>83456.89999999999</v>
      </c>
      <c r="F7" s="7" t="n">
        <v>108808.7</v>
      </c>
      <c r="H7" s="7" t="n">
        <v>122260.4</v>
      </c>
      <c r="J7" s="7" t="n">
        <v>187415.3</v>
      </c>
      <c r="L7" s="7" t="n">
        <v>161898.3</v>
      </c>
      <c r="N7" s="7" t="n">
        <v>205135.1</v>
      </c>
      <c r="P7" s="7" t="n">
        <v>278523.2</v>
      </c>
      <c r="R7" s="7" t="n">
        <v>171164.8</v>
      </c>
      <c r="T7" s="7" t="n">
        <v>187765.5</v>
      </c>
      <c r="V7" s="7" t="n">
        <v>268187.8</v>
      </c>
      <c r="X7" s="7" t="n">
        <v>131067.4</v>
      </c>
      <c r="Z7" s="7" t="n">
        <v>97948</v>
      </c>
      <c r="AB7" s="7" t="n">
        <v>2003631.4</v>
      </c>
    </row>
    <row r="8">
      <c r="A8" s="4" t="inlineStr">
        <is>
          <t>酱料</t>
        </is>
      </c>
      <c r="D8" s="7" t="n">
        <v>81387.89999999999</v>
      </c>
      <c r="F8" s="7" t="n">
        <v>142953.7</v>
      </c>
      <c r="H8" s="7" t="n">
        <v>145969</v>
      </c>
      <c r="J8" s="7" t="n">
        <v>216884.2</v>
      </c>
      <c r="L8" s="7" t="n">
        <v>236581.7</v>
      </c>
      <c r="N8" s="7" t="n">
        <v>272071.1</v>
      </c>
      <c r="P8" s="7" t="n">
        <v>275645.3</v>
      </c>
      <c r="R8" s="7" t="n">
        <v>203118.5</v>
      </c>
      <c r="T8" s="7" t="n">
        <v>210463.2</v>
      </c>
      <c r="V8" s="7" t="n">
        <v>277472.6</v>
      </c>
      <c r="X8" s="7" t="n">
        <v>139125.1</v>
      </c>
      <c r="Z8" s="7" t="n">
        <v>155551.8</v>
      </c>
      <c r="AB8" s="7" t="n">
        <v>2357224.1</v>
      </c>
    </row>
    <row r="9">
      <c r="A9" s="4" t="inlineStr">
        <is>
          <t>川味底料</t>
        </is>
      </c>
      <c r="D9" s="7" t="n">
        <v>169236.4</v>
      </c>
      <c r="F9" s="7" t="n">
        <v>285438.3</v>
      </c>
      <c r="H9" s="7" t="n">
        <v>327811.1</v>
      </c>
      <c r="J9" s="7" t="n">
        <v>272466.8</v>
      </c>
      <c r="L9" s="7" t="n">
        <v>384209.2</v>
      </c>
      <c r="N9" s="7" t="n">
        <v>371510.5</v>
      </c>
      <c r="P9" s="7" t="n">
        <v>604563.9</v>
      </c>
      <c r="R9" s="7" t="n">
        <v>418616.9</v>
      </c>
      <c r="T9" s="7" t="n">
        <v>473277.4</v>
      </c>
      <c r="V9" s="7" t="n">
        <v>376529.3</v>
      </c>
      <c r="X9" s="7" t="n">
        <v>378108.6</v>
      </c>
      <c r="Z9" s="7" t="n">
        <v>278063.1</v>
      </c>
      <c r="AB9" s="7" t="n">
        <v>4339831.5</v>
      </c>
    </row>
    <row r="10">
      <c r="A10" s="4" t="inlineStr">
        <is>
          <t>调味汁</t>
        </is>
      </c>
      <c r="D10" s="7" t="n">
        <v>175627.1</v>
      </c>
      <c r="F10" s="7" t="n">
        <v>193951.2</v>
      </c>
      <c r="H10" s="7" t="n">
        <v>227748.5</v>
      </c>
      <c r="J10" s="7" t="n">
        <v>306880.3</v>
      </c>
      <c r="L10" s="7" t="n">
        <v>275022.3</v>
      </c>
      <c r="N10" s="7" t="n">
        <v>291686.8</v>
      </c>
      <c r="P10" s="7" t="n">
        <v>430097.2</v>
      </c>
      <c r="R10" s="7" t="n">
        <v>297998.9</v>
      </c>
      <c r="T10" s="7" t="n">
        <v>248929.3</v>
      </c>
      <c r="V10" s="7" t="n">
        <v>314934.8</v>
      </c>
      <c r="X10" s="7" t="n">
        <v>324006.5</v>
      </c>
      <c r="Z10" s="7" t="n">
        <v>199900.2</v>
      </c>
      <c r="AB10" s="7" t="n">
        <v>3286783.1</v>
      </c>
    </row>
    <row r="11">
      <c r="A11" s="4" t="inlineStr">
        <is>
          <t>复合调味粉</t>
        </is>
      </c>
      <c r="D11" s="7" t="n">
        <v>155899.1</v>
      </c>
      <c r="F11" s="7" t="n">
        <v>213253.7</v>
      </c>
      <c r="H11" s="7" t="n">
        <v>209641.2</v>
      </c>
      <c r="J11" s="7" t="n">
        <v>356032.3</v>
      </c>
      <c r="L11" s="7" t="n">
        <v>348734.1</v>
      </c>
      <c r="N11" s="7" t="n">
        <v>436515.3</v>
      </c>
      <c r="P11" s="7" t="n">
        <v>310713.3</v>
      </c>
      <c r="R11" s="7" t="n">
        <v>321168.6</v>
      </c>
      <c r="T11" s="7" t="n">
        <v>214175.6</v>
      </c>
      <c r="V11" s="7" t="n">
        <v>424231.2</v>
      </c>
      <c r="X11" s="7" t="n">
        <v>196469.3</v>
      </c>
      <c r="Z11" s="7" t="n">
        <v>198137</v>
      </c>
      <c r="AB11" s="7" t="n">
        <v>3384970.7</v>
      </c>
    </row>
    <row r="12">
      <c r="A12" s="4" t="inlineStr">
        <is>
          <t>团餐</t>
        </is>
      </c>
      <c r="D12" s="7" t="n">
        <v>280107.6</v>
      </c>
      <c r="F12" s="7" t="n">
        <v>487187.1</v>
      </c>
      <c r="H12" s="7" t="n">
        <v>501224.2</v>
      </c>
      <c r="J12" s="7" t="n">
        <v>677057.2</v>
      </c>
      <c r="L12" s="7" t="n">
        <v>729592.6</v>
      </c>
      <c r="N12" s="7" t="n">
        <v>561313.3</v>
      </c>
      <c r="P12" s="7" t="n">
        <v>666539.8</v>
      </c>
      <c r="R12" s="7" t="n">
        <v>597085.7</v>
      </c>
      <c r="T12" s="7" t="n">
        <v>469897.9</v>
      </c>
      <c r="V12" s="7" t="n">
        <v>682176.1</v>
      </c>
      <c r="X12" s="7" t="n">
        <v>483244.5</v>
      </c>
      <c r="Z12" s="7" t="n">
        <v>386962.6</v>
      </c>
      <c r="AB12" s="7" t="n">
        <v>6522388.6</v>
      </c>
    </row>
    <row r="13">
      <c r="A13" s="4" t="inlineStr">
        <is>
          <t>预制菜</t>
        </is>
      </c>
      <c r="D13" s="7" t="n">
        <v>353820.4</v>
      </c>
      <c r="F13" s="7" t="n">
        <v>359287</v>
      </c>
      <c r="H13" s="7" t="n">
        <v>578546</v>
      </c>
      <c r="J13" s="7" t="n">
        <v>482847.6</v>
      </c>
      <c r="L13" s="7" t="n">
        <v>459094.1</v>
      </c>
      <c r="N13" s="7" t="n">
        <v>774593.1</v>
      </c>
      <c r="P13" s="7" t="n">
        <v>696072.7</v>
      </c>
      <c r="R13" s="7" t="n">
        <v>753862.4</v>
      </c>
      <c r="T13" s="7" t="n">
        <v>573113.7</v>
      </c>
      <c r="V13" s="7" t="n">
        <v>690617.5</v>
      </c>
      <c r="X13" s="7" t="n">
        <v>631989</v>
      </c>
      <c r="Z13" s="7" t="n">
        <v>387898</v>
      </c>
      <c r="AB13" s="7" t="n">
        <v>6741741.5</v>
      </c>
    </row>
    <row r="14">
      <c r="A14" s="4" t="inlineStr">
        <is>
          <t>返利</t>
        </is>
      </c>
      <c r="D14" s="7" t="n">
        <v>-26615</v>
      </c>
      <c r="F14" s="7" t="n">
        <v>-49475.2</v>
      </c>
      <c r="H14" s="7" t="n">
        <v>-31358.1</v>
      </c>
      <c r="J14" s="7" t="n">
        <v>-68556.39999999999</v>
      </c>
      <c r="L14" s="7" t="n">
        <v>-33808.5</v>
      </c>
      <c r="N14" s="7" t="n">
        <v>-60000.7</v>
      </c>
      <c r="P14" s="7" t="n">
        <v>-59086.2</v>
      </c>
      <c r="R14" s="7" t="n">
        <v>-42716.7</v>
      </c>
      <c r="T14" s="7" t="n">
        <v>-49724.2</v>
      </c>
      <c r="V14" s="7" t="n">
        <v>-32703.1</v>
      </c>
      <c r="X14" s="7" t="n">
        <v>-42449.1</v>
      </c>
      <c r="Z14" s="7" t="n">
        <v>-23649.6</v>
      </c>
      <c r="AB14" s="7" t="n">
        <v>-520142.8</v>
      </c>
    </row>
    <row r="15">
      <c r="A15" s="4" t="inlineStr">
        <is>
          <t>其他</t>
        </is>
      </c>
      <c r="D15" s="7" t="n">
        <v>14241.7</v>
      </c>
      <c r="F15" s="7" t="n">
        <v>35449.6</v>
      </c>
      <c r="H15" s="7" t="n">
        <v>42114.2</v>
      </c>
      <c r="J15" s="7" t="n">
        <v>44542.4</v>
      </c>
      <c r="L15" s="7" t="n">
        <v>48318.7</v>
      </c>
      <c r="N15" s="7" t="n">
        <v>29325.1</v>
      </c>
      <c r="P15" s="7" t="n">
        <v>35698.6</v>
      </c>
      <c r="R15" s="7" t="n">
        <v>53473.9</v>
      </c>
      <c r="T15" s="7" t="n">
        <v>15117.9</v>
      </c>
      <c r="V15" s="7" t="n">
        <v>13826.7</v>
      </c>
      <c r="X15" s="7" t="n">
        <v>42077.7</v>
      </c>
      <c r="Z15" s="7" t="n">
        <v>27196.2</v>
      </c>
      <c r="AB15" s="7" t="n">
        <v>401382.7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1589451.6</v>
      </c>
      <c r="D16" s="7" t="n">
        <v>921282.7</v>
      </c>
      <c r="E16" s="7" t="n">
        <v>1595330.3</v>
      </c>
      <c r="F16" s="7" t="n">
        <v>1267835.3</v>
      </c>
      <c r="G16" s="7" t="n">
        <v>1611716.8</v>
      </c>
      <c r="H16" s="7" t="n">
        <v>1484906.1</v>
      </c>
      <c r="I16" s="7" t="n">
        <v>1516384.9</v>
      </c>
      <c r="J16" s="7" t="n">
        <v>1714258.4</v>
      </c>
      <c r="K16" s="7" t="n">
        <v>1504801.1</v>
      </c>
      <c r="L16" s="7" t="n">
        <v>1767681</v>
      </c>
      <c r="M16" s="7" t="n">
        <v>1825048.9</v>
      </c>
      <c r="N16" s="7" t="n">
        <v>2032544.5</v>
      </c>
      <c r="O16" s="7" t="n">
        <v>1710004.8</v>
      </c>
      <c r="P16" s="7" t="n">
        <v>2281311.6</v>
      </c>
      <c r="Q16" s="7" t="n">
        <v>1683450</v>
      </c>
      <c r="R16" s="7" t="n">
        <v>1942199.6</v>
      </c>
      <c r="S16" s="7" t="n">
        <v>1579905.9</v>
      </c>
      <c r="T16" s="7" t="n">
        <v>1655783.2</v>
      </c>
      <c r="U16" s="7" t="n">
        <v>1795616.4</v>
      </c>
      <c r="V16" s="7" t="n">
        <v>2081765.7</v>
      </c>
      <c r="W16" s="7" t="n">
        <v>1467066.5</v>
      </c>
      <c r="X16" s="7" t="n">
        <v>1606020.6</v>
      </c>
      <c r="Y16" s="7" t="n">
        <v>1659772.3</v>
      </c>
      <c r="Z16" s="7" t="n">
        <v>1201286.3</v>
      </c>
      <c r="AA16" s="8" t="n">
        <v>19538549.5</v>
      </c>
      <c r="AB16" s="8" t="n">
        <v>19956875</v>
      </c>
    </row>
    <row r="17">
      <c r="A17" s="4" t="inlineStr">
        <is>
          <t>中式汤底</t>
        </is>
      </c>
      <c r="D17" s="7" t="n">
        <v>53528.1</v>
      </c>
      <c r="F17" s="7" t="n">
        <v>69788.3</v>
      </c>
      <c r="H17" s="7" t="n">
        <v>78416.10000000001</v>
      </c>
      <c r="J17" s="7" t="n">
        <v>120205.5</v>
      </c>
      <c r="L17" s="7" t="n">
        <v>103839.2</v>
      </c>
      <c r="N17" s="7" t="n">
        <v>131570.7</v>
      </c>
      <c r="P17" s="7" t="n">
        <v>178640.8</v>
      </c>
      <c r="R17" s="7" t="n">
        <v>109782.6</v>
      </c>
      <c r="T17" s="7" t="n">
        <v>120430.1</v>
      </c>
      <c r="V17" s="7" t="n">
        <v>172011.8</v>
      </c>
      <c r="X17" s="7" t="n">
        <v>84064.7</v>
      </c>
      <c r="Z17" s="7" t="n">
        <v>62822.4</v>
      </c>
      <c r="AB17" s="7" t="n">
        <v>1285100.3</v>
      </c>
    </row>
    <row r="18">
      <c r="A18" s="4" t="inlineStr">
        <is>
          <t>酱料</t>
        </is>
      </c>
      <c r="D18" s="7" t="n">
        <v>56523</v>
      </c>
      <c r="F18" s="7" t="n">
        <v>99279.7</v>
      </c>
      <c r="H18" s="7" t="n">
        <v>101373.8</v>
      </c>
      <c r="J18" s="7" t="n">
        <v>150623.6</v>
      </c>
      <c r="L18" s="7" t="n">
        <v>164303.3</v>
      </c>
      <c r="N18" s="7" t="n">
        <v>188950.3</v>
      </c>
      <c r="P18" s="7" t="n">
        <v>191432.6</v>
      </c>
      <c r="R18" s="7" t="n">
        <v>141063.5</v>
      </c>
      <c r="T18" s="7" t="n">
        <v>146164.3</v>
      </c>
      <c r="V18" s="7" t="n">
        <v>192701.6</v>
      </c>
      <c r="X18" s="7" t="n">
        <v>96620.8</v>
      </c>
      <c r="Z18" s="7" t="n">
        <v>108029</v>
      </c>
      <c r="AB18" s="7" t="n">
        <v>1637065.5</v>
      </c>
    </row>
    <row r="19">
      <c r="A19" s="4" t="inlineStr">
        <is>
          <t>川味底料</t>
        </is>
      </c>
      <c r="D19" s="7" t="n">
        <v>106956.7</v>
      </c>
      <c r="F19" s="7" t="n">
        <v>180395.8</v>
      </c>
      <c r="H19" s="7" t="n">
        <v>207175.2</v>
      </c>
      <c r="J19" s="7" t="n">
        <v>172197.9</v>
      </c>
      <c r="L19" s="7" t="n">
        <v>242818.6</v>
      </c>
      <c r="N19" s="7" t="n">
        <v>234793</v>
      </c>
      <c r="P19" s="7" t="n">
        <v>382081.8</v>
      </c>
      <c r="R19" s="7" t="n">
        <v>264564.1</v>
      </c>
      <c r="T19" s="7" t="n">
        <v>299109.3</v>
      </c>
      <c r="V19" s="7" t="n">
        <v>237964.9</v>
      </c>
      <c r="X19" s="7" t="n">
        <v>238963</v>
      </c>
      <c r="Z19" s="7" t="n">
        <v>175734.7</v>
      </c>
      <c r="AB19" s="7" t="n">
        <v>2742755</v>
      </c>
    </row>
    <row r="20">
      <c r="A20" s="4" t="inlineStr">
        <is>
          <t>调味汁</t>
        </is>
      </c>
      <c r="D20" s="7" t="n">
        <v>119594.4</v>
      </c>
      <c r="F20" s="7" t="n">
        <v>132072.3</v>
      </c>
      <c r="H20" s="7" t="n">
        <v>155086.8</v>
      </c>
      <c r="J20" s="7" t="n">
        <v>208972.1</v>
      </c>
      <c r="L20" s="7" t="n">
        <v>187278.2</v>
      </c>
      <c r="N20" s="7" t="n">
        <v>198626</v>
      </c>
      <c r="P20" s="7" t="n">
        <v>292877.4</v>
      </c>
      <c r="R20" s="7" t="n">
        <v>202924.2</v>
      </c>
      <c r="T20" s="7" t="n">
        <v>169510</v>
      </c>
      <c r="V20" s="7" t="n">
        <v>214456.8</v>
      </c>
      <c r="X20" s="7" t="n">
        <v>220634.3</v>
      </c>
      <c r="Z20" s="7" t="n">
        <v>136123.3</v>
      </c>
      <c r="AB20" s="7" t="n">
        <v>2238155.8</v>
      </c>
    </row>
    <row r="21">
      <c r="A21" s="4" t="inlineStr">
        <is>
          <t>复合调味粉</t>
        </is>
      </c>
      <c r="D21" s="7" t="n">
        <v>90557.5</v>
      </c>
      <c r="F21" s="7" t="n">
        <v>123873.2</v>
      </c>
      <c r="H21" s="7" t="n">
        <v>121774.8</v>
      </c>
      <c r="J21" s="7" t="n">
        <v>206809.3</v>
      </c>
      <c r="L21" s="7" t="n">
        <v>202570</v>
      </c>
      <c r="N21" s="7" t="n">
        <v>253559.6</v>
      </c>
      <c r="P21" s="7" t="n">
        <v>180484.7</v>
      </c>
      <c r="R21" s="7" t="n">
        <v>186557.9</v>
      </c>
      <c r="T21" s="7" t="n">
        <v>124408.7</v>
      </c>
      <c r="V21" s="7" t="n">
        <v>246424.1</v>
      </c>
      <c r="X21" s="7" t="n">
        <v>114123.6</v>
      </c>
      <c r="Z21" s="7" t="n">
        <v>115092.3</v>
      </c>
      <c r="AB21" s="7" t="n">
        <v>1966235.7</v>
      </c>
    </row>
    <row r="22">
      <c r="A22" s="4" t="inlineStr">
        <is>
          <t>团餐</t>
        </is>
      </c>
      <c r="D22" s="7" t="n">
        <v>180360.8</v>
      </c>
      <c r="F22" s="7" t="n">
        <v>313698.9</v>
      </c>
      <c r="H22" s="7" t="n">
        <v>322737.3</v>
      </c>
      <c r="J22" s="7" t="n">
        <v>435955.9</v>
      </c>
      <c r="L22" s="7" t="n">
        <v>469783.3</v>
      </c>
      <c r="N22" s="7" t="n">
        <v>361428.6</v>
      </c>
      <c r="P22" s="7" t="n">
        <v>429183.7</v>
      </c>
      <c r="R22" s="7" t="n">
        <v>384462.4</v>
      </c>
      <c r="T22" s="7" t="n">
        <v>302566.4</v>
      </c>
      <c r="V22" s="7" t="n">
        <v>439251.9</v>
      </c>
      <c r="X22" s="7" t="n">
        <v>311160.2</v>
      </c>
      <c r="Z22" s="7" t="n">
        <v>249164.5</v>
      </c>
      <c r="AB22" s="7" t="n">
        <v>4199753.9</v>
      </c>
    </row>
    <row r="23">
      <c r="A23" s="4" t="inlineStr">
        <is>
          <t>预制菜</t>
        </is>
      </c>
      <c r="D23" s="7" t="n">
        <v>263186</v>
      </c>
      <c r="F23" s="7" t="n">
        <v>267252.3</v>
      </c>
      <c r="H23" s="7" t="n">
        <v>430346.1</v>
      </c>
      <c r="J23" s="7" t="n">
        <v>359161.7</v>
      </c>
      <c r="L23" s="7" t="n">
        <v>341492.9</v>
      </c>
      <c r="N23" s="7" t="n">
        <v>576173.9</v>
      </c>
      <c r="P23" s="7" t="n">
        <v>517767.2</v>
      </c>
      <c r="R23" s="7" t="n">
        <v>560753.6</v>
      </c>
      <c r="T23" s="7" t="n">
        <v>426305.3</v>
      </c>
      <c r="V23" s="7" t="n">
        <v>513709.4</v>
      </c>
      <c r="X23" s="7" t="n">
        <v>470099.2</v>
      </c>
      <c r="Z23" s="7" t="n">
        <v>288534.3</v>
      </c>
      <c r="AB23" s="7" t="n">
        <v>5014781.9</v>
      </c>
    </row>
    <row r="24">
      <c r="A24" s="4" t="inlineStr">
        <is>
          <t>其他</t>
        </is>
      </c>
      <c r="D24" s="7" t="n">
        <v>12187.1</v>
      </c>
      <c r="F24" s="7" t="n">
        <v>17335.6</v>
      </c>
      <c r="H24" s="7" t="n">
        <v>18875.6</v>
      </c>
      <c r="J24" s="7" t="n">
        <v>19850</v>
      </c>
      <c r="L24" s="7" t="n">
        <v>30457.4</v>
      </c>
      <c r="N24" s="7" t="n">
        <v>3879.7</v>
      </c>
      <c r="P24" s="7" t="n">
        <v>3620.8</v>
      </c>
      <c r="R24" s="7" t="n">
        <v>3704.5</v>
      </c>
      <c r="T24" s="7" t="n">
        <v>24745.9</v>
      </c>
      <c r="V24" s="7" t="n">
        <v>37967.2</v>
      </c>
      <c r="X24" s="7" t="n">
        <v>2910.2</v>
      </c>
      <c r="Z24" s="7" t="n">
        <v>22398.4</v>
      </c>
      <c r="AB24" s="7" t="n">
        <v>197932.4</v>
      </c>
    </row>
    <row r="25">
      <c r="A25" s="4" t="inlineStr">
        <is>
          <t>运费</t>
        </is>
      </c>
      <c r="D25" s="7" t="n">
        <v>50576.2</v>
      </c>
      <c r="F25" s="7" t="n">
        <v>81474.8</v>
      </c>
      <c r="H25" s="7" t="n">
        <v>67996</v>
      </c>
      <c r="J25" s="7" t="n">
        <v>60332.4</v>
      </c>
      <c r="L25" s="7" t="n">
        <v>55595.5</v>
      </c>
      <c r="N25" s="7" t="n">
        <v>87442.39999999999</v>
      </c>
      <c r="P25" s="7" t="n">
        <v>108843.4</v>
      </c>
      <c r="R25" s="7" t="n">
        <v>92091.3</v>
      </c>
      <c r="T25" s="7" t="n">
        <v>67289.10000000001</v>
      </c>
      <c r="V25" s="7" t="n">
        <v>65245.2</v>
      </c>
      <c r="X25" s="7" t="n">
        <v>70354.8</v>
      </c>
      <c r="Z25" s="7" t="n">
        <v>65785.8</v>
      </c>
      <c r="AB25" s="7" t="n">
        <v>873026.9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681353</v>
      </c>
      <c r="D26" s="7" t="n">
        <v>365879.4</v>
      </c>
      <c r="E26" s="7" t="n">
        <v>929010.6</v>
      </c>
      <c r="F26" s="7" t="n">
        <v>509018.8</v>
      </c>
      <c r="G26" s="7" t="n">
        <v>881934.3</v>
      </c>
      <c r="H26" s="7" t="n">
        <v>639050.4</v>
      </c>
      <c r="I26" s="7" t="n">
        <v>1121829.8</v>
      </c>
      <c r="J26" s="7" t="n">
        <v>761311.3</v>
      </c>
      <c r="K26" s="7" t="n">
        <v>1133826</v>
      </c>
      <c r="L26" s="7" t="n">
        <v>841961.5</v>
      </c>
      <c r="M26" s="7" t="n">
        <v>818590.2</v>
      </c>
      <c r="N26" s="7" t="n">
        <v>849605.1</v>
      </c>
      <c r="O26" s="7" t="n">
        <v>590473.1</v>
      </c>
      <c r="P26" s="7" t="n">
        <v>957456.2</v>
      </c>
      <c r="Q26" s="7" t="n">
        <v>571676</v>
      </c>
      <c r="R26" s="7" t="n">
        <v>831573.4</v>
      </c>
      <c r="S26" s="7" t="n">
        <v>963057.9</v>
      </c>
      <c r="T26" s="7" t="n">
        <v>687233.1</v>
      </c>
      <c r="U26" s="7" t="n">
        <v>776474</v>
      </c>
      <c r="V26" s="7" t="n">
        <v>933507.2</v>
      </c>
      <c r="W26" s="7" t="n">
        <v>1185908.7</v>
      </c>
      <c r="X26" s="7" t="n">
        <v>677618.4</v>
      </c>
      <c r="Y26" s="7" t="n">
        <v>394352.2</v>
      </c>
      <c r="Z26" s="7" t="n">
        <v>506721</v>
      </c>
      <c r="AA26" s="8" t="n">
        <v>10048485.8</v>
      </c>
      <c r="AB26" s="8" t="n">
        <v>8560935.800000001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30</v>
      </c>
      <c r="D27" s="13" t="n">
        <v>28.4</v>
      </c>
      <c r="E27" s="13" t="n">
        <v>36.8</v>
      </c>
      <c r="F27" s="13" t="n">
        <v>28.6</v>
      </c>
      <c r="G27" s="13" t="n">
        <v>35.4</v>
      </c>
      <c r="H27" s="13" t="n">
        <v>30.1</v>
      </c>
      <c r="I27" s="13" t="n">
        <v>42.5</v>
      </c>
      <c r="J27" s="13" t="n">
        <v>30.8</v>
      </c>
      <c r="K27" s="13" t="n">
        <v>43</v>
      </c>
      <c r="L27" s="13" t="n">
        <v>32.3</v>
      </c>
      <c r="M27" s="13" t="n">
        <v>31</v>
      </c>
      <c r="N27" s="13" t="n">
        <v>29.5</v>
      </c>
      <c r="O27" s="13" t="n">
        <v>25.7</v>
      </c>
      <c r="P27" s="13" t="n">
        <v>29.6</v>
      </c>
      <c r="Q27" s="13" t="n">
        <v>25.4</v>
      </c>
      <c r="R27" s="13" t="n">
        <v>30</v>
      </c>
      <c r="S27" s="13" t="n">
        <v>37.9</v>
      </c>
      <c r="T27" s="13" t="n">
        <v>29.3</v>
      </c>
      <c r="U27" s="13" t="n">
        <v>30.2</v>
      </c>
      <c r="V27" s="13" t="n">
        <v>31</v>
      </c>
      <c r="W27" s="13" t="n">
        <v>44.7</v>
      </c>
      <c r="X27" s="13" t="n">
        <v>29.7</v>
      </c>
      <c r="Y27" s="13" t="n">
        <v>19.2</v>
      </c>
      <c r="Z27" s="13" t="n">
        <v>29.7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23702.4</v>
      </c>
      <c r="D28" s="7" t="n">
        <v>6681.6</v>
      </c>
      <c r="E28" s="7" t="n">
        <v>24446.4</v>
      </c>
      <c r="F28" s="7" t="n">
        <v>14721.8</v>
      </c>
      <c r="G28" s="7" t="n">
        <v>22930.3</v>
      </c>
      <c r="H28" s="7" t="n">
        <v>16884</v>
      </c>
      <c r="I28" s="7" t="n">
        <v>18934.5</v>
      </c>
      <c r="J28" s="7" t="n">
        <v>35708.3</v>
      </c>
      <c r="K28" s="7" t="n">
        <v>19544.5</v>
      </c>
      <c r="L28" s="7" t="n">
        <v>30845.4</v>
      </c>
      <c r="M28" s="7" t="n">
        <v>18398.8</v>
      </c>
      <c r="N28" s="7" t="n">
        <v>15966.6</v>
      </c>
      <c r="O28" s="7" t="n">
        <v>18931.4</v>
      </c>
      <c r="P28" s="7" t="n">
        <v>38952.6</v>
      </c>
      <c r="Q28" s="7" t="n">
        <v>19272.5</v>
      </c>
      <c r="R28" s="7" t="n">
        <v>18534.1</v>
      </c>
      <c r="S28" s="7" t="n">
        <v>21236.5</v>
      </c>
      <c r="T28" s="7" t="n">
        <v>12272.6</v>
      </c>
      <c r="U28" s="7" t="n">
        <v>20431.5</v>
      </c>
      <c r="V28" s="7" t="n">
        <v>36698.5</v>
      </c>
      <c r="W28" s="7" t="n">
        <v>23548.7</v>
      </c>
      <c r="X28" s="7" t="n">
        <v>19889.3</v>
      </c>
      <c r="Y28" s="7" t="n">
        <v>22068.5</v>
      </c>
      <c r="Z28" s="7" t="n">
        <v>12533.5</v>
      </c>
      <c r="AA28" s="8" t="n">
        <v>253446</v>
      </c>
      <c r="AB28" s="8" t="n">
        <v>259688.3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449332.3</v>
      </c>
      <c r="D29" s="7" t="n">
        <v>297062.1</v>
      </c>
      <c r="E29" s="7" t="n">
        <v>412446.8</v>
      </c>
      <c r="F29" s="7" t="n">
        <v>193549.4</v>
      </c>
      <c r="G29" s="7" t="n">
        <v>416197.2</v>
      </c>
      <c r="H29" s="7" t="n">
        <v>262704.3</v>
      </c>
      <c r="I29" s="7" t="n">
        <v>365733.7</v>
      </c>
      <c r="J29" s="7" t="n">
        <v>402656.6</v>
      </c>
      <c r="K29" s="7" t="n">
        <v>409968.3</v>
      </c>
      <c r="L29" s="7" t="n">
        <v>578997.2</v>
      </c>
      <c r="M29" s="7" t="n">
        <v>408066.8</v>
      </c>
      <c r="N29" s="7" t="n">
        <v>685507.5</v>
      </c>
      <c r="O29" s="7" t="n">
        <v>338816</v>
      </c>
      <c r="P29" s="7" t="n">
        <v>362227</v>
      </c>
      <c r="Q29" s="7" t="n">
        <v>368440.3</v>
      </c>
      <c r="R29" s="7" t="n">
        <v>323558</v>
      </c>
      <c r="S29" s="7" t="n">
        <v>448061</v>
      </c>
      <c r="T29" s="7" t="n">
        <v>309722.9</v>
      </c>
      <c r="U29" s="7" t="n">
        <v>393247.7</v>
      </c>
      <c r="V29" s="7" t="n">
        <v>626939</v>
      </c>
      <c r="W29" s="7" t="n">
        <v>425490.4</v>
      </c>
      <c r="X29" s="7" t="n">
        <v>291081.6</v>
      </c>
      <c r="Y29" s="7" t="n">
        <v>418301</v>
      </c>
      <c r="Z29" s="7" t="n">
        <v>395875.4</v>
      </c>
      <c r="AA29" s="8" t="n">
        <v>4854101.5</v>
      </c>
      <c r="AB29" s="8" t="n">
        <v>4729881</v>
      </c>
    </row>
    <row r="30">
      <c r="A30" s="4" t="inlineStr">
        <is>
          <t>职工薪酬</t>
        </is>
      </c>
      <c r="D30" s="7" t="n">
        <v>150549.4</v>
      </c>
      <c r="F30" s="7" t="n">
        <v>119156.4</v>
      </c>
      <c r="H30" s="7" t="n">
        <v>141586.4</v>
      </c>
      <c r="J30" s="7" t="n">
        <v>252002.1</v>
      </c>
      <c r="L30" s="7" t="n">
        <v>302980</v>
      </c>
      <c r="N30" s="7" t="n">
        <v>285971</v>
      </c>
      <c r="P30" s="7" t="n">
        <v>200698.3</v>
      </c>
      <c r="R30" s="7" t="n">
        <v>172285.6</v>
      </c>
      <c r="T30" s="7" t="n">
        <v>136057.4</v>
      </c>
      <c r="V30" s="7" t="n">
        <v>308821.9</v>
      </c>
      <c r="X30" s="7" t="n">
        <v>161602.8</v>
      </c>
      <c r="Z30" s="7" t="n">
        <v>238815.9</v>
      </c>
      <c r="AB30" s="7" t="n">
        <v>2470527.2</v>
      </c>
    </row>
    <row r="31">
      <c r="A31" s="4" t="inlineStr">
        <is>
          <t>工资</t>
        </is>
      </c>
      <c r="D31" s="7" t="n">
        <v>83379.60000000001</v>
      </c>
      <c r="F31" s="7" t="n">
        <v>73999.89999999999</v>
      </c>
      <c r="H31" s="7" t="n">
        <v>84582.2</v>
      </c>
      <c r="J31" s="7" t="n">
        <v>154849.7</v>
      </c>
      <c r="L31" s="7" t="n">
        <v>202136.6</v>
      </c>
      <c r="N31" s="7" t="n">
        <v>145462.5</v>
      </c>
      <c r="P31" s="7" t="n">
        <v>121058.2</v>
      </c>
      <c r="R31" s="7" t="n">
        <v>101667.1</v>
      </c>
      <c r="T31" s="7" t="n">
        <v>65209.3</v>
      </c>
      <c r="V31" s="7" t="n">
        <v>170952.3</v>
      </c>
      <c r="X31" s="7" t="n">
        <v>110257</v>
      </c>
      <c r="Z31" s="7" t="n">
        <v>145718.4</v>
      </c>
      <c r="AB31" s="7" t="n">
        <v>1459272.8</v>
      </c>
    </row>
    <row r="32">
      <c r="A32" s="4" t="inlineStr">
        <is>
          <t>奖金及提成</t>
        </is>
      </c>
      <c r="D32" s="7" t="n">
        <v>28430.2</v>
      </c>
      <c r="F32" s="7" t="n">
        <v>19430.2</v>
      </c>
      <c r="H32" s="7" t="n">
        <v>29402.9</v>
      </c>
      <c r="J32" s="7" t="n">
        <v>46554.8</v>
      </c>
      <c r="L32" s="7" t="n">
        <v>42767.4</v>
      </c>
      <c r="N32" s="7" t="n">
        <v>70309.5</v>
      </c>
      <c r="P32" s="7" t="n">
        <v>38979.8</v>
      </c>
      <c r="R32" s="7" t="n">
        <v>40312.6</v>
      </c>
      <c r="T32" s="7" t="n">
        <v>39435.4</v>
      </c>
      <c r="V32" s="7" t="n">
        <v>81144.2</v>
      </c>
      <c r="X32" s="7" t="n">
        <v>26258.1</v>
      </c>
      <c r="Z32" s="7" t="n">
        <v>42328</v>
      </c>
      <c r="AB32" s="7" t="n">
        <v>505353.1</v>
      </c>
    </row>
    <row r="33">
      <c r="A33" s="4" t="inlineStr">
        <is>
          <t>社保</t>
        </is>
      </c>
      <c r="D33" s="7" t="n">
        <v>29353.2</v>
      </c>
      <c r="F33" s="7" t="n">
        <v>19756.1</v>
      </c>
      <c r="H33" s="7" t="n">
        <v>19240.6</v>
      </c>
      <c r="J33" s="7" t="n">
        <v>37237</v>
      </c>
      <c r="L33" s="7" t="n">
        <v>39194.8</v>
      </c>
      <c r="N33" s="7" t="n">
        <v>50688.1</v>
      </c>
      <c r="P33" s="7" t="n">
        <v>30144.5</v>
      </c>
      <c r="R33" s="7" t="n">
        <v>20394.6</v>
      </c>
      <c r="T33" s="7" t="n">
        <v>22716.5</v>
      </c>
      <c r="V33" s="7" t="n">
        <v>37235</v>
      </c>
      <c r="X33" s="7" t="n">
        <v>17129.5</v>
      </c>
      <c r="Z33" s="7" t="n">
        <v>40482.3</v>
      </c>
      <c r="AB33" s="7" t="n">
        <v>363572.2</v>
      </c>
    </row>
    <row r="34">
      <c r="A34" s="4" t="inlineStr">
        <is>
          <t>养老</t>
        </is>
      </c>
      <c r="D34" s="7" t="n">
        <v>1160.8</v>
      </c>
      <c r="F34" s="7" t="n">
        <v>785.2</v>
      </c>
      <c r="H34" s="7" t="n">
        <v>920.7</v>
      </c>
      <c r="J34" s="7" t="n">
        <v>1438.9</v>
      </c>
      <c r="L34" s="7" t="n">
        <v>2698.8</v>
      </c>
      <c r="N34" s="7" t="n">
        <v>3057.5</v>
      </c>
      <c r="P34" s="7" t="n">
        <v>994.4</v>
      </c>
      <c r="R34" s="7" t="n">
        <v>1242</v>
      </c>
      <c r="T34" s="7" t="n">
        <v>1307.1</v>
      </c>
      <c r="V34" s="7" t="n">
        <v>2309.2</v>
      </c>
      <c r="X34" s="7" t="n">
        <v>789.5</v>
      </c>
      <c r="Z34" s="7" t="n">
        <v>1651.4</v>
      </c>
      <c r="AB34" s="7" t="n">
        <v>18355.5</v>
      </c>
    </row>
    <row r="35">
      <c r="A35" s="4" t="inlineStr">
        <is>
          <t>医疗</t>
        </is>
      </c>
      <c r="D35" s="7" t="n">
        <v>464.8</v>
      </c>
      <c r="F35" s="7" t="n">
        <v>263.8</v>
      </c>
      <c r="H35" s="7" t="n">
        <v>461.3</v>
      </c>
      <c r="J35" s="7" t="n">
        <v>720.9</v>
      </c>
      <c r="L35" s="7" t="n">
        <v>1168.7</v>
      </c>
      <c r="N35" s="7" t="n">
        <v>1191.9</v>
      </c>
      <c r="P35" s="7" t="n">
        <v>598.1</v>
      </c>
      <c r="R35" s="7" t="n">
        <v>447.8</v>
      </c>
      <c r="T35" s="7" t="n">
        <v>514.6</v>
      </c>
      <c r="V35" s="7" t="n">
        <v>1269.5</v>
      </c>
      <c r="X35" s="7" t="n">
        <v>426.6</v>
      </c>
      <c r="Z35" s="7" t="n">
        <v>523.8</v>
      </c>
      <c r="AB35" s="7" t="n">
        <v>8051.8</v>
      </c>
    </row>
    <row r="36">
      <c r="A36" s="4" t="inlineStr">
        <is>
          <t>工伤</t>
        </is>
      </c>
      <c r="D36" s="7" t="n">
        <v>5.4</v>
      </c>
      <c r="F36" s="7" t="n">
        <v>3.3</v>
      </c>
      <c r="H36" s="7" t="n">
        <v>5.8</v>
      </c>
      <c r="J36" s="7" t="n">
        <v>5.8</v>
      </c>
      <c r="L36" s="7" t="n">
        <v>9.5</v>
      </c>
      <c r="N36" s="7" t="n">
        <v>10.4</v>
      </c>
      <c r="P36" s="7" t="n">
        <v>7.1</v>
      </c>
      <c r="R36" s="7" t="n">
        <v>7.1</v>
      </c>
      <c r="T36" s="7" t="n">
        <v>4.2</v>
      </c>
      <c r="V36" s="7" t="n">
        <v>9.5</v>
      </c>
      <c r="X36" s="7" t="n">
        <v>4.9</v>
      </c>
      <c r="Z36" s="7" t="n">
        <v>6.2</v>
      </c>
      <c r="AB36" s="7" t="n">
        <v>79.2</v>
      </c>
    </row>
    <row r="37">
      <c r="A37" s="4" t="inlineStr">
        <is>
          <t>失业</t>
        </is>
      </c>
      <c r="D37" s="7" t="n">
        <v>1418.6</v>
      </c>
      <c r="F37" s="7" t="n">
        <v>870.9</v>
      </c>
      <c r="H37" s="7" t="n">
        <v>1583</v>
      </c>
      <c r="J37" s="7" t="n">
        <v>1923</v>
      </c>
      <c r="L37" s="7" t="n">
        <v>2514.1</v>
      </c>
      <c r="N37" s="7" t="n">
        <v>3281.1</v>
      </c>
      <c r="P37" s="7" t="n">
        <v>2707.6</v>
      </c>
      <c r="R37" s="7" t="n">
        <v>2138.7</v>
      </c>
      <c r="T37" s="7" t="n">
        <v>1441.6</v>
      </c>
      <c r="V37" s="7" t="n">
        <v>4336.6</v>
      </c>
      <c r="X37" s="7" t="n">
        <v>1517.7</v>
      </c>
      <c r="Z37" s="7" t="n">
        <v>2831.7</v>
      </c>
      <c r="AB37" s="7" t="n">
        <v>26564.6</v>
      </c>
    </row>
    <row r="38">
      <c r="A38" s="4" t="inlineStr">
        <is>
          <t>生育</t>
        </is>
      </c>
      <c r="D38" s="7" t="n">
        <v>155.2</v>
      </c>
      <c r="F38" s="7" t="n">
        <v>63.7</v>
      </c>
      <c r="H38" s="7" t="n">
        <v>87</v>
      </c>
      <c r="J38" s="7" t="n">
        <v>227.8</v>
      </c>
      <c r="L38" s="7" t="n">
        <v>252.4</v>
      </c>
      <c r="N38" s="7" t="n">
        <v>346.8</v>
      </c>
      <c r="P38" s="7" t="n">
        <v>151.4</v>
      </c>
      <c r="R38" s="7" t="n">
        <v>104.1</v>
      </c>
      <c r="T38" s="7" t="n">
        <v>164.1</v>
      </c>
      <c r="V38" s="7" t="n">
        <v>293.8</v>
      </c>
      <c r="X38" s="7" t="n">
        <v>166.2</v>
      </c>
      <c r="Z38" s="7" t="n">
        <v>182.2</v>
      </c>
      <c r="AB38" s="7" t="n">
        <v>2194.7</v>
      </c>
    </row>
    <row r="39">
      <c r="A39" s="4" t="inlineStr">
        <is>
          <t>公积金</t>
        </is>
      </c>
      <c r="D39" s="7" t="n">
        <v>374.3</v>
      </c>
      <c r="F39" s="7" t="n">
        <v>382.9</v>
      </c>
      <c r="H39" s="7" t="n">
        <v>315.2</v>
      </c>
      <c r="J39" s="7" t="n">
        <v>600.2</v>
      </c>
      <c r="L39" s="7" t="n">
        <v>767.5</v>
      </c>
      <c r="N39" s="7" t="n">
        <v>853.7</v>
      </c>
      <c r="P39" s="7" t="n">
        <v>725.2</v>
      </c>
      <c r="R39" s="7" t="n">
        <v>448</v>
      </c>
      <c r="T39" s="7" t="n">
        <v>546.3</v>
      </c>
      <c r="V39" s="7" t="n">
        <v>1273.2</v>
      </c>
      <c r="X39" s="7" t="n">
        <v>581.6</v>
      </c>
      <c r="Z39" s="7" t="n">
        <v>614.3</v>
      </c>
      <c r="AB39" s="7" t="n">
        <v>7482.4</v>
      </c>
    </row>
    <row r="40">
      <c r="A40" s="4" t="inlineStr">
        <is>
          <t>工会经费</t>
        </is>
      </c>
      <c r="D40" s="7" t="n">
        <v>1906.5</v>
      </c>
      <c r="F40" s="7" t="n">
        <v>989.7</v>
      </c>
      <c r="H40" s="7" t="n">
        <v>1675.1</v>
      </c>
      <c r="J40" s="7" t="n">
        <v>1933.1</v>
      </c>
      <c r="L40" s="7" t="n">
        <v>3477.4</v>
      </c>
      <c r="N40" s="7" t="n">
        <v>4124.2</v>
      </c>
      <c r="P40" s="7" t="n">
        <v>1348.4</v>
      </c>
      <c r="R40" s="7" t="n">
        <v>1690</v>
      </c>
      <c r="T40" s="7" t="n">
        <v>1617.9</v>
      </c>
      <c r="V40" s="7" t="n">
        <v>2958.4</v>
      </c>
      <c r="X40" s="7" t="n">
        <v>1152.4</v>
      </c>
      <c r="Z40" s="7" t="n">
        <v>1425.1</v>
      </c>
      <c r="AB40" s="7" t="n">
        <v>24298.2</v>
      </c>
    </row>
    <row r="41">
      <c r="A41" s="4" t="inlineStr">
        <is>
          <t>职工教育经费</t>
        </is>
      </c>
      <c r="D41" s="7" t="n">
        <v>1567.5</v>
      </c>
      <c r="F41" s="7" t="n">
        <v>1334</v>
      </c>
      <c r="H41" s="7" t="n">
        <v>2018.8</v>
      </c>
      <c r="J41" s="7" t="n">
        <v>2966</v>
      </c>
      <c r="L41" s="7" t="n">
        <v>4454.7</v>
      </c>
      <c r="N41" s="7" t="n">
        <v>3363.2</v>
      </c>
      <c r="P41" s="7" t="n">
        <v>2087.7</v>
      </c>
      <c r="R41" s="7" t="n">
        <v>2047.6</v>
      </c>
      <c r="T41" s="7" t="n">
        <v>1445.5</v>
      </c>
      <c r="V41" s="7" t="n">
        <v>3829.4</v>
      </c>
      <c r="X41" s="7" t="n">
        <v>1779.5</v>
      </c>
      <c r="Z41" s="7" t="n">
        <v>1768.8</v>
      </c>
      <c r="AB41" s="7" t="n">
        <v>28662.7</v>
      </c>
    </row>
    <row r="42">
      <c r="A42" s="4" t="inlineStr">
        <is>
          <t>福利费</t>
        </is>
      </c>
      <c r="D42" s="7" t="n">
        <v>5538.1</v>
      </c>
      <c r="F42" s="7" t="n">
        <v>3263.6</v>
      </c>
      <c r="H42" s="7" t="n">
        <v>4351.6</v>
      </c>
      <c r="J42" s="7" t="n">
        <v>7861.3</v>
      </c>
      <c r="L42" s="7" t="n">
        <v>10181.6</v>
      </c>
      <c r="N42" s="7" t="n">
        <v>11169.8</v>
      </c>
      <c r="P42" s="7" t="n">
        <v>6354.5</v>
      </c>
      <c r="R42" s="7" t="n">
        <v>5725.7</v>
      </c>
      <c r="T42" s="7" t="n">
        <v>5086.5</v>
      </c>
      <c r="V42" s="7" t="n">
        <v>11429.4</v>
      </c>
      <c r="X42" s="7" t="n">
        <v>4444.7</v>
      </c>
      <c r="Z42" s="7" t="n">
        <v>6479</v>
      </c>
      <c r="AB42" s="7" t="n">
        <v>81885.8</v>
      </c>
    </row>
    <row r="43">
      <c r="A43" s="4" t="inlineStr">
        <is>
          <t>职工房租</t>
        </is>
      </c>
      <c r="D43" s="7" t="n">
        <v>1758.8</v>
      </c>
      <c r="F43" s="7" t="n">
        <v>810</v>
      </c>
      <c r="H43" s="7" t="n">
        <v>1248.8</v>
      </c>
      <c r="J43" s="7" t="n">
        <v>2616.8</v>
      </c>
      <c r="L43" s="7" t="n">
        <v>3536.9</v>
      </c>
      <c r="N43" s="7" t="n">
        <v>3622.5</v>
      </c>
      <c r="P43" s="7" t="n">
        <v>2353.5</v>
      </c>
      <c r="R43" s="7" t="n">
        <v>1912.8</v>
      </c>
      <c r="T43" s="7" t="n">
        <v>1795.8</v>
      </c>
      <c r="V43" s="7" t="n">
        <v>3398</v>
      </c>
      <c r="X43" s="7" t="n">
        <v>1457.6</v>
      </c>
      <c r="Z43" s="7" t="n">
        <v>2402.3</v>
      </c>
      <c r="AB43" s="7" t="n">
        <v>26913.8</v>
      </c>
    </row>
    <row r="44">
      <c r="A44" s="4" t="inlineStr">
        <is>
          <t>水电物业费</t>
        </is>
      </c>
      <c r="D44" s="7" t="n">
        <v>810.4</v>
      </c>
      <c r="F44" s="7" t="n">
        <v>589.3</v>
      </c>
      <c r="H44" s="7" t="n">
        <v>892.8</v>
      </c>
      <c r="J44" s="7" t="n">
        <v>994.9</v>
      </c>
      <c r="L44" s="7" t="n">
        <v>2011.7</v>
      </c>
      <c r="N44" s="7" t="n">
        <v>2007.8</v>
      </c>
      <c r="P44" s="7" t="n">
        <v>1374.1</v>
      </c>
      <c r="R44" s="7" t="n">
        <v>1189.4</v>
      </c>
      <c r="T44" s="7" t="n">
        <v>1003.7</v>
      </c>
      <c r="V44" s="7" t="n">
        <v>2321.6</v>
      </c>
      <c r="X44" s="7" t="n">
        <v>726.5</v>
      </c>
      <c r="Z44" s="7" t="n">
        <v>1350</v>
      </c>
      <c r="AB44" s="7" t="n">
        <v>15272.2</v>
      </c>
    </row>
    <row r="45">
      <c r="A45" s="4" t="inlineStr">
        <is>
          <t>员工餐</t>
        </is>
      </c>
      <c r="D45" s="7" t="n">
        <v>63.2</v>
      </c>
      <c r="F45" s="7" t="n">
        <v>73.09999999999999</v>
      </c>
      <c r="H45" s="7" t="n">
        <v>69.2</v>
      </c>
      <c r="J45" s="7" t="n">
        <v>98.8</v>
      </c>
      <c r="L45" s="7" t="n">
        <v>172.3</v>
      </c>
      <c r="N45" s="7" t="n">
        <v>236.8</v>
      </c>
      <c r="P45" s="7" t="n">
        <v>112.2</v>
      </c>
      <c r="R45" s="7" t="n">
        <v>78.2</v>
      </c>
      <c r="T45" s="7" t="n">
        <v>92.90000000000001</v>
      </c>
      <c r="V45" s="7" t="n">
        <v>169.1</v>
      </c>
      <c r="X45" s="7" t="n">
        <v>107.4</v>
      </c>
      <c r="Z45" s="7" t="n">
        <v>116</v>
      </c>
      <c r="AB45" s="7" t="n">
        <v>1389.2</v>
      </c>
    </row>
    <row r="46">
      <c r="A46" s="4" t="inlineStr">
        <is>
          <t>节日礼品</t>
        </is>
      </c>
      <c r="D46" s="7" t="n">
        <v>1405</v>
      </c>
      <c r="F46" s="7" t="n">
        <v>873.1</v>
      </c>
      <c r="H46" s="7" t="n">
        <v>867.7</v>
      </c>
      <c r="J46" s="7" t="n">
        <v>1961.8</v>
      </c>
      <c r="L46" s="7" t="n">
        <v>1958.7</v>
      </c>
      <c r="N46" s="7" t="n">
        <v>1914.8</v>
      </c>
      <c r="P46" s="7" t="n">
        <v>1047.1</v>
      </c>
      <c r="R46" s="7" t="n">
        <v>1244.9</v>
      </c>
      <c r="T46" s="7" t="n">
        <v>946.5</v>
      </c>
      <c r="V46" s="7" t="n">
        <v>2756.7</v>
      </c>
      <c r="X46" s="7" t="n">
        <v>885.8</v>
      </c>
      <c r="Z46" s="7" t="n">
        <v>1106.3</v>
      </c>
      <c r="AB46" s="7" t="n">
        <v>16968.4</v>
      </c>
    </row>
    <row r="47">
      <c r="A47" s="4" t="inlineStr">
        <is>
          <t>生日礼品</t>
        </is>
      </c>
      <c r="D47" s="7" t="n">
        <v>1147.8</v>
      </c>
      <c r="F47" s="7" t="n">
        <v>715</v>
      </c>
      <c r="H47" s="7" t="n">
        <v>1020.9</v>
      </c>
      <c r="J47" s="7" t="n">
        <v>1751.1</v>
      </c>
      <c r="L47" s="7" t="n">
        <v>1752</v>
      </c>
      <c r="N47" s="7" t="n">
        <v>2719.3</v>
      </c>
      <c r="P47" s="7" t="n">
        <v>1038.6</v>
      </c>
      <c r="R47" s="7" t="n">
        <v>995.4</v>
      </c>
      <c r="T47" s="7" t="n">
        <v>970</v>
      </c>
      <c r="V47" s="7" t="n">
        <v>2248.7</v>
      </c>
      <c r="X47" s="7" t="n">
        <v>912.4</v>
      </c>
      <c r="Z47" s="7" t="n">
        <v>1183.1</v>
      </c>
      <c r="AB47" s="7" t="n">
        <v>16454.3</v>
      </c>
    </row>
    <row r="48">
      <c r="A48" s="4" t="inlineStr">
        <is>
          <t>体检</t>
        </is>
      </c>
      <c r="D48" s="7" t="n">
        <v>294.9</v>
      </c>
      <c r="F48" s="7" t="n">
        <v>169.6</v>
      </c>
      <c r="H48" s="7" t="n">
        <v>173.7</v>
      </c>
      <c r="J48" s="7" t="n">
        <v>331.3</v>
      </c>
      <c r="L48" s="7" t="n">
        <v>636</v>
      </c>
      <c r="N48" s="7" t="n">
        <v>542.2</v>
      </c>
      <c r="P48" s="7" t="n">
        <v>332</v>
      </c>
      <c r="R48" s="7" t="n">
        <v>228.5</v>
      </c>
      <c r="T48" s="7" t="n">
        <v>188.8</v>
      </c>
      <c r="V48" s="7" t="n">
        <v>420</v>
      </c>
      <c r="X48" s="7" t="n">
        <v>270.5</v>
      </c>
      <c r="Z48" s="7" t="n">
        <v>242</v>
      </c>
      <c r="AB48" s="7" t="n">
        <v>3829.5</v>
      </c>
    </row>
    <row r="49">
      <c r="A49" s="4" t="inlineStr">
        <is>
          <t>其他福利支出</t>
        </is>
      </c>
      <c r="D49" s="7" t="n">
        <v>58</v>
      </c>
      <c r="F49" s="7" t="n">
        <v>33.5</v>
      </c>
      <c r="H49" s="7" t="n">
        <v>78.5</v>
      </c>
      <c r="J49" s="7" t="n">
        <v>106.6</v>
      </c>
      <c r="L49" s="7" t="n">
        <v>114</v>
      </c>
      <c r="N49" s="7" t="n">
        <v>126.4</v>
      </c>
      <c r="P49" s="7" t="n">
        <v>97</v>
      </c>
      <c r="R49" s="7" t="n">
        <v>76.5</v>
      </c>
      <c r="T49" s="7" t="n">
        <v>88.8</v>
      </c>
      <c r="V49" s="7" t="n">
        <v>115.3</v>
      </c>
      <c r="X49" s="7" t="n">
        <v>84.5</v>
      </c>
      <c r="Z49" s="7" t="n">
        <v>79.3</v>
      </c>
      <c r="AB49" s="7" t="n">
        <v>1058.4</v>
      </c>
    </row>
    <row r="50">
      <c r="A50" s="4" t="inlineStr">
        <is>
          <t>招聘费</t>
        </is>
      </c>
      <c r="D50" s="7" t="n">
        <v>1013.6</v>
      </c>
      <c r="F50" s="7" t="n">
        <v>1062.4</v>
      </c>
      <c r="H50" s="7" t="n">
        <v>962.6</v>
      </c>
      <c r="J50" s="7" t="n">
        <v>1433.2</v>
      </c>
      <c r="L50" s="7" t="n">
        <v>2456.4</v>
      </c>
      <c r="N50" s="7" t="n">
        <v>2349.9</v>
      </c>
      <c r="P50" s="7" t="n">
        <v>1452.9</v>
      </c>
      <c r="R50" s="7" t="n">
        <v>1246.2</v>
      </c>
      <c r="T50" s="7" t="n">
        <v>1617.3</v>
      </c>
      <c r="V50" s="7" t="n">
        <v>3526.4</v>
      </c>
      <c r="X50" s="7" t="n">
        <v>1242.3</v>
      </c>
      <c r="Z50" s="7" t="n">
        <v>2191.1</v>
      </c>
      <c r="AB50" s="7" t="n">
        <v>20554.3</v>
      </c>
    </row>
    <row r="51">
      <c r="A51" s="4" t="inlineStr">
        <is>
          <t>办公费</t>
        </is>
      </c>
      <c r="D51" s="7" t="n">
        <v>7472.5</v>
      </c>
      <c r="F51" s="7" t="n">
        <v>6949.8</v>
      </c>
      <c r="H51" s="7" t="n">
        <v>7677.4</v>
      </c>
      <c r="J51" s="7" t="n">
        <v>11035</v>
      </c>
      <c r="L51" s="7" t="n">
        <v>21570.9</v>
      </c>
      <c r="N51" s="7" t="n">
        <v>15579.6</v>
      </c>
      <c r="P51" s="7" t="n">
        <v>11109.8</v>
      </c>
      <c r="R51" s="7" t="n">
        <v>7563.6</v>
      </c>
      <c r="T51" s="7" t="n">
        <v>6900.2</v>
      </c>
      <c r="V51" s="7" t="n">
        <v>13424.3</v>
      </c>
      <c r="X51" s="7" t="n">
        <v>6961</v>
      </c>
      <c r="Z51" s="7" t="n">
        <v>12576.1</v>
      </c>
      <c r="AB51" s="7" t="n">
        <v>128820.2</v>
      </c>
    </row>
    <row r="52">
      <c r="A52" s="4" t="inlineStr">
        <is>
          <t>市内交通费</t>
        </is>
      </c>
      <c r="D52" s="7" t="n">
        <v>996.1</v>
      </c>
      <c r="F52" s="7" t="n">
        <v>586.4</v>
      </c>
      <c r="H52" s="7" t="n">
        <v>820.2</v>
      </c>
      <c r="J52" s="7" t="n">
        <v>1077.7</v>
      </c>
      <c r="L52" s="7" t="n">
        <v>1462.9</v>
      </c>
      <c r="N52" s="7" t="n">
        <v>1989.9</v>
      </c>
      <c r="P52" s="7" t="n">
        <v>1201.1</v>
      </c>
      <c r="R52" s="7" t="n">
        <v>701.6</v>
      </c>
      <c r="T52" s="7" t="n">
        <v>970.5</v>
      </c>
      <c r="V52" s="7" t="n">
        <v>1740.7</v>
      </c>
      <c r="X52" s="7" t="n">
        <v>612.2</v>
      </c>
      <c r="Z52" s="7" t="n">
        <v>1263.8</v>
      </c>
      <c r="AB52" s="7" t="n">
        <v>13423.1</v>
      </c>
    </row>
    <row r="53">
      <c r="A53" s="4" t="inlineStr">
        <is>
          <t>差旅费</t>
        </is>
      </c>
      <c r="D53" s="7" t="n">
        <v>15296.4</v>
      </c>
      <c r="F53" s="7" t="n">
        <v>13997</v>
      </c>
      <c r="H53" s="7" t="n">
        <v>18049.7</v>
      </c>
      <c r="J53" s="7" t="n">
        <v>28815.1</v>
      </c>
      <c r="L53" s="7" t="n">
        <v>25711.9</v>
      </c>
      <c r="N53" s="7" t="n">
        <v>38344.3</v>
      </c>
      <c r="P53" s="7" t="n">
        <v>17328.7</v>
      </c>
      <c r="R53" s="7" t="n">
        <v>20199.6</v>
      </c>
      <c r="T53" s="7" t="n">
        <v>21944.6</v>
      </c>
      <c r="V53" s="7" t="n">
        <v>30913.7</v>
      </c>
      <c r="X53" s="7" t="n">
        <v>13467.3</v>
      </c>
      <c r="Z53" s="7" t="n">
        <v>23565.1</v>
      </c>
      <c r="AB53" s="7" t="n">
        <v>267633.4</v>
      </c>
    </row>
    <row r="54">
      <c r="A54" s="4" t="inlineStr">
        <is>
          <t>交通费</t>
        </is>
      </c>
      <c r="D54" s="7" t="n">
        <v>898.1</v>
      </c>
      <c r="F54" s="7" t="n">
        <v>657.8</v>
      </c>
      <c r="H54" s="7" t="n">
        <v>795.1</v>
      </c>
      <c r="J54" s="7" t="n">
        <v>1593.9</v>
      </c>
      <c r="L54" s="7" t="n">
        <v>2292.2</v>
      </c>
      <c r="N54" s="7" t="n">
        <v>2803.1</v>
      </c>
      <c r="P54" s="7" t="n">
        <v>1162</v>
      </c>
      <c r="R54" s="7" t="n">
        <v>1224.6</v>
      </c>
      <c r="T54" s="7" t="n">
        <v>1256.4</v>
      </c>
      <c r="V54" s="7" t="n">
        <v>1915.6</v>
      </c>
      <c r="X54" s="7" t="n">
        <v>1071.5</v>
      </c>
      <c r="Z54" s="7" t="n">
        <v>1636.3</v>
      </c>
      <c r="AB54" s="7" t="n">
        <v>17306.6</v>
      </c>
    </row>
    <row r="55">
      <c r="A55" s="4" t="inlineStr">
        <is>
          <t>住宿费</t>
        </is>
      </c>
      <c r="D55" s="7" t="n">
        <v>165</v>
      </c>
      <c r="F55" s="7" t="n">
        <v>99.90000000000001</v>
      </c>
      <c r="H55" s="7" t="n">
        <v>132.9</v>
      </c>
      <c r="J55" s="7" t="n">
        <v>195.9</v>
      </c>
      <c r="L55" s="7" t="n">
        <v>278.5</v>
      </c>
      <c r="N55" s="7" t="n">
        <v>437.8</v>
      </c>
      <c r="P55" s="7" t="n">
        <v>170.4</v>
      </c>
      <c r="R55" s="7" t="n">
        <v>195.2</v>
      </c>
      <c r="T55" s="7" t="n">
        <v>164.8</v>
      </c>
      <c r="V55" s="7" t="n">
        <v>331.6</v>
      </c>
      <c r="X55" s="7" t="n">
        <v>206.8</v>
      </c>
      <c r="Z55" s="7" t="n">
        <v>242.6</v>
      </c>
      <c r="AB55" s="7" t="n">
        <v>2621.4</v>
      </c>
    </row>
    <row r="56">
      <c r="A56" s="4" t="inlineStr">
        <is>
          <t>餐补</t>
        </is>
      </c>
      <c r="D56" s="7" t="n">
        <v>957.8</v>
      </c>
      <c r="F56" s="7" t="n">
        <v>640.7</v>
      </c>
      <c r="H56" s="7" t="n">
        <v>989.6</v>
      </c>
      <c r="J56" s="7" t="n">
        <v>1125.7</v>
      </c>
      <c r="L56" s="7" t="n">
        <v>2498.5</v>
      </c>
      <c r="N56" s="7" t="n">
        <v>2517.3</v>
      </c>
      <c r="P56" s="7" t="n">
        <v>1396.3</v>
      </c>
      <c r="R56" s="7" t="n">
        <v>997.7</v>
      </c>
      <c r="T56" s="7" t="n">
        <v>984.1</v>
      </c>
      <c r="V56" s="7" t="n">
        <v>1940.9</v>
      </c>
      <c r="X56" s="7" t="n">
        <v>1418.7</v>
      </c>
      <c r="Z56" s="7" t="n">
        <v>1209.4</v>
      </c>
      <c r="AB56" s="7" t="n">
        <v>16676.7</v>
      </c>
    </row>
    <row r="57">
      <c r="A57" s="4" t="inlineStr">
        <is>
          <t>交通补助</t>
        </is>
      </c>
      <c r="D57" s="7" t="n">
        <v>453.7</v>
      </c>
      <c r="F57" s="7" t="n">
        <v>311.3</v>
      </c>
      <c r="H57" s="7" t="n">
        <v>481.9</v>
      </c>
      <c r="J57" s="7" t="n">
        <v>610.5</v>
      </c>
      <c r="L57" s="7" t="n">
        <v>1343.3</v>
      </c>
      <c r="N57" s="7" t="n">
        <v>1203.7</v>
      </c>
      <c r="P57" s="7" t="n">
        <v>767</v>
      </c>
      <c r="R57" s="7" t="n">
        <v>700.5</v>
      </c>
      <c r="T57" s="7" t="n">
        <v>516.1</v>
      </c>
      <c r="V57" s="7" t="n">
        <v>960.7</v>
      </c>
      <c r="X57" s="7" t="n">
        <v>624.7</v>
      </c>
      <c r="Z57" s="7" t="n">
        <v>928.3</v>
      </c>
      <c r="AB57" s="7" t="n">
        <v>8901.700000000001</v>
      </c>
    </row>
    <row r="58">
      <c r="A58" s="4" t="inlineStr">
        <is>
          <t>通讯补助</t>
        </is>
      </c>
      <c r="D58" s="7" t="n">
        <v>1577.7</v>
      </c>
      <c r="F58" s="7" t="n">
        <v>823.9</v>
      </c>
      <c r="H58" s="7" t="n">
        <v>1091.4</v>
      </c>
      <c r="J58" s="7" t="n">
        <v>2170.1</v>
      </c>
      <c r="L58" s="7" t="n">
        <v>3068.3</v>
      </c>
      <c r="N58" s="7" t="n">
        <v>3061.9</v>
      </c>
      <c r="P58" s="7" t="n">
        <v>1728.7</v>
      </c>
      <c r="R58" s="7" t="n">
        <v>1698.4</v>
      </c>
      <c r="T58" s="7" t="n">
        <v>1018.9</v>
      </c>
      <c r="V58" s="7" t="n">
        <v>2207.7</v>
      </c>
      <c r="X58" s="7" t="n">
        <v>1076.8</v>
      </c>
      <c r="Z58" s="7" t="n">
        <v>1969.4</v>
      </c>
      <c r="AB58" s="7" t="n">
        <v>21493.2</v>
      </c>
    </row>
    <row r="59">
      <c r="A59" s="4" t="inlineStr">
        <is>
          <t>招待费</t>
        </is>
      </c>
      <c r="D59" s="7" t="n">
        <v>8921.1</v>
      </c>
      <c r="F59" s="7" t="n">
        <v>8210.1</v>
      </c>
      <c r="H59" s="7" t="n">
        <v>11660.1</v>
      </c>
      <c r="J59" s="7" t="n">
        <v>13822.4</v>
      </c>
      <c r="L59" s="7" t="n">
        <v>19005.2</v>
      </c>
      <c r="N59" s="7" t="n">
        <v>24768.8</v>
      </c>
      <c r="P59" s="7" t="n">
        <v>12223.8</v>
      </c>
      <c r="R59" s="7" t="n">
        <v>10100</v>
      </c>
      <c r="T59" s="7" t="n">
        <v>15850.6</v>
      </c>
      <c r="V59" s="7" t="n">
        <v>32440.2</v>
      </c>
      <c r="X59" s="7" t="n">
        <v>14767.6</v>
      </c>
      <c r="Z59" s="7" t="n">
        <v>20339.5</v>
      </c>
      <c r="AB59" s="7" t="n">
        <v>192109.4</v>
      </c>
    </row>
    <row r="60">
      <c r="A60" s="4" t="inlineStr">
        <is>
          <t>通讯费</t>
        </is>
      </c>
      <c r="D60" s="7" t="n">
        <v>334.3</v>
      </c>
      <c r="F60" s="7" t="n">
        <v>174</v>
      </c>
      <c r="H60" s="7" t="n">
        <v>327.7</v>
      </c>
      <c r="J60" s="7" t="n">
        <v>411.5</v>
      </c>
      <c r="L60" s="7" t="n">
        <v>607</v>
      </c>
      <c r="N60" s="7" t="n">
        <v>689.2</v>
      </c>
      <c r="P60" s="7" t="n">
        <v>527.2</v>
      </c>
      <c r="R60" s="7" t="n">
        <v>469.4</v>
      </c>
      <c r="T60" s="7" t="n">
        <v>320.2</v>
      </c>
      <c r="V60" s="7" t="n">
        <v>573.4</v>
      </c>
      <c r="X60" s="7" t="n">
        <v>427.8</v>
      </c>
      <c r="Z60" s="7" t="n">
        <v>585.8</v>
      </c>
      <c r="AB60" s="7" t="n">
        <v>5447.5</v>
      </c>
    </row>
    <row r="61">
      <c r="A61" s="4" t="inlineStr">
        <is>
          <t>网络费</t>
        </is>
      </c>
      <c r="D61" s="7" t="n">
        <v>972.1</v>
      </c>
      <c r="F61" s="7" t="n">
        <v>620.6</v>
      </c>
      <c r="H61" s="7" t="n">
        <v>1030.9</v>
      </c>
      <c r="J61" s="7" t="n">
        <v>1287.6</v>
      </c>
      <c r="L61" s="7" t="n">
        <v>1968.6</v>
      </c>
      <c r="N61" s="7" t="n">
        <v>2702.9</v>
      </c>
      <c r="P61" s="7" t="n">
        <v>1570.2</v>
      </c>
      <c r="R61" s="7" t="n">
        <v>1165.3</v>
      </c>
      <c r="T61" s="7" t="n">
        <v>925.2</v>
      </c>
      <c r="V61" s="7" t="n">
        <v>1954</v>
      </c>
      <c r="X61" s="7" t="n">
        <v>981.6</v>
      </c>
      <c r="Z61" s="7" t="n">
        <v>1444.8</v>
      </c>
      <c r="AB61" s="7" t="n">
        <v>16623.8</v>
      </c>
    </row>
    <row r="62">
      <c r="A62" s="4" t="inlineStr">
        <is>
          <t>修理费</t>
        </is>
      </c>
      <c r="D62" s="7" t="n">
        <v>2054.4</v>
      </c>
      <c r="F62" s="7" t="n">
        <v>977.9</v>
      </c>
      <c r="H62" s="7" t="n">
        <v>1793.3</v>
      </c>
      <c r="J62" s="7" t="n">
        <v>2932.1</v>
      </c>
      <c r="L62" s="7" t="n">
        <v>3674.4</v>
      </c>
      <c r="N62" s="7" t="n">
        <v>5101.6</v>
      </c>
      <c r="P62" s="7" t="n">
        <v>1947.7</v>
      </c>
      <c r="R62" s="7" t="n">
        <v>1602.4</v>
      </c>
      <c r="T62" s="7" t="n">
        <v>1676.6</v>
      </c>
      <c r="V62" s="7" t="n">
        <v>3617.7</v>
      </c>
      <c r="X62" s="7" t="n">
        <v>2074.3</v>
      </c>
      <c r="Z62" s="7" t="n">
        <v>2174</v>
      </c>
      <c r="AB62" s="7" t="n">
        <v>29626.4</v>
      </c>
    </row>
    <row r="63">
      <c r="A63" s="4" t="inlineStr">
        <is>
          <t>车辆费</t>
        </is>
      </c>
      <c r="D63" s="7" t="n">
        <v>1916.9</v>
      </c>
      <c r="F63" s="7" t="n">
        <v>1183.8</v>
      </c>
      <c r="H63" s="7" t="n">
        <v>2049</v>
      </c>
      <c r="J63" s="7" t="n">
        <v>1814.9</v>
      </c>
      <c r="L63" s="7" t="n">
        <v>2917.4</v>
      </c>
      <c r="N63" s="7" t="n">
        <v>3634.2</v>
      </c>
      <c r="P63" s="7" t="n">
        <v>1653.2</v>
      </c>
      <c r="R63" s="7" t="n">
        <v>1789.9</v>
      </c>
      <c r="T63" s="7" t="n">
        <v>1743.6</v>
      </c>
      <c r="V63" s="7" t="n">
        <v>3909.7</v>
      </c>
      <c r="X63" s="7" t="n">
        <v>2212.8</v>
      </c>
      <c r="Z63" s="7" t="n">
        <v>2522.7</v>
      </c>
      <c r="AB63" s="7" t="n">
        <v>27348.1</v>
      </c>
    </row>
    <row r="64">
      <c r="A64" s="4" t="inlineStr">
        <is>
          <t>租赁费</t>
        </is>
      </c>
      <c r="D64" s="7" t="n">
        <v>18643.3</v>
      </c>
      <c r="F64" s="7" t="n">
        <v>12214</v>
      </c>
      <c r="H64" s="7" t="n">
        <v>16422.2</v>
      </c>
      <c r="J64" s="7" t="n">
        <v>17793.6</v>
      </c>
      <c r="L64" s="7" t="n">
        <v>21785.4</v>
      </c>
      <c r="N64" s="7" t="n">
        <v>31019.7</v>
      </c>
      <c r="P64" s="7" t="n">
        <v>20941.3</v>
      </c>
      <c r="R64" s="7" t="n">
        <v>17109.2</v>
      </c>
      <c r="T64" s="7" t="n">
        <v>13842.4</v>
      </c>
      <c r="V64" s="7" t="n">
        <v>39621.6</v>
      </c>
      <c r="X64" s="7" t="n">
        <v>15215.3</v>
      </c>
      <c r="Z64" s="7" t="n">
        <v>18571.4</v>
      </c>
      <c r="AB64" s="7" t="n">
        <v>243179.4</v>
      </c>
    </row>
    <row r="65">
      <c r="A65" s="4" t="inlineStr">
        <is>
          <t>能源费</t>
        </is>
      </c>
      <c r="D65" s="7" t="n">
        <v>6290.7</v>
      </c>
      <c r="F65" s="7" t="n">
        <v>4719.9</v>
      </c>
      <c r="H65" s="7" t="n">
        <v>5987.4</v>
      </c>
      <c r="J65" s="7" t="n">
        <v>8915.200000000001</v>
      </c>
      <c r="L65" s="7" t="n">
        <v>13317.3</v>
      </c>
      <c r="N65" s="7" t="n">
        <v>14866.1</v>
      </c>
      <c r="P65" s="7" t="n">
        <v>9452.1</v>
      </c>
      <c r="R65" s="7" t="n">
        <v>6488.3</v>
      </c>
      <c r="T65" s="7" t="n">
        <v>6886.4</v>
      </c>
      <c r="V65" s="7" t="n">
        <v>13762.6</v>
      </c>
      <c r="X65" s="7" t="n">
        <v>6021.6</v>
      </c>
      <c r="Z65" s="7" t="n">
        <v>8886.6</v>
      </c>
      <c r="AB65" s="7" t="n">
        <v>105594.2</v>
      </c>
    </row>
    <row r="66">
      <c r="A66" s="4" t="inlineStr">
        <is>
          <t>水费</t>
        </is>
      </c>
      <c r="D66" s="7" t="n">
        <v>1584.2</v>
      </c>
      <c r="F66" s="7" t="n">
        <v>1538</v>
      </c>
      <c r="H66" s="7" t="n">
        <v>2045</v>
      </c>
      <c r="J66" s="7" t="n">
        <v>2686.5</v>
      </c>
      <c r="L66" s="7" t="n">
        <v>3720.3</v>
      </c>
      <c r="N66" s="7" t="n">
        <v>3559.8</v>
      </c>
      <c r="P66" s="7" t="n">
        <v>2744.7</v>
      </c>
      <c r="R66" s="7" t="n">
        <v>2503.6</v>
      </c>
      <c r="T66" s="7" t="n">
        <v>2255.1</v>
      </c>
      <c r="V66" s="7" t="n">
        <v>3378.1</v>
      </c>
      <c r="X66" s="7" t="n">
        <v>1585.2</v>
      </c>
      <c r="Z66" s="7" t="n">
        <v>2144.6</v>
      </c>
      <c r="AB66" s="7" t="n">
        <v>29745.1</v>
      </c>
    </row>
    <row r="67">
      <c r="A67" s="4" t="inlineStr">
        <is>
          <t>电费</t>
        </is>
      </c>
      <c r="D67" s="7" t="n">
        <v>1026.5</v>
      </c>
      <c r="F67" s="7" t="n">
        <v>948.2</v>
      </c>
      <c r="H67" s="7" t="n">
        <v>1029.6</v>
      </c>
      <c r="J67" s="7" t="n">
        <v>2204.5</v>
      </c>
      <c r="L67" s="7" t="n">
        <v>2279.1</v>
      </c>
      <c r="N67" s="7" t="n">
        <v>4122.6</v>
      </c>
      <c r="P67" s="7" t="n">
        <v>1891.3</v>
      </c>
      <c r="R67" s="7" t="n">
        <v>1083.5</v>
      </c>
      <c r="T67" s="7" t="n">
        <v>1488.9</v>
      </c>
      <c r="V67" s="7" t="n">
        <v>3283.4</v>
      </c>
      <c r="X67" s="7" t="n">
        <v>1060.2</v>
      </c>
      <c r="Z67" s="7" t="n">
        <v>2357.4</v>
      </c>
      <c r="AB67" s="7" t="n">
        <v>22775.2</v>
      </c>
    </row>
    <row r="68">
      <c r="A68" s="4" t="inlineStr">
        <is>
          <t>燃气费</t>
        </is>
      </c>
      <c r="D68" s="7" t="n">
        <v>2004.4</v>
      </c>
      <c r="F68" s="7" t="n">
        <v>819.2</v>
      </c>
      <c r="H68" s="7" t="n">
        <v>1093.3</v>
      </c>
      <c r="J68" s="7" t="n">
        <v>1998.8</v>
      </c>
      <c r="L68" s="7" t="n">
        <v>3212.4</v>
      </c>
      <c r="N68" s="7" t="n">
        <v>2791.1</v>
      </c>
      <c r="P68" s="7" t="n">
        <v>2459</v>
      </c>
      <c r="R68" s="7" t="n">
        <v>1514.6</v>
      </c>
      <c r="T68" s="7" t="n">
        <v>1325.2</v>
      </c>
      <c r="V68" s="7" t="n">
        <v>3100.8</v>
      </c>
      <c r="X68" s="7" t="n">
        <v>2010.8</v>
      </c>
      <c r="Z68" s="7" t="n">
        <v>1851.2</v>
      </c>
      <c r="AB68" s="7" t="n">
        <v>24180.8</v>
      </c>
    </row>
    <row r="69">
      <c r="A69" s="4" t="inlineStr">
        <is>
          <t>蒸汽费</t>
        </is>
      </c>
      <c r="D69" s="7" t="n">
        <v>1675.6</v>
      </c>
      <c r="F69" s="7" t="n">
        <v>1414.5</v>
      </c>
      <c r="H69" s="7" t="n">
        <v>1819.5</v>
      </c>
      <c r="J69" s="7" t="n">
        <v>2025.4</v>
      </c>
      <c r="L69" s="7" t="n">
        <v>4105.5</v>
      </c>
      <c r="N69" s="7" t="n">
        <v>4392.6</v>
      </c>
      <c r="P69" s="7" t="n">
        <v>2357.1</v>
      </c>
      <c r="R69" s="7" t="n">
        <v>1386.6</v>
      </c>
      <c r="T69" s="7" t="n">
        <v>1817.2</v>
      </c>
      <c r="V69" s="7" t="n">
        <v>4000.3</v>
      </c>
      <c r="X69" s="7" t="n">
        <v>1365.4</v>
      </c>
      <c r="Z69" s="7" t="n">
        <v>2533.4</v>
      </c>
      <c r="AB69" s="7" t="n">
        <v>28893.1</v>
      </c>
    </row>
    <row r="70">
      <c r="A70" s="4" t="inlineStr">
        <is>
          <t>物业费</t>
        </is>
      </c>
      <c r="D70" s="7" t="n">
        <v>1136.6</v>
      </c>
      <c r="F70" s="7" t="n">
        <v>1053.5</v>
      </c>
      <c r="H70" s="7" t="n">
        <v>1655.6</v>
      </c>
      <c r="J70" s="7" t="n">
        <v>2639.3</v>
      </c>
      <c r="L70" s="7" t="n">
        <v>3693</v>
      </c>
      <c r="N70" s="7" t="n">
        <v>3056.9</v>
      </c>
      <c r="P70" s="7" t="n">
        <v>1873.6</v>
      </c>
      <c r="R70" s="7" t="n">
        <v>1682.2</v>
      </c>
      <c r="T70" s="7" t="n">
        <v>1733.9</v>
      </c>
      <c r="V70" s="7" t="n">
        <v>3153.5</v>
      </c>
      <c r="X70" s="7" t="n">
        <v>1392.7</v>
      </c>
      <c r="Z70" s="7" t="n">
        <v>1721.8</v>
      </c>
      <c r="AB70" s="7" t="n">
        <v>24792.6</v>
      </c>
    </row>
    <row r="71">
      <c r="A71" s="4" t="inlineStr">
        <is>
          <t>劳动保护费</t>
        </is>
      </c>
      <c r="D71" s="7" t="n">
        <v>699.2</v>
      </c>
      <c r="F71" s="7" t="n">
        <v>740.5</v>
      </c>
      <c r="H71" s="7" t="n">
        <v>876.7</v>
      </c>
      <c r="J71" s="7" t="n">
        <v>899.6</v>
      </c>
      <c r="L71" s="7" t="n">
        <v>2057.6</v>
      </c>
      <c r="N71" s="7" t="n">
        <v>2356.7</v>
      </c>
      <c r="P71" s="7" t="n">
        <v>1322</v>
      </c>
      <c r="R71" s="7" t="n">
        <v>1179.9</v>
      </c>
      <c r="T71" s="7" t="n">
        <v>1197.2</v>
      </c>
      <c r="V71" s="7" t="n">
        <v>1419.5</v>
      </c>
      <c r="X71" s="7" t="n">
        <v>1122.5</v>
      </c>
      <c r="Z71" s="7" t="n">
        <v>1118.4</v>
      </c>
      <c r="AB71" s="7" t="n">
        <v>14989.8</v>
      </c>
    </row>
    <row r="72">
      <c r="A72" s="4" t="inlineStr">
        <is>
          <t>顾问费</t>
        </is>
      </c>
      <c r="D72" s="7" t="n">
        <v>1384.4</v>
      </c>
      <c r="F72" s="7" t="n">
        <v>599.2</v>
      </c>
      <c r="H72" s="7" t="n">
        <v>799.7</v>
      </c>
      <c r="J72" s="7" t="n">
        <v>1355.9</v>
      </c>
      <c r="L72" s="7" t="n">
        <v>2991.2</v>
      </c>
      <c r="N72" s="7" t="n">
        <v>2354.3</v>
      </c>
      <c r="P72" s="7" t="n">
        <v>1197.6</v>
      </c>
      <c r="R72" s="7" t="n">
        <v>1219.5</v>
      </c>
      <c r="T72" s="7" t="n">
        <v>1175.7</v>
      </c>
      <c r="V72" s="7" t="n">
        <v>2928.7</v>
      </c>
      <c r="X72" s="7" t="n">
        <v>1570</v>
      </c>
      <c r="Z72" s="7" t="n">
        <v>1300.7</v>
      </c>
      <c r="AB72" s="7" t="n">
        <v>18876.9</v>
      </c>
    </row>
    <row r="73">
      <c r="A73" s="4" t="inlineStr">
        <is>
          <t>快递费</t>
        </is>
      </c>
      <c r="D73" s="7" t="n">
        <v>45.4</v>
      </c>
      <c r="F73" s="7" t="n">
        <v>43</v>
      </c>
      <c r="H73" s="7" t="n">
        <v>50.9</v>
      </c>
      <c r="J73" s="7" t="n">
        <v>54.1</v>
      </c>
      <c r="L73" s="7" t="n">
        <v>125.7</v>
      </c>
      <c r="N73" s="7" t="n">
        <v>137.8</v>
      </c>
      <c r="P73" s="7" t="n">
        <v>64</v>
      </c>
      <c r="R73" s="7" t="n">
        <v>60.5</v>
      </c>
      <c r="T73" s="7" t="n">
        <v>40.4</v>
      </c>
      <c r="V73" s="7" t="n">
        <v>141</v>
      </c>
      <c r="X73" s="7" t="n">
        <v>62.9</v>
      </c>
      <c r="Z73" s="7" t="n">
        <v>56.3</v>
      </c>
      <c r="AB73" s="7" t="n">
        <v>882</v>
      </c>
    </row>
    <row r="74">
      <c r="A74" s="4" t="inlineStr">
        <is>
          <t>诉讼费</t>
        </is>
      </c>
      <c r="D74" s="7" t="n">
        <v>414.3</v>
      </c>
      <c r="F74" s="7" t="n">
        <v>229</v>
      </c>
      <c r="H74" s="7" t="n">
        <v>270.5</v>
      </c>
      <c r="J74" s="7" t="n">
        <v>609.6</v>
      </c>
      <c r="L74" s="7" t="n">
        <v>606</v>
      </c>
      <c r="N74" s="7" t="n">
        <v>1008.6</v>
      </c>
      <c r="P74" s="7" t="n">
        <v>499.1</v>
      </c>
      <c r="R74" s="7" t="n">
        <v>341.3</v>
      </c>
      <c r="T74" s="7" t="n">
        <v>457</v>
      </c>
      <c r="V74" s="7" t="n">
        <v>988.4</v>
      </c>
      <c r="X74" s="7" t="n">
        <v>442.6</v>
      </c>
      <c r="Z74" s="7" t="n">
        <v>466.1</v>
      </c>
      <c r="AB74" s="7" t="n">
        <v>6332.5</v>
      </c>
    </row>
    <row r="75">
      <c r="A75" s="4" t="inlineStr">
        <is>
          <t>会员费</t>
        </is>
      </c>
      <c r="D75" s="7" t="n">
        <v>1792.8</v>
      </c>
      <c r="F75" s="7" t="n">
        <v>831.8</v>
      </c>
      <c r="H75" s="7" t="n">
        <v>1531.1</v>
      </c>
      <c r="J75" s="7" t="n">
        <v>2080.2</v>
      </c>
      <c r="L75" s="7" t="n">
        <v>2260.5</v>
      </c>
      <c r="N75" s="7" t="n">
        <v>2717.9</v>
      </c>
      <c r="P75" s="7" t="n">
        <v>1368.9</v>
      </c>
      <c r="R75" s="7" t="n">
        <v>1653.9</v>
      </c>
      <c r="T75" s="7" t="n">
        <v>1697.9</v>
      </c>
      <c r="V75" s="7" t="n">
        <v>2854.8</v>
      </c>
      <c r="X75" s="7" t="n">
        <v>1536.8</v>
      </c>
      <c r="Z75" s="7" t="n">
        <v>1519.7</v>
      </c>
      <c r="AB75" s="7" t="n">
        <v>21846.3</v>
      </c>
    </row>
    <row r="76">
      <c r="A76" s="4" t="inlineStr">
        <is>
          <t>广告宣传费</t>
        </is>
      </c>
      <c r="D76" s="7" t="n">
        <v>9030.6</v>
      </c>
      <c r="F76" s="7" t="n">
        <v>6182.5</v>
      </c>
      <c r="H76" s="7" t="n">
        <v>5523.5</v>
      </c>
      <c r="J76" s="7" t="n">
        <v>11091</v>
      </c>
      <c r="L76" s="7" t="n">
        <v>17095.6</v>
      </c>
      <c r="N76" s="7" t="n">
        <v>22952.8</v>
      </c>
      <c r="P76" s="7" t="n">
        <v>13438.3</v>
      </c>
      <c r="R76" s="7" t="n">
        <v>11638</v>
      </c>
      <c r="T76" s="7" t="n">
        <v>10863.1</v>
      </c>
      <c r="V76" s="7" t="n">
        <v>15710.5</v>
      </c>
      <c r="X76" s="7" t="n">
        <v>7300.2</v>
      </c>
      <c r="Z76" s="7" t="n">
        <v>11354.8</v>
      </c>
      <c r="AB76" s="7" t="n">
        <v>142180.9</v>
      </c>
    </row>
    <row r="77">
      <c r="A77" s="4" t="inlineStr">
        <is>
          <t>会务费</t>
        </is>
      </c>
      <c r="D77" s="7" t="n">
        <v>1268</v>
      </c>
      <c r="F77" s="7" t="n">
        <v>632.1</v>
      </c>
      <c r="H77" s="7" t="n">
        <v>659.7</v>
      </c>
      <c r="J77" s="7" t="n">
        <v>976.9</v>
      </c>
      <c r="L77" s="7" t="n">
        <v>2476.2</v>
      </c>
      <c r="N77" s="7" t="n">
        <v>1658.5</v>
      </c>
      <c r="P77" s="7" t="n">
        <v>978.9</v>
      </c>
      <c r="R77" s="7" t="n">
        <v>1145.5</v>
      </c>
      <c r="T77" s="7" t="n">
        <v>1208.2</v>
      </c>
      <c r="V77" s="7" t="n">
        <v>1611</v>
      </c>
      <c r="X77" s="7" t="n">
        <v>971.5</v>
      </c>
      <c r="Z77" s="7" t="n">
        <v>1046.9</v>
      </c>
      <c r="AB77" s="7" t="n">
        <v>14633.4</v>
      </c>
    </row>
    <row r="78">
      <c r="A78" s="4" t="inlineStr">
        <is>
          <t>装修费</t>
        </is>
      </c>
      <c r="D78" s="7" t="n">
        <v>1544.1</v>
      </c>
      <c r="F78" s="7" t="n">
        <v>822.4</v>
      </c>
      <c r="H78" s="7" t="n">
        <v>1462.8</v>
      </c>
      <c r="J78" s="7" t="n">
        <v>1788.5</v>
      </c>
      <c r="L78" s="7" t="n">
        <v>2462.5</v>
      </c>
      <c r="N78" s="7" t="n">
        <v>4170.1</v>
      </c>
      <c r="P78" s="7" t="n">
        <v>2577.4</v>
      </c>
      <c r="R78" s="7" t="n">
        <v>2333</v>
      </c>
      <c r="T78" s="7" t="n">
        <v>1444.6</v>
      </c>
      <c r="V78" s="7" t="n">
        <v>4483.2</v>
      </c>
      <c r="X78" s="7" t="n">
        <v>1803</v>
      </c>
      <c r="Z78" s="7" t="n">
        <v>2391.4</v>
      </c>
      <c r="AB78" s="7" t="n">
        <v>27283</v>
      </c>
    </row>
    <row r="79">
      <c r="A79" s="4" t="inlineStr">
        <is>
          <t>推广费</t>
        </is>
      </c>
      <c r="D79" s="7" t="n">
        <v>268.5</v>
      </c>
      <c r="F79" s="7" t="n">
        <v>282.1</v>
      </c>
      <c r="H79" s="7" t="n">
        <v>346.5</v>
      </c>
      <c r="J79" s="7" t="n">
        <v>581.9</v>
      </c>
      <c r="L79" s="7" t="n">
        <v>667.2</v>
      </c>
      <c r="N79" s="7" t="n">
        <v>924.4</v>
      </c>
      <c r="P79" s="7" t="n">
        <v>372.4</v>
      </c>
      <c r="R79" s="7" t="n">
        <v>471.7</v>
      </c>
      <c r="T79" s="7" t="n">
        <v>433.7</v>
      </c>
      <c r="V79" s="7" t="n">
        <v>742.1</v>
      </c>
      <c r="X79" s="7" t="n">
        <v>312.3</v>
      </c>
      <c r="Z79" s="7" t="n">
        <v>547</v>
      </c>
      <c r="AB79" s="7" t="n">
        <v>5949.8</v>
      </c>
    </row>
    <row r="80">
      <c r="A80" s="4" t="inlineStr">
        <is>
          <t>展会费</t>
        </is>
      </c>
      <c r="D80" s="7" t="n">
        <v>210.8</v>
      </c>
      <c r="F80" s="7" t="n">
        <v>213.2</v>
      </c>
      <c r="H80" s="7" t="n">
        <v>187.3</v>
      </c>
      <c r="J80" s="7" t="n">
        <v>385.6</v>
      </c>
      <c r="L80" s="7" t="n">
        <v>393.8</v>
      </c>
      <c r="N80" s="7" t="n">
        <v>748.8</v>
      </c>
      <c r="P80" s="7" t="n">
        <v>389.6</v>
      </c>
      <c r="R80" s="7" t="n">
        <v>279.4</v>
      </c>
      <c r="T80" s="7" t="n">
        <v>287.6</v>
      </c>
      <c r="V80" s="7" t="n">
        <v>620.9</v>
      </c>
      <c r="X80" s="7" t="n">
        <v>218.9</v>
      </c>
      <c r="Z80" s="7" t="n">
        <v>441.6</v>
      </c>
      <c r="AB80" s="7" t="n">
        <v>4377.5</v>
      </c>
    </row>
    <row r="81">
      <c r="A81" s="4" t="inlineStr">
        <is>
          <t>设计费</t>
        </is>
      </c>
      <c r="D81" s="7" t="n">
        <v>872.6</v>
      </c>
      <c r="F81" s="7" t="n">
        <v>533.6</v>
      </c>
      <c r="H81" s="7" t="n">
        <v>619.9</v>
      </c>
      <c r="J81" s="7" t="n">
        <v>1033</v>
      </c>
      <c r="L81" s="7" t="n">
        <v>1444.2</v>
      </c>
      <c r="N81" s="7" t="n">
        <v>1728.8</v>
      </c>
      <c r="P81" s="7" t="n">
        <v>999.8</v>
      </c>
      <c r="R81" s="7" t="n">
        <v>592.7</v>
      </c>
      <c r="T81" s="7" t="n">
        <v>896.2</v>
      </c>
      <c r="V81" s="7" t="n">
        <v>1341.8</v>
      </c>
      <c r="X81" s="7" t="n">
        <v>611.9</v>
      </c>
      <c r="Z81" s="7" t="n">
        <v>1071.5</v>
      </c>
      <c r="AB81" s="7" t="n">
        <v>11746</v>
      </c>
    </row>
    <row r="82">
      <c r="A82" s="4" t="inlineStr">
        <is>
          <t>折旧费</t>
        </is>
      </c>
      <c r="D82" s="7" t="n">
        <v>12723.3</v>
      </c>
      <c r="F82" s="7" t="n">
        <v>10032.3</v>
      </c>
      <c r="H82" s="7" t="n">
        <v>8686.5</v>
      </c>
      <c r="J82" s="7" t="n">
        <v>17614.7</v>
      </c>
      <c r="L82" s="7" t="n">
        <v>28721.3</v>
      </c>
      <c r="N82" s="7" t="n">
        <v>23179.6</v>
      </c>
      <c r="P82" s="7" t="n">
        <v>17941.2</v>
      </c>
      <c r="R82" s="7" t="n">
        <v>15197</v>
      </c>
      <c r="T82" s="7" t="n">
        <v>12231.2</v>
      </c>
      <c r="V82" s="7" t="n">
        <v>29572.5</v>
      </c>
      <c r="X82" s="7" t="n">
        <v>8616</v>
      </c>
      <c r="Z82" s="7" t="n">
        <v>17238.8</v>
      </c>
      <c r="AB82" s="7" t="n">
        <v>201754.4</v>
      </c>
    </row>
    <row r="83">
      <c r="A83" s="4" t="inlineStr">
        <is>
          <t>认证费</t>
        </is>
      </c>
      <c r="D83" s="7" t="n">
        <v>893.5</v>
      </c>
      <c r="F83" s="7" t="n">
        <v>749</v>
      </c>
      <c r="H83" s="7" t="n">
        <v>911.2</v>
      </c>
      <c r="J83" s="7" t="n">
        <v>1070.5</v>
      </c>
      <c r="L83" s="7" t="n">
        <v>1698.9</v>
      </c>
      <c r="N83" s="7" t="n">
        <v>2368.8</v>
      </c>
      <c r="P83" s="7" t="n">
        <v>1122.7</v>
      </c>
      <c r="R83" s="7" t="n">
        <v>1369.3</v>
      </c>
      <c r="T83" s="7" t="n">
        <v>1371</v>
      </c>
      <c r="V83" s="7" t="n">
        <v>2542.2</v>
      </c>
      <c r="X83" s="7" t="n">
        <v>1107.9</v>
      </c>
      <c r="Z83" s="7" t="n">
        <v>1234.2</v>
      </c>
      <c r="AB83" s="7" t="n">
        <v>16439.2</v>
      </c>
    </row>
    <row r="84">
      <c r="A84" s="4" t="inlineStr">
        <is>
          <t>样品费</t>
        </is>
      </c>
      <c r="D84" s="7" t="n">
        <v>4207.2</v>
      </c>
      <c r="F84" s="7" t="n">
        <v>4242.6</v>
      </c>
      <c r="H84" s="7" t="n">
        <v>4370.6</v>
      </c>
      <c r="J84" s="7" t="n">
        <v>7499.2</v>
      </c>
      <c r="L84" s="7" t="n">
        <v>10894.1</v>
      </c>
      <c r="N84" s="7" t="n">
        <v>10068.7</v>
      </c>
      <c r="P84" s="7" t="n">
        <v>8481.4</v>
      </c>
      <c r="R84" s="7" t="n">
        <v>7107.8</v>
      </c>
      <c r="T84" s="7" t="n">
        <v>5188.1</v>
      </c>
      <c r="V84" s="7" t="n">
        <v>15007.7</v>
      </c>
      <c r="X84" s="7" t="n">
        <v>5729.2</v>
      </c>
      <c r="Z84" s="7" t="n">
        <v>7278</v>
      </c>
      <c r="AB84" s="7" t="n">
        <v>90074.60000000001</v>
      </c>
    </row>
    <row r="85">
      <c r="A85" s="4" t="inlineStr">
        <is>
          <t>劳务费</t>
        </is>
      </c>
      <c r="D85" s="7" t="n">
        <v>140.3</v>
      </c>
      <c r="F85" s="7" t="n">
        <v>94.3</v>
      </c>
      <c r="H85" s="7" t="n">
        <v>79.2</v>
      </c>
      <c r="J85" s="7" t="n">
        <v>148.8</v>
      </c>
      <c r="L85" s="7" t="n">
        <v>250.1</v>
      </c>
      <c r="N85" s="7" t="n">
        <v>335.4</v>
      </c>
      <c r="P85" s="7" t="n">
        <v>189.6</v>
      </c>
      <c r="R85" s="7" t="n">
        <v>147.1</v>
      </c>
      <c r="T85" s="7" t="n">
        <v>118.3</v>
      </c>
      <c r="V85" s="7" t="n">
        <v>248.8</v>
      </c>
      <c r="X85" s="7" t="n">
        <v>136.7</v>
      </c>
      <c r="Z85" s="7" t="n">
        <v>122</v>
      </c>
      <c r="AB85" s="7" t="n">
        <v>2010.6</v>
      </c>
    </row>
    <row r="86">
      <c r="A86" s="4" t="inlineStr">
        <is>
          <t>销售佣金</t>
        </is>
      </c>
      <c r="D86" s="7" t="n">
        <v>1379.8</v>
      </c>
      <c r="F86" s="7" t="n">
        <v>650.6</v>
      </c>
      <c r="H86" s="7" t="n">
        <v>933.4</v>
      </c>
      <c r="J86" s="7" t="n">
        <v>1061.7</v>
      </c>
      <c r="L86" s="7" t="n">
        <v>2708.8</v>
      </c>
      <c r="N86" s="7" t="n">
        <v>1921.1</v>
      </c>
      <c r="P86" s="7" t="n">
        <v>1523.2</v>
      </c>
      <c r="R86" s="7" t="n">
        <v>1268</v>
      </c>
      <c r="T86" s="7" t="n">
        <v>950.9</v>
      </c>
      <c r="V86" s="7" t="n">
        <v>2077.9</v>
      </c>
      <c r="X86" s="7" t="n">
        <v>1111.3</v>
      </c>
      <c r="Z86" s="7" t="n">
        <v>1344.4</v>
      </c>
      <c r="AB86" s="7" t="n">
        <v>16931.1</v>
      </c>
    </row>
    <row r="87">
      <c r="A87" s="4" t="inlineStr">
        <is>
          <t>检测费</t>
        </is>
      </c>
      <c r="D87" s="7" t="n">
        <v>355.2</v>
      </c>
      <c r="F87" s="7" t="n">
        <v>164.3</v>
      </c>
      <c r="H87" s="7" t="n">
        <v>249.1</v>
      </c>
      <c r="J87" s="7" t="n">
        <v>416</v>
      </c>
      <c r="L87" s="7" t="n">
        <v>674.3</v>
      </c>
      <c r="N87" s="7" t="n">
        <v>660.6</v>
      </c>
      <c r="P87" s="7" t="n">
        <v>311.3</v>
      </c>
      <c r="R87" s="7" t="n">
        <v>421.1</v>
      </c>
      <c r="T87" s="7" t="n">
        <v>409.7</v>
      </c>
      <c r="V87" s="7" t="n">
        <v>575.8</v>
      </c>
      <c r="X87" s="7" t="n">
        <v>401.3</v>
      </c>
      <c r="Z87" s="7" t="n">
        <v>361.8</v>
      </c>
      <c r="AB87" s="7" t="n">
        <v>5000.5</v>
      </c>
    </row>
    <row r="88">
      <c r="A88" s="4" t="inlineStr">
        <is>
          <t>质量赔偿</t>
        </is>
      </c>
      <c r="D88" s="7" t="n">
        <v>757.4</v>
      </c>
      <c r="F88" s="7" t="n">
        <v>407</v>
      </c>
      <c r="H88" s="7" t="n">
        <v>609.7</v>
      </c>
      <c r="J88" s="7" t="n">
        <v>777.8</v>
      </c>
      <c r="L88" s="7" t="n">
        <v>1480.3</v>
      </c>
      <c r="N88" s="7" t="n">
        <v>1302.2</v>
      </c>
      <c r="P88" s="7" t="n">
        <v>744.4</v>
      </c>
      <c r="R88" s="7" t="n">
        <v>710</v>
      </c>
      <c r="T88" s="7" t="n">
        <v>589.3</v>
      </c>
      <c r="V88" s="7" t="n">
        <v>1314.4</v>
      </c>
      <c r="X88" s="7" t="n">
        <v>595.1</v>
      </c>
      <c r="Z88" s="7" t="n">
        <v>662</v>
      </c>
      <c r="AB88" s="7" t="n">
        <v>9949.6</v>
      </c>
    </row>
    <row r="89">
      <c r="A89" s="4" t="inlineStr">
        <is>
          <t>保险费</t>
        </is>
      </c>
      <c r="D89" s="7" t="n">
        <v>319.5</v>
      </c>
      <c r="F89" s="7" t="n">
        <v>207.4</v>
      </c>
      <c r="H89" s="7" t="n">
        <v>212.6</v>
      </c>
      <c r="J89" s="7" t="n">
        <v>462.2</v>
      </c>
      <c r="L89" s="7" t="n">
        <v>728</v>
      </c>
      <c r="N89" s="7" t="n">
        <v>577.8</v>
      </c>
      <c r="P89" s="7" t="n">
        <v>427.6</v>
      </c>
      <c r="R89" s="7" t="n">
        <v>386.8</v>
      </c>
      <c r="T89" s="7" t="n">
        <v>240.2</v>
      </c>
      <c r="V89" s="7" t="n">
        <v>865.1</v>
      </c>
      <c r="X89" s="7" t="n">
        <v>351.8</v>
      </c>
      <c r="Z89" s="7" t="n">
        <v>547.4</v>
      </c>
      <c r="AB89" s="7" t="n">
        <v>5326.4</v>
      </c>
    </row>
    <row r="90">
      <c r="A90" s="4" t="inlineStr">
        <is>
          <t>清洁费</t>
        </is>
      </c>
      <c r="D90" s="7" t="n">
        <v>1026.2</v>
      </c>
      <c r="F90" s="7" t="n">
        <v>696.9</v>
      </c>
      <c r="H90" s="7" t="n">
        <v>839.6</v>
      </c>
      <c r="J90" s="7" t="n">
        <v>1700.6</v>
      </c>
      <c r="L90" s="7" t="n">
        <v>2561.4</v>
      </c>
      <c r="N90" s="7" t="n">
        <v>3039.5</v>
      </c>
      <c r="P90" s="7" t="n">
        <v>1411.2</v>
      </c>
      <c r="R90" s="7" t="n">
        <v>1407</v>
      </c>
      <c r="T90" s="7" t="n">
        <v>1215.3</v>
      </c>
      <c r="V90" s="7" t="n">
        <v>1946.2</v>
      </c>
      <c r="X90" s="7" t="n">
        <v>785.1</v>
      </c>
      <c r="Z90" s="7" t="n">
        <v>1048.1</v>
      </c>
      <c r="AB90" s="7" t="n">
        <v>17677.1</v>
      </c>
    </row>
    <row r="91">
      <c r="A91" s="4" t="inlineStr">
        <is>
          <t>低值易耗品</t>
        </is>
      </c>
      <c r="D91" s="7" t="n">
        <v>1345.8</v>
      </c>
      <c r="F91" s="7" t="n">
        <v>794.5</v>
      </c>
      <c r="H91" s="7" t="n">
        <v>1687.5</v>
      </c>
      <c r="J91" s="7" t="n">
        <v>2242.9</v>
      </c>
      <c r="L91" s="7" t="n">
        <v>3424.3</v>
      </c>
      <c r="N91" s="7" t="n">
        <v>3745.5</v>
      </c>
      <c r="P91" s="7" t="n">
        <v>1479.6</v>
      </c>
      <c r="R91" s="7" t="n">
        <v>1265.8</v>
      </c>
      <c r="T91" s="7" t="n">
        <v>1137.5</v>
      </c>
      <c r="V91" s="7" t="n">
        <v>2445.7</v>
      </c>
      <c r="X91" s="7" t="n">
        <v>1089.8</v>
      </c>
      <c r="Z91" s="7" t="n">
        <v>2409.1</v>
      </c>
      <c r="AB91" s="7" t="n">
        <v>23068</v>
      </c>
    </row>
    <row r="92">
      <c r="A92" s="4" t="inlineStr">
        <is>
          <t>物料消耗</t>
        </is>
      </c>
      <c r="D92" s="7" t="n">
        <v>1496.5</v>
      </c>
      <c r="F92" s="7" t="n">
        <v>911.2</v>
      </c>
      <c r="H92" s="7" t="n">
        <v>1729.2</v>
      </c>
      <c r="J92" s="7" t="n">
        <v>2122.6</v>
      </c>
      <c r="L92" s="7" t="n">
        <v>2863.4</v>
      </c>
      <c r="N92" s="7" t="n">
        <v>4362.8</v>
      </c>
      <c r="P92" s="7" t="n">
        <v>1817.7</v>
      </c>
      <c r="R92" s="7" t="n">
        <v>1851.5</v>
      </c>
      <c r="T92" s="7" t="n">
        <v>1102.4</v>
      </c>
      <c r="V92" s="7" t="n">
        <v>3033.2</v>
      </c>
      <c r="X92" s="7" t="n">
        <v>1532.8</v>
      </c>
      <c r="Z92" s="7" t="n">
        <v>1884.9</v>
      </c>
      <c r="AB92" s="7" t="n">
        <v>24708.2</v>
      </c>
    </row>
    <row r="93">
      <c r="A93" s="4" t="inlineStr">
        <is>
          <t>盘盈盘亏</t>
        </is>
      </c>
      <c r="D93" s="7" t="n">
        <v>662</v>
      </c>
      <c r="F93" s="7" t="n">
        <v>377.2</v>
      </c>
      <c r="H93" s="7" t="n">
        <v>501</v>
      </c>
      <c r="J93" s="7" t="n">
        <v>851.8</v>
      </c>
      <c r="L93" s="7" t="n">
        <v>1239.5</v>
      </c>
      <c r="N93" s="7" t="n">
        <v>1742.9</v>
      </c>
      <c r="P93" s="7" t="n">
        <v>904</v>
      </c>
      <c r="R93" s="7" t="n">
        <v>494.2</v>
      </c>
      <c r="T93" s="7" t="n">
        <v>747.1</v>
      </c>
      <c r="V93" s="7" t="n">
        <v>1183.9</v>
      </c>
      <c r="X93" s="7" t="n">
        <v>536.2</v>
      </c>
      <c r="Z93" s="7" t="n">
        <v>894.4</v>
      </c>
      <c r="AB93" s="7" t="n">
        <v>10134.2</v>
      </c>
    </row>
    <row r="94">
      <c r="A94" s="4" t="inlineStr">
        <is>
          <t>平台服务费</t>
        </is>
      </c>
      <c r="D94" s="7" t="n">
        <v>79.90000000000001</v>
      </c>
      <c r="F94" s="7" t="n">
        <v>30.9</v>
      </c>
      <c r="H94" s="7" t="n">
        <v>54.9</v>
      </c>
      <c r="J94" s="7" t="n">
        <v>81.3</v>
      </c>
      <c r="L94" s="7" t="n">
        <v>143.5</v>
      </c>
      <c r="N94" s="7" t="n">
        <v>149.1</v>
      </c>
      <c r="P94" s="7" t="n">
        <v>58</v>
      </c>
      <c r="R94" s="7" t="n">
        <v>81.90000000000001</v>
      </c>
      <c r="T94" s="7" t="n">
        <v>88.09999999999999</v>
      </c>
      <c r="V94" s="7" t="n">
        <v>144.3</v>
      </c>
      <c r="X94" s="7" t="n">
        <v>69</v>
      </c>
      <c r="Z94" s="7" t="n">
        <v>112</v>
      </c>
      <c r="AB94" s="7" t="n">
        <v>1092.9</v>
      </c>
    </row>
    <row r="95">
      <c r="A95" s="4" t="inlineStr">
        <is>
          <t>无形资产摊销</t>
        </is>
      </c>
      <c r="D95" s="7" t="n">
        <v>658.5</v>
      </c>
      <c r="F95" s="7" t="n">
        <v>605.6</v>
      </c>
      <c r="H95" s="7" t="n">
        <v>828.8</v>
      </c>
      <c r="J95" s="7" t="n">
        <v>911.8</v>
      </c>
      <c r="L95" s="7" t="n">
        <v>1872.8</v>
      </c>
      <c r="N95" s="7" t="n">
        <v>1654</v>
      </c>
      <c r="P95" s="7" t="n">
        <v>863.4</v>
      </c>
      <c r="R95" s="7" t="n">
        <v>1045.9</v>
      </c>
      <c r="T95" s="7" t="n">
        <v>946.8</v>
      </c>
      <c r="V95" s="7" t="n">
        <v>2053</v>
      </c>
      <c r="X95" s="7" t="n">
        <v>680.3</v>
      </c>
      <c r="Z95" s="7" t="n">
        <v>1042.5</v>
      </c>
      <c r="AB95" s="7" t="n">
        <v>13163.4</v>
      </c>
    </row>
    <row r="96">
      <c r="A96" s="4" t="inlineStr">
        <is>
          <t>研发材料</t>
        </is>
      </c>
      <c r="D96" s="7" t="n">
        <v>250.6</v>
      </c>
      <c r="F96" s="7" t="n">
        <v>194.4</v>
      </c>
      <c r="H96" s="7" t="n">
        <v>229.2</v>
      </c>
      <c r="J96" s="7" t="n">
        <v>375.2</v>
      </c>
      <c r="L96" s="7" t="n">
        <v>792.6</v>
      </c>
      <c r="N96" s="7" t="n">
        <v>879.9</v>
      </c>
      <c r="P96" s="7" t="n">
        <v>409.9</v>
      </c>
      <c r="R96" s="7" t="n">
        <v>428.2</v>
      </c>
      <c r="T96" s="7" t="n">
        <v>351.8</v>
      </c>
      <c r="V96" s="7" t="n">
        <v>687.7</v>
      </c>
      <c r="X96" s="7" t="n">
        <v>321.2</v>
      </c>
      <c r="Z96" s="7" t="n">
        <v>377.9</v>
      </c>
      <c r="AB96" s="7" t="n">
        <v>5298.6</v>
      </c>
    </row>
    <row r="97">
      <c r="A97" s="4" t="inlineStr">
        <is>
          <t>项目名称</t>
        </is>
      </c>
      <c r="D97" s="7" t="n">
        <v>960.8</v>
      </c>
      <c r="F97" s="7" t="n">
        <v>473.6</v>
      </c>
      <c r="H97" s="7" t="n">
        <v>651.2</v>
      </c>
      <c r="J97" s="7" t="n">
        <v>913.3</v>
      </c>
      <c r="L97" s="7" t="n">
        <v>1341.9</v>
      </c>
      <c r="N97" s="7" t="n">
        <v>1515.8</v>
      </c>
      <c r="P97" s="7" t="n">
        <v>1159.5</v>
      </c>
      <c r="R97" s="7" t="n">
        <v>1046.9</v>
      </c>
      <c r="T97" s="7" t="n">
        <v>916.8</v>
      </c>
      <c r="V97" s="7" t="n">
        <v>1430.7</v>
      </c>
      <c r="X97" s="7" t="n">
        <v>641.7</v>
      </c>
      <c r="Z97" s="7" t="n">
        <v>759.7</v>
      </c>
      <c r="AB97" s="7" t="n">
        <v>11811.9</v>
      </c>
    </row>
    <row r="98">
      <c r="A98" s="4" t="inlineStr">
        <is>
          <t>研发费</t>
        </is>
      </c>
      <c r="D98" s="7" t="n">
        <v>1864.1</v>
      </c>
      <c r="F98" s="7" t="n">
        <v>1066.7</v>
      </c>
      <c r="H98" s="7" t="n">
        <v>1941.4</v>
      </c>
      <c r="J98" s="7" t="n">
        <v>2494.1</v>
      </c>
      <c r="L98" s="7" t="n">
        <v>3921.2</v>
      </c>
      <c r="N98" s="7" t="n">
        <v>3407.9</v>
      </c>
      <c r="P98" s="7" t="n">
        <v>2392.7</v>
      </c>
      <c r="R98" s="7" t="n">
        <v>2310.8</v>
      </c>
      <c r="T98" s="7" t="n">
        <v>1576.2</v>
      </c>
      <c r="V98" s="7" t="n">
        <v>3577.7</v>
      </c>
      <c r="X98" s="7" t="n">
        <v>1430.6</v>
      </c>
      <c r="Z98" s="7" t="n">
        <v>2859.7</v>
      </c>
      <c r="AB98" s="7" t="n">
        <v>28843.1</v>
      </c>
    </row>
    <row r="99">
      <c r="A99" s="4" t="inlineStr">
        <is>
          <t>残保金</t>
        </is>
      </c>
      <c r="D99" s="7" t="n">
        <v>1466.4</v>
      </c>
      <c r="F99" s="7" t="n">
        <v>1130.4</v>
      </c>
      <c r="H99" s="7" t="n">
        <v>1670.5</v>
      </c>
      <c r="J99" s="7" t="n">
        <v>2534.5</v>
      </c>
      <c r="L99" s="7" t="n">
        <v>3452.6</v>
      </c>
      <c r="N99" s="7" t="n">
        <v>3105.4</v>
      </c>
      <c r="P99" s="7" t="n">
        <v>1518</v>
      </c>
      <c r="R99" s="7" t="n">
        <v>1669</v>
      </c>
      <c r="T99" s="7" t="n">
        <v>1695.9</v>
      </c>
      <c r="V99" s="7" t="n">
        <v>3833.8</v>
      </c>
      <c r="X99" s="7" t="n">
        <v>1651</v>
      </c>
      <c r="Z99" s="7" t="n">
        <v>2871.3</v>
      </c>
      <c r="AB99" s="7" t="n">
        <v>26598.8</v>
      </c>
    </row>
    <row r="100">
      <c r="A100" s="4" t="inlineStr">
        <is>
          <t>环保费</t>
        </is>
      </c>
      <c r="D100" s="7" t="n">
        <v>2120.4</v>
      </c>
      <c r="F100" s="7" t="n">
        <v>1279.3</v>
      </c>
      <c r="H100" s="7" t="n">
        <v>1978.9</v>
      </c>
      <c r="J100" s="7" t="n">
        <v>2644.6</v>
      </c>
      <c r="L100" s="7" t="n">
        <v>4558.7</v>
      </c>
      <c r="N100" s="7" t="n">
        <v>3828.5</v>
      </c>
      <c r="P100" s="7" t="n">
        <v>1994.2</v>
      </c>
      <c r="R100" s="7" t="n">
        <v>1598.2</v>
      </c>
      <c r="T100" s="7" t="n">
        <v>1414.7</v>
      </c>
      <c r="V100" s="7" t="n">
        <v>5024.1</v>
      </c>
      <c r="X100" s="7" t="n">
        <v>1966.8</v>
      </c>
      <c r="Z100" s="7" t="n">
        <v>1994.6</v>
      </c>
      <c r="AB100" s="7" t="n">
        <v>30403</v>
      </c>
    </row>
    <row r="101">
      <c r="A101" s="4" t="inlineStr">
        <is>
          <t>报废损失</t>
        </is>
      </c>
      <c r="D101" s="7" t="n">
        <v>1035.6</v>
      </c>
      <c r="F101" s="7" t="n">
        <v>866.2</v>
      </c>
      <c r="H101" s="7" t="n">
        <v>864.5</v>
      </c>
      <c r="J101" s="7" t="n">
        <v>1635.6</v>
      </c>
      <c r="L101" s="7" t="n">
        <v>3253.2</v>
      </c>
      <c r="N101" s="7" t="n">
        <v>3142</v>
      </c>
      <c r="P101" s="7" t="n">
        <v>1339.2</v>
      </c>
      <c r="R101" s="7" t="n">
        <v>1581.3</v>
      </c>
      <c r="T101" s="7" t="n">
        <v>1643.5</v>
      </c>
      <c r="V101" s="7" t="n">
        <v>2621.1</v>
      </c>
      <c r="X101" s="7" t="n">
        <v>1297.8</v>
      </c>
      <c r="Z101" s="7" t="n">
        <v>1886.6</v>
      </c>
      <c r="AB101" s="7" t="n">
        <v>21166.6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109658.3</v>
      </c>
      <c r="D102" s="7" t="n">
        <v>93907.7</v>
      </c>
      <c r="E102" s="7" t="n">
        <v>131623.4</v>
      </c>
      <c r="F102" s="7" t="n">
        <v>64469.7</v>
      </c>
      <c r="G102" s="7" t="n">
        <v>117559.3</v>
      </c>
      <c r="H102" s="7" t="n">
        <v>89677</v>
      </c>
      <c r="I102" s="7" t="n">
        <v>109471.2</v>
      </c>
      <c r="J102" s="7" t="n">
        <v>79578.5</v>
      </c>
      <c r="K102" s="7" t="n">
        <v>108676.4</v>
      </c>
      <c r="L102" s="7" t="n">
        <v>114581.3</v>
      </c>
      <c r="M102" s="7" t="n">
        <v>131495.9</v>
      </c>
      <c r="N102" s="7" t="n">
        <v>148839.6</v>
      </c>
      <c r="O102" s="7" t="n">
        <v>121455.7</v>
      </c>
      <c r="P102" s="7" t="n">
        <v>146454.9</v>
      </c>
      <c r="Q102" s="7" t="n">
        <v>136090.2</v>
      </c>
      <c r="R102" s="7" t="n">
        <v>212041.1</v>
      </c>
      <c r="S102" s="7" t="n">
        <v>136305.8</v>
      </c>
      <c r="T102" s="7" t="n">
        <v>87673.5</v>
      </c>
      <c r="U102" s="7" t="n">
        <v>123936.3</v>
      </c>
      <c r="V102" s="7" t="n">
        <v>182565.5</v>
      </c>
      <c r="W102" s="7" t="n">
        <v>126374.5</v>
      </c>
      <c r="X102" s="7" t="n">
        <v>133201.6</v>
      </c>
      <c r="Y102" s="7" t="n">
        <v>111460.1</v>
      </c>
      <c r="Z102" s="7" t="n">
        <v>121521.3</v>
      </c>
      <c r="AA102" s="8" t="n">
        <v>1464107.1</v>
      </c>
      <c r="AB102" s="8" t="n">
        <v>1474511.7</v>
      </c>
    </row>
    <row r="103">
      <c r="A103" s="4" t="inlineStr">
        <is>
          <t>职工薪酬</t>
        </is>
      </c>
      <c r="D103" s="7" t="n">
        <v>43259.3</v>
      </c>
      <c r="F103" s="7" t="n">
        <v>31378.8</v>
      </c>
      <c r="H103" s="7" t="n">
        <v>42263.7</v>
      </c>
      <c r="J103" s="7" t="n">
        <v>42370.4</v>
      </c>
      <c r="L103" s="7" t="n">
        <v>47474.8</v>
      </c>
      <c r="N103" s="7" t="n">
        <v>71358.3</v>
      </c>
      <c r="P103" s="7" t="n">
        <v>75203.60000000001</v>
      </c>
      <c r="R103" s="7" t="n">
        <v>98246.5</v>
      </c>
      <c r="T103" s="7" t="n">
        <v>53266.6</v>
      </c>
      <c r="V103" s="7" t="n">
        <v>85614.39999999999</v>
      </c>
      <c r="X103" s="7" t="n">
        <v>59693.2</v>
      </c>
      <c r="Z103" s="7" t="n">
        <v>70425</v>
      </c>
      <c r="AB103" s="7" t="n">
        <v>720554.6</v>
      </c>
    </row>
    <row r="104">
      <c r="A104" s="4" t="inlineStr">
        <is>
          <t>工资</t>
        </is>
      </c>
      <c r="D104" s="7" t="n">
        <v>24763.7</v>
      </c>
      <c r="F104" s="7" t="n">
        <v>16548.6</v>
      </c>
      <c r="H104" s="7" t="n">
        <v>24114.7</v>
      </c>
      <c r="J104" s="7" t="n">
        <v>22267.6</v>
      </c>
      <c r="L104" s="7" t="n">
        <v>25807.8</v>
      </c>
      <c r="N104" s="7" t="n">
        <v>37226</v>
      </c>
      <c r="P104" s="7" t="n">
        <v>45044.7</v>
      </c>
      <c r="R104" s="7" t="n">
        <v>58688.2</v>
      </c>
      <c r="T104" s="7" t="n">
        <v>32378.1</v>
      </c>
      <c r="V104" s="7" t="n">
        <v>48086.3</v>
      </c>
      <c r="X104" s="7" t="n">
        <v>32373.6</v>
      </c>
      <c r="Z104" s="7" t="n">
        <v>43648.8</v>
      </c>
      <c r="AB104" s="7" t="n">
        <v>410948.1</v>
      </c>
    </row>
    <row r="105">
      <c r="A105" s="4" t="inlineStr">
        <is>
          <t>奖金及提成</t>
        </is>
      </c>
      <c r="D105" s="7" t="n">
        <v>7461.4</v>
      </c>
      <c r="F105" s="7" t="n">
        <v>7107.5</v>
      </c>
      <c r="H105" s="7" t="n">
        <v>7007.7</v>
      </c>
      <c r="J105" s="7" t="n">
        <v>9667.1</v>
      </c>
      <c r="L105" s="7" t="n">
        <v>9360.6</v>
      </c>
      <c r="N105" s="7" t="n">
        <v>14504.6</v>
      </c>
      <c r="P105" s="7" t="n">
        <v>11860.9</v>
      </c>
      <c r="R105" s="7" t="n">
        <v>20015.5</v>
      </c>
      <c r="T105" s="7" t="n">
        <v>9588.1</v>
      </c>
      <c r="V105" s="7" t="n">
        <v>12984.6</v>
      </c>
      <c r="X105" s="7" t="n">
        <v>11178.2</v>
      </c>
      <c r="Z105" s="7" t="n">
        <v>11793.1</v>
      </c>
      <c r="AB105" s="7" t="n">
        <v>132529.3</v>
      </c>
    </row>
    <row r="106">
      <c r="A106" s="4" t="inlineStr">
        <is>
          <t>社保</t>
        </is>
      </c>
      <c r="D106" s="7" t="n">
        <v>7870.7</v>
      </c>
      <c r="F106" s="7" t="n">
        <v>5171.3</v>
      </c>
      <c r="H106" s="7" t="n">
        <v>8005.6</v>
      </c>
      <c r="J106" s="7" t="n">
        <v>7516</v>
      </c>
      <c r="L106" s="7" t="n">
        <v>8595.9</v>
      </c>
      <c r="N106" s="7" t="n">
        <v>14204.4</v>
      </c>
      <c r="P106" s="7" t="n">
        <v>14044.6</v>
      </c>
      <c r="R106" s="7" t="n">
        <v>12206.8</v>
      </c>
      <c r="T106" s="7" t="n">
        <v>8240.5</v>
      </c>
      <c r="V106" s="7" t="n">
        <v>18886.7</v>
      </c>
      <c r="X106" s="7" t="n">
        <v>11622.4</v>
      </c>
      <c r="Z106" s="7" t="n">
        <v>10951</v>
      </c>
      <c r="AB106" s="7" t="n">
        <v>127315.9</v>
      </c>
    </row>
    <row r="107">
      <c r="A107" s="4" t="inlineStr">
        <is>
          <t>养老</t>
        </is>
      </c>
      <c r="D107" s="7" t="n">
        <v>575.4</v>
      </c>
      <c r="F107" s="7" t="n">
        <v>329.4</v>
      </c>
      <c r="H107" s="7" t="n">
        <v>607.8</v>
      </c>
      <c r="J107" s="7" t="n">
        <v>597.2</v>
      </c>
      <c r="L107" s="7" t="n">
        <v>533.8</v>
      </c>
      <c r="N107" s="7" t="n">
        <v>1035.7</v>
      </c>
      <c r="P107" s="7" t="n">
        <v>649.5</v>
      </c>
      <c r="R107" s="7" t="n">
        <v>1369.2</v>
      </c>
      <c r="T107" s="7" t="n">
        <v>511.9</v>
      </c>
      <c r="V107" s="7" t="n">
        <v>1324.9</v>
      </c>
      <c r="X107" s="7" t="n">
        <v>578.8</v>
      </c>
      <c r="Z107" s="7" t="n">
        <v>613.5</v>
      </c>
      <c r="AB107" s="7" t="n">
        <v>8727.1</v>
      </c>
    </row>
    <row r="108">
      <c r="A108" s="4" t="inlineStr">
        <is>
          <t>医疗</t>
        </is>
      </c>
      <c r="D108" s="7" t="n">
        <v>539.2</v>
      </c>
      <c r="F108" s="7" t="n">
        <v>506.1</v>
      </c>
      <c r="H108" s="7" t="n">
        <v>429.5</v>
      </c>
      <c r="J108" s="7" t="n">
        <v>434</v>
      </c>
      <c r="L108" s="7" t="n">
        <v>878.2</v>
      </c>
      <c r="N108" s="7" t="n">
        <v>1164.4</v>
      </c>
      <c r="P108" s="7" t="n">
        <v>1210.2</v>
      </c>
      <c r="R108" s="7" t="n">
        <v>1102.4</v>
      </c>
      <c r="T108" s="7" t="n">
        <v>679.2</v>
      </c>
      <c r="V108" s="7" t="n">
        <v>1267.6</v>
      </c>
      <c r="X108" s="7" t="n">
        <v>753.4</v>
      </c>
      <c r="Z108" s="7" t="n">
        <v>739.9</v>
      </c>
      <c r="AB108" s="7" t="n">
        <v>9704.1</v>
      </c>
    </row>
    <row r="109">
      <c r="A109" s="4" t="inlineStr">
        <is>
          <t>工伤</t>
        </is>
      </c>
      <c r="D109" s="7" t="n">
        <v>128.4</v>
      </c>
      <c r="F109" s="7" t="n">
        <v>87.2</v>
      </c>
      <c r="H109" s="7" t="n">
        <v>122.8</v>
      </c>
      <c r="J109" s="7" t="n">
        <v>109.2</v>
      </c>
      <c r="L109" s="7" t="n">
        <v>111.5</v>
      </c>
      <c r="N109" s="7" t="n">
        <v>137.9</v>
      </c>
      <c r="P109" s="7" t="n">
        <v>225.6</v>
      </c>
      <c r="R109" s="7" t="n">
        <v>270.6</v>
      </c>
      <c r="T109" s="7" t="n">
        <v>87.5</v>
      </c>
      <c r="V109" s="7" t="n">
        <v>169.6</v>
      </c>
      <c r="X109" s="7" t="n">
        <v>123.5</v>
      </c>
      <c r="Z109" s="7" t="n">
        <v>135.8</v>
      </c>
      <c r="AB109" s="7" t="n">
        <v>1709.6</v>
      </c>
    </row>
    <row r="110">
      <c r="A110" s="4" t="inlineStr">
        <is>
          <t>失业</t>
        </is>
      </c>
      <c r="D110" s="7" t="n">
        <v>506.3</v>
      </c>
      <c r="F110" s="7" t="n">
        <v>514.2</v>
      </c>
      <c r="H110" s="7" t="n">
        <v>488.5</v>
      </c>
      <c r="J110" s="7" t="n">
        <v>430.3</v>
      </c>
      <c r="L110" s="7" t="n">
        <v>634.9</v>
      </c>
      <c r="N110" s="7" t="n">
        <v>949.4</v>
      </c>
      <c r="P110" s="7" t="n">
        <v>705.2</v>
      </c>
      <c r="R110" s="7" t="n">
        <v>1537.7</v>
      </c>
      <c r="T110" s="7" t="n">
        <v>628.3</v>
      </c>
      <c r="V110" s="7" t="n">
        <v>1135.5</v>
      </c>
      <c r="X110" s="7" t="n">
        <v>843.3</v>
      </c>
      <c r="Z110" s="7" t="n">
        <v>995.3</v>
      </c>
      <c r="AB110" s="7" t="n">
        <v>9368.9</v>
      </c>
    </row>
    <row r="111">
      <c r="A111" s="4" t="inlineStr">
        <is>
          <t>生育</t>
        </is>
      </c>
      <c r="D111" s="7" t="n">
        <v>8</v>
      </c>
      <c r="F111" s="7" t="n">
        <v>3.6</v>
      </c>
      <c r="H111" s="7" t="n">
        <v>6.2</v>
      </c>
      <c r="J111" s="7" t="n">
        <v>6</v>
      </c>
      <c r="L111" s="7" t="n">
        <v>9.300000000000001</v>
      </c>
      <c r="N111" s="7" t="n">
        <v>9.300000000000001</v>
      </c>
      <c r="P111" s="7" t="n">
        <v>12.7</v>
      </c>
      <c r="R111" s="7" t="n">
        <v>10.9</v>
      </c>
      <c r="T111" s="7" t="n">
        <v>5.3</v>
      </c>
      <c r="V111" s="7" t="n">
        <v>11.8</v>
      </c>
      <c r="X111" s="7" t="n">
        <v>6.9</v>
      </c>
      <c r="Z111" s="7" t="n">
        <v>10.8</v>
      </c>
      <c r="AB111" s="7" t="n">
        <v>100.8</v>
      </c>
    </row>
    <row r="112">
      <c r="A112" s="4" t="inlineStr">
        <is>
          <t>公积金</t>
        </is>
      </c>
      <c r="D112" s="7" t="n">
        <v>89.3</v>
      </c>
      <c r="F112" s="7" t="n">
        <v>76.7</v>
      </c>
      <c r="H112" s="7" t="n">
        <v>118.2</v>
      </c>
      <c r="J112" s="7" t="n">
        <v>107.4</v>
      </c>
      <c r="L112" s="7" t="n">
        <v>104.3</v>
      </c>
      <c r="N112" s="7" t="n">
        <v>121.2</v>
      </c>
      <c r="P112" s="7" t="n">
        <v>143.3</v>
      </c>
      <c r="R112" s="7" t="n">
        <v>300.9</v>
      </c>
      <c r="T112" s="7" t="n">
        <v>116.9</v>
      </c>
      <c r="V112" s="7" t="n">
        <v>150.8</v>
      </c>
      <c r="X112" s="7" t="n">
        <v>154.8</v>
      </c>
      <c r="Z112" s="7" t="n">
        <v>134.5</v>
      </c>
      <c r="AB112" s="7" t="n">
        <v>1618.3</v>
      </c>
    </row>
    <row r="113">
      <c r="A113" s="4" t="inlineStr">
        <is>
          <t>工会经费</t>
        </is>
      </c>
      <c r="D113" s="7" t="n">
        <v>687.6</v>
      </c>
      <c r="F113" s="7" t="n">
        <v>474.5</v>
      </c>
      <c r="H113" s="7" t="n">
        <v>655.9</v>
      </c>
      <c r="J113" s="7" t="n">
        <v>617.6</v>
      </c>
      <c r="L113" s="7" t="n">
        <v>504.8</v>
      </c>
      <c r="N113" s="7" t="n">
        <v>898.5</v>
      </c>
      <c r="P113" s="7" t="n">
        <v>725.2</v>
      </c>
      <c r="R113" s="7" t="n">
        <v>1050.3</v>
      </c>
      <c r="T113" s="7" t="n">
        <v>641.2</v>
      </c>
      <c r="V113" s="7" t="n">
        <v>992.2</v>
      </c>
      <c r="X113" s="7" t="n">
        <v>1015.8</v>
      </c>
      <c r="Z113" s="7" t="n">
        <v>554.5</v>
      </c>
      <c r="AB113" s="7" t="n">
        <v>8818.1</v>
      </c>
    </row>
    <row r="114">
      <c r="A114" s="4" t="inlineStr">
        <is>
          <t>职工教育经费</t>
        </is>
      </c>
      <c r="D114" s="7" t="n">
        <v>568.3</v>
      </c>
      <c r="F114" s="7" t="n">
        <v>430.2</v>
      </c>
      <c r="H114" s="7" t="n">
        <v>409.6</v>
      </c>
      <c r="J114" s="7" t="n">
        <v>522.6</v>
      </c>
      <c r="L114" s="7" t="n">
        <v>598.1</v>
      </c>
      <c r="N114" s="7" t="n">
        <v>926.5</v>
      </c>
      <c r="P114" s="7" t="n">
        <v>595.1</v>
      </c>
      <c r="R114" s="7" t="n">
        <v>1415.8</v>
      </c>
      <c r="T114" s="7" t="n">
        <v>508.1</v>
      </c>
      <c r="V114" s="7" t="n">
        <v>1086.6</v>
      </c>
      <c r="X114" s="7" t="n">
        <v>634.9</v>
      </c>
      <c r="Z114" s="7" t="n">
        <v>555.6</v>
      </c>
      <c r="AB114" s="7" t="n">
        <v>8251.4</v>
      </c>
    </row>
    <row r="115">
      <c r="A115" s="4" t="inlineStr">
        <is>
          <t>福利费</t>
        </is>
      </c>
      <c r="D115" s="7" t="n">
        <v>1818.3</v>
      </c>
      <c r="F115" s="7" t="n">
        <v>1570</v>
      </c>
      <c r="H115" s="7" t="n">
        <v>1952</v>
      </c>
      <c r="J115" s="7" t="n">
        <v>1672.1</v>
      </c>
      <c r="L115" s="7" t="n">
        <v>2503.3</v>
      </c>
      <c r="N115" s="7" t="n">
        <v>3477.1</v>
      </c>
      <c r="P115" s="7" t="n">
        <v>2789.8</v>
      </c>
      <c r="R115" s="7" t="n">
        <v>4569</v>
      </c>
      <c r="T115" s="7" t="n">
        <v>1793.7</v>
      </c>
      <c r="V115" s="7" t="n">
        <v>3427.2</v>
      </c>
      <c r="X115" s="7" t="n">
        <v>2713.5</v>
      </c>
      <c r="Z115" s="7" t="n">
        <v>2787.5</v>
      </c>
      <c r="AB115" s="7" t="n">
        <v>31073.5</v>
      </c>
    </row>
    <row r="116">
      <c r="A116" s="4" t="inlineStr">
        <is>
          <t>职工房租</t>
        </is>
      </c>
      <c r="D116" s="7" t="n">
        <v>350</v>
      </c>
      <c r="F116" s="7" t="n">
        <v>325.3</v>
      </c>
      <c r="H116" s="7" t="n">
        <v>273.1</v>
      </c>
      <c r="J116" s="7" t="n">
        <v>260.4</v>
      </c>
      <c r="L116" s="7" t="n">
        <v>500.6</v>
      </c>
      <c r="N116" s="7" t="n">
        <v>725.3</v>
      </c>
      <c r="P116" s="7" t="n">
        <v>634.8</v>
      </c>
      <c r="R116" s="7" t="n">
        <v>973.2</v>
      </c>
      <c r="T116" s="7" t="n">
        <v>336.7</v>
      </c>
      <c r="V116" s="7" t="n">
        <v>869.6</v>
      </c>
      <c r="X116" s="7" t="n">
        <v>477.4</v>
      </c>
      <c r="Z116" s="7" t="n">
        <v>427.4</v>
      </c>
      <c r="AB116" s="7" t="n">
        <v>6153.8</v>
      </c>
    </row>
    <row r="117">
      <c r="A117" s="4" t="inlineStr">
        <is>
          <t>水电物业费</t>
        </is>
      </c>
      <c r="D117" s="7" t="n">
        <v>357.2</v>
      </c>
      <c r="F117" s="7" t="n">
        <v>271.9</v>
      </c>
      <c r="H117" s="7" t="n">
        <v>295.6</v>
      </c>
      <c r="J117" s="7" t="n">
        <v>284.8</v>
      </c>
      <c r="L117" s="7" t="n">
        <v>369.9</v>
      </c>
      <c r="N117" s="7" t="n">
        <v>575</v>
      </c>
      <c r="P117" s="7" t="n">
        <v>363.2</v>
      </c>
      <c r="R117" s="7" t="n">
        <v>572.4</v>
      </c>
      <c r="T117" s="7" t="n">
        <v>226.8</v>
      </c>
      <c r="V117" s="7" t="n">
        <v>456.3</v>
      </c>
      <c r="X117" s="7" t="n">
        <v>322.6</v>
      </c>
      <c r="Z117" s="7" t="n">
        <v>411.6</v>
      </c>
      <c r="AB117" s="7" t="n">
        <v>4507.3</v>
      </c>
    </row>
    <row r="118">
      <c r="A118" s="4" t="inlineStr">
        <is>
          <t>员工餐</t>
        </is>
      </c>
      <c r="D118" s="7" t="n">
        <v>431.4</v>
      </c>
      <c r="F118" s="7" t="n">
        <v>456.6</v>
      </c>
      <c r="H118" s="7" t="n">
        <v>732.5</v>
      </c>
      <c r="J118" s="7" t="n">
        <v>520.1</v>
      </c>
      <c r="L118" s="7" t="n">
        <v>859.7</v>
      </c>
      <c r="N118" s="7" t="n">
        <v>1080.1</v>
      </c>
      <c r="P118" s="7" t="n">
        <v>677.2</v>
      </c>
      <c r="R118" s="7" t="n">
        <v>1678.7</v>
      </c>
      <c r="T118" s="7" t="n">
        <v>714</v>
      </c>
      <c r="V118" s="7" t="n">
        <v>860.8</v>
      </c>
      <c r="X118" s="7" t="n">
        <v>1023.5</v>
      </c>
      <c r="Z118" s="7" t="n">
        <v>937.4</v>
      </c>
      <c r="AB118" s="7" t="n">
        <v>9972</v>
      </c>
    </row>
    <row r="119">
      <c r="A119" s="4" t="inlineStr">
        <is>
          <t>节日礼品</t>
        </is>
      </c>
      <c r="D119" s="7" t="n">
        <v>333.2</v>
      </c>
      <c r="F119" s="7" t="n">
        <v>241.6</v>
      </c>
      <c r="H119" s="7" t="n">
        <v>359</v>
      </c>
      <c r="J119" s="7" t="n">
        <v>267.9</v>
      </c>
      <c r="L119" s="7" t="n">
        <v>332</v>
      </c>
      <c r="N119" s="7" t="n">
        <v>498</v>
      </c>
      <c r="P119" s="7" t="n">
        <v>498.9</v>
      </c>
      <c r="R119" s="7" t="n">
        <v>573.6</v>
      </c>
      <c r="T119" s="7" t="n">
        <v>254.4</v>
      </c>
      <c r="V119" s="7" t="n">
        <v>614.5</v>
      </c>
      <c r="X119" s="7" t="n">
        <v>483.1</v>
      </c>
      <c r="Z119" s="7" t="n">
        <v>478.4</v>
      </c>
      <c r="AB119" s="7" t="n">
        <v>4934.6</v>
      </c>
    </row>
    <row r="120">
      <c r="A120" s="4" t="inlineStr">
        <is>
          <t>生日礼品</t>
        </is>
      </c>
      <c r="D120" s="7" t="n">
        <v>51.3</v>
      </c>
      <c r="F120" s="7" t="n">
        <v>37.2</v>
      </c>
      <c r="H120" s="7" t="n">
        <v>80</v>
      </c>
      <c r="J120" s="7" t="n">
        <v>72.3</v>
      </c>
      <c r="L120" s="7" t="n">
        <v>94.40000000000001</v>
      </c>
      <c r="N120" s="7" t="n">
        <v>90.7</v>
      </c>
      <c r="P120" s="7" t="n">
        <v>108.7</v>
      </c>
      <c r="R120" s="7" t="n">
        <v>123.1</v>
      </c>
      <c r="T120" s="7" t="n">
        <v>44.8</v>
      </c>
      <c r="V120" s="7" t="n">
        <v>159</v>
      </c>
      <c r="X120" s="7" t="n">
        <v>75.5</v>
      </c>
      <c r="Z120" s="7" t="n">
        <v>66.90000000000001</v>
      </c>
      <c r="AB120" s="7" t="n">
        <v>1003.9</v>
      </c>
    </row>
    <row r="121">
      <c r="A121" s="4" t="inlineStr">
        <is>
          <t>体检</t>
        </is>
      </c>
      <c r="D121" s="7" t="n">
        <v>120.1</v>
      </c>
      <c r="F121" s="7" t="n">
        <v>82.7</v>
      </c>
      <c r="H121" s="7" t="n">
        <v>88.7</v>
      </c>
      <c r="J121" s="7" t="n">
        <v>112.8</v>
      </c>
      <c r="L121" s="7" t="n">
        <v>123</v>
      </c>
      <c r="N121" s="7" t="n">
        <v>219.2</v>
      </c>
      <c r="P121" s="7" t="n">
        <v>210.7</v>
      </c>
      <c r="R121" s="7" t="n">
        <v>280.2</v>
      </c>
      <c r="T121" s="7" t="n">
        <v>71</v>
      </c>
      <c r="V121" s="7" t="n">
        <v>215.9</v>
      </c>
      <c r="X121" s="7" t="n">
        <v>125.7</v>
      </c>
      <c r="Z121" s="7" t="n">
        <v>180.5</v>
      </c>
      <c r="AB121" s="7" t="n">
        <v>1830.5</v>
      </c>
    </row>
    <row r="122">
      <c r="A122" s="4" t="inlineStr">
        <is>
          <t>其他福利支出</t>
        </is>
      </c>
      <c r="D122" s="7" t="n">
        <v>175.1</v>
      </c>
      <c r="F122" s="7" t="n">
        <v>154.7</v>
      </c>
      <c r="H122" s="7" t="n">
        <v>123.1</v>
      </c>
      <c r="J122" s="7" t="n">
        <v>153.8</v>
      </c>
      <c r="L122" s="7" t="n">
        <v>223.7</v>
      </c>
      <c r="N122" s="7" t="n">
        <v>288.8</v>
      </c>
      <c r="P122" s="7" t="n">
        <v>296.3</v>
      </c>
      <c r="R122" s="7" t="n">
        <v>367.8</v>
      </c>
      <c r="T122" s="7" t="n">
        <v>146</v>
      </c>
      <c r="V122" s="7" t="n">
        <v>251.1</v>
      </c>
      <c r="X122" s="7" t="n">
        <v>205.7</v>
      </c>
      <c r="Z122" s="7" t="n">
        <v>285.3</v>
      </c>
      <c r="AB122" s="7" t="n">
        <v>2671.4</v>
      </c>
    </row>
    <row r="123">
      <c r="A123" s="4" t="inlineStr">
        <is>
          <t>招聘费</t>
        </is>
      </c>
      <c r="D123" s="7" t="n">
        <v>350.2</v>
      </c>
      <c r="F123" s="7" t="n">
        <v>260.7</v>
      </c>
      <c r="H123" s="7" t="n">
        <v>328.3</v>
      </c>
      <c r="J123" s="7" t="n">
        <v>341.9</v>
      </c>
      <c r="L123" s="7" t="n">
        <v>565</v>
      </c>
      <c r="N123" s="7" t="n">
        <v>487.5</v>
      </c>
      <c r="P123" s="7" t="n">
        <v>653.8</v>
      </c>
      <c r="R123" s="7" t="n">
        <v>851.9</v>
      </c>
      <c r="T123" s="7" t="n">
        <v>379.1</v>
      </c>
      <c r="V123" s="7" t="n">
        <v>912.9</v>
      </c>
      <c r="X123" s="7" t="n">
        <v>503.1</v>
      </c>
      <c r="Z123" s="7" t="n">
        <v>528.7</v>
      </c>
      <c r="AB123" s="7" t="n">
        <v>6163.1</v>
      </c>
    </row>
    <row r="124">
      <c r="A124" s="4" t="inlineStr">
        <is>
          <t>办公费</t>
        </is>
      </c>
      <c r="D124" s="7" t="n">
        <v>2325.7</v>
      </c>
      <c r="F124" s="7" t="n">
        <v>2453.5</v>
      </c>
      <c r="H124" s="7" t="n">
        <v>2848.1</v>
      </c>
      <c r="J124" s="7" t="n">
        <v>2124.6</v>
      </c>
      <c r="L124" s="7" t="n">
        <v>2887.1</v>
      </c>
      <c r="N124" s="7" t="n">
        <v>3621.2</v>
      </c>
      <c r="P124" s="7" t="n">
        <v>5504.2</v>
      </c>
      <c r="R124" s="7" t="n">
        <v>6262.6</v>
      </c>
      <c r="T124" s="7" t="n">
        <v>3095.4</v>
      </c>
      <c r="V124" s="7" t="n">
        <v>4359.7</v>
      </c>
      <c r="X124" s="7" t="n">
        <v>3657.2</v>
      </c>
      <c r="Z124" s="7" t="n">
        <v>2888</v>
      </c>
      <c r="AB124" s="7" t="n">
        <v>42027.3</v>
      </c>
    </row>
    <row r="125">
      <c r="A125" s="4" t="inlineStr">
        <is>
          <t>市内交通费</t>
        </is>
      </c>
      <c r="D125" s="7" t="n">
        <v>317.3</v>
      </c>
      <c r="F125" s="7" t="n">
        <v>160.9</v>
      </c>
      <c r="H125" s="7" t="n">
        <v>184.6</v>
      </c>
      <c r="J125" s="7" t="n">
        <v>258.9</v>
      </c>
      <c r="L125" s="7" t="n">
        <v>245.3</v>
      </c>
      <c r="N125" s="7" t="n">
        <v>446.1</v>
      </c>
      <c r="P125" s="7" t="n">
        <v>419.3</v>
      </c>
      <c r="R125" s="7" t="n">
        <v>730.9</v>
      </c>
      <c r="T125" s="7" t="n">
        <v>190.1</v>
      </c>
      <c r="V125" s="7" t="n">
        <v>436.5</v>
      </c>
      <c r="X125" s="7" t="n">
        <v>271.4</v>
      </c>
      <c r="Z125" s="7" t="n">
        <v>418.2</v>
      </c>
      <c r="AB125" s="7" t="n">
        <v>4079.5</v>
      </c>
    </row>
    <row r="126">
      <c r="A126" s="4" t="inlineStr">
        <is>
          <t>差旅费</t>
        </is>
      </c>
      <c r="D126" s="7" t="n">
        <v>7172.8</v>
      </c>
      <c r="F126" s="7" t="n">
        <v>4491.6</v>
      </c>
      <c r="H126" s="7" t="n">
        <v>4471.4</v>
      </c>
      <c r="J126" s="7" t="n">
        <v>3776.7</v>
      </c>
      <c r="L126" s="7" t="n">
        <v>6123.1</v>
      </c>
      <c r="N126" s="7" t="n">
        <v>10309.9</v>
      </c>
      <c r="P126" s="7" t="n">
        <v>9847.700000000001</v>
      </c>
      <c r="R126" s="7" t="n">
        <v>11976.1</v>
      </c>
      <c r="T126" s="7" t="n">
        <v>5058.1</v>
      </c>
      <c r="V126" s="7" t="n">
        <v>10712.5</v>
      </c>
      <c r="X126" s="7" t="n">
        <v>9048</v>
      </c>
      <c r="Z126" s="7" t="n">
        <v>5778.3</v>
      </c>
      <c r="AB126" s="7" t="n">
        <v>88766.2</v>
      </c>
    </row>
    <row r="127">
      <c r="A127" s="4" t="inlineStr">
        <is>
          <t>交通费</t>
        </is>
      </c>
      <c r="D127" s="7" t="n">
        <v>300.9</v>
      </c>
      <c r="F127" s="7" t="n">
        <v>195.8</v>
      </c>
      <c r="H127" s="7" t="n">
        <v>263.9</v>
      </c>
      <c r="J127" s="7" t="n">
        <v>271.3</v>
      </c>
      <c r="L127" s="7" t="n">
        <v>222.8</v>
      </c>
      <c r="N127" s="7" t="n">
        <v>369.4</v>
      </c>
      <c r="P127" s="7" t="n">
        <v>353.6</v>
      </c>
      <c r="R127" s="7" t="n">
        <v>486.1</v>
      </c>
      <c r="T127" s="7" t="n">
        <v>236.9</v>
      </c>
      <c r="V127" s="7" t="n">
        <v>532.1</v>
      </c>
      <c r="X127" s="7" t="n">
        <v>367.9</v>
      </c>
      <c r="Z127" s="7" t="n">
        <v>246.9</v>
      </c>
      <c r="AB127" s="7" t="n">
        <v>3847.6</v>
      </c>
    </row>
    <row r="128">
      <c r="A128" s="4" t="inlineStr">
        <is>
          <t>住宿费</t>
        </is>
      </c>
      <c r="D128" s="7" t="n">
        <v>96.40000000000001</v>
      </c>
      <c r="F128" s="7" t="n">
        <v>94.59999999999999</v>
      </c>
      <c r="H128" s="7" t="n">
        <v>139.2</v>
      </c>
      <c r="J128" s="7" t="n">
        <v>77.40000000000001</v>
      </c>
      <c r="L128" s="7" t="n">
        <v>132.9</v>
      </c>
      <c r="N128" s="7" t="n">
        <v>204</v>
      </c>
      <c r="P128" s="7" t="n">
        <v>238.1</v>
      </c>
      <c r="R128" s="7" t="n">
        <v>319.6</v>
      </c>
      <c r="T128" s="7" t="n">
        <v>93.5</v>
      </c>
      <c r="V128" s="7" t="n">
        <v>292</v>
      </c>
      <c r="X128" s="7" t="n">
        <v>134.2</v>
      </c>
      <c r="Z128" s="7" t="n">
        <v>197.5</v>
      </c>
      <c r="AB128" s="7" t="n">
        <v>2019.4</v>
      </c>
    </row>
    <row r="129">
      <c r="A129" s="4" t="inlineStr">
        <is>
          <t>餐补</t>
        </is>
      </c>
      <c r="D129" s="7" t="n">
        <v>69.59999999999999</v>
      </c>
      <c r="F129" s="7" t="n">
        <v>46.6</v>
      </c>
      <c r="H129" s="7" t="n">
        <v>51.2</v>
      </c>
      <c r="J129" s="7" t="n">
        <v>43.2</v>
      </c>
      <c r="L129" s="7" t="n">
        <v>77.8</v>
      </c>
      <c r="N129" s="7" t="n">
        <v>113.3</v>
      </c>
      <c r="P129" s="7" t="n">
        <v>102.1</v>
      </c>
      <c r="R129" s="7" t="n">
        <v>134.2</v>
      </c>
      <c r="T129" s="7" t="n">
        <v>66.3</v>
      </c>
      <c r="V129" s="7" t="n">
        <v>115.9</v>
      </c>
      <c r="X129" s="7" t="n">
        <v>84.2</v>
      </c>
      <c r="Z129" s="7" t="n">
        <v>97.40000000000001</v>
      </c>
      <c r="AB129" s="7" t="n">
        <v>1001.8</v>
      </c>
    </row>
    <row r="130">
      <c r="A130" s="4" t="inlineStr">
        <is>
          <t>交通补助</t>
        </is>
      </c>
      <c r="D130" s="7" t="n">
        <v>129.4</v>
      </c>
      <c r="F130" s="7" t="n">
        <v>145.9</v>
      </c>
      <c r="H130" s="7" t="n">
        <v>134.2</v>
      </c>
      <c r="J130" s="7" t="n">
        <v>139.3</v>
      </c>
      <c r="L130" s="7" t="n">
        <v>231.4</v>
      </c>
      <c r="N130" s="7" t="n">
        <v>213.8</v>
      </c>
      <c r="P130" s="7" t="n">
        <v>253.4</v>
      </c>
      <c r="R130" s="7" t="n">
        <v>366</v>
      </c>
      <c r="T130" s="7" t="n">
        <v>133.6</v>
      </c>
      <c r="V130" s="7" t="n">
        <v>428.8</v>
      </c>
      <c r="X130" s="7" t="n">
        <v>182.3</v>
      </c>
      <c r="Z130" s="7" t="n">
        <v>279.4</v>
      </c>
      <c r="AB130" s="7" t="n">
        <v>2637.5</v>
      </c>
    </row>
    <row r="131">
      <c r="A131" s="4" t="inlineStr">
        <is>
          <t>通讯补助</t>
        </is>
      </c>
      <c r="D131" s="7" t="n">
        <v>137.5</v>
      </c>
      <c r="F131" s="7" t="n">
        <v>93.8</v>
      </c>
      <c r="H131" s="7" t="n">
        <v>104.3</v>
      </c>
      <c r="J131" s="7" t="n">
        <v>100.4</v>
      </c>
      <c r="L131" s="7" t="n">
        <v>131.9</v>
      </c>
      <c r="N131" s="7" t="n">
        <v>207.9</v>
      </c>
      <c r="P131" s="7" t="n">
        <v>172.7</v>
      </c>
      <c r="R131" s="7" t="n">
        <v>287.9</v>
      </c>
      <c r="T131" s="7" t="n">
        <v>130.3</v>
      </c>
      <c r="V131" s="7" t="n">
        <v>230.3</v>
      </c>
      <c r="X131" s="7" t="n">
        <v>134.9</v>
      </c>
      <c r="Z131" s="7" t="n">
        <v>173</v>
      </c>
      <c r="AB131" s="7" t="n">
        <v>1904.9</v>
      </c>
    </row>
    <row r="132">
      <c r="A132" s="4" t="inlineStr">
        <is>
          <t>招待费</t>
        </is>
      </c>
      <c r="D132" s="7" t="n">
        <v>4317.4</v>
      </c>
      <c r="F132" s="7" t="n">
        <v>3004.4</v>
      </c>
      <c r="H132" s="7" t="n">
        <v>2766.5</v>
      </c>
      <c r="J132" s="7" t="n">
        <v>3059.7</v>
      </c>
      <c r="L132" s="7" t="n">
        <v>3563.8</v>
      </c>
      <c r="N132" s="7" t="n">
        <v>5225.6</v>
      </c>
      <c r="P132" s="7" t="n">
        <v>4734.5</v>
      </c>
      <c r="R132" s="7" t="n">
        <v>9044.1</v>
      </c>
      <c r="T132" s="7" t="n">
        <v>3959</v>
      </c>
      <c r="V132" s="7" t="n">
        <v>7022.7</v>
      </c>
      <c r="X132" s="7" t="n">
        <v>4192.6</v>
      </c>
      <c r="Z132" s="7" t="n">
        <v>3621.6</v>
      </c>
      <c r="AB132" s="7" t="n">
        <v>54511.9</v>
      </c>
    </row>
    <row r="133">
      <c r="A133" s="4" t="inlineStr">
        <is>
          <t>通讯费</t>
        </is>
      </c>
      <c r="D133" s="7" t="n">
        <v>99.59999999999999</v>
      </c>
      <c r="F133" s="7" t="n">
        <v>57.1</v>
      </c>
      <c r="H133" s="7" t="n">
        <v>93.7</v>
      </c>
      <c r="J133" s="7" t="n">
        <v>101.9</v>
      </c>
      <c r="L133" s="7" t="n">
        <v>140.1</v>
      </c>
      <c r="N133" s="7" t="n">
        <v>210.3</v>
      </c>
      <c r="P133" s="7" t="n">
        <v>134.9</v>
      </c>
      <c r="R133" s="7" t="n">
        <v>290</v>
      </c>
      <c r="T133" s="7" t="n">
        <v>132.9</v>
      </c>
      <c r="V133" s="7" t="n">
        <v>273.9</v>
      </c>
      <c r="X133" s="7" t="n">
        <v>166.4</v>
      </c>
      <c r="Z133" s="7" t="n">
        <v>177.5</v>
      </c>
      <c r="AB133" s="7" t="n">
        <v>1878.3</v>
      </c>
    </row>
    <row r="134">
      <c r="A134" s="4" t="inlineStr">
        <is>
          <t>网络费</t>
        </is>
      </c>
      <c r="D134" s="7" t="n">
        <v>402</v>
      </c>
      <c r="F134" s="7" t="n">
        <v>445.7</v>
      </c>
      <c r="H134" s="7" t="n">
        <v>492.8</v>
      </c>
      <c r="J134" s="7" t="n">
        <v>540</v>
      </c>
      <c r="L134" s="7" t="n">
        <v>614</v>
      </c>
      <c r="N134" s="7" t="n">
        <v>900.5</v>
      </c>
      <c r="P134" s="7" t="n">
        <v>1069.4</v>
      </c>
      <c r="R134" s="7" t="n">
        <v>1043.3</v>
      </c>
      <c r="T134" s="7" t="n">
        <v>554.7</v>
      </c>
      <c r="V134" s="7" t="n">
        <v>785.6</v>
      </c>
      <c r="X134" s="7" t="n">
        <v>602.4</v>
      </c>
      <c r="Z134" s="7" t="n">
        <v>772</v>
      </c>
      <c r="AB134" s="7" t="n">
        <v>8222.4</v>
      </c>
    </row>
    <row r="135">
      <c r="A135" s="4" t="inlineStr">
        <is>
          <t>修理费</t>
        </is>
      </c>
      <c r="D135" s="7" t="n">
        <v>70.3</v>
      </c>
      <c r="F135" s="7" t="n">
        <v>34.4</v>
      </c>
      <c r="H135" s="7" t="n">
        <v>79.90000000000001</v>
      </c>
      <c r="J135" s="7" t="n">
        <v>55.2</v>
      </c>
      <c r="L135" s="7" t="n">
        <v>59.4</v>
      </c>
      <c r="N135" s="7" t="n">
        <v>120.5</v>
      </c>
      <c r="P135" s="7" t="n">
        <v>85.3</v>
      </c>
      <c r="R135" s="7" t="n">
        <v>108.1</v>
      </c>
      <c r="T135" s="7" t="n">
        <v>44.8</v>
      </c>
      <c r="V135" s="7" t="n">
        <v>167.5</v>
      </c>
      <c r="X135" s="7" t="n">
        <v>111.3</v>
      </c>
      <c r="Z135" s="7" t="n">
        <v>90.40000000000001</v>
      </c>
      <c r="AB135" s="7" t="n">
        <v>1027.1</v>
      </c>
    </row>
    <row r="136">
      <c r="A136" s="4" t="inlineStr">
        <is>
          <t>车辆费</t>
        </is>
      </c>
      <c r="D136" s="7" t="n">
        <v>111.7</v>
      </c>
      <c r="F136" s="7" t="n">
        <v>100.1</v>
      </c>
      <c r="H136" s="7" t="n">
        <v>79.90000000000001</v>
      </c>
      <c r="J136" s="7" t="n">
        <v>108.9</v>
      </c>
      <c r="L136" s="7" t="n">
        <v>130.2</v>
      </c>
      <c r="N136" s="7" t="n">
        <v>152.4</v>
      </c>
      <c r="P136" s="7" t="n">
        <v>157.2</v>
      </c>
      <c r="R136" s="7" t="n">
        <v>273.7</v>
      </c>
      <c r="T136" s="7" t="n">
        <v>93.5</v>
      </c>
      <c r="V136" s="7" t="n">
        <v>260.7</v>
      </c>
      <c r="X136" s="7" t="n">
        <v>213</v>
      </c>
      <c r="Z136" s="7" t="n">
        <v>159</v>
      </c>
      <c r="AB136" s="7" t="n">
        <v>1840.3</v>
      </c>
    </row>
    <row r="137">
      <c r="A137" s="4" t="inlineStr">
        <is>
          <t>租赁费</t>
        </is>
      </c>
      <c r="D137" s="7" t="n">
        <v>3742.7</v>
      </c>
      <c r="F137" s="7" t="n">
        <v>3064.8</v>
      </c>
      <c r="H137" s="7" t="n">
        <v>5318.7</v>
      </c>
      <c r="J137" s="7" t="n">
        <v>3193.3</v>
      </c>
      <c r="L137" s="7" t="n">
        <v>6685.9</v>
      </c>
      <c r="N137" s="7" t="n">
        <v>8635.6</v>
      </c>
      <c r="P137" s="7" t="n">
        <v>5400.3</v>
      </c>
      <c r="R137" s="7" t="n">
        <v>10291</v>
      </c>
      <c r="T137" s="7" t="n">
        <v>4473.1</v>
      </c>
      <c r="V137" s="7" t="n">
        <v>8756.9</v>
      </c>
      <c r="X137" s="7" t="n">
        <v>7949.3</v>
      </c>
      <c r="Z137" s="7" t="n">
        <v>7010.4</v>
      </c>
      <c r="AB137" s="7" t="n">
        <v>74522</v>
      </c>
    </row>
    <row r="138">
      <c r="A138" s="4" t="inlineStr">
        <is>
          <t>能源费</t>
        </is>
      </c>
      <c r="D138" s="7" t="n">
        <v>1299.6</v>
      </c>
      <c r="F138" s="7" t="n">
        <v>1161.8</v>
      </c>
      <c r="H138" s="7" t="n">
        <v>1307.3</v>
      </c>
      <c r="J138" s="7" t="n">
        <v>1305.4</v>
      </c>
      <c r="L138" s="7" t="n">
        <v>1845.9</v>
      </c>
      <c r="N138" s="7" t="n">
        <v>2439.8</v>
      </c>
      <c r="P138" s="7" t="n">
        <v>2252.3</v>
      </c>
      <c r="R138" s="7" t="n">
        <v>3389.2</v>
      </c>
      <c r="T138" s="7" t="n">
        <v>1162</v>
      </c>
      <c r="V138" s="7" t="n">
        <v>2859.6</v>
      </c>
      <c r="X138" s="7" t="n">
        <v>2111.6</v>
      </c>
      <c r="Z138" s="7" t="n">
        <v>2136.7</v>
      </c>
      <c r="AB138" s="7" t="n">
        <v>23271.2</v>
      </c>
    </row>
    <row r="139">
      <c r="A139" s="4" t="inlineStr">
        <is>
          <t>水费</t>
        </is>
      </c>
      <c r="D139" s="7" t="n">
        <v>288.1</v>
      </c>
      <c r="F139" s="7" t="n">
        <v>172.9</v>
      </c>
      <c r="H139" s="7" t="n">
        <v>259</v>
      </c>
      <c r="J139" s="7" t="n">
        <v>261.6</v>
      </c>
      <c r="L139" s="7" t="n">
        <v>391.3</v>
      </c>
      <c r="N139" s="7" t="n">
        <v>496.3</v>
      </c>
      <c r="P139" s="7" t="n">
        <v>450.1</v>
      </c>
      <c r="R139" s="7" t="n">
        <v>657.7</v>
      </c>
      <c r="T139" s="7" t="n">
        <v>188.9</v>
      </c>
      <c r="V139" s="7" t="n">
        <v>474.6</v>
      </c>
      <c r="X139" s="7" t="n">
        <v>302.1</v>
      </c>
      <c r="Z139" s="7" t="n">
        <v>334.9</v>
      </c>
      <c r="AB139" s="7" t="n">
        <v>4277.5</v>
      </c>
    </row>
    <row r="140">
      <c r="A140" s="4" t="inlineStr">
        <is>
          <t>电费</t>
        </is>
      </c>
      <c r="D140" s="7" t="n">
        <v>454.8</v>
      </c>
      <c r="F140" s="7" t="n">
        <v>523.8</v>
      </c>
      <c r="H140" s="7" t="n">
        <v>461.9</v>
      </c>
      <c r="J140" s="7" t="n">
        <v>553.1</v>
      </c>
      <c r="L140" s="7" t="n">
        <v>851.8</v>
      </c>
      <c r="N140" s="7" t="n">
        <v>773</v>
      </c>
      <c r="P140" s="7" t="n">
        <v>774.3</v>
      </c>
      <c r="R140" s="7" t="n">
        <v>1429.5</v>
      </c>
      <c r="T140" s="7" t="n">
        <v>421.4</v>
      </c>
      <c r="V140" s="7" t="n">
        <v>1183.5</v>
      </c>
      <c r="X140" s="7" t="n">
        <v>847.1</v>
      </c>
      <c r="Z140" s="7" t="n">
        <v>986.3</v>
      </c>
      <c r="AB140" s="7" t="n">
        <v>9260.5</v>
      </c>
    </row>
    <row r="141">
      <c r="A141" s="4" t="inlineStr">
        <is>
          <t>燃气费</t>
        </is>
      </c>
      <c r="D141" s="7" t="n">
        <v>174.7</v>
      </c>
      <c r="F141" s="7" t="n">
        <v>168.7</v>
      </c>
      <c r="H141" s="7" t="n">
        <v>233.6</v>
      </c>
      <c r="J141" s="7" t="n">
        <v>134.5</v>
      </c>
      <c r="L141" s="7" t="n">
        <v>258.8</v>
      </c>
      <c r="N141" s="7" t="n">
        <v>383.5</v>
      </c>
      <c r="P141" s="7" t="n">
        <v>388.7</v>
      </c>
      <c r="R141" s="7" t="n">
        <v>614.2</v>
      </c>
      <c r="T141" s="7" t="n">
        <v>143</v>
      </c>
      <c r="V141" s="7" t="n">
        <v>531.8</v>
      </c>
      <c r="X141" s="7" t="n">
        <v>301.9</v>
      </c>
      <c r="Z141" s="7" t="n">
        <v>259.3</v>
      </c>
      <c r="AB141" s="7" t="n">
        <v>3592.7</v>
      </c>
    </row>
    <row r="142">
      <c r="A142" s="4" t="inlineStr">
        <is>
          <t>蒸汽费</t>
        </is>
      </c>
      <c r="D142" s="7" t="n">
        <v>382</v>
      </c>
      <c r="F142" s="7" t="n">
        <v>296.4</v>
      </c>
      <c r="H142" s="7" t="n">
        <v>352.8</v>
      </c>
      <c r="J142" s="7" t="n">
        <v>356.2</v>
      </c>
      <c r="L142" s="7" t="n">
        <v>344</v>
      </c>
      <c r="N142" s="7" t="n">
        <v>787</v>
      </c>
      <c r="P142" s="7" t="n">
        <v>639.2</v>
      </c>
      <c r="R142" s="7" t="n">
        <v>687.8</v>
      </c>
      <c r="T142" s="7" t="n">
        <v>408.7</v>
      </c>
      <c r="V142" s="7" t="n">
        <v>669.7</v>
      </c>
      <c r="X142" s="7" t="n">
        <v>660.5</v>
      </c>
      <c r="Z142" s="7" t="n">
        <v>556.2</v>
      </c>
      <c r="AB142" s="7" t="n">
        <v>6140.5</v>
      </c>
    </row>
    <row r="143">
      <c r="A143" s="4" t="inlineStr">
        <is>
          <t>物业费</t>
        </is>
      </c>
      <c r="D143" s="7" t="n">
        <v>278.1</v>
      </c>
      <c r="F143" s="7" t="n">
        <v>186.8</v>
      </c>
      <c r="H143" s="7" t="n">
        <v>268.2</v>
      </c>
      <c r="J143" s="7" t="n">
        <v>244.2</v>
      </c>
      <c r="L143" s="7" t="n">
        <v>269</v>
      </c>
      <c r="N143" s="7" t="n">
        <v>584.4</v>
      </c>
      <c r="P143" s="7" t="n">
        <v>426.8</v>
      </c>
      <c r="R143" s="7" t="n">
        <v>787.1</v>
      </c>
      <c r="T143" s="7" t="n">
        <v>291.6</v>
      </c>
      <c r="V143" s="7" t="n">
        <v>572.9</v>
      </c>
      <c r="X143" s="7" t="n">
        <v>358.8</v>
      </c>
      <c r="Z143" s="7" t="n">
        <v>408.1</v>
      </c>
      <c r="AB143" s="7" t="n">
        <v>4676</v>
      </c>
    </row>
    <row r="144">
      <c r="A144" s="4" t="inlineStr">
        <is>
          <t>劳动保护费</t>
        </is>
      </c>
      <c r="D144" s="7" t="n">
        <v>121.3</v>
      </c>
      <c r="F144" s="7" t="n">
        <v>97.5</v>
      </c>
      <c r="H144" s="7" t="n">
        <v>125</v>
      </c>
      <c r="J144" s="7" t="n">
        <v>73.5</v>
      </c>
      <c r="L144" s="7" t="n">
        <v>125.1</v>
      </c>
      <c r="N144" s="7" t="n">
        <v>160.2</v>
      </c>
      <c r="P144" s="7" t="n">
        <v>217.7</v>
      </c>
      <c r="R144" s="7" t="n">
        <v>232.8</v>
      </c>
      <c r="T144" s="7" t="n">
        <v>95.3</v>
      </c>
      <c r="V144" s="7" t="n">
        <v>171.2</v>
      </c>
      <c r="X144" s="7" t="n">
        <v>190.2</v>
      </c>
      <c r="Z144" s="7" t="n">
        <v>148.4</v>
      </c>
      <c r="AB144" s="7" t="n">
        <v>1758.2</v>
      </c>
    </row>
    <row r="145">
      <c r="A145" s="4" t="inlineStr">
        <is>
          <t>顾问费</t>
        </is>
      </c>
      <c r="D145" s="7" t="n">
        <v>51.9</v>
      </c>
      <c r="F145" s="7" t="n">
        <v>32.8</v>
      </c>
      <c r="H145" s="7" t="n">
        <v>59.3</v>
      </c>
      <c r="J145" s="7" t="n">
        <v>51.9</v>
      </c>
      <c r="L145" s="7" t="n">
        <v>87.40000000000001</v>
      </c>
      <c r="N145" s="7" t="n">
        <v>73.3</v>
      </c>
      <c r="P145" s="7" t="n">
        <v>81</v>
      </c>
      <c r="R145" s="7" t="n">
        <v>139</v>
      </c>
      <c r="T145" s="7" t="n">
        <v>59.7</v>
      </c>
      <c r="V145" s="7" t="n">
        <v>121.5</v>
      </c>
      <c r="X145" s="7" t="n">
        <v>58</v>
      </c>
      <c r="Z145" s="7" t="n">
        <v>72.59999999999999</v>
      </c>
      <c r="AB145" s="7" t="n">
        <v>888.4</v>
      </c>
    </row>
    <row r="146">
      <c r="A146" s="4" t="inlineStr">
        <is>
          <t>快递费</t>
        </is>
      </c>
      <c r="D146" s="7" t="n">
        <v>143.4</v>
      </c>
      <c r="F146" s="7" t="n">
        <v>153.2</v>
      </c>
      <c r="H146" s="7" t="n">
        <v>125</v>
      </c>
      <c r="J146" s="7" t="n">
        <v>133.8</v>
      </c>
      <c r="L146" s="7" t="n">
        <v>220.5</v>
      </c>
      <c r="N146" s="7" t="n">
        <v>336.9</v>
      </c>
      <c r="P146" s="7" t="n">
        <v>271</v>
      </c>
      <c r="R146" s="7" t="n">
        <v>436.6</v>
      </c>
      <c r="T146" s="7" t="n">
        <v>222.3</v>
      </c>
      <c r="V146" s="7" t="n">
        <v>263.1</v>
      </c>
      <c r="X146" s="7" t="n">
        <v>250.5</v>
      </c>
      <c r="Z146" s="7" t="n">
        <v>254.3</v>
      </c>
      <c r="AB146" s="7" t="n">
        <v>2810.6</v>
      </c>
    </row>
    <row r="147">
      <c r="A147" s="4" t="inlineStr">
        <is>
          <t>诉讼费</t>
        </is>
      </c>
      <c r="D147" s="7" t="n">
        <v>309.5</v>
      </c>
      <c r="F147" s="7" t="n">
        <v>211.3</v>
      </c>
      <c r="H147" s="7" t="n">
        <v>301.2</v>
      </c>
      <c r="J147" s="7" t="n">
        <v>223.5</v>
      </c>
      <c r="L147" s="7" t="n">
        <v>403.2</v>
      </c>
      <c r="N147" s="7" t="n">
        <v>403.3</v>
      </c>
      <c r="P147" s="7" t="n">
        <v>423.9</v>
      </c>
      <c r="R147" s="7" t="n">
        <v>721.2</v>
      </c>
      <c r="T147" s="7" t="n">
        <v>290.4</v>
      </c>
      <c r="V147" s="7" t="n">
        <v>547.1</v>
      </c>
      <c r="X147" s="7" t="n">
        <v>315.3</v>
      </c>
      <c r="Z147" s="7" t="n">
        <v>388.1</v>
      </c>
      <c r="AB147" s="7" t="n">
        <v>4538</v>
      </c>
    </row>
    <row r="148">
      <c r="A148" s="4" t="inlineStr">
        <is>
          <t>会员费</t>
        </is>
      </c>
      <c r="D148" s="7" t="n">
        <v>583.9</v>
      </c>
      <c r="F148" s="7" t="n">
        <v>410</v>
      </c>
      <c r="H148" s="7" t="n">
        <v>362.3</v>
      </c>
      <c r="J148" s="7" t="n">
        <v>409.3</v>
      </c>
      <c r="L148" s="7" t="n">
        <v>526.8</v>
      </c>
      <c r="N148" s="7" t="n">
        <v>763.9</v>
      </c>
      <c r="P148" s="7" t="n">
        <v>976.1</v>
      </c>
      <c r="R148" s="7" t="n">
        <v>1011.2</v>
      </c>
      <c r="T148" s="7" t="n">
        <v>433.4</v>
      </c>
      <c r="V148" s="7" t="n">
        <v>1008</v>
      </c>
      <c r="X148" s="7" t="n">
        <v>830.9</v>
      </c>
      <c r="Z148" s="7" t="n">
        <v>488.8</v>
      </c>
      <c r="AB148" s="7" t="n">
        <v>7804.6</v>
      </c>
    </row>
    <row r="149">
      <c r="A149" s="4" t="inlineStr">
        <is>
          <t>广告宣传费</t>
        </is>
      </c>
      <c r="D149" s="7" t="n">
        <v>2615.8</v>
      </c>
      <c r="F149" s="7" t="n">
        <v>2254.8</v>
      </c>
      <c r="H149" s="7" t="n">
        <v>2744.7</v>
      </c>
      <c r="J149" s="7" t="n">
        <v>2051.1</v>
      </c>
      <c r="L149" s="7" t="n">
        <v>3058</v>
      </c>
      <c r="N149" s="7" t="n">
        <v>5248.4</v>
      </c>
      <c r="P149" s="7" t="n">
        <v>3514.9</v>
      </c>
      <c r="R149" s="7" t="n">
        <v>6895.6</v>
      </c>
      <c r="T149" s="7" t="n">
        <v>3113.4</v>
      </c>
      <c r="V149" s="7" t="n">
        <v>6712</v>
      </c>
      <c r="X149" s="7" t="n">
        <v>3580.5</v>
      </c>
      <c r="Z149" s="7" t="n">
        <v>2925.8</v>
      </c>
      <c r="AB149" s="7" t="n">
        <v>44715</v>
      </c>
    </row>
    <row r="150">
      <c r="A150" s="4" t="inlineStr">
        <is>
          <t>会务费</t>
        </is>
      </c>
      <c r="D150" s="7" t="n">
        <v>664.9</v>
      </c>
      <c r="F150" s="7" t="n">
        <v>282.1</v>
      </c>
      <c r="H150" s="7" t="n">
        <v>385.1</v>
      </c>
      <c r="J150" s="7" t="n">
        <v>425.3</v>
      </c>
      <c r="L150" s="7" t="n">
        <v>589</v>
      </c>
      <c r="N150" s="7" t="n">
        <v>712.8</v>
      </c>
      <c r="P150" s="7" t="n">
        <v>851.6</v>
      </c>
      <c r="R150" s="7" t="n">
        <v>856.1</v>
      </c>
      <c r="T150" s="7" t="n">
        <v>578.4</v>
      </c>
      <c r="V150" s="7" t="n">
        <v>807.8</v>
      </c>
      <c r="X150" s="7" t="n">
        <v>745.1</v>
      </c>
      <c r="Z150" s="7" t="n">
        <v>567.1</v>
      </c>
      <c r="AB150" s="7" t="n">
        <v>7465.3</v>
      </c>
    </row>
    <row r="151">
      <c r="A151" s="4" t="inlineStr">
        <is>
          <t>装修费</t>
        </is>
      </c>
      <c r="D151" s="7" t="n">
        <v>372.2</v>
      </c>
      <c r="F151" s="7" t="n">
        <v>154</v>
      </c>
      <c r="H151" s="7" t="n">
        <v>375.1</v>
      </c>
      <c r="J151" s="7" t="n">
        <v>283.3</v>
      </c>
      <c r="L151" s="7" t="n">
        <v>318.1</v>
      </c>
      <c r="N151" s="7" t="n">
        <v>558.1</v>
      </c>
      <c r="P151" s="7" t="n">
        <v>362</v>
      </c>
      <c r="R151" s="7" t="n">
        <v>715.5</v>
      </c>
      <c r="T151" s="7" t="n">
        <v>328.9</v>
      </c>
      <c r="V151" s="7" t="n">
        <v>637.9</v>
      </c>
      <c r="X151" s="7" t="n">
        <v>382.6</v>
      </c>
      <c r="Z151" s="7" t="n">
        <v>438.1</v>
      </c>
      <c r="AB151" s="7" t="n">
        <v>4925.8</v>
      </c>
    </row>
    <row r="152">
      <c r="A152" s="4" t="inlineStr">
        <is>
          <t>推广费</t>
        </is>
      </c>
      <c r="D152" s="7" t="n">
        <v>350.1</v>
      </c>
      <c r="F152" s="7" t="n">
        <v>229.5</v>
      </c>
      <c r="H152" s="7" t="n">
        <v>212.7</v>
      </c>
      <c r="J152" s="7" t="n">
        <v>224.6</v>
      </c>
      <c r="L152" s="7" t="n">
        <v>459.4</v>
      </c>
      <c r="N152" s="7" t="n">
        <v>389.3</v>
      </c>
      <c r="P152" s="7" t="n">
        <v>359.2</v>
      </c>
      <c r="R152" s="7" t="n">
        <v>840.5</v>
      </c>
      <c r="T152" s="7" t="n">
        <v>319.5</v>
      </c>
      <c r="V152" s="7" t="n">
        <v>708.4</v>
      </c>
      <c r="X152" s="7" t="n">
        <v>301.4</v>
      </c>
      <c r="Z152" s="7" t="n">
        <v>312.5</v>
      </c>
      <c r="AB152" s="7" t="n">
        <v>4707.1</v>
      </c>
    </row>
    <row r="153">
      <c r="A153" s="4" t="inlineStr">
        <is>
          <t>展会费</t>
        </is>
      </c>
      <c r="D153" s="7" t="n">
        <v>473.8</v>
      </c>
      <c r="F153" s="7" t="n">
        <v>332.1</v>
      </c>
      <c r="H153" s="7" t="n">
        <v>376.5</v>
      </c>
      <c r="J153" s="7" t="n">
        <v>374.3</v>
      </c>
      <c r="L153" s="7" t="n">
        <v>623.9</v>
      </c>
      <c r="N153" s="7" t="n">
        <v>701.7</v>
      </c>
      <c r="P153" s="7" t="n">
        <v>709.5</v>
      </c>
      <c r="R153" s="7" t="n">
        <v>671.3</v>
      </c>
      <c r="T153" s="7" t="n">
        <v>500.5</v>
      </c>
      <c r="V153" s="7" t="n">
        <v>744.1</v>
      </c>
      <c r="X153" s="7" t="n">
        <v>519.8</v>
      </c>
      <c r="Z153" s="7" t="n">
        <v>560.4</v>
      </c>
      <c r="AB153" s="7" t="n">
        <v>6587.9</v>
      </c>
    </row>
    <row r="154">
      <c r="A154" s="4" t="inlineStr">
        <is>
          <t>设计费</t>
        </is>
      </c>
      <c r="D154" s="7" t="n">
        <v>385</v>
      </c>
      <c r="F154" s="7" t="n">
        <v>312.3</v>
      </c>
      <c r="H154" s="7" t="n">
        <v>462.4</v>
      </c>
      <c r="J154" s="7" t="n">
        <v>483.2</v>
      </c>
      <c r="L154" s="7" t="n">
        <v>746.1</v>
      </c>
      <c r="N154" s="7" t="n">
        <v>718.3</v>
      </c>
      <c r="P154" s="7" t="n">
        <v>767.6</v>
      </c>
      <c r="R154" s="7" t="n">
        <v>1068.5</v>
      </c>
      <c r="T154" s="7" t="n">
        <v>435.8</v>
      </c>
      <c r="V154" s="7" t="n">
        <v>1040.3</v>
      </c>
      <c r="X154" s="7" t="n">
        <v>477</v>
      </c>
      <c r="Z154" s="7" t="n">
        <v>471.4</v>
      </c>
      <c r="AB154" s="7" t="n">
        <v>7367.9</v>
      </c>
    </row>
    <row r="155">
      <c r="A155" s="4" t="inlineStr">
        <is>
          <t>折旧费</t>
        </is>
      </c>
      <c r="D155" s="7" t="n">
        <v>3693.4</v>
      </c>
      <c r="F155" s="7" t="n">
        <v>2446.4</v>
      </c>
      <c r="H155" s="7" t="n">
        <v>3894.3</v>
      </c>
      <c r="J155" s="7" t="n">
        <v>2294.9</v>
      </c>
      <c r="L155" s="7" t="n">
        <v>3519</v>
      </c>
      <c r="N155" s="7" t="n">
        <v>6847.1</v>
      </c>
      <c r="P155" s="7" t="n">
        <v>5604.2</v>
      </c>
      <c r="R155" s="7" t="n">
        <v>10459</v>
      </c>
      <c r="T155" s="7" t="n">
        <v>2713.4</v>
      </c>
      <c r="V155" s="7" t="n">
        <v>6123.7</v>
      </c>
      <c r="X155" s="7" t="n">
        <v>6667.3</v>
      </c>
      <c r="Z155" s="7" t="n">
        <v>4286.3</v>
      </c>
      <c r="AB155" s="7" t="n">
        <v>58549</v>
      </c>
    </row>
    <row r="156">
      <c r="A156" s="4" t="inlineStr">
        <is>
          <t>认证费</t>
        </is>
      </c>
      <c r="D156" s="7" t="n">
        <v>464.7</v>
      </c>
      <c r="F156" s="7" t="n">
        <v>433</v>
      </c>
      <c r="H156" s="7" t="n">
        <v>413.6</v>
      </c>
      <c r="J156" s="7" t="n">
        <v>500.7</v>
      </c>
      <c r="L156" s="7" t="n">
        <v>800.2</v>
      </c>
      <c r="N156" s="7" t="n">
        <v>1203.7</v>
      </c>
      <c r="P156" s="7" t="n">
        <v>963.3</v>
      </c>
      <c r="R156" s="7" t="n">
        <v>1694.1</v>
      </c>
      <c r="T156" s="7" t="n">
        <v>663.5</v>
      </c>
      <c r="V156" s="7" t="n">
        <v>1072.4</v>
      </c>
      <c r="X156" s="7" t="n">
        <v>745.2</v>
      </c>
      <c r="Z156" s="7" t="n">
        <v>558.4</v>
      </c>
      <c r="AB156" s="7" t="n">
        <v>9512.799999999999</v>
      </c>
    </row>
    <row r="157">
      <c r="A157" s="4" t="inlineStr">
        <is>
          <t>样品费</t>
        </is>
      </c>
      <c r="D157" s="7" t="n">
        <v>1474.5</v>
      </c>
      <c r="F157" s="7" t="n">
        <v>1504.6</v>
      </c>
      <c r="H157" s="7" t="n">
        <v>1381.2</v>
      </c>
      <c r="J157" s="7" t="n">
        <v>1983.3</v>
      </c>
      <c r="L157" s="7" t="n">
        <v>2444.6</v>
      </c>
      <c r="N157" s="7" t="n">
        <v>2862.8</v>
      </c>
      <c r="P157" s="7" t="n">
        <v>2889.9</v>
      </c>
      <c r="R157" s="7" t="n">
        <v>3771.2</v>
      </c>
      <c r="T157" s="7" t="n">
        <v>1675.1</v>
      </c>
      <c r="V157" s="7" t="n">
        <v>2946.4</v>
      </c>
      <c r="X157" s="7" t="n">
        <v>3365.6</v>
      </c>
      <c r="Z157" s="7" t="n">
        <v>1965</v>
      </c>
      <c r="AB157" s="7" t="n">
        <v>28264.2</v>
      </c>
    </row>
    <row r="158">
      <c r="A158" s="4" t="inlineStr">
        <is>
          <t>劳务费</t>
        </is>
      </c>
      <c r="D158" s="7" t="n">
        <v>337.2</v>
      </c>
      <c r="F158" s="7" t="n">
        <v>213.5</v>
      </c>
      <c r="H158" s="7" t="n">
        <v>387.2</v>
      </c>
      <c r="J158" s="7" t="n">
        <v>348.3</v>
      </c>
      <c r="L158" s="7" t="n">
        <v>441</v>
      </c>
      <c r="N158" s="7" t="n">
        <v>426.5</v>
      </c>
      <c r="P158" s="7" t="n">
        <v>584.5</v>
      </c>
      <c r="R158" s="7" t="n">
        <v>836.8</v>
      </c>
      <c r="T158" s="7" t="n">
        <v>326.8</v>
      </c>
      <c r="V158" s="7" t="n">
        <v>747.1</v>
      </c>
      <c r="X158" s="7" t="n">
        <v>590.9</v>
      </c>
      <c r="Z158" s="7" t="n">
        <v>434.5</v>
      </c>
      <c r="AB158" s="7" t="n">
        <v>5674.3</v>
      </c>
    </row>
    <row r="159">
      <c r="A159" s="4" t="inlineStr">
        <is>
          <t>销售佣金</t>
        </is>
      </c>
      <c r="D159" s="7" t="n">
        <v>390</v>
      </c>
      <c r="F159" s="7" t="n">
        <v>226.2</v>
      </c>
      <c r="H159" s="7" t="n">
        <v>266.2</v>
      </c>
      <c r="J159" s="7" t="n">
        <v>372.3</v>
      </c>
      <c r="L159" s="7" t="n">
        <v>376.5</v>
      </c>
      <c r="N159" s="7" t="n">
        <v>486.8</v>
      </c>
      <c r="P159" s="7" t="n">
        <v>403.6</v>
      </c>
      <c r="R159" s="7" t="n">
        <v>995.1</v>
      </c>
      <c r="T159" s="7" t="n">
        <v>440.1</v>
      </c>
      <c r="V159" s="7" t="n">
        <v>623.9</v>
      </c>
      <c r="X159" s="7" t="n">
        <v>593.3</v>
      </c>
      <c r="Z159" s="7" t="n">
        <v>395.5</v>
      </c>
      <c r="AB159" s="7" t="n">
        <v>5569.5</v>
      </c>
    </row>
    <row r="160">
      <c r="A160" s="4" t="inlineStr">
        <is>
          <t>检测费</t>
        </is>
      </c>
      <c r="D160" s="7" t="n">
        <v>122.6</v>
      </c>
      <c r="F160" s="7" t="n">
        <v>87.09999999999999</v>
      </c>
      <c r="H160" s="7" t="n">
        <v>71.7</v>
      </c>
      <c r="J160" s="7" t="n">
        <v>99.3</v>
      </c>
      <c r="L160" s="7" t="n">
        <v>117</v>
      </c>
      <c r="N160" s="7" t="n">
        <v>177.7</v>
      </c>
      <c r="P160" s="7" t="n">
        <v>202.4</v>
      </c>
      <c r="R160" s="7" t="n">
        <v>290.8</v>
      </c>
      <c r="T160" s="7" t="n">
        <v>70.8</v>
      </c>
      <c r="V160" s="7" t="n">
        <v>224.9</v>
      </c>
      <c r="X160" s="7" t="n">
        <v>142.8</v>
      </c>
      <c r="Z160" s="7" t="n">
        <v>166.1</v>
      </c>
      <c r="AB160" s="7" t="n">
        <v>1773.2</v>
      </c>
    </row>
    <row r="161">
      <c r="A161" s="4" t="inlineStr">
        <is>
          <t>质量赔偿</t>
        </is>
      </c>
      <c r="D161" s="7" t="n">
        <v>425.7</v>
      </c>
      <c r="F161" s="7" t="n">
        <v>264.6</v>
      </c>
      <c r="H161" s="7" t="n">
        <v>299</v>
      </c>
      <c r="J161" s="7" t="n">
        <v>388.6</v>
      </c>
      <c r="L161" s="7" t="n">
        <v>491.3</v>
      </c>
      <c r="N161" s="7" t="n">
        <v>641.8</v>
      </c>
      <c r="P161" s="7" t="n">
        <v>521.2</v>
      </c>
      <c r="R161" s="7" t="n">
        <v>808</v>
      </c>
      <c r="T161" s="7" t="n">
        <v>328.5</v>
      </c>
      <c r="V161" s="7" t="n">
        <v>846.8</v>
      </c>
      <c r="X161" s="7" t="n">
        <v>577.3</v>
      </c>
      <c r="Z161" s="7" t="n">
        <v>409.4</v>
      </c>
      <c r="AB161" s="7" t="n">
        <v>6002.2</v>
      </c>
    </row>
    <row r="162">
      <c r="A162" s="4" t="inlineStr">
        <is>
          <t>保险费</t>
        </is>
      </c>
      <c r="D162" s="7" t="n">
        <v>317.9</v>
      </c>
      <c r="F162" s="7" t="n">
        <v>274</v>
      </c>
      <c r="H162" s="7" t="n">
        <v>312</v>
      </c>
      <c r="J162" s="7" t="n">
        <v>343.9</v>
      </c>
      <c r="L162" s="7" t="n">
        <v>389.8</v>
      </c>
      <c r="N162" s="7" t="n">
        <v>538.3</v>
      </c>
      <c r="P162" s="7" t="n">
        <v>722.1</v>
      </c>
      <c r="R162" s="7" t="n">
        <v>728.6</v>
      </c>
      <c r="T162" s="7" t="n">
        <v>309.4</v>
      </c>
      <c r="V162" s="7" t="n">
        <v>525.1</v>
      </c>
      <c r="X162" s="7" t="n">
        <v>377.7</v>
      </c>
      <c r="Z162" s="7" t="n">
        <v>419.9</v>
      </c>
      <c r="AB162" s="7" t="n">
        <v>5258.7</v>
      </c>
    </row>
    <row r="163">
      <c r="A163" s="4" t="inlineStr">
        <is>
          <t>清洁费</t>
        </is>
      </c>
      <c r="D163" s="7" t="n">
        <v>38.9</v>
      </c>
      <c r="F163" s="7" t="n">
        <v>16.1</v>
      </c>
      <c r="H163" s="7" t="n">
        <v>27.2</v>
      </c>
      <c r="J163" s="7" t="n">
        <v>20.6</v>
      </c>
      <c r="L163" s="7" t="n">
        <v>38</v>
      </c>
      <c r="N163" s="7" t="n">
        <v>45.1</v>
      </c>
      <c r="P163" s="7" t="n">
        <v>49.3</v>
      </c>
      <c r="R163" s="7" t="n">
        <v>84.09999999999999</v>
      </c>
      <c r="T163" s="7" t="n">
        <v>32.5</v>
      </c>
      <c r="V163" s="7" t="n">
        <v>57.1</v>
      </c>
      <c r="X163" s="7" t="n">
        <v>35.8</v>
      </c>
      <c r="Z163" s="7" t="n">
        <v>40.1</v>
      </c>
      <c r="AB163" s="7" t="n">
        <v>484.8</v>
      </c>
    </row>
    <row r="164">
      <c r="A164" s="4" t="inlineStr">
        <is>
          <t>低值易耗品</t>
        </is>
      </c>
      <c r="D164" s="7" t="n">
        <v>373.3</v>
      </c>
      <c r="F164" s="7" t="n">
        <v>254.8</v>
      </c>
      <c r="H164" s="7" t="n">
        <v>238.6</v>
      </c>
      <c r="J164" s="7" t="n">
        <v>323.9</v>
      </c>
      <c r="L164" s="7" t="n">
        <v>388.2</v>
      </c>
      <c r="N164" s="7" t="n">
        <v>471.8</v>
      </c>
      <c r="P164" s="7" t="n">
        <v>447.1</v>
      </c>
      <c r="R164" s="7" t="n">
        <v>870.4</v>
      </c>
      <c r="T164" s="7" t="n">
        <v>317.1</v>
      </c>
      <c r="V164" s="7" t="n">
        <v>519</v>
      </c>
      <c r="X164" s="7" t="n">
        <v>403.6</v>
      </c>
      <c r="Z164" s="7" t="n">
        <v>523</v>
      </c>
      <c r="AB164" s="7" t="n">
        <v>5130.8</v>
      </c>
    </row>
    <row r="165">
      <c r="A165" s="4" t="inlineStr">
        <is>
          <t>物料消耗</t>
        </is>
      </c>
      <c r="D165" s="7" t="n">
        <v>112.6</v>
      </c>
      <c r="F165" s="7" t="n">
        <v>85.3</v>
      </c>
      <c r="H165" s="7" t="n">
        <v>121.9</v>
      </c>
      <c r="J165" s="7" t="n">
        <v>88.40000000000001</v>
      </c>
      <c r="L165" s="7" t="n">
        <v>118.3</v>
      </c>
      <c r="N165" s="7" t="n">
        <v>164.7</v>
      </c>
      <c r="P165" s="7" t="n">
        <v>146.3</v>
      </c>
      <c r="R165" s="7" t="n">
        <v>331.2</v>
      </c>
      <c r="T165" s="7" t="n">
        <v>130</v>
      </c>
      <c r="V165" s="7" t="n">
        <v>205.2</v>
      </c>
      <c r="X165" s="7" t="n">
        <v>192.8</v>
      </c>
      <c r="Z165" s="7" t="n">
        <v>202.5</v>
      </c>
      <c r="AB165" s="7" t="n">
        <v>1899.2</v>
      </c>
    </row>
    <row r="166">
      <c r="A166" s="4" t="inlineStr">
        <is>
          <t>盘盈盘亏</t>
        </is>
      </c>
      <c r="D166" s="7" t="n">
        <v>577.3</v>
      </c>
      <c r="F166" s="7" t="n">
        <v>299.4</v>
      </c>
      <c r="H166" s="7" t="n">
        <v>567.7</v>
      </c>
      <c r="J166" s="7" t="n">
        <v>522.3</v>
      </c>
      <c r="L166" s="7" t="n">
        <v>593</v>
      </c>
      <c r="N166" s="7" t="n">
        <v>1194.3</v>
      </c>
      <c r="P166" s="7" t="n">
        <v>697.7</v>
      </c>
      <c r="R166" s="7" t="n">
        <v>1604</v>
      </c>
      <c r="T166" s="7" t="n">
        <v>556.9</v>
      </c>
      <c r="V166" s="7" t="n">
        <v>1156.2</v>
      </c>
      <c r="X166" s="7" t="n">
        <v>604.4</v>
      </c>
      <c r="Z166" s="7" t="n">
        <v>934.6</v>
      </c>
      <c r="AB166" s="7" t="n">
        <v>9307.799999999999</v>
      </c>
    </row>
    <row r="167">
      <c r="A167" s="4" t="inlineStr">
        <is>
          <t>平台服务费</t>
        </is>
      </c>
      <c r="D167" s="7" t="n">
        <v>238.2</v>
      </c>
      <c r="F167" s="7" t="n">
        <v>135.6</v>
      </c>
      <c r="H167" s="7" t="n">
        <v>206.8</v>
      </c>
      <c r="J167" s="7" t="n">
        <v>219.4</v>
      </c>
      <c r="L167" s="7" t="n">
        <v>288.6</v>
      </c>
      <c r="N167" s="7" t="n">
        <v>380.2</v>
      </c>
      <c r="P167" s="7" t="n">
        <v>457.9</v>
      </c>
      <c r="R167" s="7" t="n">
        <v>759.3</v>
      </c>
      <c r="T167" s="7" t="n">
        <v>284.3</v>
      </c>
      <c r="V167" s="7" t="n">
        <v>515.1</v>
      </c>
      <c r="X167" s="7" t="n">
        <v>449.4</v>
      </c>
      <c r="Z167" s="7" t="n">
        <v>348.9</v>
      </c>
      <c r="AB167" s="7" t="n">
        <v>4283.7</v>
      </c>
    </row>
    <row r="168">
      <c r="A168" s="4" t="inlineStr">
        <is>
          <t>无形资产摊销</t>
        </is>
      </c>
      <c r="D168" s="7" t="n">
        <v>64.90000000000001</v>
      </c>
      <c r="F168" s="7" t="n">
        <v>32.8</v>
      </c>
      <c r="H168" s="7" t="n">
        <v>57</v>
      </c>
      <c r="J168" s="7" t="n">
        <v>52.3</v>
      </c>
      <c r="L168" s="7" t="n">
        <v>66.8</v>
      </c>
      <c r="N168" s="7" t="n">
        <v>121.1</v>
      </c>
      <c r="P168" s="7" t="n">
        <v>97.3</v>
      </c>
      <c r="R168" s="7" t="n">
        <v>161.1</v>
      </c>
      <c r="T168" s="7" t="n">
        <v>56.4</v>
      </c>
      <c r="V168" s="7" t="n">
        <v>112.7</v>
      </c>
      <c r="X168" s="7" t="n">
        <v>70.7</v>
      </c>
      <c r="Z168" s="7" t="n">
        <v>95.90000000000001</v>
      </c>
      <c r="AB168" s="7" t="n">
        <v>989</v>
      </c>
    </row>
    <row r="169">
      <c r="A169" s="4" t="inlineStr">
        <is>
          <t>研发材料</t>
        </is>
      </c>
      <c r="D169" s="7" t="n">
        <v>268</v>
      </c>
      <c r="F169" s="7" t="n">
        <v>220.6</v>
      </c>
      <c r="H169" s="7" t="n">
        <v>286</v>
      </c>
      <c r="J169" s="7" t="n">
        <v>288.1</v>
      </c>
      <c r="L169" s="7" t="n">
        <v>465.7</v>
      </c>
      <c r="N169" s="7" t="n">
        <v>600.8</v>
      </c>
      <c r="P169" s="7" t="n">
        <v>697.4</v>
      </c>
      <c r="R169" s="7" t="n">
        <v>882.2</v>
      </c>
      <c r="T169" s="7" t="n">
        <v>324.3</v>
      </c>
      <c r="V169" s="7" t="n">
        <v>904.4</v>
      </c>
      <c r="X169" s="7" t="n">
        <v>465.4</v>
      </c>
      <c r="Z169" s="7" t="n">
        <v>500.1</v>
      </c>
      <c r="AB169" s="7" t="n">
        <v>5903</v>
      </c>
    </row>
    <row r="170">
      <c r="A170" s="4" t="inlineStr">
        <is>
          <t>项目名称</t>
        </is>
      </c>
      <c r="D170" s="7" t="n">
        <v>415.8</v>
      </c>
      <c r="F170" s="7" t="n">
        <v>270.8</v>
      </c>
      <c r="H170" s="7" t="n">
        <v>259.5</v>
      </c>
      <c r="J170" s="7" t="n">
        <v>305.9</v>
      </c>
      <c r="L170" s="7" t="n">
        <v>446.1</v>
      </c>
      <c r="N170" s="7" t="n">
        <v>554.5</v>
      </c>
      <c r="P170" s="7" t="n">
        <v>578</v>
      </c>
      <c r="R170" s="7" t="n">
        <v>814.7</v>
      </c>
      <c r="T170" s="7" t="n">
        <v>277.9</v>
      </c>
      <c r="V170" s="7" t="n">
        <v>866.6</v>
      </c>
      <c r="X170" s="7" t="n">
        <v>565.3</v>
      </c>
      <c r="Z170" s="7" t="n">
        <v>365.8</v>
      </c>
      <c r="AB170" s="7" t="n">
        <v>5720.9</v>
      </c>
    </row>
    <row r="171">
      <c r="A171" s="4" t="inlineStr">
        <is>
          <t>研发费</t>
        </is>
      </c>
      <c r="D171" s="7" t="n">
        <v>444.2</v>
      </c>
      <c r="F171" s="7" t="n">
        <v>281.6</v>
      </c>
      <c r="H171" s="7" t="n">
        <v>419.6</v>
      </c>
      <c r="J171" s="7" t="n">
        <v>456.7</v>
      </c>
      <c r="L171" s="7" t="n">
        <v>424.4</v>
      </c>
      <c r="N171" s="7" t="n">
        <v>602.7</v>
      </c>
      <c r="P171" s="7" t="n">
        <v>585.8</v>
      </c>
      <c r="R171" s="7" t="n">
        <v>1236.5</v>
      </c>
      <c r="T171" s="7" t="n">
        <v>472.1</v>
      </c>
      <c r="V171" s="7" t="n">
        <v>740.7</v>
      </c>
      <c r="X171" s="7" t="n">
        <v>707.8</v>
      </c>
      <c r="Z171" s="7" t="n">
        <v>696.2</v>
      </c>
      <c r="AB171" s="7" t="n">
        <v>7068.3</v>
      </c>
    </row>
    <row r="172">
      <c r="A172" s="4" t="inlineStr">
        <is>
          <t>残保金</t>
        </is>
      </c>
      <c r="D172" s="7" t="n">
        <v>468.1</v>
      </c>
      <c r="F172" s="7" t="n">
        <v>297.3</v>
      </c>
      <c r="H172" s="7" t="n">
        <v>379.3</v>
      </c>
      <c r="J172" s="7" t="n">
        <v>362.4</v>
      </c>
      <c r="L172" s="7" t="n">
        <v>617.2</v>
      </c>
      <c r="N172" s="7" t="n">
        <v>781</v>
      </c>
      <c r="P172" s="7" t="n">
        <v>793.9</v>
      </c>
      <c r="R172" s="7" t="n">
        <v>835.8</v>
      </c>
      <c r="T172" s="7" t="n">
        <v>433.7</v>
      </c>
      <c r="V172" s="7" t="n">
        <v>729.2</v>
      </c>
      <c r="X172" s="7" t="n">
        <v>592.2</v>
      </c>
      <c r="Z172" s="7" t="n">
        <v>676.6</v>
      </c>
      <c r="AB172" s="7" t="n">
        <v>6966.7</v>
      </c>
    </row>
    <row r="173">
      <c r="A173" s="4" t="inlineStr">
        <is>
          <t>环保费</t>
        </is>
      </c>
      <c r="D173" s="7" t="n">
        <v>550.8</v>
      </c>
      <c r="F173" s="7" t="n">
        <v>229.2</v>
      </c>
      <c r="H173" s="7" t="n">
        <v>342.9</v>
      </c>
      <c r="J173" s="7" t="n">
        <v>373.5</v>
      </c>
      <c r="L173" s="7" t="n">
        <v>585.5</v>
      </c>
      <c r="N173" s="7" t="n">
        <v>824.5</v>
      </c>
      <c r="P173" s="7" t="n">
        <v>759.2</v>
      </c>
      <c r="R173" s="7" t="n">
        <v>1277.4</v>
      </c>
      <c r="T173" s="7" t="n">
        <v>515</v>
      </c>
      <c r="V173" s="7" t="n">
        <v>1068.6</v>
      </c>
      <c r="X173" s="7" t="n">
        <v>772.4</v>
      </c>
      <c r="Z173" s="7" t="n">
        <v>520</v>
      </c>
      <c r="AB173" s="7" t="n">
        <v>7819</v>
      </c>
    </row>
    <row r="174">
      <c r="A174" s="4" t="inlineStr">
        <is>
          <t>报废损失</t>
        </is>
      </c>
      <c r="D174" s="7" t="n">
        <v>360.6</v>
      </c>
      <c r="F174" s="7" t="n">
        <v>284.3</v>
      </c>
      <c r="H174" s="7" t="n">
        <v>308.6</v>
      </c>
      <c r="J174" s="7" t="n">
        <v>211.3</v>
      </c>
      <c r="L174" s="7" t="n">
        <v>287.8</v>
      </c>
      <c r="N174" s="7" t="n">
        <v>473.1</v>
      </c>
      <c r="P174" s="7" t="n">
        <v>544.1</v>
      </c>
      <c r="R174" s="7" t="n">
        <v>660.9</v>
      </c>
      <c r="T174" s="7" t="n">
        <v>397.5</v>
      </c>
      <c r="V174" s="7" t="n">
        <v>812.2</v>
      </c>
      <c r="X174" s="7" t="n">
        <v>560.1</v>
      </c>
      <c r="Z174" s="7" t="n">
        <v>505.6</v>
      </c>
      <c r="AB174" s="7" t="n">
        <v>5406.1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63176</v>
      </c>
      <c r="D175" s="7" t="n">
        <v>43562.9</v>
      </c>
      <c r="E175" s="7" t="n">
        <v>64884.1</v>
      </c>
      <c r="F175" s="7" t="n">
        <v>28755.4</v>
      </c>
      <c r="G175" s="7" t="n">
        <v>51935.6</v>
      </c>
      <c r="H175" s="7" t="n">
        <v>52865.7</v>
      </c>
      <c r="I175" s="7" t="n">
        <v>51368.9</v>
      </c>
      <c r="J175" s="7" t="n">
        <v>89653.89999999999</v>
      </c>
      <c r="K175" s="7" t="n">
        <v>54256</v>
      </c>
      <c r="L175" s="7" t="n">
        <v>67047.39999999999</v>
      </c>
      <c r="M175" s="7" t="n">
        <v>67300.8</v>
      </c>
      <c r="N175" s="7" t="n">
        <v>62648</v>
      </c>
      <c r="O175" s="7" t="n">
        <v>58589.3</v>
      </c>
      <c r="P175" s="7" t="n">
        <v>83239.89999999999</v>
      </c>
      <c r="Q175" s="7" t="n">
        <v>59419</v>
      </c>
      <c r="R175" s="7" t="n">
        <v>34644.4</v>
      </c>
      <c r="S175" s="7" t="n">
        <v>54773</v>
      </c>
      <c r="T175" s="7" t="n">
        <v>74469.5</v>
      </c>
      <c r="U175" s="7" t="n">
        <v>66073.8</v>
      </c>
      <c r="V175" s="7" t="n">
        <v>87882.7</v>
      </c>
      <c r="W175" s="7" t="n">
        <v>60082.7</v>
      </c>
      <c r="X175" s="7" t="n">
        <v>37217.8</v>
      </c>
      <c r="Y175" s="7" t="n">
        <v>65564</v>
      </c>
      <c r="Z175" s="7" t="n">
        <v>42842.5</v>
      </c>
      <c r="AA175" s="8" t="n">
        <v>717423.2</v>
      </c>
      <c r="AB175" s="8" t="n">
        <v>704830.1</v>
      </c>
    </row>
    <row r="176">
      <c r="A176" s="4" t="inlineStr">
        <is>
          <t>职工薪酬</t>
        </is>
      </c>
      <c r="D176" s="7" t="n">
        <v>25856</v>
      </c>
      <c r="F176" s="7" t="n">
        <v>17814.6</v>
      </c>
      <c r="H176" s="7" t="n">
        <v>29511.4</v>
      </c>
      <c r="J176" s="7" t="n">
        <v>38761.8</v>
      </c>
      <c r="L176" s="7" t="n">
        <v>39001.4</v>
      </c>
      <c r="N176" s="7" t="n">
        <v>24895.6</v>
      </c>
      <c r="P176" s="7" t="n">
        <v>47100.9</v>
      </c>
      <c r="R176" s="7" t="n">
        <v>16205</v>
      </c>
      <c r="T176" s="7" t="n">
        <v>35485.1</v>
      </c>
      <c r="V176" s="7" t="n">
        <v>47721.5</v>
      </c>
      <c r="X176" s="7" t="n">
        <v>19831.4</v>
      </c>
      <c r="Z176" s="7" t="n">
        <v>23557.2</v>
      </c>
      <c r="AB176" s="7" t="n">
        <v>365741.9</v>
      </c>
    </row>
    <row r="177">
      <c r="A177" s="4" t="inlineStr">
        <is>
          <t>工资</t>
        </is>
      </c>
      <c r="D177" s="7" t="n">
        <v>15903.1</v>
      </c>
      <c r="F177" s="7" t="n">
        <v>10824.4</v>
      </c>
      <c r="H177" s="7" t="n">
        <v>16670.5</v>
      </c>
      <c r="J177" s="7" t="n">
        <v>22393.9</v>
      </c>
      <c r="L177" s="7" t="n">
        <v>23605.9</v>
      </c>
      <c r="N177" s="7" t="n">
        <v>14164.6</v>
      </c>
      <c r="P177" s="7" t="n">
        <v>29902.3</v>
      </c>
      <c r="R177" s="7" t="n">
        <v>9227.700000000001</v>
      </c>
      <c r="T177" s="7" t="n">
        <v>22402.4</v>
      </c>
      <c r="V177" s="7" t="n">
        <v>30333.1</v>
      </c>
      <c r="X177" s="7" t="n">
        <v>12870.6</v>
      </c>
      <c r="Z177" s="7" t="n">
        <v>12580.4</v>
      </c>
      <c r="AB177" s="7" t="n">
        <v>220878.9</v>
      </c>
    </row>
    <row r="178">
      <c r="A178" s="4" t="inlineStr">
        <is>
          <t>奖金及提成</t>
        </is>
      </c>
      <c r="D178" s="7" t="n">
        <v>5007.1</v>
      </c>
      <c r="F178" s="7" t="n">
        <v>3339.3</v>
      </c>
      <c r="H178" s="7" t="n">
        <v>5822.4</v>
      </c>
      <c r="J178" s="7" t="n">
        <v>7325.6</v>
      </c>
      <c r="L178" s="7" t="n">
        <v>7402</v>
      </c>
      <c r="N178" s="7" t="n">
        <v>4460.4</v>
      </c>
      <c r="P178" s="7" t="n">
        <v>9544.700000000001</v>
      </c>
      <c r="R178" s="7" t="n">
        <v>2678.4</v>
      </c>
      <c r="T178" s="7" t="n">
        <v>6290.3</v>
      </c>
      <c r="V178" s="7" t="n">
        <v>9233.799999999999</v>
      </c>
      <c r="X178" s="7" t="n">
        <v>2628.5</v>
      </c>
      <c r="Z178" s="7" t="n">
        <v>5462.9</v>
      </c>
      <c r="AB178" s="7" t="n">
        <v>69195.39999999999</v>
      </c>
    </row>
    <row r="179">
      <c r="A179" s="4" t="inlineStr">
        <is>
          <t>社保</t>
        </is>
      </c>
      <c r="D179" s="7" t="n">
        <v>3553.3</v>
      </c>
      <c r="F179" s="7" t="n">
        <v>2787.4</v>
      </c>
      <c r="H179" s="7" t="n">
        <v>5459.4</v>
      </c>
      <c r="J179" s="7" t="n">
        <v>6343.4</v>
      </c>
      <c r="L179" s="7" t="n">
        <v>5834.7</v>
      </c>
      <c r="N179" s="7" t="n">
        <v>4456</v>
      </c>
      <c r="P179" s="7" t="n">
        <v>5145.9</v>
      </c>
      <c r="R179" s="7" t="n">
        <v>3143.2</v>
      </c>
      <c r="T179" s="7" t="n">
        <v>4321.4</v>
      </c>
      <c r="V179" s="7" t="n">
        <v>5170.6</v>
      </c>
      <c r="X179" s="7" t="n">
        <v>3033</v>
      </c>
      <c r="Z179" s="7" t="n">
        <v>4098.5</v>
      </c>
      <c r="AB179" s="7" t="n">
        <v>53346.8</v>
      </c>
    </row>
    <row r="180">
      <c r="A180" s="4" t="inlineStr">
        <is>
          <t>养老</t>
        </is>
      </c>
      <c r="D180" s="7" t="n">
        <v>276.5</v>
      </c>
      <c r="F180" s="7" t="n">
        <v>170</v>
      </c>
      <c r="H180" s="7" t="n">
        <v>200.6</v>
      </c>
      <c r="J180" s="7" t="n">
        <v>420.4</v>
      </c>
      <c r="L180" s="7" t="n">
        <v>430.5</v>
      </c>
      <c r="N180" s="7" t="n">
        <v>288.2</v>
      </c>
      <c r="P180" s="7" t="n">
        <v>491.4</v>
      </c>
      <c r="R180" s="7" t="n">
        <v>149.3</v>
      </c>
      <c r="T180" s="7" t="n">
        <v>288.9</v>
      </c>
      <c r="V180" s="7" t="n">
        <v>416.4</v>
      </c>
      <c r="X180" s="7" t="n">
        <v>217.7</v>
      </c>
      <c r="Z180" s="7" t="n">
        <v>262.7</v>
      </c>
      <c r="AB180" s="7" t="n">
        <v>3612.6</v>
      </c>
    </row>
    <row r="181">
      <c r="A181" s="4" t="inlineStr">
        <is>
          <t>医疗</t>
        </is>
      </c>
      <c r="D181" s="7" t="n">
        <v>131.5</v>
      </c>
      <c r="F181" s="7" t="n">
        <v>88.09999999999999</v>
      </c>
      <c r="H181" s="7" t="n">
        <v>214.8</v>
      </c>
      <c r="J181" s="7" t="n">
        <v>218</v>
      </c>
      <c r="L181" s="7" t="n">
        <v>243</v>
      </c>
      <c r="N181" s="7" t="n">
        <v>205</v>
      </c>
      <c r="P181" s="7" t="n">
        <v>287</v>
      </c>
      <c r="R181" s="7" t="n">
        <v>117.3</v>
      </c>
      <c r="T181" s="7" t="n">
        <v>200</v>
      </c>
      <c r="V181" s="7" t="n">
        <v>241.7</v>
      </c>
      <c r="X181" s="7" t="n">
        <v>129.7</v>
      </c>
      <c r="Z181" s="7" t="n">
        <v>156.5</v>
      </c>
      <c r="AB181" s="7" t="n">
        <v>2232.6</v>
      </c>
    </row>
    <row r="182">
      <c r="A182" s="4" t="inlineStr">
        <is>
          <t>工伤</t>
        </is>
      </c>
      <c r="D182" s="7" t="n">
        <v>183.8</v>
      </c>
      <c r="F182" s="7" t="n">
        <v>151.9</v>
      </c>
      <c r="H182" s="7" t="n">
        <v>279.3</v>
      </c>
      <c r="J182" s="7" t="n">
        <v>443.9</v>
      </c>
      <c r="L182" s="7" t="n">
        <v>264</v>
      </c>
      <c r="N182" s="7" t="n">
        <v>236.8</v>
      </c>
      <c r="P182" s="7" t="n">
        <v>435.5</v>
      </c>
      <c r="R182" s="7" t="n">
        <v>138.1</v>
      </c>
      <c r="T182" s="7" t="n">
        <v>259.4</v>
      </c>
      <c r="V182" s="7" t="n">
        <v>393.8</v>
      </c>
      <c r="X182" s="7" t="n">
        <v>186</v>
      </c>
      <c r="Z182" s="7" t="n">
        <v>209.9</v>
      </c>
      <c r="AB182" s="7" t="n">
        <v>3182.4</v>
      </c>
    </row>
    <row r="183">
      <c r="A183" s="4" t="inlineStr">
        <is>
          <t>失业</t>
        </is>
      </c>
      <c r="D183" s="7" t="n">
        <v>67.90000000000001</v>
      </c>
      <c r="F183" s="7" t="n">
        <v>36.6</v>
      </c>
      <c r="H183" s="7" t="n">
        <v>75.40000000000001</v>
      </c>
      <c r="J183" s="7" t="n">
        <v>172.6</v>
      </c>
      <c r="L183" s="7" t="n">
        <v>80.09999999999999</v>
      </c>
      <c r="N183" s="7" t="n">
        <v>86</v>
      </c>
      <c r="P183" s="7" t="n">
        <v>122.3</v>
      </c>
      <c r="R183" s="7" t="n">
        <v>60.2</v>
      </c>
      <c r="T183" s="7" t="n">
        <v>84.8</v>
      </c>
      <c r="V183" s="7" t="n">
        <v>107.7</v>
      </c>
      <c r="X183" s="7" t="n">
        <v>58.7</v>
      </c>
      <c r="Z183" s="7" t="n">
        <v>56.8</v>
      </c>
      <c r="AB183" s="7" t="n">
        <v>1009.1</v>
      </c>
    </row>
    <row r="184">
      <c r="A184" s="4" t="inlineStr">
        <is>
          <t>生育</t>
        </is>
      </c>
      <c r="D184" s="7" t="n">
        <v>135.3</v>
      </c>
      <c r="F184" s="7" t="n">
        <v>111.2</v>
      </c>
      <c r="H184" s="7" t="n">
        <v>173.1</v>
      </c>
      <c r="J184" s="7" t="n">
        <v>272.4</v>
      </c>
      <c r="L184" s="7" t="n">
        <v>247.8</v>
      </c>
      <c r="N184" s="7" t="n">
        <v>185.1</v>
      </c>
      <c r="P184" s="7" t="n">
        <v>186.5</v>
      </c>
      <c r="R184" s="7" t="n">
        <v>137.9</v>
      </c>
      <c r="T184" s="7" t="n">
        <v>208.2</v>
      </c>
      <c r="V184" s="7" t="n">
        <v>283.7</v>
      </c>
      <c r="X184" s="7" t="n">
        <v>109.9</v>
      </c>
      <c r="Z184" s="7" t="n">
        <v>116.5</v>
      </c>
      <c r="AB184" s="7" t="n">
        <v>2167.6</v>
      </c>
    </row>
    <row r="185">
      <c r="A185" s="4" t="inlineStr">
        <is>
          <t>公积金</t>
        </is>
      </c>
      <c r="D185" s="7" t="n">
        <v>22</v>
      </c>
      <c r="F185" s="7" t="n">
        <v>12.3</v>
      </c>
      <c r="H185" s="7" t="n">
        <v>17.2</v>
      </c>
      <c r="J185" s="7" t="n">
        <v>30.8</v>
      </c>
      <c r="L185" s="7" t="n">
        <v>39.2</v>
      </c>
      <c r="N185" s="7" t="n">
        <v>27.6</v>
      </c>
      <c r="P185" s="7" t="n">
        <v>47.6</v>
      </c>
      <c r="R185" s="7" t="n">
        <v>16.9</v>
      </c>
      <c r="T185" s="7" t="n">
        <v>27.6</v>
      </c>
      <c r="V185" s="7" t="n">
        <v>40.4</v>
      </c>
      <c r="X185" s="7" t="n">
        <v>20</v>
      </c>
      <c r="Z185" s="7" t="n">
        <v>24.1</v>
      </c>
      <c r="AB185" s="7" t="n">
        <v>325.7</v>
      </c>
    </row>
    <row r="186">
      <c r="A186" s="4" t="inlineStr">
        <is>
          <t>工会经费</t>
        </is>
      </c>
      <c r="D186" s="7" t="n">
        <v>100.5</v>
      </c>
      <c r="F186" s="7" t="n">
        <v>99.3</v>
      </c>
      <c r="H186" s="7" t="n">
        <v>181.5</v>
      </c>
      <c r="J186" s="7" t="n">
        <v>174</v>
      </c>
      <c r="L186" s="7" t="n">
        <v>198.4</v>
      </c>
      <c r="N186" s="7" t="n">
        <v>173</v>
      </c>
      <c r="P186" s="7" t="n">
        <v>174.7</v>
      </c>
      <c r="R186" s="7" t="n">
        <v>119.9</v>
      </c>
      <c r="T186" s="7" t="n">
        <v>141</v>
      </c>
      <c r="V186" s="7" t="n">
        <v>185.4</v>
      </c>
      <c r="X186" s="7" t="n">
        <v>95.09999999999999</v>
      </c>
      <c r="Z186" s="7" t="n">
        <v>109.7</v>
      </c>
      <c r="AB186" s="7" t="n">
        <v>1752.5</v>
      </c>
    </row>
    <row r="187">
      <c r="A187" s="4" t="inlineStr">
        <is>
          <t>职工教育经费</t>
        </is>
      </c>
      <c r="D187" s="7" t="n">
        <v>268.2</v>
      </c>
      <c r="F187" s="7" t="n">
        <v>134.1</v>
      </c>
      <c r="H187" s="7" t="n">
        <v>349.6</v>
      </c>
      <c r="J187" s="7" t="n">
        <v>607</v>
      </c>
      <c r="L187" s="7" t="n">
        <v>399</v>
      </c>
      <c r="N187" s="7" t="n">
        <v>390.2</v>
      </c>
      <c r="P187" s="7" t="n">
        <v>533.8</v>
      </c>
      <c r="R187" s="7" t="n">
        <v>223.8</v>
      </c>
      <c r="T187" s="7" t="n">
        <v>536.4</v>
      </c>
      <c r="V187" s="7" t="n">
        <v>675.7</v>
      </c>
      <c r="X187" s="7" t="n">
        <v>238.2</v>
      </c>
      <c r="Z187" s="7" t="n">
        <v>274.1</v>
      </c>
      <c r="AB187" s="7" t="n">
        <v>4630.1</v>
      </c>
    </row>
    <row r="188">
      <c r="A188" s="4" t="inlineStr">
        <is>
          <t>福利费</t>
        </is>
      </c>
      <c r="D188" s="7" t="n">
        <v>1001.8</v>
      </c>
      <c r="F188" s="7" t="n">
        <v>617.8</v>
      </c>
      <c r="H188" s="7" t="n">
        <v>1010.8</v>
      </c>
      <c r="J188" s="7" t="n">
        <v>1887.1</v>
      </c>
      <c r="L188" s="7" t="n">
        <v>1522.2</v>
      </c>
      <c r="N188" s="7" t="n">
        <v>1223.8</v>
      </c>
      <c r="P188" s="7" t="n">
        <v>1751.9</v>
      </c>
      <c r="R188" s="7" t="n">
        <v>795.1</v>
      </c>
      <c r="T188" s="7" t="n">
        <v>1766</v>
      </c>
      <c r="V188" s="7" t="n">
        <v>2082.5</v>
      </c>
      <c r="X188" s="7" t="n">
        <v>946</v>
      </c>
      <c r="Z188" s="7" t="n">
        <v>1007.5</v>
      </c>
      <c r="AB188" s="7" t="n">
        <v>15612.5</v>
      </c>
    </row>
    <row r="189">
      <c r="A189" s="4" t="inlineStr">
        <is>
          <t>职工房租</t>
        </is>
      </c>
      <c r="D189" s="7" t="n">
        <v>84.90000000000001</v>
      </c>
      <c r="F189" s="7" t="n">
        <v>51</v>
      </c>
      <c r="H189" s="7" t="n">
        <v>83.09999999999999</v>
      </c>
      <c r="J189" s="7" t="n">
        <v>145.9</v>
      </c>
      <c r="L189" s="7" t="n">
        <v>156.1</v>
      </c>
      <c r="N189" s="7" t="n">
        <v>87.7</v>
      </c>
      <c r="P189" s="7" t="n">
        <v>170.7</v>
      </c>
      <c r="R189" s="7" t="n">
        <v>75.8</v>
      </c>
      <c r="T189" s="7" t="n">
        <v>157.6</v>
      </c>
      <c r="V189" s="7" t="n">
        <v>164</v>
      </c>
      <c r="X189" s="7" t="n">
        <v>83.90000000000001</v>
      </c>
      <c r="Z189" s="7" t="n">
        <v>61.1</v>
      </c>
      <c r="AB189" s="7" t="n">
        <v>1321.8</v>
      </c>
    </row>
    <row r="190">
      <c r="A190" s="4" t="inlineStr">
        <is>
          <t>水电物业费</t>
        </is>
      </c>
      <c r="D190" s="7" t="n">
        <v>136.3</v>
      </c>
      <c r="F190" s="7" t="n">
        <v>114.1</v>
      </c>
      <c r="H190" s="7" t="n">
        <v>121.3</v>
      </c>
      <c r="J190" s="7" t="n">
        <v>369.7</v>
      </c>
      <c r="L190" s="7" t="n">
        <v>255.5</v>
      </c>
      <c r="N190" s="7" t="n">
        <v>257.3</v>
      </c>
      <c r="P190" s="7" t="n">
        <v>346</v>
      </c>
      <c r="R190" s="7" t="n">
        <v>130.9</v>
      </c>
      <c r="T190" s="7" t="n">
        <v>276.8</v>
      </c>
      <c r="V190" s="7" t="n">
        <v>340.5</v>
      </c>
      <c r="X190" s="7" t="n">
        <v>142.9</v>
      </c>
      <c r="Z190" s="7" t="n">
        <v>160.7</v>
      </c>
      <c r="AB190" s="7" t="n">
        <v>2652</v>
      </c>
    </row>
    <row r="191">
      <c r="A191" s="4" t="inlineStr">
        <is>
          <t>员工餐</t>
        </is>
      </c>
      <c r="D191" s="7" t="n">
        <v>157.7</v>
      </c>
      <c r="F191" s="7" t="n">
        <v>127.5</v>
      </c>
      <c r="H191" s="7" t="n">
        <v>219</v>
      </c>
      <c r="J191" s="7" t="n">
        <v>451.2</v>
      </c>
      <c r="L191" s="7" t="n">
        <v>341.2</v>
      </c>
      <c r="N191" s="7" t="n">
        <v>232.4</v>
      </c>
      <c r="P191" s="7" t="n">
        <v>416.3</v>
      </c>
      <c r="R191" s="7" t="n">
        <v>179</v>
      </c>
      <c r="T191" s="7" t="n">
        <v>361.1</v>
      </c>
      <c r="V191" s="7" t="n">
        <v>506.7</v>
      </c>
      <c r="X191" s="7" t="n">
        <v>238.6</v>
      </c>
      <c r="Z191" s="7" t="n">
        <v>179.3</v>
      </c>
      <c r="AB191" s="7" t="n">
        <v>3410</v>
      </c>
    </row>
    <row r="192">
      <c r="A192" s="4" t="inlineStr">
        <is>
          <t>节日礼品</t>
        </is>
      </c>
      <c r="D192" s="7" t="n">
        <v>63</v>
      </c>
      <c r="F192" s="7" t="n">
        <v>51</v>
      </c>
      <c r="H192" s="7" t="n">
        <v>78.7</v>
      </c>
      <c r="J192" s="7" t="n">
        <v>164.8</v>
      </c>
      <c r="L192" s="7" t="n">
        <v>77.8</v>
      </c>
      <c r="N192" s="7" t="n">
        <v>108.7</v>
      </c>
      <c r="P192" s="7" t="n">
        <v>135.8</v>
      </c>
      <c r="R192" s="7" t="n">
        <v>57.1</v>
      </c>
      <c r="T192" s="7" t="n">
        <v>87.7</v>
      </c>
      <c r="V192" s="7" t="n">
        <v>171.4</v>
      </c>
      <c r="X192" s="7" t="n">
        <v>46.6</v>
      </c>
      <c r="Z192" s="7" t="n">
        <v>78.59999999999999</v>
      </c>
      <c r="AB192" s="7" t="n">
        <v>1121.2</v>
      </c>
    </row>
    <row r="193">
      <c r="A193" s="4" t="inlineStr">
        <is>
          <t>生日礼品</t>
        </is>
      </c>
      <c r="D193" s="7" t="n">
        <v>319.7</v>
      </c>
      <c r="F193" s="7" t="n">
        <v>133.7</v>
      </c>
      <c r="H193" s="7" t="n">
        <v>235.1</v>
      </c>
      <c r="J193" s="7" t="n">
        <v>400.5</v>
      </c>
      <c r="L193" s="7" t="n">
        <v>329.7</v>
      </c>
      <c r="N193" s="7" t="n">
        <v>287.1</v>
      </c>
      <c r="P193" s="7" t="n">
        <v>345</v>
      </c>
      <c r="R193" s="7" t="n">
        <v>170.1</v>
      </c>
      <c r="T193" s="7" t="n">
        <v>466.2</v>
      </c>
      <c r="V193" s="7" t="n">
        <v>403.8</v>
      </c>
      <c r="X193" s="7" t="n">
        <v>260.4</v>
      </c>
      <c r="Z193" s="7" t="n">
        <v>303.4</v>
      </c>
      <c r="AB193" s="7" t="n">
        <v>3654.7</v>
      </c>
    </row>
    <row r="194">
      <c r="A194" s="4" t="inlineStr">
        <is>
          <t>体检</t>
        </is>
      </c>
      <c r="D194" s="7" t="n">
        <v>198.1</v>
      </c>
      <c r="F194" s="7" t="n">
        <v>105.3</v>
      </c>
      <c r="H194" s="7" t="n">
        <v>207</v>
      </c>
      <c r="J194" s="7" t="n">
        <v>253.1</v>
      </c>
      <c r="L194" s="7" t="n">
        <v>310.3</v>
      </c>
      <c r="N194" s="7" t="n">
        <v>185.7</v>
      </c>
      <c r="P194" s="7" t="n">
        <v>244.9</v>
      </c>
      <c r="R194" s="7" t="n">
        <v>154.7</v>
      </c>
      <c r="T194" s="7" t="n">
        <v>332.4</v>
      </c>
      <c r="V194" s="7" t="n">
        <v>423.8</v>
      </c>
      <c r="X194" s="7" t="n">
        <v>128.8</v>
      </c>
      <c r="Z194" s="7" t="n">
        <v>178.4</v>
      </c>
      <c r="AB194" s="7" t="n">
        <v>2722.5</v>
      </c>
    </row>
    <row r="195">
      <c r="A195" s="4" t="inlineStr">
        <is>
          <t>其他福利支出</t>
        </is>
      </c>
      <c r="D195" s="7" t="n">
        <v>42.1</v>
      </c>
      <c r="F195" s="7" t="n">
        <v>35.2</v>
      </c>
      <c r="H195" s="7" t="n">
        <v>66.59999999999999</v>
      </c>
      <c r="J195" s="7" t="n">
        <v>101.9</v>
      </c>
      <c r="L195" s="7" t="n">
        <v>51.6</v>
      </c>
      <c r="N195" s="7" t="n">
        <v>64.90000000000001</v>
      </c>
      <c r="P195" s="7" t="n">
        <v>93.2</v>
      </c>
      <c r="R195" s="7" t="n">
        <v>27.5</v>
      </c>
      <c r="T195" s="7" t="n">
        <v>84.2</v>
      </c>
      <c r="V195" s="7" t="n">
        <v>72.3</v>
      </c>
      <c r="X195" s="7" t="n">
        <v>44.8</v>
      </c>
      <c r="Z195" s="7" t="n">
        <v>46</v>
      </c>
      <c r="AB195" s="7" t="n">
        <v>730.3</v>
      </c>
    </row>
    <row r="196">
      <c r="A196" s="4" t="inlineStr">
        <is>
          <t>招聘费</t>
        </is>
      </c>
      <c r="D196" s="7" t="n">
        <v>140</v>
      </c>
      <c r="F196" s="7" t="n">
        <v>100.2</v>
      </c>
      <c r="H196" s="7" t="n">
        <v>159</v>
      </c>
      <c r="J196" s="7" t="n">
        <v>313.9</v>
      </c>
      <c r="L196" s="7" t="n">
        <v>264</v>
      </c>
      <c r="N196" s="7" t="n">
        <v>233.2</v>
      </c>
      <c r="P196" s="7" t="n">
        <v>265.5</v>
      </c>
      <c r="R196" s="7" t="n">
        <v>87</v>
      </c>
      <c r="T196" s="7" t="n">
        <v>183.4</v>
      </c>
      <c r="V196" s="7" t="n">
        <v>200.4</v>
      </c>
      <c r="X196" s="7" t="n">
        <v>113.4</v>
      </c>
      <c r="Z196" s="7" t="n">
        <v>115</v>
      </c>
      <c r="AB196" s="7" t="n">
        <v>2175</v>
      </c>
    </row>
    <row r="197">
      <c r="A197" s="4" t="inlineStr">
        <is>
          <t>办公费</t>
        </is>
      </c>
      <c r="D197" s="7" t="n">
        <v>1027.9</v>
      </c>
      <c r="F197" s="7" t="n">
        <v>753.8</v>
      </c>
      <c r="H197" s="7" t="n">
        <v>1362.4</v>
      </c>
      <c r="J197" s="7" t="n">
        <v>3319.1</v>
      </c>
      <c r="L197" s="7" t="n">
        <v>2187.2</v>
      </c>
      <c r="N197" s="7" t="n">
        <v>1556.9</v>
      </c>
      <c r="P197" s="7" t="n">
        <v>2376.2</v>
      </c>
      <c r="R197" s="7" t="n">
        <v>794.8</v>
      </c>
      <c r="T197" s="7" t="n">
        <v>2674.3</v>
      </c>
      <c r="V197" s="7" t="n">
        <v>1927.2</v>
      </c>
      <c r="X197" s="7" t="n">
        <v>910.5</v>
      </c>
      <c r="Z197" s="7" t="n">
        <v>1194.7</v>
      </c>
      <c r="AB197" s="7" t="n">
        <v>20085</v>
      </c>
    </row>
    <row r="198">
      <c r="A198" s="4" t="inlineStr">
        <is>
          <t>市内交通费</t>
        </is>
      </c>
      <c r="D198" s="7" t="n">
        <v>137.2</v>
      </c>
      <c r="F198" s="7" t="n">
        <v>67.5</v>
      </c>
      <c r="H198" s="7" t="n">
        <v>147.4</v>
      </c>
      <c r="J198" s="7" t="n">
        <v>200.4</v>
      </c>
      <c r="L198" s="7" t="n">
        <v>178.3</v>
      </c>
      <c r="N198" s="7" t="n">
        <v>198</v>
      </c>
      <c r="P198" s="7" t="n">
        <v>188.9</v>
      </c>
      <c r="R198" s="7" t="n">
        <v>123.6</v>
      </c>
      <c r="T198" s="7" t="n">
        <v>166.7</v>
      </c>
      <c r="V198" s="7" t="n">
        <v>179.4</v>
      </c>
      <c r="X198" s="7" t="n">
        <v>111.3</v>
      </c>
      <c r="Z198" s="7" t="n">
        <v>141.6</v>
      </c>
      <c r="AB198" s="7" t="n">
        <v>1840.3</v>
      </c>
    </row>
    <row r="199">
      <c r="A199" s="4" t="inlineStr">
        <is>
          <t>差旅费</t>
        </is>
      </c>
      <c r="D199" s="7" t="n">
        <v>2200.5</v>
      </c>
      <c r="F199" s="7" t="n">
        <v>2132.4</v>
      </c>
      <c r="H199" s="7" t="n">
        <v>3008.5</v>
      </c>
      <c r="J199" s="7" t="n">
        <v>4202.9</v>
      </c>
      <c r="L199" s="7" t="n">
        <v>4194.8</v>
      </c>
      <c r="N199" s="7" t="n">
        <v>3074.6</v>
      </c>
      <c r="P199" s="7" t="n">
        <v>6368.2</v>
      </c>
      <c r="R199" s="7" t="n">
        <v>2182.7</v>
      </c>
      <c r="T199" s="7" t="n">
        <v>3154.5</v>
      </c>
      <c r="V199" s="7" t="n">
        <v>5161.7</v>
      </c>
      <c r="X199" s="7" t="n">
        <v>2373.6</v>
      </c>
      <c r="Z199" s="7" t="n">
        <v>1845.7</v>
      </c>
      <c r="AB199" s="7" t="n">
        <v>39900.1</v>
      </c>
    </row>
    <row r="200">
      <c r="A200" s="4" t="inlineStr">
        <is>
          <t>交通费</t>
        </is>
      </c>
      <c r="D200" s="7" t="n">
        <v>23.1</v>
      </c>
      <c r="F200" s="7" t="n">
        <v>16.3</v>
      </c>
      <c r="H200" s="7" t="n">
        <v>39.1</v>
      </c>
      <c r="J200" s="7" t="n">
        <v>72</v>
      </c>
      <c r="L200" s="7" t="n">
        <v>30.1</v>
      </c>
      <c r="N200" s="7" t="n">
        <v>38.4</v>
      </c>
      <c r="P200" s="7" t="n">
        <v>55.9</v>
      </c>
      <c r="R200" s="7" t="n">
        <v>16.4</v>
      </c>
      <c r="T200" s="7" t="n">
        <v>53.9</v>
      </c>
      <c r="V200" s="7" t="n">
        <v>39.8</v>
      </c>
      <c r="X200" s="7" t="n">
        <v>22.7</v>
      </c>
      <c r="Z200" s="7" t="n">
        <v>21.4</v>
      </c>
      <c r="AB200" s="7" t="n">
        <v>429.1</v>
      </c>
    </row>
    <row r="201">
      <c r="A201" s="4" t="inlineStr">
        <is>
          <t>住宿费</t>
        </is>
      </c>
      <c r="D201" s="7" t="n">
        <v>31.9</v>
      </c>
      <c r="F201" s="7" t="n">
        <v>19.1</v>
      </c>
      <c r="H201" s="7" t="n">
        <v>27.4</v>
      </c>
      <c r="J201" s="7" t="n">
        <v>64.5</v>
      </c>
      <c r="L201" s="7" t="n">
        <v>59.1</v>
      </c>
      <c r="N201" s="7" t="n">
        <v>49</v>
      </c>
      <c r="P201" s="7" t="n">
        <v>59.4</v>
      </c>
      <c r="R201" s="7" t="n">
        <v>20.1</v>
      </c>
      <c r="T201" s="7" t="n">
        <v>38.1</v>
      </c>
      <c r="V201" s="7" t="n">
        <v>75.09999999999999</v>
      </c>
      <c r="X201" s="7" t="n">
        <v>23.7</v>
      </c>
      <c r="Z201" s="7" t="n">
        <v>38.4</v>
      </c>
      <c r="AB201" s="7" t="n">
        <v>505.8</v>
      </c>
    </row>
    <row r="202">
      <c r="A202" s="4" t="inlineStr">
        <is>
          <t>餐补</t>
        </is>
      </c>
      <c r="D202" s="7" t="n">
        <v>253.2</v>
      </c>
      <c r="F202" s="7" t="n">
        <v>171.4</v>
      </c>
      <c r="H202" s="7" t="n">
        <v>348.4</v>
      </c>
      <c r="J202" s="7" t="n">
        <v>348.6</v>
      </c>
      <c r="L202" s="7" t="n">
        <v>272.2</v>
      </c>
      <c r="N202" s="7" t="n">
        <v>376.4</v>
      </c>
      <c r="P202" s="7" t="n">
        <v>539.8</v>
      </c>
      <c r="R202" s="7" t="n">
        <v>173</v>
      </c>
      <c r="T202" s="7" t="n">
        <v>265.8</v>
      </c>
      <c r="V202" s="7" t="n">
        <v>380.7</v>
      </c>
      <c r="X202" s="7" t="n">
        <v>159.9</v>
      </c>
      <c r="Z202" s="7" t="n">
        <v>159.1</v>
      </c>
      <c r="AB202" s="7" t="n">
        <v>3448.5</v>
      </c>
    </row>
    <row r="203">
      <c r="A203" s="4" t="inlineStr">
        <is>
          <t>交通补助</t>
        </is>
      </c>
      <c r="D203" s="7" t="n">
        <v>334</v>
      </c>
      <c r="F203" s="7" t="n">
        <v>213.2</v>
      </c>
      <c r="H203" s="7" t="n">
        <v>297.1</v>
      </c>
      <c r="J203" s="7" t="n">
        <v>674.1</v>
      </c>
      <c r="L203" s="7" t="n">
        <v>534</v>
      </c>
      <c r="N203" s="7" t="n">
        <v>325.6</v>
      </c>
      <c r="P203" s="7" t="n">
        <v>420</v>
      </c>
      <c r="R203" s="7" t="n">
        <v>242</v>
      </c>
      <c r="T203" s="7" t="n">
        <v>338.8</v>
      </c>
      <c r="V203" s="7" t="n">
        <v>510.5</v>
      </c>
      <c r="X203" s="7" t="n">
        <v>197.9</v>
      </c>
      <c r="Z203" s="7" t="n">
        <v>289.3</v>
      </c>
      <c r="AB203" s="7" t="n">
        <v>4376.5</v>
      </c>
    </row>
    <row r="204">
      <c r="A204" s="4" t="inlineStr">
        <is>
          <t>通讯补助</t>
        </is>
      </c>
      <c r="D204" s="7" t="n">
        <v>169.4</v>
      </c>
      <c r="F204" s="7" t="n">
        <v>162.3</v>
      </c>
      <c r="H204" s="7" t="n">
        <v>330.4</v>
      </c>
      <c r="J204" s="7" t="n">
        <v>505.4</v>
      </c>
      <c r="L204" s="7" t="n">
        <v>348.7</v>
      </c>
      <c r="N204" s="7" t="n">
        <v>274</v>
      </c>
      <c r="P204" s="7" t="n">
        <v>492.3</v>
      </c>
      <c r="R204" s="7" t="n">
        <v>202.3</v>
      </c>
      <c r="T204" s="7" t="n">
        <v>363.2</v>
      </c>
      <c r="V204" s="7" t="n">
        <v>351.8</v>
      </c>
      <c r="X204" s="7" t="n">
        <v>197.3</v>
      </c>
      <c r="Z204" s="7" t="n">
        <v>175.1</v>
      </c>
      <c r="AB204" s="7" t="n">
        <v>3572.2</v>
      </c>
    </row>
    <row r="205">
      <c r="A205" s="4" t="inlineStr">
        <is>
          <t>招待费</t>
        </is>
      </c>
      <c r="D205" s="7" t="n">
        <v>1410.7</v>
      </c>
      <c r="F205" s="7" t="n">
        <v>1247.9</v>
      </c>
      <c r="H205" s="7" t="n">
        <v>1928.3</v>
      </c>
      <c r="J205" s="7" t="n">
        <v>2713.4</v>
      </c>
      <c r="L205" s="7" t="n">
        <v>3362.5</v>
      </c>
      <c r="N205" s="7" t="n">
        <v>2461.3</v>
      </c>
      <c r="P205" s="7" t="n">
        <v>2488.3</v>
      </c>
      <c r="R205" s="7" t="n">
        <v>1357.2</v>
      </c>
      <c r="T205" s="7" t="n">
        <v>3547.7</v>
      </c>
      <c r="V205" s="7" t="n">
        <v>3979.8</v>
      </c>
      <c r="X205" s="7" t="n">
        <v>1063.6</v>
      </c>
      <c r="Z205" s="7" t="n">
        <v>2197.7</v>
      </c>
      <c r="AB205" s="7" t="n">
        <v>27758.4</v>
      </c>
    </row>
    <row r="206">
      <c r="A206" s="4" t="inlineStr">
        <is>
          <t>通讯费</t>
        </is>
      </c>
      <c r="D206" s="7" t="n">
        <v>48.5</v>
      </c>
      <c r="F206" s="7" t="n">
        <v>30.2</v>
      </c>
      <c r="H206" s="7" t="n">
        <v>42.5</v>
      </c>
      <c r="J206" s="7" t="n">
        <v>80.59999999999999</v>
      </c>
      <c r="L206" s="7" t="n">
        <v>45.2</v>
      </c>
      <c r="N206" s="7" t="n">
        <v>39.7</v>
      </c>
      <c r="P206" s="7" t="n">
        <v>55.8</v>
      </c>
      <c r="R206" s="7" t="n">
        <v>31.8</v>
      </c>
      <c r="T206" s="7" t="n">
        <v>50.1</v>
      </c>
      <c r="V206" s="7" t="n">
        <v>98.3</v>
      </c>
      <c r="X206" s="7" t="n">
        <v>33.4</v>
      </c>
      <c r="Z206" s="7" t="n">
        <v>47.2</v>
      </c>
      <c r="AB206" s="7" t="n">
        <v>603.3</v>
      </c>
    </row>
    <row r="207">
      <c r="A207" s="4" t="inlineStr">
        <is>
          <t>网络费</t>
        </is>
      </c>
      <c r="D207" s="7" t="n">
        <v>30.7</v>
      </c>
      <c r="F207" s="7" t="n">
        <v>17.6</v>
      </c>
      <c r="H207" s="7" t="n">
        <v>29.7</v>
      </c>
      <c r="J207" s="7" t="n">
        <v>61.7</v>
      </c>
      <c r="L207" s="7" t="n">
        <v>34.8</v>
      </c>
      <c r="N207" s="7" t="n">
        <v>39.7</v>
      </c>
      <c r="P207" s="7" t="n">
        <v>50.7</v>
      </c>
      <c r="R207" s="7" t="n">
        <v>19.6</v>
      </c>
      <c r="T207" s="7" t="n">
        <v>43.8</v>
      </c>
      <c r="V207" s="7" t="n">
        <v>50.1</v>
      </c>
      <c r="X207" s="7" t="n">
        <v>27.2</v>
      </c>
      <c r="Z207" s="7" t="n">
        <v>32.9</v>
      </c>
      <c r="AB207" s="7" t="n">
        <v>438.5</v>
      </c>
    </row>
    <row r="208">
      <c r="A208" s="4" t="inlineStr">
        <is>
          <t>修理费</t>
        </is>
      </c>
      <c r="D208" s="7" t="n">
        <v>149.5</v>
      </c>
      <c r="F208" s="7" t="n">
        <v>124.4</v>
      </c>
      <c r="H208" s="7" t="n">
        <v>303.8</v>
      </c>
      <c r="J208" s="7" t="n">
        <v>493.5</v>
      </c>
      <c r="L208" s="7" t="n">
        <v>296.6</v>
      </c>
      <c r="N208" s="7" t="n">
        <v>238.7</v>
      </c>
      <c r="P208" s="7" t="n">
        <v>358.5</v>
      </c>
      <c r="R208" s="7" t="n">
        <v>109.4</v>
      </c>
      <c r="T208" s="7" t="n">
        <v>378.6</v>
      </c>
      <c r="V208" s="7" t="n">
        <v>374.3</v>
      </c>
      <c r="X208" s="7" t="n">
        <v>180.1</v>
      </c>
      <c r="Z208" s="7" t="n">
        <v>243.6</v>
      </c>
      <c r="AB208" s="7" t="n">
        <v>3251</v>
      </c>
    </row>
    <row r="209">
      <c r="A209" s="4" t="inlineStr">
        <is>
          <t>车辆费</t>
        </is>
      </c>
      <c r="D209" s="7" t="n">
        <v>213.6</v>
      </c>
      <c r="F209" s="7" t="n">
        <v>132.5</v>
      </c>
      <c r="H209" s="7" t="n">
        <v>296.2</v>
      </c>
      <c r="J209" s="7" t="n">
        <v>693.5</v>
      </c>
      <c r="L209" s="7" t="n">
        <v>334.3</v>
      </c>
      <c r="N209" s="7" t="n">
        <v>386.1</v>
      </c>
      <c r="P209" s="7" t="n">
        <v>387.1</v>
      </c>
      <c r="R209" s="7" t="n">
        <v>209.1</v>
      </c>
      <c r="T209" s="7" t="n">
        <v>544.8</v>
      </c>
      <c r="V209" s="7" t="n">
        <v>652.1</v>
      </c>
      <c r="X209" s="7" t="n">
        <v>300.3</v>
      </c>
      <c r="Z209" s="7" t="n">
        <v>318.6</v>
      </c>
      <c r="AB209" s="7" t="n">
        <v>4468.2</v>
      </c>
    </row>
    <row r="210">
      <c r="A210" s="4" t="inlineStr">
        <is>
          <t>租赁费</t>
        </is>
      </c>
      <c r="D210" s="7" t="n">
        <v>2756.3</v>
      </c>
      <c r="F210" s="7" t="n">
        <v>1180.4</v>
      </c>
      <c r="H210" s="7" t="n">
        <v>2814.5</v>
      </c>
      <c r="J210" s="7" t="n">
        <v>5102.3</v>
      </c>
      <c r="L210" s="7" t="n">
        <v>2603.8</v>
      </c>
      <c r="N210" s="7" t="n">
        <v>2563.6</v>
      </c>
      <c r="P210" s="7" t="n">
        <v>3727.6</v>
      </c>
      <c r="R210" s="7" t="n">
        <v>1452.1</v>
      </c>
      <c r="T210" s="7" t="n">
        <v>3813.6</v>
      </c>
      <c r="V210" s="7" t="n">
        <v>4420.1</v>
      </c>
      <c r="X210" s="7" t="n">
        <v>1604.6</v>
      </c>
      <c r="Z210" s="7" t="n">
        <v>2713.5</v>
      </c>
      <c r="AB210" s="7" t="n">
        <v>34752.4</v>
      </c>
    </row>
    <row r="211">
      <c r="A211" s="4" t="inlineStr">
        <is>
          <t>能源费</t>
        </is>
      </c>
      <c r="D211" s="7" t="n">
        <v>937.2</v>
      </c>
      <c r="F211" s="7" t="n">
        <v>501.1</v>
      </c>
      <c r="H211" s="7" t="n">
        <v>927</v>
      </c>
      <c r="J211" s="7" t="n">
        <v>1696.5</v>
      </c>
      <c r="L211" s="7" t="n">
        <v>1333.4</v>
      </c>
      <c r="N211" s="7" t="n">
        <v>1042.8</v>
      </c>
      <c r="P211" s="7" t="n">
        <v>1710.5</v>
      </c>
      <c r="R211" s="7" t="n">
        <v>776.4</v>
      </c>
      <c r="T211" s="7" t="n">
        <v>1423.6</v>
      </c>
      <c r="V211" s="7" t="n">
        <v>1692.5</v>
      </c>
      <c r="X211" s="7" t="n">
        <v>727.3</v>
      </c>
      <c r="Z211" s="7" t="n">
        <v>778.2</v>
      </c>
      <c r="AB211" s="7" t="n">
        <v>13546.5</v>
      </c>
    </row>
    <row r="212">
      <c r="A212" s="4" t="inlineStr">
        <is>
          <t>水费</t>
        </is>
      </c>
      <c r="D212" s="7" t="n">
        <v>177.4</v>
      </c>
      <c r="F212" s="7" t="n">
        <v>73.2</v>
      </c>
      <c r="H212" s="7" t="n">
        <v>120.8</v>
      </c>
      <c r="J212" s="7" t="n">
        <v>358.9</v>
      </c>
      <c r="L212" s="7" t="n">
        <v>151.5</v>
      </c>
      <c r="N212" s="7" t="n">
        <v>166.6</v>
      </c>
      <c r="P212" s="7" t="n">
        <v>222.9</v>
      </c>
      <c r="R212" s="7" t="n">
        <v>82.3</v>
      </c>
      <c r="T212" s="7" t="n">
        <v>170.7</v>
      </c>
      <c r="V212" s="7" t="n">
        <v>286.6</v>
      </c>
      <c r="X212" s="7" t="n">
        <v>101.9</v>
      </c>
      <c r="Z212" s="7" t="n">
        <v>120.9</v>
      </c>
      <c r="AB212" s="7" t="n">
        <v>2033.7</v>
      </c>
    </row>
    <row r="213">
      <c r="A213" s="4" t="inlineStr">
        <is>
          <t>电费</t>
        </is>
      </c>
      <c r="D213" s="7" t="n">
        <v>192.2</v>
      </c>
      <c r="F213" s="7" t="n">
        <v>113.6</v>
      </c>
      <c r="H213" s="7" t="n">
        <v>189.9</v>
      </c>
      <c r="J213" s="7" t="n">
        <v>295.2</v>
      </c>
      <c r="L213" s="7" t="n">
        <v>317.1</v>
      </c>
      <c r="N213" s="7" t="n">
        <v>306.1</v>
      </c>
      <c r="P213" s="7" t="n">
        <v>455</v>
      </c>
      <c r="R213" s="7" t="n">
        <v>210.9</v>
      </c>
      <c r="T213" s="7" t="n">
        <v>269.6</v>
      </c>
      <c r="V213" s="7" t="n">
        <v>317.6</v>
      </c>
      <c r="X213" s="7" t="n">
        <v>205.5</v>
      </c>
      <c r="Z213" s="7" t="n">
        <v>143.3</v>
      </c>
      <c r="AB213" s="7" t="n">
        <v>3016</v>
      </c>
    </row>
    <row r="214">
      <c r="A214" s="4" t="inlineStr">
        <is>
          <t>燃气费</t>
        </is>
      </c>
      <c r="D214" s="7" t="n">
        <v>330.1</v>
      </c>
      <c r="F214" s="7" t="n">
        <v>167.6</v>
      </c>
      <c r="H214" s="7" t="n">
        <v>381.3</v>
      </c>
      <c r="J214" s="7" t="n">
        <v>604.4</v>
      </c>
      <c r="L214" s="7" t="n">
        <v>500.6</v>
      </c>
      <c r="N214" s="7" t="n">
        <v>307.3</v>
      </c>
      <c r="P214" s="7" t="n">
        <v>519.5</v>
      </c>
      <c r="R214" s="7" t="n">
        <v>273.4</v>
      </c>
      <c r="T214" s="7" t="n">
        <v>534.1</v>
      </c>
      <c r="V214" s="7" t="n">
        <v>577.4</v>
      </c>
      <c r="X214" s="7" t="n">
        <v>237.5</v>
      </c>
      <c r="Z214" s="7" t="n">
        <v>312.3</v>
      </c>
      <c r="AB214" s="7" t="n">
        <v>4745.5</v>
      </c>
    </row>
    <row r="215">
      <c r="A215" s="4" t="inlineStr">
        <is>
          <t>蒸汽费</t>
        </is>
      </c>
      <c r="D215" s="7" t="n">
        <v>237.5</v>
      </c>
      <c r="F215" s="7" t="n">
        <v>146.7</v>
      </c>
      <c r="H215" s="7" t="n">
        <v>235</v>
      </c>
      <c r="J215" s="7" t="n">
        <v>438</v>
      </c>
      <c r="L215" s="7" t="n">
        <v>364.2</v>
      </c>
      <c r="N215" s="7" t="n">
        <v>262.8</v>
      </c>
      <c r="P215" s="7" t="n">
        <v>513.1</v>
      </c>
      <c r="R215" s="7" t="n">
        <v>209.8</v>
      </c>
      <c r="T215" s="7" t="n">
        <v>449.2</v>
      </c>
      <c r="V215" s="7" t="n">
        <v>510.9</v>
      </c>
      <c r="X215" s="7" t="n">
        <v>182.4</v>
      </c>
      <c r="Z215" s="7" t="n">
        <v>201.7</v>
      </c>
      <c r="AB215" s="7" t="n">
        <v>3751.3</v>
      </c>
    </row>
    <row r="216">
      <c r="A216" s="4" t="inlineStr">
        <is>
          <t>物业费</t>
        </is>
      </c>
      <c r="D216" s="7" t="n">
        <v>62.4</v>
      </c>
      <c r="F216" s="7" t="n">
        <v>35.5</v>
      </c>
      <c r="H216" s="7" t="n">
        <v>112.1</v>
      </c>
      <c r="J216" s="7" t="n">
        <v>180.4</v>
      </c>
      <c r="L216" s="7" t="n">
        <v>145.6</v>
      </c>
      <c r="N216" s="7" t="n">
        <v>107</v>
      </c>
      <c r="P216" s="7" t="n">
        <v>156.4</v>
      </c>
      <c r="R216" s="7" t="n">
        <v>49.8</v>
      </c>
      <c r="T216" s="7" t="n">
        <v>97.2</v>
      </c>
      <c r="V216" s="7" t="n">
        <v>112.7</v>
      </c>
      <c r="X216" s="7" t="n">
        <v>75.59999999999999</v>
      </c>
      <c r="Z216" s="7" t="n">
        <v>92.2</v>
      </c>
      <c r="AB216" s="7" t="n">
        <v>1226.9</v>
      </c>
    </row>
    <row r="217">
      <c r="A217" s="4" t="inlineStr">
        <is>
          <t>劳动保护费</t>
        </is>
      </c>
      <c r="D217" s="7" t="n">
        <v>17.9</v>
      </c>
      <c r="F217" s="7" t="n">
        <v>19.1</v>
      </c>
      <c r="H217" s="7" t="n">
        <v>25.5</v>
      </c>
      <c r="J217" s="7" t="n">
        <v>53.2</v>
      </c>
      <c r="L217" s="7" t="n">
        <v>37.5</v>
      </c>
      <c r="N217" s="7" t="n">
        <v>31.2</v>
      </c>
      <c r="P217" s="7" t="n">
        <v>38.5</v>
      </c>
      <c r="R217" s="7" t="n">
        <v>18.8</v>
      </c>
      <c r="T217" s="7" t="n">
        <v>46.5</v>
      </c>
      <c r="V217" s="7" t="n">
        <v>60.7</v>
      </c>
      <c r="X217" s="7" t="n">
        <v>17.8</v>
      </c>
      <c r="Z217" s="7" t="n">
        <v>29.7</v>
      </c>
      <c r="AB217" s="7" t="n">
        <v>396.4</v>
      </c>
    </row>
    <row r="218">
      <c r="A218" s="4" t="inlineStr">
        <is>
          <t>顾问费</t>
        </is>
      </c>
      <c r="D218" s="7" t="n">
        <v>46.2</v>
      </c>
      <c r="F218" s="7" t="n">
        <v>43.1</v>
      </c>
      <c r="H218" s="7" t="n">
        <v>46.4</v>
      </c>
      <c r="J218" s="7" t="n">
        <v>102</v>
      </c>
      <c r="L218" s="7" t="n">
        <v>74.40000000000001</v>
      </c>
      <c r="N218" s="7" t="n">
        <v>65.5</v>
      </c>
      <c r="P218" s="7" t="n">
        <v>97.8</v>
      </c>
      <c r="R218" s="7" t="n">
        <v>30.8</v>
      </c>
      <c r="T218" s="7" t="n">
        <v>82.5</v>
      </c>
      <c r="V218" s="7" t="n">
        <v>138</v>
      </c>
      <c r="X218" s="7" t="n">
        <v>49.1</v>
      </c>
      <c r="Z218" s="7" t="n">
        <v>45.2</v>
      </c>
      <c r="AB218" s="7" t="n">
        <v>821</v>
      </c>
    </row>
    <row r="219">
      <c r="A219" s="4" t="inlineStr">
        <is>
          <t>快递费</t>
        </is>
      </c>
      <c r="D219" s="7" t="n">
        <v>186.6</v>
      </c>
      <c r="F219" s="7" t="n">
        <v>133.7</v>
      </c>
      <c r="H219" s="7" t="n">
        <v>193.5</v>
      </c>
      <c r="J219" s="7" t="n">
        <v>269.9</v>
      </c>
      <c r="L219" s="7" t="n">
        <v>187.4</v>
      </c>
      <c r="N219" s="7" t="n">
        <v>175.8</v>
      </c>
      <c r="P219" s="7" t="n">
        <v>248.7</v>
      </c>
      <c r="R219" s="7" t="n">
        <v>162.5</v>
      </c>
      <c r="T219" s="7" t="n">
        <v>321.9</v>
      </c>
      <c r="V219" s="7" t="n">
        <v>397.8</v>
      </c>
      <c r="X219" s="7" t="n">
        <v>159.6</v>
      </c>
      <c r="Z219" s="7" t="n">
        <v>167.3</v>
      </c>
      <c r="AB219" s="7" t="n">
        <v>2604.7</v>
      </c>
    </row>
    <row r="220">
      <c r="A220" s="4" t="inlineStr">
        <is>
          <t>诉讼费</t>
        </is>
      </c>
      <c r="D220" s="7" t="n">
        <v>26.3</v>
      </c>
      <c r="F220" s="7" t="n">
        <v>21.6</v>
      </c>
      <c r="H220" s="7" t="n">
        <v>34.7</v>
      </c>
      <c r="J220" s="7" t="n">
        <v>54.3</v>
      </c>
      <c r="L220" s="7" t="n">
        <v>42.6</v>
      </c>
      <c r="N220" s="7" t="n">
        <v>43.7</v>
      </c>
      <c r="P220" s="7" t="n">
        <v>64</v>
      </c>
      <c r="R220" s="7" t="n">
        <v>16.4</v>
      </c>
      <c r="T220" s="7" t="n">
        <v>55.2</v>
      </c>
      <c r="V220" s="7" t="n">
        <v>41.4</v>
      </c>
      <c r="X220" s="7" t="n">
        <v>22.8</v>
      </c>
      <c r="Z220" s="7" t="n">
        <v>25.7</v>
      </c>
      <c r="AB220" s="7" t="n">
        <v>448.7</v>
      </c>
    </row>
    <row r="221">
      <c r="A221" s="4" t="inlineStr">
        <is>
          <t>会员费</t>
        </is>
      </c>
      <c r="D221" s="7" t="n">
        <v>17.1</v>
      </c>
      <c r="F221" s="7" t="n">
        <v>11.8</v>
      </c>
      <c r="H221" s="7" t="n">
        <v>19</v>
      </c>
      <c r="J221" s="7" t="n">
        <v>34.4</v>
      </c>
      <c r="L221" s="7" t="n">
        <v>38.4</v>
      </c>
      <c r="N221" s="7" t="n">
        <v>31.1</v>
      </c>
      <c r="P221" s="7" t="n">
        <v>31.2</v>
      </c>
      <c r="R221" s="7" t="n">
        <v>14.1</v>
      </c>
      <c r="T221" s="7" t="n">
        <v>43.5</v>
      </c>
      <c r="V221" s="7" t="n">
        <v>33.6</v>
      </c>
      <c r="X221" s="7" t="n">
        <v>22.2</v>
      </c>
      <c r="Z221" s="7" t="n">
        <v>14</v>
      </c>
      <c r="AB221" s="7" t="n">
        <v>310.4</v>
      </c>
    </row>
    <row r="222">
      <c r="A222" s="4" t="inlineStr">
        <is>
          <t>广告宣传费</t>
        </is>
      </c>
      <c r="D222" s="7" t="n">
        <v>1145.9</v>
      </c>
      <c r="F222" s="7" t="n">
        <v>686.4</v>
      </c>
      <c r="H222" s="7" t="n">
        <v>1200.3</v>
      </c>
      <c r="J222" s="7" t="n">
        <v>3127.9</v>
      </c>
      <c r="L222" s="7" t="n">
        <v>2555</v>
      </c>
      <c r="N222" s="7" t="n">
        <v>1937.7</v>
      </c>
      <c r="P222" s="7" t="n">
        <v>2245.5</v>
      </c>
      <c r="R222" s="7" t="n">
        <v>1069.9</v>
      </c>
      <c r="T222" s="7" t="n">
        <v>2484.2</v>
      </c>
      <c r="V222" s="7" t="n">
        <v>3329.8</v>
      </c>
      <c r="X222" s="7" t="n">
        <v>1202.5</v>
      </c>
      <c r="Z222" s="7" t="n">
        <v>1506.1</v>
      </c>
      <c r="AB222" s="7" t="n">
        <v>22491.2</v>
      </c>
    </row>
    <row r="223">
      <c r="A223" s="4" t="inlineStr">
        <is>
          <t>会务费</t>
        </is>
      </c>
      <c r="D223" s="7" t="n">
        <v>252.7</v>
      </c>
      <c r="F223" s="7" t="n">
        <v>130.6</v>
      </c>
      <c r="H223" s="7" t="n">
        <v>371.4</v>
      </c>
      <c r="J223" s="7" t="n">
        <v>707.8</v>
      </c>
      <c r="L223" s="7" t="n">
        <v>329.3</v>
      </c>
      <c r="N223" s="7" t="n">
        <v>287.9</v>
      </c>
      <c r="P223" s="7" t="n">
        <v>520.7</v>
      </c>
      <c r="R223" s="7" t="n">
        <v>177.9</v>
      </c>
      <c r="T223" s="7" t="n">
        <v>348.9</v>
      </c>
      <c r="V223" s="7" t="n">
        <v>536.8</v>
      </c>
      <c r="X223" s="7" t="n">
        <v>169.8</v>
      </c>
      <c r="Z223" s="7" t="n">
        <v>205.7</v>
      </c>
      <c r="AB223" s="7" t="n">
        <v>4039.5</v>
      </c>
    </row>
    <row r="224">
      <c r="A224" s="4" t="inlineStr">
        <is>
          <t>装修费</t>
        </is>
      </c>
      <c r="D224" s="7" t="n">
        <v>162.6</v>
      </c>
      <c r="F224" s="7" t="n">
        <v>103.2</v>
      </c>
      <c r="H224" s="7" t="n">
        <v>139.7</v>
      </c>
      <c r="J224" s="7" t="n">
        <v>374.4</v>
      </c>
      <c r="L224" s="7" t="n">
        <v>283.3</v>
      </c>
      <c r="N224" s="7" t="n">
        <v>185.8</v>
      </c>
      <c r="P224" s="7" t="n">
        <v>395.5</v>
      </c>
      <c r="R224" s="7" t="n">
        <v>99</v>
      </c>
      <c r="T224" s="7" t="n">
        <v>312.9</v>
      </c>
      <c r="V224" s="7" t="n">
        <v>406.2</v>
      </c>
      <c r="X224" s="7" t="n">
        <v>131.1</v>
      </c>
      <c r="Z224" s="7" t="n">
        <v>143.6</v>
      </c>
      <c r="AB224" s="7" t="n">
        <v>2737.3</v>
      </c>
    </row>
    <row r="225">
      <c r="A225" s="4" t="inlineStr">
        <is>
          <t>推广费</t>
        </is>
      </c>
      <c r="D225" s="7" t="n">
        <v>39.1</v>
      </c>
      <c r="F225" s="7" t="n">
        <v>20.3</v>
      </c>
      <c r="H225" s="7" t="n">
        <v>44.2</v>
      </c>
      <c r="J225" s="7" t="n">
        <v>68</v>
      </c>
      <c r="L225" s="7" t="n">
        <v>54.9</v>
      </c>
      <c r="N225" s="7" t="n">
        <v>49.2</v>
      </c>
      <c r="P225" s="7" t="n">
        <v>78.59999999999999</v>
      </c>
      <c r="R225" s="7" t="n">
        <v>23.7</v>
      </c>
      <c r="T225" s="7" t="n">
        <v>72.59999999999999</v>
      </c>
      <c r="V225" s="7" t="n">
        <v>89</v>
      </c>
      <c r="X225" s="7" t="n">
        <v>38.1</v>
      </c>
      <c r="Z225" s="7" t="n">
        <v>40.5</v>
      </c>
      <c r="AB225" s="7" t="n">
        <v>618.2</v>
      </c>
    </row>
    <row r="226">
      <c r="A226" s="4" t="inlineStr">
        <is>
          <t>展会费</t>
        </is>
      </c>
      <c r="D226" s="7" t="n">
        <v>101.2</v>
      </c>
      <c r="F226" s="7" t="n">
        <v>75.5</v>
      </c>
      <c r="H226" s="7" t="n">
        <v>95.59999999999999</v>
      </c>
      <c r="J226" s="7" t="n">
        <v>148</v>
      </c>
      <c r="L226" s="7" t="n">
        <v>107.9</v>
      </c>
      <c r="N226" s="7" t="n">
        <v>123.6</v>
      </c>
      <c r="P226" s="7" t="n">
        <v>220.2</v>
      </c>
      <c r="R226" s="7" t="n">
        <v>85.90000000000001</v>
      </c>
      <c r="T226" s="7" t="n">
        <v>134.1</v>
      </c>
      <c r="V226" s="7" t="n">
        <v>214.9</v>
      </c>
      <c r="X226" s="7" t="n">
        <v>54.5</v>
      </c>
      <c r="Z226" s="7" t="n">
        <v>94.09999999999999</v>
      </c>
      <c r="AB226" s="7" t="n">
        <v>1455.5</v>
      </c>
    </row>
    <row r="227">
      <c r="A227" s="4" t="inlineStr">
        <is>
          <t>设计费</t>
        </is>
      </c>
      <c r="D227" s="7" t="n">
        <v>67</v>
      </c>
      <c r="F227" s="7" t="n">
        <v>62.7</v>
      </c>
      <c r="H227" s="7" t="n">
        <v>132.3</v>
      </c>
      <c r="J227" s="7" t="n">
        <v>210.5</v>
      </c>
      <c r="L227" s="7" t="n">
        <v>120.5</v>
      </c>
      <c r="N227" s="7" t="n">
        <v>155.8</v>
      </c>
      <c r="P227" s="7" t="n">
        <v>180.8</v>
      </c>
      <c r="R227" s="7" t="n">
        <v>59.7</v>
      </c>
      <c r="T227" s="7" t="n">
        <v>136.7</v>
      </c>
      <c r="V227" s="7" t="n">
        <v>198.6</v>
      </c>
      <c r="X227" s="7" t="n">
        <v>77.40000000000001</v>
      </c>
      <c r="Z227" s="7" t="n">
        <v>93</v>
      </c>
      <c r="AB227" s="7" t="n">
        <v>1495</v>
      </c>
    </row>
    <row r="228">
      <c r="A228" s="4" t="inlineStr">
        <is>
          <t>折旧费</t>
        </is>
      </c>
      <c r="D228" s="7" t="n">
        <v>1648.2</v>
      </c>
      <c r="F228" s="7" t="n">
        <v>921.8</v>
      </c>
      <c r="H228" s="7" t="n">
        <v>2673.1</v>
      </c>
      <c r="J228" s="7" t="n">
        <v>4138.8</v>
      </c>
      <c r="L228" s="7" t="n">
        <v>3083.3</v>
      </c>
      <c r="N228" s="7" t="n">
        <v>1943.9</v>
      </c>
      <c r="P228" s="7" t="n">
        <v>3247.4</v>
      </c>
      <c r="R228" s="7" t="n">
        <v>1762.2</v>
      </c>
      <c r="T228" s="7" t="n">
        <v>2789.8</v>
      </c>
      <c r="V228" s="7" t="n">
        <v>4542.2</v>
      </c>
      <c r="X228" s="7" t="n">
        <v>1497.1</v>
      </c>
      <c r="Z228" s="7" t="n">
        <v>2070.8</v>
      </c>
      <c r="AB228" s="7" t="n">
        <v>30318.6</v>
      </c>
    </row>
    <row r="229">
      <c r="A229" s="4" t="inlineStr">
        <is>
          <t>认证费</t>
        </is>
      </c>
      <c r="D229" s="7" t="n">
        <v>187.4</v>
      </c>
      <c r="F229" s="7" t="n">
        <v>120.8</v>
      </c>
      <c r="H229" s="7" t="n">
        <v>273</v>
      </c>
      <c r="J229" s="7" t="n">
        <v>388.9</v>
      </c>
      <c r="L229" s="7" t="n">
        <v>244.9</v>
      </c>
      <c r="N229" s="7" t="n">
        <v>224.9</v>
      </c>
      <c r="P229" s="7" t="n">
        <v>495.5</v>
      </c>
      <c r="R229" s="7" t="n">
        <v>203.6</v>
      </c>
      <c r="T229" s="7" t="n">
        <v>368.6</v>
      </c>
      <c r="V229" s="7" t="n">
        <v>391.3</v>
      </c>
      <c r="X229" s="7" t="n">
        <v>223</v>
      </c>
      <c r="Z229" s="7" t="n">
        <v>239.4</v>
      </c>
      <c r="AB229" s="7" t="n">
        <v>3361.3</v>
      </c>
    </row>
    <row r="230">
      <c r="A230" s="4" t="inlineStr">
        <is>
          <t>样品费</t>
        </is>
      </c>
      <c r="D230" s="7" t="n">
        <v>840.9</v>
      </c>
      <c r="F230" s="7" t="n">
        <v>698</v>
      </c>
      <c r="H230" s="7" t="n">
        <v>911.1</v>
      </c>
      <c r="J230" s="7" t="n">
        <v>1926</v>
      </c>
      <c r="L230" s="7" t="n">
        <v>1319.5</v>
      </c>
      <c r="N230" s="7" t="n">
        <v>1500.9</v>
      </c>
      <c r="P230" s="7" t="n">
        <v>1827</v>
      </c>
      <c r="R230" s="7" t="n">
        <v>725.4</v>
      </c>
      <c r="T230" s="7" t="n">
        <v>1613.7</v>
      </c>
      <c r="V230" s="7" t="n">
        <v>1611.7</v>
      </c>
      <c r="X230" s="7" t="n">
        <v>537.4</v>
      </c>
      <c r="Z230" s="7" t="n">
        <v>1101</v>
      </c>
      <c r="AB230" s="7" t="n">
        <v>14612.6</v>
      </c>
    </row>
    <row r="231">
      <c r="A231" s="4" t="inlineStr">
        <is>
          <t>劳务费</t>
        </is>
      </c>
      <c r="D231" s="7" t="n">
        <v>31.3</v>
      </c>
      <c r="F231" s="7" t="n">
        <v>20.5</v>
      </c>
      <c r="H231" s="7" t="n">
        <v>37.4</v>
      </c>
      <c r="J231" s="7" t="n">
        <v>56.4</v>
      </c>
      <c r="L231" s="7" t="n">
        <v>37.7</v>
      </c>
      <c r="N231" s="7" t="n">
        <v>37.6</v>
      </c>
      <c r="P231" s="7" t="n">
        <v>72.40000000000001</v>
      </c>
      <c r="R231" s="7" t="n">
        <v>29.4</v>
      </c>
      <c r="T231" s="7" t="n">
        <v>47</v>
      </c>
      <c r="V231" s="7" t="n">
        <v>55.5</v>
      </c>
      <c r="X231" s="7" t="n">
        <v>25.3</v>
      </c>
      <c r="Z231" s="7" t="n">
        <v>35</v>
      </c>
      <c r="AB231" s="7" t="n">
        <v>485.5</v>
      </c>
    </row>
    <row r="232">
      <c r="A232" s="4" t="inlineStr">
        <is>
          <t>销售佣金</t>
        </is>
      </c>
      <c r="D232" s="7" t="n">
        <v>85.5</v>
      </c>
      <c r="F232" s="7" t="n">
        <v>54.7</v>
      </c>
      <c r="H232" s="7" t="n">
        <v>98.7</v>
      </c>
      <c r="J232" s="7" t="n">
        <v>261.3</v>
      </c>
      <c r="L232" s="7" t="n">
        <v>159.7</v>
      </c>
      <c r="N232" s="7" t="n">
        <v>132.4</v>
      </c>
      <c r="P232" s="7" t="n">
        <v>236.1</v>
      </c>
      <c r="R232" s="7" t="n">
        <v>78.59999999999999</v>
      </c>
      <c r="T232" s="7" t="n">
        <v>168.9</v>
      </c>
      <c r="V232" s="7" t="n">
        <v>227.9</v>
      </c>
      <c r="X232" s="7" t="n">
        <v>74.2</v>
      </c>
      <c r="Z232" s="7" t="n">
        <v>136.3</v>
      </c>
      <c r="AB232" s="7" t="n">
        <v>1714.3</v>
      </c>
    </row>
    <row r="233">
      <c r="A233" s="4" t="inlineStr">
        <is>
          <t>检测费</t>
        </is>
      </c>
      <c r="D233" s="7" t="n">
        <v>163.2</v>
      </c>
      <c r="F233" s="7" t="n">
        <v>108.2</v>
      </c>
      <c r="H233" s="7" t="n">
        <v>272.5</v>
      </c>
      <c r="J233" s="7" t="n">
        <v>450</v>
      </c>
      <c r="L233" s="7" t="n">
        <v>220.7</v>
      </c>
      <c r="N233" s="7" t="n">
        <v>305.3</v>
      </c>
      <c r="P233" s="7" t="n">
        <v>358.7</v>
      </c>
      <c r="R233" s="7" t="n">
        <v>122.5</v>
      </c>
      <c r="T233" s="7" t="n">
        <v>332</v>
      </c>
      <c r="V233" s="7" t="n">
        <v>387.4</v>
      </c>
      <c r="X233" s="7" t="n">
        <v>157.5</v>
      </c>
      <c r="Z233" s="7" t="n">
        <v>130.1</v>
      </c>
      <c r="AB233" s="7" t="n">
        <v>3008.1</v>
      </c>
    </row>
    <row r="234">
      <c r="A234" s="4" t="inlineStr">
        <is>
          <t>质量赔偿</t>
        </is>
      </c>
      <c r="D234" s="7" t="n">
        <v>160.5</v>
      </c>
      <c r="F234" s="7" t="n">
        <v>105.3</v>
      </c>
      <c r="H234" s="7" t="n">
        <v>256.4</v>
      </c>
      <c r="J234" s="7" t="n">
        <v>461.3</v>
      </c>
      <c r="L234" s="7" t="n">
        <v>294.1</v>
      </c>
      <c r="N234" s="7" t="n">
        <v>334.7</v>
      </c>
      <c r="P234" s="7" t="n">
        <v>432.1</v>
      </c>
      <c r="R234" s="7" t="n">
        <v>172.3</v>
      </c>
      <c r="T234" s="7" t="n">
        <v>332.1</v>
      </c>
      <c r="V234" s="7" t="n">
        <v>333.8</v>
      </c>
      <c r="X234" s="7" t="n">
        <v>192.7</v>
      </c>
      <c r="Z234" s="7" t="n">
        <v>192</v>
      </c>
      <c r="AB234" s="7" t="n">
        <v>3267.3</v>
      </c>
    </row>
    <row r="235">
      <c r="A235" s="4" t="inlineStr">
        <is>
          <t>保险费</t>
        </is>
      </c>
      <c r="D235" s="7" t="n">
        <v>267.5</v>
      </c>
      <c r="F235" s="7" t="n">
        <v>228.4</v>
      </c>
      <c r="H235" s="7" t="n">
        <v>244.8</v>
      </c>
      <c r="J235" s="7" t="n">
        <v>705.3</v>
      </c>
      <c r="L235" s="7" t="n">
        <v>519.5</v>
      </c>
      <c r="N235" s="7" t="n">
        <v>528.6</v>
      </c>
      <c r="P235" s="7" t="n">
        <v>438.5</v>
      </c>
      <c r="R235" s="7" t="n">
        <v>179.7</v>
      </c>
      <c r="T235" s="7" t="n">
        <v>595</v>
      </c>
      <c r="V235" s="7" t="n">
        <v>507.4</v>
      </c>
      <c r="X235" s="7" t="n">
        <v>265.1</v>
      </c>
      <c r="Z235" s="7" t="n">
        <v>242</v>
      </c>
      <c r="AB235" s="7" t="n">
        <v>4721.8</v>
      </c>
    </row>
    <row r="236">
      <c r="A236" s="4" t="inlineStr">
        <is>
          <t>清洁费</t>
        </is>
      </c>
      <c r="D236" s="7" t="n">
        <v>186</v>
      </c>
      <c r="F236" s="7" t="n">
        <v>184.2</v>
      </c>
      <c r="H236" s="7" t="n">
        <v>214.4</v>
      </c>
      <c r="J236" s="7" t="n">
        <v>443.7</v>
      </c>
      <c r="L236" s="7" t="n">
        <v>312.7</v>
      </c>
      <c r="N236" s="7" t="n">
        <v>377.8</v>
      </c>
      <c r="P236" s="7" t="n">
        <v>445.2</v>
      </c>
      <c r="R236" s="7" t="n">
        <v>128</v>
      </c>
      <c r="T236" s="7" t="n">
        <v>496.5</v>
      </c>
      <c r="V236" s="7" t="n">
        <v>461.3</v>
      </c>
      <c r="X236" s="7" t="n">
        <v>148.8</v>
      </c>
      <c r="Z236" s="7" t="n">
        <v>256.4</v>
      </c>
      <c r="AB236" s="7" t="n">
        <v>3655</v>
      </c>
    </row>
    <row r="237">
      <c r="A237" s="4" t="inlineStr">
        <is>
          <t>低值易耗品</t>
        </is>
      </c>
      <c r="D237" s="7" t="n">
        <v>232</v>
      </c>
      <c r="F237" s="7" t="n">
        <v>212.6</v>
      </c>
      <c r="H237" s="7" t="n">
        <v>248.4</v>
      </c>
      <c r="J237" s="7" t="n">
        <v>378.2</v>
      </c>
      <c r="L237" s="7" t="n">
        <v>429.3</v>
      </c>
      <c r="N237" s="7" t="n">
        <v>273.4</v>
      </c>
      <c r="P237" s="7" t="n">
        <v>460.9</v>
      </c>
      <c r="R237" s="7" t="n">
        <v>237.2</v>
      </c>
      <c r="T237" s="7" t="n">
        <v>457.4</v>
      </c>
      <c r="V237" s="7" t="n">
        <v>627.1</v>
      </c>
      <c r="X237" s="7" t="n">
        <v>155.3</v>
      </c>
      <c r="Z237" s="7" t="n">
        <v>184.7</v>
      </c>
      <c r="AB237" s="7" t="n">
        <v>3896.5</v>
      </c>
    </row>
    <row r="238">
      <c r="A238" s="4" t="inlineStr">
        <is>
          <t>物料消耗</t>
        </is>
      </c>
      <c r="D238" s="7" t="n">
        <v>99.59999999999999</v>
      </c>
      <c r="F238" s="7" t="n">
        <v>43</v>
      </c>
      <c r="H238" s="7" t="n">
        <v>119.7</v>
      </c>
      <c r="J238" s="7" t="n">
        <v>159.8</v>
      </c>
      <c r="L238" s="7" t="n">
        <v>93.5</v>
      </c>
      <c r="N238" s="7" t="n">
        <v>86.59999999999999</v>
      </c>
      <c r="P238" s="7" t="n">
        <v>167.8</v>
      </c>
      <c r="R238" s="7" t="n">
        <v>72</v>
      </c>
      <c r="T238" s="7" t="n">
        <v>142</v>
      </c>
      <c r="V238" s="7" t="n">
        <v>155.9</v>
      </c>
      <c r="X238" s="7" t="n">
        <v>73.5</v>
      </c>
      <c r="Z238" s="7" t="n">
        <v>73.59999999999999</v>
      </c>
      <c r="AB238" s="7" t="n">
        <v>1287</v>
      </c>
    </row>
    <row r="239">
      <c r="A239" s="4" t="inlineStr">
        <is>
          <t>盘盈盘亏</t>
        </is>
      </c>
      <c r="D239" s="7" t="n">
        <v>170.1</v>
      </c>
      <c r="F239" s="7" t="n">
        <v>158.7</v>
      </c>
      <c r="H239" s="7" t="n">
        <v>252.4</v>
      </c>
      <c r="J239" s="7" t="n">
        <v>576.6</v>
      </c>
      <c r="L239" s="7" t="n">
        <v>396.9</v>
      </c>
      <c r="N239" s="7" t="n">
        <v>405.4</v>
      </c>
      <c r="P239" s="7" t="n">
        <v>473.1</v>
      </c>
      <c r="R239" s="7" t="n">
        <v>189.8</v>
      </c>
      <c r="T239" s="7" t="n">
        <v>438.7</v>
      </c>
      <c r="V239" s="7" t="n">
        <v>328.7</v>
      </c>
      <c r="X239" s="7" t="n">
        <v>191.4</v>
      </c>
      <c r="Z239" s="7" t="n">
        <v>166.5</v>
      </c>
      <c r="AB239" s="7" t="n">
        <v>3748.3</v>
      </c>
    </row>
    <row r="240">
      <c r="A240" s="4" t="inlineStr">
        <is>
          <t>平台服务费</t>
        </is>
      </c>
      <c r="D240" s="7" t="n">
        <v>223.5</v>
      </c>
      <c r="F240" s="7" t="n">
        <v>132.2</v>
      </c>
      <c r="H240" s="7" t="n">
        <v>268</v>
      </c>
      <c r="J240" s="7" t="n">
        <v>341.8</v>
      </c>
      <c r="L240" s="7" t="n">
        <v>261.8</v>
      </c>
      <c r="N240" s="7" t="n">
        <v>187.9</v>
      </c>
      <c r="P240" s="7" t="n">
        <v>273.2</v>
      </c>
      <c r="R240" s="7" t="n">
        <v>121.2</v>
      </c>
      <c r="T240" s="7" t="n">
        <v>304.6</v>
      </c>
      <c r="V240" s="7" t="n">
        <v>311.5</v>
      </c>
      <c r="X240" s="7" t="n">
        <v>161</v>
      </c>
      <c r="Z240" s="7" t="n">
        <v>204.6</v>
      </c>
      <c r="AB240" s="7" t="n">
        <v>2791.3</v>
      </c>
    </row>
    <row r="241">
      <c r="A241" s="4" t="inlineStr">
        <is>
          <t>无形资产摊销</t>
        </is>
      </c>
      <c r="D241" s="7" t="n">
        <v>8.1</v>
      </c>
      <c r="F241" s="7" t="n">
        <v>4.4</v>
      </c>
      <c r="H241" s="7" t="n">
        <v>8.699999999999999</v>
      </c>
      <c r="J241" s="7" t="n">
        <v>16</v>
      </c>
      <c r="L241" s="7" t="n">
        <v>10.1</v>
      </c>
      <c r="N241" s="7" t="n">
        <v>6.5</v>
      </c>
      <c r="P241" s="7" t="n">
        <v>9.699999999999999</v>
      </c>
      <c r="R241" s="7" t="n">
        <v>5</v>
      </c>
      <c r="T241" s="7" t="n">
        <v>12.8</v>
      </c>
      <c r="V241" s="7" t="n">
        <v>14.7</v>
      </c>
      <c r="X241" s="7" t="n">
        <v>5.4</v>
      </c>
      <c r="Z241" s="7" t="n">
        <v>8.1</v>
      </c>
      <c r="AB241" s="7" t="n">
        <v>109.5</v>
      </c>
    </row>
    <row r="242">
      <c r="A242" s="4" t="inlineStr">
        <is>
          <t>研发材料</t>
        </is>
      </c>
      <c r="D242" s="7" t="n">
        <v>21.7</v>
      </c>
      <c r="F242" s="7" t="n">
        <v>22.2</v>
      </c>
      <c r="H242" s="7" t="n">
        <v>28.1</v>
      </c>
      <c r="J242" s="7" t="n">
        <v>66.5</v>
      </c>
      <c r="L242" s="7" t="n">
        <v>59.8</v>
      </c>
      <c r="N242" s="7" t="n">
        <v>34.5</v>
      </c>
      <c r="P242" s="7" t="n">
        <v>71.40000000000001</v>
      </c>
      <c r="R242" s="7" t="n">
        <v>26.6</v>
      </c>
      <c r="T242" s="7" t="n">
        <v>63.4</v>
      </c>
      <c r="V242" s="7" t="n">
        <v>64.2</v>
      </c>
      <c r="X242" s="7" t="n">
        <v>33.4</v>
      </c>
      <c r="Z242" s="7" t="n">
        <v>25.3</v>
      </c>
      <c r="AB242" s="7" t="n">
        <v>517.1</v>
      </c>
    </row>
    <row r="243">
      <c r="A243" s="4" t="inlineStr">
        <is>
          <t>项目名称</t>
        </is>
      </c>
      <c r="D243" s="7" t="n">
        <v>108.2</v>
      </c>
      <c r="F243" s="7" t="n">
        <v>75.7</v>
      </c>
      <c r="H243" s="7" t="n">
        <v>153.6</v>
      </c>
      <c r="J243" s="7" t="n">
        <v>241</v>
      </c>
      <c r="L243" s="7" t="n">
        <v>208.8</v>
      </c>
      <c r="N243" s="7" t="n">
        <v>191.7</v>
      </c>
      <c r="P243" s="7" t="n">
        <v>326</v>
      </c>
      <c r="R243" s="7" t="n">
        <v>138.1</v>
      </c>
      <c r="T243" s="7" t="n">
        <v>168.6</v>
      </c>
      <c r="V243" s="7" t="n">
        <v>333.2</v>
      </c>
      <c r="X243" s="7" t="n">
        <v>123.1</v>
      </c>
      <c r="Z243" s="7" t="n">
        <v>152.1</v>
      </c>
      <c r="AB243" s="7" t="n">
        <v>2220.1</v>
      </c>
    </row>
    <row r="244">
      <c r="A244" s="4" t="inlineStr">
        <is>
          <t>研发费</t>
        </is>
      </c>
      <c r="D244" s="7" t="n">
        <v>188.2</v>
      </c>
      <c r="F244" s="7" t="n">
        <v>123.1</v>
      </c>
      <c r="H244" s="7" t="n">
        <v>303</v>
      </c>
      <c r="J244" s="7" t="n">
        <v>421.2</v>
      </c>
      <c r="L244" s="7" t="n">
        <v>223.2</v>
      </c>
      <c r="N244" s="7" t="n">
        <v>321</v>
      </c>
      <c r="P244" s="7" t="n">
        <v>430.7</v>
      </c>
      <c r="R244" s="7" t="n">
        <v>142.5</v>
      </c>
      <c r="T244" s="7" t="n">
        <v>412.4</v>
      </c>
      <c r="V244" s="7" t="n">
        <v>322.4</v>
      </c>
      <c r="X244" s="7" t="n">
        <v>214.3</v>
      </c>
      <c r="Z244" s="7" t="n">
        <v>257.3</v>
      </c>
      <c r="AB244" s="7" t="n">
        <v>3359.3</v>
      </c>
    </row>
    <row r="245">
      <c r="A245" s="4" t="inlineStr">
        <is>
          <t>残保金</t>
        </is>
      </c>
      <c r="D245" s="7" t="n">
        <v>55.4</v>
      </c>
      <c r="F245" s="7" t="n">
        <v>28.6</v>
      </c>
      <c r="H245" s="7" t="n">
        <v>40.7</v>
      </c>
      <c r="J245" s="7" t="n">
        <v>123.6</v>
      </c>
      <c r="L245" s="7" t="n">
        <v>75.7</v>
      </c>
      <c r="N245" s="7" t="n">
        <v>77.2</v>
      </c>
      <c r="P245" s="7" t="n">
        <v>91.3</v>
      </c>
      <c r="R245" s="7" t="n">
        <v>44.5</v>
      </c>
      <c r="T245" s="7" t="n">
        <v>67.8</v>
      </c>
      <c r="V245" s="7" t="n">
        <v>102.8</v>
      </c>
      <c r="X245" s="7" t="n">
        <v>28.2</v>
      </c>
      <c r="Z245" s="7" t="n">
        <v>53.8</v>
      </c>
      <c r="AB245" s="7" t="n">
        <v>789.6</v>
      </c>
    </row>
    <row r="246">
      <c r="A246" s="4" t="inlineStr">
        <is>
          <t>环保费</t>
        </is>
      </c>
      <c r="D246" s="7" t="n">
        <v>178.1</v>
      </c>
      <c r="F246" s="7" t="n">
        <v>123.8</v>
      </c>
      <c r="H246" s="7" t="n">
        <v>263.5</v>
      </c>
      <c r="J246" s="7" t="n">
        <v>339.9</v>
      </c>
      <c r="L246" s="7" t="n">
        <v>362.9</v>
      </c>
      <c r="N246" s="7" t="n">
        <v>350</v>
      </c>
      <c r="P246" s="7" t="n">
        <v>342.2</v>
      </c>
      <c r="R246" s="7" t="n">
        <v>178.1</v>
      </c>
      <c r="T246" s="7" t="n">
        <v>408.6</v>
      </c>
      <c r="V246" s="7" t="n">
        <v>308.7</v>
      </c>
      <c r="X246" s="7" t="n">
        <v>148.7</v>
      </c>
      <c r="Z246" s="7" t="n">
        <v>218.8</v>
      </c>
      <c r="AB246" s="7" t="n">
        <v>3223.3</v>
      </c>
    </row>
    <row r="247">
      <c r="A247" s="4" t="inlineStr">
        <is>
          <t>报废损失</t>
        </is>
      </c>
      <c r="D247" s="7" t="n">
        <v>296.3</v>
      </c>
      <c r="F247" s="7" t="n">
        <v>188.8</v>
      </c>
      <c r="H247" s="7" t="n">
        <v>271.3</v>
      </c>
      <c r="J247" s="7" t="n">
        <v>346.5</v>
      </c>
      <c r="L247" s="7" t="n">
        <v>463.4</v>
      </c>
      <c r="N247" s="7" t="n">
        <v>286.2</v>
      </c>
      <c r="P247" s="7" t="n">
        <v>420.4</v>
      </c>
      <c r="R247" s="7" t="n">
        <v>245.3</v>
      </c>
      <c r="T247" s="7" t="n">
        <v>521.4</v>
      </c>
      <c r="V247" s="7" t="n">
        <v>526.5</v>
      </c>
      <c r="X247" s="7" t="n">
        <v>237.5</v>
      </c>
      <c r="Z247" s="7" t="n">
        <v>291.2</v>
      </c>
      <c r="AB247" s="7" t="n">
        <v>4094.8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9234.799999999999</v>
      </c>
      <c r="D248" s="7" t="n">
        <v>-1086.5</v>
      </c>
      <c r="E248" s="7" t="n">
        <v>8805.200000000001</v>
      </c>
      <c r="F248" s="7" t="n">
        <v>16213.4</v>
      </c>
      <c r="G248" s="7" t="n">
        <v>8465.200000000001</v>
      </c>
      <c r="H248" s="7" t="n">
        <v>12570.4</v>
      </c>
      <c r="I248" s="7" t="n">
        <v>8979.9</v>
      </c>
      <c r="J248" s="7" t="n">
        <v>12371</v>
      </c>
      <c r="K248" s="7" t="n">
        <v>8991.200000000001</v>
      </c>
      <c r="L248" s="7" t="n">
        <v>10500.1</v>
      </c>
      <c r="M248" s="7" t="n">
        <v>7764.4</v>
      </c>
      <c r="N248" s="7" t="n">
        <v>16642.6</v>
      </c>
      <c r="O248" s="7" t="n">
        <v>7548.1</v>
      </c>
      <c r="P248" s="7" t="n">
        <v>9447.200000000001</v>
      </c>
      <c r="Q248" s="7" t="n">
        <v>7347.7</v>
      </c>
      <c r="R248" s="7" t="n">
        <v>2214</v>
      </c>
      <c r="S248" s="7" t="n">
        <v>7892.4</v>
      </c>
      <c r="T248" s="7" t="n">
        <v>16382</v>
      </c>
      <c r="U248" s="7" t="n">
        <v>7160.1</v>
      </c>
      <c r="V248" s="7" t="n">
        <v>7584.7</v>
      </c>
      <c r="W248" s="7" t="n">
        <v>8158.5</v>
      </c>
      <c r="X248" s="7" t="n">
        <v>509.8</v>
      </c>
      <c r="Y248" s="7" t="n">
        <v>7883.6</v>
      </c>
      <c r="Z248" s="7" t="n">
        <v>-4744.5</v>
      </c>
      <c r="AA248" s="8" t="n">
        <v>98231.10000000001</v>
      </c>
      <c r="AB248" s="8" t="n">
        <v>98604.2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3075.4</v>
      </c>
      <c r="E250" s="7" t="n">
        <v>0</v>
      </c>
      <c r="F250" s="7" t="n">
        <v>500.5</v>
      </c>
      <c r="G250" s="7" t="n">
        <v>0</v>
      </c>
      <c r="H250" s="7" t="n">
        <v>-1118.7</v>
      </c>
      <c r="I250" s="7" t="n">
        <v>0</v>
      </c>
      <c r="J250" s="7" t="n">
        <v>-2092</v>
      </c>
      <c r="K250" s="7" t="n">
        <v>0</v>
      </c>
      <c r="L250" s="7" t="n">
        <v>2129.2</v>
      </c>
      <c r="M250" s="7" t="n">
        <v>0</v>
      </c>
      <c r="N250" s="7" t="n">
        <v>-2549.3</v>
      </c>
      <c r="O250" s="7" t="n">
        <v>0</v>
      </c>
      <c r="P250" s="7" t="n">
        <v>1677.5</v>
      </c>
      <c r="Q250" s="7" t="n">
        <v>0</v>
      </c>
      <c r="R250" s="7" t="n">
        <v>4357.2</v>
      </c>
      <c r="S250" s="7" t="n">
        <v>0</v>
      </c>
      <c r="T250" s="7" t="n">
        <v>3625</v>
      </c>
      <c r="U250" s="7" t="n">
        <v>0</v>
      </c>
      <c r="V250" s="7" t="n">
        <v>-2673.3</v>
      </c>
      <c r="W250" s="7" t="n">
        <v>0</v>
      </c>
      <c r="X250" s="7" t="n">
        <v>499.5</v>
      </c>
      <c r="Y250" s="7" t="n">
        <v>0</v>
      </c>
      <c r="Z250" s="7" t="n">
        <v>-4065.3</v>
      </c>
      <c r="AA250" s="7" t="n">
        <v>0</v>
      </c>
      <c r="AB250" s="7" t="n">
        <v>3365.7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17345.7</v>
      </c>
      <c r="D255" s="7" t="n">
        <v>9775.5</v>
      </c>
      <c r="E255" s="7" t="n">
        <v>16942.7</v>
      </c>
      <c r="F255" s="7" t="n">
        <v>24605.6</v>
      </c>
      <c r="G255" s="7" t="n">
        <v>17438.7</v>
      </c>
      <c r="H255" s="7" t="n">
        <v>26413.9</v>
      </c>
      <c r="I255" s="7" t="n">
        <v>19680.2</v>
      </c>
      <c r="J255" s="7" t="n">
        <v>8284.1</v>
      </c>
      <c r="K255" s="7" t="n">
        <v>20615</v>
      </c>
      <c r="L255" s="7" t="n">
        <v>14960.1</v>
      </c>
      <c r="M255" s="7" t="n">
        <v>16196.7</v>
      </c>
      <c r="N255" s="7" t="n">
        <v>7787.3</v>
      </c>
      <c r="O255" s="7" t="n">
        <v>18588.6</v>
      </c>
      <c r="P255" s="7" t="n">
        <v>29808.8</v>
      </c>
      <c r="Q255" s="7" t="n">
        <v>16005.2</v>
      </c>
      <c r="R255" s="7" t="n">
        <v>14717.5</v>
      </c>
      <c r="S255" s="7" t="n">
        <v>18055.2</v>
      </c>
      <c r="T255" s="7" t="n">
        <v>24607.9</v>
      </c>
      <c r="U255" s="7" t="n">
        <v>18295.2</v>
      </c>
      <c r="V255" s="7" t="n">
        <v>17556.2</v>
      </c>
      <c r="W255" s="7" t="n">
        <v>20025.2</v>
      </c>
      <c r="X255" s="7" t="n">
        <v>12734.6</v>
      </c>
      <c r="Y255" s="7" t="n">
        <v>16322.2</v>
      </c>
      <c r="Z255" s="7" t="n">
        <v>28774.7</v>
      </c>
      <c r="AA255" s="7" t="n">
        <v>215510.6</v>
      </c>
      <c r="AB255" s="7" t="n">
        <v>220026.2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246139.7</v>
      </c>
      <c r="D256" s="7" t="n">
        <v>138186.3</v>
      </c>
      <c r="E256" s="7" t="n">
        <v>228552.1</v>
      </c>
      <c r="F256" s="7" t="n">
        <v>218635.3</v>
      </c>
      <c r="G256" s="7" t="n">
        <v>277008.9</v>
      </c>
      <c r="H256" s="7" t="n">
        <v>223236.4</v>
      </c>
      <c r="I256" s="7" t="n">
        <v>250101.8</v>
      </c>
      <c r="J256" s="7" t="n">
        <v>174750.4</v>
      </c>
      <c r="K256" s="7" t="n">
        <v>273288.4</v>
      </c>
      <c r="L256" s="7" t="n">
        <v>259900.2</v>
      </c>
      <c r="M256" s="7" t="n">
        <v>292619.5</v>
      </c>
      <c r="N256" s="7" t="n">
        <v>209367.6</v>
      </c>
      <c r="O256" s="7" t="n">
        <v>275856.1</v>
      </c>
      <c r="P256" s="7" t="n">
        <v>436815.1</v>
      </c>
      <c r="Q256" s="7" t="n">
        <v>249162.2</v>
      </c>
      <c r="R256" s="7" t="n">
        <v>325850</v>
      </c>
      <c r="S256" s="7" t="n">
        <v>252201.9</v>
      </c>
      <c r="T256" s="7" t="n">
        <v>294636.2</v>
      </c>
      <c r="U256" s="7" t="n">
        <v>227621.5</v>
      </c>
      <c r="V256" s="7" t="n">
        <v>414131.3</v>
      </c>
      <c r="W256" s="7" t="n">
        <v>244207.6</v>
      </c>
      <c r="X256" s="7" t="n">
        <v>229413.1</v>
      </c>
      <c r="Y256" s="7" t="n">
        <v>250592.4</v>
      </c>
      <c r="Z256" s="7" t="n">
        <v>135864.5</v>
      </c>
      <c r="AA256" s="8" t="n">
        <v>3067352.1</v>
      </c>
      <c r="AB256" s="8" t="n">
        <v>3060786.4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136.6</v>
      </c>
      <c r="E257" s="7" t="n">
        <v>0</v>
      </c>
      <c r="F257" s="7" t="n">
        <v>1017.9</v>
      </c>
      <c r="G257" s="7" t="n">
        <v>0</v>
      </c>
      <c r="H257" s="7" t="n">
        <v>4134.6</v>
      </c>
      <c r="I257" s="7" t="n">
        <v>0</v>
      </c>
      <c r="J257" s="7" t="n">
        <v>2319.2</v>
      </c>
      <c r="K257" s="7" t="n">
        <v>0</v>
      </c>
      <c r="L257" s="7" t="n">
        <v>1808.3</v>
      </c>
      <c r="M257" s="7" t="n">
        <v>0</v>
      </c>
      <c r="N257" s="7" t="n">
        <v>4027.5</v>
      </c>
      <c r="O257" s="7" t="n">
        <v>0</v>
      </c>
      <c r="P257" s="7" t="n">
        <v>3773.5</v>
      </c>
      <c r="Q257" s="7" t="n">
        <v>0</v>
      </c>
      <c r="R257" s="7" t="n">
        <v>2403.4</v>
      </c>
      <c r="S257" s="7" t="n">
        <v>0</v>
      </c>
      <c r="T257" s="7" t="n">
        <v>4974.5</v>
      </c>
      <c r="U257" s="7" t="n">
        <v>0</v>
      </c>
      <c r="V257" s="7" t="n">
        <v>3763.2</v>
      </c>
      <c r="W257" s="7" t="n">
        <v>0</v>
      </c>
      <c r="X257" s="7" t="n">
        <v>2405.8</v>
      </c>
      <c r="Y257" s="7" t="n">
        <v>0</v>
      </c>
      <c r="Z257" s="7" t="n">
        <v>3613.3</v>
      </c>
      <c r="AA257" s="7" t="n">
        <v>0</v>
      </c>
      <c r="AB257" s="7" t="n">
        <v>34377.8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649.5</v>
      </c>
      <c r="E258" s="7" t="n">
        <v>0</v>
      </c>
      <c r="F258" s="7" t="n">
        <v>1460</v>
      </c>
      <c r="G258" s="7" t="n">
        <v>0</v>
      </c>
      <c r="H258" s="7" t="n">
        <v>920.7</v>
      </c>
      <c r="I258" s="7" t="n">
        <v>0</v>
      </c>
      <c r="J258" s="7" t="n">
        <v>684.8</v>
      </c>
      <c r="K258" s="7" t="n">
        <v>0</v>
      </c>
      <c r="L258" s="7" t="n">
        <v>47.8</v>
      </c>
      <c r="M258" s="7" t="n">
        <v>0</v>
      </c>
      <c r="N258" s="7" t="n">
        <v>557.1</v>
      </c>
      <c r="O258" s="7" t="n">
        <v>0</v>
      </c>
      <c r="P258" s="7" t="n">
        <v>1326.9</v>
      </c>
      <c r="Q258" s="7" t="n">
        <v>0</v>
      </c>
      <c r="R258" s="7" t="n">
        <v>2464</v>
      </c>
      <c r="S258" s="7" t="n">
        <v>0</v>
      </c>
      <c r="T258" s="7" t="n">
        <v>2521.6</v>
      </c>
      <c r="U258" s="7" t="n">
        <v>0</v>
      </c>
      <c r="V258" s="7" t="n">
        <v>1509.8</v>
      </c>
      <c r="W258" s="7" t="n">
        <v>0</v>
      </c>
      <c r="X258" s="7" t="n">
        <v>973</v>
      </c>
      <c r="Y258" s="7" t="n">
        <v>0</v>
      </c>
      <c r="Z258" s="7" t="n">
        <v>1377.1</v>
      </c>
      <c r="AA258" s="7" t="n">
        <v>0</v>
      </c>
      <c r="AB258" s="7" t="n">
        <v>14492.3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220617.9</v>
      </c>
      <c r="D259" s="7" t="n">
        <v>129371.9</v>
      </c>
      <c r="E259" s="7" t="n">
        <v>249041.8</v>
      </c>
      <c r="F259" s="7" t="n">
        <v>198949.8</v>
      </c>
      <c r="G259" s="7" t="n">
        <v>236325.3</v>
      </c>
      <c r="H259" s="7" t="n">
        <v>226032.3</v>
      </c>
      <c r="I259" s="7" t="n">
        <v>217904.7</v>
      </c>
      <c r="J259" s="7" t="n">
        <v>168890.3</v>
      </c>
      <c r="K259" s="7" t="n">
        <v>267132.7</v>
      </c>
      <c r="L259" s="7" t="n">
        <v>273964.8</v>
      </c>
      <c r="M259" s="7" t="n">
        <v>246024.7</v>
      </c>
      <c r="N259" s="7" t="n">
        <v>204946.9</v>
      </c>
      <c r="O259" s="7" t="n">
        <v>232969.1</v>
      </c>
      <c r="P259" s="7" t="n">
        <v>439268</v>
      </c>
      <c r="Q259" s="7" t="n">
        <v>253763.3</v>
      </c>
      <c r="R259" s="7" t="n">
        <v>357214.1</v>
      </c>
      <c r="S259" s="7" t="n">
        <v>222296.5</v>
      </c>
      <c r="T259" s="7" t="n">
        <v>317824.2</v>
      </c>
      <c r="U259" s="7" t="n">
        <v>281089.3</v>
      </c>
      <c r="V259" s="7" t="n">
        <v>388118.6</v>
      </c>
      <c r="W259" s="7" t="n">
        <v>232942.5</v>
      </c>
      <c r="X259" s="7" t="n">
        <v>230156.1</v>
      </c>
      <c r="Y259" s="7" t="n">
        <v>243036.9</v>
      </c>
      <c r="Z259" s="7" t="n">
        <v>130436.9</v>
      </c>
      <c r="AA259" s="8" t="n">
        <v>2903144.7</v>
      </c>
      <c r="AB259" s="8" t="n">
        <v>3065173.9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68199.39999999999</v>
      </c>
      <c r="D260" s="7" t="n">
        <v>32343</v>
      </c>
      <c r="E260" s="7" t="n">
        <v>72802.2</v>
      </c>
      <c r="F260" s="7" t="n">
        <v>49737.4</v>
      </c>
      <c r="G260" s="7" t="n">
        <v>61959</v>
      </c>
      <c r="H260" s="7" t="n">
        <v>56508.1</v>
      </c>
      <c r="I260" s="7" t="n">
        <v>62278.6</v>
      </c>
      <c r="J260" s="7" t="n">
        <v>42222.6</v>
      </c>
      <c r="K260" s="7" t="n">
        <v>56929.8</v>
      </c>
      <c r="L260" s="7" t="n">
        <v>68491.2</v>
      </c>
      <c r="M260" s="7" t="n">
        <v>65845.2</v>
      </c>
      <c r="N260" s="7" t="n">
        <v>51236.7</v>
      </c>
      <c r="O260" s="7" t="n">
        <v>58453.3</v>
      </c>
      <c r="P260" s="7" t="n">
        <v>109817</v>
      </c>
      <c r="Q260" s="7" t="n">
        <v>64413.6</v>
      </c>
      <c r="R260" s="7" t="n">
        <v>89303.5</v>
      </c>
      <c r="S260" s="7" t="n">
        <v>68111.39999999999</v>
      </c>
      <c r="T260" s="7" t="n">
        <v>79456.10000000001</v>
      </c>
      <c r="U260" s="7" t="n">
        <v>70292.60000000001</v>
      </c>
      <c r="V260" s="7" t="n">
        <v>97029.60000000001</v>
      </c>
      <c r="W260" s="7" t="n">
        <v>65914.89999999999</v>
      </c>
      <c r="X260" s="7" t="n">
        <v>57539</v>
      </c>
      <c r="Y260" s="7" t="n">
        <v>62065.4</v>
      </c>
      <c r="Z260" s="7" t="n">
        <v>32609.2</v>
      </c>
      <c r="AA260" s="7" t="n">
        <v>777265.4</v>
      </c>
      <c r="AB260" s="7" t="n">
        <v>766293.4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140703.8</v>
      </c>
      <c r="D261" s="7" t="n">
        <v>97028.89999999999</v>
      </c>
      <c r="E261" s="7" t="n">
        <v>227743.5</v>
      </c>
      <c r="F261" s="7" t="n">
        <v>149212.4</v>
      </c>
      <c r="G261" s="7" t="n">
        <v>169406.8</v>
      </c>
      <c r="H261" s="7" t="n">
        <v>169524.2</v>
      </c>
      <c r="I261" s="7" t="n">
        <v>178860.1</v>
      </c>
      <c r="J261" s="7" t="n">
        <v>126667.7</v>
      </c>
      <c r="K261" s="7" t="n">
        <v>152257.9</v>
      </c>
      <c r="L261" s="7" t="n">
        <v>205473.6</v>
      </c>
      <c r="M261" s="7" t="n">
        <v>196998.4</v>
      </c>
      <c r="N261" s="7" t="n">
        <v>153710.2</v>
      </c>
      <c r="O261" s="7" t="n">
        <v>201031.8</v>
      </c>
      <c r="P261" s="7" t="n">
        <v>329451</v>
      </c>
      <c r="Q261" s="7" t="n">
        <v>227323</v>
      </c>
      <c r="R261" s="7" t="n">
        <v>267910.6</v>
      </c>
      <c r="S261" s="7" t="n">
        <v>155090.6</v>
      </c>
      <c r="T261" s="7" t="n">
        <v>238368.1</v>
      </c>
      <c r="U261" s="7" t="n">
        <v>144530.2</v>
      </c>
      <c r="V261" s="7" t="n">
        <v>291089</v>
      </c>
      <c r="W261" s="7" t="n">
        <v>236410.4</v>
      </c>
      <c r="X261" s="7" t="n">
        <v>172617.1</v>
      </c>
      <c r="Y261" s="7" t="n">
        <v>207272.1</v>
      </c>
      <c r="Z261" s="7" t="n">
        <v>97827.7</v>
      </c>
      <c r="AA261" s="8" t="n">
        <v>2237628.6</v>
      </c>
      <c r="AB261" s="8" t="n">
        <v>2298880.5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19555.8</v>
      </c>
      <c r="E262" s="7" t="n">
        <v>0</v>
      </c>
      <c r="F262" s="7" t="n">
        <v>1352.3</v>
      </c>
      <c r="G262" s="7" t="n">
        <v>0</v>
      </c>
      <c r="H262" s="7" t="n">
        <v>13388</v>
      </c>
      <c r="I262" s="7" t="n">
        <v>0</v>
      </c>
      <c r="J262" s="7" t="n">
        <v>34904.1</v>
      </c>
      <c r="K262" s="7" t="n">
        <v>0</v>
      </c>
      <c r="L262" s="7" t="n">
        <v>32258.3</v>
      </c>
      <c r="M262" s="7" t="n">
        <v>0</v>
      </c>
      <c r="N262" s="7" t="n">
        <v>18140.2</v>
      </c>
      <c r="O262" s="7" t="n">
        <v>0</v>
      </c>
      <c r="P262" s="7" t="n">
        <v>67151</v>
      </c>
      <c r="Q262" s="7" t="n">
        <v>0</v>
      </c>
      <c r="R262" s="7" t="n">
        <v>14175</v>
      </c>
      <c r="S262" s="7" t="n">
        <v>0</v>
      </c>
      <c r="T262" s="7" t="n">
        <v>49622.6</v>
      </c>
      <c r="U262" s="7" t="n">
        <v>0</v>
      </c>
      <c r="V262" s="7" t="n">
        <v>68129.89999999999</v>
      </c>
      <c r="W262" s="7" t="n">
        <v>0</v>
      </c>
      <c r="X262" s="7" t="n">
        <v>40258.8</v>
      </c>
      <c r="Y262" s="7" t="n">
        <v>0</v>
      </c>
      <c r="Z262" s="7" t="n">
        <v>7622</v>
      </c>
      <c r="AA262" s="7" t="n">
        <v>0</v>
      </c>
      <c r="AB262" s="7" t="n">
        <v>366558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140703.8</v>
      </c>
      <c r="D263" s="7" t="n">
        <v>77473.10000000001</v>
      </c>
      <c r="E263" s="7" t="n">
        <v>227743.5</v>
      </c>
      <c r="F263" s="7" t="n">
        <v>147860.1</v>
      </c>
      <c r="G263" s="7" t="n">
        <v>169406.8</v>
      </c>
      <c r="H263" s="7" t="n">
        <v>156136.2</v>
      </c>
      <c r="I263" s="7" t="n">
        <v>178860.1</v>
      </c>
      <c r="J263" s="7" t="n">
        <v>91763.60000000001</v>
      </c>
      <c r="K263" s="7" t="n">
        <v>152257.9</v>
      </c>
      <c r="L263" s="7" t="n">
        <v>173215.3</v>
      </c>
      <c r="M263" s="7" t="n">
        <v>196998.4</v>
      </c>
      <c r="N263" s="7" t="n">
        <v>135570</v>
      </c>
      <c r="O263" s="7" t="n">
        <v>201031.8</v>
      </c>
      <c r="P263" s="7" t="n">
        <v>262300</v>
      </c>
      <c r="Q263" s="7" t="n">
        <v>227323</v>
      </c>
      <c r="R263" s="7" t="n">
        <v>253735.6</v>
      </c>
      <c r="S263" s="7" t="n">
        <v>155090.6</v>
      </c>
      <c r="T263" s="7" t="n">
        <v>188745.5</v>
      </c>
      <c r="U263" s="7" t="n">
        <v>144530.2</v>
      </c>
      <c r="V263" s="7" t="n">
        <v>222959.1</v>
      </c>
      <c r="W263" s="7" t="n">
        <v>236410.4</v>
      </c>
      <c r="X263" s="7" t="n">
        <v>132358.3</v>
      </c>
      <c r="Y263" s="7" t="n">
        <v>207272.1</v>
      </c>
      <c r="Z263" s="7" t="n">
        <v>90205.7</v>
      </c>
      <c r="AA263" s="8" t="n">
        <v>2237628.6</v>
      </c>
      <c r="AB263" s="8" t="n">
        <v>1932322.5</v>
      </c>
    </row>
    <row r="264">
      <c r="A264" s="4" t="inlineStr">
        <is>
          <t>净利率</t>
        </is>
      </c>
      <c r="D264" s="13" t="n">
        <v>7.5</v>
      </c>
      <c r="F264" s="13" t="n">
        <v>8.4</v>
      </c>
      <c r="H264" s="13" t="n">
        <v>8</v>
      </c>
      <c r="J264" s="13" t="n">
        <v>5.1</v>
      </c>
      <c r="L264" s="13" t="n">
        <v>7.9</v>
      </c>
      <c r="N264" s="13" t="n">
        <v>5.3</v>
      </c>
      <c r="P264" s="13" t="n">
        <v>10.2</v>
      </c>
      <c r="R264" s="13" t="n">
        <v>9.699999999999999</v>
      </c>
      <c r="T264" s="13" t="n">
        <v>10.2</v>
      </c>
      <c r="V264" s="13" t="n">
        <v>9.699999999999999</v>
      </c>
      <c r="X264" s="13" t="n">
        <v>7.6</v>
      </c>
      <c r="Z264" s="13" t="n">
        <v>5.7</v>
      </c>
    </row>
    <row r="265">
      <c r="A265" s="4" t="inlineStr">
        <is>
          <t>销售达成率</t>
        </is>
      </c>
      <c r="D265" s="13" t="n">
        <v>56.7</v>
      </c>
      <c r="F265" s="13" t="n">
        <v>70.40000000000001</v>
      </c>
      <c r="H265" s="13" t="n">
        <v>85.2</v>
      </c>
      <c r="J265" s="13" t="n">
        <v>93.8</v>
      </c>
      <c r="L265" s="13" t="n">
        <v>98.90000000000001</v>
      </c>
      <c r="N265" s="13" t="n">
        <v>109</v>
      </c>
      <c r="P265" s="13" t="n">
        <v>140.8</v>
      </c>
      <c r="R265" s="13" t="n">
        <v>123</v>
      </c>
      <c r="T265" s="13" t="n">
        <v>92.09999999999999</v>
      </c>
      <c r="V265" s="13" t="n">
        <v>117.2</v>
      </c>
      <c r="X265" s="13" t="n">
        <v>86.09999999999999</v>
      </c>
      <c r="Z265" s="13" t="n">
        <v>83.2</v>
      </c>
    </row>
    <row r="266">
      <c r="A266" s="4" t="inlineStr">
        <is>
          <t>净利达成率</t>
        </is>
      </c>
      <c r="D266" s="13" t="n">
        <v>69</v>
      </c>
      <c r="F266" s="13" t="n">
        <v>65.5</v>
      </c>
      <c r="H266" s="13" t="n">
        <v>100.1</v>
      </c>
      <c r="J266" s="13" t="n">
        <v>70.8</v>
      </c>
      <c r="L266" s="13" t="n">
        <v>135</v>
      </c>
      <c r="N266" s="13" t="n">
        <v>78</v>
      </c>
      <c r="P266" s="13" t="n">
        <v>163.9</v>
      </c>
      <c r="R266" s="13" t="n">
        <v>117.9</v>
      </c>
      <c r="T266" s="13" t="n">
        <v>153.7</v>
      </c>
      <c r="V266" s="13" t="n">
        <v>201.4</v>
      </c>
      <c r="X266" s="13" t="n">
        <v>73</v>
      </c>
      <c r="Z266" s="13" t="n">
        <v>47.2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安徽省区利润表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1322469.7</v>
      </c>
      <c r="D6" s="7" t="n">
        <v>788444.1</v>
      </c>
      <c r="E6" s="7" t="n">
        <v>1489362.7</v>
      </c>
      <c r="F6" s="7" t="n">
        <v>853096.5</v>
      </c>
      <c r="G6" s="7" t="n">
        <v>1156632.6</v>
      </c>
      <c r="H6" s="7" t="n">
        <v>1072721.4</v>
      </c>
      <c r="I6" s="7" t="n">
        <v>1159537.2</v>
      </c>
      <c r="J6" s="7" t="n">
        <v>1353114.5</v>
      </c>
      <c r="K6" s="7" t="n">
        <v>1369433.5</v>
      </c>
      <c r="L6" s="7" t="n">
        <v>1492543.2</v>
      </c>
      <c r="M6" s="7" t="n">
        <v>1153525.6</v>
      </c>
      <c r="N6" s="7" t="n">
        <v>1639104.3</v>
      </c>
      <c r="O6" s="7" t="n">
        <v>1236820</v>
      </c>
      <c r="P6" s="7" t="n">
        <v>1690329.5</v>
      </c>
      <c r="Q6" s="7" t="n">
        <v>1379293.3</v>
      </c>
      <c r="R6" s="7" t="n">
        <v>1533252.6</v>
      </c>
      <c r="S6" s="7" t="n">
        <v>1345582.9</v>
      </c>
      <c r="T6" s="7" t="n">
        <v>1447715.4</v>
      </c>
      <c r="U6" s="7" t="n">
        <v>1256782.6</v>
      </c>
      <c r="V6" s="7" t="n">
        <v>1503677</v>
      </c>
      <c r="W6" s="7" t="n">
        <v>1523155.3</v>
      </c>
      <c r="X6" s="7" t="n">
        <v>1385168.3</v>
      </c>
      <c r="Y6" s="7" t="n">
        <v>1338500.4</v>
      </c>
      <c r="Z6" s="7" t="n">
        <v>952387.7</v>
      </c>
      <c r="AA6" s="8" t="n">
        <v>15731095.8</v>
      </c>
      <c r="AB6" s="8" t="n">
        <v>15711554.5</v>
      </c>
    </row>
    <row r="7">
      <c r="A7" s="4" t="inlineStr">
        <is>
          <t>中式汤底</t>
        </is>
      </c>
      <c r="D7" s="7" t="n">
        <v>96735.7</v>
      </c>
      <c r="F7" s="7" t="n">
        <v>122410.6</v>
      </c>
      <c r="H7" s="7" t="n">
        <v>130289.4</v>
      </c>
      <c r="J7" s="7" t="n">
        <v>254542.4</v>
      </c>
      <c r="L7" s="7" t="n">
        <v>179360.6</v>
      </c>
      <c r="N7" s="7" t="n">
        <v>223375.4</v>
      </c>
      <c r="P7" s="7" t="n">
        <v>288936.1</v>
      </c>
      <c r="R7" s="7" t="n">
        <v>191834.2</v>
      </c>
      <c r="T7" s="7" t="n">
        <v>168131.6</v>
      </c>
      <c r="V7" s="7" t="n">
        <v>243706.9</v>
      </c>
      <c r="X7" s="7" t="n">
        <v>192608.4</v>
      </c>
      <c r="Z7" s="7" t="n">
        <v>186062.3</v>
      </c>
      <c r="AB7" s="7" t="n">
        <v>2277993.6</v>
      </c>
    </row>
    <row r="8">
      <c r="A8" s="4" t="inlineStr">
        <is>
          <t>酱料</t>
        </is>
      </c>
      <c r="D8" s="7" t="n">
        <v>142909.9</v>
      </c>
      <c r="F8" s="7" t="n">
        <v>158295.3</v>
      </c>
      <c r="H8" s="7" t="n">
        <v>224518.5</v>
      </c>
      <c r="J8" s="7" t="n">
        <v>231419.2</v>
      </c>
      <c r="L8" s="7" t="n">
        <v>297309.1</v>
      </c>
      <c r="N8" s="7" t="n">
        <v>307845.6</v>
      </c>
      <c r="P8" s="7" t="n">
        <v>257733.2</v>
      </c>
      <c r="R8" s="7" t="n">
        <v>256640.7</v>
      </c>
      <c r="T8" s="7" t="n">
        <v>246366.4</v>
      </c>
      <c r="V8" s="7" t="n">
        <v>314028.6</v>
      </c>
      <c r="X8" s="7" t="n">
        <v>243164.6</v>
      </c>
      <c r="Z8" s="7" t="n">
        <v>134815.3</v>
      </c>
      <c r="AB8" s="7" t="n">
        <v>2815046.4</v>
      </c>
    </row>
    <row r="9">
      <c r="A9" s="4" t="inlineStr">
        <is>
          <t>川味底料</t>
        </is>
      </c>
      <c r="D9" s="7" t="n">
        <v>96956.3</v>
      </c>
      <c r="F9" s="7" t="n">
        <v>87070.8</v>
      </c>
      <c r="H9" s="7" t="n">
        <v>102798.7</v>
      </c>
      <c r="J9" s="7" t="n">
        <v>145174.9</v>
      </c>
      <c r="L9" s="7" t="n">
        <v>158891.6</v>
      </c>
      <c r="N9" s="7" t="n">
        <v>203931</v>
      </c>
      <c r="P9" s="7" t="n">
        <v>220285.5</v>
      </c>
      <c r="R9" s="7" t="n">
        <v>184691.7</v>
      </c>
      <c r="T9" s="7" t="n">
        <v>128097.4</v>
      </c>
      <c r="V9" s="7" t="n">
        <v>217452.6</v>
      </c>
      <c r="X9" s="7" t="n">
        <v>163365.7</v>
      </c>
      <c r="Z9" s="7" t="n">
        <v>112630.6</v>
      </c>
      <c r="AB9" s="7" t="n">
        <v>1821346.8</v>
      </c>
    </row>
    <row r="10">
      <c r="A10" s="4" t="inlineStr">
        <is>
          <t>调味汁</t>
        </is>
      </c>
      <c r="D10" s="7" t="n">
        <v>152931.6</v>
      </c>
      <c r="F10" s="7" t="n">
        <v>177161.6</v>
      </c>
      <c r="H10" s="7" t="n">
        <v>198208.2</v>
      </c>
      <c r="J10" s="7" t="n">
        <v>237849.4</v>
      </c>
      <c r="L10" s="7" t="n">
        <v>249079.8</v>
      </c>
      <c r="N10" s="7" t="n">
        <v>326919.4</v>
      </c>
      <c r="P10" s="7" t="n">
        <v>235410.8</v>
      </c>
      <c r="R10" s="7" t="n">
        <v>291703</v>
      </c>
      <c r="T10" s="7" t="n">
        <v>269195.6</v>
      </c>
      <c r="V10" s="7" t="n">
        <v>190830.9</v>
      </c>
      <c r="X10" s="7" t="n">
        <v>241593.2</v>
      </c>
      <c r="Z10" s="7" t="n">
        <v>142551.5</v>
      </c>
      <c r="AB10" s="7" t="n">
        <v>2713435</v>
      </c>
    </row>
    <row r="11">
      <c r="A11" s="4" t="inlineStr">
        <is>
          <t>复合调味粉</t>
        </is>
      </c>
      <c r="D11" s="7" t="n">
        <v>112009.5</v>
      </c>
      <c r="F11" s="7" t="n">
        <v>112273.8</v>
      </c>
      <c r="H11" s="7" t="n">
        <v>148746.1</v>
      </c>
      <c r="J11" s="7" t="n">
        <v>233145.6</v>
      </c>
      <c r="L11" s="7" t="n">
        <v>294917.3</v>
      </c>
      <c r="N11" s="7" t="n">
        <v>290706.3</v>
      </c>
      <c r="P11" s="7" t="n">
        <v>260920.7</v>
      </c>
      <c r="R11" s="7" t="n">
        <v>231173.7</v>
      </c>
      <c r="T11" s="7" t="n">
        <v>268810.6</v>
      </c>
      <c r="V11" s="7" t="n">
        <v>234095.2</v>
      </c>
      <c r="X11" s="7" t="n">
        <v>241819.2</v>
      </c>
      <c r="Z11" s="7" t="n">
        <v>112465.9</v>
      </c>
      <c r="AB11" s="7" t="n">
        <v>2541083.9</v>
      </c>
    </row>
    <row r="12">
      <c r="A12" s="4" t="inlineStr">
        <is>
          <t>团餐</t>
        </is>
      </c>
      <c r="D12" s="7" t="n">
        <v>104338.5</v>
      </c>
      <c r="F12" s="7" t="n">
        <v>88822.7</v>
      </c>
      <c r="H12" s="7" t="n">
        <v>94059.39999999999</v>
      </c>
      <c r="J12" s="7" t="n">
        <v>131477.4</v>
      </c>
      <c r="L12" s="7" t="n">
        <v>161304.2</v>
      </c>
      <c r="N12" s="7" t="n">
        <v>115603.7</v>
      </c>
      <c r="P12" s="7" t="n">
        <v>148662.1</v>
      </c>
      <c r="R12" s="7" t="n">
        <v>154424.6</v>
      </c>
      <c r="T12" s="7" t="n">
        <v>156650.9</v>
      </c>
      <c r="V12" s="7" t="n">
        <v>134539.2</v>
      </c>
      <c r="X12" s="7" t="n">
        <v>109122.6</v>
      </c>
      <c r="Z12" s="7" t="n">
        <v>117339.8</v>
      </c>
      <c r="AB12" s="7" t="n">
        <v>1516345.1</v>
      </c>
    </row>
    <row r="13">
      <c r="A13" s="4" t="inlineStr">
        <is>
          <t>预制菜</t>
        </is>
      </c>
      <c r="D13" s="7" t="n">
        <v>91968.89999999999</v>
      </c>
      <c r="F13" s="7" t="n">
        <v>115967.3</v>
      </c>
      <c r="H13" s="7" t="n">
        <v>192274.9</v>
      </c>
      <c r="J13" s="7" t="n">
        <v>138106.2</v>
      </c>
      <c r="L13" s="7" t="n">
        <v>180598.6</v>
      </c>
      <c r="N13" s="7" t="n">
        <v>188083.7</v>
      </c>
      <c r="P13" s="7" t="n">
        <v>289987.1</v>
      </c>
      <c r="R13" s="7" t="n">
        <v>245881.3</v>
      </c>
      <c r="T13" s="7" t="n">
        <v>227309.9</v>
      </c>
      <c r="V13" s="7" t="n">
        <v>178939.5</v>
      </c>
      <c r="X13" s="7" t="n">
        <v>222189.1</v>
      </c>
      <c r="Z13" s="7" t="n">
        <v>159543.2</v>
      </c>
      <c r="AB13" s="7" t="n">
        <v>2230849.7</v>
      </c>
    </row>
    <row r="14">
      <c r="A14" s="4" t="inlineStr">
        <is>
          <t>返利</t>
        </is>
      </c>
      <c r="D14" s="7" t="n">
        <v>-13513.2</v>
      </c>
      <c r="F14" s="7" t="n">
        <v>-9057.9</v>
      </c>
      <c r="H14" s="7" t="n">
        <v>-22359.6</v>
      </c>
      <c r="J14" s="7" t="n">
        <v>-36604</v>
      </c>
      <c r="L14" s="7" t="n">
        <v>-38706.1</v>
      </c>
      <c r="N14" s="7" t="n">
        <v>-32276.7</v>
      </c>
      <c r="P14" s="7" t="n">
        <v>-36683.9</v>
      </c>
      <c r="R14" s="7" t="n">
        <v>-38666.1</v>
      </c>
      <c r="T14" s="7" t="n">
        <v>-42677.1</v>
      </c>
      <c r="V14" s="7" t="n">
        <v>-25046.1</v>
      </c>
      <c r="X14" s="7" t="n">
        <v>-38280.5</v>
      </c>
      <c r="Z14" s="7" t="n">
        <v>-17938.5</v>
      </c>
      <c r="AB14" s="7" t="n">
        <v>-351809.7</v>
      </c>
    </row>
    <row r="15">
      <c r="A15" s="4" t="inlineStr">
        <is>
          <t>其他</t>
        </is>
      </c>
      <c r="D15" s="7" t="n">
        <v>4106.9</v>
      </c>
      <c r="F15" s="7" t="n">
        <v>152.3</v>
      </c>
      <c r="H15" s="7" t="n">
        <v>4185.8</v>
      </c>
      <c r="J15" s="7" t="n">
        <v>18003.4</v>
      </c>
      <c r="L15" s="7" t="n">
        <v>9788.1</v>
      </c>
      <c r="N15" s="7" t="n">
        <v>14915.9</v>
      </c>
      <c r="P15" s="7" t="n">
        <v>25077.9</v>
      </c>
      <c r="R15" s="7" t="n">
        <v>15569.5</v>
      </c>
      <c r="T15" s="7" t="n">
        <v>25830.1</v>
      </c>
      <c r="V15" s="7" t="n">
        <v>15130.2</v>
      </c>
      <c r="X15" s="7" t="n">
        <v>9586</v>
      </c>
      <c r="Z15" s="7" t="n">
        <v>4917.6</v>
      </c>
      <c r="AB15" s="7" t="n">
        <v>147263.7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821906.3</v>
      </c>
      <c r="D16" s="7" t="n">
        <v>540683.8</v>
      </c>
      <c r="E16" s="7" t="n">
        <v>782263.9</v>
      </c>
      <c r="F16" s="7" t="n">
        <v>573345</v>
      </c>
      <c r="G16" s="7" t="n">
        <v>813746.1</v>
      </c>
      <c r="H16" s="7" t="n">
        <v>749440.6</v>
      </c>
      <c r="I16" s="7" t="n">
        <v>1021314.3</v>
      </c>
      <c r="J16" s="7" t="n">
        <v>913490.6</v>
      </c>
      <c r="K16" s="7" t="n">
        <v>805948</v>
      </c>
      <c r="L16" s="7" t="n">
        <v>1050767.8</v>
      </c>
      <c r="M16" s="7" t="n">
        <v>794067.2</v>
      </c>
      <c r="N16" s="7" t="n">
        <v>1128108.5</v>
      </c>
      <c r="O16" s="7" t="n">
        <v>972069.8</v>
      </c>
      <c r="P16" s="7" t="n">
        <v>1153424.9</v>
      </c>
      <c r="Q16" s="7" t="n">
        <v>992171.4</v>
      </c>
      <c r="R16" s="7" t="n">
        <v>1046530.8</v>
      </c>
      <c r="S16" s="7" t="n">
        <v>990607.3</v>
      </c>
      <c r="T16" s="7" t="n">
        <v>981631.4</v>
      </c>
      <c r="U16" s="7" t="n">
        <v>942236.9</v>
      </c>
      <c r="V16" s="7" t="n">
        <v>1037239.3</v>
      </c>
      <c r="W16" s="7" t="n">
        <v>898660.8</v>
      </c>
      <c r="X16" s="7" t="n">
        <v>980635.5</v>
      </c>
      <c r="Y16" s="7" t="n">
        <v>930203.6</v>
      </c>
      <c r="Z16" s="7" t="n">
        <v>660769.5</v>
      </c>
      <c r="AA16" s="8" t="n">
        <v>10765195.6</v>
      </c>
      <c r="AB16" s="8" t="n">
        <v>10816067.7</v>
      </c>
    </row>
    <row r="17">
      <c r="A17" s="4" t="inlineStr">
        <is>
          <t>中式汤底</t>
        </is>
      </c>
      <c r="D17" s="7" t="n">
        <v>63293.2</v>
      </c>
      <c r="F17" s="7" t="n">
        <v>80092.10000000001</v>
      </c>
      <c r="H17" s="7" t="n">
        <v>85247.10000000001</v>
      </c>
      <c r="J17" s="7" t="n">
        <v>166544.6</v>
      </c>
      <c r="L17" s="7" t="n">
        <v>117353.9</v>
      </c>
      <c r="N17" s="7" t="n">
        <v>146152.3</v>
      </c>
      <c r="P17" s="7" t="n">
        <v>189048.1</v>
      </c>
      <c r="R17" s="7" t="n">
        <v>125515.2</v>
      </c>
      <c r="T17" s="7" t="n">
        <v>110006.9</v>
      </c>
      <c r="V17" s="7" t="n">
        <v>159455</v>
      </c>
      <c r="X17" s="7" t="n">
        <v>126021.8</v>
      </c>
      <c r="Z17" s="7" t="n">
        <v>121738.7</v>
      </c>
      <c r="AB17" s="7" t="n">
        <v>1490468.9</v>
      </c>
    </row>
    <row r="18">
      <c r="A18" s="4" t="inlineStr">
        <is>
          <t>酱料</t>
        </is>
      </c>
      <c r="D18" s="7" t="n">
        <v>91692.2</v>
      </c>
      <c r="F18" s="7" t="n">
        <v>101563.6</v>
      </c>
      <c r="H18" s="7" t="n">
        <v>144053</v>
      </c>
      <c r="J18" s="7" t="n">
        <v>148480.5</v>
      </c>
      <c r="L18" s="7" t="n">
        <v>190756</v>
      </c>
      <c r="N18" s="7" t="n">
        <v>197516.4</v>
      </c>
      <c r="P18" s="7" t="n">
        <v>165363.8</v>
      </c>
      <c r="R18" s="7" t="n">
        <v>164662.9</v>
      </c>
      <c r="T18" s="7" t="n">
        <v>158070.8</v>
      </c>
      <c r="V18" s="7" t="n">
        <v>201483.4</v>
      </c>
      <c r="X18" s="7" t="n">
        <v>156016.5</v>
      </c>
      <c r="Z18" s="7" t="n">
        <v>86498.60000000001</v>
      </c>
      <c r="AB18" s="7" t="n">
        <v>1806157.7</v>
      </c>
    </row>
    <row r="19">
      <c r="A19" s="4" t="inlineStr">
        <is>
          <t>川味底料</t>
        </is>
      </c>
      <c r="D19" s="7" t="n">
        <v>72019.60000000001</v>
      </c>
      <c r="F19" s="7" t="n">
        <v>64676.6</v>
      </c>
      <c r="H19" s="7" t="n">
        <v>76359.39999999999</v>
      </c>
      <c r="J19" s="7" t="n">
        <v>107836.7</v>
      </c>
      <c r="L19" s="7" t="n">
        <v>118025.5</v>
      </c>
      <c r="N19" s="7" t="n">
        <v>151481</v>
      </c>
      <c r="P19" s="7" t="n">
        <v>163629.2</v>
      </c>
      <c r="R19" s="7" t="n">
        <v>137190</v>
      </c>
      <c r="T19" s="7" t="n">
        <v>95151.39999999999</v>
      </c>
      <c r="V19" s="7" t="n">
        <v>161524.9</v>
      </c>
      <c r="X19" s="7" t="n">
        <v>121348.9</v>
      </c>
      <c r="Z19" s="7" t="n">
        <v>83662.60000000001</v>
      </c>
      <c r="AB19" s="7" t="n">
        <v>1352905.8</v>
      </c>
    </row>
    <row r="20">
      <c r="A20" s="4" t="inlineStr">
        <is>
          <t>调味汁</t>
        </is>
      </c>
      <c r="D20" s="7" t="n">
        <v>85972.8</v>
      </c>
      <c r="F20" s="7" t="n">
        <v>99594.10000000001</v>
      </c>
      <c r="H20" s="7" t="n">
        <v>111425.7</v>
      </c>
      <c r="J20" s="7" t="n">
        <v>133710.6</v>
      </c>
      <c r="L20" s="7" t="n">
        <v>140024</v>
      </c>
      <c r="N20" s="7" t="n">
        <v>183782.7</v>
      </c>
      <c r="P20" s="7" t="n">
        <v>132339.7</v>
      </c>
      <c r="R20" s="7" t="n">
        <v>163985.2</v>
      </c>
      <c r="T20" s="7" t="n">
        <v>151332.4</v>
      </c>
      <c r="V20" s="7" t="n">
        <v>107278.5</v>
      </c>
      <c r="X20" s="7" t="n">
        <v>135815.3</v>
      </c>
      <c r="Z20" s="7" t="n">
        <v>80137.5</v>
      </c>
      <c r="AB20" s="7" t="n">
        <v>1525398.5</v>
      </c>
    </row>
    <row r="21">
      <c r="A21" s="4" t="inlineStr">
        <is>
          <t>复合调味粉</t>
        </is>
      </c>
      <c r="D21" s="7" t="n">
        <v>72335.3</v>
      </c>
      <c r="F21" s="7" t="n">
        <v>72506</v>
      </c>
      <c r="H21" s="7" t="n">
        <v>96059.7</v>
      </c>
      <c r="J21" s="7" t="n">
        <v>150564.6</v>
      </c>
      <c r="L21" s="7" t="n">
        <v>190456.5</v>
      </c>
      <c r="N21" s="7" t="n">
        <v>187737.1</v>
      </c>
      <c r="P21" s="7" t="n">
        <v>168501.6</v>
      </c>
      <c r="R21" s="7" t="n">
        <v>149291.1</v>
      </c>
      <c r="T21" s="7" t="n">
        <v>173596.9</v>
      </c>
      <c r="V21" s="7" t="n">
        <v>151177.8</v>
      </c>
      <c r="X21" s="7" t="n">
        <v>156166</v>
      </c>
      <c r="Z21" s="7" t="n">
        <v>72630.10000000001</v>
      </c>
      <c r="AB21" s="7" t="n">
        <v>1641022.7</v>
      </c>
    </row>
    <row r="22">
      <c r="A22" s="4" t="inlineStr">
        <is>
          <t>团餐</t>
        </is>
      </c>
      <c r="D22" s="7" t="n">
        <v>65767</v>
      </c>
      <c r="F22" s="7" t="n">
        <v>55987</v>
      </c>
      <c r="H22" s="7" t="n">
        <v>59287.8</v>
      </c>
      <c r="J22" s="7" t="n">
        <v>82873.3</v>
      </c>
      <c r="L22" s="7" t="n">
        <v>101673.8</v>
      </c>
      <c r="N22" s="7" t="n">
        <v>72867.7</v>
      </c>
      <c r="P22" s="7" t="n">
        <v>93705.2</v>
      </c>
      <c r="R22" s="7" t="n">
        <v>97337.39999999999</v>
      </c>
      <c r="T22" s="7" t="n">
        <v>98740.7</v>
      </c>
      <c r="V22" s="7" t="n">
        <v>84803.2</v>
      </c>
      <c r="X22" s="7" t="n">
        <v>68782.5</v>
      </c>
      <c r="Z22" s="7" t="n">
        <v>73962</v>
      </c>
      <c r="AB22" s="7" t="n">
        <v>955787.6</v>
      </c>
    </row>
    <row r="23">
      <c r="A23" s="4" t="inlineStr">
        <is>
          <t>预制菜</t>
        </is>
      </c>
      <c r="D23" s="7" t="n">
        <v>63202.8</v>
      </c>
      <c r="F23" s="7" t="n">
        <v>79695</v>
      </c>
      <c r="H23" s="7" t="n">
        <v>132135.1</v>
      </c>
      <c r="J23" s="7" t="n">
        <v>94909.3</v>
      </c>
      <c r="L23" s="7" t="n">
        <v>124110.9</v>
      </c>
      <c r="N23" s="7" t="n">
        <v>129254.8</v>
      </c>
      <c r="P23" s="7" t="n">
        <v>199284.8</v>
      </c>
      <c r="R23" s="7" t="n">
        <v>168974.4</v>
      </c>
      <c r="T23" s="7" t="n">
        <v>156211.8</v>
      </c>
      <c r="V23" s="7" t="n">
        <v>122970.7</v>
      </c>
      <c r="X23" s="7" t="n">
        <v>152692.7</v>
      </c>
      <c r="Z23" s="7" t="n">
        <v>109641.2</v>
      </c>
      <c r="AB23" s="7" t="n">
        <v>1533083.5</v>
      </c>
    </row>
    <row r="24">
      <c r="A24" s="4" t="inlineStr">
        <is>
          <t>其他</t>
        </is>
      </c>
      <c r="D24" s="7" t="n">
        <v>9963.799999999999</v>
      </c>
      <c r="F24" s="7" t="n">
        <v>1181.5</v>
      </c>
      <c r="H24" s="7" t="n">
        <v>2316.4</v>
      </c>
      <c r="J24" s="7" t="n">
        <v>13794.8</v>
      </c>
      <c r="L24" s="7" t="n">
        <v>3096.8</v>
      </c>
      <c r="N24" s="7" t="n">
        <v>18875.7</v>
      </c>
      <c r="P24" s="7" t="n">
        <v>8271.200000000001</v>
      </c>
      <c r="R24" s="7" t="n">
        <v>5819.2</v>
      </c>
      <c r="T24" s="7" t="n">
        <v>15790.5</v>
      </c>
      <c r="V24" s="7" t="n">
        <v>7991.6</v>
      </c>
      <c r="X24" s="7" t="n">
        <v>10148.7</v>
      </c>
      <c r="Z24" s="7" t="n">
        <v>406.9</v>
      </c>
      <c r="AB24" s="7" t="n">
        <v>97657.10000000001</v>
      </c>
    </row>
    <row r="25">
      <c r="A25" s="4" t="inlineStr">
        <is>
          <t>运费</t>
        </is>
      </c>
      <c r="D25" s="7" t="n">
        <v>26400.9</v>
      </c>
      <c r="F25" s="7" t="n">
        <v>19230.6</v>
      </c>
      <c r="H25" s="7" t="n">
        <v>44872.8</v>
      </c>
      <c r="J25" s="7" t="n">
        <v>28571</v>
      </c>
      <c r="L25" s="7" t="n">
        <v>68367.2</v>
      </c>
      <c r="N25" s="7" t="n">
        <v>59316.5</v>
      </c>
      <c r="P25" s="7" t="n">
        <v>41552.5</v>
      </c>
      <c r="R25" s="7" t="n">
        <v>39574.6</v>
      </c>
      <c r="T25" s="7" t="n">
        <v>38520.5</v>
      </c>
      <c r="V25" s="7" t="n">
        <v>48545.8</v>
      </c>
      <c r="X25" s="7" t="n">
        <v>63791.8</v>
      </c>
      <c r="Z25" s="7" t="n">
        <v>32498.8</v>
      </c>
      <c r="AB25" s="7" t="n">
        <v>511243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500563.4</v>
      </c>
      <c r="D26" s="7" t="n">
        <v>247760.3</v>
      </c>
      <c r="E26" s="7" t="n">
        <v>707098.8</v>
      </c>
      <c r="F26" s="7" t="n">
        <v>279751.5</v>
      </c>
      <c r="G26" s="7" t="n">
        <v>342886.5</v>
      </c>
      <c r="H26" s="7" t="n">
        <v>323280.8</v>
      </c>
      <c r="I26" s="7" t="n">
        <v>138222.9</v>
      </c>
      <c r="J26" s="7" t="n">
        <v>439623.9</v>
      </c>
      <c r="K26" s="7" t="n">
        <v>563485.5</v>
      </c>
      <c r="L26" s="7" t="n">
        <v>441775.4</v>
      </c>
      <c r="M26" s="7" t="n">
        <v>359458.4</v>
      </c>
      <c r="N26" s="7" t="n">
        <v>510995.8</v>
      </c>
      <c r="O26" s="7" t="n">
        <v>264750.2</v>
      </c>
      <c r="P26" s="7" t="n">
        <v>536904.6</v>
      </c>
      <c r="Q26" s="7" t="n">
        <v>387121.9</v>
      </c>
      <c r="R26" s="7" t="n">
        <v>486721.8</v>
      </c>
      <c r="S26" s="7" t="n">
        <v>354975.6</v>
      </c>
      <c r="T26" s="7" t="n">
        <v>466084</v>
      </c>
      <c r="U26" s="7" t="n">
        <v>314545.7</v>
      </c>
      <c r="V26" s="7" t="n">
        <v>466437.7</v>
      </c>
      <c r="W26" s="7" t="n">
        <v>624494.5</v>
      </c>
      <c r="X26" s="7" t="n">
        <v>404532.8</v>
      </c>
      <c r="Y26" s="7" t="n">
        <v>408296.8</v>
      </c>
      <c r="Z26" s="7" t="n">
        <v>291618.2</v>
      </c>
      <c r="AA26" s="8" t="n">
        <v>4965900.2</v>
      </c>
      <c r="AB26" s="8" t="n">
        <v>4895486.8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37.9</v>
      </c>
      <c r="D27" s="13" t="n">
        <v>31.4</v>
      </c>
      <c r="E27" s="13" t="n">
        <v>47.5</v>
      </c>
      <c r="F27" s="13" t="n">
        <v>32.8</v>
      </c>
      <c r="G27" s="13" t="n">
        <v>29.6</v>
      </c>
      <c r="H27" s="13" t="n">
        <v>30.1</v>
      </c>
      <c r="I27" s="13" t="n">
        <v>11.9</v>
      </c>
      <c r="J27" s="13" t="n">
        <v>32.5</v>
      </c>
      <c r="K27" s="13" t="n">
        <v>41.1</v>
      </c>
      <c r="L27" s="13" t="n">
        <v>29.6</v>
      </c>
      <c r="M27" s="13" t="n">
        <v>31.2</v>
      </c>
      <c r="N27" s="13" t="n">
        <v>31.2</v>
      </c>
      <c r="O27" s="13" t="n">
        <v>21.4</v>
      </c>
      <c r="P27" s="13" t="n">
        <v>31.8</v>
      </c>
      <c r="Q27" s="13" t="n">
        <v>28.1</v>
      </c>
      <c r="R27" s="13" t="n">
        <v>31.7</v>
      </c>
      <c r="S27" s="13" t="n">
        <v>26.4</v>
      </c>
      <c r="T27" s="13" t="n">
        <v>32.2</v>
      </c>
      <c r="U27" s="13" t="n">
        <v>25</v>
      </c>
      <c r="V27" s="13" t="n">
        <v>31</v>
      </c>
      <c r="W27" s="13" t="n">
        <v>41</v>
      </c>
      <c r="X27" s="13" t="n">
        <v>29.2</v>
      </c>
      <c r="Y27" s="13" t="n">
        <v>30.5</v>
      </c>
      <c r="Z27" s="13" t="n">
        <v>30.6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11956.8</v>
      </c>
      <c r="D28" s="7" t="n">
        <v>5327.7</v>
      </c>
      <c r="E28" s="7" t="n">
        <v>10352.4</v>
      </c>
      <c r="F28" s="7" t="n">
        <v>5149</v>
      </c>
      <c r="G28" s="7" t="n">
        <v>13475.6</v>
      </c>
      <c r="H28" s="7" t="n">
        <v>9920.9</v>
      </c>
      <c r="I28" s="7" t="n">
        <v>10955</v>
      </c>
      <c r="J28" s="7" t="n">
        <v>14594.5</v>
      </c>
      <c r="K28" s="7" t="n">
        <v>12412.8</v>
      </c>
      <c r="L28" s="7" t="n">
        <v>10557.2</v>
      </c>
      <c r="M28" s="7" t="n">
        <v>10963.8</v>
      </c>
      <c r="N28" s="7" t="n">
        <v>22234.1</v>
      </c>
      <c r="O28" s="7" t="n">
        <v>12943.7</v>
      </c>
      <c r="P28" s="7" t="n">
        <v>11480.2</v>
      </c>
      <c r="Q28" s="7" t="n">
        <v>10228.3</v>
      </c>
      <c r="R28" s="7" t="n">
        <v>8119.9</v>
      </c>
      <c r="S28" s="7" t="n">
        <v>11945.4</v>
      </c>
      <c r="T28" s="7" t="n">
        <v>9847.1</v>
      </c>
      <c r="U28" s="7" t="n">
        <v>13083.4</v>
      </c>
      <c r="V28" s="7" t="n">
        <v>13731.7</v>
      </c>
      <c r="W28" s="7" t="n">
        <v>11606.8</v>
      </c>
      <c r="X28" s="7" t="n">
        <v>20238.4</v>
      </c>
      <c r="Y28" s="7" t="n">
        <v>13137.1</v>
      </c>
      <c r="Z28" s="7" t="n">
        <v>10177.6</v>
      </c>
      <c r="AA28" s="8" t="n">
        <v>143061.1</v>
      </c>
      <c r="AB28" s="8" t="n">
        <v>141378.3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233372</v>
      </c>
      <c r="D29" s="7" t="n">
        <v>168664.7</v>
      </c>
      <c r="E29" s="7" t="n">
        <v>283662.4</v>
      </c>
      <c r="F29" s="7" t="n">
        <v>203240.6</v>
      </c>
      <c r="G29" s="7" t="n">
        <v>233278.4</v>
      </c>
      <c r="H29" s="7" t="n">
        <v>237000.1</v>
      </c>
      <c r="I29" s="7" t="n">
        <v>289979</v>
      </c>
      <c r="J29" s="7" t="n">
        <v>151627</v>
      </c>
      <c r="K29" s="7" t="n">
        <v>248217.2</v>
      </c>
      <c r="L29" s="7" t="n">
        <v>356087.4</v>
      </c>
      <c r="M29" s="7" t="n">
        <v>236397.5</v>
      </c>
      <c r="N29" s="7" t="n">
        <v>273480</v>
      </c>
      <c r="O29" s="7" t="n">
        <v>227834.2</v>
      </c>
      <c r="P29" s="7" t="n">
        <v>366429.4</v>
      </c>
      <c r="Q29" s="7" t="n">
        <v>281590.8</v>
      </c>
      <c r="R29" s="7" t="n">
        <v>357594.1</v>
      </c>
      <c r="S29" s="7" t="n">
        <v>231451.2</v>
      </c>
      <c r="T29" s="7" t="n">
        <v>293578.8</v>
      </c>
      <c r="U29" s="7" t="n">
        <v>240631.8</v>
      </c>
      <c r="V29" s="7" t="n">
        <v>362693.4</v>
      </c>
      <c r="W29" s="7" t="n">
        <v>253387.6</v>
      </c>
      <c r="X29" s="7" t="n">
        <v>199022.1</v>
      </c>
      <c r="Y29" s="7" t="n">
        <v>294778.4</v>
      </c>
      <c r="Z29" s="7" t="n">
        <v>123565.3</v>
      </c>
      <c r="AA29" s="8" t="n">
        <v>3054580.5</v>
      </c>
      <c r="AB29" s="8" t="n">
        <v>3092982.9</v>
      </c>
    </row>
    <row r="30">
      <c r="A30" s="4" t="inlineStr">
        <is>
          <t>职工薪酬</t>
        </is>
      </c>
      <c r="D30" s="7" t="n">
        <v>84337</v>
      </c>
      <c r="F30" s="7" t="n">
        <v>111163.6</v>
      </c>
      <c r="H30" s="7" t="n">
        <v>102828.8</v>
      </c>
      <c r="J30" s="7" t="n">
        <v>89052.39999999999</v>
      </c>
      <c r="L30" s="7" t="n">
        <v>163226.7</v>
      </c>
      <c r="N30" s="7" t="n">
        <v>146560</v>
      </c>
      <c r="P30" s="7" t="n">
        <v>218534.2</v>
      </c>
      <c r="R30" s="7" t="n">
        <v>184282.8</v>
      </c>
      <c r="T30" s="7" t="n">
        <v>146143.8</v>
      </c>
      <c r="V30" s="7" t="n">
        <v>162096.7</v>
      </c>
      <c r="X30" s="7" t="n">
        <v>115074.6</v>
      </c>
      <c r="Z30" s="7" t="n">
        <v>52943.2</v>
      </c>
      <c r="AB30" s="7" t="n">
        <v>1576243.8</v>
      </c>
    </row>
    <row r="31">
      <c r="A31" s="4" t="inlineStr">
        <is>
          <t>工资</t>
        </is>
      </c>
      <c r="D31" s="7" t="n">
        <v>45288</v>
      </c>
      <c r="F31" s="7" t="n">
        <v>68247.89999999999</v>
      </c>
      <c r="H31" s="7" t="n">
        <v>59111.9</v>
      </c>
      <c r="J31" s="7" t="n">
        <v>48346</v>
      </c>
      <c r="L31" s="7" t="n">
        <v>82932.60000000001</v>
      </c>
      <c r="N31" s="7" t="n">
        <v>91924.39999999999</v>
      </c>
      <c r="P31" s="7" t="n">
        <v>142334.1</v>
      </c>
      <c r="R31" s="7" t="n">
        <v>106844.2</v>
      </c>
      <c r="T31" s="7" t="n">
        <v>90235.89999999999</v>
      </c>
      <c r="V31" s="7" t="n">
        <v>81845.8</v>
      </c>
      <c r="X31" s="7" t="n">
        <v>73850.2</v>
      </c>
      <c r="Z31" s="7" t="n">
        <v>28570.4</v>
      </c>
      <c r="AB31" s="7" t="n">
        <v>919531.4</v>
      </c>
    </row>
    <row r="32">
      <c r="A32" s="4" t="inlineStr">
        <is>
          <t>奖金及提成</t>
        </is>
      </c>
      <c r="D32" s="7" t="n">
        <v>15729.2</v>
      </c>
      <c r="F32" s="7" t="n">
        <v>18471.3</v>
      </c>
      <c r="H32" s="7" t="n">
        <v>17269.1</v>
      </c>
      <c r="J32" s="7" t="n">
        <v>19483.5</v>
      </c>
      <c r="L32" s="7" t="n">
        <v>36959.3</v>
      </c>
      <c r="N32" s="7" t="n">
        <v>26186.9</v>
      </c>
      <c r="P32" s="7" t="n">
        <v>28407.9</v>
      </c>
      <c r="R32" s="7" t="n">
        <v>34267.1</v>
      </c>
      <c r="T32" s="7" t="n">
        <v>27944.8</v>
      </c>
      <c r="V32" s="7" t="n">
        <v>33987.3</v>
      </c>
      <c r="X32" s="7" t="n">
        <v>17885.7</v>
      </c>
      <c r="Z32" s="7" t="n">
        <v>9922.1</v>
      </c>
      <c r="AB32" s="7" t="n">
        <v>286514.2</v>
      </c>
    </row>
    <row r="33">
      <c r="A33" s="4" t="inlineStr">
        <is>
          <t>社保</t>
        </is>
      </c>
      <c r="D33" s="7" t="n">
        <v>16432.1</v>
      </c>
      <c r="F33" s="7" t="n">
        <v>16775.9</v>
      </c>
      <c r="H33" s="7" t="n">
        <v>16727.2</v>
      </c>
      <c r="J33" s="7" t="n">
        <v>15603.5</v>
      </c>
      <c r="L33" s="7" t="n">
        <v>29993</v>
      </c>
      <c r="N33" s="7" t="n">
        <v>18790.6</v>
      </c>
      <c r="P33" s="7" t="n">
        <v>33692.5</v>
      </c>
      <c r="R33" s="7" t="n">
        <v>30090.3</v>
      </c>
      <c r="T33" s="7" t="n">
        <v>16770.1</v>
      </c>
      <c r="V33" s="7" t="n">
        <v>32894</v>
      </c>
      <c r="X33" s="7" t="n">
        <v>15975.9</v>
      </c>
      <c r="Z33" s="7" t="n">
        <v>10158.8</v>
      </c>
      <c r="AB33" s="7" t="n">
        <v>253903.9</v>
      </c>
    </row>
    <row r="34">
      <c r="A34" s="4" t="inlineStr">
        <is>
          <t>养老</t>
        </is>
      </c>
      <c r="D34" s="7" t="n">
        <v>233.9</v>
      </c>
      <c r="F34" s="7" t="n">
        <v>461.4</v>
      </c>
      <c r="H34" s="7" t="n">
        <v>607.1</v>
      </c>
      <c r="J34" s="7" t="n">
        <v>345.2</v>
      </c>
      <c r="L34" s="7" t="n">
        <v>849.9</v>
      </c>
      <c r="N34" s="7" t="n">
        <v>385.3</v>
      </c>
      <c r="P34" s="7" t="n">
        <v>526.2</v>
      </c>
      <c r="R34" s="7" t="n">
        <v>499</v>
      </c>
      <c r="T34" s="7" t="n">
        <v>654.9</v>
      </c>
      <c r="V34" s="7" t="n">
        <v>546.1</v>
      </c>
      <c r="X34" s="7" t="n">
        <v>501.8</v>
      </c>
      <c r="Z34" s="7" t="n">
        <v>294.6</v>
      </c>
      <c r="AB34" s="7" t="n">
        <v>5905.4</v>
      </c>
    </row>
    <row r="35">
      <c r="A35" s="4" t="inlineStr">
        <is>
          <t>医疗</t>
        </is>
      </c>
      <c r="D35" s="7" t="n">
        <v>526.2</v>
      </c>
      <c r="F35" s="7" t="n">
        <v>922.3</v>
      </c>
      <c r="H35" s="7" t="n">
        <v>1148.9</v>
      </c>
      <c r="J35" s="7" t="n">
        <v>689.8</v>
      </c>
      <c r="L35" s="7" t="n">
        <v>1759.9</v>
      </c>
      <c r="N35" s="7" t="n">
        <v>1311.7</v>
      </c>
      <c r="P35" s="7" t="n">
        <v>1205.1</v>
      </c>
      <c r="R35" s="7" t="n">
        <v>1003.9</v>
      </c>
      <c r="T35" s="7" t="n">
        <v>979.9</v>
      </c>
      <c r="V35" s="7" t="n">
        <v>1476.6</v>
      </c>
      <c r="X35" s="7" t="n">
        <v>559.7</v>
      </c>
      <c r="Z35" s="7" t="n">
        <v>402.6</v>
      </c>
      <c r="AB35" s="7" t="n">
        <v>11986.6</v>
      </c>
    </row>
    <row r="36">
      <c r="A36" s="4" t="inlineStr">
        <is>
          <t>工伤</t>
        </is>
      </c>
      <c r="D36" s="7" t="n">
        <v>903.7</v>
      </c>
      <c r="F36" s="7" t="n">
        <v>976.7</v>
      </c>
      <c r="H36" s="7" t="n">
        <v>1150.6</v>
      </c>
      <c r="J36" s="7" t="n">
        <v>629</v>
      </c>
      <c r="L36" s="7" t="n">
        <v>1680.3</v>
      </c>
      <c r="N36" s="7" t="n">
        <v>1474</v>
      </c>
      <c r="P36" s="7" t="n">
        <v>1564.5</v>
      </c>
      <c r="R36" s="7" t="n">
        <v>2498.9</v>
      </c>
      <c r="T36" s="7" t="n">
        <v>2151.5</v>
      </c>
      <c r="V36" s="7" t="n">
        <v>2529.1</v>
      </c>
      <c r="X36" s="7" t="n">
        <v>1063.2</v>
      </c>
      <c r="Z36" s="7" t="n">
        <v>935.1</v>
      </c>
      <c r="AB36" s="7" t="n">
        <v>17556.6</v>
      </c>
    </row>
    <row r="37">
      <c r="A37" s="4" t="inlineStr">
        <is>
          <t>失业</t>
        </is>
      </c>
      <c r="D37" s="7" t="n">
        <v>154.5</v>
      </c>
      <c r="F37" s="7" t="n">
        <v>126.4</v>
      </c>
      <c r="H37" s="7" t="n">
        <v>159.2</v>
      </c>
      <c r="J37" s="7" t="n">
        <v>101.3</v>
      </c>
      <c r="L37" s="7" t="n">
        <v>299.7</v>
      </c>
      <c r="N37" s="7" t="n">
        <v>252.1</v>
      </c>
      <c r="P37" s="7" t="n">
        <v>227.9</v>
      </c>
      <c r="R37" s="7" t="n">
        <v>251</v>
      </c>
      <c r="T37" s="7" t="n">
        <v>219.1</v>
      </c>
      <c r="V37" s="7" t="n">
        <v>278.8</v>
      </c>
      <c r="X37" s="7" t="n">
        <v>153.5</v>
      </c>
      <c r="Z37" s="7" t="n">
        <v>102.8</v>
      </c>
      <c r="AB37" s="7" t="n">
        <v>2326.3</v>
      </c>
    </row>
    <row r="38">
      <c r="A38" s="4" t="inlineStr">
        <is>
          <t>生育</t>
        </is>
      </c>
      <c r="D38" s="7" t="n">
        <v>187.9</v>
      </c>
      <c r="F38" s="7" t="n">
        <v>323.3</v>
      </c>
      <c r="H38" s="7" t="n">
        <v>263.9</v>
      </c>
      <c r="J38" s="7" t="n">
        <v>165</v>
      </c>
      <c r="L38" s="7" t="n">
        <v>588</v>
      </c>
      <c r="N38" s="7" t="n">
        <v>349.6</v>
      </c>
      <c r="P38" s="7" t="n">
        <v>399.1</v>
      </c>
      <c r="R38" s="7" t="n">
        <v>466.6</v>
      </c>
      <c r="T38" s="7" t="n">
        <v>282.2</v>
      </c>
      <c r="V38" s="7" t="n">
        <v>506.2</v>
      </c>
      <c r="X38" s="7" t="n">
        <v>246.7</v>
      </c>
      <c r="Z38" s="7" t="n">
        <v>193.6</v>
      </c>
      <c r="AB38" s="7" t="n">
        <v>3972.1</v>
      </c>
    </row>
    <row r="39">
      <c r="A39" s="4" t="inlineStr">
        <is>
          <t>公积金</t>
        </is>
      </c>
      <c r="D39" s="7" t="n">
        <v>647.3</v>
      </c>
      <c r="F39" s="7" t="n">
        <v>555</v>
      </c>
      <c r="H39" s="7" t="n">
        <v>1003.2</v>
      </c>
      <c r="J39" s="7" t="n">
        <v>628</v>
      </c>
      <c r="L39" s="7" t="n">
        <v>1447.7</v>
      </c>
      <c r="N39" s="7" t="n">
        <v>728.2</v>
      </c>
      <c r="P39" s="7" t="n">
        <v>1588.3</v>
      </c>
      <c r="R39" s="7" t="n">
        <v>927.3</v>
      </c>
      <c r="T39" s="7" t="n">
        <v>1210.6</v>
      </c>
      <c r="V39" s="7" t="n">
        <v>1473.5</v>
      </c>
      <c r="X39" s="7" t="n">
        <v>657.4</v>
      </c>
      <c r="Z39" s="7" t="n">
        <v>542.9</v>
      </c>
      <c r="AB39" s="7" t="n">
        <v>11409.4</v>
      </c>
    </row>
    <row r="40">
      <c r="A40" s="4" t="inlineStr">
        <is>
          <t>工会经费</t>
        </is>
      </c>
      <c r="D40" s="7" t="n">
        <v>723.2</v>
      </c>
      <c r="F40" s="7" t="n">
        <v>1036.1</v>
      </c>
      <c r="H40" s="7" t="n">
        <v>732.7</v>
      </c>
      <c r="J40" s="7" t="n">
        <v>514.3</v>
      </c>
      <c r="L40" s="7" t="n">
        <v>1425.3</v>
      </c>
      <c r="N40" s="7" t="n">
        <v>898.3</v>
      </c>
      <c r="P40" s="7" t="n">
        <v>1453.2</v>
      </c>
      <c r="R40" s="7" t="n">
        <v>1270</v>
      </c>
      <c r="T40" s="7" t="n">
        <v>1087</v>
      </c>
      <c r="V40" s="7" t="n">
        <v>1158.1</v>
      </c>
      <c r="X40" s="7" t="n">
        <v>993</v>
      </c>
      <c r="Z40" s="7" t="n">
        <v>461.1</v>
      </c>
      <c r="AB40" s="7" t="n">
        <v>11752.3</v>
      </c>
    </row>
    <row r="41">
      <c r="A41" s="4" t="inlineStr">
        <is>
          <t>职工教育经费</t>
        </is>
      </c>
      <c r="D41" s="7" t="n">
        <v>803.4</v>
      </c>
      <c r="F41" s="7" t="n">
        <v>860.4</v>
      </c>
      <c r="H41" s="7" t="n">
        <v>962</v>
      </c>
      <c r="J41" s="7" t="n">
        <v>734.5</v>
      </c>
      <c r="L41" s="7" t="n">
        <v>1258.2</v>
      </c>
      <c r="N41" s="7" t="n">
        <v>1378.8</v>
      </c>
      <c r="P41" s="7" t="n">
        <v>1085.2</v>
      </c>
      <c r="R41" s="7" t="n">
        <v>1088.1</v>
      </c>
      <c r="T41" s="7" t="n">
        <v>1074.2</v>
      </c>
      <c r="V41" s="7" t="n">
        <v>1055.6</v>
      </c>
      <c r="X41" s="7" t="n">
        <v>650.6</v>
      </c>
      <c r="Z41" s="7" t="n">
        <v>477</v>
      </c>
      <c r="AB41" s="7" t="n">
        <v>11428</v>
      </c>
    </row>
    <row r="42">
      <c r="A42" s="4" t="inlineStr">
        <is>
          <t>福利费</t>
        </is>
      </c>
      <c r="D42" s="7" t="n">
        <v>4713.8</v>
      </c>
      <c r="F42" s="7" t="n">
        <v>5217</v>
      </c>
      <c r="H42" s="7" t="n">
        <v>7022.7</v>
      </c>
      <c r="J42" s="7" t="n">
        <v>3742.6</v>
      </c>
      <c r="L42" s="7" t="n">
        <v>9210.6</v>
      </c>
      <c r="N42" s="7" t="n">
        <v>6652.8</v>
      </c>
      <c r="P42" s="7" t="n">
        <v>9973</v>
      </c>
      <c r="R42" s="7" t="n">
        <v>9795.799999999999</v>
      </c>
      <c r="T42" s="7" t="n">
        <v>7821.2</v>
      </c>
      <c r="V42" s="7" t="n">
        <v>9682.4</v>
      </c>
      <c r="X42" s="7" t="n">
        <v>5061.8</v>
      </c>
      <c r="Z42" s="7" t="n">
        <v>2810.9</v>
      </c>
      <c r="AB42" s="7" t="n">
        <v>81704.60000000001</v>
      </c>
    </row>
    <row r="43">
      <c r="A43" s="4" t="inlineStr">
        <is>
          <t>职工房租</t>
        </is>
      </c>
      <c r="D43" s="7" t="n">
        <v>957.2</v>
      </c>
      <c r="F43" s="7" t="n">
        <v>892.9</v>
      </c>
      <c r="H43" s="7" t="n">
        <v>1056.1</v>
      </c>
      <c r="J43" s="7" t="n">
        <v>808.7</v>
      </c>
      <c r="L43" s="7" t="n">
        <v>1172.1</v>
      </c>
      <c r="N43" s="7" t="n">
        <v>1311.1</v>
      </c>
      <c r="P43" s="7" t="n">
        <v>1339.5</v>
      </c>
      <c r="R43" s="7" t="n">
        <v>1882.9</v>
      </c>
      <c r="T43" s="7" t="n">
        <v>1376.7</v>
      </c>
      <c r="V43" s="7" t="n">
        <v>1436.2</v>
      </c>
      <c r="X43" s="7" t="n">
        <v>1120.8</v>
      </c>
      <c r="Z43" s="7" t="n">
        <v>489.9</v>
      </c>
      <c r="AB43" s="7" t="n">
        <v>13844.1</v>
      </c>
    </row>
    <row r="44">
      <c r="A44" s="4" t="inlineStr">
        <is>
          <t>水电物业费</t>
        </is>
      </c>
      <c r="D44" s="7" t="n">
        <v>237.3</v>
      </c>
      <c r="F44" s="7" t="n">
        <v>187.8</v>
      </c>
      <c r="H44" s="7" t="n">
        <v>331</v>
      </c>
      <c r="J44" s="7" t="n">
        <v>231</v>
      </c>
      <c r="L44" s="7" t="n">
        <v>407.2</v>
      </c>
      <c r="N44" s="7" t="n">
        <v>305.2</v>
      </c>
      <c r="P44" s="7" t="n">
        <v>396</v>
      </c>
      <c r="R44" s="7" t="n">
        <v>507.1</v>
      </c>
      <c r="T44" s="7" t="n">
        <v>288.3</v>
      </c>
      <c r="V44" s="7" t="n">
        <v>476.7</v>
      </c>
      <c r="X44" s="7" t="n">
        <v>190.3</v>
      </c>
      <c r="Z44" s="7" t="n">
        <v>130.4</v>
      </c>
      <c r="AB44" s="7" t="n">
        <v>3688.3</v>
      </c>
    </row>
    <row r="45">
      <c r="A45" s="4" t="inlineStr">
        <is>
          <t>员工餐</t>
        </is>
      </c>
      <c r="D45" s="7" t="n">
        <v>940.2</v>
      </c>
      <c r="F45" s="7" t="n">
        <v>1082</v>
      </c>
      <c r="H45" s="7" t="n">
        <v>1634.9</v>
      </c>
      <c r="J45" s="7" t="n">
        <v>816.9</v>
      </c>
      <c r="L45" s="7" t="n">
        <v>1539.7</v>
      </c>
      <c r="N45" s="7" t="n">
        <v>1478.1</v>
      </c>
      <c r="P45" s="7" t="n">
        <v>2596.2</v>
      </c>
      <c r="R45" s="7" t="n">
        <v>1824.1</v>
      </c>
      <c r="T45" s="7" t="n">
        <v>1854.1</v>
      </c>
      <c r="V45" s="7" t="n">
        <v>2433.1</v>
      </c>
      <c r="X45" s="7" t="n">
        <v>869.6</v>
      </c>
      <c r="Z45" s="7" t="n">
        <v>515.4</v>
      </c>
      <c r="AB45" s="7" t="n">
        <v>17584.3</v>
      </c>
    </row>
    <row r="46">
      <c r="A46" s="4" t="inlineStr">
        <is>
          <t>节日礼品</t>
        </is>
      </c>
      <c r="D46" s="7" t="n">
        <v>678.4</v>
      </c>
      <c r="F46" s="7" t="n">
        <v>619.6</v>
      </c>
      <c r="H46" s="7" t="n">
        <v>998.8</v>
      </c>
      <c r="J46" s="7" t="n">
        <v>484</v>
      </c>
      <c r="L46" s="7" t="n">
        <v>1603</v>
      </c>
      <c r="N46" s="7" t="n">
        <v>1148.7</v>
      </c>
      <c r="P46" s="7" t="n">
        <v>1381.4</v>
      </c>
      <c r="R46" s="7" t="n">
        <v>1459.6</v>
      </c>
      <c r="T46" s="7" t="n">
        <v>1345.1</v>
      </c>
      <c r="V46" s="7" t="n">
        <v>1143.1</v>
      </c>
      <c r="X46" s="7" t="n">
        <v>729.8</v>
      </c>
      <c r="Z46" s="7" t="n">
        <v>439.9</v>
      </c>
      <c r="AB46" s="7" t="n">
        <v>12031.4</v>
      </c>
    </row>
    <row r="47">
      <c r="A47" s="4" t="inlineStr">
        <is>
          <t>生日礼品</t>
        </is>
      </c>
      <c r="D47" s="7" t="n">
        <v>515.5</v>
      </c>
      <c r="F47" s="7" t="n">
        <v>688.6</v>
      </c>
      <c r="H47" s="7" t="n">
        <v>549.1</v>
      </c>
      <c r="J47" s="7" t="n">
        <v>354</v>
      </c>
      <c r="L47" s="7" t="n">
        <v>846.9</v>
      </c>
      <c r="N47" s="7" t="n">
        <v>620.6</v>
      </c>
      <c r="P47" s="7" t="n">
        <v>1092.3</v>
      </c>
      <c r="R47" s="7" t="n">
        <v>1047</v>
      </c>
      <c r="T47" s="7" t="n">
        <v>757.9</v>
      </c>
      <c r="V47" s="7" t="n">
        <v>938.6</v>
      </c>
      <c r="X47" s="7" t="n">
        <v>602.7</v>
      </c>
      <c r="Z47" s="7" t="n">
        <v>256.7</v>
      </c>
      <c r="AB47" s="7" t="n">
        <v>8269.9</v>
      </c>
    </row>
    <row r="48">
      <c r="A48" s="4" t="inlineStr">
        <is>
          <t>体检</t>
        </is>
      </c>
      <c r="D48" s="7" t="n">
        <v>425.2</v>
      </c>
      <c r="F48" s="7" t="n">
        <v>498.6</v>
      </c>
      <c r="H48" s="7" t="n">
        <v>674.8</v>
      </c>
      <c r="J48" s="7" t="n">
        <v>292.7</v>
      </c>
      <c r="L48" s="7" t="n">
        <v>977.4</v>
      </c>
      <c r="N48" s="7" t="n">
        <v>549.3</v>
      </c>
      <c r="P48" s="7" t="n">
        <v>819.4</v>
      </c>
      <c r="R48" s="7" t="n">
        <v>934.1</v>
      </c>
      <c r="T48" s="7" t="n">
        <v>747.6</v>
      </c>
      <c r="V48" s="7" t="n">
        <v>824.1</v>
      </c>
      <c r="X48" s="7" t="n">
        <v>531.9</v>
      </c>
      <c r="Z48" s="7" t="n">
        <v>282.6</v>
      </c>
      <c r="AB48" s="7" t="n">
        <v>7557.7</v>
      </c>
    </row>
    <row r="49">
      <c r="A49" s="4" t="inlineStr">
        <is>
          <t>其他福利支出</t>
        </is>
      </c>
      <c r="D49" s="7" t="n">
        <v>960</v>
      </c>
      <c r="F49" s="7" t="n">
        <v>1247.5</v>
      </c>
      <c r="H49" s="7" t="n">
        <v>1778</v>
      </c>
      <c r="J49" s="7" t="n">
        <v>755.3</v>
      </c>
      <c r="L49" s="7" t="n">
        <v>2664.3</v>
      </c>
      <c r="N49" s="7" t="n">
        <v>1239.8</v>
      </c>
      <c r="P49" s="7" t="n">
        <v>2348.2</v>
      </c>
      <c r="R49" s="7" t="n">
        <v>2141</v>
      </c>
      <c r="T49" s="7" t="n">
        <v>1451.5</v>
      </c>
      <c r="V49" s="7" t="n">
        <v>2430.6</v>
      </c>
      <c r="X49" s="7" t="n">
        <v>1016.7</v>
      </c>
      <c r="Z49" s="7" t="n">
        <v>696</v>
      </c>
      <c r="AB49" s="7" t="n">
        <v>18728.9</v>
      </c>
    </row>
    <row r="50">
      <c r="A50" s="4" t="inlineStr">
        <is>
          <t>招聘费</t>
        </is>
      </c>
      <c r="D50" s="7" t="n">
        <v>280</v>
      </c>
      <c r="F50" s="7" t="n">
        <v>353.8</v>
      </c>
      <c r="H50" s="7" t="n">
        <v>384.7</v>
      </c>
      <c r="J50" s="7" t="n">
        <v>161.2</v>
      </c>
      <c r="L50" s="7" t="n">
        <v>532</v>
      </c>
      <c r="N50" s="7" t="n">
        <v>311.4</v>
      </c>
      <c r="P50" s="7" t="n">
        <v>414.2</v>
      </c>
      <c r="R50" s="7" t="n">
        <v>411.7</v>
      </c>
      <c r="T50" s="7" t="n">
        <v>379.7</v>
      </c>
      <c r="V50" s="7" t="n">
        <v>594.2</v>
      </c>
      <c r="X50" s="7" t="n">
        <v>288.5</v>
      </c>
      <c r="Z50" s="7" t="n">
        <v>160.1</v>
      </c>
      <c r="AB50" s="7" t="n">
        <v>4271.5</v>
      </c>
    </row>
    <row r="51">
      <c r="A51" s="4" t="inlineStr">
        <is>
          <t>办公费</t>
        </is>
      </c>
      <c r="D51" s="7" t="n">
        <v>5958</v>
      </c>
      <c r="F51" s="7" t="n">
        <v>7684.3</v>
      </c>
      <c r="H51" s="7" t="n">
        <v>6707.9</v>
      </c>
      <c r="J51" s="7" t="n">
        <v>5250.1</v>
      </c>
      <c r="L51" s="7" t="n">
        <v>13816</v>
      </c>
      <c r="N51" s="7" t="n">
        <v>7944.6</v>
      </c>
      <c r="P51" s="7" t="n">
        <v>11339</v>
      </c>
      <c r="R51" s="7" t="n">
        <v>8724.1</v>
      </c>
      <c r="T51" s="7" t="n">
        <v>10183.8</v>
      </c>
      <c r="V51" s="7" t="n">
        <v>13366.9</v>
      </c>
      <c r="X51" s="7" t="n">
        <v>6494.1</v>
      </c>
      <c r="Z51" s="7" t="n">
        <v>2796.5</v>
      </c>
      <c r="AB51" s="7" t="n">
        <v>100265.3</v>
      </c>
    </row>
    <row r="52">
      <c r="A52" s="4" t="inlineStr">
        <is>
          <t>市内交通费</t>
        </is>
      </c>
      <c r="D52" s="7" t="n">
        <v>1229.9</v>
      </c>
      <c r="F52" s="7" t="n">
        <v>1068.1</v>
      </c>
      <c r="H52" s="7" t="n">
        <v>1270.1</v>
      </c>
      <c r="J52" s="7" t="n">
        <v>820.4</v>
      </c>
      <c r="L52" s="7" t="n">
        <v>2305.6</v>
      </c>
      <c r="N52" s="7" t="n">
        <v>1791.7</v>
      </c>
      <c r="P52" s="7" t="n">
        <v>2665.3</v>
      </c>
      <c r="R52" s="7" t="n">
        <v>2358.1</v>
      </c>
      <c r="T52" s="7" t="n">
        <v>1990.2</v>
      </c>
      <c r="V52" s="7" t="n">
        <v>2106.8</v>
      </c>
      <c r="X52" s="7" t="n">
        <v>1479.8</v>
      </c>
      <c r="Z52" s="7" t="n">
        <v>740.3</v>
      </c>
      <c r="AB52" s="7" t="n">
        <v>19826.3</v>
      </c>
    </row>
    <row r="53">
      <c r="A53" s="4" t="inlineStr">
        <is>
          <t>差旅费</t>
        </is>
      </c>
      <c r="D53" s="7" t="n">
        <v>7899.9</v>
      </c>
      <c r="F53" s="7" t="n">
        <v>11451.8</v>
      </c>
      <c r="H53" s="7" t="n">
        <v>12191.7</v>
      </c>
      <c r="J53" s="7" t="n">
        <v>10904.6</v>
      </c>
      <c r="L53" s="7" t="n">
        <v>19348.7</v>
      </c>
      <c r="N53" s="7" t="n">
        <v>19747.8</v>
      </c>
      <c r="P53" s="7" t="n">
        <v>28091.7</v>
      </c>
      <c r="R53" s="7" t="n">
        <v>19670.2</v>
      </c>
      <c r="T53" s="7" t="n">
        <v>14382.8</v>
      </c>
      <c r="V53" s="7" t="n">
        <v>16104.7</v>
      </c>
      <c r="X53" s="7" t="n">
        <v>14348.4</v>
      </c>
      <c r="Z53" s="7" t="n">
        <v>8067.9</v>
      </c>
      <c r="AB53" s="7" t="n">
        <v>182210.2</v>
      </c>
    </row>
    <row r="54">
      <c r="A54" s="4" t="inlineStr">
        <is>
          <t>交通费</t>
        </is>
      </c>
      <c r="D54" s="7" t="n">
        <v>17.4</v>
      </c>
      <c r="F54" s="7" t="n">
        <v>18.6</v>
      </c>
      <c r="H54" s="7" t="n">
        <v>33.3</v>
      </c>
      <c r="J54" s="7" t="n">
        <v>14</v>
      </c>
      <c r="L54" s="7" t="n">
        <v>36.4</v>
      </c>
      <c r="N54" s="7" t="n">
        <v>31</v>
      </c>
      <c r="P54" s="7" t="n">
        <v>37</v>
      </c>
      <c r="R54" s="7" t="n">
        <v>47.1</v>
      </c>
      <c r="T54" s="7" t="n">
        <v>28.2</v>
      </c>
      <c r="V54" s="7" t="n">
        <v>39.2</v>
      </c>
      <c r="X54" s="7" t="n">
        <v>24</v>
      </c>
      <c r="Z54" s="7" t="n">
        <v>11.4</v>
      </c>
      <c r="AB54" s="7" t="n">
        <v>337.6</v>
      </c>
    </row>
    <row r="55">
      <c r="A55" s="4" t="inlineStr">
        <is>
          <t>住宿费</t>
        </is>
      </c>
      <c r="D55" s="7" t="n">
        <v>608.4</v>
      </c>
      <c r="F55" s="7" t="n">
        <v>554.9</v>
      </c>
      <c r="H55" s="7" t="n">
        <v>669.7</v>
      </c>
      <c r="J55" s="7" t="n">
        <v>752.7</v>
      </c>
      <c r="L55" s="7" t="n">
        <v>1740.1</v>
      </c>
      <c r="N55" s="7" t="n">
        <v>834.4</v>
      </c>
      <c r="P55" s="7" t="n">
        <v>1410.1</v>
      </c>
      <c r="R55" s="7" t="n">
        <v>1002.6</v>
      </c>
      <c r="T55" s="7" t="n">
        <v>1071.1</v>
      </c>
      <c r="V55" s="7" t="n">
        <v>1323.4</v>
      </c>
      <c r="X55" s="7" t="n">
        <v>968.7</v>
      </c>
      <c r="Z55" s="7" t="n">
        <v>551.1</v>
      </c>
      <c r="AB55" s="7" t="n">
        <v>11487.2</v>
      </c>
    </row>
    <row r="56">
      <c r="A56" s="4" t="inlineStr">
        <is>
          <t>餐补</t>
        </is>
      </c>
      <c r="D56" s="7" t="n">
        <v>673.6</v>
      </c>
      <c r="F56" s="7" t="n">
        <v>1423.5</v>
      </c>
      <c r="H56" s="7" t="n">
        <v>1578.3</v>
      </c>
      <c r="J56" s="7" t="n">
        <v>772.1</v>
      </c>
      <c r="L56" s="7" t="n">
        <v>1612.4</v>
      </c>
      <c r="N56" s="7" t="n">
        <v>1513.2</v>
      </c>
      <c r="P56" s="7" t="n">
        <v>2523</v>
      </c>
      <c r="R56" s="7" t="n">
        <v>1376</v>
      </c>
      <c r="T56" s="7" t="n">
        <v>1669.2</v>
      </c>
      <c r="V56" s="7" t="n">
        <v>1654.1</v>
      </c>
      <c r="X56" s="7" t="n">
        <v>872</v>
      </c>
      <c r="Z56" s="7" t="n">
        <v>580.9</v>
      </c>
      <c r="AB56" s="7" t="n">
        <v>16248.3</v>
      </c>
    </row>
    <row r="57">
      <c r="A57" s="4" t="inlineStr">
        <is>
          <t>交通补助</t>
        </is>
      </c>
      <c r="D57" s="7" t="n">
        <v>119.2</v>
      </c>
      <c r="F57" s="7" t="n">
        <v>131.6</v>
      </c>
      <c r="H57" s="7" t="n">
        <v>170.1</v>
      </c>
      <c r="J57" s="7" t="n">
        <v>98.90000000000001</v>
      </c>
      <c r="L57" s="7" t="n">
        <v>173.3</v>
      </c>
      <c r="N57" s="7" t="n">
        <v>197.3</v>
      </c>
      <c r="P57" s="7" t="n">
        <v>177.4</v>
      </c>
      <c r="R57" s="7" t="n">
        <v>200</v>
      </c>
      <c r="T57" s="7" t="n">
        <v>122.8</v>
      </c>
      <c r="V57" s="7" t="n">
        <v>270.5</v>
      </c>
      <c r="X57" s="7" t="n">
        <v>125.9</v>
      </c>
      <c r="Z57" s="7" t="n">
        <v>63.5</v>
      </c>
      <c r="AB57" s="7" t="n">
        <v>1850.5</v>
      </c>
    </row>
    <row r="58">
      <c r="A58" s="4" t="inlineStr">
        <is>
          <t>通讯补助</t>
        </is>
      </c>
      <c r="D58" s="7" t="n">
        <v>99</v>
      </c>
      <c r="F58" s="7" t="n">
        <v>97.09999999999999</v>
      </c>
      <c r="H58" s="7" t="n">
        <v>118.7</v>
      </c>
      <c r="J58" s="7" t="n">
        <v>70.3</v>
      </c>
      <c r="L58" s="7" t="n">
        <v>197.8</v>
      </c>
      <c r="N58" s="7" t="n">
        <v>207.1</v>
      </c>
      <c r="P58" s="7" t="n">
        <v>195.3</v>
      </c>
      <c r="R58" s="7" t="n">
        <v>272.9</v>
      </c>
      <c r="T58" s="7" t="n">
        <v>146.7</v>
      </c>
      <c r="V58" s="7" t="n">
        <v>178.8</v>
      </c>
      <c r="X58" s="7" t="n">
        <v>119.4</v>
      </c>
      <c r="Z58" s="7" t="n">
        <v>93.40000000000001</v>
      </c>
      <c r="AB58" s="7" t="n">
        <v>1796.5</v>
      </c>
    </row>
    <row r="59">
      <c r="A59" s="4" t="inlineStr">
        <is>
          <t>招待费</t>
        </is>
      </c>
      <c r="D59" s="7" t="n">
        <v>6841.1</v>
      </c>
      <c r="F59" s="7" t="n">
        <v>8015.5</v>
      </c>
      <c r="H59" s="7" t="n">
        <v>9026.200000000001</v>
      </c>
      <c r="J59" s="7" t="n">
        <v>7588.3</v>
      </c>
      <c r="L59" s="7" t="n">
        <v>10240.9</v>
      </c>
      <c r="N59" s="7" t="n">
        <v>13293.2</v>
      </c>
      <c r="P59" s="7" t="n">
        <v>12093</v>
      </c>
      <c r="R59" s="7" t="n">
        <v>12166.8</v>
      </c>
      <c r="T59" s="7" t="n">
        <v>10279.8</v>
      </c>
      <c r="V59" s="7" t="n">
        <v>15584.3</v>
      </c>
      <c r="X59" s="7" t="n">
        <v>5787.6</v>
      </c>
      <c r="Z59" s="7" t="n">
        <v>4282.6</v>
      </c>
      <c r="AB59" s="7" t="n">
        <v>115199.3</v>
      </c>
    </row>
    <row r="60">
      <c r="A60" s="4" t="inlineStr">
        <is>
          <t>通讯费</t>
        </is>
      </c>
      <c r="D60" s="7" t="n">
        <v>351.6</v>
      </c>
      <c r="F60" s="7" t="n">
        <v>512.1</v>
      </c>
      <c r="H60" s="7" t="n">
        <v>602.2</v>
      </c>
      <c r="J60" s="7" t="n">
        <v>429.1</v>
      </c>
      <c r="L60" s="7" t="n">
        <v>965.5</v>
      </c>
      <c r="N60" s="7" t="n">
        <v>998.2</v>
      </c>
      <c r="P60" s="7" t="n">
        <v>1237.3</v>
      </c>
      <c r="R60" s="7" t="n">
        <v>1001.6</v>
      </c>
      <c r="T60" s="7" t="n">
        <v>882.2</v>
      </c>
      <c r="V60" s="7" t="n">
        <v>828.9</v>
      </c>
      <c r="X60" s="7" t="n">
        <v>492.1</v>
      </c>
      <c r="Z60" s="7" t="n">
        <v>281.2</v>
      </c>
      <c r="AB60" s="7" t="n">
        <v>8582</v>
      </c>
    </row>
    <row r="61">
      <c r="A61" s="4" t="inlineStr">
        <is>
          <t>网络费</t>
        </is>
      </c>
      <c r="D61" s="7" t="n">
        <v>851</v>
      </c>
      <c r="F61" s="7" t="n">
        <v>977.6</v>
      </c>
      <c r="H61" s="7" t="n">
        <v>1212.8</v>
      </c>
      <c r="J61" s="7" t="n">
        <v>1020</v>
      </c>
      <c r="L61" s="7" t="n">
        <v>1538.1</v>
      </c>
      <c r="N61" s="7" t="n">
        <v>1578.5</v>
      </c>
      <c r="P61" s="7" t="n">
        <v>1762.4</v>
      </c>
      <c r="R61" s="7" t="n">
        <v>1876.7</v>
      </c>
      <c r="T61" s="7" t="n">
        <v>1984.6</v>
      </c>
      <c r="V61" s="7" t="n">
        <v>2471</v>
      </c>
      <c r="X61" s="7" t="n">
        <v>1152</v>
      </c>
      <c r="Z61" s="7" t="n">
        <v>667.1</v>
      </c>
      <c r="AB61" s="7" t="n">
        <v>17091.8</v>
      </c>
    </row>
    <row r="62">
      <c r="A62" s="4" t="inlineStr">
        <is>
          <t>修理费</t>
        </is>
      </c>
      <c r="D62" s="7" t="n">
        <v>294.5</v>
      </c>
      <c r="F62" s="7" t="n">
        <v>442.2</v>
      </c>
      <c r="H62" s="7" t="n">
        <v>317.4</v>
      </c>
      <c r="J62" s="7" t="n">
        <v>311.1</v>
      </c>
      <c r="L62" s="7" t="n">
        <v>694.3</v>
      </c>
      <c r="N62" s="7" t="n">
        <v>422.4</v>
      </c>
      <c r="P62" s="7" t="n">
        <v>512.8</v>
      </c>
      <c r="R62" s="7" t="n">
        <v>722.2</v>
      </c>
      <c r="T62" s="7" t="n">
        <v>384.7</v>
      </c>
      <c r="V62" s="7" t="n">
        <v>629.4</v>
      </c>
      <c r="X62" s="7" t="n">
        <v>241.7</v>
      </c>
      <c r="Z62" s="7" t="n">
        <v>230.4</v>
      </c>
      <c r="AB62" s="7" t="n">
        <v>5203.1</v>
      </c>
    </row>
    <row r="63">
      <c r="A63" s="4" t="inlineStr">
        <is>
          <t>车辆费</t>
        </is>
      </c>
      <c r="D63" s="7" t="n">
        <v>193.1</v>
      </c>
      <c r="F63" s="7" t="n">
        <v>262.9</v>
      </c>
      <c r="H63" s="7" t="n">
        <v>231.1</v>
      </c>
      <c r="J63" s="7" t="n">
        <v>187.7</v>
      </c>
      <c r="L63" s="7" t="n">
        <v>520</v>
      </c>
      <c r="N63" s="7" t="n">
        <v>217.7</v>
      </c>
      <c r="P63" s="7" t="n">
        <v>375.4</v>
      </c>
      <c r="R63" s="7" t="n">
        <v>405.8</v>
      </c>
      <c r="T63" s="7" t="n">
        <v>300.4</v>
      </c>
      <c r="V63" s="7" t="n">
        <v>506.5</v>
      </c>
      <c r="X63" s="7" t="n">
        <v>223.2</v>
      </c>
      <c r="Z63" s="7" t="n">
        <v>177.4</v>
      </c>
      <c r="AB63" s="7" t="n">
        <v>3601.2</v>
      </c>
    </row>
    <row r="64">
      <c r="A64" s="4" t="inlineStr">
        <is>
          <t>租赁费</t>
        </is>
      </c>
      <c r="D64" s="7" t="n">
        <v>6785.6</v>
      </c>
      <c r="F64" s="7" t="n">
        <v>9496.299999999999</v>
      </c>
      <c r="H64" s="7" t="n">
        <v>10275.3</v>
      </c>
      <c r="J64" s="7" t="n">
        <v>6768.4</v>
      </c>
      <c r="L64" s="7" t="n">
        <v>18765.4</v>
      </c>
      <c r="N64" s="7" t="n">
        <v>9703.1</v>
      </c>
      <c r="P64" s="7" t="n">
        <v>21598.3</v>
      </c>
      <c r="R64" s="7" t="n">
        <v>18754.6</v>
      </c>
      <c r="T64" s="7" t="n">
        <v>12216.2</v>
      </c>
      <c r="V64" s="7" t="n">
        <v>18500.6</v>
      </c>
      <c r="X64" s="7" t="n">
        <v>8529.200000000001</v>
      </c>
      <c r="Z64" s="7" t="n">
        <v>5908.9</v>
      </c>
      <c r="AB64" s="7" t="n">
        <v>147301.9</v>
      </c>
    </row>
    <row r="65">
      <c r="A65" s="4" t="inlineStr">
        <is>
          <t>能源费</t>
        </is>
      </c>
      <c r="D65" s="7" t="n">
        <v>2863.4</v>
      </c>
      <c r="F65" s="7" t="n">
        <v>4349.4</v>
      </c>
      <c r="H65" s="7" t="n">
        <v>5248.4</v>
      </c>
      <c r="J65" s="7" t="n">
        <v>3174.6</v>
      </c>
      <c r="L65" s="7" t="n">
        <v>7419.1</v>
      </c>
      <c r="N65" s="7" t="n">
        <v>5822.3</v>
      </c>
      <c r="P65" s="7" t="n">
        <v>7659.8</v>
      </c>
      <c r="R65" s="7" t="n">
        <v>7057.4</v>
      </c>
      <c r="T65" s="7" t="n">
        <v>5610.1</v>
      </c>
      <c r="V65" s="7" t="n">
        <v>6738.1</v>
      </c>
      <c r="X65" s="7" t="n">
        <v>4769.2</v>
      </c>
      <c r="Z65" s="7" t="n">
        <v>2454.6</v>
      </c>
      <c r="AB65" s="7" t="n">
        <v>63166.4</v>
      </c>
    </row>
    <row r="66">
      <c r="A66" s="4" t="inlineStr">
        <is>
          <t>水费</t>
        </is>
      </c>
      <c r="D66" s="7" t="n">
        <v>582.2</v>
      </c>
      <c r="F66" s="7" t="n">
        <v>788.5</v>
      </c>
      <c r="H66" s="7" t="n">
        <v>1022.7</v>
      </c>
      <c r="J66" s="7" t="n">
        <v>661.6</v>
      </c>
      <c r="L66" s="7" t="n">
        <v>1081.1</v>
      </c>
      <c r="N66" s="7" t="n">
        <v>922.3</v>
      </c>
      <c r="P66" s="7" t="n">
        <v>1277.4</v>
      </c>
      <c r="R66" s="7" t="n">
        <v>1408.4</v>
      </c>
      <c r="T66" s="7" t="n">
        <v>973.5</v>
      </c>
      <c r="V66" s="7" t="n">
        <v>1083.7</v>
      </c>
      <c r="X66" s="7" t="n">
        <v>730.3</v>
      </c>
      <c r="Z66" s="7" t="n">
        <v>520.8</v>
      </c>
      <c r="AB66" s="7" t="n">
        <v>11052.5</v>
      </c>
    </row>
    <row r="67">
      <c r="A67" s="4" t="inlineStr">
        <is>
          <t>电费</t>
        </is>
      </c>
      <c r="D67" s="7" t="n">
        <v>789.8</v>
      </c>
      <c r="F67" s="7" t="n">
        <v>1408.4</v>
      </c>
      <c r="H67" s="7" t="n">
        <v>1843.1</v>
      </c>
      <c r="J67" s="7" t="n">
        <v>721.5</v>
      </c>
      <c r="L67" s="7" t="n">
        <v>2080.6</v>
      </c>
      <c r="N67" s="7" t="n">
        <v>1748.2</v>
      </c>
      <c r="P67" s="7" t="n">
        <v>2469.4</v>
      </c>
      <c r="R67" s="7" t="n">
        <v>1629</v>
      </c>
      <c r="T67" s="7" t="n">
        <v>1366.6</v>
      </c>
      <c r="V67" s="7" t="n">
        <v>2229.3</v>
      </c>
      <c r="X67" s="7" t="n">
        <v>1579.6</v>
      </c>
      <c r="Z67" s="7" t="n">
        <v>625.4</v>
      </c>
      <c r="AB67" s="7" t="n">
        <v>18490.9</v>
      </c>
    </row>
    <row r="68">
      <c r="A68" s="4" t="inlineStr">
        <is>
          <t>燃气费</t>
        </is>
      </c>
      <c r="D68" s="7" t="n">
        <v>659</v>
      </c>
      <c r="F68" s="7" t="n">
        <v>1135.1</v>
      </c>
      <c r="H68" s="7" t="n">
        <v>1180.2</v>
      </c>
      <c r="J68" s="7" t="n">
        <v>937.6</v>
      </c>
      <c r="L68" s="7" t="n">
        <v>2145.7</v>
      </c>
      <c r="N68" s="7" t="n">
        <v>1818.3</v>
      </c>
      <c r="P68" s="7" t="n">
        <v>1886.2</v>
      </c>
      <c r="R68" s="7" t="n">
        <v>1728</v>
      </c>
      <c r="T68" s="7" t="n">
        <v>1366.2</v>
      </c>
      <c r="V68" s="7" t="n">
        <v>1899.2</v>
      </c>
      <c r="X68" s="7" t="n">
        <v>1352.7</v>
      </c>
      <c r="Z68" s="7" t="n">
        <v>491.8</v>
      </c>
      <c r="AB68" s="7" t="n">
        <v>16600</v>
      </c>
    </row>
    <row r="69">
      <c r="A69" s="4" t="inlineStr">
        <is>
          <t>蒸汽费</t>
        </is>
      </c>
      <c r="D69" s="7" t="n">
        <v>832.4</v>
      </c>
      <c r="F69" s="7" t="n">
        <v>1017.4</v>
      </c>
      <c r="H69" s="7" t="n">
        <v>1202.4</v>
      </c>
      <c r="J69" s="7" t="n">
        <v>853.9</v>
      </c>
      <c r="L69" s="7" t="n">
        <v>2111.7</v>
      </c>
      <c r="N69" s="7" t="n">
        <v>1333.5</v>
      </c>
      <c r="P69" s="7" t="n">
        <v>2026.8</v>
      </c>
      <c r="R69" s="7" t="n">
        <v>2292</v>
      </c>
      <c r="T69" s="7" t="n">
        <v>1903.8</v>
      </c>
      <c r="V69" s="7" t="n">
        <v>1525.9</v>
      </c>
      <c r="X69" s="7" t="n">
        <v>1106.6</v>
      </c>
      <c r="Z69" s="7" t="n">
        <v>816.6</v>
      </c>
      <c r="AB69" s="7" t="n">
        <v>17023</v>
      </c>
    </row>
    <row r="70">
      <c r="A70" s="4" t="inlineStr">
        <is>
          <t>物业费</t>
        </is>
      </c>
      <c r="D70" s="7" t="n">
        <v>758.1</v>
      </c>
      <c r="F70" s="7" t="n">
        <v>1490.4</v>
      </c>
      <c r="H70" s="7" t="n">
        <v>1117.2</v>
      </c>
      <c r="J70" s="7" t="n">
        <v>714.9</v>
      </c>
      <c r="L70" s="7" t="n">
        <v>1961.2</v>
      </c>
      <c r="N70" s="7" t="n">
        <v>1933.4</v>
      </c>
      <c r="P70" s="7" t="n">
        <v>2659.2</v>
      </c>
      <c r="R70" s="7" t="n">
        <v>2259.3</v>
      </c>
      <c r="T70" s="7" t="n">
        <v>1991.9</v>
      </c>
      <c r="V70" s="7" t="n">
        <v>2255.9</v>
      </c>
      <c r="X70" s="7" t="n">
        <v>1346.9</v>
      </c>
      <c r="Z70" s="7" t="n">
        <v>698.6</v>
      </c>
      <c r="AB70" s="7" t="n">
        <v>19187</v>
      </c>
    </row>
    <row r="71">
      <c r="A71" s="4" t="inlineStr">
        <is>
          <t>劳动保护费</t>
        </is>
      </c>
      <c r="D71" s="7" t="n">
        <v>686</v>
      </c>
      <c r="F71" s="7" t="n">
        <v>716.4</v>
      </c>
      <c r="H71" s="7" t="n">
        <v>1162.4</v>
      </c>
      <c r="J71" s="7" t="n">
        <v>711.4</v>
      </c>
      <c r="L71" s="7" t="n">
        <v>1790.4</v>
      </c>
      <c r="N71" s="7" t="n">
        <v>844.8</v>
      </c>
      <c r="P71" s="7" t="n">
        <v>1527.4</v>
      </c>
      <c r="R71" s="7" t="n">
        <v>1248.9</v>
      </c>
      <c r="T71" s="7" t="n">
        <v>1181.9</v>
      </c>
      <c r="V71" s="7" t="n">
        <v>1358.5</v>
      </c>
      <c r="X71" s="7" t="n">
        <v>1003.1</v>
      </c>
      <c r="Z71" s="7" t="n">
        <v>586</v>
      </c>
      <c r="AB71" s="7" t="n">
        <v>12817.2</v>
      </c>
    </row>
    <row r="72">
      <c r="A72" s="4" t="inlineStr">
        <is>
          <t>顾问费</t>
        </is>
      </c>
      <c r="D72" s="7" t="n">
        <v>936.7</v>
      </c>
      <c r="F72" s="7" t="n">
        <v>926.4</v>
      </c>
      <c r="H72" s="7" t="n">
        <v>1066</v>
      </c>
      <c r="J72" s="7" t="n">
        <v>648.2</v>
      </c>
      <c r="L72" s="7" t="n">
        <v>1854.6</v>
      </c>
      <c r="N72" s="7" t="n">
        <v>1105.7</v>
      </c>
      <c r="P72" s="7" t="n">
        <v>2160.8</v>
      </c>
      <c r="R72" s="7" t="n">
        <v>1453.3</v>
      </c>
      <c r="T72" s="7" t="n">
        <v>952.2</v>
      </c>
      <c r="V72" s="7" t="n">
        <v>1818.6</v>
      </c>
      <c r="X72" s="7" t="n">
        <v>798</v>
      </c>
      <c r="Z72" s="7" t="n">
        <v>439.9</v>
      </c>
      <c r="AB72" s="7" t="n">
        <v>14160.4</v>
      </c>
    </row>
    <row r="73">
      <c r="A73" s="4" t="inlineStr">
        <is>
          <t>快递费</t>
        </is>
      </c>
      <c r="D73" s="7" t="n">
        <v>1023.2</v>
      </c>
      <c r="F73" s="7" t="n">
        <v>811.7</v>
      </c>
      <c r="H73" s="7" t="n">
        <v>1401.7</v>
      </c>
      <c r="J73" s="7" t="n">
        <v>853.9</v>
      </c>
      <c r="L73" s="7" t="n">
        <v>2242</v>
      </c>
      <c r="N73" s="7" t="n">
        <v>1721.7</v>
      </c>
      <c r="P73" s="7" t="n">
        <v>2044.4</v>
      </c>
      <c r="R73" s="7" t="n">
        <v>1827.7</v>
      </c>
      <c r="T73" s="7" t="n">
        <v>1808.5</v>
      </c>
      <c r="V73" s="7" t="n">
        <v>1414.4</v>
      </c>
      <c r="X73" s="7" t="n">
        <v>1010.3</v>
      </c>
      <c r="Z73" s="7" t="n">
        <v>545.1</v>
      </c>
      <c r="AB73" s="7" t="n">
        <v>16704.6</v>
      </c>
    </row>
    <row r="74">
      <c r="A74" s="4" t="inlineStr">
        <is>
          <t>诉讼费</t>
        </is>
      </c>
      <c r="D74" s="7" t="n">
        <v>50.2</v>
      </c>
      <c r="F74" s="7" t="n">
        <v>94.40000000000001</v>
      </c>
      <c r="H74" s="7" t="n">
        <v>99.5</v>
      </c>
      <c r="J74" s="7" t="n">
        <v>77.7</v>
      </c>
      <c r="L74" s="7" t="n">
        <v>176.9</v>
      </c>
      <c r="N74" s="7" t="n">
        <v>77.8</v>
      </c>
      <c r="P74" s="7" t="n">
        <v>119.8</v>
      </c>
      <c r="R74" s="7" t="n">
        <v>170.1</v>
      </c>
      <c r="T74" s="7" t="n">
        <v>123.6</v>
      </c>
      <c r="V74" s="7" t="n">
        <v>168.8</v>
      </c>
      <c r="X74" s="7" t="n">
        <v>80.3</v>
      </c>
      <c r="Z74" s="7" t="n">
        <v>53</v>
      </c>
      <c r="AB74" s="7" t="n">
        <v>1292.1</v>
      </c>
    </row>
    <row r="75">
      <c r="A75" s="4" t="inlineStr">
        <is>
          <t>会员费</t>
        </is>
      </c>
      <c r="D75" s="7" t="n">
        <v>774</v>
      </c>
      <c r="F75" s="7" t="n">
        <v>916.4</v>
      </c>
      <c r="H75" s="7" t="n">
        <v>832.3</v>
      </c>
      <c r="J75" s="7" t="n">
        <v>516.5</v>
      </c>
      <c r="L75" s="7" t="n">
        <v>1245</v>
      </c>
      <c r="N75" s="7" t="n">
        <v>1353.3</v>
      </c>
      <c r="P75" s="7" t="n">
        <v>2068.7</v>
      </c>
      <c r="R75" s="7" t="n">
        <v>1833</v>
      </c>
      <c r="T75" s="7" t="n">
        <v>1507.3</v>
      </c>
      <c r="V75" s="7" t="n">
        <v>1344.4</v>
      </c>
      <c r="X75" s="7" t="n">
        <v>662.4</v>
      </c>
      <c r="Z75" s="7" t="n">
        <v>622.9</v>
      </c>
      <c r="AB75" s="7" t="n">
        <v>13676.2</v>
      </c>
    </row>
    <row r="76">
      <c r="A76" s="4" t="inlineStr">
        <is>
          <t>广告宣传费</t>
        </is>
      </c>
      <c r="D76" s="7" t="n">
        <v>6341.3</v>
      </c>
      <c r="F76" s="7" t="n">
        <v>6221.2</v>
      </c>
      <c r="H76" s="7" t="n">
        <v>8485.200000000001</v>
      </c>
      <c r="J76" s="7" t="n">
        <v>4024.7</v>
      </c>
      <c r="L76" s="7" t="n">
        <v>9159.799999999999</v>
      </c>
      <c r="N76" s="7" t="n">
        <v>7737.9</v>
      </c>
      <c r="P76" s="7" t="n">
        <v>9620.6</v>
      </c>
      <c r="R76" s="7" t="n">
        <v>7703.9</v>
      </c>
      <c r="T76" s="7" t="n">
        <v>9959.200000000001</v>
      </c>
      <c r="V76" s="7" t="n">
        <v>11477.2</v>
      </c>
      <c r="X76" s="7" t="n">
        <v>6640.4</v>
      </c>
      <c r="Z76" s="7" t="n">
        <v>4073.7</v>
      </c>
      <c r="AB76" s="7" t="n">
        <v>91445.10000000001</v>
      </c>
    </row>
    <row r="77">
      <c r="A77" s="4" t="inlineStr">
        <is>
          <t>会务费</t>
        </is>
      </c>
      <c r="D77" s="7" t="n">
        <v>809.1</v>
      </c>
      <c r="F77" s="7" t="n">
        <v>1506.8</v>
      </c>
      <c r="H77" s="7" t="n">
        <v>1926.3</v>
      </c>
      <c r="J77" s="7" t="n">
        <v>852.3</v>
      </c>
      <c r="L77" s="7" t="n">
        <v>2937.7</v>
      </c>
      <c r="N77" s="7" t="n">
        <v>1850.2</v>
      </c>
      <c r="P77" s="7" t="n">
        <v>1662.7</v>
      </c>
      <c r="R77" s="7" t="n">
        <v>1982.4</v>
      </c>
      <c r="T77" s="7" t="n">
        <v>2181.1</v>
      </c>
      <c r="V77" s="7" t="n">
        <v>2466.2</v>
      </c>
      <c r="X77" s="7" t="n">
        <v>1207.1</v>
      </c>
      <c r="Z77" s="7" t="n">
        <v>564.2</v>
      </c>
      <c r="AB77" s="7" t="n">
        <v>19946.1</v>
      </c>
    </row>
    <row r="78">
      <c r="A78" s="4" t="inlineStr">
        <is>
          <t>装修费</t>
        </is>
      </c>
      <c r="D78" s="7" t="n">
        <v>339.8</v>
      </c>
      <c r="F78" s="7" t="n">
        <v>542.5</v>
      </c>
      <c r="H78" s="7" t="n">
        <v>704.5</v>
      </c>
      <c r="J78" s="7" t="n">
        <v>364.4</v>
      </c>
      <c r="L78" s="7" t="n">
        <v>622.8</v>
      </c>
      <c r="N78" s="7" t="n">
        <v>583.3</v>
      </c>
      <c r="P78" s="7" t="n">
        <v>972.8</v>
      </c>
      <c r="R78" s="7" t="n">
        <v>711.3</v>
      </c>
      <c r="T78" s="7" t="n">
        <v>951.7</v>
      </c>
      <c r="V78" s="7" t="n">
        <v>759.2</v>
      </c>
      <c r="X78" s="7" t="n">
        <v>619.3</v>
      </c>
      <c r="Z78" s="7" t="n">
        <v>353.1</v>
      </c>
      <c r="AB78" s="7" t="n">
        <v>7524.7</v>
      </c>
    </row>
    <row r="79">
      <c r="A79" s="4" t="inlineStr">
        <is>
          <t>推广费</t>
        </is>
      </c>
      <c r="D79" s="7" t="n">
        <v>360.2</v>
      </c>
      <c r="F79" s="7" t="n">
        <v>439.7</v>
      </c>
      <c r="H79" s="7" t="n">
        <v>483.1</v>
      </c>
      <c r="J79" s="7" t="n">
        <v>323.2</v>
      </c>
      <c r="L79" s="7" t="n">
        <v>724.4</v>
      </c>
      <c r="N79" s="7" t="n">
        <v>594.7</v>
      </c>
      <c r="P79" s="7" t="n">
        <v>497.7</v>
      </c>
      <c r="R79" s="7" t="n">
        <v>739.6</v>
      </c>
      <c r="T79" s="7" t="n">
        <v>410.4</v>
      </c>
      <c r="V79" s="7" t="n">
        <v>649.7</v>
      </c>
      <c r="X79" s="7" t="n">
        <v>441.1</v>
      </c>
      <c r="Z79" s="7" t="n">
        <v>158.4</v>
      </c>
      <c r="AB79" s="7" t="n">
        <v>5822.2</v>
      </c>
    </row>
    <row r="80">
      <c r="A80" s="4" t="inlineStr">
        <is>
          <t>展会费</t>
        </is>
      </c>
      <c r="D80" s="7" t="n">
        <v>892.2</v>
      </c>
      <c r="F80" s="7" t="n">
        <v>728.9</v>
      </c>
      <c r="H80" s="7" t="n">
        <v>820.9</v>
      </c>
      <c r="J80" s="7" t="n">
        <v>484.4</v>
      </c>
      <c r="L80" s="7" t="n">
        <v>1820.7</v>
      </c>
      <c r="N80" s="7" t="n">
        <v>1155.9</v>
      </c>
      <c r="P80" s="7" t="n">
        <v>1855.9</v>
      </c>
      <c r="R80" s="7" t="n">
        <v>1717.4</v>
      </c>
      <c r="T80" s="7" t="n">
        <v>1529</v>
      </c>
      <c r="V80" s="7" t="n">
        <v>1148.7</v>
      </c>
      <c r="X80" s="7" t="n">
        <v>902.1</v>
      </c>
      <c r="Z80" s="7" t="n">
        <v>437.5</v>
      </c>
      <c r="AB80" s="7" t="n">
        <v>13493.6</v>
      </c>
    </row>
    <row r="81">
      <c r="A81" s="4" t="inlineStr">
        <is>
          <t>设计费</t>
        </is>
      </c>
      <c r="D81" s="7" t="n">
        <v>1070.1</v>
      </c>
      <c r="F81" s="7" t="n">
        <v>1127.1</v>
      </c>
      <c r="H81" s="7" t="n">
        <v>1489.4</v>
      </c>
      <c r="J81" s="7" t="n">
        <v>839</v>
      </c>
      <c r="L81" s="7" t="n">
        <v>1363.3</v>
      </c>
      <c r="N81" s="7" t="n">
        <v>970.8</v>
      </c>
      <c r="P81" s="7" t="n">
        <v>2345.3</v>
      </c>
      <c r="R81" s="7" t="n">
        <v>2109.7</v>
      </c>
      <c r="T81" s="7" t="n">
        <v>1143</v>
      </c>
      <c r="V81" s="7" t="n">
        <v>1345.9</v>
      </c>
      <c r="X81" s="7" t="n">
        <v>1068</v>
      </c>
      <c r="Z81" s="7" t="n">
        <v>496.7</v>
      </c>
      <c r="AB81" s="7" t="n">
        <v>15368.3</v>
      </c>
    </row>
    <row r="82">
      <c r="A82" s="4" t="inlineStr">
        <is>
          <t>折旧费</t>
        </is>
      </c>
      <c r="D82" s="7" t="n">
        <v>7276.1</v>
      </c>
      <c r="F82" s="7" t="n">
        <v>5898.2</v>
      </c>
      <c r="H82" s="7" t="n">
        <v>11640.5</v>
      </c>
      <c r="J82" s="7" t="n">
        <v>4986.4</v>
      </c>
      <c r="L82" s="7" t="n">
        <v>14356.1</v>
      </c>
      <c r="N82" s="7" t="n">
        <v>11197.9</v>
      </c>
      <c r="P82" s="7" t="n">
        <v>14811.8</v>
      </c>
      <c r="R82" s="7" t="n">
        <v>17721.7</v>
      </c>
      <c r="T82" s="7" t="n">
        <v>14990.9</v>
      </c>
      <c r="V82" s="7" t="n">
        <v>10726.4</v>
      </c>
      <c r="X82" s="7" t="n">
        <v>6333.7</v>
      </c>
      <c r="Z82" s="7" t="n">
        <v>3905.3</v>
      </c>
      <c r="AB82" s="7" t="n">
        <v>123845</v>
      </c>
    </row>
    <row r="83">
      <c r="A83" s="4" t="inlineStr">
        <is>
          <t>认证费</t>
        </is>
      </c>
      <c r="D83" s="7" t="n">
        <v>232.2</v>
      </c>
      <c r="F83" s="7" t="n">
        <v>227.4</v>
      </c>
      <c r="H83" s="7" t="n">
        <v>280.7</v>
      </c>
      <c r="J83" s="7" t="n">
        <v>191.4</v>
      </c>
      <c r="L83" s="7" t="n">
        <v>463.9</v>
      </c>
      <c r="N83" s="7" t="n">
        <v>358</v>
      </c>
      <c r="P83" s="7" t="n">
        <v>356.4</v>
      </c>
      <c r="R83" s="7" t="n">
        <v>492.4</v>
      </c>
      <c r="T83" s="7" t="n">
        <v>349.5</v>
      </c>
      <c r="V83" s="7" t="n">
        <v>280.2</v>
      </c>
      <c r="X83" s="7" t="n">
        <v>170.4</v>
      </c>
      <c r="Z83" s="7" t="n">
        <v>134.8</v>
      </c>
      <c r="AB83" s="7" t="n">
        <v>3537.3</v>
      </c>
    </row>
    <row r="84">
      <c r="A84" s="4" t="inlineStr">
        <is>
          <t>样品费</t>
        </is>
      </c>
      <c r="D84" s="7" t="n">
        <v>3534.1</v>
      </c>
      <c r="F84" s="7" t="n">
        <v>3671.9</v>
      </c>
      <c r="H84" s="7" t="n">
        <v>4924.7</v>
      </c>
      <c r="J84" s="7" t="n">
        <v>3290.2</v>
      </c>
      <c r="L84" s="7" t="n">
        <v>6980.4</v>
      </c>
      <c r="N84" s="7" t="n">
        <v>4733.2</v>
      </c>
      <c r="P84" s="7" t="n">
        <v>5460.9</v>
      </c>
      <c r="R84" s="7" t="n">
        <v>7322.8</v>
      </c>
      <c r="T84" s="7" t="n">
        <v>5600.2</v>
      </c>
      <c r="V84" s="7" t="n">
        <v>7655.7</v>
      </c>
      <c r="X84" s="7" t="n">
        <v>3054.6</v>
      </c>
      <c r="Z84" s="7" t="n">
        <v>2619.3</v>
      </c>
      <c r="AB84" s="7" t="n">
        <v>58848</v>
      </c>
    </row>
    <row r="85">
      <c r="A85" s="4" t="inlineStr">
        <is>
          <t>劳务费</t>
        </is>
      </c>
      <c r="D85" s="7" t="n">
        <v>1202</v>
      </c>
      <c r="F85" s="7" t="n">
        <v>957</v>
      </c>
      <c r="H85" s="7" t="n">
        <v>1366.8</v>
      </c>
      <c r="J85" s="7" t="n">
        <v>831.6</v>
      </c>
      <c r="L85" s="7" t="n">
        <v>1481.3</v>
      </c>
      <c r="N85" s="7" t="n">
        <v>1154.5</v>
      </c>
      <c r="P85" s="7" t="n">
        <v>1676.4</v>
      </c>
      <c r="R85" s="7" t="n">
        <v>1489.1</v>
      </c>
      <c r="T85" s="7" t="n">
        <v>1850.7</v>
      </c>
      <c r="V85" s="7" t="n">
        <v>2071.3</v>
      </c>
      <c r="X85" s="7" t="n">
        <v>1262.1</v>
      </c>
      <c r="Z85" s="7" t="n">
        <v>857</v>
      </c>
      <c r="AB85" s="7" t="n">
        <v>16199.8</v>
      </c>
    </row>
    <row r="86">
      <c r="A86" s="4" t="inlineStr">
        <is>
          <t>销售佣金</t>
        </is>
      </c>
      <c r="D86" s="7" t="n">
        <v>1047.7</v>
      </c>
      <c r="F86" s="7" t="n">
        <v>1462.2</v>
      </c>
      <c r="H86" s="7" t="n">
        <v>1899.7</v>
      </c>
      <c r="J86" s="7" t="n">
        <v>858.4</v>
      </c>
      <c r="L86" s="7" t="n">
        <v>1929.3</v>
      </c>
      <c r="N86" s="7" t="n">
        <v>2107.3</v>
      </c>
      <c r="P86" s="7" t="n">
        <v>2219.2</v>
      </c>
      <c r="R86" s="7" t="n">
        <v>2542.6</v>
      </c>
      <c r="T86" s="7" t="n">
        <v>2077.1</v>
      </c>
      <c r="V86" s="7" t="n">
        <v>2129.2</v>
      </c>
      <c r="X86" s="7" t="n">
        <v>1314.6</v>
      </c>
      <c r="Z86" s="7" t="n">
        <v>960.9</v>
      </c>
      <c r="AB86" s="7" t="n">
        <v>20548.2</v>
      </c>
    </row>
    <row r="87">
      <c r="A87" s="4" t="inlineStr">
        <is>
          <t>检测费</t>
        </is>
      </c>
      <c r="D87" s="7" t="n">
        <v>377</v>
      </c>
      <c r="F87" s="7" t="n">
        <v>521.3</v>
      </c>
      <c r="H87" s="7" t="n">
        <v>859.6</v>
      </c>
      <c r="J87" s="7" t="n">
        <v>422.6</v>
      </c>
      <c r="L87" s="7" t="n">
        <v>1241.4</v>
      </c>
      <c r="N87" s="7" t="n">
        <v>951.2</v>
      </c>
      <c r="P87" s="7" t="n">
        <v>1023.4</v>
      </c>
      <c r="R87" s="7" t="n">
        <v>1243.7</v>
      </c>
      <c r="T87" s="7" t="n">
        <v>862.3</v>
      </c>
      <c r="V87" s="7" t="n">
        <v>1088.7</v>
      </c>
      <c r="X87" s="7" t="n">
        <v>449.7</v>
      </c>
      <c r="Z87" s="7" t="n">
        <v>296</v>
      </c>
      <c r="AB87" s="7" t="n">
        <v>9336.9</v>
      </c>
    </row>
    <row r="88">
      <c r="A88" s="4" t="inlineStr">
        <is>
          <t>质量赔偿</t>
        </is>
      </c>
      <c r="D88" s="7" t="n">
        <v>1304.9</v>
      </c>
      <c r="F88" s="7" t="n">
        <v>1203.4</v>
      </c>
      <c r="H88" s="7" t="n">
        <v>1222.1</v>
      </c>
      <c r="J88" s="7" t="n">
        <v>745.4</v>
      </c>
      <c r="L88" s="7" t="n">
        <v>2693.5</v>
      </c>
      <c r="N88" s="7" t="n">
        <v>1730.3</v>
      </c>
      <c r="P88" s="7" t="n">
        <v>2098.4</v>
      </c>
      <c r="R88" s="7" t="n">
        <v>2583.6</v>
      </c>
      <c r="T88" s="7" t="n">
        <v>2001.1</v>
      </c>
      <c r="V88" s="7" t="n">
        <v>1871.9</v>
      </c>
      <c r="X88" s="7" t="n">
        <v>1119.1</v>
      </c>
      <c r="Z88" s="7" t="n">
        <v>867.9</v>
      </c>
      <c r="AB88" s="7" t="n">
        <v>19441.6</v>
      </c>
    </row>
    <row r="89">
      <c r="A89" s="4" t="inlineStr">
        <is>
          <t>保险费</t>
        </is>
      </c>
      <c r="D89" s="7" t="n">
        <v>1.1</v>
      </c>
      <c r="F89" s="7" t="n">
        <v>0.9</v>
      </c>
      <c r="H89" s="7" t="n">
        <v>1.1</v>
      </c>
      <c r="J89" s="7" t="n">
        <v>0.6</v>
      </c>
      <c r="L89" s="7" t="n">
        <v>2.1</v>
      </c>
      <c r="N89" s="7" t="n">
        <v>1.5</v>
      </c>
      <c r="P89" s="7" t="n">
        <v>1.3</v>
      </c>
      <c r="R89" s="7" t="n">
        <v>1.6</v>
      </c>
      <c r="T89" s="7" t="n">
        <v>1.7</v>
      </c>
      <c r="V89" s="7" t="n">
        <v>1.7</v>
      </c>
      <c r="X89" s="7" t="n">
        <v>1</v>
      </c>
      <c r="Z89" s="7" t="n">
        <v>0.5</v>
      </c>
      <c r="AB89" s="7" t="n">
        <v>15.1</v>
      </c>
    </row>
    <row r="90">
      <c r="A90" s="4" t="inlineStr">
        <is>
          <t>清洁费</t>
        </is>
      </c>
      <c r="D90" s="7" t="n">
        <v>567.9</v>
      </c>
      <c r="F90" s="7" t="n">
        <v>653.5</v>
      </c>
      <c r="H90" s="7" t="n">
        <v>1047.4</v>
      </c>
      <c r="J90" s="7" t="n">
        <v>586.8</v>
      </c>
      <c r="L90" s="7" t="n">
        <v>1595.6</v>
      </c>
      <c r="N90" s="7" t="n">
        <v>1169.7</v>
      </c>
      <c r="P90" s="7" t="n">
        <v>1531.4</v>
      </c>
      <c r="R90" s="7" t="n">
        <v>1078.4</v>
      </c>
      <c r="T90" s="7" t="n">
        <v>1257.8</v>
      </c>
      <c r="V90" s="7" t="n">
        <v>1274.8</v>
      </c>
      <c r="X90" s="7" t="n">
        <v>548</v>
      </c>
      <c r="Z90" s="7" t="n">
        <v>393.4</v>
      </c>
      <c r="AB90" s="7" t="n">
        <v>11704.7</v>
      </c>
    </row>
    <row r="91">
      <c r="A91" s="4" t="inlineStr">
        <is>
          <t>低值易耗品</t>
        </is>
      </c>
      <c r="D91" s="7" t="n">
        <v>769.9</v>
      </c>
      <c r="F91" s="7" t="n">
        <v>954.5</v>
      </c>
      <c r="H91" s="7" t="n">
        <v>1125.9</v>
      </c>
      <c r="J91" s="7" t="n">
        <v>617.1</v>
      </c>
      <c r="L91" s="7" t="n">
        <v>1887.1</v>
      </c>
      <c r="N91" s="7" t="n">
        <v>1217</v>
      </c>
      <c r="P91" s="7" t="n">
        <v>2238.2</v>
      </c>
      <c r="R91" s="7" t="n">
        <v>2145.6</v>
      </c>
      <c r="T91" s="7" t="n">
        <v>1157.1</v>
      </c>
      <c r="V91" s="7" t="n">
        <v>1232.7</v>
      </c>
      <c r="X91" s="7" t="n">
        <v>881.2</v>
      </c>
      <c r="Z91" s="7" t="n">
        <v>568.1</v>
      </c>
      <c r="AB91" s="7" t="n">
        <v>14794.4</v>
      </c>
    </row>
    <row r="92">
      <c r="A92" s="4" t="inlineStr">
        <is>
          <t>物料消耗</t>
        </is>
      </c>
      <c r="D92" s="7" t="n">
        <v>1099.6</v>
      </c>
      <c r="F92" s="7" t="n">
        <v>976.3</v>
      </c>
      <c r="H92" s="7" t="n">
        <v>1266.8</v>
      </c>
      <c r="J92" s="7" t="n">
        <v>599.6</v>
      </c>
      <c r="L92" s="7" t="n">
        <v>1899.2</v>
      </c>
      <c r="N92" s="7" t="n">
        <v>1446.5</v>
      </c>
      <c r="P92" s="7" t="n">
        <v>1846.1</v>
      </c>
      <c r="R92" s="7" t="n">
        <v>2267.2</v>
      </c>
      <c r="T92" s="7" t="n">
        <v>1839.9</v>
      </c>
      <c r="V92" s="7" t="n">
        <v>2292.5</v>
      </c>
      <c r="X92" s="7" t="n">
        <v>790.3</v>
      </c>
      <c r="Z92" s="7" t="n">
        <v>458.9</v>
      </c>
      <c r="AB92" s="7" t="n">
        <v>16782.9</v>
      </c>
    </row>
    <row r="93">
      <c r="A93" s="4" t="inlineStr">
        <is>
          <t>盘盈盘亏</t>
        </is>
      </c>
      <c r="D93" s="7" t="n">
        <v>301.6</v>
      </c>
      <c r="F93" s="7" t="n">
        <v>318.7</v>
      </c>
      <c r="H93" s="7" t="n">
        <v>318.8</v>
      </c>
      <c r="J93" s="7" t="n">
        <v>241.4</v>
      </c>
      <c r="L93" s="7" t="n">
        <v>642.2</v>
      </c>
      <c r="N93" s="7" t="n">
        <v>325.1</v>
      </c>
      <c r="P93" s="7" t="n">
        <v>585.8</v>
      </c>
      <c r="R93" s="7" t="n">
        <v>447.4</v>
      </c>
      <c r="T93" s="7" t="n">
        <v>480.2</v>
      </c>
      <c r="V93" s="7" t="n">
        <v>768.2</v>
      </c>
      <c r="X93" s="7" t="n">
        <v>351.6</v>
      </c>
      <c r="Z93" s="7" t="n">
        <v>167.6</v>
      </c>
      <c r="AB93" s="7" t="n">
        <v>4948.6</v>
      </c>
    </row>
    <row r="94">
      <c r="A94" s="4" t="inlineStr">
        <is>
          <t>平台服务费</t>
        </is>
      </c>
      <c r="D94" s="7" t="n">
        <v>914.3</v>
      </c>
      <c r="F94" s="7" t="n">
        <v>1535.8</v>
      </c>
      <c r="H94" s="7" t="n">
        <v>1727.2</v>
      </c>
      <c r="J94" s="7" t="n">
        <v>1126</v>
      </c>
      <c r="L94" s="7" t="n">
        <v>2280.8</v>
      </c>
      <c r="N94" s="7" t="n">
        <v>1268.6</v>
      </c>
      <c r="P94" s="7" t="n">
        <v>2678.4</v>
      </c>
      <c r="R94" s="7" t="n">
        <v>2222.5</v>
      </c>
      <c r="T94" s="7" t="n">
        <v>2183.6</v>
      </c>
      <c r="V94" s="7" t="n">
        <v>2184.1</v>
      </c>
      <c r="X94" s="7" t="n">
        <v>965.9</v>
      </c>
      <c r="Z94" s="7" t="n">
        <v>832.3</v>
      </c>
      <c r="AB94" s="7" t="n">
        <v>19919.5</v>
      </c>
    </row>
    <row r="95">
      <c r="A95" s="4" t="inlineStr">
        <is>
          <t>无形资产摊销</t>
        </is>
      </c>
      <c r="D95" s="7" t="n">
        <v>990.7</v>
      </c>
      <c r="F95" s="7" t="n">
        <v>920.4</v>
      </c>
      <c r="H95" s="7" t="n">
        <v>1152.1</v>
      </c>
      <c r="J95" s="7" t="n">
        <v>822.7</v>
      </c>
      <c r="L95" s="7" t="n">
        <v>1665.3</v>
      </c>
      <c r="N95" s="7" t="n">
        <v>1070.5</v>
      </c>
      <c r="P95" s="7" t="n">
        <v>2206.7</v>
      </c>
      <c r="R95" s="7" t="n">
        <v>1654.6</v>
      </c>
      <c r="T95" s="7" t="n">
        <v>1245.8</v>
      </c>
      <c r="V95" s="7" t="n">
        <v>1482.4</v>
      </c>
      <c r="X95" s="7" t="n">
        <v>973.5</v>
      </c>
      <c r="Z95" s="7" t="n">
        <v>434.2</v>
      </c>
      <c r="AB95" s="7" t="n">
        <v>14618.9</v>
      </c>
    </row>
    <row r="96">
      <c r="A96" s="4" t="inlineStr">
        <is>
          <t>研发材料</t>
        </is>
      </c>
      <c r="D96" s="7" t="n">
        <v>1241.3</v>
      </c>
      <c r="F96" s="7" t="n">
        <v>1562.2</v>
      </c>
      <c r="H96" s="7" t="n">
        <v>1749.2</v>
      </c>
      <c r="J96" s="7" t="n">
        <v>713.5</v>
      </c>
      <c r="L96" s="7" t="n">
        <v>1814.4</v>
      </c>
      <c r="N96" s="7" t="n">
        <v>1727.6</v>
      </c>
      <c r="P96" s="7" t="n">
        <v>1852.7</v>
      </c>
      <c r="R96" s="7" t="n">
        <v>2574.4</v>
      </c>
      <c r="T96" s="7" t="n">
        <v>1369.5</v>
      </c>
      <c r="V96" s="7" t="n">
        <v>2917.5</v>
      </c>
      <c r="X96" s="7" t="n">
        <v>1164.2</v>
      </c>
      <c r="Z96" s="7" t="n">
        <v>550.9</v>
      </c>
      <c r="AB96" s="7" t="n">
        <v>19237.4</v>
      </c>
    </row>
    <row r="97">
      <c r="A97" s="4" t="inlineStr">
        <is>
          <t>项目名称</t>
        </is>
      </c>
      <c r="D97" s="7" t="n">
        <v>866.6</v>
      </c>
      <c r="F97" s="7" t="n">
        <v>872.3</v>
      </c>
      <c r="H97" s="7" t="n">
        <v>1794.2</v>
      </c>
      <c r="J97" s="7" t="n">
        <v>997.8</v>
      </c>
      <c r="L97" s="7" t="n">
        <v>2634.2</v>
      </c>
      <c r="N97" s="7" t="n">
        <v>1267.4</v>
      </c>
      <c r="P97" s="7" t="n">
        <v>2306</v>
      </c>
      <c r="R97" s="7" t="n">
        <v>2414.5</v>
      </c>
      <c r="T97" s="7" t="n">
        <v>1278.3</v>
      </c>
      <c r="V97" s="7" t="n">
        <v>2507.1</v>
      </c>
      <c r="X97" s="7" t="n">
        <v>1339.8</v>
      </c>
      <c r="Z97" s="7" t="n">
        <v>797</v>
      </c>
      <c r="AB97" s="7" t="n">
        <v>19075.2</v>
      </c>
    </row>
    <row r="98">
      <c r="A98" s="4" t="inlineStr">
        <is>
          <t>研发费</t>
        </is>
      </c>
      <c r="D98" s="7" t="n">
        <v>1153.1</v>
      </c>
      <c r="F98" s="7" t="n">
        <v>1294.3</v>
      </c>
      <c r="H98" s="7" t="n">
        <v>1376.4</v>
      </c>
      <c r="J98" s="7" t="n">
        <v>704.4</v>
      </c>
      <c r="L98" s="7" t="n">
        <v>1535.3</v>
      </c>
      <c r="N98" s="7" t="n">
        <v>1258</v>
      </c>
      <c r="P98" s="7" t="n">
        <v>2432.4</v>
      </c>
      <c r="R98" s="7" t="n">
        <v>1994.8</v>
      </c>
      <c r="T98" s="7" t="n">
        <v>1299.4</v>
      </c>
      <c r="V98" s="7" t="n">
        <v>2193.5</v>
      </c>
      <c r="X98" s="7" t="n">
        <v>1142.2</v>
      </c>
      <c r="Z98" s="7" t="n">
        <v>538.7</v>
      </c>
      <c r="AB98" s="7" t="n">
        <v>16922.5</v>
      </c>
    </row>
    <row r="99">
      <c r="A99" s="4" t="inlineStr">
        <is>
          <t>残保金</t>
        </is>
      </c>
      <c r="D99" s="7" t="n">
        <v>669.9</v>
      </c>
      <c r="F99" s="7" t="n">
        <v>856.5</v>
      </c>
      <c r="H99" s="7" t="n">
        <v>1102.7</v>
      </c>
      <c r="J99" s="7" t="n">
        <v>547</v>
      </c>
      <c r="L99" s="7" t="n">
        <v>1099.1</v>
      </c>
      <c r="N99" s="7" t="n">
        <v>1242.6</v>
      </c>
      <c r="P99" s="7" t="n">
        <v>1796.1</v>
      </c>
      <c r="R99" s="7" t="n">
        <v>1083.5</v>
      </c>
      <c r="T99" s="7" t="n">
        <v>1417.7</v>
      </c>
      <c r="V99" s="7" t="n">
        <v>1262.7</v>
      </c>
      <c r="X99" s="7" t="n">
        <v>989.4</v>
      </c>
      <c r="Z99" s="7" t="n">
        <v>522.1</v>
      </c>
      <c r="AB99" s="7" t="n">
        <v>12589.3</v>
      </c>
    </row>
    <row r="100">
      <c r="A100" s="4" t="inlineStr">
        <is>
          <t>环保费</t>
        </is>
      </c>
      <c r="D100" s="7" t="n">
        <v>49.8</v>
      </c>
      <c r="F100" s="7" t="n">
        <v>66.90000000000001</v>
      </c>
      <c r="H100" s="7" t="n">
        <v>72.5</v>
      </c>
      <c r="J100" s="7" t="n">
        <v>57.6</v>
      </c>
      <c r="L100" s="7" t="n">
        <v>128.6</v>
      </c>
      <c r="N100" s="7" t="n">
        <v>95.3</v>
      </c>
      <c r="P100" s="7" t="n">
        <v>142.3</v>
      </c>
      <c r="R100" s="7" t="n">
        <v>153.9</v>
      </c>
      <c r="T100" s="7" t="n">
        <v>114.9</v>
      </c>
      <c r="V100" s="7" t="n">
        <v>113.3</v>
      </c>
      <c r="X100" s="7" t="n">
        <v>90.2</v>
      </c>
      <c r="Z100" s="7" t="n">
        <v>42.4</v>
      </c>
      <c r="AB100" s="7" t="n">
        <v>1127.7</v>
      </c>
    </row>
    <row r="101">
      <c r="A101" s="4" t="inlineStr">
        <is>
          <t>报废损失</t>
        </is>
      </c>
      <c r="D101" s="7" t="n">
        <v>1053.9</v>
      </c>
      <c r="F101" s="7" t="n">
        <v>1568.9</v>
      </c>
      <c r="H101" s="7" t="n">
        <v>1658.8</v>
      </c>
      <c r="J101" s="7" t="n">
        <v>1140.2</v>
      </c>
      <c r="L101" s="7" t="n">
        <v>2751.7</v>
      </c>
      <c r="N101" s="7" t="n">
        <v>1182.5</v>
      </c>
      <c r="P101" s="7" t="n">
        <v>2843.1</v>
      </c>
      <c r="R101" s="7" t="n">
        <v>1979</v>
      </c>
      <c r="T101" s="7" t="n">
        <v>1798.1</v>
      </c>
      <c r="V101" s="7" t="n">
        <v>2672.6</v>
      </c>
      <c r="X101" s="7" t="n">
        <v>897.3</v>
      </c>
      <c r="Z101" s="7" t="n">
        <v>812.4</v>
      </c>
      <c r="AB101" s="7" t="n">
        <v>20358.5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81922.3</v>
      </c>
      <c r="D102" s="7" t="n">
        <v>33351.4</v>
      </c>
      <c r="E102" s="7" t="n">
        <v>83702.60000000001</v>
      </c>
      <c r="F102" s="7" t="n">
        <v>65485.5</v>
      </c>
      <c r="G102" s="7" t="n">
        <v>64546.9</v>
      </c>
      <c r="H102" s="7" t="n">
        <v>56241.2</v>
      </c>
      <c r="I102" s="7" t="n">
        <v>70028.3</v>
      </c>
      <c r="J102" s="7" t="n">
        <v>68230.2</v>
      </c>
      <c r="K102" s="7" t="n">
        <v>85743.5</v>
      </c>
      <c r="L102" s="7" t="n">
        <v>52276.6</v>
      </c>
      <c r="M102" s="7" t="n">
        <v>75547.5</v>
      </c>
      <c r="N102" s="7" t="n">
        <v>92297.3</v>
      </c>
      <c r="O102" s="7" t="n">
        <v>67133</v>
      </c>
      <c r="P102" s="7" t="n">
        <v>99042.39999999999</v>
      </c>
      <c r="Q102" s="7" t="n">
        <v>68106.89999999999</v>
      </c>
      <c r="R102" s="7" t="n">
        <v>120986.7</v>
      </c>
      <c r="S102" s="7" t="n">
        <v>69519.89999999999</v>
      </c>
      <c r="T102" s="7" t="n">
        <v>54501.8</v>
      </c>
      <c r="U102" s="7" t="n">
        <v>66042.7</v>
      </c>
      <c r="V102" s="7" t="n">
        <v>102587</v>
      </c>
      <c r="W102" s="7" t="n">
        <v>68807</v>
      </c>
      <c r="X102" s="7" t="n">
        <v>104950.9</v>
      </c>
      <c r="Y102" s="7" t="n">
        <v>79404.89999999999</v>
      </c>
      <c r="Z102" s="7" t="n">
        <v>59141.1</v>
      </c>
      <c r="AA102" s="8" t="n">
        <v>880505.5</v>
      </c>
      <c r="AB102" s="8" t="n">
        <v>909092.1</v>
      </c>
    </row>
    <row r="103">
      <c r="A103" s="4" t="inlineStr">
        <is>
          <t>职工薪酬</t>
        </is>
      </c>
      <c r="D103" s="7" t="n">
        <v>17268.1</v>
      </c>
      <c r="F103" s="7" t="n">
        <v>36072.2</v>
      </c>
      <c r="H103" s="7" t="n">
        <v>23447.3</v>
      </c>
      <c r="J103" s="7" t="n">
        <v>35956.5</v>
      </c>
      <c r="L103" s="7" t="n">
        <v>28002</v>
      </c>
      <c r="N103" s="7" t="n">
        <v>53940.3</v>
      </c>
      <c r="P103" s="7" t="n">
        <v>53070.3</v>
      </c>
      <c r="R103" s="7" t="n">
        <v>48652.1</v>
      </c>
      <c r="T103" s="7" t="n">
        <v>23349.2</v>
      </c>
      <c r="V103" s="7" t="n">
        <v>52433.5</v>
      </c>
      <c r="X103" s="7" t="n">
        <v>48108.3</v>
      </c>
      <c r="Z103" s="7" t="n">
        <v>27526.4</v>
      </c>
      <c r="AB103" s="7" t="n">
        <v>447826.2</v>
      </c>
    </row>
    <row r="104">
      <c r="A104" s="4" t="inlineStr">
        <is>
          <t>工资</t>
        </is>
      </c>
      <c r="D104" s="7" t="n">
        <v>10985.4</v>
      </c>
      <c r="F104" s="7" t="n">
        <v>25138.6</v>
      </c>
      <c r="H104" s="7" t="n">
        <v>13294.9</v>
      </c>
      <c r="J104" s="7" t="n">
        <v>18424.5</v>
      </c>
      <c r="L104" s="7" t="n">
        <v>16831.1</v>
      </c>
      <c r="N104" s="7" t="n">
        <v>33268.4</v>
      </c>
      <c r="P104" s="7" t="n">
        <v>31453.1</v>
      </c>
      <c r="R104" s="7" t="n">
        <v>26953</v>
      </c>
      <c r="T104" s="7" t="n">
        <v>13390.5</v>
      </c>
      <c r="V104" s="7" t="n">
        <v>30485.8</v>
      </c>
      <c r="X104" s="7" t="n">
        <v>26006.2</v>
      </c>
      <c r="Z104" s="7" t="n">
        <v>12848.8</v>
      </c>
      <c r="AB104" s="7" t="n">
        <v>259080.3</v>
      </c>
    </row>
    <row r="105">
      <c r="A105" s="4" t="inlineStr">
        <is>
          <t>奖金及提成</t>
        </is>
      </c>
      <c r="D105" s="7" t="n">
        <v>2931.5</v>
      </c>
      <c r="F105" s="7" t="n">
        <v>5306.3</v>
      </c>
      <c r="H105" s="7" t="n">
        <v>4928.7</v>
      </c>
      <c r="J105" s="7" t="n">
        <v>8854.799999999999</v>
      </c>
      <c r="L105" s="7" t="n">
        <v>4522.1</v>
      </c>
      <c r="N105" s="7" t="n">
        <v>8944.799999999999</v>
      </c>
      <c r="P105" s="7" t="n">
        <v>10201.1</v>
      </c>
      <c r="R105" s="7" t="n">
        <v>8469.700000000001</v>
      </c>
      <c r="T105" s="7" t="n">
        <v>4701.1</v>
      </c>
      <c r="V105" s="7" t="n">
        <v>9835.5</v>
      </c>
      <c r="X105" s="7" t="n">
        <v>10142</v>
      </c>
      <c r="Z105" s="7" t="n">
        <v>7542</v>
      </c>
      <c r="AB105" s="7" t="n">
        <v>86379.60000000001</v>
      </c>
    </row>
    <row r="106">
      <c r="A106" s="4" t="inlineStr">
        <is>
          <t>社保</t>
        </is>
      </c>
      <c r="D106" s="7" t="n">
        <v>2533.6</v>
      </c>
      <c r="F106" s="7" t="n">
        <v>4071.6</v>
      </c>
      <c r="H106" s="7" t="n">
        <v>3758.2</v>
      </c>
      <c r="J106" s="7" t="n">
        <v>7051.5</v>
      </c>
      <c r="L106" s="7" t="n">
        <v>5243.6</v>
      </c>
      <c r="N106" s="7" t="n">
        <v>9088.799999999999</v>
      </c>
      <c r="P106" s="7" t="n">
        <v>8835.4</v>
      </c>
      <c r="R106" s="7" t="n">
        <v>9507.200000000001</v>
      </c>
      <c r="T106" s="7" t="n">
        <v>3892.8</v>
      </c>
      <c r="V106" s="7" t="n">
        <v>9572.9</v>
      </c>
      <c r="X106" s="7" t="n">
        <v>8941.700000000001</v>
      </c>
      <c r="Z106" s="7" t="n">
        <v>5544.4</v>
      </c>
      <c r="AB106" s="7" t="n">
        <v>78041.7</v>
      </c>
    </row>
    <row r="107">
      <c r="A107" s="4" t="inlineStr">
        <is>
          <t>养老</t>
        </is>
      </c>
      <c r="D107" s="7" t="n">
        <v>177.2</v>
      </c>
      <c r="F107" s="7" t="n">
        <v>301</v>
      </c>
      <c r="H107" s="7" t="n">
        <v>281.5</v>
      </c>
      <c r="J107" s="7" t="n">
        <v>362.1</v>
      </c>
      <c r="L107" s="7" t="n">
        <v>162.8</v>
      </c>
      <c r="N107" s="7" t="n">
        <v>425.8</v>
      </c>
      <c r="P107" s="7" t="n">
        <v>522.2</v>
      </c>
      <c r="R107" s="7" t="n">
        <v>399.7</v>
      </c>
      <c r="T107" s="7" t="n">
        <v>230.3</v>
      </c>
      <c r="V107" s="7" t="n">
        <v>384.8</v>
      </c>
      <c r="X107" s="7" t="n">
        <v>373.1</v>
      </c>
      <c r="Z107" s="7" t="n">
        <v>227.2</v>
      </c>
      <c r="AB107" s="7" t="n">
        <v>3847.7</v>
      </c>
    </row>
    <row r="108">
      <c r="A108" s="4" t="inlineStr">
        <is>
          <t>医疗</t>
        </is>
      </c>
      <c r="D108" s="7" t="n">
        <v>153.5</v>
      </c>
      <c r="F108" s="7" t="n">
        <v>495.8</v>
      </c>
      <c r="H108" s="7" t="n">
        <v>370.9</v>
      </c>
      <c r="J108" s="7" t="n">
        <v>396.6</v>
      </c>
      <c r="L108" s="7" t="n">
        <v>233.4</v>
      </c>
      <c r="N108" s="7" t="n">
        <v>533.8</v>
      </c>
      <c r="P108" s="7" t="n">
        <v>722.6</v>
      </c>
      <c r="R108" s="7" t="n">
        <v>876.7</v>
      </c>
      <c r="T108" s="7" t="n">
        <v>411.4</v>
      </c>
      <c r="V108" s="7" t="n">
        <v>583.4</v>
      </c>
      <c r="X108" s="7" t="n">
        <v>803.1</v>
      </c>
      <c r="Z108" s="7" t="n">
        <v>322.7</v>
      </c>
      <c r="AB108" s="7" t="n">
        <v>5903.9</v>
      </c>
    </row>
    <row r="109">
      <c r="A109" s="4" t="inlineStr">
        <is>
          <t>工伤</t>
        </is>
      </c>
      <c r="D109" s="7" t="n">
        <v>168.3</v>
      </c>
      <c r="F109" s="7" t="n">
        <v>339.7</v>
      </c>
      <c r="H109" s="7" t="n">
        <v>225</v>
      </c>
      <c r="J109" s="7" t="n">
        <v>353.5</v>
      </c>
      <c r="L109" s="7" t="n">
        <v>308.6</v>
      </c>
      <c r="N109" s="7" t="n">
        <v>316.6</v>
      </c>
      <c r="P109" s="7" t="n">
        <v>464.2</v>
      </c>
      <c r="R109" s="7" t="n">
        <v>560.6</v>
      </c>
      <c r="T109" s="7" t="n">
        <v>187.5</v>
      </c>
      <c r="V109" s="7" t="n">
        <v>341.5</v>
      </c>
      <c r="X109" s="7" t="n">
        <v>419</v>
      </c>
      <c r="Z109" s="7" t="n">
        <v>333.5</v>
      </c>
      <c r="AB109" s="7" t="n">
        <v>4018</v>
      </c>
    </row>
    <row r="110">
      <c r="A110" s="4" t="inlineStr">
        <is>
          <t>失业</t>
        </is>
      </c>
      <c r="D110" s="7" t="n">
        <v>2.4</v>
      </c>
      <c r="F110" s="7" t="n">
        <v>6.7</v>
      </c>
      <c r="H110" s="7" t="n">
        <v>3.6</v>
      </c>
      <c r="J110" s="7" t="n">
        <v>4.9</v>
      </c>
      <c r="L110" s="7" t="n">
        <v>3.1</v>
      </c>
      <c r="N110" s="7" t="n">
        <v>8.800000000000001</v>
      </c>
      <c r="P110" s="7" t="n">
        <v>8.699999999999999</v>
      </c>
      <c r="R110" s="7" t="n">
        <v>11.7</v>
      </c>
      <c r="T110" s="7" t="n">
        <v>4.6</v>
      </c>
      <c r="V110" s="7" t="n">
        <v>6.8</v>
      </c>
      <c r="X110" s="7" t="n">
        <v>10.3</v>
      </c>
      <c r="Z110" s="7" t="n">
        <v>3.5</v>
      </c>
      <c r="AB110" s="7" t="n">
        <v>75.09999999999999</v>
      </c>
    </row>
    <row r="111">
      <c r="A111" s="4" t="inlineStr">
        <is>
          <t>生育</t>
        </is>
      </c>
      <c r="D111" s="7" t="n">
        <v>42.5</v>
      </c>
      <c r="F111" s="7" t="n">
        <v>104.2</v>
      </c>
      <c r="H111" s="7" t="n">
        <v>89.40000000000001</v>
      </c>
      <c r="J111" s="7" t="n">
        <v>106.9</v>
      </c>
      <c r="L111" s="7" t="n">
        <v>51.9</v>
      </c>
      <c r="N111" s="7" t="n">
        <v>127.5</v>
      </c>
      <c r="P111" s="7" t="n">
        <v>169.6</v>
      </c>
      <c r="R111" s="7" t="n">
        <v>170.2</v>
      </c>
      <c r="T111" s="7" t="n">
        <v>70.2</v>
      </c>
      <c r="V111" s="7" t="n">
        <v>178.4</v>
      </c>
      <c r="X111" s="7" t="n">
        <v>154.9</v>
      </c>
      <c r="Z111" s="7" t="n">
        <v>90.5</v>
      </c>
      <c r="AB111" s="7" t="n">
        <v>1356.2</v>
      </c>
    </row>
    <row r="112">
      <c r="A112" s="4" t="inlineStr">
        <is>
          <t>公积金</t>
        </is>
      </c>
      <c r="D112" s="7" t="n">
        <v>4.4</v>
      </c>
      <c r="F112" s="7" t="n">
        <v>9.300000000000001</v>
      </c>
      <c r="H112" s="7" t="n">
        <v>6.1</v>
      </c>
      <c r="J112" s="7" t="n">
        <v>8.4</v>
      </c>
      <c r="L112" s="7" t="n">
        <v>7.7</v>
      </c>
      <c r="N112" s="7" t="n">
        <v>11.5</v>
      </c>
      <c r="P112" s="7" t="n">
        <v>17.5</v>
      </c>
      <c r="R112" s="7" t="n">
        <v>15.5</v>
      </c>
      <c r="T112" s="7" t="n">
        <v>8.4</v>
      </c>
      <c r="V112" s="7" t="n">
        <v>15.9</v>
      </c>
      <c r="X112" s="7" t="n">
        <v>11.9</v>
      </c>
      <c r="Z112" s="7" t="n">
        <v>6.7</v>
      </c>
      <c r="AB112" s="7" t="n">
        <v>123.3</v>
      </c>
    </row>
    <row r="113">
      <c r="A113" s="4" t="inlineStr">
        <is>
          <t>工会经费</t>
        </is>
      </c>
      <c r="D113" s="7" t="n">
        <v>58.6</v>
      </c>
      <c r="F113" s="7" t="n">
        <v>79.2</v>
      </c>
      <c r="H113" s="7" t="n">
        <v>64</v>
      </c>
      <c r="J113" s="7" t="n">
        <v>86.2</v>
      </c>
      <c r="L113" s="7" t="n">
        <v>104.8</v>
      </c>
      <c r="N113" s="7" t="n">
        <v>126.1</v>
      </c>
      <c r="P113" s="7" t="n">
        <v>186</v>
      </c>
      <c r="R113" s="7" t="n">
        <v>188.2</v>
      </c>
      <c r="T113" s="7" t="n">
        <v>85</v>
      </c>
      <c r="V113" s="7" t="n">
        <v>116.6</v>
      </c>
      <c r="X113" s="7" t="n">
        <v>189.2</v>
      </c>
      <c r="Z113" s="7" t="n">
        <v>88.09999999999999</v>
      </c>
      <c r="AB113" s="7" t="n">
        <v>1372</v>
      </c>
    </row>
    <row r="114">
      <c r="A114" s="4" t="inlineStr">
        <is>
          <t>职工教育经费</t>
        </is>
      </c>
      <c r="D114" s="7" t="n">
        <v>10.5</v>
      </c>
      <c r="F114" s="7" t="n">
        <v>19.4</v>
      </c>
      <c r="H114" s="7" t="n">
        <v>15.5</v>
      </c>
      <c r="J114" s="7" t="n">
        <v>24.4</v>
      </c>
      <c r="L114" s="7" t="n">
        <v>15.4</v>
      </c>
      <c r="N114" s="7" t="n">
        <v>18.7</v>
      </c>
      <c r="P114" s="7" t="n">
        <v>30.6</v>
      </c>
      <c r="R114" s="7" t="n">
        <v>26</v>
      </c>
      <c r="T114" s="7" t="n">
        <v>17</v>
      </c>
      <c r="V114" s="7" t="n">
        <v>21.6</v>
      </c>
      <c r="X114" s="7" t="n">
        <v>35.3</v>
      </c>
      <c r="Z114" s="7" t="n">
        <v>19.7</v>
      </c>
      <c r="AB114" s="7" t="n">
        <v>254.1</v>
      </c>
    </row>
    <row r="115">
      <c r="A115" s="4" t="inlineStr">
        <is>
          <t>福利费</t>
        </is>
      </c>
      <c r="D115" s="7" t="n">
        <v>744.1</v>
      </c>
      <c r="F115" s="7" t="n">
        <v>1447.8</v>
      </c>
      <c r="H115" s="7" t="n">
        <v>1379.9</v>
      </c>
      <c r="J115" s="7" t="n">
        <v>1506.7</v>
      </c>
      <c r="L115" s="7" t="n">
        <v>1277.3</v>
      </c>
      <c r="N115" s="7" t="n">
        <v>2482</v>
      </c>
      <c r="P115" s="7" t="n">
        <v>2346.6</v>
      </c>
      <c r="R115" s="7" t="n">
        <v>3492.5</v>
      </c>
      <c r="T115" s="7" t="n">
        <v>1254.4</v>
      </c>
      <c r="V115" s="7" t="n">
        <v>2385.2</v>
      </c>
      <c r="X115" s="7" t="n">
        <v>2782</v>
      </c>
      <c r="Z115" s="7" t="n">
        <v>1476.7</v>
      </c>
      <c r="AB115" s="7" t="n">
        <v>22575.2</v>
      </c>
    </row>
    <row r="116">
      <c r="A116" s="4" t="inlineStr">
        <is>
          <t>职工房租</t>
        </is>
      </c>
      <c r="D116" s="7" t="n">
        <v>8.199999999999999</v>
      </c>
      <c r="F116" s="7" t="n">
        <v>19</v>
      </c>
      <c r="H116" s="7" t="n">
        <v>14.1</v>
      </c>
      <c r="J116" s="7" t="n">
        <v>16.2</v>
      </c>
      <c r="L116" s="7" t="n">
        <v>17</v>
      </c>
      <c r="N116" s="7" t="n">
        <v>26.8</v>
      </c>
      <c r="P116" s="7" t="n">
        <v>26.8</v>
      </c>
      <c r="R116" s="7" t="n">
        <v>36.3</v>
      </c>
      <c r="T116" s="7" t="n">
        <v>18.7</v>
      </c>
      <c r="V116" s="7" t="n">
        <v>40.9</v>
      </c>
      <c r="X116" s="7" t="n">
        <v>25.5</v>
      </c>
      <c r="Z116" s="7" t="n">
        <v>16.2</v>
      </c>
      <c r="AB116" s="7" t="n">
        <v>265.7</v>
      </c>
    </row>
    <row r="117">
      <c r="A117" s="4" t="inlineStr">
        <is>
          <t>水电物业费</t>
        </is>
      </c>
      <c r="D117" s="7" t="n">
        <v>129</v>
      </c>
      <c r="F117" s="7" t="n">
        <v>181.6</v>
      </c>
      <c r="H117" s="7" t="n">
        <v>218.5</v>
      </c>
      <c r="J117" s="7" t="n">
        <v>232.1</v>
      </c>
      <c r="L117" s="7" t="n">
        <v>232</v>
      </c>
      <c r="N117" s="7" t="n">
        <v>319.1</v>
      </c>
      <c r="P117" s="7" t="n">
        <v>443.1</v>
      </c>
      <c r="R117" s="7" t="n">
        <v>607.6</v>
      </c>
      <c r="T117" s="7" t="n">
        <v>157.6</v>
      </c>
      <c r="V117" s="7" t="n">
        <v>411.8</v>
      </c>
      <c r="X117" s="7" t="n">
        <v>510.5</v>
      </c>
      <c r="Z117" s="7" t="n">
        <v>271</v>
      </c>
      <c r="AB117" s="7" t="n">
        <v>3713.9</v>
      </c>
    </row>
    <row r="118">
      <c r="A118" s="4" t="inlineStr">
        <is>
          <t>员工餐</t>
        </is>
      </c>
      <c r="D118" s="7" t="n">
        <v>248.5</v>
      </c>
      <c r="F118" s="7" t="n">
        <v>295</v>
      </c>
      <c r="H118" s="7" t="n">
        <v>389.7</v>
      </c>
      <c r="J118" s="7" t="n">
        <v>359</v>
      </c>
      <c r="L118" s="7" t="n">
        <v>361.3</v>
      </c>
      <c r="N118" s="7" t="n">
        <v>663.6</v>
      </c>
      <c r="P118" s="7" t="n">
        <v>622.4</v>
      </c>
      <c r="R118" s="7" t="n">
        <v>828.9</v>
      </c>
      <c r="T118" s="7" t="n">
        <v>343.4</v>
      </c>
      <c r="V118" s="7" t="n">
        <v>588.7</v>
      </c>
      <c r="X118" s="7" t="n">
        <v>743.1</v>
      </c>
      <c r="Z118" s="7" t="n">
        <v>421.2</v>
      </c>
      <c r="AB118" s="7" t="n">
        <v>5864.8</v>
      </c>
    </row>
    <row r="119">
      <c r="A119" s="4" t="inlineStr">
        <is>
          <t>节日礼品</t>
        </is>
      </c>
      <c r="D119" s="7" t="n">
        <v>170.1</v>
      </c>
      <c r="F119" s="7" t="n">
        <v>404.7</v>
      </c>
      <c r="H119" s="7" t="n">
        <v>312.4</v>
      </c>
      <c r="J119" s="7" t="n">
        <v>500.8</v>
      </c>
      <c r="L119" s="7" t="n">
        <v>357.7</v>
      </c>
      <c r="N119" s="7" t="n">
        <v>757.1</v>
      </c>
      <c r="P119" s="7" t="n">
        <v>594.9</v>
      </c>
      <c r="R119" s="7" t="n">
        <v>1017.8</v>
      </c>
      <c r="T119" s="7" t="n">
        <v>279.1</v>
      </c>
      <c r="V119" s="7" t="n">
        <v>624.7</v>
      </c>
      <c r="X119" s="7" t="n">
        <v>785.5</v>
      </c>
      <c r="Z119" s="7" t="n">
        <v>340.8</v>
      </c>
      <c r="AB119" s="7" t="n">
        <v>6145.6</v>
      </c>
    </row>
    <row r="120">
      <c r="A120" s="4" t="inlineStr">
        <is>
          <t>生日礼品</t>
        </is>
      </c>
      <c r="D120" s="7" t="n">
        <v>28.1</v>
      </c>
      <c r="F120" s="7" t="n">
        <v>57.6</v>
      </c>
      <c r="H120" s="7" t="n">
        <v>46.4</v>
      </c>
      <c r="J120" s="7" t="n">
        <v>48.2</v>
      </c>
      <c r="L120" s="7" t="n">
        <v>41.5</v>
      </c>
      <c r="N120" s="7" t="n">
        <v>73.90000000000001</v>
      </c>
      <c r="P120" s="7" t="n">
        <v>75.7</v>
      </c>
      <c r="R120" s="7" t="n">
        <v>122.2</v>
      </c>
      <c r="T120" s="7" t="n">
        <v>43.4</v>
      </c>
      <c r="V120" s="7" t="n">
        <v>63.3</v>
      </c>
      <c r="X120" s="7" t="n">
        <v>83.7</v>
      </c>
      <c r="Z120" s="7" t="n">
        <v>48.3</v>
      </c>
      <c r="AB120" s="7" t="n">
        <v>732.3</v>
      </c>
    </row>
    <row r="121">
      <c r="A121" s="4" t="inlineStr">
        <is>
          <t>体检</t>
        </is>
      </c>
      <c r="D121" s="7" t="n">
        <v>1.3</v>
      </c>
      <c r="F121" s="7" t="n">
        <v>4.1</v>
      </c>
      <c r="H121" s="7" t="n">
        <v>3.8</v>
      </c>
      <c r="J121" s="7" t="n">
        <v>2.8</v>
      </c>
      <c r="L121" s="7" t="n">
        <v>3.1</v>
      </c>
      <c r="N121" s="7" t="n">
        <v>4.4</v>
      </c>
      <c r="P121" s="7" t="n">
        <v>3.8</v>
      </c>
      <c r="R121" s="7" t="n">
        <v>6.8</v>
      </c>
      <c r="T121" s="7" t="n">
        <v>2.3</v>
      </c>
      <c r="V121" s="7" t="n">
        <v>6.8</v>
      </c>
      <c r="X121" s="7" t="n">
        <v>6.1</v>
      </c>
      <c r="Z121" s="7" t="n">
        <v>3.4</v>
      </c>
      <c r="AB121" s="7" t="n">
        <v>48.7</v>
      </c>
    </row>
    <row r="122">
      <c r="A122" s="4" t="inlineStr">
        <is>
          <t>其他福利支出</t>
        </is>
      </c>
      <c r="D122" s="7" t="n">
        <v>158.9</v>
      </c>
      <c r="F122" s="7" t="n">
        <v>485.8</v>
      </c>
      <c r="H122" s="7" t="n">
        <v>395</v>
      </c>
      <c r="J122" s="7" t="n">
        <v>347.6</v>
      </c>
      <c r="L122" s="7" t="n">
        <v>264.7</v>
      </c>
      <c r="N122" s="7" t="n">
        <v>637.1</v>
      </c>
      <c r="P122" s="7" t="n">
        <v>579.9</v>
      </c>
      <c r="R122" s="7" t="n">
        <v>872.9</v>
      </c>
      <c r="T122" s="7" t="n">
        <v>409.9</v>
      </c>
      <c r="V122" s="7" t="n">
        <v>649</v>
      </c>
      <c r="X122" s="7" t="n">
        <v>627.6</v>
      </c>
      <c r="Z122" s="7" t="n">
        <v>375.8</v>
      </c>
      <c r="AB122" s="7" t="n">
        <v>5804.2</v>
      </c>
    </row>
    <row r="123">
      <c r="A123" s="4" t="inlineStr">
        <is>
          <t>招聘费</t>
        </is>
      </c>
      <c r="D123" s="7" t="n">
        <v>109.6</v>
      </c>
      <c r="F123" s="7" t="n">
        <v>196.8</v>
      </c>
      <c r="H123" s="7" t="n">
        <v>240.1</v>
      </c>
      <c r="J123" s="7" t="n">
        <v>217.1</v>
      </c>
      <c r="L123" s="7" t="n">
        <v>191.6</v>
      </c>
      <c r="N123" s="7" t="n">
        <v>263.9</v>
      </c>
      <c r="P123" s="7" t="n">
        <v>438.5</v>
      </c>
      <c r="R123" s="7" t="n">
        <v>454.2</v>
      </c>
      <c r="T123" s="7" t="n">
        <v>166.5</v>
      </c>
      <c r="V123" s="7" t="n">
        <v>514.5</v>
      </c>
      <c r="X123" s="7" t="n">
        <v>373.9</v>
      </c>
      <c r="Z123" s="7" t="n">
        <v>275.5</v>
      </c>
      <c r="AB123" s="7" t="n">
        <v>3442.2</v>
      </c>
    </row>
    <row r="124">
      <c r="A124" s="4" t="inlineStr">
        <is>
          <t>办公费</t>
        </is>
      </c>
      <c r="D124" s="7" t="n">
        <v>996.3</v>
      </c>
      <c r="F124" s="7" t="n">
        <v>1723.2</v>
      </c>
      <c r="H124" s="7" t="n">
        <v>1506.7</v>
      </c>
      <c r="J124" s="7" t="n">
        <v>2429.3</v>
      </c>
      <c r="L124" s="7" t="n">
        <v>2021.4</v>
      </c>
      <c r="N124" s="7" t="n">
        <v>2919.3</v>
      </c>
      <c r="P124" s="7" t="n">
        <v>2324.2</v>
      </c>
      <c r="R124" s="7" t="n">
        <v>3235.5</v>
      </c>
      <c r="T124" s="7" t="n">
        <v>1877.5</v>
      </c>
      <c r="V124" s="7" t="n">
        <v>3931.9</v>
      </c>
      <c r="X124" s="7" t="n">
        <v>2735.8</v>
      </c>
      <c r="Z124" s="7" t="n">
        <v>1545.7</v>
      </c>
      <c r="AB124" s="7" t="n">
        <v>27246.8</v>
      </c>
    </row>
    <row r="125">
      <c r="A125" s="4" t="inlineStr">
        <is>
          <t>市内交通费</t>
        </is>
      </c>
      <c r="D125" s="7" t="n">
        <v>72.59999999999999</v>
      </c>
      <c r="F125" s="7" t="n">
        <v>109.6</v>
      </c>
      <c r="H125" s="7" t="n">
        <v>86.2</v>
      </c>
      <c r="J125" s="7" t="n">
        <v>152.8</v>
      </c>
      <c r="L125" s="7" t="n">
        <v>127.7</v>
      </c>
      <c r="N125" s="7" t="n">
        <v>210.7</v>
      </c>
      <c r="P125" s="7" t="n">
        <v>194.4</v>
      </c>
      <c r="R125" s="7" t="n">
        <v>237.9</v>
      </c>
      <c r="T125" s="7" t="n">
        <v>97.3</v>
      </c>
      <c r="V125" s="7" t="n">
        <v>272.9</v>
      </c>
      <c r="X125" s="7" t="n">
        <v>273.6</v>
      </c>
      <c r="Z125" s="7" t="n">
        <v>147.8</v>
      </c>
      <c r="AB125" s="7" t="n">
        <v>1983.5</v>
      </c>
    </row>
    <row r="126">
      <c r="A126" s="4" t="inlineStr">
        <is>
          <t>差旅费</t>
        </is>
      </c>
      <c r="D126" s="7" t="n">
        <v>1878.8</v>
      </c>
      <c r="F126" s="7" t="n">
        <v>3707.9</v>
      </c>
      <c r="H126" s="7" t="n">
        <v>4117.4</v>
      </c>
      <c r="J126" s="7" t="n">
        <v>4332.4</v>
      </c>
      <c r="L126" s="7" t="n">
        <v>3486.3</v>
      </c>
      <c r="N126" s="7" t="n">
        <v>4372.9</v>
      </c>
      <c r="P126" s="7" t="n">
        <v>5918.7</v>
      </c>
      <c r="R126" s="7" t="n">
        <v>7237.6</v>
      </c>
      <c r="T126" s="7" t="n">
        <v>2906.9</v>
      </c>
      <c r="V126" s="7" t="n">
        <v>5813.2</v>
      </c>
      <c r="X126" s="7" t="n">
        <v>4453.5</v>
      </c>
      <c r="Z126" s="7" t="n">
        <v>4548.1</v>
      </c>
      <c r="AB126" s="7" t="n">
        <v>52773.7</v>
      </c>
    </row>
    <row r="127">
      <c r="A127" s="4" t="inlineStr">
        <is>
          <t>交通费</t>
        </is>
      </c>
      <c r="D127" s="7" t="n">
        <v>106</v>
      </c>
      <c r="F127" s="7" t="n">
        <v>211.2</v>
      </c>
      <c r="H127" s="7" t="n">
        <v>133.4</v>
      </c>
      <c r="J127" s="7" t="n">
        <v>174.3</v>
      </c>
      <c r="L127" s="7" t="n">
        <v>135.6</v>
      </c>
      <c r="N127" s="7" t="n">
        <v>217</v>
      </c>
      <c r="P127" s="7" t="n">
        <v>323.1</v>
      </c>
      <c r="R127" s="7" t="n">
        <v>256.8</v>
      </c>
      <c r="T127" s="7" t="n">
        <v>139.1</v>
      </c>
      <c r="V127" s="7" t="n">
        <v>344.2</v>
      </c>
      <c r="X127" s="7" t="n">
        <v>199.4</v>
      </c>
      <c r="Z127" s="7" t="n">
        <v>129.6</v>
      </c>
      <c r="AB127" s="7" t="n">
        <v>2369.7</v>
      </c>
    </row>
    <row r="128">
      <c r="A128" s="4" t="inlineStr">
        <is>
          <t>住宿费</t>
        </is>
      </c>
      <c r="D128" s="7" t="n">
        <v>129</v>
      </c>
      <c r="F128" s="7" t="n">
        <v>344.3</v>
      </c>
      <c r="H128" s="7" t="n">
        <v>211.3</v>
      </c>
      <c r="J128" s="7" t="n">
        <v>330.9</v>
      </c>
      <c r="L128" s="7" t="n">
        <v>224.7</v>
      </c>
      <c r="N128" s="7" t="n">
        <v>340.1</v>
      </c>
      <c r="P128" s="7" t="n">
        <v>501.1</v>
      </c>
      <c r="R128" s="7" t="n">
        <v>702.8</v>
      </c>
      <c r="T128" s="7" t="n">
        <v>309</v>
      </c>
      <c r="V128" s="7" t="n">
        <v>405.7</v>
      </c>
      <c r="X128" s="7" t="n">
        <v>549.4</v>
      </c>
      <c r="Z128" s="7" t="n">
        <v>234.6</v>
      </c>
      <c r="AB128" s="7" t="n">
        <v>4282.9</v>
      </c>
    </row>
    <row r="129">
      <c r="A129" s="4" t="inlineStr">
        <is>
          <t>餐补</t>
        </is>
      </c>
      <c r="D129" s="7" t="n">
        <v>84.09999999999999</v>
      </c>
      <c r="F129" s="7" t="n">
        <v>175.2</v>
      </c>
      <c r="H129" s="7" t="n">
        <v>115.1</v>
      </c>
      <c r="J129" s="7" t="n">
        <v>147.2</v>
      </c>
      <c r="L129" s="7" t="n">
        <v>123.8</v>
      </c>
      <c r="N129" s="7" t="n">
        <v>190.8</v>
      </c>
      <c r="P129" s="7" t="n">
        <v>232.9</v>
      </c>
      <c r="R129" s="7" t="n">
        <v>300.8</v>
      </c>
      <c r="T129" s="7" t="n">
        <v>146</v>
      </c>
      <c r="V129" s="7" t="n">
        <v>244.6</v>
      </c>
      <c r="X129" s="7" t="n">
        <v>327.9</v>
      </c>
      <c r="Z129" s="7" t="n">
        <v>210.3</v>
      </c>
      <c r="AB129" s="7" t="n">
        <v>2298.7</v>
      </c>
    </row>
    <row r="130">
      <c r="A130" s="4" t="inlineStr">
        <is>
          <t>交通补助</t>
        </is>
      </c>
      <c r="D130" s="7" t="n">
        <v>147.1</v>
      </c>
      <c r="F130" s="7" t="n">
        <v>238.3</v>
      </c>
      <c r="H130" s="7" t="n">
        <v>320.4</v>
      </c>
      <c r="J130" s="7" t="n">
        <v>365.7</v>
      </c>
      <c r="L130" s="7" t="n">
        <v>324.3</v>
      </c>
      <c r="N130" s="7" t="n">
        <v>434.4</v>
      </c>
      <c r="P130" s="7" t="n">
        <v>348.3</v>
      </c>
      <c r="R130" s="7" t="n">
        <v>658.3</v>
      </c>
      <c r="T130" s="7" t="n">
        <v>202.4</v>
      </c>
      <c r="V130" s="7" t="n">
        <v>620.5</v>
      </c>
      <c r="X130" s="7" t="n">
        <v>376.8</v>
      </c>
      <c r="Z130" s="7" t="n">
        <v>308.2</v>
      </c>
      <c r="AB130" s="7" t="n">
        <v>4344.7</v>
      </c>
    </row>
    <row r="131">
      <c r="A131" s="4" t="inlineStr">
        <is>
          <t>通讯补助</t>
        </is>
      </c>
      <c r="D131" s="7" t="n">
        <v>120</v>
      </c>
      <c r="F131" s="7" t="n">
        <v>211.5</v>
      </c>
      <c r="H131" s="7" t="n">
        <v>247.4</v>
      </c>
      <c r="J131" s="7" t="n">
        <v>296.3</v>
      </c>
      <c r="L131" s="7" t="n">
        <v>217.4</v>
      </c>
      <c r="N131" s="7" t="n">
        <v>299.4</v>
      </c>
      <c r="P131" s="7" t="n">
        <v>282.5</v>
      </c>
      <c r="R131" s="7" t="n">
        <v>373.8</v>
      </c>
      <c r="T131" s="7" t="n">
        <v>230.9</v>
      </c>
      <c r="V131" s="7" t="n">
        <v>364.4</v>
      </c>
      <c r="X131" s="7" t="n">
        <v>295</v>
      </c>
      <c r="Z131" s="7" t="n">
        <v>181.8</v>
      </c>
      <c r="AB131" s="7" t="n">
        <v>3120.4</v>
      </c>
    </row>
    <row r="132">
      <c r="A132" s="4" t="inlineStr">
        <is>
          <t>招待费</t>
        </is>
      </c>
      <c r="D132" s="7" t="n">
        <v>1419.9</v>
      </c>
      <c r="F132" s="7" t="n">
        <v>2248.3</v>
      </c>
      <c r="H132" s="7" t="n">
        <v>2479.9</v>
      </c>
      <c r="J132" s="7" t="n">
        <v>2663.7</v>
      </c>
      <c r="L132" s="7" t="n">
        <v>2150</v>
      </c>
      <c r="N132" s="7" t="n">
        <v>2599.6</v>
      </c>
      <c r="P132" s="7" t="n">
        <v>4405.4</v>
      </c>
      <c r="R132" s="7" t="n">
        <v>3530.4</v>
      </c>
      <c r="T132" s="7" t="n">
        <v>1769</v>
      </c>
      <c r="V132" s="7" t="n">
        <v>3470.4</v>
      </c>
      <c r="X132" s="7" t="n">
        <v>4817.9</v>
      </c>
      <c r="Z132" s="7" t="n">
        <v>2334.8</v>
      </c>
      <c r="AB132" s="7" t="n">
        <v>33889.3</v>
      </c>
    </row>
    <row r="133">
      <c r="A133" s="4" t="inlineStr">
        <is>
          <t>通讯费</t>
        </is>
      </c>
      <c r="D133" s="7" t="n">
        <v>118</v>
      </c>
      <c r="F133" s="7" t="n">
        <v>208.7</v>
      </c>
      <c r="H133" s="7" t="n">
        <v>148</v>
      </c>
      <c r="J133" s="7" t="n">
        <v>149.2</v>
      </c>
      <c r="L133" s="7" t="n">
        <v>176.4</v>
      </c>
      <c r="N133" s="7" t="n">
        <v>297.9</v>
      </c>
      <c r="P133" s="7" t="n">
        <v>245.8</v>
      </c>
      <c r="R133" s="7" t="n">
        <v>399.4</v>
      </c>
      <c r="T133" s="7" t="n">
        <v>162.6</v>
      </c>
      <c r="V133" s="7" t="n">
        <v>269.5</v>
      </c>
      <c r="X133" s="7" t="n">
        <v>265.5</v>
      </c>
      <c r="Z133" s="7" t="n">
        <v>218.8</v>
      </c>
      <c r="AB133" s="7" t="n">
        <v>2659.8</v>
      </c>
    </row>
    <row r="134">
      <c r="A134" s="4" t="inlineStr">
        <is>
          <t>网络费</t>
        </is>
      </c>
      <c r="D134" s="7" t="n">
        <v>160.3</v>
      </c>
      <c r="F134" s="7" t="n">
        <v>292.7</v>
      </c>
      <c r="H134" s="7" t="n">
        <v>298.2</v>
      </c>
      <c r="J134" s="7" t="n">
        <v>240.9</v>
      </c>
      <c r="L134" s="7" t="n">
        <v>245.9</v>
      </c>
      <c r="N134" s="7" t="n">
        <v>508.1</v>
      </c>
      <c r="P134" s="7" t="n">
        <v>391.5</v>
      </c>
      <c r="R134" s="7" t="n">
        <v>396.4</v>
      </c>
      <c r="T134" s="7" t="n">
        <v>301.2</v>
      </c>
      <c r="V134" s="7" t="n">
        <v>581.7</v>
      </c>
      <c r="X134" s="7" t="n">
        <v>424.3</v>
      </c>
      <c r="Z134" s="7" t="n">
        <v>309.9</v>
      </c>
      <c r="AB134" s="7" t="n">
        <v>4151.1</v>
      </c>
    </row>
    <row r="135">
      <c r="A135" s="4" t="inlineStr">
        <is>
          <t>修理费</t>
        </is>
      </c>
      <c r="D135" s="7" t="n">
        <v>224.9</v>
      </c>
      <c r="F135" s="7" t="n">
        <v>433.3</v>
      </c>
      <c r="H135" s="7" t="n">
        <v>293.6</v>
      </c>
      <c r="J135" s="7" t="n">
        <v>390.5</v>
      </c>
      <c r="L135" s="7" t="n">
        <v>295.3</v>
      </c>
      <c r="N135" s="7" t="n">
        <v>400.8</v>
      </c>
      <c r="P135" s="7" t="n">
        <v>423.3</v>
      </c>
      <c r="R135" s="7" t="n">
        <v>636.6</v>
      </c>
      <c r="T135" s="7" t="n">
        <v>245.4</v>
      </c>
      <c r="V135" s="7" t="n">
        <v>691.1</v>
      </c>
      <c r="X135" s="7" t="n">
        <v>446.5</v>
      </c>
      <c r="Z135" s="7" t="n">
        <v>358.2</v>
      </c>
      <c r="AB135" s="7" t="n">
        <v>4839.5</v>
      </c>
    </row>
    <row r="136">
      <c r="A136" s="4" t="inlineStr">
        <is>
          <t>车辆费</t>
        </is>
      </c>
      <c r="D136" s="7" t="n">
        <v>207</v>
      </c>
      <c r="F136" s="7" t="n">
        <v>271.2</v>
      </c>
      <c r="H136" s="7" t="n">
        <v>269.7</v>
      </c>
      <c r="J136" s="7" t="n">
        <v>314.1</v>
      </c>
      <c r="L136" s="7" t="n">
        <v>310.8</v>
      </c>
      <c r="N136" s="7" t="n">
        <v>446.7</v>
      </c>
      <c r="P136" s="7" t="n">
        <v>729.6</v>
      </c>
      <c r="R136" s="7" t="n">
        <v>508.7</v>
      </c>
      <c r="T136" s="7" t="n">
        <v>331.8</v>
      </c>
      <c r="V136" s="7" t="n">
        <v>488.3</v>
      </c>
      <c r="X136" s="7" t="n">
        <v>703.9</v>
      </c>
      <c r="Z136" s="7" t="n">
        <v>339.7</v>
      </c>
      <c r="AB136" s="7" t="n">
        <v>4921.5</v>
      </c>
    </row>
    <row r="137">
      <c r="A137" s="4" t="inlineStr">
        <is>
          <t>租赁费</t>
        </is>
      </c>
      <c r="D137" s="7" t="n">
        <v>1460.8</v>
      </c>
      <c r="F137" s="7" t="n">
        <v>2709.3</v>
      </c>
      <c r="H137" s="7" t="n">
        <v>2469.4</v>
      </c>
      <c r="J137" s="7" t="n">
        <v>3738.7</v>
      </c>
      <c r="L137" s="7" t="n">
        <v>2778</v>
      </c>
      <c r="N137" s="7" t="n">
        <v>4684.8</v>
      </c>
      <c r="P137" s="7" t="n">
        <v>6109.3</v>
      </c>
      <c r="R137" s="7" t="n">
        <v>4267.5</v>
      </c>
      <c r="T137" s="7" t="n">
        <v>3007.4</v>
      </c>
      <c r="V137" s="7" t="n">
        <v>4610.5</v>
      </c>
      <c r="X137" s="7" t="n">
        <v>4684.2</v>
      </c>
      <c r="Z137" s="7" t="n">
        <v>2219.2</v>
      </c>
      <c r="AB137" s="7" t="n">
        <v>42739.1</v>
      </c>
    </row>
    <row r="138">
      <c r="A138" s="4" t="inlineStr">
        <is>
          <t>能源费</t>
        </is>
      </c>
      <c r="D138" s="7" t="n">
        <v>86.40000000000001</v>
      </c>
      <c r="F138" s="7" t="n">
        <v>126.9</v>
      </c>
      <c r="H138" s="7" t="n">
        <v>135.7</v>
      </c>
      <c r="J138" s="7" t="n">
        <v>158.9</v>
      </c>
      <c r="L138" s="7" t="n">
        <v>91</v>
      </c>
      <c r="N138" s="7" t="n">
        <v>192.3</v>
      </c>
      <c r="P138" s="7" t="n">
        <v>252.4</v>
      </c>
      <c r="R138" s="7" t="n">
        <v>272.2</v>
      </c>
      <c r="T138" s="7" t="n">
        <v>98.2</v>
      </c>
      <c r="V138" s="7" t="n">
        <v>248.3</v>
      </c>
      <c r="X138" s="7" t="n">
        <v>196.8</v>
      </c>
      <c r="Z138" s="7" t="n">
        <v>131.9</v>
      </c>
      <c r="AB138" s="7" t="n">
        <v>1991</v>
      </c>
    </row>
    <row r="139">
      <c r="A139" s="4" t="inlineStr">
        <is>
          <t>水费</t>
        </is>
      </c>
      <c r="D139" s="7" t="n">
        <v>1</v>
      </c>
      <c r="F139" s="7" t="n">
        <v>1.9</v>
      </c>
      <c r="H139" s="7" t="n">
        <v>1.8</v>
      </c>
      <c r="J139" s="7" t="n">
        <v>1.4</v>
      </c>
      <c r="L139" s="7" t="n">
        <v>1</v>
      </c>
      <c r="N139" s="7" t="n">
        <v>2.7</v>
      </c>
      <c r="P139" s="7" t="n">
        <v>2.4</v>
      </c>
      <c r="R139" s="7" t="n">
        <v>3.2</v>
      </c>
      <c r="T139" s="7" t="n">
        <v>1.6</v>
      </c>
      <c r="V139" s="7" t="n">
        <v>3.2</v>
      </c>
      <c r="X139" s="7" t="n">
        <v>2.6</v>
      </c>
      <c r="Z139" s="7" t="n">
        <v>1.4</v>
      </c>
      <c r="AB139" s="7" t="n">
        <v>24.2</v>
      </c>
    </row>
    <row r="140">
      <c r="A140" s="4" t="inlineStr">
        <is>
          <t>电费</t>
        </is>
      </c>
      <c r="D140" s="7" t="n">
        <v>60.3</v>
      </c>
      <c r="F140" s="7" t="n">
        <v>88.90000000000001</v>
      </c>
      <c r="H140" s="7" t="n">
        <v>91.40000000000001</v>
      </c>
      <c r="J140" s="7" t="n">
        <v>109.4</v>
      </c>
      <c r="L140" s="7" t="n">
        <v>53.9</v>
      </c>
      <c r="N140" s="7" t="n">
        <v>124.1</v>
      </c>
      <c r="P140" s="7" t="n">
        <v>178.3</v>
      </c>
      <c r="R140" s="7" t="n">
        <v>197.1</v>
      </c>
      <c r="T140" s="7" t="n">
        <v>55.9</v>
      </c>
      <c r="V140" s="7" t="n">
        <v>173.6</v>
      </c>
      <c r="X140" s="7" t="n">
        <v>105.5</v>
      </c>
      <c r="Z140" s="7" t="n">
        <v>87.59999999999999</v>
      </c>
      <c r="AB140" s="7" t="n">
        <v>1326</v>
      </c>
    </row>
    <row r="141">
      <c r="A141" s="4" t="inlineStr">
        <is>
          <t>燃气费</t>
        </is>
      </c>
      <c r="D141" s="7" t="n">
        <v>10.6</v>
      </c>
      <c r="F141" s="7" t="n">
        <v>16.2</v>
      </c>
      <c r="H141" s="7" t="n">
        <v>20.6</v>
      </c>
      <c r="J141" s="7" t="n">
        <v>18.8</v>
      </c>
      <c r="L141" s="7" t="n">
        <v>18</v>
      </c>
      <c r="N141" s="7" t="n">
        <v>28</v>
      </c>
      <c r="P141" s="7" t="n">
        <v>36.7</v>
      </c>
      <c r="R141" s="7" t="n">
        <v>31.2</v>
      </c>
      <c r="T141" s="7" t="n">
        <v>22.4</v>
      </c>
      <c r="V141" s="7" t="n">
        <v>38.2</v>
      </c>
      <c r="X141" s="7" t="n">
        <v>42.3</v>
      </c>
      <c r="Z141" s="7" t="n">
        <v>17.8</v>
      </c>
      <c r="AB141" s="7" t="n">
        <v>300.8</v>
      </c>
    </row>
    <row r="142">
      <c r="A142" s="4" t="inlineStr">
        <is>
          <t>蒸汽费</t>
        </is>
      </c>
      <c r="D142" s="7" t="n">
        <v>14.5</v>
      </c>
      <c r="F142" s="7" t="n">
        <v>19.9</v>
      </c>
      <c r="H142" s="7" t="n">
        <v>21.9</v>
      </c>
      <c r="J142" s="7" t="n">
        <v>29.3</v>
      </c>
      <c r="L142" s="7" t="n">
        <v>18.1</v>
      </c>
      <c r="N142" s="7" t="n">
        <v>37.5</v>
      </c>
      <c r="P142" s="7" t="n">
        <v>35</v>
      </c>
      <c r="R142" s="7" t="n">
        <v>40.7</v>
      </c>
      <c r="T142" s="7" t="n">
        <v>18.3</v>
      </c>
      <c r="V142" s="7" t="n">
        <v>33.3</v>
      </c>
      <c r="X142" s="7" t="n">
        <v>46.4</v>
      </c>
      <c r="Z142" s="7" t="n">
        <v>25.1</v>
      </c>
      <c r="AB142" s="7" t="n">
        <v>340</v>
      </c>
    </row>
    <row r="143">
      <c r="A143" s="4" t="inlineStr">
        <is>
          <t>物业费</t>
        </is>
      </c>
      <c r="D143" s="7" t="n">
        <v>74.8</v>
      </c>
      <c r="F143" s="7" t="n">
        <v>222.5</v>
      </c>
      <c r="H143" s="7" t="n">
        <v>134.2</v>
      </c>
      <c r="J143" s="7" t="n">
        <v>181.3</v>
      </c>
      <c r="L143" s="7" t="n">
        <v>174.2</v>
      </c>
      <c r="N143" s="7" t="n">
        <v>285.4</v>
      </c>
      <c r="P143" s="7" t="n">
        <v>255.1</v>
      </c>
      <c r="R143" s="7" t="n">
        <v>411.9</v>
      </c>
      <c r="T143" s="7" t="n">
        <v>182.1</v>
      </c>
      <c r="V143" s="7" t="n">
        <v>272.3</v>
      </c>
      <c r="X143" s="7" t="n">
        <v>376.5</v>
      </c>
      <c r="Z143" s="7" t="n">
        <v>142.9</v>
      </c>
      <c r="AB143" s="7" t="n">
        <v>2713.2</v>
      </c>
    </row>
    <row r="144">
      <c r="A144" s="4" t="inlineStr">
        <is>
          <t>劳动保护费</t>
        </is>
      </c>
      <c r="D144" s="7" t="n">
        <v>66.8</v>
      </c>
      <c r="F144" s="7" t="n">
        <v>184.6</v>
      </c>
      <c r="H144" s="7" t="n">
        <v>130.6</v>
      </c>
      <c r="J144" s="7" t="n">
        <v>194.7</v>
      </c>
      <c r="L144" s="7" t="n">
        <v>153.4</v>
      </c>
      <c r="N144" s="7" t="n">
        <v>205.6</v>
      </c>
      <c r="P144" s="7" t="n">
        <v>271</v>
      </c>
      <c r="R144" s="7" t="n">
        <v>271.2</v>
      </c>
      <c r="T144" s="7" t="n">
        <v>154.8</v>
      </c>
      <c r="V144" s="7" t="n">
        <v>321.8</v>
      </c>
      <c r="X144" s="7" t="n">
        <v>313.8</v>
      </c>
      <c r="Z144" s="7" t="n">
        <v>183.4</v>
      </c>
      <c r="AB144" s="7" t="n">
        <v>2451.7</v>
      </c>
    </row>
    <row r="145">
      <c r="A145" s="4" t="inlineStr">
        <is>
          <t>顾问费</t>
        </is>
      </c>
      <c r="D145" s="7" t="n">
        <v>206.3</v>
      </c>
      <c r="F145" s="7" t="n">
        <v>434</v>
      </c>
      <c r="H145" s="7" t="n">
        <v>327.5</v>
      </c>
      <c r="J145" s="7" t="n">
        <v>280.1</v>
      </c>
      <c r="L145" s="7" t="n">
        <v>304.5</v>
      </c>
      <c r="N145" s="7" t="n">
        <v>570.3</v>
      </c>
      <c r="P145" s="7" t="n">
        <v>520.9</v>
      </c>
      <c r="R145" s="7" t="n">
        <v>701</v>
      </c>
      <c r="T145" s="7" t="n">
        <v>321.3</v>
      </c>
      <c r="V145" s="7" t="n">
        <v>501.5</v>
      </c>
      <c r="X145" s="7" t="n">
        <v>512.6</v>
      </c>
      <c r="Z145" s="7" t="n">
        <v>396.8</v>
      </c>
      <c r="AB145" s="7" t="n">
        <v>5076.8</v>
      </c>
    </row>
    <row r="146">
      <c r="A146" s="4" t="inlineStr">
        <is>
          <t>快递费</t>
        </is>
      </c>
      <c r="D146" s="7" t="n">
        <v>154.2</v>
      </c>
      <c r="F146" s="7" t="n">
        <v>211.5</v>
      </c>
      <c r="H146" s="7" t="n">
        <v>263</v>
      </c>
      <c r="J146" s="7" t="n">
        <v>311.3</v>
      </c>
      <c r="L146" s="7" t="n">
        <v>196.9</v>
      </c>
      <c r="N146" s="7" t="n">
        <v>300</v>
      </c>
      <c r="P146" s="7" t="n">
        <v>302.2</v>
      </c>
      <c r="R146" s="7" t="n">
        <v>394.9</v>
      </c>
      <c r="T146" s="7" t="n">
        <v>225</v>
      </c>
      <c r="V146" s="7" t="n">
        <v>496.5</v>
      </c>
      <c r="X146" s="7" t="n">
        <v>312.7</v>
      </c>
      <c r="Z146" s="7" t="n">
        <v>176.1</v>
      </c>
      <c r="AB146" s="7" t="n">
        <v>3344.3</v>
      </c>
    </row>
    <row r="147">
      <c r="A147" s="4" t="inlineStr">
        <is>
          <t>诉讼费</t>
        </is>
      </c>
      <c r="D147" s="7" t="n">
        <v>165.2</v>
      </c>
      <c r="F147" s="7" t="n">
        <v>389</v>
      </c>
      <c r="H147" s="7" t="n">
        <v>270.4</v>
      </c>
      <c r="J147" s="7" t="n">
        <v>350.6</v>
      </c>
      <c r="L147" s="7" t="n">
        <v>270.1</v>
      </c>
      <c r="N147" s="7" t="n">
        <v>542</v>
      </c>
      <c r="P147" s="7" t="n">
        <v>419</v>
      </c>
      <c r="R147" s="7" t="n">
        <v>497.7</v>
      </c>
      <c r="T147" s="7" t="n">
        <v>323.5</v>
      </c>
      <c r="V147" s="7" t="n">
        <v>404.5</v>
      </c>
      <c r="X147" s="7" t="n">
        <v>351</v>
      </c>
      <c r="Z147" s="7" t="n">
        <v>312.1</v>
      </c>
      <c r="AB147" s="7" t="n">
        <v>4295.1</v>
      </c>
    </row>
    <row r="148">
      <c r="A148" s="4" t="inlineStr">
        <is>
          <t>会员费</t>
        </is>
      </c>
      <c r="D148" s="7" t="n">
        <v>38.7</v>
      </c>
      <c r="F148" s="7" t="n">
        <v>89.7</v>
      </c>
      <c r="H148" s="7" t="n">
        <v>87</v>
      </c>
      <c r="J148" s="7" t="n">
        <v>100</v>
      </c>
      <c r="L148" s="7" t="n">
        <v>48.9</v>
      </c>
      <c r="N148" s="7" t="n">
        <v>90.09999999999999</v>
      </c>
      <c r="P148" s="7" t="n">
        <v>125</v>
      </c>
      <c r="R148" s="7" t="n">
        <v>147.4</v>
      </c>
      <c r="T148" s="7" t="n">
        <v>81.5</v>
      </c>
      <c r="V148" s="7" t="n">
        <v>155.1</v>
      </c>
      <c r="X148" s="7" t="n">
        <v>110.5</v>
      </c>
      <c r="Z148" s="7" t="n">
        <v>84.59999999999999</v>
      </c>
      <c r="AB148" s="7" t="n">
        <v>1158.5</v>
      </c>
    </row>
    <row r="149">
      <c r="A149" s="4" t="inlineStr">
        <is>
          <t>广告宣传费</t>
        </is>
      </c>
      <c r="D149" s="7" t="n">
        <v>1258.2</v>
      </c>
      <c r="F149" s="7" t="n">
        <v>1565.7</v>
      </c>
      <c r="H149" s="7" t="n">
        <v>1583.7</v>
      </c>
      <c r="J149" s="7" t="n">
        <v>1999.1</v>
      </c>
      <c r="L149" s="7" t="n">
        <v>1572.1</v>
      </c>
      <c r="N149" s="7" t="n">
        <v>2755.1</v>
      </c>
      <c r="P149" s="7" t="n">
        <v>3590.3</v>
      </c>
      <c r="R149" s="7" t="n">
        <v>4227.1</v>
      </c>
      <c r="T149" s="7" t="n">
        <v>1660.9</v>
      </c>
      <c r="V149" s="7" t="n">
        <v>3832.8</v>
      </c>
      <c r="X149" s="7" t="n">
        <v>2447.2</v>
      </c>
      <c r="Z149" s="7" t="n">
        <v>1721.3</v>
      </c>
      <c r="AB149" s="7" t="n">
        <v>28213.5</v>
      </c>
    </row>
    <row r="150">
      <c r="A150" s="4" t="inlineStr">
        <is>
          <t>会务费</t>
        </is>
      </c>
      <c r="D150" s="7" t="n">
        <v>153.2</v>
      </c>
      <c r="F150" s="7" t="n">
        <v>202.8</v>
      </c>
      <c r="H150" s="7" t="n">
        <v>259.5</v>
      </c>
      <c r="J150" s="7" t="n">
        <v>369.2</v>
      </c>
      <c r="L150" s="7" t="n">
        <v>192.7</v>
      </c>
      <c r="N150" s="7" t="n">
        <v>363</v>
      </c>
      <c r="P150" s="7" t="n">
        <v>304.7</v>
      </c>
      <c r="R150" s="7" t="n">
        <v>570.6</v>
      </c>
      <c r="T150" s="7" t="n">
        <v>297</v>
      </c>
      <c r="V150" s="7" t="n">
        <v>354.6</v>
      </c>
      <c r="X150" s="7" t="n">
        <v>501.8</v>
      </c>
      <c r="Z150" s="7" t="n">
        <v>260.6</v>
      </c>
      <c r="AB150" s="7" t="n">
        <v>3829.7</v>
      </c>
    </row>
    <row r="151">
      <c r="A151" s="4" t="inlineStr">
        <is>
          <t>装修费</t>
        </is>
      </c>
      <c r="D151" s="7" t="n">
        <v>71.5</v>
      </c>
      <c r="F151" s="7" t="n">
        <v>182.5</v>
      </c>
      <c r="H151" s="7" t="n">
        <v>142.6</v>
      </c>
      <c r="J151" s="7" t="n">
        <v>169.2</v>
      </c>
      <c r="L151" s="7" t="n">
        <v>155</v>
      </c>
      <c r="N151" s="7" t="n">
        <v>193.2</v>
      </c>
      <c r="P151" s="7" t="n">
        <v>171.8</v>
      </c>
      <c r="R151" s="7" t="n">
        <v>325.2</v>
      </c>
      <c r="T151" s="7" t="n">
        <v>133.5</v>
      </c>
      <c r="V151" s="7" t="n">
        <v>276.8</v>
      </c>
      <c r="X151" s="7" t="n">
        <v>273.6</v>
      </c>
      <c r="Z151" s="7" t="n">
        <v>149.3</v>
      </c>
      <c r="AB151" s="7" t="n">
        <v>2244.2</v>
      </c>
    </row>
    <row r="152">
      <c r="A152" s="4" t="inlineStr">
        <is>
          <t>推广费</t>
        </is>
      </c>
      <c r="D152" s="7" t="n">
        <v>142.1</v>
      </c>
      <c r="F152" s="7" t="n">
        <v>378.7</v>
      </c>
      <c r="H152" s="7" t="n">
        <v>248.3</v>
      </c>
      <c r="J152" s="7" t="n">
        <v>250.3</v>
      </c>
      <c r="L152" s="7" t="n">
        <v>292.9</v>
      </c>
      <c r="N152" s="7" t="n">
        <v>603.3</v>
      </c>
      <c r="P152" s="7" t="n">
        <v>410.1</v>
      </c>
      <c r="R152" s="7" t="n">
        <v>592.3</v>
      </c>
      <c r="T152" s="7" t="n">
        <v>219.7</v>
      </c>
      <c r="V152" s="7" t="n">
        <v>645.1</v>
      </c>
      <c r="X152" s="7" t="n">
        <v>403.4</v>
      </c>
      <c r="Z152" s="7" t="n">
        <v>379.5</v>
      </c>
      <c r="AB152" s="7" t="n">
        <v>4565.7</v>
      </c>
    </row>
    <row r="153">
      <c r="A153" s="4" t="inlineStr">
        <is>
          <t>展会费</t>
        </is>
      </c>
      <c r="D153" s="7" t="n">
        <v>84.90000000000001</v>
      </c>
      <c r="F153" s="7" t="n">
        <v>139.6</v>
      </c>
      <c r="H153" s="7" t="n">
        <v>116.8</v>
      </c>
      <c r="J153" s="7" t="n">
        <v>166.8</v>
      </c>
      <c r="L153" s="7" t="n">
        <v>177.4</v>
      </c>
      <c r="N153" s="7" t="n">
        <v>287.7</v>
      </c>
      <c r="P153" s="7" t="n">
        <v>300.9</v>
      </c>
      <c r="R153" s="7" t="n">
        <v>312.4</v>
      </c>
      <c r="T153" s="7" t="n">
        <v>129.2</v>
      </c>
      <c r="V153" s="7" t="n">
        <v>280.5</v>
      </c>
      <c r="X153" s="7" t="n">
        <v>360.6</v>
      </c>
      <c r="Z153" s="7" t="n">
        <v>205.2</v>
      </c>
      <c r="AB153" s="7" t="n">
        <v>2562</v>
      </c>
    </row>
    <row r="154">
      <c r="A154" s="4" t="inlineStr">
        <is>
          <t>设计费</t>
        </is>
      </c>
      <c r="D154" s="7" t="n">
        <v>81.2</v>
      </c>
      <c r="F154" s="7" t="n">
        <v>126.7</v>
      </c>
      <c r="H154" s="7" t="n">
        <v>118.5</v>
      </c>
      <c r="J154" s="7" t="n">
        <v>109.6</v>
      </c>
      <c r="L154" s="7" t="n">
        <v>141.5</v>
      </c>
      <c r="N154" s="7" t="n">
        <v>166.5</v>
      </c>
      <c r="P154" s="7" t="n">
        <v>200.8</v>
      </c>
      <c r="R154" s="7" t="n">
        <v>180</v>
      </c>
      <c r="T154" s="7" t="n">
        <v>84.3</v>
      </c>
      <c r="V154" s="7" t="n">
        <v>220</v>
      </c>
      <c r="X154" s="7" t="n">
        <v>200.3</v>
      </c>
      <c r="Z154" s="7" t="n">
        <v>146.6</v>
      </c>
      <c r="AB154" s="7" t="n">
        <v>1776</v>
      </c>
    </row>
    <row r="155">
      <c r="A155" s="4" t="inlineStr">
        <is>
          <t>折旧费</t>
        </is>
      </c>
      <c r="D155" s="7" t="n">
        <v>1266</v>
      </c>
      <c r="F155" s="7" t="n">
        <v>2668.1</v>
      </c>
      <c r="H155" s="7" t="n">
        <v>1754</v>
      </c>
      <c r="J155" s="7" t="n">
        <v>3029.4</v>
      </c>
      <c r="L155" s="7" t="n">
        <v>1912.2</v>
      </c>
      <c r="N155" s="7" t="n">
        <v>3503</v>
      </c>
      <c r="P155" s="7" t="n">
        <v>3612</v>
      </c>
      <c r="R155" s="7" t="n">
        <v>4331.6</v>
      </c>
      <c r="T155" s="7" t="n">
        <v>1727.4</v>
      </c>
      <c r="V155" s="7" t="n">
        <v>5068.1</v>
      </c>
      <c r="X155" s="7" t="n">
        <v>5108.8</v>
      </c>
      <c r="Z155" s="7" t="n">
        <v>2025</v>
      </c>
      <c r="AB155" s="7" t="n">
        <v>36005.6</v>
      </c>
    </row>
    <row r="156">
      <c r="A156" s="4" t="inlineStr">
        <is>
          <t>认证费</t>
        </is>
      </c>
      <c r="D156" s="7" t="n">
        <v>177.3</v>
      </c>
      <c r="F156" s="7" t="n">
        <v>325.1</v>
      </c>
      <c r="H156" s="7" t="n">
        <v>249.2</v>
      </c>
      <c r="J156" s="7" t="n">
        <v>270.8</v>
      </c>
      <c r="L156" s="7" t="n">
        <v>319</v>
      </c>
      <c r="N156" s="7" t="n">
        <v>382.5</v>
      </c>
      <c r="P156" s="7" t="n">
        <v>508.8</v>
      </c>
      <c r="R156" s="7" t="n">
        <v>761.8</v>
      </c>
      <c r="T156" s="7" t="n">
        <v>357.4</v>
      </c>
      <c r="V156" s="7" t="n">
        <v>367.8</v>
      </c>
      <c r="X156" s="7" t="n">
        <v>617.4</v>
      </c>
      <c r="Z156" s="7" t="n">
        <v>358.8</v>
      </c>
      <c r="AB156" s="7" t="n">
        <v>4695.9</v>
      </c>
    </row>
    <row r="157">
      <c r="A157" s="4" t="inlineStr">
        <is>
          <t>样品费</t>
        </is>
      </c>
      <c r="D157" s="7" t="n">
        <v>795.3</v>
      </c>
      <c r="F157" s="7" t="n">
        <v>1598.3</v>
      </c>
      <c r="H157" s="7" t="n">
        <v>1280.2</v>
      </c>
      <c r="J157" s="7" t="n">
        <v>1325.8</v>
      </c>
      <c r="L157" s="7" t="n">
        <v>1333.1</v>
      </c>
      <c r="N157" s="7" t="n">
        <v>1744.3</v>
      </c>
      <c r="P157" s="7" t="n">
        <v>1440.8</v>
      </c>
      <c r="R157" s="7" t="n">
        <v>2597.2</v>
      </c>
      <c r="T157" s="7" t="n">
        <v>1292.7</v>
      </c>
      <c r="V157" s="7" t="n">
        <v>1765.9</v>
      </c>
      <c r="X157" s="7" t="n">
        <v>2623.3</v>
      </c>
      <c r="Z157" s="7" t="n">
        <v>1191.8</v>
      </c>
      <c r="AB157" s="7" t="n">
        <v>18988.7</v>
      </c>
    </row>
    <row r="158">
      <c r="A158" s="4" t="inlineStr">
        <is>
          <t>劳务费</t>
        </is>
      </c>
      <c r="D158" s="7" t="n">
        <v>72.3</v>
      </c>
      <c r="F158" s="7" t="n">
        <v>208.1</v>
      </c>
      <c r="H158" s="7" t="n">
        <v>136.4</v>
      </c>
      <c r="J158" s="7" t="n">
        <v>134.1</v>
      </c>
      <c r="L158" s="7" t="n">
        <v>150.4</v>
      </c>
      <c r="N158" s="7" t="n">
        <v>254.1</v>
      </c>
      <c r="P158" s="7" t="n">
        <v>191.8</v>
      </c>
      <c r="R158" s="7" t="n">
        <v>347.5</v>
      </c>
      <c r="T158" s="7" t="n">
        <v>179.8</v>
      </c>
      <c r="V158" s="7" t="n">
        <v>317.6</v>
      </c>
      <c r="X158" s="7" t="n">
        <v>234.2</v>
      </c>
      <c r="Z158" s="7" t="n">
        <v>175.5</v>
      </c>
      <c r="AB158" s="7" t="n">
        <v>2401.8</v>
      </c>
    </row>
    <row r="159">
      <c r="A159" s="4" t="inlineStr">
        <is>
          <t>销售佣金</t>
        </is>
      </c>
      <c r="D159" s="7" t="n">
        <v>3.1</v>
      </c>
      <c r="F159" s="7" t="n">
        <v>5.6</v>
      </c>
      <c r="H159" s="7" t="n">
        <v>5.3</v>
      </c>
      <c r="J159" s="7" t="n">
        <v>5.3</v>
      </c>
      <c r="L159" s="7" t="n">
        <v>4.1</v>
      </c>
      <c r="N159" s="7" t="n">
        <v>8.800000000000001</v>
      </c>
      <c r="P159" s="7" t="n">
        <v>9.4</v>
      </c>
      <c r="R159" s="7" t="n">
        <v>10</v>
      </c>
      <c r="T159" s="7" t="n">
        <v>4.3</v>
      </c>
      <c r="V159" s="7" t="n">
        <v>9.800000000000001</v>
      </c>
      <c r="X159" s="7" t="n">
        <v>7.5</v>
      </c>
      <c r="Z159" s="7" t="n">
        <v>3.7</v>
      </c>
      <c r="AB159" s="7" t="n">
        <v>76.90000000000001</v>
      </c>
    </row>
    <row r="160">
      <c r="A160" s="4" t="inlineStr">
        <is>
          <t>检测费</t>
        </is>
      </c>
      <c r="D160" s="7" t="n">
        <v>48.5</v>
      </c>
      <c r="F160" s="7" t="n">
        <v>107.7</v>
      </c>
      <c r="H160" s="7" t="n">
        <v>85.40000000000001</v>
      </c>
      <c r="J160" s="7" t="n">
        <v>85.09999999999999</v>
      </c>
      <c r="L160" s="7" t="n">
        <v>82</v>
      </c>
      <c r="N160" s="7" t="n">
        <v>118</v>
      </c>
      <c r="P160" s="7" t="n">
        <v>143.6</v>
      </c>
      <c r="R160" s="7" t="n">
        <v>245.6</v>
      </c>
      <c r="T160" s="7" t="n">
        <v>89</v>
      </c>
      <c r="V160" s="7" t="n">
        <v>201.5</v>
      </c>
      <c r="X160" s="7" t="n">
        <v>162.7</v>
      </c>
      <c r="Z160" s="7" t="n">
        <v>104.8</v>
      </c>
      <c r="AB160" s="7" t="n">
        <v>1473.9</v>
      </c>
    </row>
    <row r="161">
      <c r="A161" s="4" t="inlineStr">
        <is>
          <t>质量赔偿</t>
        </is>
      </c>
      <c r="D161" s="7" t="n">
        <v>224.6</v>
      </c>
      <c r="F161" s="7" t="n">
        <v>422</v>
      </c>
      <c r="H161" s="7" t="n">
        <v>393.1</v>
      </c>
      <c r="J161" s="7" t="n">
        <v>366.9</v>
      </c>
      <c r="L161" s="7" t="n">
        <v>286.9</v>
      </c>
      <c r="N161" s="7" t="n">
        <v>423.5</v>
      </c>
      <c r="P161" s="7" t="n">
        <v>576.3</v>
      </c>
      <c r="R161" s="7" t="n">
        <v>934.2</v>
      </c>
      <c r="T161" s="7" t="n">
        <v>406.7</v>
      </c>
      <c r="V161" s="7" t="n">
        <v>481.1</v>
      </c>
      <c r="X161" s="7" t="n">
        <v>741.1</v>
      </c>
      <c r="Z161" s="7" t="n">
        <v>366</v>
      </c>
      <c r="AB161" s="7" t="n">
        <v>5622.4</v>
      </c>
    </row>
    <row r="162">
      <c r="A162" s="4" t="inlineStr">
        <is>
          <t>保险费</t>
        </is>
      </c>
      <c r="D162" s="7" t="n">
        <v>39.5</v>
      </c>
      <c r="F162" s="7" t="n">
        <v>62.4</v>
      </c>
      <c r="H162" s="7" t="n">
        <v>67.8</v>
      </c>
      <c r="J162" s="7" t="n">
        <v>89.40000000000001</v>
      </c>
      <c r="L162" s="7" t="n">
        <v>42</v>
      </c>
      <c r="N162" s="7" t="n">
        <v>85.7</v>
      </c>
      <c r="P162" s="7" t="n">
        <v>82.59999999999999</v>
      </c>
      <c r="R162" s="7" t="n">
        <v>166.8</v>
      </c>
      <c r="T162" s="7" t="n">
        <v>63.9</v>
      </c>
      <c r="V162" s="7" t="n">
        <v>131.3</v>
      </c>
      <c r="X162" s="7" t="n">
        <v>104.3</v>
      </c>
      <c r="Z162" s="7" t="n">
        <v>56.8</v>
      </c>
      <c r="AB162" s="7" t="n">
        <v>992.5</v>
      </c>
    </row>
    <row r="163">
      <c r="A163" s="4" t="inlineStr">
        <is>
          <t>清洁费</t>
        </is>
      </c>
      <c r="D163" s="7" t="n">
        <v>130.8</v>
      </c>
      <c r="F163" s="7" t="n">
        <v>294.4</v>
      </c>
      <c r="H163" s="7" t="n">
        <v>275.4</v>
      </c>
      <c r="J163" s="7" t="n">
        <v>272.8</v>
      </c>
      <c r="L163" s="7" t="n">
        <v>218.6</v>
      </c>
      <c r="N163" s="7" t="n">
        <v>583.9</v>
      </c>
      <c r="P163" s="7" t="n">
        <v>600.6</v>
      </c>
      <c r="R163" s="7" t="n">
        <v>656.1</v>
      </c>
      <c r="T163" s="7" t="n">
        <v>306.6</v>
      </c>
      <c r="V163" s="7" t="n">
        <v>552.6</v>
      </c>
      <c r="X163" s="7" t="n">
        <v>617.3</v>
      </c>
      <c r="Z163" s="7" t="n">
        <v>415.6</v>
      </c>
      <c r="AB163" s="7" t="n">
        <v>4924.7</v>
      </c>
    </row>
    <row r="164">
      <c r="A164" s="4" t="inlineStr">
        <is>
          <t>低值易耗品</t>
        </is>
      </c>
      <c r="D164" s="7" t="n">
        <v>22</v>
      </c>
      <c r="F164" s="7" t="n">
        <v>49.2</v>
      </c>
      <c r="H164" s="7" t="n">
        <v>40</v>
      </c>
      <c r="J164" s="7" t="n">
        <v>43.8</v>
      </c>
      <c r="L164" s="7" t="n">
        <v>48.5</v>
      </c>
      <c r="N164" s="7" t="n">
        <v>69.7</v>
      </c>
      <c r="P164" s="7" t="n">
        <v>58.7</v>
      </c>
      <c r="R164" s="7" t="n">
        <v>63.3</v>
      </c>
      <c r="T164" s="7" t="n">
        <v>41.2</v>
      </c>
      <c r="V164" s="7" t="n">
        <v>86.7</v>
      </c>
      <c r="X164" s="7" t="n">
        <v>94.2</v>
      </c>
      <c r="Z164" s="7" t="n">
        <v>39.3</v>
      </c>
      <c r="AB164" s="7" t="n">
        <v>656.6</v>
      </c>
    </row>
    <row r="165">
      <c r="A165" s="4" t="inlineStr">
        <is>
          <t>物料消耗</t>
        </is>
      </c>
      <c r="D165" s="7" t="n">
        <v>171.7</v>
      </c>
      <c r="F165" s="7" t="n">
        <v>307.9</v>
      </c>
      <c r="H165" s="7" t="n">
        <v>280</v>
      </c>
      <c r="J165" s="7" t="n">
        <v>248.5</v>
      </c>
      <c r="L165" s="7" t="n">
        <v>229.2</v>
      </c>
      <c r="N165" s="7" t="n">
        <v>308.8</v>
      </c>
      <c r="P165" s="7" t="n">
        <v>453.2</v>
      </c>
      <c r="R165" s="7" t="n">
        <v>423.3</v>
      </c>
      <c r="T165" s="7" t="n">
        <v>294</v>
      </c>
      <c r="V165" s="7" t="n">
        <v>413.2</v>
      </c>
      <c r="X165" s="7" t="n">
        <v>504.1</v>
      </c>
      <c r="Z165" s="7" t="n">
        <v>227.9</v>
      </c>
      <c r="AB165" s="7" t="n">
        <v>3861.8</v>
      </c>
    </row>
    <row r="166">
      <c r="A166" s="4" t="inlineStr">
        <is>
          <t>盘盈盘亏</t>
        </is>
      </c>
      <c r="D166" s="7" t="n">
        <v>135.6</v>
      </c>
      <c r="F166" s="7" t="n">
        <v>271.9</v>
      </c>
      <c r="H166" s="7" t="n">
        <v>161.8</v>
      </c>
      <c r="J166" s="7" t="n">
        <v>233.7</v>
      </c>
      <c r="L166" s="7" t="n">
        <v>185.9</v>
      </c>
      <c r="N166" s="7" t="n">
        <v>417.3</v>
      </c>
      <c r="P166" s="7" t="n">
        <v>294.3</v>
      </c>
      <c r="R166" s="7" t="n">
        <v>526.5</v>
      </c>
      <c r="T166" s="7" t="n">
        <v>189.4</v>
      </c>
      <c r="V166" s="7" t="n">
        <v>413.3</v>
      </c>
      <c r="X166" s="7" t="n">
        <v>351.3</v>
      </c>
      <c r="Z166" s="7" t="n">
        <v>172.1</v>
      </c>
      <c r="AB166" s="7" t="n">
        <v>3353.1</v>
      </c>
    </row>
    <row r="167">
      <c r="A167" s="4" t="inlineStr">
        <is>
          <t>平台服务费</t>
        </is>
      </c>
      <c r="D167" s="7" t="n">
        <v>141.3</v>
      </c>
      <c r="F167" s="7" t="n">
        <v>275.1</v>
      </c>
      <c r="H167" s="7" t="n">
        <v>241.4</v>
      </c>
      <c r="J167" s="7" t="n">
        <v>243.8</v>
      </c>
      <c r="L167" s="7" t="n">
        <v>260.9</v>
      </c>
      <c r="N167" s="7" t="n">
        <v>363.7</v>
      </c>
      <c r="P167" s="7" t="n">
        <v>473.9</v>
      </c>
      <c r="R167" s="7" t="n">
        <v>542.7</v>
      </c>
      <c r="T167" s="7" t="n">
        <v>207</v>
      </c>
      <c r="V167" s="7" t="n">
        <v>397.3</v>
      </c>
      <c r="X167" s="7" t="n">
        <v>356.3</v>
      </c>
      <c r="Z167" s="7" t="n">
        <v>180.4</v>
      </c>
      <c r="AB167" s="7" t="n">
        <v>3683.8</v>
      </c>
    </row>
    <row r="168">
      <c r="A168" s="4" t="inlineStr">
        <is>
          <t>无形资产摊销</t>
        </is>
      </c>
      <c r="D168" s="7" t="n">
        <v>76.5</v>
      </c>
      <c r="F168" s="7" t="n">
        <v>148.1</v>
      </c>
      <c r="H168" s="7" t="n">
        <v>124.9</v>
      </c>
      <c r="J168" s="7" t="n">
        <v>183.3</v>
      </c>
      <c r="L168" s="7" t="n">
        <v>138.1</v>
      </c>
      <c r="N168" s="7" t="n">
        <v>164.9</v>
      </c>
      <c r="P168" s="7" t="n">
        <v>235.9</v>
      </c>
      <c r="R168" s="7" t="n">
        <v>239.6</v>
      </c>
      <c r="T168" s="7" t="n">
        <v>106.4</v>
      </c>
      <c r="V168" s="7" t="n">
        <v>291.3</v>
      </c>
      <c r="X168" s="7" t="n">
        <v>218.4</v>
      </c>
      <c r="Z168" s="7" t="n">
        <v>145.6</v>
      </c>
      <c r="AB168" s="7" t="n">
        <v>2073</v>
      </c>
    </row>
    <row r="169">
      <c r="A169" s="4" t="inlineStr">
        <is>
          <t>研发材料</t>
        </is>
      </c>
      <c r="D169" s="7" t="n">
        <v>98.59999999999999</v>
      </c>
      <c r="F169" s="7" t="n">
        <v>202.6</v>
      </c>
      <c r="H169" s="7" t="n">
        <v>214</v>
      </c>
      <c r="J169" s="7" t="n">
        <v>247.9</v>
      </c>
      <c r="L169" s="7" t="n">
        <v>129.2</v>
      </c>
      <c r="N169" s="7" t="n">
        <v>301.9</v>
      </c>
      <c r="P169" s="7" t="n">
        <v>305.3</v>
      </c>
      <c r="R169" s="7" t="n">
        <v>257.8</v>
      </c>
      <c r="T169" s="7" t="n">
        <v>191.1</v>
      </c>
      <c r="V169" s="7" t="n">
        <v>350.7</v>
      </c>
      <c r="X169" s="7" t="n">
        <v>296.6</v>
      </c>
      <c r="Z169" s="7" t="n">
        <v>208.6</v>
      </c>
      <c r="AB169" s="7" t="n">
        <v>2804.3</v>
      </c>
    </row>
    <row r="170">
      <c r="A170" s="4" t="inlineStr">
        <is>
          <t>项目名称</t>
        </is>
      </c>
      <c r="D170" s="7" t="n">
        <v>215.5</v>
      </c>
      <c r="F170" s="7" t="n">
        <v>403.6</v>
      </c>
      <c r="H170" s="7" t="n">
        <v>311.9</v>
      </c>
      <c r="J170" s="7" t="n">
        <v>430.6</v>
      </c>
      <c r="L170" s="7" t="n">
        <v>308.6</v>
      </c>
      <c r="N170" s="7" t="n">
        <v>626.6</v>
      </c>
      <c r="P170" s="7" t="n">
        <v>731.7</v>
      </c>
      <c r="R170" s="7" t="n">
        <v>726.2</v>
      </c>
      <c r="T170" s="7" t="n">
        <v>350</v>
      </c>
      <c r="V170" s="7" t="n">
        <v>435.9</v>
      </c>
      <c r="X170" s="7" t="n">
        <v>705.7</v>
      </c>
      <c r="Z170" s="7" t="n">
        <v>322.4</v>
      </c>
      <c r="AB170" s="7" t="n">
        <v>5568.7</v>
      </c>
    </row>
    <row r="171">
      <c r="A171" s="4" t="inlineStr">
        <is>
          <t>研发费</t>
        </is>
      </c>
      <c r="D171" s="7" t="n">
        <v>56.4</v>
      </c>
      <c r="F171" s="7" t="n">
        <v>136.8</v>
      </c>
      <c r="H171" s="7" t="n">
        <v>149.7</v>
      </c>
      <c r="J171" s="7" t="n">
        <v>172.4</v>
      </c>
      <c r="L171" s="7" t="n">
        <v>110.5</v>
      </c>
      <c r="N171" s="7" t="n">
        <v>204.2</v>
      </c>
      <c r="P171" s="7" t="n">
        <v>147.6</v>
      </c>
      <c r="R171" s="7" t="n">
        <v>242</v>
      </c>
      <c r="T171" s="7" t="n">
        <v>92.7</v>
      </c>
      <c r="V171" s="7" t="n">
        <v>213</v>
      </c>
      <c r="X171" s="7" t="n">
        <v>197</v>
      </c>
      <c r="Z171" s="7" t="n">
        <v>90</v>
      </c>
      <c r="AB171" s="7" t="n">
        <v>1812.3</v>
      </c>
    </row>
    <row r="172">
      <c r="A172" s="4" t="inlineStr">
        <is>
          <t>残保金</t>
        </is>
      </c>
      <c r="D172" s="7" t="n">
        <v>79.40000000000001</v>
      </c>
      <c r="F172" s="7" t="n">
        <v>222.5</v>
      </c>
      <c r="H172" s="7" t="n">
        <v>168</v>
      </c>
      <c r="J172" s="7" t="n">
        <v>285.7</v>
      </c>
      <c r="L172" s="7" t="n">
        <v>196</v>
      </c>
      <c r="N172" s="7" t="n">
        <v>321.9</v>
      </c>
      <c r="P172" s="7" t="n">
        <v>256.9</v>
      </c>
      <c r="R172" s="7" t="n">
        <v>468.9</v>
      </c>
      <c r="T172" s="7" t="n">
        <v>145.9</v>
      </c>
      <c r="V172" s="7" t="n">
        <v>285.2</v>
      </c>
      <c r="X172" s="7" t="n">
        <v>342.4</v>
      </c>
      <c r="Z172" s="7" t="n">
        <v>181.4</v>
      </c>
      <c r="AB172" s="7" t="n">
        <v>2954.2</v>
      </c>
    </row>
    <row r="173">
      <c r="A173" s="4" t="inlineStr">
        <is>
          <t>环保费</t>
        </is>
      </c>
      <c r="D173" s="7" t="n">
        <v>139.7</v>
      </c>
      <c r="F173" s="7" t="n">
        <v>287.7</v>
      </c>
      <c r="H173" s="7" t="n">
        <v>215.2</v>
      </c>
      <c r="J173" s="7" t="n">
        <v>220.7</v>
      </c>
      <c r="L173" s="7" t="n">
        <v>142.3</v>
      </c>
      <c r="N173" s="7" t="n">
        <v>335.7</v>
      </c>
      <c r="P173" s="7" t="n">
        <v>378.1</v>
      </c>
      <c r="R173" s="7" t="n">
        <v>336.7</v>
      </c>
      <c r="T173" s="7" t="n">
        <v>236.7</v>
      </c>
      <c r="V173" s="7" t="n">
        <v>413.9</v>
      </c>
      <c r="X173" s="7" t="n">
        <v>383.6</v>
      </c>
      <c r="Z173" s="7" t="n">
        <v>219.8</v>
      </c>
      <c r="AB173" s="7" t="n">
        <v>3310.1</v>
      </c>
    </row>
    <row r="174">
      <c r="A174" s="4" t="inlineStr">
        <is>
          <t>报废损失</t>
        </is>
      </c>
      <c r="D174" s="7" t="n">
        <v>55</v>
      </c>
      <c r="F174" s="7" t="n">
        <v>175.9</v>
      </c>
      <c r="H174" s="7" t="n">
        <v>126.5</v>
      </c>
      <c r="J174" s="7" t="n">
        <v>118.4</v>
      </c>
      <c r="L174" s="7" t="n">
        <v>119</v>
      </c>
      <c r="N174" s="7" t="n">
        <v>237</v>
      </c>
      <c r="P174" s="7" t="n">
        <v>219.7</v>
      </c>
      <c r="R174" s="7" t="n">
        <v>246.8</v>
      </c>
      <c r="T174" s="7" t="n">
        <v>130.4</v>
      </c>
      <c r="V174" s="7" t="n">
        <v>259.9</v>
      </c>
      <c r="X174" s="7" t="n">
        <v>231.2</v>
      </c>
      <c r="Z174" s="7" t="n">
        <v>101</v>
      </c>
      <c r="AB174" s="7" t="n">
        <v>2020.8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29504.8</v>
      </c>
      <c r="D175" s="7" t="n">
        <v>27006.3</v>
      </c>
      <c r="E175" s="7" t="n">
        <v>33545.3</v>
      </c>
      <c r="F175" s="7" t="n">
        <v>25137.1</v>
      </c>
      <c r="G175" s="7" t="n">
        <v>31889.7</v>
      </c>
      <c r="H175" s="7" t="n">
        <v>26446.5</v>
      </c>
      <c r="I175" s="7" t="n">
        <v>34058.7</v>
      </c>
      <c r="J175" s="7" t="n">
        <v>50690.7</v>
      </c>
      <c r="K175" s="7" t="n">
        <v>30338.8</v>
      </c>
      <c r="L175" s="7" t="n">
        <v>32299.7</v>
      </c>
      <c r="M175" s="7" t="n">
        <v>30773.7</v>
      </c>
      <c r="N175" s="7" t="n">
        <v>53783.5</v>
      </c>
      <c r="O175" s="7" t="n">
        <v>35046.3</v>
      </c>
      <c r="P175" s="7" t="n">
        <v>65875.10000000001</v>
      </c>
      <c r="Q175" s="7" t="n">
        <v>34613.7</v>
      </c>
      <c r="R175" s="7" t="n">
        <v>17018.2</v>
      </c>
      <c r="S175" s="7" t="n">
        <v>36463</v>
      </c>
      <c r="T175" s="7" t="n">
        <v>19620.4</v>
      </c>
      <c r="U175" s="7" t="n">
        <v>34599.9</v>
      </c>
      <c r="V175" s="7" t="n">
        <v>35547.6</v>
      </c>
      <c r="W175" s="7" t="n">
        <v>34066.4</v>
      </c>
      <c r="X175" s="7" t="n">
        <v>19335.1</v>
      </c>
      <c r="Y175" s="7" t="n">
        <v>32548.1</v>
      </c>
      <c r="Z175" s="7" t="n">
        <v>23268.2</v>
      </c>
      <c r="AA175" s="8" t="n">
        <v>397448.4</v>
      </c>
      <c r="AB175" s="8" t="n">
        <v>396028.4</v>
      </c>
    </row>
    <row r="176">
      <c r="A176" s="4" t="inlineStr">
        <is>
          <t>职工薪酬</t>
        </is>
      </c>
      <c r="D176" s="7" t="n">
        <v>13257.9</v>
      </c>
      <c r="F176" s="7" t="n">
        <v>13842.1</v>
      </c>
      <c r="H176" s="7" t="n">
        <v>13882.3</v>
      </c>
      <c r="J176" s="7" t="n">
        <v>26762.8</v>
      </c>
      <c r="L176" s="7" t="n">
        <v>18964.8</v>
      </c>
      <c r="N176" s="7" t="n">
        <v>30080.4</v>
      </c>
      <c r="P176" s="7" t="n">
        <v>35400.7</v>
      </c>
      <c r="R176" s="7" t="n">
        <v>9962</v>
      </c>
      <c r="T176" s="7" t="n">
        <v>8389.4</v>
      </c>
      <c r="V176" s="7" t="n">
        <v>17698.9</v>
      </c>
      <c r="X176" s="7" t="n">
        <v>10140.9</v>
      </c>
      <c r="Z176" s="7" t="n">
        <v>11814.1</v>
      </c>
      <c r="AB176" s="7" t="n">
        <v>210196.3</v>
      </c>
    </row>
    <row r="177">
      <c r="A177" s="4" t="inlineStr">
        <is>
          <t>工资</t>
        </is>
      </c>
      <c r="D177" s="7" t="n">
        <v>7839.8</v>
      </c>
      <c r="F177" s="7" t="n">
        <v>8900.200000000001</v>
      </c>
      <c r="H177" s="7" t="n">
        <v>7659.1</v>
      </c>
      <c r="J177" s="7" t="n">
        <v>17394.6</v>
      </c>
      <c r="L177" s="7" t="n">
        <v>11236.1</v>
      </c>
      <c r="N177" s="7" t="n">
        <v>19425.3</v>
      </c>
      <c r="P177" s="7" t="n">
        <v>21638.4</v>
      </c>
      <c r="R177" s="7" t="n">
        <v>6269.1</v>
      </c>
      <c r="T177" s="7" t="n">
        <v>4474</v>
      </c>
      <c r="V177" s="7" t="n">
        <v>9571.799999999999</v>
      </c>
      <c r="X177" s="7" t="n">
        <v>6260.4</v>
      </c>
      <c r="Z177" s="7" t="n">
        <v>7740</v>
      </c>
      <c r="AB177" s="7" t="n">
        <v>128408.8</v>
      </c>
    </row>
    <row r="178">
      <c r="A178" s="4" t="inlineStr">
        <is>
          <t>奖金及提成</t>
        </is>
      </c>
      <c r="D178" s="7" t="n">
        <v>3134.3</v>
      </c>
      <c r="F178" s="7" t="n">
        <v>2423.2</v>
      </c>
      <c r="H178" s="7" t="n">
        <v>3287.4</v>
      </c>
      <c r="J178" s="7" t="n">
        <v>4635.6</v>
      </c>
      <c r="L178" s="7" t="n">
        <v>3508.5</v>
      </c>
      <c r="N178" s="7" t="n">
        <v>5458.4</v>
      </c>
      <c r="P178" s="7" t="n">
        <v>7053.4</v>
      </c>
      <c r="R178" s="7" t="n">
        <v>1881</v>
      </c>
      <c r="T178" s="7" t="n">
        <v>2243.6</v>
      </c>
      <c r="V178" s="7" t="n">
        <v>3590.1</v>
      </c>
      <c r="X178" s="7" t="n">
        <v>2178.2</v>
      </c>
      <c r="Z178" s="7" t="n">
        <v>2019.9</v>
      </c>
      <c r="AB178" s="7" t="n">
        <v>41413.6</v>
      </c>
    </row>
    <row r="179">
      <c r="A179" s="4" t="inlineStr">
        <is>
          <t>社保</t>
        </is>
      </c>
      <c r="D179" s="7" t="n">
        <v>1570.3</v>
      </c>
      <c r="F179" s="7" t="n">
        <v>1851.3</v>
      </c>
      <c r="H179" s="7" t="n">
        <v>2127.3</v>
      </c>
      <c r="J179" s="7" t="n">
        <v>3347.8</v>
      </c>
      <c r="L179" s="7" t="n">
        <v>3315.5</v>
      </c>
      <c r="N179" s="7" t="n">
        <v>3815.7</v>
      </c>
      <c r="P179" s="7" t="n">
        <v>4664.7</v>
      </c>
      <c r="R179" s="7" t="n">
        <v>1347.9</v>
      </c>
      <c r="T179" s="7" t="n">
        <v>1147.2</v>
      </c>
      <c r="V179" s="7" t="n">
        <v>3560</v>
      </c>
      <c r="X179" s="7" t="n">
        <v>1177.8</v>
      </c>
      <c r="Z179" s="7" t="n">
        <v>1473.2</v>
      </c>
      <c r="AB179" s="7" t="n">
        <v>29398.7</v>
      </c>
    </row>
    <row r="180">
      <c r="A180" s="4" t="inlineStr">
        <is>
          <t>养老</t>
        </is>
      </c>
      <c r="D180" s="7" t="n">
        <v>43.7</v>
      </c>
      <c r="F180" s="7" t="n">
        <v>33.4</v>
      </c>
      <c r="H180" s="7" t="n">
        <v>28.7</v>
      </c>
      <c r="J180" s="7" t="n">
        <v>70.90000000000001</v>
      </c>
      <c r="L180" s="7" t="n">
        <v>62.2</v>
      </c>
      <c r="N180" s="7" t="n">
        <v>61.5</v>
      </c>
      <c r="P180" s="7" t="n">
        <v>105.5</v>
      </c>
      <c r="R180" s="7" t="n">
        <v>23.7</v>
      </c>
      <c r="T180" s="7" t="n">
        <v>36.8</v>
      </c>
      <c r="V180" s="7" t="n">
        <v>53.9</v>
      </c>
      <c r="X180" s="7" t="n">
        <v>21.4</v>
      </c>
      <c r="Z180" s="7" t="n">
        <v>25</v>
      </c>
      <c r="AB180" s="7" t="n">
        <v>566.7</v>
      </c>
    </row>
    <row r="181">
      <c r="A181" s="4" t="inlineStr">
        <is>
          <t>医疗</t>
        </is>
      </c>
      <c r="D181" s="7" t="n">
        <v>138.8</v>
      </c>
      <c r="F181" s="7" t="n">
        <v>102.2</v>
      </c>
      <c r="H181" s="7" t="n">
        <v>107.2</v>
      </c>
      <c r="J181" s="7" t="n">
        <v>155.5</v>
      </c>
      <c r="L181" s="7" t="n">
        <v>166.4</v>
      </c>
      <c r="N181" s="7" t="n">
        <v>189.1</v>
      </c>
      <c r="P181" s="7" t="n">
        <v>354.4</v>
      </c>
      <c r="R181" s="7" t="n">
        <v>84.3</v>
      </c>
      <c r="T181" s="7" t="n">
        <v>88.5</v>
      </c>
      <c r="V181" s="7" t="n">
        <v>136.2</v>
      </c>
      <c r="X181" s="7" t="n">
        <v>81.59999999999999</v>
      </c>
      <c r="Z181" s="7" t="n">
        <v>83.59999999999999</v>
      </c>
      <c r="AB181" s="7" t="n">
        <v>1687.8</v>
      </c>
    </row>
    <row r="182">
      <c r="A182" s="4" t="inlineStr">
        <is>
          <t>工伤</t>
        </is>
      </c>
      <c r="D182" s="7" t="n">
        <v>180.6</v>
      </c>
      <c r="F182" s="7" t="n">
        <v>141</v>
      </c>
      <c r="H182" s="7" t="n">
        <v>211.5</v>
      </c>
      <c r="J182" s="7" t="n">
        <v>419.9</v>
      </c>
      <c r="L182" s="7" t="n">
        <v>246.4</v>
      </c>
      <c r="N182" s="7" t="n">
        <v>328.5</v>
      </c>
      <c r="P182" s="7" t="n">
        <v>511.9</v>
      </c>
      <c r="R182" s="7" t="n">
        <v>138.6</v>
      </c>
      <c r="T182" s="7" t="n">
        <v>149.3</v>
      </c>
      <c r="V182" s="7" t="n">
        <v>168.4</v>
      </c>
      <c r="X182" s="7" t="n">
        <v>102.8</v>
      </c>
      <c r="Z182" s="7" t="n">
        <v>116.3</v>
      </c>
      <c r="AB182" s="7" t="n">
        <v>2715.2</v>
      </c>
    </row>
    <row r="183">
      <c r="A183" s="4" t="inlineStr">
        <is>
          <t>失业</t>
        </is>
      </c>
      <c r="D183" s="7" t="n">
        <v>47</v>
      </c>
      <c r="F183" s="7" t="n">
        <v>52.6</v>
      </c>
      <c r="H183" s="7" t="n">
        <v>60.8</v>
      </c>
      <c r="J183" s="7" t="n">
        <v>129.6</v>
      </c>
      <c r="L183" s="7" t="n">
        <v>61.7</v>
      </c>
      <c r="N183" s="7" t="n">
        <v>142.7</v>
      </c>
      <c r="P183" s="7" t="n">
        <v>126.8</v>
      </c>
      <c r="R183" s="7" t="n">
        <v>40</v>
      </c>
      <c r="T183" s="7" t="n">
        <v>32.7</v>
      </c>
      <c r="V183" s="7" t="n">
        <v>92.7</v>
      </c>
      <c r="X183" s="7" t="n">
        <v>44.6</v>
      </c>
      <c r="Z183" s="7" t="n">
        <v>53.5</v>
      </c>
      <c r="AB183" s="7" t="n">
        <v>884.7</v>
      </c>
    </row>
    <row r="184">
      <c r="A184" s="4" t="inlineStr">
        <is>
          <t>生育</t>
        </is>
      </c>
      <c r="D184" s="7" t="n">
        <v>41.6</v>
      </c>
      <c r="F184" s="7" t="n">
        <v>49.2</v>
      </c>
      <c r="H184" s="7" t="n">
        <v>47.2</v>
      </c>
      <c r="J184" s="7" t="n">
        <v>64</v>
      </c>
      <c r="L184" s="7" t="n">
        <v>35.7</v>
      </c>
      <c r="N184" s="7" t="n">
        <v>85.59999999999999</v>
      </c>
      <c r="P184" s="7" t="n">
        <v>76</v>
      </c>
      <c r="R184" s="7" t="n">
        <v>27</v>
      </c>
      <c r="T184" s="7" t="n">
        <v>37.6</v>
      </c>
      <c r="V184" s="7" t="n">
        <v>59.7</v>
      </c>
      <c r="X184" s="7" t="n">
        <v>32.1</v>
      </c>
      <c r="Z184" s="7" t="n">
        <v>46.2</v>
      </c>
      <c r="AB184" s="7" t="n">
        <v>601.9</v>
      </c>
    </row>
    <row r="185">
      <c r="A185" s="4" t="inlineStr">
        <is>
          <t>公积金</t>
        </is>
      </c>
      <c r="D185" s="7" t="n">
        <v>32.3</v>
      </c>
      <c r="F185" s="7" t="n">
        <v>28.2</v>
      </c>
      <c r="H185" s="7" t="n">
        <v>47.7</v>
      </c>
      <c r="J185" s="7" t="n">
        <v>86.09999999999999</v>
      </c>
      <c r="L185" s="7" t="n">
        <v>35.6</v>
      </c>
      <c r="N185" s="7" t="n">
        <v>72.59999999999999</v>
      </c>
      <c r="P185" s="7" t="n">
        <v>112</v>
      </c>
      <c r="R185" s="7" t="n">
        <v>25.9</v>
      </c>
      <c r="T185" s="7" t="n">
        <v>30.6</v>
      </c>
      <c r="V185" s="7" t="n">
        <v>62.3</v>
      </c>
      <c r="X185" s="7" t="n">
        <v>20.5</v>
      </c>
      <c r="Z185" s="7" t="n">
        <v>33.9</v>
      </c>
      <c r="AB185" s="7" t="n">
        <v>587.7</v>
      </c>
    </row>
    <row r="186">
      <c r="A186" s="4" t="inlineStr">
        <is>
          <t>工会经费</t>
        </is>
      </c>
      <c r="D186" s="7" t="n">
        <v>32.1</v>
      </c>
      <c r="F186" s="7" t="n">
        <v>31.8</v>
      </c>
      <c r="H186" s="7" t="n">
        <v>35.3</v>
      </c>
      <c r="J186" s="7" t="n">
        <v>58.8</v>
      </c>
      <c r="L186" s="7" t="n">
        <v>35.4</v>
      </c>
      <c r="N186" s="7" t="n">
        <v>56.5</v>
      </c>
      <c r="P186" s="7" t="n">
        <v>102.6</v>
      </c>
      <c r="R186" s="7" t="n">
        <v>24.1</v>
      </c>
      <c r="T186" s="7" t="n">
        <v>27.4</v>
      </c>
      <c r="V186" s="7" t="n">
        <v>52.7</v>
      </c>
      <c r="X186" s="7" t="n">
        <v>32.9</v>
      </c>
      <c r="Z186" s="7" t="n">
        <v>31.4</v>
      </c>
      <c r="AB186" s="7" t="n">
        <v>521</v>
      </c>
    </row>
    <row r="187">
      <c r="A187" s="4" t="inlineStr">
        <is>
          <t>职工教育经费</t>
        </is>
      </c>
      <c r="D187" s="7" t="n">
        <v>164.5</v>
      </c>
      <c r="F187" s="7" t="n">
        <v>130.1</v>
      </c>
      <c r="H187" s="7" t="n">
        <v>122.7</v>
      </c>
      <c r="J187" s="7" t="n">
        <v>237.6</v>
      </c>
      <c r="L187" s="7" t="n">
        <v>141.5</v>
      </c>
      <c r="N187" s="7" t="n">
        <v>331.5</v>
      </c>
      <c r="P187" s="7" t="n">
        <v>396.3</v>
      </c>
      <c r="R187" s="7" t="n">
        <v>61.7</v>
      </c>
      <c r="T187" s="7" t="n">
        <v>104.7</v>
      </c>
      <c r="V187" s="7" t="n">
        <v>162.8</v>
      </c>
      <c r="X187" s="7" t="n">
        <v>96.8</v>
      </c>
      <c r="Z187" s="7" t="n">
        <v>122.9</v>
      </c>
      <c r="AB187" s="7" t="n">
        <v>2073.1</v>
      </c>
    </row>
    <row r="188">
      <c r="A188" s="4" t="inlineStr">
        <is>
          <t>福利费</t>
        </is>
      </c>
      <c r="D188" s="7" t="n">
        <v>484.6</v>
      </c>
      <c r="F188" s="7" t="n">
        <v>477.3</v>
      </c>
      <c r="H188" s="7" t="n">
        <v>602.8</v>
      </c>
      <c r="J188" s="7" t="n">
        <v>1002.3</v>
      </c>
      <c r="L188" s="7" t="n">
        <v>692.2</v>
      </c>
      <c r="N188" s="7" t="n">
        <v>920.4</v>
      </c>
      <c r="P188" s="7" t="n">
        <v>1433.3</v>
      </c>
      <c r="R188" s="7" t="n">
        <v>352.3</v>
      </c>
      <c r="T188" s="7" t="n">
        <v>361.9</v>
      </c>
      <c r="V188" s="7" t="n">
        <v>699.2</v>
      </c>
      <c r="X188" s="7" t="n">
        <v>374.3</v>
      </c>
      <c r="Z188" s="7" t="n">
        <v>392.8</v>
      </c>
      <c r="AB188" s="7" t="n">
        <v>7793.4</v>
      </c>
    </row>
    <row r="189">
      <c r="A189" s="4" t="inlineStr">
        <is>
          <t>职工房租</t>
        </is>
      </c>
      <c r="D189" s="7" t="n">
        <v>83.59999999999999</v>
      </c>
      <c r="F189" s="7" t="n">
        <v>57.4</v>
      </c>
      <c r="H189" s="7" t="n">
        <v>109.6</v>
      </c>
      <c r="J189" s="7" t="n">
        <v>170.7</v>
      </c>
      <c r="L189" s="7" t="n">
        <v>116.7</v>
      </c>
      <c r="N189" s="7" t="n">
        <v>133.1</v>
      </c>
      <c r="P189" s="7" t="n">
        <v>198.3</v>
      </c>
      <c r="R189" s="7" t="n">
        <v>59.7</v>
      </c>
      <c r="T189" s="7" t="n">
        <v>81.3</v>
      </c>
      <c r="V189" s="7" t="n">
        <v>145.6</v>
      </c>
      <c r="X189" s="7" t="n">
        <v>71.8</v>
      </c>
      <c r="Z189" s="7" t="n">
        <v>53.3</v>
      </c>
      <c r="AB189" s="7" t="n">
        <v>1281.1</v>
      </c>
    </row>
    <row r="190">
      <c r="A190" s="4" t="inlineStr">
        <is>
          <t>水电物业费</t>
        </is>
      </c>
      <c r="D190" s="7" t="n">
        <v>34.3</v>
      </c>
      <c r="F190" s="7" t="n">
        <v>27</v>
      </c>
      <c r="H190" s="7" t="n">
        <v>33.7</v>
      </c>
      <c r="J190" s="7" t="n">
        <v>57.9</v>
      </c>
      <c r="L190" s="7" t="n">
        <v>33.5</v>
      </c>
      <c r="N190" s="7" t="n">
        <v>58.1</v>
      </c>
      <c r="P190" s="7" t="n">
        <v>60.9</v>
      </c>
      <c r="R190" s="7" t="n">
        <v>20.2</v>
      </c>
      <c r="T190" s="7" t="n">
        <v>15</v>
      </c>
      <c r="V190" s="7" t="n">
        <v>43.6</v>
      </c>
      <c r="X190" s="7" t="n">
        <v>18.2</v>
      </c>
      <c r="Z190" s="7" t="n">
        <v>22.5</v>
      </c>
      <c r="AB190" s="7" t="n">
        <v>424.9</v>
      </c>
    </row>
    <row r="191">
      <c r="A191" s="4" t="inlineStr">
        <is>
          <t>员工餐</t>
        </is>
      </c>
      <c r="D191" s="7" t="n">
        <v>25</v>
      </c>
      <c r="F191" s="7" t="n">
        <v>26.3</v>
      </c>
      <c r="H191" s="7" t="n">
        <v>20.2</v>
      </c>
      <c r="J191" s="7" t="n">
        <v>52</v>
      </c>
      <c r="L191" s="7" t="n">
        <v>18.3</v>
      </c>
      <c r="N191" s="7" t="n">
        <v>56.4</v>
      </c>
      <c r="P191" s="7" t="n">
        <v>61.1</v>
      </c>
      <c r="R191" s="7" t="n">
        <v>17.2</v>
      </c>
      <c r="T191" s="7" t="n">
        <v>13.7</v>
      </c>
      <c r="V191" s="7" t="n">
        <v>34.1</v>
      </c>
      <c r="X191" s="7" t="n">
        <v>19.6</v>
      </c>
      <c r="Z191" s="7" t="n">
        <v>14.7</v>
      </c>
      <c r="AB191" s="7" t="n">
        <v>358.6</v>
      </c>
    </row>
    <row r="192">
      <c r="A192" s="4" t="inlineStr">
        <is>
          <t>节日礼品</t>
        </is>
      </c>
      <c r="D192" s="7" t="n">
        <v>116.8</v>
      </c>
      <c r="F192" s="7" t="n">
        <v>155.1</v>
      </c>
      <c r="H192" s="7" t="n">
        <v>189.5</v>
      </c>
      <c r="J192" s="7" t="n">
        <v>243</v>
      </c>
      <c r="L192" s="7" t="n">
        <v>189.4</v>
      </c>
      <c r="N192" s="7" t="n">
        <v>216.7</v>
      </c>
      <c r="P192" s="7" t="n">
        <v>454.7</v>
      </c>
      <c r="R192" s="7" t="n">
        <v>78.2</v>
      </c>
      <c r="T192" s="7" t="n">
        <v>105.2</v>
      </c>
      <c r="V192" s="7" t="n">
        <v>188.8</v>
      </c>
      <c r="X192" s="7" t="n">
        <v>89.59999999999999</v>
      </c>
      <c r="Z192" s="7" t="n">
        <v>123.4</v>
      </c>
      <c r="AB192" s="7" t="n">
        <v>2150.4</v>
      </c>
    </row>
    <row r="193">
      <c r="A193" s="4" t="inlineStr">
        <is>
          <t>生日礼品</t>
        </is>
      </c>
      <c r="D193" s="7" t="n">
        <v>72.59999999999999</v>
      </c>
      <c r="F193" s="7" t="n">
        <v>44.6</v>
      </c>
      <c r="H193" s="7" t="n">
        <v>75.7</v>
      </c>
      <c r="J193" s="7" t="n">
        <v>127.2</v>
      </c>
      <c r="L193" s="7" t="n">
        <v>68</v>
      </c>
      <c r="N193" s="7" t="n">
        <v>136.6</v>
      </c>
      <c r="P193" s="7" t="n">
        <v>133.9</v>
      </c>
      <c r="R193" s="7" t="n">
        <v>37.6</v>
      </c>
      <c r="T193" s="7" t="n">
        <v>39.8</v>
      </c>
      <c r="V193" s="7" t="n">
        <v>59.8</v>
      </c>
      <c r="X193" s="7" t="n">
        <v>36.3</v>
      </c>
      <c r="Z193" s="7" t="n">
        <v>46.3</v>
      </c>
      <c r="AB193" s="7" t="n">
        <v>878.4</v>
      </c>
    </row>
    <row r="194">
      <c r="A194" s="4" t="inlineStr">
        <is>
          <t>体检</t>
        </is>
      </c>
      <c r="D194" s="7" t="n">
        <v>112.1</v>
      </c>
      <c r="F194" s="7" t="n">
        <v>124.8</v>
      </c>
      <c r="H194" s="7" t="n">
        <v>139.5</v>
      </c>
      <c r="J194" s="7" t="n">
        <v>261.4</v>
      </c>
      <c r="L194" s="7" t="n">
        <v>223.4</v>
      </c>
      <c r="N194" s="7" t="n">
        <v>237.4</v>
      </c>
      <c r="P194" s="7" t="n">
        <v>439.5</v>
      </c>
      <c r="R194" s="7" t="n">
        <v>113.8</v>
      </c>
      <c r="T194" s="7" t="n">
        <v>84.59999999999999</v>
      </c>
      <c r="V194" s="7" t="n">
        <v>186.1</v>
      </c>
      <c r="X194" s="7" t="n">
        <v>108.1</v>
      </c>
      <c r="Z194" s="7" t="n">
        <v>101.8</v>
      </c>
      <c r="AB194" s="7" t="n">
        <v>2132.5</v>
      </c>
    </row>
    <row r="195">
      <c r="A195" s="4" t="inlineStr">
        <is>
          <t>其他福利支出</t>
        </is>
      </c>
      <c r="D195" s="7" t="n">
        <v>40.2</v>
      </c>
      <c r="F195" s="7" t="n">
        <v>42.1</v>
      </c>
      <c r="H195" s="7" t="n">
        <v>34.6</v>
      </c>
      <c r="J195" s="7" t="n">
        <v>90.09999999999999</v>
      </c>
      <c r="L195" s="7" t="n">
        <v>42.9</v>
      </c>
      <c r="N195" s="7" t="n">
        <v>82.09999999999999</v>
      </c>
      <c r="P195" s="7" t="n">
        <v>84.90000000000001</v>
      </c>
      <c r="R195" s="7" t="n">
        <v>25.6</v>
      </c>
      <c r="T195" s="7" t="n">
        <v>22.3</v>
      </c>
      <c r="V195" s="7" t="n">
        <v>41.2</v>
      </c>
      <c r="X195" s="7" t="n">
        <v>30.7</v>
      </c>
      <c r="Z195" s="7" t="n">
        <v>30.8</v>
      </c>
      <c r="AB195" s="7" t="n">
        <v>567.5</v>
      </c>
    </row>
    <row r="196">
      <c r="A196" s="4" t="inlineStr">
        <is>
          <t>招聘费</t>
        </is>
      </c>
      <c r="D196" s="7" t="n">
        <v>185.2</v>
      </c>
      <c r="F196" s="7" t="n">
        <v>127.6</v>
      </c>
      <c r="H196" s="7" t="n">
        <v>111</v>
      </c>
      <c r="J196" s="7" t="n">
        <v>242.9</v>
      </c>
      <c r="L196" s="7" t="n">
        <v>226.7</v>
      </c>
      <c r="N196" s="7" t="n">
        <v>365.2</v>
      </c>
      <c r="P196" s="7" t="n">
        <v>452.2</v>
      </c>
      <c r="R196" s="7" t="n">
        <v>87.90000000000001</v>
      </c>
      <c r="T196" s="7" t="n">
        <v>145.5</v>
      </c>
      <c r="V196" s="7" t="n">
        <v>235.2</v>
      </c>
      <c r="X196" s="7" t="n">
        <v>100.6</v>
      </c>
      <c r="Z196" s="7" t="n">
        <v>99.2</v>
      </c>
      <c r="AB196" s="7" t="n">
        <v>2379.2</v>
      </c>
    </row>
    <row r="197">
      <c r="A197" s="4" t="inlineStr">
        <is>
          <t>办公费</t>
        </is>
      </c>
      <c r="D197" s="7" t="n">
        <v>918.1</v>
      </c>
      <c r="F197" s="7" t="n">
        <v>622.1</v>
      </c>
      <c r="H197" s="7" t="n">
        <v>1001.3</v>
      </c>
      <c r="J197" s="7" t="n">
        <v>1948.2</v>
      </c>
      <c r="L197" s="7" t="n">
        <v>1131.5</v>
      </c>
      <c r="N197" s="7" t="n">
        <v>2025.3</v>
      </c>
      <c r="P197" s="7" t="n">
        <v>1686.7</v>
      </c>
      <c r="R197" s="7" t="n">
        <v>525.7</v>
      </c>
      <c r="T197" s="7" t="n">
        <v>581.9</v>
      </c>
      <c r="V197" s="7" t="n">
        <v>862</v>
      </c>
      <c r="X197" s="7" t="n">
        <v>723</v>
      </c>
      <c r="Z197" s="7" t="n">
        <v>584.4</v>
      </c>
      <c r="AB197" s="7" t="n">
        <v>12610.2</v>
      </c>
    </row>
    <row r="198">
      <c r="A198" s="4" t="inlineStr">
        <is>
          <t>市内交通费</t>
        </is>
      </c>
      <c r="D198" s="7" t="n">
        <v>0.1</v>
      </c>
      <c r="F198" s="7" t="n">
        <v>0.1</v>
      </c>
      <c r="H198" s="7" t="n">
        <v>0.1</v>
      </c>
      <c r="J198" s="7" t="n">
        <v>0.2</v>
      </c>
      <c r="L198" s="7" t="n">
        <v>0.2</v>
      </c>
      <c r="N198" s="7" t="n">
        <v>0.3</v>
      </c>
      <c r="P198" s="7" t="n">
        <v>0.4</v>
      </c>
      <c r="R198" s="7" t="n">
        <v>0.1</v>
      </c>
      <c r="T198" s="7" t="n">
        <v>0.1</v>
      </c>
      <c r="V198" s="7" t="n">
        <v>0.2</v>
      </c>
      <c r="X198" s="7" t="n">
        <v>0.1</v>
      </c>
      <c r="Z198" s="7" t="n">
        <v>0.1</v>
      </c>
      <c r="AB198" s="7" t="n">
        <v>2</v>
      </c>
    </row>
    <row r="199">
      <c r="A199" s="4" t="inlineStr">
        <is>
          <t>差旅费</t>
        </is>
      </c>
      <c r="D199" s="7" t="n">
        <v>1224.5</v>
      </c>
      <c r="F199" s="7" t="n">
        <v>1291.7</v>
      </c>
      <c r="H199" s="7" t="n">
        <v>1855</v>
      </c>
      <c r="J199" s="7" t="n">
        <v>2964.8</v>
      </c>
      <c r="L199" s="7" t="n">
        <v>1957.8</v>
      </c>
      <c r="N199" s="7" t="n">
        <v>3400.6</v>
      </c>
      <c r="P199" s="7" t="n">
        <v>3518.1</v>
      </c>
      <c r="R199" s="7" t="n">
        <v>753.7</v>
      </c>
      <c r="T199" s="7" t="n">
        <v>1442</v>
      </c>
      <c r="V199" s="7" t="n">
        <v>1503.3</v>
      </c>
      <c r="X199" s="7" t="n">
        <v>821.8</v>
      </c>
      <c r="Z199" s="7" t="n">
        <v>1247.2</v>
      </c>
      <c r="AB199" s="7" t="n">
        <v>21980.5</v>
      </c>
    </row>
    <row r="200">
      <c r="A200" s="4" t="inlineStr">
        <is>
          <t>交通费</t>
        </is>
      </c>
      <c r="D200" s="7" t="n">
        <v>43.1</v>
      </c>
      <c r="F200" s="7" t="n">
        <v>38.6</v>
      </c>
      <c r="H200" s="7" t="n">
        <v>32</v>
      </c>
      <c r="J200" s="7" t="n">
        <v>66.2</v>
      </c>
      <c r="L200" s="7" t="n">
        <v>57.8</v>
      </c>
      <c r="N200" s="7" t="n">
        <v>101.7</v>
      </c>
      <c r="P200" s="7" t="n">
        <v>105.5</v>
      </c>
      <c r="R200" s="7" t="n">
        <v>20</v>
      </c>
      <c r="T200" s="7" t="n">
        <v>35.6</v>
      </c>
      <c r="V200" s="7" t="n">
        <v>58.1</v>
      </c>
      <c r="X200" s="7" t="n">
        <v>39.5</v>
      </c>
      <c r="Z200" s="7" t="n">
        <v>28</v>
      </c>
      <c r="AB200" s="7" t="n">
        <v>626.1</v>
      </c>
    </row>
    <row r="201">
      <c r="A201" s="4" t="inlineStr">
        <is>
          <t>住宿费</t>
        </is>
      </c>
      <c r="D201" s="7" t="n">
        <v>27.4</v>
      </c>
      <c r="F201" s="7" t="n">
        <v>25.7</v>
      </c>
      <c r="H201" s="7" t="n">
        <v>26.4</v>
      </c>
      <c r="J201" s="7" t="n">
        <v>57.4</v>
      </c>
      <c r="L201" s="7" t="n">
        <v>43.2</v>
      </c>
      <c r="N201" s="7" t="n">
        <v>68.90000000000001</v>
      </c>
      <c r="P201" s="7" t="n">
        <v>96.09999999999999</v>
      </c>
      <c r="R201" s="7" t="n">
        <v>29.1</v>
      </c>
      <c r="T201" s="7" t="n">
        <v>18.8</v>
      </c>
      <c r="V201" s="7" t="n">
        <v>56.7</v>
      </c>
      <c r="X201" s="7" t="n">
        <v>19.5</v>
      </c>
      <c r="Z201" s="7" t="n">
        <v>30.6</v>
      </c>
      <c r="AB201" s="7" t="n">
        <v>499.8</v>
      </c>
    </row>
    <row r="202">
      <c r="A202" s="4" t="inlineStr">
        <is>
          <t>餐补</t>
        </is>
      </c>
      <c r="D202" s="7" t="n">
        <v>8.9</v>
      </c>
      <c r="F202" s="7" t="n">
        <v>8.1</v>
      </c>
      <c r="H202" s="7" t="n">
        <v>7</v>
      </c>
      <c r="J202" s="7" t="n">
        <v>13.3</v>
      </c>
      <c r="L202" s="7" t="n">
        <v>8.6</v>
      </c>
      <c r="N202" s="7" t="n">
        <v>15.5</v>
      </c>
      <c r="P202" s="7" t="n">
        <v>14.3</v>
      </c>
      <c r="R202" s="7" t="n">
        <v>5.5</v>
      </c>
      <c r="T202" s="7" t="n">
        <v>6.4</v>
      </c>
      <c r="V202" s="7" t="n">
        <v>7.4</v>
      </c>
      <c r="X202" s="7" t="n">
        <v>7</v>
      </c>
      <c r="Z202" s="7" t="n">
        <v>8.300000000000001</v>
      </c>
      <c r="AB202" s="7" t="n">
        <v>110.3</v>
      </c>
    </row>
    <row r="203">
      <c r="A203" s="4" t="inlineStr">
        <is>
          <t>交通补助</t>
        </is>
      </c>
      <c r="D203" s="7" t="n">
        <v>98.40000000000001</v>
      </c>
      <c r="F203" s="7" t="n">
        <v>128.3</v>
      </c>
      <c r="H203" s="7" t="n">
        <v>84.59999999999999</v>
      </c>
      <c r="J203" s="7" t="n">
        <v>276.1</v>
      </c>
      <c r="L203" s="7" t="n">
        <v>112.3</v>
      </c>
      <c r="N203" s="7" t="n">
        <v>265.3</v>
      </c>
      <c r="P203" s="7" t="n">
        <v>200.6</v>
      </c>
      <c r="R203" s="7" t="n">
        <v>52.7</v>
      </c>
      <c r="T203" s="7" t="n">
        <v>68.5</v>
      </c>
      <c r="V203" s="7" t="n">
        <v>112.1</v>
      </c>
      <c r="X203" s="7" t="n">
        <v>106.2</v>
      </c>
      <c r="Z203" s="7" t="n">
        <v>96.09999999999999</v>
      </c>
      <c r="AB203" s="7" t="n">
        <v>1601.2</v>
      </c>
    </row>
    <row r="204">
      <c r="A204" s="4" t="inlineStr">
        <is>
          <t>通讯补助</t>
        </is>
      </c>
      <c r="D204" s="7" t="n">
        <v>64.59999999999999</v>
      </c>
      <c r="F204" s="7" t="n">
        <v>69.90000000000001</v>
      </c>
      <c r="H204" s="7" t="n">
        <v>72.40000000000001</v>
      </c>
      <c r="J204" s="7" t="n">
        <v>79.3</v>
      </c>
      <c r="L204" s="7" t="n">
        <v>63.6</v>
      </c>
      <c r="N204" s="7" t="n">
        <v>141.7</v>
      </c>
      <c r="P204" s="7" t="n">
        <v>116</v>
      </c>
      <c r="R204" s="7" t="n">
        <v>42.8</v>
      </c>
      <c r="T204" s="7" t="n">
        <v>32.7</v>
      </c>
      <c r="V204" s="7" t="n">
        <v>91.7</v>
      </c>
      <c r="X204" s="7" t="n">
        <v>30.4</v>
      </c>
      <c r="Z204" s="7" t="n">
        <v>48.4</v>
      </c>
      <c r="AB204" s="7" t="n">
        <v>853.5</v>
      </c>
    </row>
    <row r="205">
      <c r="A205" s="4" t="inlineStr">
        <is>
          <t>招待费</t>
        </is>
      </c>
      <c r="D205" s="7" t="n">
        <v>779.9</v>
      </c>
      <c r="F205" s="7" t="n">
        <v>893.9</v>
      </c>
      <c r="H205" s="7" t="n">
        <v>903</v>
      </c>
      <c r="J205" s="7" t="n">
        <v>2317.8</v>
      </c>
      <c r="L205" s="7" t="n">
        <v>1343.5</v>
      </c>
      <c r="N205" s="7" t="n">
        <v>1530.6</v>
      </c>
      <c r="P205" s="7" t="n">
        <v>3398.8</v>
      </c>
      <c r="R205" s="7" t="n">
        <v>640.6</v>
      </c>
      <c r="T205" s="7" t="n">
        <v>969.8</v>
      </c>
      <c r="V205" s="7" t="n">
        <v>1170.9</v>
      </c>
      <c r="X205" s="7" t="n">
        <v>884.9</v>
      </c>
      <c r="Z205" s="7" t="n">
        <v>730.1</v>
      </c>
      <c r="AB205" s="7" t="n">
        <v>15563.8</v>
      </c>
    </row>
    <row r="206">
      <c r="A206" s="4" t="inlineStr">
        <is>
          <t>通讯费</t>
        </is>
      </c>
      <c r="D206" s="7" t="n">
        <v>18.8</v>
      </c>
      <c r="F206" s="7" t="n">
        <v>16.2</v>
      </c>
      <c r="H206" s="7" t="n">
        <v>30.5</v>
      </c>
      <c r="J206" s="7" t="n">
        <v>37.9</v>
      </c>
      <c r="L206" s="7" t="n">
        <v>37</v>
      </c>
      <c r="N206" s="7" t="n">
        <v>37.2</v>
      </c>
      <c r="P206" s="7" t="n">
        <v>64.40000000000001</v>
      </c>
      <c r="R206" s="7" t="n">
        <v>11</v>
      </c>
      <c r="T206" s="7" t="n">
        <v>16.2</v>
      </c>
      <c r="V206" s="7" t="n">
        <v>34.6</v>
      </c>
      <c r="X206" s="7" t="n">
        <v>13</v>
      </c>
      <c r="Z206" s="7" t="n">
        <v>22.7</v>
      </c>
      <c r="AB206" s="7" t="n">
        <v>339.5</v>
      </c>
    </row>
    <row r="207">
      <c r="A207" s="4" t="inlineStr">
        <is>
          <t>网络费</t>
        </is>
      </c>
      <c r="D207" s="7" t="n">
        <v>79.09999999999999</v>
      </c>
      <c r="F207" s="7" t="n">
        <v>75.40000000000001</v>
      </c>
      <c r="H207" s="7" t="n">
        <v>123</v>
      </c>
      <c r="J207" s="7" t="n">
        <v>174.2</v>
      </c>
      <c r="L207" s="7" t="n">
        <v>115</v>
      </c>
      <c r="N207" s="7" t="n">
        <v>180.6</v>
      </c>
      <c r="P207" s="7" t="n">
        <v>201.7</v>
      </c>
      <c r="R207" s="7" t="n">
        <v>57.3</v>
      </c>
      <c r="T207" s="7" t="n">
        <v>63.6</v>
      </c>
      <c r="V207" s="7" t="n">
        <v>115.8</v>
      </c>
      <c r="X207" s="7" t="n">
        <v>72.2</v>
      </c>
      <c r="Z207" s="7" t="n">
        <v>120.3</v>
      </c>
      <c r="AB207" s="7" t="n">
        <v>1378.2</v>
      </c>
    </row>
    <row r="208">
      <c r="A208" s="4" t="inlineStr">
        <is>
          <t>修理费</t>
        </is>
      </c>
      <c r="D208" s="7" t="n">
        <v>112.2</v>
      </c>
      <c r="F208" s="7" t="n">
        <v>149.7</v>
      </c>
      <c r="H208" s="7" t="n">
        <v>117.8</v>
      </c>
      <c r="J208" s="7" t="n">
        <v>317.6</v>
      </c>
      <c r="L208" s="7" t="n">
        <v>159.8</v>
      </c>
      <c r="N208" s="7" t="n">
        <v>244.4</v>
      </c>
      <c r="P208" s="7" t="n">
        <v>266.9</v>
      </c>
      <c r="R208" s="7" t="n">
        <v>78.5</v>
      </c>
      <c r="T208" s="7" t="n">
        <v>102.5</v>
      </c>
      <c r="V208" s="7" t="n">
        <v>163.2</v>
      </c>
      <c r="X208" s="7" t="n">
        <v>119.4</v>
      </c>
      <c r="Z208" s="7" t="n">
        <v>129.5</v>
      </c>
      <c r="AB208" s="7" t="n">
        <v>1961.5</v>
      </c>
    </row>
    <row r="209">
      <c r="A209" s="4" t="inlineStr">
        <is>
          <t>车辆费</t>
        </is>
      </c>
      <c r="D209" s="7" t="n">
        <v>53.3</v>
      </c>
      <c r="F209" s="7" t="n">
        <v>60.6</v>
      </c>
      <c r="H209" s="7" t="n">
        <v>74.8</v>
      </c>
      <c r="J209" s="7" t="n">
        <v>136.3</v>
      </c>
      <c r="L209" s="7" t="n">
        <v>78</v>
      </c>
      <c r="N209" s="7" t="n">
        <v>173.3</v>
      </c>
      <c r="P209" s="7" t="n">
        <v>210.5</v>
      </c>
      <c r="R209" s="7" t="n">
        <v>50.2</v>
      </c>
      <c r="T209" s="7" t="n">
        <v>50.4</v>
      </c>
      <c r="V209" s="7" t="n">
        <v>96.09999999999999</v>
      </c>
      <c r="X209" s="7" t="n">
        <v>52.8</v>
      </c>
      <c r="Z209" s="7" t="n">
        <v>72</v>
      </c>
      <c r="AB209" s="7" t="n">
        <v>1108.3</v>
      </c>
    </row>
    <row r="210">
      <c r="A210" s="4" t="inlineStr">
        <is>
          <t>租赁费</t>
        </is>
      </c>
      <c r="D210" s="7" t="n">
        <v>1451.7</v>
      </c>
      <c r="F210" s="7" t="n">
        <v>1533.6</v>
      </c>
      <c r="H210" s="7" t="n">
        <v>1118</v>
      </c>
      <c r="J210" s="7" t="n">
        <v>2780.7</v>
      </c>
      <c r="L210" s="7" t="n">
        <v>1663.6</v>
      </c>
      <c r="N210" s="7" t="n">
        <v>2891</v>
      </c>
      <c r="P210" s="7" t="n">
        <v>2656.1</v>
      </c>
      <c r="R210" s="7" t="n">
        <v>836.6</v>
      </c>
      <c r="T210" s="7" t="n">
        <v>823.3</v>
      </c>
      <c r="V210" s="7" t="n">
        <v>1675.8</v>
      </c>
      <c r="X210" s="7" t="n">
        <v>1125.9</v>
      </c>
      <c r="Z210" s="7" t="n">
        <v>1048</v>
      </c>
      <c r="AB210" s="7" t="n">
        <v>19604.3</v>
      </c>
    </row>
    <row r="211">
      <c r="A211" s="4" t="inlineStr">
        <is>
          <t>能源费</t>
        </is>
      </c>
      <c r="D211" s="7" t="n">
        <v>632.4</v>
      </c>
      <c r="F211" s="7" t="n">
        <v>477.6</v>
      </c>
      <c r="H211" s="7" t="n">
        <v>519.1</v>
      </c>
      <c r="J211" s="7" t="n">
        <v>1081.4</v>
      </c>
      <c r="L211" s="7" t="n">
        <v>639</v>
      </c>
      <c r="N211" s="7" t="n">
        <v>1001.6</v>
      </c>
      <c r="P211" s="7" t="n">
        <v>1479.6</v>
      </c>
      <c r="R211" s="7" t="n">
        <v>328.6</v>
      </c>
      <c r="T211" s="7" t="n">
        <v>361.3</v>
      </c>
      <c r="V211" s="7" t="n">
        <v>704.9</v>
      </c>
      <c r="X211" s="7" t="n">
        <v>395</v>
      </c>
      <c r="Z211" s="7" t="n">
        <v>482.8</v>
      </c>
      <c r="AB211" s="7" t="n">
        <v>8103.3</v>
      </c>
    </row>
    <row r="212">
      <c r="A212" s="4" t="inlineStr">
        <is>
          <t>水费</t>
        </is>
      </c>
      <c r="D212" s="7" t="n">
        <v>97</v>
      </c>
      <c r="F212" s="7" t="n">
        <v>80</v>
      </c>
      <c r="H212" s="7" t="n">
        <v>78</v>
      </c>
      <c r="J212" s="7" t="n">
        <v>146</v>
      </c>
      <c r="L212" s="7" t="n">
        <v>126.6</v>
      </c>
      <c r="N212" s="7" t="n">
        <v>166.1</v>
      </c>
      <c r="P212" s="7" t="n">
        <v>187.5</v>
      </c>
      <c r="R212" s="7" t="n">
        <v>69</v>
      </c>
      <c r="T212" s="7" t="n">
        <v>73.5</v>
      </c>
      <c r="V212" s="7" t="n">
        <v>94.7</v>
      </c>
      <c r="X212" s="7" t="n">
        <v>79.5</v>
      </c>
      <c r="Z212" s="7" t="n">
        <v>90.90000000000001</v>
      </c>
      <c r="AB212" s="7" t="n">
        <v>1288.8</v>
      </c>
    </row>
    <row r="213">
      <c r="A213" s="4" t="inlineStr">
        <is>
          <t>电费</t>
        </is>
      </c>
      <c r="D213" s="7" t="n">
        <v>210.8</v>
      </c>
      <c r="F213" s="7" t="n">
        <v>146.5</v>
      </c>
      <c r="H213" s="7" t="n">
        <v>186.3</v>
      </c>
      <c r="J213" s="7" t="n">
        <v>347</v>
      </c>
      <c r="L213" s="7" t="n">
        <v>181.5</v>
      </c>
      <c r="N213" s="7" t="n">
        <v>347</v>
      </c>
      <c r="P213" s="7" t="n">
        <v>458.8</v>
      </c>
      <c r="R213" s="7" t="n">
        <v>118.6</v>
      </c>
      <c r="T213" s="7" t="n">
        <v>115.3</v>
      </c>
      <c r="V213" s="7" t="n">
        <v>256</v>
      </c>
      <c r="X213" s="7" t="n">
        <v>147.8</v>
      </c>
      <c r="Z213" s="7" t="n">
        <v>151.4</v>
      </c>
      <c r="AB213" s="7" t="n">
        <v>2667</v>
      </c>
    </row>
    <row r="214">
      <c r="A214" s="4" t="inlineStr">
        <is>
          <t>燃气费</t>
        </is>
      </c>
      <c r="D214" s="7" t="n">
        <v>180.7</v>
      </c>
      <c r="F214" s="7" t="n">
        <v>116</v>
      </c>
      <c r="H214" s="7" t="n">
        <v>126.5</v>
      </c>
      <c r="J214" s="7" t="n">
        <v>368</v>
      </c>
      <c r="L214" s="7" t="n">
        <v>216.9</v>
      </c>
      <c r="N214" s="7" t="n">
        <v>292.3</v>
      </c>
      <c r="P214" s="7" t="n">
        <v>481.2</v>
      </c>
      <c r="R214" s="7" t="n">
        <v>78.3</v>
      </c>
      <c r="T214" s="7" t="n">
        <v>87.09999999999999</v>
      </c>
      <c r="V214" s="7" t="n">
        <v>203.9</v>
      </c>
      <c r="X214" s="7" t="n">
        <v>89.40000000000001</v>
      </c>
      <c r="Z214" s="7" t="n">
        <v>132.1</v>
      </c>
      <c r="AB214" s="7" t="n">
        <v>2372.4</v>
      </c>
    </row>
    <row r="215">
      <c r="A215" s="4" t="inlineStr">
        <is>
          <t>蒸汽费</t>
        </is>
      </c>
      <c r="D215" s="7" t="n">
        <v>143.9</v>
      </c>
      <c r="F215" s="7" t="n">
        <v>135.1</v>
      </c>
      <c r="H215" s="7" t="n">
        <v>128.3</v>
      </c>
      <c r="J215" s="7" t="n">
        <v>220.4</v>
      </c>
      <c r="L215" s="7" t="n">
        <v>114</v>
      </c>
      <c r="N215" s="7" t="n">
        <v>196.2</v>
      </c>
      <c r="P215" s="7" t="n">
        <v>352.1</v>
      </c>
      <c r="R215" s="7" t="n">
        <v>62.7</v>
      </c>
      <c r="T215" s="7" t="n">
        <v>85.40000000000001</v>
      </c>
      <c r="V215" s="7" t="n">
        <v>150.3</v>
      </c>
      <c r="X215" s="7" t="n">
        <v>78.3</v>
      </c>
      <c r="Z215" s="7" t="n">
        <v>108.4</v>
      </c>
      <c r="AB215" s="7" t="n">
        <v>1775.1</v>
      </c>
    </row>
    <row r="216">
      <c r="A216" s="4" t="inlineStr">
        <is>
          <t>物业费</t>
        </is>
      </c>
      <c r="D216" s="7" t="n">
        <v>5.4</v>
      </c>
      <c r="F216" s="7" t="n">
        <v>4</v>
      </c>
      <c r="H216" s="7" t="n">
        <v>4.6</v>
      </c>
      <c r="J216" s="7" t="n">
        <v>7.6</v>
      </c>
      <c r="L216" s="7" t="n">
        <v>5.4</v>
      </c>
      <c r="N216" s="7" t="n">
        <v>10</v>
      </c>
      <c r="P216" s="7" t="n">
        <v>12.1</v>
      </c>
      <c r="R216" s="7" t="n">
        <v>3.4</v>
      </c>
      <c r="T216" s="7" t="n">
        <v>3.9</v>
      </c>
      <c r="V216" s="7" t="n">
        <v>7.1</v>
      </c>
      <c r="X216" s="7" t="n">
        <v>2.5</v>
      </c>
      <c r="Z216" s="7" t="n">
        <v>3</v>
      </c>
      <c r="AB216" s="7" t="n">
        <v>69</v>
      </c>
    </row>
    <row r="217">
      <c r="A217" s="4" t="inlineStr">
        <is>
          <t>劳动保护费</t>
        </is>
      </c>
      <c r="D217" s="7" t="n">
        <v>168.3</v>
      </c>
      <c r="F217" s="7" t="n">
        <v>141.8</v>
      </c>
      <c r="H217" s="7" t="n">
        <v>113.5</v>
      </c>
      <c r="J217" s="7" t="n">
        <v>354.1</v>
      </c>
      <c r="L217" s="7" t="n">
        <v>183.9</v>
      </c>
      <c r="N217" s="7" t="n">
        <v>248.2</v>
      </c>
      <c r="P217" s="7" t="n">
        <v>363.2</v>
      </c>
      <c r="R217" s="7" t="n">
        <v>68.90000000000001</v>
      </c>
      <c r="T217" s="7" t="n">
        <v>79</v>
      </c>
      <c r="V217" s="7" t="n">
        <v>237.4</v>
      </c>
      <c r="X217" s="7" t="n">
        <v>107.4</v>
      </c>
      <c r="Z217" s="7" t="n">
        <v>121.8</v>
      </c>
      <c r="AB217" s="7" t="n">
        <v>2187.5</v>
      </c>
    </row>
    <row r="218">
      <c r="A218" s="4" t="inlineStr">
        <is>
          <t>顾问费</t>
        </is>
      </c>
      <c r="D218" s="7" t="n">
        <v>66.8</v>
      </c>
      <c r="F218" s="7" t="n">
        <v>93.09999999999999</v>
      </c>
      <c r="H218" s="7" t="n">
        <v>57.4</v>
      </c>
      <c r="J218" s="7" t="n">
        <v>118.7</v>
      </c>
      <c r="L218" s="7" t="n">
        <v>102</v>
      </c>
      <c r="N218" s="7" t="n">
        <v>158.7</v>
      </c>
      <c r="P218" s="7" t="n">
        <v>201.5</v>
      </c>
      <c r="R218" s="7" t="n">
        <v>54.3</v>
      </c>
      <c r="T218" s="7" t="n">
        <v>68.40000000000001</v>
      </c>
      <c r="V218" s="7" t="n">
        <v>113.6</v>
      </c>
      <c r="X218" s="7" t="n">
        <v>46.9</v>
      </c>
      <c r="Z218" s="7" t="n">
        <v>82</v>
      </c>
      <c r="AB218" s="7" t="n">
        <v>1163.4</v>
      </c>
    </row>
    <row r="219">
      <c r="A219" s="4" t="inlineStr">
        <is>
          <t>快递费</t>
        </is>
      </c>
      <c r="D219" s="7" t="n">
        <v>78.3</v>
      </c>
      <c r="F219" s="7" t="n">
        <v>121.8</v>
      </c>
      <c r="H219" s="7" t="n">
        <v>128.1</v>
      </c>
      <c r="J219" s="7" t="n">
        <v>179.1</v>
      </c>
      <c r="L219" s="7" t="n">
        <v>99.40000000000001</v>
      </c>
      <c r="N219" s="7" t="n">
        <v>235</v>
      </c>
      <c r="P219" s="7" t="n">
        <v>290</v>
      </c>
      <c r="R219" s="7" t="n">
        <v>61.8</v>
      </c>
      <c r="T219" s="7" t="n">
        <v>59.8</v>
      </c>
      <c r="V219" s="7" t="n">
        <v>145.2</v>
      </c>
      <c r="X219" s="7" t="n">
        <v>87.5</v>
      </c>
      <c r="Z219" s="7" t="n">
        <v>100.6</v>
      </c>
      <c r="AB219" s="7" t="n">
        <v>1586.6</v>
      </c>
    </row>
    <row r="220">
      <c r="A220" s="4" t="inlineStr">
        <is>
          <t>诉讼费</t>
        </is>
      </c>
      <c r="D220" s="7" t="n">
        <v>189.6</v>
      </c>
      <c r="F220" s="7" t="n">
        <v>152.5</v>
      </c>
      <c r="H220" s="7" t="n">
        <v>192.8</v>
      </c>
      <c r="J220" s="7" t="n">
        <v>298.8</v>
      </c>
      <c r="L220" s="7" t="n">
        <v>198.1</v>
      </c>
      <c r="N220" s="7" t="n">
        <v>437.2</v>
      </c>
      <c r="P220" s="7" t="n">
        <v>349</v>
      </c>
      <c r="R220" s="7" t="n">
        <v>84.7</v>
      </c>
      <c r="T220" s="7" t="n">
        <v>99.90000000000001</v>
      </c>
      <c r="V220" s="7" t="n">
        <v>290.8</v>
      </c>
      <c r="X220" s="7" t="n">
        <v>152.9</v>
      </c>
      <c r="Z220" s="7" t="n">
        <v>159.3</v>
      </c>
      <c r="AB220" s="7" t="n">
        <v>2605.6</v>
      </c>
    </row>
    <row r="221">
      <c r="A221" s="4" t="inlineStr">
        <is>
          <t>会员费</t>
        </is>
      </c>
      <c r="D221" s="7" t="n">
        <v>112.6</v>
      </c>
      <c r="F221" s="7" t="n">
        <v>138.9</v>
      </c>
      <c r="H221" s="7" t="n">
        <v>162.8</v>
      </c>
      <c r="J221" s="7" t="n">
        <v>299.9</v>
      </c>
      <c r="L221" s="7" t="n">
        <v>209.3</v>
      </c>
      <c r="N221" s="7" t="n">
        <v>411.1</v>
      </c>
      <c r="P221" s="7" t="n">
        <v>297.5</v>
      </c>
      <c r="R221" s="7" t="n">
        <v>108.9</v>
      </c>
      <c r="T221" s="7" t="n">
        <v>129.8</v>
      </c>
      <c r="V221" s="7" t="n">
        <v>194.9</v>
      </c>
      <c r="X221" s="7" t="n">
        <v>99.8</v>
      </c>
      <c r="Z221" s="7" t="n">
        <v>133.9</v>
      </c>
      <c r="AB221" s="7" t="n">
        <v>2299.4</v>
      </c>
    </row>
    <row r="222">
      <c r="A222" s="4" t="inlineStr">
        <is>
          <t>广告宣传费</t>
        </is>
      </c>
      <c r="D222" s="7" t="n">
        <v>868.7</v>
      </c>
      <c r="F222" s="7" t="n">
        <v>732.2</v>
      </c>
      <c r="H222" s="7" t="n">
        <v>875.4</v>
      </c>
      <c r="J222" s="7" t="n">
        <v>1440.1</v>
      </c>
      <c r="L222" s="7" t="n">
        <v>1195.2</v>
      </c>
      <c r="N222" s="7" t="n">
        <v>1346.5</v>
      </c>
      <c r="P222" s="7" t="n">
        <v>1773.1</v>
      </c>
      <c r="R222" s="7" t="n">
        <v>541.2</v>
      </c>
      <c r="T222" s="7" t="n">
        <v>423.6</v>
      </c>
      <c r="V222" s="7" t="n">
        <v>1358.2</v>
      </c>
      <c r="X222" s="7" t="n">
        <v>443.4</v>
      </c>
      <c r="Z222" s="7" t="n">
        <v>635.2</v>
      </c>
      <c r="AB222" s="7" t="n">
        <v>11632.8</v>
      </c>
    </row>
    <row r="223">
      <c r="A223" s="4" t="inlineStr">
        <is>
          <t>会务费</t>
        </is>
      </c>
      <c r="D223" s="7" t="n">
        <v>98.09999999999999</v>
      </c>
      <c r="F223" s="7" t="n">
        <v>119.9</v>
      </c>
      <c r="H223" s="7" t="n">
        <v>151.7</v>
      </c>
      <c r="J223" s="7" t="n">
        <v>267.5</v>
      </c>
      <c r="L223" s="7" t="n">
        <v>141.4</v>
      </c>
      <c r="N223" s="7" t="n">
        <v>286.7</v>
      </c>
      <c r="P223" s="7" t="n">
        <v>386.5</v>
      </c>
      <c r="R223" s="7" t="n">
        <v>64.59999999999999</v>
      </c>
      <c r="T223" s="7" t="n">
        <v>83.2</v>
      </c>
      <c r="V223" s="7" t="n">
        <v>155.6</v>
      </c>
      <c r="X223" s="7" t="n">
        <v>84.59999999999999</v>
      </c>
      <c r="Z223" s="7" t="n">
        <v>116.3</v>
      </c>
      <c r="AB223" s="7" t="n">
        <v>1956.1</v>
      </c>
    </row>
    <row r="224">
      <c r="A224" s="4" t="inlineStr">
        <is>
          <t>装修费</t>
        </is>
      </c>
      <c r="D224" s="7" t="n">
        <v>141.5</v>
      </c>
      <c r="F224" s="7" t="n">
        <v>120.1</v>
      </c>
      <c r="H224" s="7" t="n">
        <v>95</v>
      </c>
      <c r="J224" s="7" t="n">
        <v>246</v>
      </c>
      <c r="L224" s="7" t="n">
        <v>143.9</v>
      </c>
      <c r="N224" s="7" t="n">
        <v>178.5</v>
      </c>
      <c r="P224" s="7" t="n">
        <v>209.2</v>
      </c>
      <c r="R224" s="7" t="n">
        <v>77.09999999999999</v>
      </c>
      <c r="T224" s="7" t="n">
        <v>100.9</v>
      </c>
      <c r="V224" s="7" t="n">
        <v>133.4</v>
      </c>
      <c r="X224" s="7" t="n">
        <v>96</v>
      </c>
      <c r="Z224" s="7" t="n">
        <v>129.3</v>
      </c>
      <c r="AB224" s="7" t="n">
        <v>1670.9</v>
      </c>
    </row>
    <row r="225">
      <c r="A225" s="4" t="inlineStr">
        <is>
          <t>推广费</t>
        </is>
      </c>
      <c r="D225" s="7" t="n">
        <v>152.6</v>
      </c>
      <c r="F225" s="7" t="n">
        <v>118.3</v>
      </c>
      <c r="H225" s="7" t="n">
        <v>111.7</v>
      </c>
      <c r="J225" s="7" t="n">
        <v>244.6</v>
      </c>
      <c r="L225" s="7" t="n">
        <v>188.1</v>
      </c>
      <c r="N225" s="7" t="n">
        <v>232.5</v>
      </c>
      <c r="P225" s="7" t="n">
        <v>263.9</v>
      </c>
      <c r="R225" s="7" t="n">
        <v>84</v>
      </c>
      <c r="T225" s="7" t="n">
        <v>121.6</v>
      </c>
      <c r="V225" s="7" t="n">
        <v>212.6</v>
      </c>
      <c r="X225" s="7" t="n">
        <v>120</v>
      </c>
      <c r="Z225" s="7" t="n">
        <v>153.5</v>
      </c>
      <c r="AB225" s="7" t="n">
        <v>2003.4</v>
      </c>
    </row>
    <row r="226">
      <c r="A226" s="4" t="inlineStr">
        <is>
          <t>展会费</t>
        </is>
      </c>
      <c r="D226" s="7" t="n">
        <v>7.5</v>
      </c>
      <c r="F226" s="7" t="n">
        <v>9.699999999999999</v>
      </c>
      <c r="H226" s="7" t="n">
        <v>6.6</v>
      </c>
      <c r="J226" s="7" t="n">
        <v>19.7</v>
      </c>
      <c r="L226" s="7" t="n">
        <v>8</v>
      </c>
      <c r="N226" s="7" t="n">
        <v>17.4</v>
      </c>
      <c r="P226" s="7" t="n">
        <v>25.2</v>
      </c>
      <c r="R226" s="7" t="n">
        <v>6.4</v>
      </c>
      <c r="T226" s="7" t="n">
        <v>7.7</v>
      </c>
      <c r="V226" s="7" t="n">
        <v>10.4</v>
      </c>
      <c r="X226" s="7" t="n">
        <v>6.2</v>
      </c>
      <c r="Z226" s="7" t="n">
        <v>5.2</v>
      </c>
      <c r="AB226" s="7" t="n">
        <v>130</v>
      </c>
    </row>
    <row r="227">
      <c r="A227" s="4" t="inlineStr">
        <is>
          <t>设计费</t>
        </is>
      </c>
      <c r="D227" s="7" t="n">
        <v>209.4</v>
      </c>
      <c r="F227" s="7" t="n">
        <v>168.8</v>
      </c>
      <c r="H227" s="7" t="n">
        <v>141.9</v>
      </c>
      <c r="J227" s="7" t="n">
        <v>252.3</v>
      </c>
      <c r="L227" s="7" t="n">
        <v>260.1</v>
      </c>
      <c r="N227" s="7" t="n">
        <v>395.3</v>
      </c>
      <c r="P227" s="7" t="n">
        <v>356.2</v>
      </c>
      <c r="R227" s="7" t="n">
        <v>133.2</v>
      </c>
      <c r="T227" s="7" t="n">
        <v>156.5</v>
      </c>
      <c r="V227" s="7" t="n">
        <v>198.2</v>
      </c>
      <c r="X227" s="7" t="n">
        <v>104.8</v>
      </c>
      <c r="Z227" s="7" t="n">
        <v>116.8</v>
      </c>
      <c r="AB227" s="7" t="n">
        <v>2493.5</v>
      </c>
    </row>
    <row r="228">
      <c r="A228" s="4" t="inlineStr">
        <is>
          <t>折旧费</t>
        </is>
      </c>
      <c r="D228" s="7" t="n">
        <v>795</v>
      </c>
      <c r="F228" s="7" t="n">
        <v>896.4</v>
      </c>
      <c r="H228" s="7" t="n">
        <v>787.9</v>
      </c>
      <c r="J228" s="7" t="n">
        <v>1494</v>
      </c>
      <c r="L228" s="7" t="n">
        <v>1275</v>
      </c>
      <c r="N228" s="7" t="n">
        <v>2776.6</v>
      </c>
      <c r="P228" s="7" t="n">
        <v>1996.5</v>
      </c>
      <c r="R228" s="7" t="n">
        <v>818.5</v>
      </c>
      <c r="T228" s="7" t="n">
        <v>986.4</v>
      </c>
      <c r="V228" s="7" t="n">
        <v>1080.4</v>
      </c>
      <c r="X228" s="7" t="n">
        <v>968.7</v>
      </c>
      <c r="Z228" s="7" t="n">
        <v>864.9</v>
      </c>
      <c r="AB228" s="7" t="n">
        <v>14740.3</v>
      </c>
    </row>
    <row r="229">
      <c r="A229" s="4" t="inlineStr">
        <is>
          <t>认证费</t>
        </is>
      </c>
      <c r="D229" s="7" t="n">
        <v>16.6</v>
      </c>
      <c r="F229" s="7" t="n">
        <v>10</v>
      </c>
      <c r="H229" s="7" t="n">
        <v>15.5</v>
      </c>
      <c r="J229" s="7" t="n">
        <v>20</v>
      </c>
      <c r="L229" s="7" t="n">
        <v>16.9</v>
      </c>
      <c r="N229" s="7" t="n">
        <v>23.1</v>
      </c>
      <c r="P229" s="7" t="n">
        <v>26.9</v>
      </c>
      <c r="R229" s="7" t="n">
        <v>10</v>
      </c>
      <c r="T229" s="7" t="n">
        <v>10.8</v>
      </c>
      <c r="V229" s="7" t="n">
        <v>16.5</v>
      </c>
      <c r="X229" s="7" t="n">
        <v>12.2</v>
      </c>
      <c r="Z229" s="7" t="n">
        <v>8.6</v>
      </c>
      <c r="AB229" s="7" t="n">
        <v>187.1</v>
      </c>
    </row>
    <row r="230">
      <c r="A230" s="4" t="inlineStr">
        <is>
          <t>样品费</t>
        </is>
      </c>
      <c r="D230" s="7" t="n">
        <v>422</v>
      </c>
      <c r="F230" s="7" t="n">
        <v>625.3</v>
      </c>
      <c r="H230" s="7" t="n">
        <v>582.6</v>
      </c>
      <c r="J230" s="7" t="n">
        <v>712.3</v>
      </c>
      <c r="L230" s="7" t="n">
        <v>828.4</v>
      </c>
      <c r="N230" s="7" t="n">
        <v>1089.1</v>
      </c>
      <c r="P230" s="7" t="n">
        <v>1557</v>
      </c>
      <c r="R230" s="7" t="n">
        <v>256.3</v>
      </c>
      <c r="T230" s="7" t="n">
        <v>296.4</v>
      </c>
      <c r="V230" s="7" t="n">
        <v>554.2</v>
      </c>
      <c r="X230" s="7" t="n">
        <v>394.5</v>
      </c>
      <c r="Z230" s="7" t="n">
        <v>563.4</v>
      </c>
      <c r="AB230" s="7" t="n">
        <v>7881.5</v>
      </c>
    </row>
    <row r="231">
      <c r="A231" s="4" t="inlineStr">
        <is>
          <t>劳务费</t>
        </is>
      </c>
      <c r="D231" s="7" t="n">
        <v>41.4</v>
      </c>
      <c r="F231" s="7" t="n">
        <v>48.8</v>
      </c>
      <c r="H231" s="7" t="n">
        <v>58</v>
      </c>
      <c r="J231" s="7" t="n">
        <v>115.7</v>
      </c>
      <c r="L231" s="7" t="n">
        <v>67.40000000000001</v>
      </c>
      <c r="N231" s="7" t="n">
        <v>135.2</v>
      </c>
      <c r="P231" s="7" t="n">
        <v>127.4</v>
      </c>
      <c r="R231" s="7" t="n">
        <v>33.6</v>
      </c>
      <c r="T231" s="7" t="n">
        <v>38.3</v>
      </c>
      <c r="V231" s="7" t="n">
        <v>61.1</v>
      </c>
      <c r="X231" s="7" t="n">
        <v>36.3</v>
      </c>
      <c r="Z231" s="7" t="n">
        <v>48.5</v>
      </c>
      <c r="AB231" s="7" t="n">
        <v>811.7</v>
      </c>
    </row>
    <row r="232">
      <c r="A232" s="4" t="inlineStr">
        <is>
          <t>销售佣金</t>
        </is>
      </c>
      <c r="D232" s="7" t="n">
        <v>49.6</v>
      </c>
      <c r="F232" s="7" t="n">
        <v>29.4</v>
      </c>
      <c r="H232" s="7" t="n">
        <v>51.8</v>
      </c>
      <c r="J232" s="7" t="n">
        <v>79.40000000000001</v>
      </c>
      <c r="L232" s="7" t="n">
        <v>54.1</v>
      </c>
      <c r="N232" s="7" t="n">
        <v>64.59999999999999</v>
      </c>
      <c r="P232" s="7" t="n">
        <v>133.2</v>
      </c>
      <c r="R232" s="7" t="n">
        <v>20.6</v>
      </c>
      <c r="T232" s="7" t="n">
        <v>32.2</v>
      </c>
      <c r="V232" s="7" t="n">
        <v>48.5</v>
      </c>
      <c r="X232" s="7" t="n">
        <v>25.7</v>
      </c>
      <c r="Z232" s="7" t="n">
        <v>28.8</v>
      </c>
      <c r="AB232" s="7" t="n">
        <v>617.9</v>
      </c>
    </row>
    <row r="233">
      <c r="A233" s="4" t="inlineStr">
        <is>
          <t>检测费</t>
        </is>
      </c>
      <c r="D233" s="7" t="n">
        <v>75.59999999999999</v>
      </c>
      <c r="F233" s="7" t="n">
        <v>42.8</v>
      </c>
      <c r="H233" s="7" t="n">
        <v>50.9</v>
      </c>
      <c r="J233" s="7" t="n">
        <v>145</v>
      </c>
      <c r="L233" s="7" t="n">
        <v>61.3</v>
      </c>
      <c r="N233" s="7" t="n">
        <v>89.8</v>
      </c>
      <c r="P233" s="7" t="n">
        <v>159.2</v>
      </c>
      <c r="R233" s="7" t="n">
        <v>37.3</v>
      </c>
      <c r="T233" s="7" t="n">
        <v>49.2</v>
      </c>
      <c r="V233" s="7" t="n">
        <v>75.8</v>
      </c>
      <c r="X233" s="7" t="n">
        <v>41.7</v>
      </c>
      <c r="Z233" s="7" t="n">
        <v>45.3</v>
      </c>
      <c r="AB233" s="7" t="n">
        <v>873.9</v>
      </c>
    </row>
    <row r="234">
      <c r="A234" s="4" t="inlineStr">
        <is>
          <t>质量赔偿</t>
        </is>
      </c>
      <c r="D234" s="7" t="n">
        <v>48.8</v>
      </c>
      <c r="F234" s="7" t="n">
        <v>50.7</v>
      </c>
      <c r="H234" s="7" t="n">
        <v>69</v>
      </c>
      <c r="J234" s="7" t="n">
        <v>114.3</v>
      </c>
      <c r="L234" s="7" t="n">
        <v>64.7</v>
      </c>
      <c r="N234" s="7" t="n">
        <v>90.5</v>
      </c>
      <c r="P234" s="7" t="n">
        <v>116.5</v>
      </c>
      <c r="R234" s="7" t="n">
        <v>35.3</v>
      </c>
      <c r="T234" s="7" t="n">
        <v>44</v>
      </c>
      <c r="V234" s="7" t="n">
        <v>95.09999999999999</v>
      </c>
      <c r="X234" s="7" t="n">
        <v>55</v>
      </c>
      <c r="Z234" s="7" t="n">
        <v>51.5</v>
      </c>
      <c r="AB234" s="7" t="n">
        <v>835.4</v>
      </c>
    </row>
    <row r="235">
      <c r="A235" s="4" t="inlineStr">
        <is>
          <t>保险费</t>
        </is>
      </c>
      <c r="D235" s="7" t="n">
        <v>107.9</v>
      </c>
      <c r="F235" s="7" t="n">
        <v>77.40000000000001</v>
      </c>
      <c r="H235" s="7" t="n">
        <v>95.59999999999999</v>
      </c>
      <c r="J235" s="7" t="n">
        <v>224.8</v>
      </c>
      <c r="L235" s="7" t="n">
        <v>109.9</v>
      </c>
      <c r="N235" s="7" t="n">
        <v>203.4</v>
      </c>
      <c r="P235" s="7" t="n">
        <v>235.4</v>
      </c>
      <c r="R235" s="7" t="n">
        <v>78.09999999999999</v>
      </c>
      <c r="T235" s="7" t="n">
        <v>73.90000000000001</v>
      </c>
      <c r="V235" s="7" t="n">
        <v>163.1</v>
      </c>
      <c r="X235" s="7" t="n">
        <v>49.4</v>
      </c>
      <c r="Z235" s="7" t="n">
        <v>63.2</v>
      </c>
      <c r="AB235" s="7" t="n">
        <v>1482.1</v>
      </c>
    </row>
    <row r="236">
      <c r="A236" s="4" t="inlineStr">
        <is>
          <t>清洁费</t>
        </is>
      </c>
      <c r="D236" s="7" t="n">
        <v>196.5</v>
      </c>
      <c r="F236" s="7" t="n">
        <v>147.7</v>
      </c>
      <c r="H236" s="7" t="n">
        <v>166.7</v>
      </c>
      <c r="J236" s="7" t="n">
        <v>415.9</v>
      </c>
      <c r="L236" s="7" t="n">
        <v>262.3</v>
      </c>
      <c r="N236" s="7" t="n">
        <v>288.1</v>
      </c>
      <c r="P236" s="7" t="n">
        <v>392.9</v>
      </c>
      <c r="R236" s="7" t="n">
        <v>110.8</v>
      </c>
      <c r="T236" s="7" t="n">
        <v>157</v>
      </c>
      <c r="V236" s="7" t="n">
        <v>279.6</v>
      </c>
      <c r="X236" s="7" t="n">
        <v>101.8</v>
      </c>
      <c r="Z236" s="7" t="n">
        <v>163.6</v>
      </c>
      <c r="AB236" s="7" t="n">
        <v>2682.9</v>
      </c>
    </row>
    <row r="237">
      <c r="A237" s="4" t="inlineStr">
        <is>
          <t>低值易耗品</t>
        </is>
      </c>
      <c r="D237" s="7" t="n">
        <v>12.1</v>
      </c>
      <c r="F237" s="7" t="n">
        <v>13.4</v>
      </c>
      <c r="H237" s="7" t="n">
        <v>17.3</v>
      </c>
      <c r="J237" s="7" t="n">
        <v>26.3</v>
      </c>
      <c r="L237" s="7" t="n">
        <v>16.8</v>
      </c>
      <c r="N237" s="7" t="n">
        <v>26.1</v>
      </c>
      <c r="P237" s="7" t="n">
        <v>45.7</v>
      </c>
      <c r="R237" s="7" t="n">
        <v>9.5</v>
      </c>
      <c r="T237" s="7" t="n">
        <v>12.2</v>
      </c>
      <c r="V237" s="7" t="n">
        <v>15.1</v>
      </c>
      <c r="X237" s="7" t="n">
        <v>13.3</v>
      </c>
      <c r="Z237" s="7" t="n">
        <v>14.4</v>
      </c>
      <c r="AB237" s="7" t="n">
        <v>222.2</v>
      </c>
    </row>
    <row r="238">
      <c r="A238" s="4" t="inlineStr">
        <is>
          <t>物料消耗</t>
        </is>
      </c>
      <c r="D238" s="7" t="n">
        <v>58.5</v>
      </c>
      <c r="F238" s="7" t="n">
        <v>31.8</v>
      </c>
      <c r="H238" s="7" t="n">
        <v>56.7</v>
      </c>
      <c r="J238" s="7" t="n">
        <v>91.7</v>
      </c>
      <c r="L238" s="7" t="n">
        <v>74</v>
      </c>
      <c r="N238" s="7" t="n">
        <v>92.2</v>
      </c>
      <c r="P238" s="7" t="n">
        <v>95.8</v>
      </c>
      <c r="R238" s="7" t="n">
        <v>22.2</v>
      </c>
      <c r="T238" s="7" t="n">
        <v>39.6</v>
      </c>
      <c r="V238" s="7" t="n">
        <v>61.9</v>
      </c>
      <c r="X238" s="7" t="n">
        <v>41.2</v>
      </c>
      <c r="Z238" s="7" t="n">
        <v>51.3</v>
      </c>
      <c r="AB238" s="7" t="n">
        <v>716.9</v>
      </c>
    </row>
    <row r="239">
      <c r="A239" s="4" t="inlineStr">
        <is>
          <t>盘盈盘亏</t>
        </is>
      </c>
      <c r="D239" s="7" t="n">
        <v>0.7</v>
      </c>
      <c r="F239" s="7" t="n">
        <v>0.7</v>
      </c>
      <c r="H239" s="7" t="n">
        <v>0.6</v>
      </c>
      <c r="J239" s="7" t="n">
        <v>1.2</v>
      </c>
      <c r="L239" s="7" t="n">
        <v>0.8</v>
      </c>
      <c r="N239" s="7" t="n">
        <v>1.6</v>
      </c>
      <c r="P239" s="7" t="n">
        <v>1.8</v>
      </c>
      <c r="R239" s="7" t="n">
        <v>0.3</v>
      </c>
      <c r="T239" s="7" t="n">
        <v>0.3</v>
      </c>
      <c r="V239" s="7" t="n">
        <v>0.6</v>
      </c>
      <c r="X239" s="7" t="n">
        <v>0.4</v>
      </c>
      <c r="Z239" s="7" t="n">
        <v>0.4</v>
      </c>
      <c r="AB239" s="7" t="n">
        <v>9.4</v>
      </c>
    </row>
    <row r="240">
      <c r="A240" s="4" t="inlineStr">
        <is>
          <t>平台服务费</t>
        </is>
      </c>
      <c r="D240" s="7" t="n">
        <v>68.09999999999999</v>
      </c>
      <c r="F240" s="7" t="n">
        <v>75.3</v>
      </c>
      <c r="H240" s="7" t="n">
        <v>102.2</v>
      </c>
      <c r="J240" s="7" t="n">
        <v>132.8</v>
      </c>
      <c r="L240" s="7" t="n">
        <v>89</v>
      </c>
      <c r="N240" s="7" t="n">
        <v>182.4</v>
      </c>
      <c r="P240" s="7" t="n">
        <v>175.2</v>
      </c>
      <c r="R240" s="7" t="n">
        <v>57.8</v>
      </c>
      <c r="T240" s="7" t="n">
        <v>56.2</v>
      </c>
      <c r="V240" s="7" t="n">
        <v>119.4</v>
      </c>
      <c r="X240" s="7" t="n">
        <v>62.5</v>
      </c>
      <c r="Z240" s="7" t="n">
        <v>93.3</v>
      </c>
      <c r="AB240" s="7" t="n">
        <v>1214.2</v>
      </c>
    </row>
    <row r="241">
      <c r="A241" s="4" t="inlineStr">
        <is>
          <t>无形资产摊销</t>
        </is>
      </c>
      <c r="D241" s="7" t="n">
        <v>85.2</v>
      </c>
      <c r="F241" s="7" t="n">
        <v>92.2</v>
      </c>
      <c r="H241" s="7" t="n">
        <v>96.40000000000001</v>
      </c>
      <c r="J241" s="7" t="n">
        <v>125.7</v>
      </c>
      <c r="L241" s="7" t="n">
        <v>96.2</v>
      </c>
      <c r="N241" s="7" t="n">
        <v>134.2</v>
      </c>
      <c r="P241" s="7" t="n">
        <v>261.5</v>
      </c>
      <c r="R241" s="7" t="n">
        <v>50.5</v>
      </c>
      <c r="T241" s="7" t="n">
        <v>72</v>
      </c>
      <c r="V241" s="7" t="n">
        <v>94.3</v>
      </c>
      <c r="X241" s="7" t="n">
        <v>61.6</v>
      </c>
      <c r="Z241" s="7" t="n">
        <v>93.8</v>
      </c>
      <c r="AB241" s="7" t="n">
        <v>1263.6</v>
      </c>
    </row>
    <row r="242">
      <c r="A242" s="4" t="inlineStr">
        <is>
          <t>研发材料</t>
        </is>
      </c>
      <c r="D242" s="7" t="n">
        <v>157.4</v>
      </c>
      <c r="F242" s="7" t="n">
        <v>105.5</v>
      </c>
      <c r="H242" s="7" t="n">
        <v>87.7</v>
      </c>
      <c r="J242" s="7" t="n">
        <v>283.8</v>
      </c>
      <c r="L242" s="7" t="n">
        <v>173.8</v>
      </c>
      <c r="N242" s="7" t="n">
        <v>202.9</v>
      </c>
      <c r="P242" s="7" t="n">
        <v>389.6</v>
      </c>
      <c r="R242" s="7" t="n">
        <v>99.59999999999999</v>
      </c>
      <c r="T242" s="7" t="n">
        <v>113.9</v>
      </c>
      <c r="V242" s="7" t="n">
        <v>131.2</v>
      </c>
      <c r="X242" s="7" t="n">
        <v>97</v>
      </c>
      <c r="Z242" s="7" t="n">
        <v>113.4</v>
      </c>
      <c r="AB242" s="7" t="n">
        <v>1955.8</v>
      </c>
    </row>
    <row r="243">
      <c r="A243" s="4" t="inlineStr">
        <is>
          <t>项目名称</t>
        </is>
      </c>
      <c r="D243" s="7" t="n">
        <v>115.2</v>
      </c>
      <c r="F243" s="7" t="n">
        <v>191.5</v>
      </c>
      <c r="H243" s="7" t="n">
        <v>139.9</v>
      </c>
      <c r="J243" s="7" t="n">
        <v>332.7</v>
      </c>
      <c r="L243" s="7" t="n">
        <v>246.8</v>
      </c>
      <c r="N243" s="7" t="n">
        <v>298.2</v>
      </c>
      <c r="P243" s="7" t="n">
        <v>396.4</v>
      </c>
      <c r="R243" s="7" t="n">
        <v>132.8</v>
      </c>
      <c r="T243" s="7" t="n">
        <v>125.9</v>
      </c>
      <c r="V243" s="7" t="n">
        <v>210.7</v>
      </c>
      <c r="X243" s="7" t="n">
        <v>98.8</v>
      </c>
      <c r="Z243" s="7" t="n">
        <v>109.4</v>
      </c>
      <c r="AB243" s="7" t="n">
        <v>2398.3</v>
      </c>
    </row>
    <row r="244">
      <c r="A244" s="4" t="inlineStr">
        <is>
          <t>研发费</t>
        </is>
      </c>
      <c r="D244" s="7" t="n">
        <v>115.9</v>
      </c>
      <c r="F244" s="7" t="n">
        <v>63.6</v>
      </c>
      <c r="H244" s="7" t="n">
        <v>82.5</v>
      </c>
      <c r="J244" s="7" t="n">
        <v>192.8</v>
      </c>
      <c r="L244" s="7" t="n">
        <v>142.6</v>
      </c>
      <c r="N244" s="7" t="n">
        <v>214.9</v>
      </c>
      <c r="P244" s="7" t="n">
        <v>209.6</v>
      </c>
      <c r="R244" s="7" t="n">
        <v>53.1</v>
      </c>
      <c r="T244" s="7" t="n">
        <v>74.3</v>
      </c>
      <c r="V244" s="7" t="n">
        <v>154.1</v>
      </c>
      <c r="X244" s="7" t="n">
        <v>53.2</v>
      </c>
      <c r="Z244" s="7" t="n">
        <v>95.40000000000001</v>
      </c>
      <c r="AB244" s="7" t="n">
        <v>1452</v>
      </c>
    </row>
    <row r="245">
      <c r="A245" s="4" t="inlineStr">
        <is>
          <t>残保金</t>
        </is>
      </c>
      <c r="D245" s="7" t="n">
        <v>102.1</v>
      </c>
      <c r="F245" s="7" t="n">
        <v>137.2</v>
      </c>
      <c r="H245" s="7" t="n">
        <v>115.2</v>
      </c>
      <c r="J245" s="7" t="n">
        <v>261.4</v>
      </c>
      <c r="L245" s="7" t="n">
        <v>190.2</v>
      </c>
      <c r="N245" s="7" t="n">
        <v>234.2</v>
      </c>
      <c r="P245" s="7" t="n">
        <v>404.4</v>
      </c>
      <c r="R245" s="7" t="n">
        <v>66</v>
      </c>
      <c r="T245" s="7" t="n">
        <v>70.7</v>
      </c>
      <c r="V245" s="7" t="n">
        <v>133.2</v>
      </c>
      <c r="X245" s="7" t="n">
        <v>97.09999999999999</v>
      </c>
      <c r="Z245" s="7" t="n">
        <v>120</v>
      </c>
      <c r="AB245" s="7" t="n">
        <v>1931.7</v>
      </c>
    </row>
    <row r="246">
      <c r="A246" s="4" t="inlineStr">
        <is>
          <t>环保费</t>
        </is>
      </c>
      <c r="D246" s="7" t="n">
        <v>77.09999999999999</v>
      </c>
      <c r="F246" s="7" t="n">
        <v>83.8</v>
      </c>
      <c r="H246" s="7" t="n">
        <v>95.90000000000001</v>
      </c>
      <c r="J246" s="7" t="n">
        <v>261.4</v>
      </c>
      <c r="L246" s="7" t="n">
        <v>133.8</v>
      </c>
      <c r="N246" s="7" t="n">
        <v>242.4</v>
      </c>
      <c r="P246" s="7" t="n">
        <v>188.5</v>
      </c>
      <c r="R246" s="7" t="n">
        <v>88.3</v>
      </c>
      <c r="T246" s="7" t="n">
        <v>76.8</v>
      </c>
      <c r="V246" s="7" t="n">
        <v>149.5</v>
      </c>
      <c r="X246" s="7" t="n">
        <v>59.5</v>
      </c>
      <c r="Z246" s="7" t="n">
        <v>73.3</v>
      </c>
      <c r="AB246" s="7" t="n">
        <v>1530.3</v>
      </c>
    </row>
    <row r="247">
      <c r="A247" s="4" t="inlineStr">
        <is>
          <t>报废损失</t>
        </is>
      </c>
      <c r="D247" s="7" t="n">
        <v>43.1</v>
      </c>
      <c r="F247" s="7" t="n">
        <v>41.5</v>
      </c>
      <c r="H247" s="7" t="n">
        <v>43.5</v>
      </c>
      <c r="J247" s="7" t="n">
        <v>62.7</v>
      </c>
      <c r="L247" s="7" t="n">
        <v>58.8</v>
      </c>
      <c r="N247" s="7" t="n">
        <v>66</v>
      </c>
      <c r="P247" s="7" t="n">
        <v>108.5</v>
      </c>
      <c r="R247" s="7" t="n">
        <v>26.2</v>
      </c>
      <c r="T247" s="7" t="n">
        <v>20.2</v>
      </c>
      <c r="V247" s="7" t="n">
        <v>61.5</v>
      </c>
      <c r="X247" s="7" t="n">
        <v>29</v>
      </c>
      <c r="Z247" s="7" t="n">
        <v>43.2</v>
      </c>
      <c r="AB247" s="7" t="n">
        <v>604.2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10777.4</v>
      </c>
      <c r="D248" s="7" t="n">
        <v>17874.2</v>
      </c>
      <c r="E248" s="7" t="n">
        <v>10938.4</v>
      </c>
      <c r="F248" s="7" t="n">
        <v>14606.2</v>
      </c>
      <c r="G248" s="7" t="n">
        <v>9913.200000000001</v>
      </c>
      <c r="H248" s="7" t="n">
        <v>9808.9</v>
      </c>
      <c r="I248" s="7" t="n">
        <v>9273.299999999999</v>
      </c>
      <c r="J248" s="7" t="n">
        <v>2651.5</v>
      </c>
      <c r="K248" s="7" t="n">
        <v>10684.6</v>
      </c>
      <c r="L248" s="7" t="n">
        <v>14203.9</v>
      </c>
      <c r="M248" s="7" t="n">
        <v>10484.3</v>
      </c>
      <c r="N248" s="7" t="n">
        <v>8618.299999999999</v>
      </c>
      <c r="O248" s="7" t="n">
        <v>8843.4</v>
      </c>
      <c r="P248" s="7" t="n">
        <v>1956.4</v>
      </c>
      <c r="Q248" s="7" t="n">
        <v>9004.6</v>
      </c>
      <c r="R248" s="7" t="n">
        <v>9397.799999999999</v>
      </c>
      <c r="S248" s="7" t="n">
        <v>8948.1</v>
      </c>
      <c r="T248" s="7" t="n">
        <v>13414.3</v>
      </c>
      <c r="U248" s="7" t="n">
        <v>9827.1</v>
      </c>
      <c r="V248" s="7" t="n">
        <v>15852.9</v>
      </c>
      <c r="W248" s="7" t="n">
        <v>10225</v>
      </c>
      <c r="X248" s="7" t="n">
        <v>10068.6</v>
      </c>
      <c r="Y248" s="7" t="n">
        <v>9522.700000000001</v>
      </c>
      <c r="Z248" s="7" t="n">
        <v>5748.1</v>
      </c>
      <c r="AA248" s="8" t="n">
        <v>118442.1</v>
      </c>
      <c r="AB248" s="8" t="n">
        <v>124201.1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2561.5</v>
      </c>
      <c r="E250" s="7" t="n">
        <v>0</v>
      </c>
      <c r="F250" s="7" t="n">
        <v>-1287.5</v>
      </c>
      <c r="G250" s="7" t="n">
        <v>0</v>
      </c>
      <c r="H250" s="7" t="n">
        <v>3936.8</v>
      </c>
      <c r="I250" s="7" t="n">
        <v>0</v>
      </c>
      <c r="J250" s="7" t="n">
        <v>-4170.1</v>
      </c>
      <c r="K250" s="7" t="n">
        <v>0</v>
      </c>
      <c r="L250" s="7" t="n">
        <v>-1816.5</v>
      </c>
      <c r="M250" s="7" t="n">
        <v>0</v>
      </c>
      <c r="N250" s="7" t="n">
        <v>-558.4</v>
      </c>
      <c r="O250" s="7" t="n">
        <v>0</v>
      </c>
      <c r="P250" s="7" t="n">
        <v>-4067.7</v>
      </c>
      <c r="Q250" s="7" t="n">
        <v>0</v>
      </c>
      <c r="R250" s="7" t="n">
        <v>-2773.3</v>
      </c>
      <c r="S250" s="7" t="n">
        <v>0</v>
      </c>
      <c r="T250" s="7" t="n">
        <v>1638.8</v>
      </c>
      <c r="U250" s="7" t="n">
        <v>0</v>
      </c>
      <c r="V250" s="7" t="n">
        <v>-4308.9</v>
      </c>
      <c r="W250" s="7" t="n">
        <v>0</v>
      </c>
      <c r="X250" s="7" t="n">
        <v>877.5</v>
      </c>
      <c r="Y250" s="7" t="n">
        <v>0</v>
      </c>
      <c r="Z250" s="7" t="n">
        <v>518.4</v>
      </c>
      <c r="AA250" s="7" t="n">
        <v>0</v>
      </c>
      <c r="AB250" s="7" t="n">
        <v>-9449.4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12525.7</v>
      </c>
      <c r="D255" s="7" t="n">
        <v>4200.4</v>
      </c>
      <c r="E255" s="7" t="n">
        <v>14068.7</v>
      </c>
      <c r="F255" s="7" t="n">
        <v>6598.6</v>
      </c>
      <c r="G255" s="7" t="n">
        <v>11864.9</v>
      </c>
      <c r="H255" s="7" t="n">
        <v>614.9</v>
      </c>
      <c r="I255" s="7" t="n">
        <v>13944.8</v>
      </c>
      <c r="J255" s="7" t="n">
        <v>8410.6</v>
      </c>
      <c r="K255" s="7" t="n">
        <v>10684.7</v>
      </c>
      <c r="L255" s="7" t="n">
        <v>14367.3</v>
      </c>
      <c r="M255" s="7" t="n">
        <v>11710.3</v>
      </c>
      <c r="N255" s="7" t="n">
        <v>11954</v>
      </c>
      <c r="O255" s="7" t="n">
        <v>11342.7</v>
      </c>
      <c r="P255" s="7" t="n">
        <v>18413.4</v>
      </c>
      <c r="Q255" s="7" t="n">
        <v>13446.8</v>
      </c>
      <c r="R255" s="7" t="n">
        <v>19204.4</v>
      </c>
      <c r="S255" s="7" t="n">
        <v>14037</v>
      </c>
      <c r="T255" s="7" t="n">
        <v>25466.4</v>
      </c>
      <c r="U255" s="7" t="n">
        <v>11304.8</v>
      </c>
      <c r="V255" s="7" t="n">
        <v>8872.799999999999</v>
      </c>
      <c r="W255" s="7" t="n">
        <v>11783.6</v>
      </c>
      <c r="X255" s="7" t="n">
        <v>9038.799999999999</v>
      </c>
      <c r="Y255" s="7" t="n">
        <v>10668.3</v>
      </c>
      <c r="Z255" s="7" t="n">
        <v>23216.2</v>
      </c>
      <c r="AA255" s="7" t="n">
        <v>147382.3</v>
      </c>
      <c r="AB255" s="7" t="n">
        <v>150357.8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152380</v>
      </c>
      <c r="D256" s="7" t="n">
        <v>51923.8</v>
      </c>
      <c r="E256" s="7" t="n">
        <v>151233.3</v>
      </c>
      <c r="F256" s="7" t="n">
        <v>62665.7</v>
      </c>
      <c r="G256" s="7" t="n">
        <v>129361.7</v>
      </c>
      <c r="H256" s="7" t="n">
        <v>133460.5</v>
      </c>
      <c r="I256" s="7" t="n">
        <v>147451.2</v>
      </c>
      <c r="J256" s="7" t="n">
        <v>128521.5</v>
      </c>
      <c r="K256" s="7" t="n">
        <v>136555.6</v>
      </c>
      <c r="L256" s="7" t="n">
        <v>183798</v>
      </c>
      <c r="M256" s="7" t="n">
        <v>129146.7</v>
      </c>
      <c r="N256" s="7" t="n">
        <v>154628.6</v>
      </c>
      <c r="O256" s="7" t="n">
        <v>120435.2</v>
      </c>
      <c r="P256" s="7" t="n">
        <v>259158</v>
      </c>
      <c r="Q256" s="7" t="n">
        <v>120531.3</v>
      </c>
      <c r="R256" s="7" t="n">
        <v>155505.7</v>
      </c>
      <c r="S256" s="7" t="n">
        <v>132095.9</v>
      </c>
      <c r="T256" s="7" t="n">
        <v>108319.7</v>
      </c>
      <c r="U256" s="7" t="n">
        <v>123531.5</v>
      </c>
      <c r="V256" s="7" t="n">
        <v>168091.6</v>
      </c>
      <c r="W256" s="7" t="n">
        <v>144588.2</v>
      </c>
      <c r="X256" s="7" t="n">
        <v>119174.4</v>
      </c>
      <c r="Y256" s="7" t="n">
        <v>122826.3</v>
      </c>
      <c r="Z256" s="7" t="n">
        <v>82976</v>
      </c>
      <c r="AA256" s="8" t="n">
        <v>1610136.9</v>
      </c>
      <c r="AB256" s="8" t="n">
        <v>1608223.5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722</v>
      </c>
      <c r="E257" s="7" t="n">
        <v>0</v>
      </c>
      <c r="F257" s="7" t="n">
        <v>3974.1</v>
      </c>
      <c r="G257" s="7" t="n">
        <v>0</v>
      </c>
      <c r="H257" s="7" t="n">
        <v>3378.3</v>
      </c>
      <c r="I257" s="7" t="n">
        <v>0</v>
      </c>
      <c r="J257" s="7" t="n">
        <v>1455.6</v>
      </c>
      <c r="K257" s="7" t="n">
        <v>0</v>
      </c>
      <c r="L257" s="7" t="n">
        <v>906.4</v>
      </c>
      <c r="M257" s="7" t="n">
        <v>0</v>
      </c>
      <c r="N257" s="7" t="n">
        <v>1111.2</v>
      </c>
      <c r="O257" s="7" t="n">
        <v>0</v>
      </c>
      <c r="P257" s="7" t="n">
        <v>412.8</v>
      </c>
      <c r="Q257" s="7" t="n">
        <v>0</v>
      </c>
      <c r="R257" s="7" t="n">
        <v>3200.2</v>
      </c>
      <c r="S257" s="7" t="n">
        <v>0</v>
      </c>
      <c r="T257" s="7" t="n">
        <v>4608.1</v>
      </c>
      <c r="U257" s="7" t="n">
        <v>0</v>
      </c>
      <c r="V257" s="7" t="n">
        <v>696.5</v>
      </c>
      <c r="W257" s="7" t="n">
        <v>0</v>
      </c>
      <c r="X257" s="7" t="n">
        <v>1934.4</v>
      </c>
      <c r="Y257" s="7" t="n">
        <v>0</v>
      </c>
      <c r="Z257" s="7" t="n">
        <v>230.5</v>
      </c>
      <c r="AA257" s="7" t="n">
        <v>0</v>
      </c>
      <c r="AB257" s="7" t="n">
        <v>22630.1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60.8</v>
      </c>
      <c r="E258" s="7" t="n">
        <v>0</v>
      </c>
      <c r="F258" s="7" t="n">
        <v>2484.4</v>
      </c>
      <c r="G258" s="7" t="n">
        <v>0</v>
      </c>
      <c r="H258" s="7" t="n">
        <v>1815.3</v>
      </c>
      <c r="I258" s="7" t="n">
        <v>0</v>
      </c>
      <c r="J258" s="7" t="n">
        <v>1176.9</v>
      </c>
      <c r="K258" s="7" t="n">
        <v>0</v>
      </c>
      <c r="L258" s="7" t="n">
        <v>2714.5</v>
      </c>
      <c r="M258" s="7" t="n">
        <v>0</v>
      </c>
      <c r="N258" s="7" t="n">
        <v>2070.5</v>
      </c>
      <c r="O258" s="7" t="n">
        <v>0</v>
      </c>
      <c r="P258" s="7" t="n">
        <v>1800.3</v>
      </c>
      <c r="Q258" s="7" t="n">
        <v>0</v>
      </c>
      <c r="R258" s="7" t="n">
        <v>1327.9</v>
      </c>
      <c r="S258" s="7" t="n">
        <v>0</v>
      </c>
      <c r="T258" s="7" t="n">
        <v>297.6</v>
      </c>
      <c r="U258" s="7" t="n">
        <v>0</v>
      </c>
      <c r="V258" s="7" t="n">
        <v>886.5</v>
      </c>
      <c r="W258" s="7" t="n">
        <v>0</v>
      </c>
      <c r="X258" s="7" t="n">
        <v>470.9</v>
      </c>
      <c r="Y258" s="7" t="n">
        <v>0</v>
      </c>
      <c r="Z258" s="7" t="n">
        <v>416.5</v>
      </c>
      <c r="AA258" s="7" t="n">
        <v>0</v>
      </c>
      <c r="AB258" s="7" t="n">
        <v>15522.1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152902</v>
      </c>
      <c r="D259" s="7" t="n">
        <v>48092.1</v>
      </c>
      <c r="E259" s="7" t="n">
        <v>113492.9</v>
      </c>
      <c r="F259" s="7" t="n">
        <v>60184.6</v>
      </c>
      <c r="G259" s="7" t="n">
        <v>122143.4</v>
      </c>
      <c r="H259" s="7" t="n">
        <v>130985.4</v>
      </c>
      <c r="I259" s="7" t="n">
        <v>118341.1</v>
      </c>
      <c r="J259" s="7" t="n">
        <v>129590.1</v>
      </c>
      <c r="K259" s="7" t="n">
        <v>127488</v>
      </c>
      <c r="L259" s="7" t="n">
        <v>193690</v>
      </c>
      <c r="M259" s="7" t="n">
        <v>114615</v>
      </c>
      <c r="N259" s="7" t="n">
        <v>167158.9</v>
      </c>
      <c r="O259" s="7" t="n">
        <v>121909.8</v>
      </c>
      <c r="P259" s="7" t="n">
        <v>251859.2</v>
      </c>
      <c r="Q259" s="7" t="n">
        <v>146843.4</v>
      </c>
      <c r="R259" s="7" t="n">
        <v>147442.4</v>
      </c>
      <c r="S259" s="7" t="n">
        <v>136741.6</v>
      </c>
      <c r="T259" s="7" t="n">
        <v>101302.6</v>
      </c>
      <c r="U259" s="7" t="n">
        <v>133292.4</v>
      </c>
      <c r="V259" s="7" t="n">
        <v>164935.5</v>
      </c>
      <c r="W259" s="7" t="n">
        <v>125373.5</v>
      </c>
      <c r="X259" s="7" t="n">
        <v>121656.2</v>
      </c>
      <c r="Y259" s="7" t="n">
        <v>144493.5</v>
      </c>
      <c r="Z259" s="7" t="n">
        <v>82558.39999999999</v>
      </c>
      <c r="AA259" s="8" t="n">
        <v>1557636.6</v>
      </c>
      <c r="AB259" s="8" t="n">
        <v>1599455.4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36534.1</v>
      </c>
      <c r="D260" s="7" t="n">
        <v>12023</v>
      </c>
      <c r="E260" s="7" t="n">
        <v>28399.6</v>
      </c>
      <c r="F260" s="7" t="n">
        <v>15046.1</v>
      </c>
      <c r="G260" s="7" t="n">
        <v>29835.4</v>
      </c>
      <c r="H260" s="7" t="n">
        <v>32746.3</v>
      </c>
      <c r="I260" s="7" t="n">
        <v>32502.1</v>
      </c>
      <c r="J260" s="7" t="n">
        <v>32397.5</v>
      </c>
      <c r="K260" s="7" t="n">
        <v>35035.6</v>
      </c>
      <c r="L260" s="7" t="n">
        <v>48422.5</v>
      </c>
      <c r="M260" s="7" t="n">
        <v>28811</v>
      </c>
      <c r="N260" s="7" t="n">
        <v>41789.7</v>
      </c>
      <c r="O260" s="7" t="n">
        <v>34086.3</v>
      </c>
      <c r="P260" s="7" t="n">
        <v>62964.8</v>
      </c>
      <c r="Q260" s="7" t="n">
        <v>34751.4</v>
      </c>
      <c r="R260" s="7" t="n">
        <v>36860.6</v>
      </c>
      <c r="S260" s="7" t="n">
        <v>30439.4</v>
      </c>
      <c r="T260" s="7" t="n">
        <v>25325.7</v>
      </c>
      <c r="U260" s="7" t="n">
        <v>34511.5</v>
      </c>
      <c r="V260" s="7" t="n">
        <v>41233.9</v>
      </c>
      <c r="W260" s="7" t="n">
        <v>33216.1</v>
      </c>
      <c r="X260" s="7" t="n">
        <v>30414</v>
      </c>
      <c r="Y260" s="7" t="n">
        <v>33194.2</v>
      </c>
      <c r="Z260" s="7" t="n">
        <v>20639.6</v>
      </c>
      <c r="AA260" s="7" t="n">
        <v>391316.7</v>
      </c>
      <c r="AB260" s="7" t="n">
        <v>399863.7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93912.10000000001</v>
      </c>
      <c r="D261" s="7" t="n">
        <v>36069.1</v>
      </c>
      <c r="E261" s="7" t="n">
        <v>91737.89999999999</v>
      </c>
      <c r="F261" s="7" t="n">
        <v>45138.5</v>
      </c>
      <c r="G261" s="7" t="n">
        <v>73136.8</v>
      </c>
      <c r="H261" s="7" t="n">
        <v>98239.10000000001</v>
      </c>
      <c r="I261" s="7" t="n">
        <v>92362.39999999999</v>
      </c>
      <c r="J261" s="7" t="n">
        <v>97192.60000000001</v>
      </c>
      <c r="K261" s="7" t="n">
        <v>106177.9</v>
      </c>
      <c r="L261" s="7" t="n">
        <v>145267.5</v>
      </c>
      <c r="M261" s="7" t="n">
        <v>89321.39999999999</v>
      </c>
      <c r="N261" s="7" t="n">
        <v>125369.2</v>
      </c>
      <c r="O261" s="7" t="n">
        <v>76472.89999999999</v>
      </c>
      <c r="P261" s="7" t="n">
        <v>188894.4</v>
      </c>
      <c r="Q261" s="7" t="n">
        <v>121125.6</v>
      </c>
      <c r="R261" s="7" t="n">
        <v>110581.8</v>
      </c>
      <c r="S261" s="7" t="n">
        <v>71516.60000000001</v>
      </c>
      <c r="T261" s="7" t="n">
        <v>75976.89999999999</v>
      </c>
      <c r="U261" s="7" t="n">
        <v>115838.5</v>
      </c>
      <c r="V261" s="7" t="n">
        <v>123701.6</v>
      </c>
      <c r="W261" s="7" t="n">
        <v>73029.3</v>
      </c>
      <c r="X261" s="7" t="n">
        <v>91242.2</v>
      </c>
      <c r="Y261" s="7" t="n">
        <v>73222.5</v>
      </c>
      <c r="Z261" s="7" t="n">
        <v>61918.8</v>
      </c>
      <c r="AA261" s="8" t="n">
        <v>1077853.9</v>
      </c>
      <c r="AB261" s="8" t="n">
        <v>1199591.7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6532.5</v>
      </c>
      <c r="E262" s="7" t="n">
        <v>0</v>
      </c>
      <c r="F262" s="7" t="n">
        <v>27.9</v>
      </c>
      <c r="G262" s="7" t="n">
        <v>0</v>
      </c>
      <c r="H262" s="7" t="n">
        <v>19042.5</v>
      </c>
      <c r="I262" s="7" t="n">
        <v>0</v>
      </c>
      <c r="J262" s="7" t="n">
        <v>5359.4</v>
      </c>
      <c r="K262" s="7" t="n">
        <v>0</v>
      </c>
      <c r="L262" s="7" t="n">
        <v>25353.6</v>
      </c>
      <c r="M262" s="7" t="n">
        <v>0</v>
      </c>
      <c r="N262" s="7" t="n">
        <v>12847.5</v>
      </c>
      <c r="O262" s="7" t="n">
        <v>0</v>
      </c>
      <c r="P262" s="7" t="n">
        <v>5635.7</v>
      </c>
      <c r="Q262" s="7" t="n">
        <v>0</v>
      </c>
      <c r="R262" s="7" t="n">
        <v>4850.9</v>
      </c>
      <c r="S262" s="7" t="n">
        <v>0</v>
      </c>
      <c r="T262" s="7" t="n">
        <v>19184.6</v>
      </c>
      <c r="U262" s="7" t="n">
        <v>0</v>
      </c>
      <c r="V262" s="7" t="n">
        <v>13974.8</v>
      </c>
      <c r="W262" s="7" t="n">
        <v>0</v>
      </c>
      <c r="X262" s="7" t="n">
        <v>19652</v>
      </c>
      <c r="Y262" s="7" t="n">
        <v>0</v>
      </c>
      <c r="Z262" s="7" t="n">
        <v>5215.5</v>
      </c>
      <c r="AA262" s="7" t="n">
        <v>0</v>
      </c>
      <c r="AB262" s="7" t="n">
        <v>137676.9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93912.10000000001</v>
      </c>
      <c r="D263" s="7" t="n">
        <v>29536.6</v>
      </c>
      <c r="E263" s="7" t="n">
        <v>91737.89999999999</v>
      </c>
      <c r="F263" s="7" t="n">
        <v>45110.6</v>
      </c>
      <c r="G263" s="7" t="n">
        <v>73136.8</v>
      </c>
      <c r="H263" s="7" t="n">
        <v>79196.60000000001</v>
      </c>
      <c r="I263" s="7" t="n">
        <v>92362.39999999999</v>
      </c>
      <c r="J263" s="7" t="n">
        <v>91833.2</v>
      </c>
      <c r="K263" s="7" t="n">
        <v>106177.9</v>
      </c>
      <c r="L263" s="7" t="n">
        <v>119913.9</v>
      </c>
      <c r="M263" s="7" t="n">
        <v>89321.39999999999</v>
      </c>
      <c r="N263" s="7" t="n">
        <v>112521.7</v>
      </c>
      <c r="O263" s="7" t="n">
        <v>76472.89999999999</v>
      </c>
      <c r="P263" s="7" t="n">
        <v>183258.7</v>
      </c>
      <c r="Q263" s="7" t="n">
        <v>121125.6</v>
      </c>
      <c r="R263" s="7" t="n">
        <v>105730.9</v>
      </c>
      <c r="S263" s="7" t="n">
        <v>71516.60000000001</v>
      </c>
      <c r="T263" s="7" t="n">
        <v>56792.3</v>
      </c>
      <c r="U263" s="7" t="n">
        <v>115838.5</v>
      </c>
      <c r="V263" s="7" t="n">
        <v>109726.8</v>
      </c>
      <c r="W263" s="7" t="n">
        <v>73029.3</v>
      </c>
      <c r="X263" s="7" t="n">
        <v>71590.2</v>
      </c>
      <c r="Y263" s="7" t="n">
        <v>73222.5</v>
      </c>
      <c r="Z263" s="7" t="n">
        <v>56703.3</v>
      </c>
      <c r="AA263" s="8" t="n">
        <v>1077853.9</v>
      </c>
      <c r="AB263" s="8" t="n">
        <v>1061914.8</v>
      </c>
    </row>
    <row r="264">
      <c r="A264" s="4" t="inlineStr">
        <is>
          <t>净利率</t>
        </is>
      </c>
      <c r="D264" s="13" t="n">
        <v>4.6</v>
      </c>
      <c r="F264" s="13" t="n">
        <v>5.3</v>
      </c>
      <c r="H264" s="13" t="n">
        <v>9.199999999999999</v>
      </c>
      <c r="J264" s="13" t="n">
        <v>7.2</v>
      </c>
      <c r="L264" s="13" t="n">
        <v>9.699999999999999</v>
      </c>
      <c r="N264" s="13" t="n">
        <v>7.6</v>
      </c>
      <c r="P264" s="13" t="n">
        <v>11.2</v>
      </c>
      <c r="R264" s="13" t="n">
        <v>7.2</v>
      </c>
      <c r="T264" s="13" t="n">
        <v>5.2</v>
      </c>
      <c r="V264" s="13" t="n">
        <v>8.199999999999999</v>
      </c>
      <c r="X264" s="13" t="n">
        <v>6.6</v>
      </c>
      <c r="Z264" s="13" t="n">
        <v>6.5</v>
      </c>
    </row>
    <row r="265">
      <c r="A265" s="4" t="inlineStr">
        <is>
          <t>销售达成率</t>
        </is>
      </c>
      <c r="D265" s="13" t="n">
        <v>59.6</v>
      </c>
      <c r="F265" s="13" t="n">
        <v>57.3</v>
      </c>
      <c r="H265" s="13" t="n">
        <v>92.7</v>
      </c>
      <c r="J265" s="13" t="n">
        <v>116.7</v>
      </c>
      <c r="L265" s="13" t="n">
        <v>109</v>
      </c>
      <c r="N265" s="13" t="n">
        <v>142.1</v>
      </c>
      <c r="P265" s="13" t="n">
        <v>136.7</v>
      </c>
      <c r="R265" s="13" t="n">
        <v>111.2</v>
      </c>
      <c r="T265" s="13" t="n">
        <v>107.6</v>
      </c>
      <c r="V265" s="13" t="n">
        <v>119.6</v>
      </c>
      <c r="X265" s="13" t="n">
        <v>90.90000000000001</v>
      </c>
      <c r="Z265" s="13" t="n">
        <v>71.2</v>
      </c>
    </row>
    <row r="266">
      <c r="A266" s="4" t="inlineStr">
        <is>
          <t>净利达成率</t>
        </is>
      </c>
      <c r="D266" s="13" t="n">
        <v>38.4</v>
      </c>
      <c r="F266" s="13" t="n">
        <v>49.2</v>
      </c>
      <c r="H266" s="13" t="n">
        <v>134.3</v>
      </c>
      <c r="J266" s="13" t="n">
        <v>105.2</v>
      </c>
      <c r="L266" s="13" t="n">
        <v>136.8</v>
      </c>
      <c r="N266" s="13" t="n">
        <v>140.4</v>
      </c>
      <c r="P266" s="13" t="n">
        <v>247</v>
      </c>
      <c r="R266" s="13" t="n">
        <v>91.3</v>
      </c>
      <c r="T266" s="13" t="n">
        <v>106.2</v>
      </c>
      <c r="V266" s="13" t="n">
        <v>106.8</v>
      </c>
      <c r="X266" s="13" t="n">
        <v>124.9</v>
      </c>
      <c r="Z266" s="13" t="n">
        <v>84.59999999999999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江西省区利润表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2553677.2</v>
      </c>
      <c r="D6" s="7" t="n">
        <v>1605917.3</v>
      </c>
      <c r="E6" s="7" t="n">
        <v>2453631.5</v>
      </c>
      <c r="F6" s="7" t="n">
        <v>1633253</v>
      </c>
      <c r="G6" s="7" t="n">
        <v>2043785.6</v>
      </c>
      <c r="H6" s="7" t="n">
        <v>2204741.5</v>
      </c>
      <c r="I6" s="7" t="n">
        <v>2063942.6</v>
      </c>
      <c r="J6" s="7" t="n">
        <v>2324687</v>
      </c>
      <c r="K6" s="7" t="n">
        <v>2475536.7</v>
      </c>
      <c r="L6" s="7" t="n">
        <v>2870670.4</v>
      </c>
      <c r="M6" s="7" t="n">
        <v>2197627.6</v>
      </c>
      <c r="N6" s="7" t="n">
        <v>2881912.5</v>
      </c>
      <c r="O6" s="7" t="n">
        <v>2507508.6</v>
      </c>
      <c r="P6" s="7" t="n">
        <v>3098991.8</v>
      </c>
      <c r="Q6" s="7" t="n">
        <v>2460158.3</v>
      </c>
      <c r="R6" s="7" t="n">
        <v>2383252.1</v>
      </c>
      <c r="S6" s="7" t="n">
        <v>2636236.5</v>
      </c>
      <c r="T6" s="7" t="n">
        <v>2316151.9</v>
      </c>
      <c r="U6" s="7" t="n">
        <v>2612929.1</v>
      </c>
      <c r="V6" s="7" t="n">
        <v>2940094.9</v>
      </c>
      <c r="W6" s="7" t="n">
        <v>2232321.2</v>
      </c>
      <c r="X6" s="7" t="n">
        <v>2099730.3</v>
      </c>
      <c r="Y6" s="7" t="n">
        <v>2408116.6</v>
      </c>
      <c r="Z6" s="7" t="n">
        <v>1533919</v>
      </c>
      <c r="AA6" s="8" t="n">
        <v>28645471.5</v>
      </c>
      <c r="AB6" s="8" t="n">
        <v>27893321.7</v>
      </c>
    </row>
    <row r="7">
      <c r="A7" s="4" t="inlineStr">
        <is>
          <t>中式汤底</t>
        </is>
      </c>
      <c r="D7" s="7" t="n">
        <v>278544.7</v>
      </c>
      <c r="F7" s="7" t="n">
        <v>325952.5</v>
      </c>
      <c r="H7" s="7" t="n">
        <v>312543.1</v>
      </c>
      <c r="J7" s="7" t="n">
        <v>493601</v>
      </c>
      <c r="L7" s="7" t="n">
        <v>603051.6</v>
      </c>
      <c r="N7" s="7" t="n">
        <v>690305.4</v>
      </c>
      <c r="P7" s="7" t="n">
        <v>531806.3</v>
      </c>
      <c r="R7" s="7" t="n">
        <v>408821.3</v>
      </c>
      <c r="T7" s="7" t="n">
        <v>374755.8</v>
      </c>
      <c r="V7" s="7" t="n">
        <v>650529.1</v>
      </c>
      <c r="X7" s="7" t="n">
        <v>467826.6</v>
      </c>
      <c r="Z7" s="7" t="n">
        <v>372279.8</v>
      </c>
      <c r="AB7" s="7" t="n">
        <v>5510017.2</v>
      </c>
    </row>
    <row r="8">
      <c r="A8" s="4" t="inlineStr">
        <is>
          <t>酱料</t>
        </is>
      </c>
      <c r="D8" s="7" t="n">
        <v>374296.3</v>
      </c>
      <c r="F8" s="7" t="n">
        <v>398022.6</v>
      </c>
      <c r="H8" s="7" t="n">
        <v>592741.7</v>
      </c>
      <c r="J8" s="7" t="n">
        <v>450678.7</v>
      </c>
      <c r="L8" s="7" t="n">
        <v>646204.8</v>
      </c>
      <c r="N8" s="7" t="n">
        <v>568108.3</v>
      </c>
      <c r="P8" s="7" t="n">
        <v>831988.5</v>
      </c>
      <c r="R8" s="7" t="n">
        <v>541838.6</v>
      </c>
      <c r="T8" s="7" t="n">
        <v>565609.7</v>
      </c>
      <c r="V8" s="7" t="n">
        <v>721322</v>
      </c>
      <c r="X8" s="7" t="n">
        <v>448709.9</v>
      </c>
      <c r="Z8" s="7" t="n">
        <v>338046.2</v>
      </c>
      <c r="AB8" s="7" t="n">
        <v>6477567.3</v>
      </c>
    </row>
    <row r="9">
      <c r="A9" s="4" t="inlineStr">
        <is>
          <t>川味底料</t>
        </is>
      </c>
      <c r="D9" s="7" t="n">
        <v>270349.1</v>
      </c>
      <c r="F9" s="7" t="n">
        <v>221747.8</v>
      </c>
      <c r="H9" s="7" t="n">
        <v>417272.4</v>
      </c>
      <c r="J9" s="7" t="n">
        <v>373809.8</v>
      </c>
      <c r="L9" s="7" t="n">
        <v>472224.5</v>
      </c>
      <c r="N9" s="7" t="n">
        <v>448903.5</v>
      </c>
      <c r="P9" s="7" t="n">
        <v>432490.9</v>
      </c>
      <c r="R9" s="7" t="n">
        <v>414375.5</v>
      </c>
      <c r="T9" s="7" t="n">
        <v>429547.2</v>
      </c>
      <c r="V9" s="7" t="n">
        <v>377897</v>
      </c>
      <c r="X9" s="7" t="n">
        <v>412943.4</v>
      </c>
      <c r="Z9" s="7" t="n">
        <v>266998.6</v>
      </c>
      <c r="AB9" s="7" t="n">
        <v>4538559.7</v>
      </c>
    </row>
    <row r="10">
      <c r="A10" s="4" t="inlineStr">
        <is>
          <t>调味汁</t>
        </is>
      </c>
      <c r="D10" s="7" t="n">
        <v>71409.7</v>
      </c>
      <c r="F10" s="7" t="n">
        <v>68795.8</v>
      </c>
      <c r="H10" s="7" t="n">
        <v>101102.4</v>
      </c>
      <c r="J10" s="7" t="n">
        <v>156519.8</v>
      </c>
      <c r="L10" s="7" t="n">
        <v>184109.6</v>
      </c>
      <c r="N10" s="7" t="n">
        <v>124397.4</v>
      </c>
      <c r="P10" s="7" t="n">
        <v>131524.8</v>
      </c>
      <c r="R10" s="7" t="n">
        <v>192192.7</v>
      </c>
      <c r="T10" s="7" t="n">
        <v>145815.5</v>
      </c>
      <c r="V10" s="7" t="n">
        <v>188409</v>
      </c>
      <c r="X10" s="7" t="n">
        <v>96544.10000000001</v>
      </c>
      <c r="Z10" s="7" t="n">
        <v>87367.8</v>
      </c>
      <c r="AB10" s="7" t="n">
        <v>1548188.6</v>
      </c>
    </row>
    <row r="11">
      <c r="A11" s="4" t="inlineStr">
        <is>
          <t>复合调味粉</t>
        </is>
      </c>
      <c r="D11" s="7" t="n">
        <v>259160.2</v>
      </c>
      <c r="F11" s="7" t="n">
        <v>189820.2</v>
      </c>
      <c r="H11" s="7" t="n">
        <v>274237.9</v>
      </c>
      <c r="J11" s="7" t="n">
        <v>365358.6</v>
      </c>
      <c r="L11" s="7" t="n">
        <v>351096.8</v>
      </c>
      <c r="N11" s="7" t="n">
        <v>388925.9</v>
      </c>
      <c r="P11" s="7" t="n">
        <v>471179.3</v>
      </c>
      <c r="R11" s="7" t="n">
        <v>398563.9</v>
      </c>
      <c r="T11" s="7" t="n">
        <v>327628.9</v>
      </c>
      <c r="V11" s="7" t="n">
        <v>514929</v>
      </c>
      <c r="X11" s="7" t="n">
        <v>272867.1</v>
      </c>
      <c r="Z11" s="7" t="n">
        <v>206330.7</v>
      </c>
      <c r="AB11" s="7" t="n">
        <v>4020098.5</v>
      </c>
    </row>
    <row r="12">
      <c r="A12" s="4" t="inlineStr">
        <is>
          <t>团餐</t>
        </is>
      </c>
      <c r="D12" s="7" t="n">
        <v>279050.2</v>
      </c>
      <c r="F12" s="7" t="n">
        <v>346523</v>
      </c>
      <c r="H12" s="7" t="n">
        <v>441302.3</v>
      </c>
      <c r="J12" s="7" t="n">
        <v>412351.1</v>
      </c>
      <c r="L12" s="7" t="n">
        <v>486038.2</v>
      </c>
      <c r="N12" s="7" t="n">
        <v>548609.6</v>
      </c>
      <c r="P12" s="7" t="n">
        <v>595221.5</v>
      </c>
      <c r="R12" s="7" t="n">
        <v>346724.1</v>
      </c>
      <c r="T12" s="7" t="n">
        <v>375065.1</v>
      </c>
      <c r="V12" s="7" t="n">
        <v>374534.1</v>
      </c>
      <c r="X12" s="7" t="n">
        <v>339301.5</v>
      </c>
      <c r="Z12" s="7" t="n">
        <v>218606.5</v>
      </c>
      <c r="AB12" s="7" t="n">
        <v>4763327.2</v>
      </c>
    </row>
    <row r="13">
      <c r="A13" s="4" t="inlineStr">
        <is>
          <t>预制菜</t>
        </is>
      </c>
      <c r="D13" s="7" t="n">
        <v>81672.60000000001</v>
      </c>
      <c r="F13" s="7" t="n">
        <v>83591</v>
      </c>
      <c r="H13" s="7" t="n">
        <v>98287.3</v>
      </c>
      <c r="J13" s="7" t="n">
        <v>131266.2</v>
      </c>
      <c r="L13" s="7" t="n">
        <v>119172.1</v>
      </c>
      <c r="N13" s="7" t="n">
        <v>146261</v>
      </c>
      <c r="P13" s="7" t="n">
        <v>143096</v>
      </c>
      <c r="R13" s="7" t="n">
        <v>90576.39999999999</v>
      </c>
      <c r="T13" s="7" t="n">
        <v>138458.6</v>
      </c>
      <c r="V13" s="7" t="n">
        <v>151286</v>
      </c>
      <c r="X13" s="7" t="n">
        <v>80784.7</v>
      </c>
      <c r="Z13" s="7" t="n">
        <v>75274.89999999999</v>
      </c>
      <c r="AB13" s="7" t="n">
        <v>1339726.8</v>
      </c>
    </row>
    <row r="14">
      <c r="A14" s="4" t="inlineStr">
        <is>
          <t>返利</t>
        </is>
      </c>
      <c r="D14" s="7" t="n">
        <v>-32038.7</v>
      </c>
      <c r="F14" s="7" t="n">
        <v>-33150.7</v>
      </c>
      <c r="H14" s="7" t="n">
        <v>-38863.6</v>
      </c>
      <c r="J14" s="7" t="n">
        <v>-70069.2</v>
      </c>
      <c r="L14" s="7" t="n">
        <v>-46311.5</v>
      </c>
      <c r="N14" s="7" t="n">
        <v>-71552.10000000001</v>
      </c>
      <c r="P14" s="7" t="n">
        <v>-67726.10000000001</v>
      </c>
      <c r="R14" s="7" t="n">
        <v>-53684.2</v>
      </c>
      <c r="T14" s="7" t="n">
        <v>-65922.8</v>
      </c>
      <c r="V14" s="7" t="n">
        <v>-43307.6</v>
      </c>
      <c r="X14" s="7" t="n">
        <v>-33295.7</v>
      </c>
      <c r="Z14" s="7" t="n">
        <v>-40050.2</v>
      </c>
      <c r="AB14" s="7" t="n">
        <v>-595972.4</v>
      </c>
    </row>
    <row r="15">
      <c r="A15" s="4" t="inlineStr">
        <is>
          <t>其他</t>
        </is>
      </c>
      <c r="D15" s="7" t="n">
        <v>23473.2</v>
      </c>
      <c r="F15" s="7" t="n">
        <v>31950.8</v>
      </c>
      <c r="H15" s="7" t="n">
        <v>6118</v>
      </c>
      <c r="J15" s="7" t="n">
        <v>11171</v>
      </c>
      <c r="L15" s="7" t="n">
        <v>55084.3</v>
      </c>
      <c r="N15" s="7" t="n">
        <v>37953.5</v>
      </c>
      <c r="P15" s="7" t="n">
        <v>29410.6</v>
      </c>
      <c r="R15" s="7" t="n">
        <v>43843.8</v>
      </c>
      <c r="T15" s="7" t="n">
        <v>25193.9</v>
      </c>
      <c r="V15" s="7" t="n">
        <v>4496.3</v>
      </c>
      <c r="X15" s="7" t="n">
        <v>14048.7</v>
      </c>
      <c r="Z15" s="7" t="n">
        <v>9064.700000000001</v>
      </c>
      <c r="AB15" s="7" t="n">
        <v>291808.8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1769488.9</v>
      </c>
      <c r="D16" s="7" t="n">
        <v>1070845.5</v>
      </c>
      <c r="E16" s="7" t="n">
        <v>1515674.4</v>
      </c>
      <c r="F16" s="7" t="n">
        <v>1088829.5</v>
      </c>
      <c r="G16" s="7" t="n">
        <v>1512333.8</v>
      </c>
      <c r="H16" s="7" t="n">
        <v>1457536</v>
      </c>
      <c r="I16" s="7" t="n">
        <v>1515722.3</v>
      </c>
      <c r="J16" s="7" t="n">
        <v>1590705.5</v>
      </c>
      <c r="K16" s="7" t="n">
        <v>1343950.3</v>
      </c>
      <c r="L16" s="7" t="n">
        <v>1846477.6</v>
      </c>
      <c r="M16" s="7" t="n">
        <v>1398968.7</v>
      </c>
      <c r="N16" s="7" t="n">
        <v>1904838.8</v>
      </c>
      <c r="O16" s="7" t="n">
        <v>1535669.6</v>
      </c>
      <c r="P16" s="7" t="n">
        <v>2077127.6</v>
      </c>
      <c r="Q16" s="7" t="n">
        <v>1733375.6</v>
      </c>
      <c r="R16" s="7" t="n">
        <v>1546718.9</v>
      </c>
      <c r="S16" s="7" t="n">
        <v>1511111.6</v>
      </c>
      <c r="T16" s="7" t="n">
        <v>1552998.7</v>
      </c>
      <c r="U16" s="7" t="n">
        <v>1374906.7</v>
      </c>
      <c r="V16" s="7" t="n">
        <v>1994806.3</v>
      </c>
      <c r="W16" s="7" t="n">
        <v>1681054.9</v>
      </c>
      <c r="X16" s="7" t="n">
        <v>1420643.1</v>
      </c>
      <c r="Y16" s="7" t="n">
        <v>1391219.3</v>
      </c>
      <c r="Z16" s="7" t="n">
        <v>1038624.9</v>
      </c>
      <c r="AA16" s="8" t="n">
        <v>18283476.1</v>
      </c>
      <c r="AB16" s="8" t="n">
        <v>18590152.4</v>
      </c>
    </row>
    <row r="17">
      <c r="A17" s="4" t="inlineStr">
        <is>
          <t>中式汤底</t>
        </is>
      </c>
      <c r="D17" s="7" t="n">
        <v>182321.3</v>
      </c>
      <c r="F17" s="7" t="n">
        <v>213352.1</v>
      </c>
      <c r="H17" s="7" t="n">
        <v>204575</v>
      </c>
      <c r="J17" s="7" t="n">
        <v>323086.3</v>
      </c>
      <c r="L17" s="7" t="n">
        <v>394727.2</v>
      </c>
      <c r="N17" s="7" t="n">
        <v>451839.1</v>
      </c>
      <c r="P17" s="7" t="n">
        <v>348093.6</v>
      </c>
      <c r="R17" s="7" t="n">
        <v>267593.8</v>
      </c>
      <c r="T17" s="7" t="n">
        <v>245296.3</v>
      </c>
      <c r="V17" s="7" t="n">
        <v>425803.6</v>
      </c>
      <c r="X17" s="7" t="n">
        <v>306215.7</v>
      </c>
      <c r="Z17" s="7" t="n">
        <v>243675.6</v>
      </c>
      <c r="AB17" s="7" t="n">
        <v>3606579.6</v>
      </c>
    </row>
    <row r="18">
      <c r="A18" s="4" t="inlineStr">
        <is>
          <t>酱料</t>
        </is>
      </c>
      <c r="D18" s="7" t="n">
        <v>217746.6</v>
      </c>
      <c r="F18" s="7" t="n">
        <v>231549.3</v>
      </c>
      <c r="H18" s="7" t="n">
        <v>344827</v>
      </c>
      <c r="J18" s="7" t="n">
        <v>262182</v>
      </c>
      <c r="L18" s="7" t="n">
        <v>375929.2</v>
      </c>
      <c r="N18" s="7" t="n">
        <v>330496.6</v>
      </c>
      <c r="P18" s="7" t="n">
        <v>484008.7</v>
      </c>
      <c r="R18" s="7" t="n">
        <v>315214.2</v>
      </c>
      <c r="T18" s="7" t="n">
        <v>329043</v>
      </c>
      <c r="V18" s="7" t="n">
        <v>419628.5</v>
      </c>
      <c r="X18" s="7" t="n">
        <v>261036.6</v>
      </c>
      <c r="Z18" s="7" t="n">
        <v>196658.1</v>
      </c>
      <c r="AB18" s="7" t="n">
        <v>3768319.8</v>
      </c>
    </row>
    <row r="19">
      <c r="A19" s="4" t="inlineStr">
        <is>
          <t>川味底料</t>
        </is>
      </c>
      <c r="D19" s="7" t="n">
        <v>168852</v>
      </c>
      <c r="F19" s="7" t="n">
        <v>138497.1</v>
      </c>
      <c r="H19" s="7" t="n">
        <v>260616</v>
      </c>
      <c r="J19" s="7" t="n">
        <v>233470.5</v>
      </c>
      <c r="L19" s="7" t="n">
        <v>294937.4</v>
      </c>
      <c r="N19" s="7" t="n">
        <v>280371.8</v>
      </c>
      <c r="P19" s="7" t="n">
        <v>270121</v>
      </c>
      <c r="R19" s="7" t="n">
        <v>258806.7</v>
      </c>
      <c r="T19" s="7" t="n">
        <v>268282.5</v>
      </c>
      <c r="V19" s="7" t="n">
        <v>236023.3</v>
      </c>
      <c r="X19" s="7" t="n">
        <v>257912.2</v>
      </c>
      <c r="Z19" s="7" t="n">
        <v>166759.4</v>
      </c>
      <c r="AB19" s="7" t="n">
        <v>2834649.9</v>
      </c>
    </row>
    <row r="20">
      <c r="A20" s="4" t="inlineStr">
        <is>
          <t>调味汁</t>
        </is>
      </c>
      <c r="D20" s="7" t="n">
        <v>43315.6</v>
      </c>
      <c r="F20" s="7" t="n">
        <v>41730.1</v>
      </c>
      <c r="H20" s="7" t="n">
        <v>61326.6</v>
      </c>
      <c r="J20" s="7" t="n">
        <v>94941.60000000001</v>
      </c>
      <c r="L20" s="7" t="n">
        <v>111677</v>
      </c>
      <c r="N20" s="7" t="n">
        <v>75456.8</v>
      </c>
      <c r="P20" s="7" t="n">
        <v>79780.10000000001</v>
      </c>
      <c r="R20" s="7" t="n">
        <v>116580</v>
      </c>
      <c r="T20" s="7" t="n">
        <v>88448.60000000001</v>
      </c>
      <c r="V20" s="7" t="n">
        <v>114284.9</v>
      </c>
      <c r="X20" s="7" t="n">
        <v>58561.6</v>
      </c>
      <c r="Z20" s="7" t="n">
        <v>52995.4</v>
      </c>
      <c r="AB20" s="7" t="n">
        <v>939098.3</v>
      </c>
    </row>
    <row r="21">
      <c r="A21" s="4" t="inlineStr">
        <is>
          <t>复合调味粉</t>
        </is>
      </c>
      <c r="D21" s="7" t="n">
        <v>163725.5</v>
      </c>
      <c r="F21" s="7" t="n">
        <v>119919.6</v>
      </c>
      <c r="H21" s="7" t="n">
        <v>173250.9</v>
      </c>
      <c r="J21" s="7" t="n">
        <v>230816.7</v>
      </c>
      <c r="L21" s="7" t="n">
        <v>221806.8</v>
      </c>
      <c r="N21" s="7" t="n">
        <v>245705.4</v>
      </c>
      <c r="P21" s="7" t="n">
        <v>297669.4</v>
      </c>
      <c r="R21" s="7" t="n">
        <v>251794.3</v>
      </c>
      <c r="T21" s="7" t="n">
        <v>206980.8</v>
      </c>
      <c r="V21" s="7" t="n">
        <v>325308.4</v>
      </c>
      <c r="X21" s="7" t="n">
        <v>172384.8</v>
      </c>
      <c r="Z21" s="7" t="n">
        <v>130350.2</v>
      </c>
      <c r="AB21" s="7" t="n">
        <v>2539712.8</v>
      </c>
    </row>
    <row r="22">
      <c r="A22" s="4" t="inlineStr">
        <is>
          <t>团餐</t>
        </is>
      </c>
      <c r="D22" s="7" t="n">
        <v>172361.9</v>
      </c>
      <c r="F22" s="7" t="n">
        <v>214038</v>
      </c>
      <c r="H22" s="7" t="n">
        <v>272580.7</v>
      </c>
      <c r="J22" s="7" t="n">
        <v>254698.3</v>
      </c>
      <c r="L22" s="7" t="n">
        <v>300212.9</v>
      </c>
      <c r="N22" s="7" t="n">
        <v>338861.6</v>
      </c>
      <c r="P22" s="7" t="n">
        <v>367652.5</v>
      </c>
      <c r="R22" s="7" t="n">
        <v>214162.3</v>
      </c>
      <c r="T22" s="7" t="n">
        <v>231667.7</v>
      </c>
      <c r="V22" s="7" t="n">
        <v>231339.8</v>
      </c>
      <c r="X22" s="7" t="n">
        <v>209577.5</v>
      </c>
      <c r="Z22" s="7" t="n">
        <v>135027.4</v>
      </c>
      <c r="AB22" s="7" t="n">
        <v>2942180.6</v>
      </c>
    </row>
    <row r="23">
      <c r="A23" s="4" t="inlineStr">
        <is>
          <t>预制菜</t>
        </is>
      </c>
      <c r="D23" s="7" t="n">
        <v>54686.1</v>
      </c>
      <c r="F23" s="7" t="n">
        <v>55970.6</v>
      </c>
      <c r="H23" s="7" t="n">
        <v>65810.89999999999</v>
      </c>
      <c r="J23" s="7" t="n">
        <v>87892.89999999999</v>
      </c>
      <c r="L23" s="7" t="n">
        <v>79794.89999999999</v>
      </c>
      <c r="N23" s="7" t="n">
        <v>97933</v>
      </c>
      <c r="P23" s="7" t="n">
        <v>95813.8</v>
      </c>
      <c r="R23" s="7" t="n">
        <v>60647.9</v>
      </c>
      <c r="T23" s="7" t="n">
        <v>92708.7</v>
      </c>
      <c r="V23" s="7" t="n">
        <v>101297.7</v>
      </c>
      <c r="X23" s="7" t="n">
        <v>54091.6</v>
      </c>
      <c r="Z23" s="7" t="n">
        <v>50402.4</v>
      </c>
      <c r="AB23" s="7" t="n">
        <v>897050.5</v>
      </c>
    </row>
    <row r="24">
      <c r="A24" s="4" t="inlineStr">
        <is>
          <t>其他</t>
        </is>
      </c>
      <c r="D24" s="7" t="n">
        <v>1736</v>
      </c>
      <c r="F24" s="7" t="n">
        <v>14216.7</v>
      </c>
      <c r="H24" s="7" t="n">
        <v>8883</v>
      </c>
      <c r="J24" s="7" t="n">
        <v>16281.8</v>
      </c>
      <c r="L24" s="7" t="n">
        <v>14473.9</v>
      </c>
      <c r="N24" s="7" t="n">
        <v>2701.1</v>
      </c>
      <c r="P24" s="7" t="n">
        <v>28034.1</v>
      </c>
      <c r="R24" s="7" t="n">
        <v>1778</v>
      </c>
      <c r="T24" s="7" t="n">
        <v>3862.1</v>
      </c>
      <c r="V24" s="7" t="n">
        <v>2567.3</v>
      </c>
      <c r="X24" s="7" t="n">
        <v>3005.9</v>
      </c>
      <c r="Z24" s="7" t="n">
        <v>9338.299999999999</v>
      </c>
      <c r="AB24" s="7" t="n">
        <v>106878.2</v>
      </c>
    </row>
    <row r="25">
      <c r="A25" s="4" t="inlineStr">
        <is>
          <t>运费</t>
        </is>
      </c>
      <c r="D25" s="7" t="n">
        <v>67836.5</v>
      </c>
      <c r="F25" s="7" t="n">
        <v>73772.7</v>
      </c>
      <c r="H25" s="7" t="n">
        <v>74548.89999999999</v>
      </c>
      <c r="J25" s="7" t="n">
        <v>103617.2</v>
      </c>
      <c r="L25" s="7" t="n">
        <v>67392.2</v>
      </c>
      <c r="N25" s="7" t="n">
        <v>84174.5</v>
      </c>
      <c r="P25" s="7" t="n">
        <v>133988.5</v>
      </c>
      <c r="R25" s="7" t="n">
        <v>61919.7</v>
      </c>
      <c r="T25" s="7" t="n">
        <v>90571.10000000001</v>
      </c>
      <c r="V25" s="7" t="n">
        <v>141120.1</v>
      </c>
      <c r="X25" s="7" t="n">
        <v>100863.1</v>
      </c>
      <c r="Z25" s="7" t="n">
        <v>62756.4</v>
      </c>
      <c r="AB25" s="7" t="n">
        <v>1062560.9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784188.3</v>
      </c>
      <c r="D26" s="7" t="n">
        <v>535071.8</v>
      </c>
      <c r="E26" s="7" t="n">
        <v>937957.1</v>
      </c>
      <c r="F26" s="7" t="n">
        <v>544423.5</v>
      </c>
      <c r="G26" s="7" t="n">
        <v>531451.8</v>
      </c>
      <c r="H26" s="7" t="n">
        <v>747205.5</v>
      </c>
      <c r="I26" s="7" t="n">
        <v>548220.3</v>
      </c>
      <c r="J26" s="7" t="n">
        <v>733981.5</v>
      </c>
      <c r="K26" s="7" t="n">
        <v>1131586.4</v>
      </c>
      <c r="L26" s="7" t="n">
        <v>1024192.8</v>
      </c>
      <c r="M26" s="7" t="n">
        <v>798658.9</v>
      </c>
      <c r="N26" s="7" t="n">
        <v>977073.7</v>
      </c>
      <c r="O26" s="7" t="n">
        <v>971839</v>
      </c>
      <c r="P26" s="7" t="n">
        <v>1021864.2</v>
      </c>
      <c r="Q26" s="7" t="n">
        <v>726782.7</v>
      </c>
      <c r="R26" s="7" t="n">
        <v>836533.2</v>
      </c>
      <c r="S26" s="7" t="n">
        <v>1125124.9</v>
      </c>
      <c r="T26" s="7" t="n">
        <v>763153.2</v>
      </c>
      <c r="U26" s="7" t="n">
        <v>1238022.4</v>
      </c>
      <c r="V26" s="7" t="n">
        <v>945288.6</v>
      </c>
      <c r="W26" s="7" t="n">
        <v>551266.3</v>
      </c>
      <c r="X26" s="7" t="n">
        <v>679087.2</v>
      </c>
      <c r="Y26" s="7" t="n">
        <v>1016897.3</v>
      </c>
      <c r="Z26" s="7" t="n">
        <v>495294.1</v>
      </c>
      <c r="AA26" s="8" t="n">
        <v>10361995.4</v>
      </c>
      <c r="AB26" s="8" t="n">
        <v>9303169.300000001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30.7</v>
      </c>
      <c r="D27" s="13" t="n">
        <v>33.3</v>
      </c>
      <c r="E27" s="13" t="n">
        <v>38.2</v>
      </c>
      <c r="F27" s="13" t="n">
        <v>33.3</v>
      </c>
      <c r="G27" s="13" t="n">
        <v>26</v>
      </c>
      <c r="H27" s="13" t="n">
        <v>33.9</v>
      </c>
      <c r="I27" s="13" t="n">
        <v>26.6</v>
      </c>
      <c r="J27" s="13" t="n">
        <v>31.6</v>
      </c>
      <c r="K27" s="13" t="n">
        <v>45.7</v>
      </c>
      <c r="L27" s="13" t="n">
        <v>35.7</v>
      </c>
      <c r="M27" s="13" t="n">
        <v>36.3</v>
      </c>
      <c r="N27" s="13" t="n">
        <v>33.9</v>
      </c>
      <c r="O27" s="13" t="n">
        <v>38.8</v>
      </c>
      <c r="P27" s="13" t="n">
        <v>33</v>
      </c>
      <c r="Q27" s="13" t="n">
        <v>29.5</v>
      </c>
      <c r="R27" s="13" t="n">
        <v>35.1</v>
      </c>
      <c r="S27" s="13" t="n">
        <v>42.7</v>
      </c>
      <c r="T27" s="13" t="n">
        <v>32.9</v>
      </c>
      <c r="U27" s="13" t="n">
        <v>47.4</v>
      </c>
      <c r="V27" s="13" t="n">
        <v>32.2</v>
      </c>
      <c r="W27" s="13" t="n">
        <v>24.7</v>
      </c>
      <c r="X27" s="13" t="n">
        <v>32.3</v>
      </c>
      <c r="Y27" s="13" t="n">
        <v>42.2</v>
      </c>
      <c r="Z27" s="13" t="n">
        <v>32.3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18694.3</v>
      </c>
      <c r="D28" s="7" t="n">
        <v>16815.5</v>
      </c>
      <c r="E28" s="7" t="n">
        <v>19122</v>
      </c>
      <c r="F28" s="7" t="n">
        <v>23312.4</v>
      </c>
      <c r="G28" s="7" t="n">
        <v>23502.3</v>
      </c>
      <c r="H28" s="7" t="n">
        <v>11553.7</v>
      </c>
      <c r="I28" s="7" t="n">
        <v>21559.4</v>
      </c>
      <c r="J28" s="7" t="n">
        <v>26250.4</v>
      </c>
      <c r="K28" s="7" t="n">
        <v>20064.2</v>
      </c>
      <c r="L28" s="7" t="n">
        <v>28070.1</v>
      </c>
      <c r="M28" s="7" t="n">
        <v>21532.4</v>
      </c>
      <c r="N28" s="7" t="n">
        <v>26732</v>
      </c>
      <c r="O28" s="7" t="n">
        <v>20898.3</v>
      </c>
      <c r="P28" s="7" t="n">
        <v>25885.9</v>
      </c>
      <c r="Q28" s="7" t="n">
        <v>24100.1</v>
      </c>
      <c r="R28" s="7" t="n">
        <v>15145.2</v>
      </c>
      <c r="S28" s="7" t="n">
        <v>18772.7</v>
      </c>
      <c r="T28" s="7" t="n">
        <v>16176.5</v>
      </c>
      <c r="U28" s="7" t="n">
        <v>20074.4</v>
      </c>
      <c r="V28" s="7" t="n">
        <v>28998</v>
      </c>
      <c r="W28" s="7" t="n">
        <v>19213.1</v>
      </c>
      <c r="X28" s="7" t="n">
        <v>21819.4</v>
      </c>
      <c r="Y28" s="7" t="n">
        <v>20238.5</v>
      </c>
      <c r="Z28" s="7" t="n">
        <v>16654.9</v>
      </c>
      <c r="AA28" s="8" t="n">
        <v>247771.7</v>
      </c>
      <c r="AB28" s="8" t="n">
        <v>257414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366334.3</v>
      </c>
      <c r="D29" s="7" t="n">
        <v>165788.5</v>
      </c>
      <c r="E29" s="7" t="n">
        <v>372656.6</v>
      </c>
      <c r="F29" s="7" t="n">
        <v>170409.9</v>
      </c>
      <c r="G29" s="7" t="n">
        <v>382888.9</v>
      </c>
      <c r="H29" s="7" t="n">
        <v>467336.1</v>
      </c>
      <c r="I29" s="7" t="n">
        <v>420736.2</v>
      </c>
      <c r="J29" s="7" t="n">
        <v>390625</v>
      </c>
      <c r="K29" s="7" t="n">
        <v>401880.3</v>
      </c>
      <c r="L29" s="7" t="n">
        <v>432029.6</v>
      </c>
      <c r="M29" s="7" t="n">
        <v>387168.4</v>
      </c>
      <c r="N29" s="7" t="n">
        <v>680850.6</v>
      </c>
      <c r="O29" s="7" t="n">
        <v>415181.9</v>
      </c>
      <c r="P29" s="7" t="n">
        <v>574768.9</v>
      </c>
      <c r="Q29" s="7" t="n">
        <v>356651.1</v>
      </c>
      <c r="R29" s="7" t="n">
        <v>430608.6</v>
      </c>
      <c r="S29" s="7" t="n">
        <v>399054.1</v>
      </c>
      <c r="T29" s="7" t="n">
        <v>547027.8</v>
      </c>
      <c r="U29" s="7" t="n">
        <v>457572.6</v>
      </c>
      <c r="V29" s="7" t="n">
        <v>359501.3</v>
      </c>
      <c r="W29" s="7" t="n">
        <v>427350.8</v>
      </c>
      <c r="X29" s="7" t="n">
        <v>286599.4</v>
      </c>
      <c r="Y29" s="7" t="n">
        <v>353816.3</v>
      </c>
      <c r="Z29" s="7" t="n">
        <v>313830.2</v>
      </c>
      <c r="AA29" s="8" t="n">
        <v>4741291.5</v>
      </c>
      <c r="AB29" s="8" t="n">
        <v>4819375.9</v>
      </c>
    </row>
    <row r="30">
      <c r="A30" s="4" t="inlineStr">
        <is>
          <t>职工薪酬</t>
        </is>
      </c>
      <c r="D30" s="7" t="n">
        <v>99978</v>
      </c>
      <c r="F30" s="7" t="n">
        <v>100828.9</v>
      </c>
      <c r="H30" s="7" t="n">
        <v>261616.7</v>
      </c>
      <c r="J30" s="7" t="n">
        <v>172139.7</v>
      </c>
      <c r="L30" s="7" t="n">
        <v>227578.4</v>
      </c>
      <c r="N30" s="7" t="n">
        <v>333130</v>
      </c>
      <c r="P30" s="7" t="n">
        <v>298663.1</v>
      </c>
      <c r="R30" s="7" t="n">
        <v>261475.3</v>
      </c>
      <c r="T30" s="7" t="n">
        <v>331069.1</v>
      </c>
      <c r="V30" s="7" t="n">
        <v>212508.1</v>
      </c>
      <c r="X30" s="7" t="n">
        <v>139681.7</v>
      </c>
      <c r="Z30" s="7" t="n">
        <v>179547.2</v>
      </c>
      <c r="AB30" s="7" t="n">
        <v>2618216.2</v>
      </c>
    </row>
    <row r="31">
      <c r="A31" s="4" t="inlineStr">
        <is>
          <t>工资</t>
        </is>
      </c>
      <c r="D31" s="7" t="n">
        <v>60801.9</v>
      </c>
      <c r="F31" s="7" t="n">
        <v>60770.6</v>
      </c>
      <c r="H31" s="7" t="n">
        <v>165759</v>
      </c>
      <c r="J31" s="7" t="n">
        <v>93539.10000000001</v>
      </c>
      <c r="L31" s="7" t="n">
        <v>124007.5</v>
      </c>
      <c r="N31" s="7" t="n">
        <v>178866.7</v>
      </c>
      <c r="P31" s="7" t="n">
        <v>165300.6</v>
      </c>
      <c r="R31" s="7" t="n">
        <v>157535.5</v>
      </c>
      <c r="T31" s="7" t="n">
        <v>201212.4</v>
      </c>
      <c r="V31" s="7" t="n">
        <v>131890.5</v>
      </c>
      <c r="X31" s="7" t="n">
        <v>79211.5</v>
      </c>
      <c r="Z31" s="7" t="n">
        <v>111405.6</v>
      </c>
      <c r="AB31" s="7" t="n">
        <v>1530300.9</v>
      </c>
    </row>
    <row r="32">
      <c r="A32" s="4" t="inlineStr">
        <is>
          <t>奖金及提成</t>
        </is>
      </c>
      <c r="D32" s="7" t="n">
        <v>16458</v>
      </c>
      <c r="F32" s="7" t="n">
        <v>22086</v>
      </c>
      <c r="H32" s="7" t="n">
        <v>41572.1</v>
      </c>
      <c r="J32" s="7" t="n">
        <v>35439.7</v>
      </c>
      <c r="L32" s="7" t="n">
        <v>55184.9</v>
      </c>
      <c r="N32" s="7" t="n">
        <v>84817.10000000001</v>
      </c>
      <c r="P32" s="7" t="n">
        <v>57097.9</v>
      </c>
      <c r="R32" s="7" t="n">
        <v>51701.2</v>
      </c>
      <c r="T32" s="7" t="n">
        <v>60369.2</v>
      </c>
      <c r="V32" s="7" t="n">
        <v>31938.4</v>
      </c>
      <c r="X32" s="7" t="n">
        <v>32982.5</v>
      </c>
      <c r="Z32" s="7" t="n">
        <v>33522</v>
      </c>
      <c r="AB32" s="7" t="n">
        <v>523169</v>
      </c>
    </row>
    <row r="33">
      <c r="A33" s="4" t="inlineStr">
        <is>
          <t>社保</t>
        </is>
      </c>
      <c r="D33" s="7" t="n">
        <v>17062.4</v>
      </c>
      <c r="F33" s="7" t="n">
        <v>11671.1</v>
      </c>
      <c r="H33" s="7" t="n">
        <v>36069.8</v>
      </c>
      <c r="J33" s="7" t="n">
        <v>27378.2</v>
      </c>
      <c r="L33" s="7" t="n">
        <v>33024.9</v>
      </c>
      <c r="N33" s="7" t="n">
        <v>43509.7</v>
      </c>
      <c r="P33" s="7" t="n">
        <v>54648.5</v>
      </c>
      <c r="R33" s="7" t="n">
        <v>36055.8</v>
      </c>
      <c r="T33" s="7" t="n">
        <v>49227.9</v>
      </c>
      <c r="V33" s="7" t="n">
        <v>34462.6</v>
      </c>
      <c r="X33" s="7" t="n">
        <v>16347.8</v>
      </c>
      <c r="Z33" s="7" t="n">
        <v>23702.4</v>
      </c>
      <c r="AB33" s="7" t="n">
        <v>383161.1</v>
      </c>
    </row>
    <row r="34">
      <c r="A34" s="4" t="inlineStr">
        <is>
          <t>养老</t>
        </is>
      </c>
      <c r="D34" s="7" t="n">
        <v>105.6</v>
      </c>
      <c r="F34" s="7" t="n">
        <v>146.3</v>
      </c>
      <c r="H34" s="7" t="n">
        <v>329.1</v>
      </c>
      <c r="J34" s="7" t="n">
        <v>368</v>
      </c>
      <c r="L34" s="7" t="n">
        <v>350.6</v>
      </c>
      <c r="N34" s="7" t="n">
        <v>629</v>
      </c>
      <c r="P34" s="7" t="n">
        <v>468.6</v>
      </c>
      <c r="R34" s="7" t="n">
        <v>298.6</v>
      </c>
      <c r="T34" s="7" t="n">
        <v>590</v>
      </c>
      <c r="V34" s="7" t="n">
        <v>238.5</v>
      </c>
      <c r="X34" s="7" t="n">
        <v>247.3</v>
      </c>
      <c r="Z34" s="7" t="n">
        <v>220.5</v>
      </c>
      <c r="AB34" s="7" t="n">
        <v>3992.1</v>
      </c>
    </row>
    <row r="35">
      <c r="A35" s="4" t="inlineStr">
        <is>
          <t>医疗</t>
        </is>
      </c>
      <c r="D35" s="7" t="n">
        <v>462.3</v>
      </c>
      <c r="F35" s="7" t="n">
        <v>497.5</v>
      </c>
      <c r="H35" s="7" t="n">
        <v>1450.8</v>
      </c>
      <c r="J35" s="7" t="n">
        <v>961.1</v>
      </c>
      <c r="L35" s="7" t="n">
        <v>1130</v>
      </c>
      <c r="N35" s="7" t="n">
        <v>1424</v>
      </c>
      <c r="P35" s="7" t="n">
        <v>1626.1</v>
      </c>
      <c r="R35" s="7" t="n">
        <v>1473.4</v>
      </c>
      <c r="T35" s="7" t="n">
        <v>1371</v>
      </c>
      <c r="V35" s="7" t="n">
        <v>1293.2</v>
      </c>
      <c r="X35" s="7" t="n">
        <v>1025.5</v>
      </c>
      <c r="Z35" s="7" t="n">
        <v>684.7</v>
      </c>
      <c r="AB35" s="7" t="n">
        <v>13399.6</v>
      </c>
    </row>
    <row r="36">
      <c r="A36" s="4" t="inlineStr">
        <is>
          <t>工伤</t>
        </is>
      </c>
      <c r="D36" s="7" t="n">
        <v>551</v>
      </c>
      <c r="F36" s="7" t="n">
        <v>785.4</v>
      </c>
      <c r="H36" s="7" t="n">
        <v>1929.6</v>
      </c>
      <c r="J36" s="7" t="n">
        <v>1828.9</v>
      </c>
      <c r="L36" s="7" t="n">
        <v>1323.3</v>
      </c>
      <c r="N36" s="7" t="n">
        <v>3012.6</v>
      </c>
      <c r="P36" s="7" t="n">
        <v>1899.4</v>
      </c>
      <c r="R36" s="7" t="n">
        <v>1618.7</v>
      </c>
      <c r="T36" s="7" t="n">
        <v>2126.5</v>
      </c>
      <c r="V36" s="7" t="n">
        <v>1647.4</v>
      </c>
      <c r="X36" s="7" t="n">
        <v>1363.9</v>
      </c>
      <c r="Z36" s="7" t="n">
        <v>1326</v>
      </c>
      <c r="AB36" s="7" t="n">
        <v>19412.7</v>
      </c>
    </row>
    <row r="37">
      <c r="A37" s="4" t="inlineStr">
        <is>
          <t>失业</t>
        </is>
      </c>
      <c r="D37" s="7" t="n">
        <v>558.4</v>
      </c>
      <c r="F37" s="7" t="n">
        <v>1016.6</v>
      </c>
      <c r="H37" s="7" t="n">
        <v>2870.9</v>
      </c>
      <c r="J37" s="7" t="n">
        <v>2119.9</v>
      </c>
      <c r="L37" s="7" t="n">
        <v>2022.7</v>
      </c>
      <c r="N37" s="7" t="n">
        <v>3996.4</v>
      </c>
      <c r="P37" s="7" t="n">
        <v>2542.4</v>
      </c>
      <c r="R37" s="7" t="n">
        <v>2511.2</v>
      </c>
      <c r="T37" s="7" t="n">
        <v>2290.4</v>
      </c>
      <c r="V37" s="7" t="n">
        <v>1881.2</v>
      </c>
      <c r="X37" s="7" t="n">
        <v>1338</v>
      </c>
      <c r="Z37" s="7" t="n">
        <v>1235</v>
      </c>
      <c r="AB37" s="7" t="n">
        <v>24383.1</v>
      </c>
    </row>
    <row r="38">
      <c r="A38" s="4" t="inlineStr">
        <is>
          <t>生育</t>
        </is>
      </c>
      <c r="D38" s="7" t="n">
        <v>718.9</v>
      </c>
      <c r="F38" s="7" t="n">
        <v>549</v>
      </c>
      <c r="H38" s="7" t="n">
        <v>1934.7</v>
      </c>
      <c r="J38" s="7" t="n">
        <v>1844.6</v>
      </c>
      <c r="L38" s="7" t="n">
        <v>2334.2</v>
      </c>
      <c r="N38" s="7" t="n">
        <v>3745</v>
      </c>
      <c r="P38" s="7" t="n">
        <v>1925.8</v>
      </c>
      <c r="R38" s="7" t="n">
        <v>1551.7</v>
      </c>
      <c r="T38" s="7" t="n">
        <v>2253.3</v>
      </c>
      <c r="V38" s="7" t="n">
        <v>1744.1</v>
      </c>
      <c r="X38" s="7" t="n">
        <v>969.1</v>
      </c>
      <c r="Z38" s="7" t="n">
        <v>981</v>
      </c>
      <c r="AB38" s="7" t="n">
        <v>20551.4</v>
      </c>
    </row>
    <row r="39">
      <c r="A39" s="4" t="inlineStr">
        <is>
          <t>公积金</t>
        </is>
      </c>
      <c r="D39" s="7" t="n">
        <v>692</v>
      </c>
      <c r="F39" s="7" t="n">
        <v>564.3</v>
      </c>
      <c r="H39" s="7" t="n">
        <v>1965.9</v>
      </c>
      <c r="J39" s="7" t="n">
        <v>1361.5</v>
      </c>
      <c r="L39" s="7" t="n">
        <v>1511.1</v>
      </c>
      <c r="N39" s="7" t="n">
        <v>2882.5</v>
      </c>
      <c r="P39" s="7" t="n">
        <v>1512</v>
      </c>
      <c r="R39" s="7" t="n">
        <v>1311</v>
      </c>
      <c r="T39" s="7" t="n">
        <v>2194.2</v>
      </c>
      <c r="V39" s="7" t="n">
        <v>1474.7</v>
      </c>
      <c r="X39" s="7" t="n">
        <v>1289.4</v>
      </c>
      <c r="Z39" s="7" t="n">
        <v>1366.5</v>
      </c>
      <c r="AB39" s="7" t="n">
        <v>18125.1</v>
      </c>
    </row>
    <row r="40">
      <c r="A40" s="4" t="inlineStr">
        <is>
          <t>工会经费</t>
        </is>
      </c>
      <c r="D40" s="7" t="n">
        <v>839.6</v>
      </c>
      <c r="F40" s="7" t="n">
        <v>634.4</v>
      </c>
      <c r="H40" s="7" t="n">
        <v>1833.4</v>
      </c>
      <c r="J40" s="7" t="n">
        <v>1620.6</v>
      </c>
      <c r="L40" s="7" t="n">
        <v>2692.6</v>
      </c>
      <c r="N40" s="7" t="n">
        <v>2853.2</v>
      </c>
      <c r="P40" s="7" t="n">
        <v>3633.2</v>
      </c>
      <c r="R40" s="7" t="n">
        <v>2748.4</v>
      </c>
      <c r="T40" s="7" t="n">
        <v>3579</v>
      </c>
      <c r="V40" s="7" t="n">
        <v>2156.3</v>
      </c>
      <c r="X40" s="7" t="n">
        <v>1534.9</v>
      </c>
      <c r="Z40" s="7" t="n">
        <v>1666.2</v>
      </c>
      <c r="AB40" s="7" t="n">
        <v>25791.8</v>
      </c>
    </row>
    <row r="41">
      <c r="A41" s="4" t="inlineStr">
        <is>
          <t>职工教育经费</t>
        </is>
      </c>
      <c r="D41" s="7" t="n">
        <v>272.1</v>
      </c>
      <c r="F41" s="7" t="n">
        <v>255.5</v>
      </c>
      <c r="H41" s="7" t="n">
        <v>1051.9</v>
      </c>
      <c r="J41" s="7" t="n">
        <v>705.4</v>
      </c>
      <c r="L41" s="7" t="n">
        <v>625.7</v>
      </c>
      <c r="N41" s="7" t="n">
        <v>1380.1</v>
      </c>
      <c r="P41" s="7" t="n">
        <v>964.9</v>
      </c>
      <c r="R41" s="7" t="n">
        <v>735.8</v>
      </c>
      <c r="T41" s="7" t="n">
        <v>1006.9</v>
      </c>
      <c r="V41" s="7" t="n">
        <v>451.7</v>
      </c>
      <c r="X41" s="7" t="n">
        <v>592.2</v>
      </c>
      <c r="Z41" s="7" t="n">
        <v>441.8</v>
      </c>
      <c r="AB41" s="7" t="n">
        <v>8484</v>
      </c>
    </row>
    <row r="42">
      <c r="A42" s="4" t="inlineStr">
        <is>
          <t>福利费</t>
        </is>
      </c>
      <c r="D42" s="7" t="n">
        <v>3852</v>
      </c>
      <c r="F42" s="7" t="n">
        <v>4847</v>
      </c>
      <c r="H42" s="7" t="n">
        <v>13364.6</v>
      </c>
      <c r="J42" s="7" t="n">
        <v>12095.2</v>
      </c>
      <c r="L42" s="7" t="n">
        <v>10531.7</v>
      </c>
      <c r="N42" s="7" t="n">
        <v>18820.7</v>
      </c>
      <c r="P42" s="7" t="n">
        <v>15506</v>
      </c>
      <c r="R42" s="7" t="n">
        <v>11387.6</v>
      </c>
      <c r="T42" s="7" t="n">
        <v>13479.5</v>
      </c>
      <c r="V42" s="7" t="n">
        <v>10133.9</v>
      </c>
      <c r="X42" s="7" t="n">
        <v>7723.4</v>
      </c>
      <c r="Z42" s="7" t="n">
        <v>7442.7</v>
      </c>
      <c r="AB42" s="7" t="n">
        <v>129184.3</v>
      </c>
    </row>
    <row r="43">
      <c r="A43" s="4" t="inlineStr">
        <is>
          <t>职工房租</t>
        </is>
      </c>
      <c r="D43" s="7" t="n">
        <v>1009.9</v>
      </c>
      <c r="F43" s="7" t="n">
        <v>699.9</v>
      </c>
      <c r="H43" s="7" t="n">
        <v>3469.1</v>
      </c>
      <c r="J43" s="7" t="n">
        <v>2807.8</v>
      </c>
      <c r="L43" s="7" t="n">
        <v>2155.7</v>
      </c>
      <c r="N43" s="7" t="n">
        <v>4419.5</v>
      </c>
      <c r="P43" s="7" t="n">
        <v>2416.1</v>
      </c>
      <c r="R43" s="7" t="n">
        <v>3020.8</v>
      </c>
      <c r="T43" s="7" t="n">
        <v>2476</v>
      </c>
      <c r="V43" s="7" t="n">
        <v>2217.6</v>
      </c>
      <c r="X43" s="7" t="n">
        <v>1908.2</v>
      </c>
      <c r="Z43" s="7" t="n">
        <v>1364.2</v>
      </c>
      <c r="AB43" s="7" t="n">
        <v>27964.8</v>
      </c>
    </row>
    <row r="44">
      <c r="A44" s="4" t="inlineStr">
        <is>
          <t>水电物业费</t>
        </is>
      </c>
      <c r="D44" s="7" t="n">
        <v>508.3</v>
      </c>
      <c r="F44" s="7" t="n">
        <v>460</v>
      </c>
      <c r="H44" s="7" t="n">
        <v>1886.9</v>
      </c>
      <c r="J44" s="7" t="n">
        <v>1782.5</v>
      </c>
      <c r="L44" s="7" t="n">
        <v>1119.2</v>
      </c>
      <c r="N44" s="7" t="n">
        <v>1926</v>
      </c>
      <c r="P44" s="7" t="n">
        <v>1910.9</v>
      </c>
      <c r="R44" s="7" t="n">
        <v>1488.7</v>
      </c>
      <c r="T44" s="7" t="n">
        <v>1992.7</v>
      </c>
      <c r="V44" s="7" t="n">
        <v>1558.4</v>
      </c>
      <c r="X44" s="7" t="n">
        <v>1079.3</v>
      </c>
      <c r="Z44" s="7" t="n">
        <v>1293.4</v>
      </c>
      <c r="AB44" s="7" t="n">
        <v>17006.3</v>
      </c>
    </row>
    <row r="45">
      <c r="A45" s="4" t="inlineStr">
        <is>
          <t>员工餐</t>
        </is>
      </c>
      <c r="D45" s="7" t="n">
        <v>566.9</v>
      </c>
      <c r="F45" s="7" t="n">
        <v>971.1</v>
      </c>
      <c r="H45" s="7" t="n">
        <v>1802.1</v>
      </c>
      <c r="J45" s="7" t="n">
        <v>1840.8</v>
      </c>
      <c r="L45" s="7" t="n">
        <v>2018.6</v>
      </c>
      <c r="N45" s="7" t="n">
        <v>3426.7</v>
      </c>
      <c r="P45" s="7" t="n">
        <v>3035.9</v>
      </c>
      <c r="R45" s="7" t="n">
        <v>1443.2</v>
      </c>
      <c r="T45" s="7" t="n">
        <v>2168.2</v>
      </c>
      <c r="V45" s="7" t="n">
        <v>1237.4</v>
      </c>
      <c r="X45" s="7" t="n">
        <v>1157.2</v>
      </c>
      <c r="Z45" s="7" t="n">
        <v>1258.5</v>
      </c>
      <c r="AB45" s="7" t="n">
        <v>20926.6</v>
      </c>
    </row>
    <row r="46">
      <c r="A46" s="4" t="inlineStr">
        <is>
          <t>节日礼品</t>
        </is>
      </c>
      <c r="D46" s="7" t="n">
        <v>65.5</v>
      </c>
      <c r="F46" s="7" t="n">
        <v>88.2</v>
      </c>
      <c r="H46" s="7" t="n">
        <v>176.9</v>
      </c>
      <c r="J46" s="7" t="n">
        <v>182</v>
      </c>
      <c r="L46" s="7" t="n">
        <v>217.2</v>
      </c>
      <c r="N46" s="7" t="n">
        <v>232.3</v>
      </c>
      <c r="P46" s="7" t="n">
        <v>260.1</v>
      </c>
      <c r="R46" s="7" t="n">
        <v>137.4</v>
      </c>
      <c r="T46" s="7" t="n">
        <v>231.2</v>
      </c>
      <c r="V46" s="7" t="n">
        <v>125</v>
      </c>
      <c r="X46" s="7" t="n">
        <v>106.4</v>
      </c>
      <c r="Z46" s="7" t="n">
        <v>117.2</v>
      </c>
      <c r="AB46" s="7" t="n">
        <v>1939.4</v>
      </c>
    </row>
    <row r="47">
      <c r="A47" s="4" t="inlineStr">
        <is>
          <t>生日礼品</t>
        </is>
      </c>
      <c r="D47" s="7" t="n">
        <v>449.8</v>
      </c>
      <c r="F47" s="7" t="n">
        <v>607.3</v>
      </c>
      <c r="H47" s="7" t="n">
        <v>1095.9</v>
      </c>
      <c r="J47" s="7" t="n">
        <v>1623.4</v>
      </c>
      <c r="L47" s="7" t="n">
        <v>1446.6</v>
      </c>
      <c r="N47" s="7" t="n">
        <v>2010.8</v>
      </c>
      <c r="P47" s="7" t="n">
        <v>1656.4</v>
      </c>
      <c r="R47" s="7" t="n">
        <v>1093.8</v>
      </c>
      <c r="T47" s="7" t="n">
        <v>2184.8</v>
      </c>
      <c r="V47" s="7" t="n">
        <v>1156.9</v>
      </c>
      <c r="X47" s="7" t="n">
        <v>814.8</v>
      </c>
      <c r="Z47" s="7" t="n">
        <v>785.4</v>
      </c>
      <c r="AB47" s="7" t="n">
        <v>14925.9</v>
      </c>
    </row>
    <row r="48">
      <c r="A48" s="4" t="inlineStr">
        <is>
          <t>体检</t>
        </is>
      </c>
      <c r="D48" s="7" t="n">
        <v>728</v>
      </c>
      <c r="F48" s="7" t="n">
        <v>1277.6</v>
      </c>
      <c r="H48" s="7" t="n">
        <v>3336.1</v>
      </c>
      <c r="J48" s="7" t="n">
        <v>2598.6</v>
      </c>
      <c r="L48" s="7" t="n">
        <v>2476.5</v>
      </c>
      <c r="N48" s="7" t="n">
        <v>4403.3</v>
      </c>
      <c r="P48" s="7" t="n">
        <v>3900.9</v>
      </c>
      <c r="R48" s="7" t="n">
        <v>2847</v>
      </c>
      <c r="T48" s="7" t="n">
        <v>2735.5</v>
      </c>
      <c r="V48" s="7" t="n">
        <v>2450.2</v>
      </c>
      <c r="X48" s="7" t="n">
        <v>1675.4</v>
      </c>
      <c r="Z48" s="7" t="n">
        <v>1457.7</v>
      </c>
      <c r="AB48" s="7" t="n">
        <v>29886.8</v>
      </c>
    </row>
    <row r="49">
      <c r="A49" s="4" t="inlineStr">
        <is>
          <t>其他福利支出</t>
        </is>
      </c>
      <c r="D49" s="7" t="n">
        <v>523.6</v>
      </c>
      <c r="F49" s="7" t="n">
        <v>742.9</v>
      </c>
      <c r="H49" s="7" t="n">
        <v>1597.6</v>
      </c>
      <c r="J49" s="7" t="n">
        <v>1260.1</v>
      </c>
      <c r="L49" s="7" t="n">
        <v>1097.9</v>
      </c>
      <c r="N49" s="7" t="n">
        <v>2402.1</v>
      </c>
      <c r="P49" s="7" t="n">
        <v>2325.7</v>
      </c>
      <c r="R49" s="7" t="n">
        <v>1356.7</v>
      </c>
      <c r="T49" s="7" t="n">
        <v>1691.1</v>
      </c>
      <c r="V49" s="7" t="n">
        <v>1388.4</v>
      </c>
      <c r="X49" s="7" t="n">
        <v>982.1</v>
      </c>
      <c r="Z49" s="7" t="n">
        <v>1166.3</v>
      </c>
      <c r="AB49" s="7" t="n">
        <v>16534.5</v>
      </c>
    </row>
    <row r="50">
      <c r="A50" s="4" t="inlineStr">
        <is>
          <t>招聘费</t>
        </is>
      </c>
      <c r="D50" s="7" t="n">
        <v>128.5</v>
      </c>
      <c r="F50" s="7" t="n">
        <v>218.2</v>
      </c>
      <c r="H50" s="7" t="n">
        <v>554.3</v>
      </c>
      <c r="J50" s="7" t="n">
        <v>499</v>
      </c>
      <c r="L50" s="7" t="n">
        <v>407.4</v>
      </c>
      <c r="N50" s="7" t="n">
        <v>918.7</v>
      </c>
      <c r="P50" s="7" t="n">
        <v>496.6</v>
      </c>
      <c r="R50" s="7" t="n">
        <v>367.3</v>
      </c>
      <c r="T50" s="7" t="n">
        <v>524</v>
      </c>
      <c r="V50" s="7" t="n">
        <v>385.6</v>
      </c>
      <c r="X50" s="7" t="n">
        <v>316.2</v>
      </c>
      <c r="Z50" s="7" t="n">
        <v>313.5</v>
      </c>
      <c r="AB50" s="7" t="n">
        <v>5129.3</v>
      </c>
    </row>
    <row r="51">
      <c r="A51" s="4" t="inlineStr">
        <is>
          <t>办公费</t>
        </is>
      </c>
      <c r="D51" s="7" t="n">
        <v>4793.8</v>
      </c>
      <c r="F51" s="7" t="n">
        <v>4038.6</v>
      </c>
      <c r="H51" s="7" t="n">
        <v>12923.3</v>
      </c>
      <c r="J51" s="7" t="n">
        <v>10767.7</v>
      </c>
      <c r="L51" s="7" t="n">
        <v>10934.4</v>
      </c>
      <c r="N51" s="7" t="n">
        <v>17330.6</v>
      </c>
      <c r="P51" s="7" t="n">
        <v>18858.4</v>
      </c>
      <c r="R51" s="7" t="n">
        <v>15014.6</v>
      </c>
      <c r="T51" s="7" t="n">
        <v>16501.2</v>
      </c>
      <c r="V51" s="7" t="n">
        <v>9376.200000000001</v>
      </c>
      <c r="X51" s="7" t="n">
        <v>8019.7</v>
      </c>
      <c r="Z51" s="7" t="n">
        <v>10315.7</v>
      </c>
      <c r="AB51" s="7" t="n">
        <v>138874.2</v>
      </c>
    </row>
    <row r="52">
      <c r="A52" s="4" t="inlineStr">
        <is>
          <t>市内交通费</t>
        </is>
      </c>
      <c r="D52" s="7" t="n">
        <v>127.4</v>
      </c>
      <c r="F52" s="7" t="n">
        <v>118</v>
      </c>
      <c r="H52" s="7" t="n">
        <v>260.3</v>
      </c>
      <c r="J52" s="7" t="n">
        <v>175.3</v>
      </c>
      <c r="L52" s="7" t="n">
        <v>296.1</v>
      </c>
      <c r="N52" s="7" t="n">
        <v>430.8</v>
      </c>
      <c r="P52" s="7" t="n">
        <v>305.8</v>
      </c>
      <c r="R52" s="7" t="n">
        <v>254.2</v>
      </c>
      <c r="T52" s="7" t="n">
        <v>347.9</v>
      </c>
      <c r="V52" s="7" t="n">
        <v>236.2</v>
      </c>
      <c r="X52" s="7" t="n">
        <v>146.1</v>
      </c>
      <c r="Z52" s="7" t="n">
        <v>230.6</v>
      </c>
      <c r="AB52" s="7" t="n">
        <v>2928.7</v>
      </c>
    </row>
    <row r="53">
      <c r="A53" s="4" t="inlineStr">
        <is>
          <t>差旅费</t>
        </is>
      </c>
      <c r="D53" s="7" t="n">
        <v>11596.8</v>
      </c>
      <c r="F53" s="7" t="n">
        <v>7196.8</v>
      </c>
      <c r="H53" s="7" t="n">
        <v>32897.2</v>
      </c>
      <c r="J53" s="7" t="n">
        <v>21201.2</v>
      </c>
      <c r="L53" s="7" t="n">
        <v>20596.3</v>
      </c>
      <c r="N53" s="7" t="n">
        <v>48834.9</v>
      </c>
      <c r="P53" s="7" t="n">
        <v>27839.3</v>
      </c>
      <c r="R53" s="7" t="n">
        <v>29773.2</v>
      </c>
      <c r="T53" s="7" t="n">
        <v>31443.1</v>
      </c>
      <c r="V53" s="7" t="n">
        <v>22348.9</v>
      </c>
      <c r="X53" s="7" t="n">
        <v>18716.2</v>
      </c>
      <c r="Z53" s="7" t="n">
        <v>16062.4</v>
      </c>
      <c r="AB53" s="7" t="n">
        <v>288506.3</v>
      </c>
    </row>
    <row r="54">
      <c r="A54" s="4" t="inlineStr">
        <is>
          <t>交通费</t>
        </is>
      </c>
      <c r="D54" s="7" t="n">
        <v>69.8</v>
      </c>
      <c r="F54" s="7" t="n">
        <v>89</v>
      </c>
      <c r="H54" s="7" t="n">
        <v>157.2</v>
      </c>
      <c r="J54" s="7" t="n">
        <v>159.1</v>
      </c>
      <c r="L54" s="7" t="n">
        <v>241.6</v>
      </c>
      <c r="N54" s="7" t="n">
        <v>286.7</v>
      </c>
      <c r="P54" s="7" t="n">
        <v>230.9</v>
      </c>
      <c r="R54" s="7" t="n">
        <v>150.2</v>
      </c>
      <c r="T54" s="7" t="n">
        <v>210.6</v>
      </c>
      <c r="V54" s="7" t="n">
        <v>194.1</v>
      </c>
      <c r="X54" s="7" t="n">
        <v>128.3</v>
      </c>
      <c r="Z54" s="7" t="n">
        <v>116.7</v>
      </c>
      <c r="AB54" s="7" t="n">
        <v>2034.2</v>
      </c>
    </row>
    <row r="55">
      <c r="A55" s="4" t="inlineStr">
        <is>
          <t>住宿费</t>
        </is>
      </c>
      <c r="D55" s="7" t="n">
        <v>1016</v>
      </c>
      <c r="F55" s="7" t="n">
        <v>1062.2</v>
      </c>
      <c r="H55" s="7" t="n">
        <v>2757.5</v>
      </c>
      <c r="J55" s="7" t="n">
        <v>2887.4</v>
      </c>
      <c r="L55" s="7" t="n">
        <v>3125.6</v>
      </c>
      <c r="N55" s="7" t="n">
        <v>4426.9</v>
      </c>
      <c r="P55" s="7" t="n">
        <v>3999.2</v>
      </c>
      <c r="R55" s="7" t="n">
        <v>2156.1</v>
      </c>
      <c r="T55" s="7" t="n">
        <v>4002.2</v>
      </c>
      <c r="V55" s="7" t="n">
        <v>2603.8</v>
      </c>
      <c r="X55" s="7" t="n">
        <v>2184.7</v>
      </c>
      <c r="Z55" s="7" t="n">
        <v>2215.1</v>
      </c>
      <c r="AB55" s="7" t="n">
        <v>32436.7</v>
      </c>
    </row>
    <row r="56">
      <c r="A56" s="4" t="inlineStr">
        <is>
          <t>餐补</t>
        </is>
      </c>
      <c r="D56" s="7" t="n">
        <v>638.5</v>
      </c>
      <c r="F56" s="7" t="n">
        <v>665.8</v>
      </c>
      <c r="H56" s="7" t="n">
        <v>1106.4</v>
      </c>
      <c r="J56" s="7" t="n">
        <v>1474.8</v>
      </c>
      <c r="L56" s="7" t="n">
        <v>1330.1</v>
      </c>
      <c r="N56" s="7" t="n">
        <v>1642.4</v>
      </c>
      <c r="P56" s="7" t="n">
        <v>1373.8</v>
      </c>
      <c r="R56" s="7" t="n">
        <v>1509.5</v>
      </c>
      <c r="T56" s="7" t="n">
        <v>1836.8</v>
      </c>
      <c r="V56" s="7" t="n">
        <v>1385.7</v>
      </c>
      <c r="X56" s="7" t="n">
        <v>722.1</v>
      </c>
      <c r="Z56" s="7" t="n">
        <v>1127.8</v>
      </c>
      <c r="AB56" s="7" t="n">
        <v>14813.7</v>
      </c>
    </row>
    <row r="57">
      <c r="A57" s="4" t="inlineStr">
        <is>
          <t>交通补助</t>
        </is>
      </c>
      <c r="D57" s="7" t="n">
        <v>64.5</v>
      </c>
      <c r="F57" s="7" t="n">
        <v>51.5</v>
      </c>
      <c r="H57" s="7" t="n">
        <v>140.2</v>
      </c>
      <c r="J57" s="7" t="n">
        <v>188.4</v>
      </c>
      <c r="L57" s="7" t="n">
        <v>196.8</v>
      </c>
      <c r="N57" s="7" t="n">
        <v>238</v>
      </c>
      <c r="P57" s="7" t="n">
        <v>189.1</v>
      </c>
      <c r="R57" s="7" t="n">
        <v>191.8</v>
      </c>
      <c r="T57" s="7" t="n">
        <v>219.1</v>
      </c>
      <c r="V57" s="7" t="n">
        <v>178.7</v>
      </c>
      <c r="X57" s="7" t="n">
        <v>147.7</v>
      </c>
      <c r="Z57" s="7" t="n">
        <v>115</v>
      </c>
      <c r="AB57" s="7" t="n">
        <v>1920.8</v>
      </c>
    </row>
    <row r="58">
      <c r="A58" s="4" t="inlineStr">
        <is>
          <t>通讯补助</t>
        </is>
      </c>
      <c r="D58" s="7" t="n">
        <v>865.9</v>
      </c>
      <c r="F58" s="7" t="n">
        <v>820.7</v>
      </c>
      <c r="H58" s="7" t="n">
        <v>1954.3</v>
      </c>
      <c r="J58" s="7" t="n">
        <v>1656.4</v>
      </c>
      <c r="L58" s="7" t="n">
        <v>2154.1</v>
      </c>
      <c r="N58" s="7" t="n">
        <v>3530.3</v>
      </c>
      <c r="P58" s="7" t="n">
        <v>2905</v>
      </c>
      <c r="R58" s="7" t="n">
        <v>2309.8</v>
      </c>
      <c r="T58" s="7" t="n">
        <v>2978.8</v>
      </c>
      <c r="V58" s="7" t="n">
        <v>1718.4</v>
      </c>
      <c r="X58" s="7" t="n">
        <v>1299.1</v>
      </c>
      <c r="Z58" s="7" t="n">
        <v>1334.9</v>
      </c>
      <c r="AB58" s="7" t="n">
        <v>23527.7</v>
      </c>
    </row>
    <row r="59">
      <c r="A59" s="4" t="inlineStr">
        <is>
          <t>招待费</t>
        </is>
      </c>
      <c r="D59" s="7" t="n">
        <v>6138.9</v>
      </c>
      <c r="F59" s="7" t="n">
        <v>7674.3</v>
      </c>
      <c r="H59" s="7" t="n">
        <v>17958.8</v>
      </c>
      <c r="J59" s="7" t="n">
        <v>18173.9</v>
      </c>
      <c r="L59" s="7" t="n">
        <v>16271.6</v>
      </c>
      <c r="N59" s="7" t="n">
        <v>26502.9</v>
      </c>
      <c r="P59" s="7" t="n">
        <v>20176.6</v>
      </c>
      <c r="R59" s="7" t="n">
        <v>18332.8</v>
      </c>
      <c r="T59" s="7" t="n">
        <v>24814.4</v>
      </c>
      <c r="V59" s="7" t="n">
        <v>13324.2</v>
      </c>
      <c r="X59" s="7" t="n">
        <v>13903.7</v>
      </c>
      <c r="Z59" s="7" t="n">
        <v>10254.2</v>
      </c>
      <c r="AB59" s="7" t="n">
        <v>193526.3</v>
      </c>
    </row>
    <row r="60">
      <c r="A60" s="4" t="inlineStr">
        <is>
          <t>通讯费</t>
        </is>
      </c>
      <c r="D60" s="7" t="n">
        <v>601</v>
      </c>
      <c r="F60" s="7" t="n">
        <v>930.5</v>
      </c>
      <c r="H60" s="7" t="n">
        <v>2196.2</v>
      </c>
      <c r="J60" s="7" t="n">
        <v>1590.1</v>
      </c>
      <c r="L60" s="7" t="n">
        <v>2636</v>
      </c>
      <c r="N60" s="7" t="n">
        <v>3022</v>
      </c>
      <c r="P60" s="7" t="n">
        <v>2299</v>
      </c>
      <c r="R60" s="7" t="n">
        <v>2429.8</v>
      </c>
      <c r="T60" s="7" t="n">
        <v>3099.6</v>
      </c>
      <c r="V60" s="7" t="n">
        <v>1687.1</v>
      </c>
      <c r="X60" s="7" t="n">
        <v>1710.2</v>
      </c>
      <c r="Z60" s="7" t="n">
        <v>1722.5</v>
      </c>
      <c r="AB60" s="7" t="n">
        <v>23924</v>
      </c>
    </row>
    <row r="61">
      <c r="A61" s="4" t="inlineStr">
        <is>
          <t>网络费</t>
        </is>
      </c>
      <c r="D61" s="7" t="n">
        <v>842.2</v>
      </c>
      <c r="F61" s="7" t="n">
        <v>1286.4</v>
      </c>
      <c r="H61" s="7" t="n">
        <v>3073.1</v>
      </c>
      <c r="J61" s="7" t="n">
        <v>2834.6</v>
      </c>
      <c r="L61" s="7" t="n">
        <v>2295</v>
      </c>
      <c r="N61" s="7" t="n">
        <v>4590.8</v>
      </c>
      <c r="P61" s="7" t="n">
        <v>2554.1</v>
      </c>
      <c r="R61" s="7" t="n">
        <v>1926.4</v>
      </c>
      <c r="T61" s="7" t="n">
        <v>3831.7</v>
      </c>
      <c r="V61" s="7" t="n">
        <v>2227</v>
      </c>
      <c r="X61" s="7" t="n">
        <v>1521.8</v>
      </c>
      <c r="Z61" s="7" t="n">
        <v>1438</v>
      </c>
      <c r="AB61" s="7" t="n">
        <v>28421.1</v>
      </c>
    </row>
    <row r="62">
      <c r="A62" s="4" t="inlineStr">
        <is>
          <t>修理费</t>
        </is>
      </c>
      <c r="D62" s="7" t="n">
        <v>123.4</v>
      </c>
      <c r="F62" s="7" t="n">
        <v>138.2</v>
      </c>
      <c r="H62" s="7" t="n">
        <v>268.5</v>
      </c>
      <c r="J62" s="7" t="n">
        <v>363.5</v>
      </c>
      <c r="L62" s="7" t="n">
        <v>289.8</v>
      </c>
      <c r="N62" s="7" t="n">
        <v>583.9</v>
      </c>
      <c r="P62" s="7" t="n">
        <v>325.6</v>
      </c>
      <c r="R62" s="7" t="n">
        <v>238.7</v>
      </c>
      <c r="T62" s="7" t="n">
        <v>460.2</v>
      </c>
      <c r="V62" s="7" t="n">
        <v>334.8</v>
      </c>
      <c r="X62" s="7" t="n">
        <v>203.9</v>
      </c>
      <c r="Z62" s="7" t="n">
        <v>168.6</v>
      </c>
      <c r="AB62" s="7" t="n">
        <v>3499.1</v>
      </c>
    </row>
    <row r="63">
      <c r="A63" s="4" t="inlineStr">
        <is>
          <t>车辆费</t>
        </is>
      </c>
      <c r="D63" s="7" t="n">
        <v>33.4</v>
      </c>
      <c r="F63" s="7" t="n">
        <v>37.9</v>
      </c>
      <c r="H63" s="7" t="n">
        <v>113.3</v>
      </c>
      <c r="J63" s="7" t="n">
        <v>92.3</v>
      </c>
      <c r="L63" s="7" t="n">
        <v>111.8</v>
      </c>
      <c r="N63" s="7" t="n">
        <v>181.9</v>
      </c>
      <c r="P63" s="7" t="n">
        <v>130.5</v>
      </c>
      <c r="R63" s="7" t="n">
        <v>112.5</v>
      </c>
      <c r="T63" s="7" t="n">
        <v>146.7</v>
      </c>
      <c r="V63" s="7" t="n">
        <v>63.4</v>
      </c>
      <c r="X63" s="7" t="n">
        <v>54.8</v>
      </c>
      <c r="Z63" s="7" t="n">
        <v>67.59999999999999</v>
      </c>
      <c r="AB63" s="7" t="n">
        <v>1146.1</v>
      </c>
    </row>
    <row r="64">
      <c r="A64" s="4" t="inlineStr">
        <is>
          <t>租赁费</t>
        </is>
      </c>
      <c r="D64" s="7" t="n">
        <v>9352.4</v>
      </c>
      <c r="F64" s="7" t="n">
        <v>7795.3</v>
      </c>
      <c r="H64" s="7" t="n">
        <v>28896.8</v>
      </c>
      <c r="J64" s="7" t="n">
        <v>20704.6</v>
      </c>
      <c r="L64" s="7" t="n">
        <v>16518.2</v>
      </c>
      <c r="N64" s="7" t="n">
        <v>35481.6</v>
      </c>
      <c r="P64" s="7" t="n">
        <v>28255.5</v>
      </c>
      <c r="R64" s="7" t="n">
        <v>16250.6</v>
      </c>
      <c r="T64" s="7" t="n">
        <v>23284</v>
      </c>
      <c r="V64" s="7" t="n">
        <v>15197.6</v>
      </c>
      <c r="X64" s="7" t="n">
        <v>17736.9</v>
      </c>
      <c r="Z64" s="7" t="n">
        <v>15741.9</v>
      </c>
      <c r="AB64" s="7" t="n">
        <v>235215.4</v>
      </c>
    </row>
    <row r="65">
      <c r="A65" s="4" t="inlineStr">
        <is>
          <t>能源费</t>
        </is>
      </c>
      <c r="D65" s="7" t="n">
        <v>1862.9</v>
      </c>
      <c r="F65" s="7" t="n">
        <v>2118.2</v>
      </c>
      <c r="H65" s="7" t="n">
        <v>4214.1</v>
      </c>
      <c r="J65" s="7" t="n">
        <v>4033.5</v>
      </c>
      <c r="L65" s="7" t="n">
        <v>4470.6</v>
      </c>
      <c r="N65" s="7" t="n">
        <v>7438.8</v>
      </c>
      <c r="P65" s="7" t="n">
        <v>6878.1</v>
      </c>
      <c r="R65" s="7" t="n">
        <v>5099.8</v>
      </c>
      <c r="T65" s="7" t="n">
        <v>5981.4</v>
      </c>
      <c r="V65" s="7" t="n">
        <v>4043</v>
      </c>
      <c r="X65" s="7" t="n">
        <v>2902.6</v>
      </c>
      <c r="Z65" s="7" t="n">
        <v>3606.5</v>
      </c>
      <c r="AB65" s="7" t="n">
        <v>52649.5</v>
      </c>
    </row>
    <row r="66">
      <c r="A66" s="4" t="inlineStr">
        <is>
          <t>水费</t>
        </is>
      </c>
      <c r="D66" s="7" t="n">
        <v>362.5</v>
      </c>
      <c r="F66" s="7" t="n">
        <v>478.2</v>
      </c>
      <c r="H66" s="7" t="n">
        <v>1149.6</v>
      </c>
      <c r="J66" s="7" t="n">
        <v>1109.4</v>
      </c>
      <c r="L66" s="7" t="n">
        <v>1029.3</v>
      </c>
      <c r="N66" s="7" t="n">
        <v>2330.8</v>
      </c>
      <c r="P66" s="7" t="n">
        <v>1979.8</v>
      </c>
      <c r="R66" s="7" t="n">
        <v>1545.5</v>
      </c>
      <c r="T66" s="7" t="n">
        <v>1516.6</v>
      </c>
      <c r="V66" s="7" t="n">
        <v>775.4</v>
      </c>
      <c r="X66" s="7" t="n">
        <v>558.1</v>
      </c>
      <c r="Z66" s="7" t="n">
        <v>1033.5</v>
      </c>
      <c r="AB66" s="7" t="n">
        <v>13868.7</v>
      </c>
    </row>
    <row r="67">
      <c r="A67" s="4" t="inlineStr">
        <is>
          <t>电费</t>
        </is>
      </c>
      <c r="D67" s="7" t="n">
        <v>854.7</v>
      </c>
      <c r="F67" s="7" t="n">
        <v>843.1</v>
      </c>
      <c r="H67" s="7" t="n">
        <v>1504.8</v>
      </c>
      <c r="J67" s="7" t="n">
        <v>1650.1</v>
      </c>
      <c r="L67" s="7" t="n">
        <v>1424.9</v>
      </c>
      <c r="N67" s="7" t="n">
        <v>2715.5</v>
      </c>
      <c r="P67" s="7" t="n">
        <v>2981.4</v>
      </c>
      <c r="R67" s="7" t="n">
        <v>2284.6</v>
      </c>
      <c r="T67" s="7" t="n">
        <v>2204.7</v>
      </c>
      <c r="V67" s="7" t="n">
        <v>1711.7</v>
      </c>
      <c r="X67" s="7" t="n">
        <v>1341.5</v>
      </c>
      <c r="Z67" s="7" t="n">
        <v>1280.4</v>
      </c>
      <c r="AB67" s="7" t="n">
        <v>20797.4</v>
      </c>
    </row>
    <row r="68">
      <c r="A68" s="4" t="inlineStr">
        <is>
          <t>燃气费</t>
        </is>
      </c>
      <c r="D68" s="7" t="n">
        <v>178.1</v>
      </c>
      <c r="F68" s="7" t="n">
        <v>285.7</v>
      </c>
      <c r="H68" s="7" t="n">
        <v>600.8</v>
      </c>
      <c r="J68" s="7" t="n">
        <v>582.6</v>
      </c>
      <c r="L68" s="7" t="n">
        <v>672</v>
      </c>
      <c r="N68" s="7" t="n">
        <v>1142.5</v>
      </c>
      <c r="P68" s="7" t="n">
        <v>878.2</v>
      </c>
      <c r="R68" s="7" t="n">
        <v>482</v>
      </c>
      <c r="T68" s="7" t="n">
        <v>628.7</v>
      </c>
      <c r="V68" s="7" t="n">
        <v>609</v>
      </c>
      <c r="X68" s="7" t="n">
        <v>472.9</v>
      </c>
      <c r="Z68" s="7" t="n">
        <v>534.4</v>
      </c>
      <c r="AB68" s="7" t="n">
        <v>7066.9</v>
      </c>
    </row>
    <row r="69">
      <c r="A69" s="4" t="inlineStr">
        <is>
          <t>蒸汽费</t>
        </is>
      </c>
      <c r="D69" s="7" t="n">
        <v>467.6</v>
      </c>
      <c r="F69" s="7" t="n">
        <v>511.2</v>
      </c>
      <c r="H69" s="7" t="n">
        <v>958.9</v>
      </c>
      <c r="J69" s="7" t="n">
        <v>691.4</v>
      </c>
      <c r="L69" s="7" t="n">
        <v>1344.4</v>
      </c>
      <c r="N69" s="7" t="n">
        <v>1250</v>
      </c>
      <c r="P69" s="7" t="n">
        <v>1038.7</v>
      </c>
      <c r="R69" s="7" t="n">
        <v>787.7</v>
      </c>
      <c r="T69" s="7" t="n">
        <v>1631.4</v>
      </c>
      <c r="V69" s="7" t="n">
        <v>946.9</v>
      </c>
      <c r="X69" s="7" t="n">
        <v>530.1</v>
      </c>
      <c r="Z69" s="7" t="n">
        <v>758.2</v>
      </c>
      <c r="AB69" s="7" t="n">
        <v>10916.5</v>
      </c>
    </row>
    <row r="70">
      <c r="A70" s="4" t="inlineStr">
        <is>
          <t>物业费</t>
        </is>
      </c>
      <c r="D70" s="7" t="n">
        <v>87</v>
      </c>
      <c r="F70" s="7" t="n">
        <v>161</v>
      </c>
      <c r="H70" s="7" t="n">
        <v>423.3</v>
      </c>
      <c r="J70" s="7" t="n">
        <v>297.5</v>
      </c>
      <c r="L70" s="7" t="n">
        <v>234.7</v>
      </c>
      <c r="N70" s="7" t="n">
        <v>516.9</v>
      </c>
      <c r="P70" s="7" t="n">
        <v>553.8</v>
      </c>
      <c r="R70" s="7" t="n">
        <v>269.8</v>
      </c>
      <c r="T70" s="7" t="n">
        <v>457.6</v>
      </c>
      <c r="V70" s="7" t="n">
        <v>233</v>
      </c>
      <c r="X70" s="7" t="n">
        <v>193</v>
      </c>
      <c r="Z70" s="7" t="n">
        <v>288.1</v>
      </c>
      <c r="AB70" s="7" t="n">
        <v>3715.7</v>
      </c>
    </row>
    <row r="71">
      <c r="A71" s="4" t="inlineStr">
        <is>
          <t>劳动保护费</t>
        </is>
      </c>
      <c r="D71" s="7" t="n">
        <v>527.1</v>
      </c>
      <c r="F71" s="7" t="n">
        <v>744.2</v>
      </c>
      <c r="H71" s="7" t="n">
        <v>1973.3</v>
      </c>
      <c r="J71" s="7" t="n">
        <v>1288.3</v>
      </c>
      <c r="L71" s="7" t="n">
        <v>2132.2</v>
      </c>
      <c r="N71" s="7" t="n">
        <v>3011</v>
      </c>
      <c r="P71" s="7" t="n">
        <v>2442.9</v>
      </c>
      <c r="R71" s="7" t="n">
        <v>1610.4</v>
      </c>
      <c r="T71" s="7" t="n">
        <v>1621.2</v>
      </c>
      <c r="V71" s="7" t="n">
        <v>1644.2</v>
      </c>
      <c r="X71" s="7" t="n">
        <v>1056.1</v>
      </c>
      <c r="Z71" s="7" t="n">
        <v>1260.1</v>
      </c>
      <c r="AB71" s="7" t="n">
        <v>19311</v>
      </c>
    </row>
    <row r="72">
      <c r="A72" s="4" t="inlineStr">
        <is>
          <t>顾问费</t>
        </is>
      </c>
      <c r="D72" s="7" t="n">
        <v>703.7</v>
      </c>
      <c r="F72" s="7" t="n">
        <v>852.1</v>
      </c>
      <c r="H72" s="7" t="n">
        <v>1544.5</v>
      </c>
      <c r="J72" s="7" t="n">
        <v>1287.8</v>
      </c>
      <c r="L72" s="7" t="n">
        <v>1968.4</v>
      </c>
      <c r="N72" s="7" t="n">
        <v>2903.7</v>
      </c>
      <c r="P72" s="7" t="n">
        <v>2202.5</v>
      </c>
      <c r="R72" s="7" t="n">
        <v>2341.9</v>
      </c>
      <c r="T72" s="7" t="n">
        <v>2666.5</v>
      </c>
      <c r="V72" s="7" t="n">
        <v>1336.1</v>
      </c>
      <c r="X72" s="7" t="n">
        <v>1178</v>
      </c>
      <c r="Z72" s="7" t="n">
        <v>1479.3</v>
      </c>
      <c r="AB72" s="7" t="n">
        <v>20464.5</v>
      </c>
    </row>
    <row r="73">
      <c r="A73" s="4" t="inlineStr">
        <is>
          <t>快递费</t>
        </is>
      </c>
      <c r="D73" s="7" t="n">
        <v>271.8</v>
      </c>
      <c r="F73" s="7" t="n">
        <v>201.2</v>
      </c>
      <c r="H73" s="7" t="n">
        <v>713.9</v>
      </c>
      <c r="J73" s="7" t="n">
        <v>742.7</v>
      </c>
      <c r="L73" s="7" t="n">
        <v>540.6</v>
      </c>
      <c r="N73" s="7" t="n">
        <v>1370.3</v>
      </c>
      <c r="P73" s="7" t="n">
        <v>1255.2</v>
      </c>
      <c r="R73" s="7" t="n">
        <v>522.6</v>
      </c>
      <c r="T73" s="7" t="n">
        <v>836.4</v>
      </c>
      <c r="V73" s="7" t="n">
        <v>622.1</v>
      </c>
      <c r="X73" s="7" t="n">
        <v>398.7</v>
      </c>
      <c r="Z73" s="7" t="n">
        <v>616.3</v>
      </c>
      <c r="AB73" s="7" t="n">
        <v>8091.8</v>
      </c>
    </row>
    <row r="74">
      <c r="A74" s="4" t="inlineStr">
        <is>
          <t>诉讼费</t>
        </is>
      </c>
      <c r="D74" s="7" t="n">
        <v>323.6</v>
      </c>
      <c r="F74" s="7" t="n">
        <v>262.2</v>
      </c>
      <c r="H74" s="7" t="n">
        <v>942.5</v>
      </c>
      <c r="J74" s="7" t="n">
        <v>665.6</v>
      </c>
      <c r="L74" s="7" t="n">
        <v>742</v>
      </c>
      <c r="N74" s="7" t="n">
        <v>954.2</v>
      </c>
      <c r="P74" s="7" t="n">
        <v>722.2</v>
      </c>
      <c r="R74" s="7" t="n">
        <v>714.3</v>
      </c>
      <c r="T74" s="7" t="n">
        <v>1133.6</v>
      </c>
      <c r="V74" s="7" t="n">
        <v>661.8</v>
      </c>
      <c r="X74" s="7" t="n">
        <v>360.2</v>
      </c>
      <c r="Z74" s="7" t="n">
        <v>479.7</v>
      </c>
      <c r="AB74" s="7" t="n">
        <v>7961.9</v>
      </c>
    </row>
    <row r="75">
      <c r="A75" s="4" t="inlineStr">
        <is>
          <t>会员费</t>
        </is>
      </c>
      <c r="D75" s="7" t="n">
        <v>328.8</v>
      </c>
      <c r="F75" s="7" t="n">
        <v>296.6</v>
      </c>
      <c r="H75" s="7" t="n">
        <v>651.7</v>
      </c>
      <c r="J75" s="7" t="n">
        <v>427.7</v>
      </c>
      <c r="L75" s="7" t="n">
        <v>749.9</v>
      </c>
      <c r="N75" s="7" t="n">
        <v>980.4</v>
      </c>
      <c r="P75" s="7" t="n">
        <v>869.9</v>
      </c>
      <c r="R75" s="7" t="n">
        <v>649</v>
      </c>
      <c r="T75" s="7" t="n">
        <v>1018.8</v>
      </c>
      <c r="V75" s="7" t="n">
        <v>551.7</v>
      </c>
      <c r="X75" s="7" t="n">
        <v>431.9</v>
      </c>
      <c r="Z75" s="7" t="n">
        <v>585.3</v>
      </c>
      <c r="AB75" s="7" t="n">
        <v>7541.7</v>
      </c>
    </row>
    <row r="76">
      <c r="A76" s="4" t="inlineStr">
        <is>
          <t>广告宣传费</t>
        </is>
      </c>
      <c r="D76" s="7" t="n">
        <v>3855.4</v>
      </c>
      <c r="F76" s="7" t="n">
        <v>5206.7</v>
      </c>
      <c r="H76" s="7" t="n">
        <v>16632</v>
      </c>
      <c r="J76" s="7" t="n">
        <v>9727.1</v>
      </c>
      <c r="L76" s="7" t="n">
        <v>16280.2</v>
      </c>
      <c r="N76" s="7" t="n">
        <v>19597.6</v>
      </c>
      <c r="P76" s="7" t="n">
        <v>17511.7</v>
      </c>
      <c r="R76" s="7" t="n">
        <v>14195.6</v>
      </c>
      <c r="T76" s="7" t="n">
        <v>15008.1</v>
      </c>
      <c r="V76" s="7" t="n">
        <v>8117.6</v>
      </c>
      <c r="X76" s="7" t="n">
        <v>9396.299999999999</v>
      </c>
      <c r="Z76" s="7" t="n">
        <v>11556.4</v>
      </c>
      <c r="AB76" s="7" t="n">
        <v>147084.7</v>
      </c>
    </row>
    <row r="77">
      <c r="A77" s="4" t="inlineStr">
        <is>
          <t>会务费</t>
        </is>
      </c>
      <c r="D77" s="7" t="n">
        <v>677.7</v>
      </c>
      <c r="F77" s="7" t="n">
        <v>1096.8</v>
      </c>
      <c r="H77" s="7" t="n">
        <v>1925.5</v>
      </c>
      <c r="J77" s="7" t="n">
        <v>1593.8</v>
      </c>
      <c r="L77" s="7" t="n">
        <v>2116.7</v>
      </c>
      <c r="N77" s="7" t="n">
        <v>3356.5</v>
      </c>
      <c r="P77" s="7" t="n">
        <v>2974.6</v>
      </c>
      <c r="R77" s="7" t="n">
        <v>2462.3</v>
      </c>
      <c r="T77" s="7" t="n">
        <v>1983.2</v>
      </c>
      <c r="V77" s="7" t="n">
        <v>2064.7</v>
      </c>
      <c r="X77" s="7" t="n">
        <v>1200.9</v>
      </c>
      <c r="Z77" s="7" t="n">
        <v>1748.6</v>
      </c>
      <c r="AB77" s="7" t="n">
        <v>23201.3</v>
      </c>
    </row>
    <row r="78">
      <c r="A78" s="4" t="inlineStr">
        <is>
          <t>装修费</t>
        </is>
      </c>
      <c r="D78" s="7" t="n">
        <v>87.2</v>
      </c>
      <c r="F78" s="7" t="n">
        <v>113.9</v>
      </c>
      <c r="H78" s="7" t="n">
        <v>210.3</v>
      </c>
      <c r="J78" s="7" t="n">
        <v>225.9</v>
      </c>
      <c r="L78" s="7" t="n">
        <v>263.1</v>
      </c>
      <c r="N78" s="7" t="n">
        <v>422.6</v>
      </c>
      <c r="P78" s="7" t="n">
        <v>364.2</v>
      </c>
      <c r="R78" s="7" t="n">
        <v>309.6</v>
      </c>
      <c r="T78" s="7" t="n">
        <v>215.1</v>
      </c>
      <c r="V78" s="7" t="n">
        <v>176.6</v>
      </c>
      <c r="X78" s="7" t="n">
        <v>169</v>
      </c>
      <c r="Z78" s="7" t="n">
        <v>208.8</v>
      </c>
      <c r="AB78" s="7" t="n">
        <v>2766.3</v>
      </c>
    </row>
    <row r="79">
      <c r="A79" s="4" t="inlineStr">
        <is>
          <t>推广费</t>
        </is>
      </c>
      <c r="D79" s="7" t="n">
        <v>469.6</v>
      </c>
      <c r="F79" s="7" t="n">
        <v>565.1</v>
      </c>
      <c r="H79" s="7" t="n">
        <v>1860.7</v>
      </c>
      <c r="J79" s="7" t="n">
        <v>1431.6</v>
      </c>
      <c r="L79" s="7" t="n">
        <v>1268.1</v>
      </c>
      <c r="N79" s="7" t="n">
        <v>2256.6</v>
      </c>
      <c r="P79" s="7" t="n">
        <v>2263.8</v>
      </c>
      <c r="R79" s="7" t="n">
        <v>1593.2</v>
      </c>
      <c r="T79" s="7" t="n">
        <v>1781</v>
      </c>
      <c r="V79" s="7" t="n">
        <v>1372.6</v>
      </c>
      <c r="X79" s="7" t="n">
        <v>863.9</v>
      </c>
      <c r="Z79" s="7" t="n">
        <v>1203.8</v>
      </c>
      <c r="AB79" s="7" t="n">
        <v>16930</v>
      </c>
    </row>
    <row r="80">
      <c r="A80" s="4" t="inlineStr">
        <is>
          <t>展会费</t>
        </is>
      </c>
      <c r="D80" s="7" t="n">
        <v>1063.4</v>
      </c>
      <c r="F80" s="7" t="n">
        <v>954.6</v>
      </c>
      <c r="H80" s="7" t="n">
        <v>3689.3</v>
      </c>
      <c r="J80" s="7" t="n">
        <v>3075.1</v>
      </c>
      <c r="L80" s="7" t="n">
        <v>3438.1</v>
      </c>
      <c r="N80" s="7" t="n">
        <v>3746.7</v>
      </c>
      <c r="P80" s="7" t="n">
        <v>4209.5</v>
      </c>
      <c r="R80" s="7" t="n">
        <v>2074.5</v>
      </c>
      <c r="T80" s="7" t="n">
        <v>4365.8</v>
      </c>
      <c r="V80" s="7" t="n">
        <v>2109.5</v>
      </c>
      <c r="X80" s="7" t="n">
        <v>1784.8</v>
      </c>
      <c r="Z80" s="7" t="n">
        <v>2072.7</v>
      </c>
      <c r="AB80" s="7" t="n">
        <v>32584</v>
      </c>
    </row>
    <row r="81">
      <c r="A81" s="4" t="inlineStr">
        <is>
          <t>设计费</t>
        </is>
      </c>
      <c r="D81" s="7" t="n">
        <v>790.5</v>
      </c>
      <c r="F81" s="7" t="n">
        <v>500.5</v>
      </c>
      <c r="H81" s="7" t="n">
        <v>2232.5</v>
      </c>
      <c r="J81" s="7" t="n">
        <v>1783.2</v>
      </c>
      <c r="L81" s="7" t="n">
        <v>1976.5</v>
      </c>
      <c r="N81" s="7" t="n">
        <v>2323.9</v>
      </c>
      <c r="P81" s="7" t="n">
        <v>1628.2</v>
      </c>
      <c r="R81" s="7" t="n">
        <v>1646</v>
      </c>
      <c r="T81" s="7" t="n">
        <v>1534.2</v>
      </c>
      <c r="V81" s="7" t="n">
        <v>1035.6</v>
      </c>
      <c r="X81" s="7" t="n">
        <v>1381.8</v>
      </c>
      <c r="Z81" s="7" t="n">
        <v>1194.5</v>
      </c>
      <c r="AB81" s="7" t="n">
        <v>18027.4</v>
      </c>
    </row>
    <row r="82">
      <c r="A82" s="4" t="inlineStr">
        <is>
          <t>折旧费</t>
        </is>
      </c>
      <c r="D82" s="7" t="n">
        <v>4798.8</v>
      </c>
      <c r="F82" s="7" t="n">
        <v>8342.1</v>
      </c>
      <c r="H82" s="7" t="n">
        <v>17135.1</v>
      </c>
      <c r="J82" s="7" t="n">
        <v>11346.1</v>
      </c>
      <c r="L82" s="7" t="n">
        <v>19545.7</v>
      </c>
      <c r="N82" s="7" t="n">
        <v>22064.5</v>
      </c>
      <c r="P82" s="7" t="n">
        <v>19814.9</v>
      </c>
      <c r="R82" s="7" t="n">
        <v>19332.7</v>
      </c>
      <c r="T82" s="7" t="n">
        <v>17692.4</v>
      </c>
      <c r="V82" s="7" t="n">
        <v>18244.5</v>
      </c>
      <c r="X82" s="7" t="n">
        <v>11884.8</v>
      </c>
      <c r="Z82" s="7" t="n">
        <v>15483.1</v>
      </c>
      <c r="AB82" s="7" t="n">
        <v>185684.7</v>
      </c>
    </row>
    <row r="83">
      <c r="A83" s="4" t="inlineStr">
        <is>
          <t>认证费</t>
        </is>
      </c>
      <c r="D83" s="7" t="n">
        <v>371.6</v>
      </c>
      <c r="F83" s="7" t="n">
        <v>285.1</v>
      </c>
      <c r="H83" s="7" t="n">
        <v>899.6</v>
      </c>
      <c r="J83" s="7" t="n">
        <v>635.8</v>
      </c>
      <c r="L83" s="7" t="n">
        <v>777.2</v>
      </c>
      <c r="N83" s="7" t="n">
        <v>1276.2</v>
      </c>
      <c r="P83" s="7" t="n">
        <v>1019.9</v>
      </c>
      <c r="R83" s="7" t="n">
        <v>1124</v>
      </c>
      <c r="T83" s="7" t="n">
        <v>990.6</v>
      </c>
      <c r="V83" s="7" t="n">
        <v>890.2</v>
      </c>
      <c r="X83" s="7" t="n">
        <v>485</v>
      </c>
      <c r="Z83" s="7" t="n">
        <v>722.5</v>
      </c>
      <c r="AB83" s="7" t="n">
        <v>9477.700000000001</v>
      </c>
    </row>
    <row r="84">
      <c r="A84" s="4" t="inlineStr">
        <is>
          <t>样品费</t>
        </is>
      </c>
      <c r="D84" s="7" t="n">
        <v>3983.5</v>
      </c>
      <c r="F84" s="7" t="n">
        <v>2459.6</v>
      </c>
      <c r="H84" s="7" t="n">
        <v>8086.2</v>
      </c>
      <c r="J84" s="7" t="n">
        <v>8148.2</v>
      </c>
      <c r="L84" s="7" t="n">
        <v>11072.3</v>
      </c>
      <c r="N84" s="7" t="n">
        <v>12812.2</v>
      </c>
      <c r="P84" s="7" t="n">
        <v>12482.6</v>
      </c>
      <c r="R84" s="7" t="n">
        <v>7809.3</v>
      </c>
      <c r="T84" s="7" t="n">
        <v>14192.9</v>
      </c>
      <c r="V84" s="7" t="n">
        <v>5732.1</v>
      </c>
      <c r="X84" s="7" t="n">
        <v>6939.1</v>
      </c>
      <c r="Z84" s="7" t="n">
        <v>5930.4</v>
      </c>
      <c r="AB84" s="7" t="n">
        <v>99648.39999999999</v>
      </c>
    </row>
    <row r="85">
      <c r="A85" s="4" t="inlineStr">
        <is>
          <t>劳务费</t>
        </is>
      </c>
      <c r="D85" s="7" t="n">
        <v>176.8</v>
      </c>
      <c r="F85" s="7" t="n">
        <v>244.2</v>
      </c>
      <c r="H85" s="7" t="n">
        <v>601.3</v>
      </c>
      <c r="J85" s="7" t="n">
        <v>665.2</v>
      </c>
      <c r="L85" s="7" t="n">
        <v>423</v>
      </c>
      <c r="N85" s="7" t="n">
        <v>1196.6</v>
      </c>
      <c r="P85" s="7" t="n">
        <v>860.8</v>
      </c>
      <c r="R85" s="7" t="n">
        <v>423.8</v>
      </c>
      <c r="T85" s="7" t="n">
        <v>591.1</v>
      </c>
      <c r="V85" s="7" t="n">
        <v>425.9</v>
      </c>
      <c r="X85" s="7" t="n">
        <v>318.4</v>
      </c>
      <c r="Z85" s="7" t="n">
        <v>403.9</v>
      </c>
      <c r="AB85" s="7" t="n">
        <v>6331</v>
      </c>
    </row>
    <row r="86">
      <c r="A86" s="4" t="inlineStr">
        <is>
          <t>销售佣金</t>
        </is>
      </c>
      <c r="D86" s="7" t="n">
        <v>605.1</v>
      </c>
      <c r="F86" s="7" t="n">
        <v>890.2</v>
      </c>
      <c r="H86" s="7" t="n">
        <v>2274.6</v>
      </c>
      <c r="J86" s="7" t="n">
        <v>1671.1</v>
      </c>
      <c r="L86" s="7" t="n">
        <v>1976.3</v>
      </c>
      <c r="N86" s="7" t="n">
        <v>3729.4</v>
      </c>
      <c r="P86" s="7" t="n">
        <v>2895.2</v>
      </c>
      <c r="R86" s="7" t="n">
        <v>2601.3</v>
      </c>
      <c r="T86" s="7" t="n">
        <v>2850.6</v>
      </c>
      <c r="V86" s="7" t="n">
        <v>1500.9</v>
      </c>
      <c r="X86" s="7" t="n">
        <v>1643.2</v>
      </c>
      <c r="Z86" s="7" t="n">
        <v>1629.4</v>
      </c>
      <c r="AB86" s="7" t="n">
        <v>24267.3</v>
      </c>
    </row>
    <row r="87">
      <c r="A87" s="4" t="inlineStr">
        <is>
          <t>检测费</t>
        </is>
      </c>
      <c r="D87" s="7" t="n">
        <v>1015.3</v>
      </c>
      <c r="F87" s="7" t="n">
        <v>796.1</v>
      </c>
      <c r="H87" s="7" t="n">
        <v>3134</v>
      </c>
      <c r="J87" s="7" t="n">
        <v>2638.1</v>
      </c>
      <c r="L87" s="7" t="n">
        <v>2103.8</v>
      </c>
      <c r="N87" s="7" t="n">
        <v>3403</v>
      </c>
      <c r="P87" s="7" t="n">
        <v>3546</v>
      </c>
      <c r="R87" s="7" t="n">
        <v>2272.6</v>
      </c>
      <c r="T87" s="7" t="n">
        <v>2112</v>
      </c>
      <c r="V87" s="7" t="n">
        <v>1765.4</v>
      </c>
      <c r="X87" s="7" t="n">
        <v>1883</v>
      </c>
      <c r="Z87" s="7" t="n">
        <v>1948.1</v>
      </c>
      <c r="AB87" s="7" t="n">
        <v>26617.4</v>
      </c>
    </row>
    <row r="88">
      <c r="A88" s="4" t="inlineStr">
        <is>
          <t>质量赔偿</t>
        </is>
      </c>
      <c r="D88" s="7" t="n">
        <v>347.1</v>
      </c>
      <c r="F88" s="7" t="n">
        <v>511.1</v>
      </c>
      <c r="H88" s="7" t="n">
        <v>921.9</v>
      </c>
      <c r="J88" s="7" t="n">
        <v>832.6</v>
      </c>
      <c r="L88" s="7" t="n">
        <v>758</v>
      </c>
      <c r="N88" s="7" t="n">
        <v>1500.1</v>
      </c>
      <c r="P88" s="7" t="n">
        <v>1306</v>
      </c>
      <c r="R88" s="7" t="n">
        <v>1051.9</v>
      </c>
      <c r="T88" s="7" t="n">
        <v>1326.5</v>
      </c>
      <c r="V88" s="7" t="n">
        <v>1018.3</v>
      </c>
      <c r="X88" s="7" t="n">
        <v>620.5</v>
      </c>
      <c r="Z88" s="7" t="n">
        <v>911.8</v>
      </c>
      <c r="AB88" s="7" t="n">
        <v>11105.8</v>
      </c>
    </row>
    <row r="89">
      <c r="A89" s="4" t="inlineStr">
        <is>
          <t>保险费</t>
        </is>
      </c>
      <c r="D89" s="7" t="n">
        <v>248</v>
      </c>
      <c r="F89" s="7" t="n">
        <v>191</v>
      </c>
      <c r="H89" s="7" t="n">
        <v>498.5</v>
      </c>
      <c r="J89" s="7" t="n">
        <v>446.7</v>
      </c>
      <c r="L89" s="7" t="n">
        <v>644.2</v>
      </c>
      <c r="N89" s="7" t="n">
        <v>742.4</v>
      </c>
      <c r="P89" s="7" t="n">
        <v>946.2</v>
      </c>
      <c r="R89" s="7" t="n">
        <v>511.4</v>
      </c>
      <c r="T89" s="7" t="n">
        <v>732.6</v>
      </c>
      <c r="V89" s="7" t="n">
        <v>448.3</v>
      </c>
      <c r="X89" s="7" t="n">
        <v>297.1</v>
      </c>
      <c r="Z89" s="7" t="n">
        <v>388.3</v>
      </c>
      <c r="AB89" s="7" t="n">
        <v>6094.7</v>
      </c>
    </row>
    <row r="90">
      <c r="A90" s="4" t="inlineStr">
        <is>
          <t>清洁费</t>
        </is>
      </c>
      <c r="D90" s="7" t="n">
        <v>516.4</v>
      </c>
      <c r="F90" s="7" t="n">
        <v>516.7</v>
      </c>
      <c r="H90" s="7" t="n">
        <v>1333.4</v>
      </c>
      <c r="J90" s="7" t="n">
        <v>1124.7</v>
      </c>
      <c r="L90" s="7" t="n">
        <v>1110.3</v>
      </c>
      <c r="N90" s="7" t="n">
        <v>2685.6</v>
      </c>
      <c r="P90" s="7" t="n">
        <v>2212.1</v>
      </c>
      <c r="R90" s="7" t="n">
        <v>1373.5</v>
      </c>
      <c r="T90" s="7" t="n">
        <v>1800</v>
      </c>
      <c r="V90" s="7" t="n">
        <v>819.2</v>
      </c>
      <c r="X90" s="7" t="n">
        <v>933.8</v>
      </c>
      <c r="Z90" s="7" t="n">
        <v>1084.2</v>
      </c>
      <c r="AB90" s="7" t="n">
        <v>15509.9</v>
      </c>
    </row>
    <row r="91">
      <c r="A91" s="4" t="inlineStr">
        <is>
          <t>低值易耗品</t>
        </is>
      </c>
      <c r="D91" s="7" t="n">
        <v>308.4</v>
      </c>
      <c r="F91" s="7" t="n">
        <v>296.9</v>
      </c>
      <c r="H91" s="7" t="n">
        <v>868.5</v>
      </c>
      <c r="J91" s="7" t="n">
        <v>665.5</v>
      </c>
      <c r="L91" s="7" t="n">
        <v>573.8</v>
      </c>
      <c r="N91" s="7" t="n">
        <v>1302.9</v>
      </c>
      <c r="P91" s="7" t="n">
        <v>781.7</v>
      </c>
      <c r="R91" s="7" t="n">
        <v>582.4</v>
      </c>
      <c r="T91" s="7" t="n">
        <v>1123.5</v>
      </c>
      <c r="V91" s="7" t="n">
        <v>550.6</v>
      </c>
      <c r="X91" s="7" t="n">
        <v>484.7</v>
      </c>
      <c r="Z91" s="7" t="n">
        <v>452.5</v>
      </c>
      <c r="AB91" s="7" t="n">
        <v>7991.4</v>
      </c>
    </row>
    <row r="92">
      <c r="A92" s="4" t="inlineStr">
        <is>
          <t>物料消耗</t>
        </is>
      </c>
      <c r="D92" s="7" t="n">
        <v>531.9</v>
      </c>
      <c r="F92" s="7" t="n">
        <v>693</v>
      </c>
      <c r="H92" s="7" t="n">
        <v>1927.3</v>
      </c>
      <c r="J92" s="7" t="n">
        <v>1223</v>
      </c>
      <c r="L92" s="7" t="n">
        <v>1116.3</v>
      </c>
      <c r="N92" s="7" t="n">
        <v>3100.6</v>
      </c>
      <c r="P92" s="7" t="n">
        <v>1451.6</v>
      </c>
      <c r="R92" s="7" t="n">
        <v>1217.3</v>
      </c>
      <c r="T92" s="7" t="n">
        <v>1655</v>
      </c>
      <c r="V92" s="7" t="n">
        <v>1234.9</v>
      </c>
      <c r="X92" s="7" t="n">
        <v>1147.1</v>
      </c>
      <c r="Z92" s="7" t="n">
        <v>776.9</v>
      </c>
      <c r="AB92" s="7" t="n">
        <v>16074.9</v>
      </c>
    </row>
    <row r="93">
      <c r="A93" s="4" t="inlineStr">
        <is>
          <t>盘盈盘亏</t>
        </is>
      </c>
      <c r="D93" s="7" t="n">
        <v>432.2</v>
      </c>
      <c r="F93" s="7" t="n">
        <v>639.9</v>
      </c>
      <c r="H93" s="7" t="n">
        <v>1620.5</v>
      </c>
      <c r="J93" s="7" t="n">
        <v>1354.8</v>
      </c>
      <c r="L93" s="7" t="n">
        <v>1349.4</v>
      </c>
      <c r="N93" s="7" t="n">
        <v>2285.8</v>
      </c>
      <c r="P93" s="7" t="n">
        <v>1670.7</v>
      </c>
      <c r="R93" s="7" t="n">
        <v>1614.6</v>
      </c>
      <c r="T93" s="7" t="n">
        <v>1632.6</v>
      </c>
      <c r="V93" s="7" t="n">
        <v>847.5</v>
      </c>
      <c r="X93" s="7" t="n">
        <v>1104.3</v>
      </c>
      <c r="Z93" s="7" t="n">
        <v>837.5</v>
      </c>
      <c r="AB93" s="7" t="n">
        <v>15389.8</v>
      </c>
    </row>
    <row r="94">
      <c r="A94" s="4" t="inlineStr">
        <is>
          <t>平台服务费</t>
        </is>
      </c>
      <c r="D94" s="7" t="n">
        <v>865.1</v>
      </c>
      <c r="F94" s="7" t="n">
        <v>780.6</v>
      </c>
      <c r="H94" s="7" t="n">
        <v>2493.9</v>
      </c>
      <c r="J94" s="7" t="n">
        <v>1143.1</v>
      </c>
      <c r="L94" s="7" t="n">
        <v>1865.9</v>
      </c>
      <c r="N94" s="7" t="n">
        <v>2032.9</v>
      </c>
      <c r="P94" s="7" t="n">
        <v>2280.6</v>
      </c>
      <c r="R94" s="7" t="n">
        <v>1615.4</v>
      </c>
      <c r="T94" s="7" t="n">
        <v>2951</v>
      </c>
      <c r="V94" s="7" t="n">
        <v>1146.5</v>
      </c>
      <c r="X94" s="7" t="n">
        <v>862.8</v>
      </c>
      <c r="Z94" s="7" t="n">
        <v>1018.6</v>
      </c>
      <c r="AB94" s="7" t="n">
        <v>19056.4</v>
      </c>
    </row>
    <row r="95">
      <c r="A95" s="4" t="inlineStr">
        <is>
          <t>无形资产摊销</t>
        </is>
      </c>
      <c r="D95" s="7" t="n">
        <v>532.8</v>
      </c>
      <c r="F95" s="7" t="n">
        <v>1009.3</v>
      </c>
      <c r="H95" s="7" t="n">
        <v>1525.3</v>
      </c>
      <c r="J95" s="7" t="n">
        <v>1448.3</v>
      </c>
      <c r="L95" s="7" t="n">
        <v>2049</v>
      </c>
      <c r="N95" s="7" t="n">
        <v>2761</v>
      </c>
      <c r="P95" s="7" t="n">
        <v>2380.9</v>
      </c>
      <c r="R95" s="7" t="n">
        <v>2423.1</v>
      </c>
      <c r="T95" s="7" t="n">
        <v>1959.6</v>
      </c>
      <c r="V95" s="7" t="n">
        <v>1608.1</v>
      </c>
      <c r="X95" s="7" t="n">
        <v>1125.4</v>
      </c>
      <c r="Z95" s="7" t="n">
        <v>1593</v>
      </c>
      <c r="AB95" s="7" t="n">
        <v>20415.8</v>
      </c>
    </row>
    <row r="96">
      <c r="A96" s="4" t="inlineStr">
        <is>
          <t>研发材料</t>
        </is>
      </c>
      <c r="D96" s="7" t="n">
        <v>613.6</v>
      </c>
      <c r="F96" s="7" t="n">
        <v>626.8</v>
      </c>
      <c r="H96" s="7" t="n">
        <v>2049.8</v>
      </c>
      <c r="J96" s="7" t="n">
        <v>2092.6</v>
      </c>
      <c r="L96" s="7" t="n">
        <v>2200.1</v>
      </c>
      <c r="N96" s="7" t="n">
        <v>2439.9</v>
      </c>
      <c r="P96" s="7" t="n">
        <v>2986.3</v>
      </c>
      <c r="R96" s="7" t="n">
        <v>2154.6</v>
      </c>
      <c r="T96" s="7" t="n">
        <v>1833.7</v>
      </c>
      <c r="V96" s="7" t="n">
        <v>1244.7</v>
      </c>
      <c r="X96" s="7" t="n">
        <v>1382.4</v>
      </c>
      <c r="Z96" s="7" t="n">
        <v>1446.8</v>
      </c>
      <c r="AB96" s="7" t="n">
        <v>21071.3</v>
      </c>
    </row>
    <row r="97">
      <c r="A97" s="4" t="inlineStr">
        <is>
          <t>项目名称</t>
        </is>
      </c>
      <c r="D97" s="7" t="n">
        <v>364.8</v>
      </c>
      <c r="F97" s="7" t="n">
        <v>288.8</v>
      </c>
      <c r="H97" s="7" t="n">
        <v>682.7</v>
      </c>
      <c r="J97" s="7" t="n">
        <v>687.2</v>
      </c>
      <c r="L97" s="7" t="n">
        <v>668.3</v>
      </c>
      <c r="N97" s="7" t="n">
        <v>1264.5</v>
      </c>
      <c r="P97" s="7" t="n">
        <v>1247.2</v>
      </c>
      <c r="R97" s="7" t="n">
        <v>720.1</v>
      </c>
      <c r="T97" s="7" t="n">
        <v>798.3</v>
      </c>
      <c r="V97" s="7" t="n">
        <v>713</v>
      </c>
      <c r="X97" s="7" t="n">
        <v>395.9</v>
      </c>
      <c r="Z97" s="7" t="n">
        <v>413.2</v>
      </c>
      <c r="AB97" s="7" t="n">
        <v>8244</v>
      </c>
    </row>
    <row r="98">
      <c r="A98" s="4" t="inlineStr">
        <is>
          <t>研发费</t>
        </is>
      </c>
      <c r="D98" s="7" t="n">
        <v>329.6</v>
      </c>
      <c r="F98" s="7" t="n">
        <v>331.2</v>
      </c>
      <c r="H98" s="7" t="n">
        <v>1257.5</v>
      </c>
      <c r="J98" s="7" t="n">
        <v>847.3</v>
      </c>
      <c r="L98" s="7" t="n">
        <v>901.6</v>
      </c>
      <c r="N98" s="7" t="n">
        <v>2065.4</v>
      </c>
      <c r="P98" s="7" t="n">
        <v>1172.3</v>
      </c>
      <c r="R98" s="7" t="n">
        <v>1184.4</v>
      </c>
      <c r="T98" s="7" t="n">
        <v>1676.8</v>
      </c>
      <c r="V98" s="7" t="n">
        <v>1010.2</v>
      </c>
      <c r="X98" s="7" t="n">
        <v>815.8</v>
      </c>
      <c r="Z98" s="7" t="n">
        <v>804.5</v>
      </c>
      <c r="AB98" s="7" t="n">
        <v>12396.6</v>
      </c>
    </row>
    <row r="99">
      <c r="A99" s="4" t="inlineStr">
        <is>
          <t>残保金</t>
        </is>
      </c>
      <c r="D99" s="7" t="n">
        <v>568.5</v>
      </c>
      <c r="F99" s="7" t="n">
        <v>488</v>
      </c>
      <c r="H99" s="7" t="n">
        <v>1969.5</v>
      </c>
      <c r="J99" s="7" t="n">
        <v>1877.6</v>
      </c>
      <c r="L99" s="7" t="n">
        <v>1501.2</v>
      </c>
      <c r="N99" s="7" t="n">
        <v>2386.8</v>
      </c>
      <c r="P99" s="7" t="n">
        <v>2541.5</v>
      </c>
      <c r="R99" s="7" t="n">
        <v>1373.3</v>
      </c>
      <c r="T99" s="7" t="n">
        <v>2038.8</v>
      </c>
      <c r="V99" s="7" t="n">
        <v>990.5</v>
      </c>
      <c r="X99" s="7" t="n">
        <v>1273.3</v>
      </c>
      <c r="Z99" s="7" t="n">
        <v>940.1</v>
      </c>
      <c r="AB99" s="7" t="n">
        <v>17949.1</v>
      </c>
    </row>
    <row r="100">
      <c r="A100" s="4" t="inlineStr">
        <is>
          <t>环保费</t>
        </is>
      </c>
      <c r="D100" s="7" t="n">
        <v>244.7</v>
      </c>
      <c r="F100" s="7" t="n">
        <v>197.8</v>
      </c>
      <c r="H100" s="7" t="n">
        <v>468.5</v>
      </c>
      <c r="J100" s="7" t="n">
        <v>461.1</v>
      </c>
      <c r="L100" s="7" t="n">
        <v>491.9</v>
      </c>
      <c r="N100" s="7" t="n">
        <v>1081.2</v>
      </c>
      <c r="P100" s="7" t="n">
        <v>551.2</v>
      </c>
      <c r="R100" s="7" t="n">
        <v>396</v>
      </c>
      <c r="T100" s="7" t="n">
        <v>595.6</v>
      </c>
      <c r="V100" s="7" t="n">
        <v>433.2</v>
      </c>
      <c r="X100" s="7" t="n">
        <v>447.9</v>
      </c>
      <c r="Z100" s="7" t="n">
        <v>434.2</v>
      </c>
      <c r="AB100" s="7" t="n">
        <v>5803.3</v>
      </c>
    </row>
    <row r="101">
      <c r="A101" s="4" t="inlineStr">
        <is>
          <t>报废损失</t>
        </is>
      </c>
      <c r="D101" s="7" t="n">
        <v>951.9</v>
      </c>
      <c r="F101" s="7" t="n">
        <v>985.5</v>
      </c>
      <c r="H101" s="7" t="n">
        <v>1996.4</v>
      </c>
      <c r="J101" s="7" t="n">
        <v>1486.1</v>
      </c>
      <c r="L101" s="7" t="n">
        <v>2488.4</v>
      </c>
      <c r="N101" s="7" t="n">
        <v>2441.7</v>
      </c>
      <c r="P101" s="7" t="n">
        <v>2455.8</v>
      </c>
      <c r="R101" s="7" t="n">
        <v>1660.2</v>
      </c>
      <c r="T101" s="7" t="n">
        <v>3515.8</v>
      </c>
      <c r="V101" s="7" t="n">
        <v>1964.7</v>
      </c>
      <c r="X101" s="7" t="n">
        <v>1340.4</v>
      </c>
      <c r="Z101" s="7" t="n">
        <v>1111.7</v>
      </c>
      <c r="AB101" s="7" t="n">
        <v>22398.6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137257.6</v>
      </c>
      <c r="D102" s="7" t="n">
        <v>98076.3</v>
      </c>
      <c r="E102" s="7" t="n">
        <v>114337.7</v>
      </c>
      <c r="F102" s="7" t="n">
        <v>53832.9</v>
      </c>
      <c r="G102" s="7" t="n">
        <v>104217.9</v>
      </c>
      <c r="H102" s="7" t="n">
        <v>129089.8</v>
      </c>
      <c r="I102" s="7" t="n">
        <v>115034.7</v>
      </c>
      <c r="J102" s="7" t="n">
        <v>79485.3</v>
      </c>
      <c r="K102" s="7" t="n">
        <v>125421.3</v>
      </c>
      <c r="L102" s="7" t="n">
        <v>205577</v>
      </c>
      <c r="M102" s="7" t="n">
        <v>124498.6</v>
      </c>
      <c r="N102" s="7" t="n">
        <v>121112.2</v>
      </c>
      <c r="O102" s="7" t="n">
        <v>108230.9</v>
      </c>
      <c r="P102" s="7" t="n">
        <v>215395.4</v>
      </c>
      <c r="Q102" s="7" t="n">
        <v>132888.8</v>
      </c>
      <c r="R102" s="7" t="n">
        <v>99485.39999999999</v>
      </c>
      <c r="S102" s="7" t="n">
        <v>136288.7</v>
      </c>
      <c r="T102" s="7" t="n">
        <v>141107.7</v>
      </c>
      <c r="U102" s="7" t="n">
        <v>128634.4</v>
      </c>
      <c r="V102" s="7" t="n">
        <v>137600.4</v>
      </c>
      <c r="W102" s="7" t="n">
        <v>118265.5</v>
      </c>
      <c r="X102" s="7" t="n">
        <v>70735</v>
      </c>
      <c r="Y102" s="7" t="n">
        <v>111312</v>
      </c>
      <c r="Z102" s="7" t="n">
        <v>103135.5</v>
      </c>
      <c r="AA102" s="8" t="n">
        <v>1456388.1</v>
      </c>
      <c r="AB102" s="8" t="n">
        <v>1454632.9</v>
      </c>
    </row>
    <row r="103">
      <c r="A103" s="4" t="inlineStr">
        <is>
          <t>职工薪酬</t>
        </is>
      </c>
      <c r="D103" s="7" t="n">
        <v>52984.3</v>
      </c>
      <c r="F103" s="7" t="n">
        <v>28761.9</v>
      </c>
      <c r="H103" s="7" t="n">
        <v>58965</v>
      </c>
      <c r="J103" s="7" t="n">
        <v>38809.4</v>
      </c>
      <c r="L103" s="7" t="n">
        <v>113555.7</v>
      </c>
      <c r="N103" s="7" t="n">
        <v>62590.3</v>
      </c>
      <c r="P103" s="7" t="n">
        <v>97693.5</v>
      </c>
      <c r="R103" s="7" t="n">
        <v>60311.3</v>
      </c>
      <c r="T103" s="7" t="n">
        <v>58436.5</v>
      </c>
      <c r="V103" s="7" t="n">
        <v>54957</v>
      </c>
      <c r="X103" s="7" t="n">
        <v>38363.1</v>
      </c>
      <c r="Z103" s="7" t="n">
        <v>41836.9</v>
      </c>
      <c r="AB103" s="7" t="n">
        <v>707264.9</v>
      </c>
    </row>
    <row r="104">
      <c r="A104" s="4" t="inlineStr">
        <is>
          <t>工资</t>
        </is>
      </c>
      <c r="D104" s="7" t="n">
        <v>32204.6</v>
      </c>
      <c r="F104" s="7" t="n">
        <v>17605.4</v>
      </c>
      <c r="H104" s="7" t="n">
        <v>28437.6</v>
      </c>
      <c r="J104" s="7" t="n">
        <v>21975.6</v>
      </c>
      <c r="L104" s="7" t="n">
        <v>73363</v>
      </c>
      <c r="N104" s="7" t="n">
        <v>34169.7</v>
      </c>
      <c r="P104" s="7" t="n">
        <v>59433.7</v>
      </c>
      <c r="R104" s="7" t="n">
        <v>36274.7</v>
      </c>
      <c r="T104" s="7" t="n">
        <v>33309.2</v>
      </c>
      <c r="V104" s="7" t="n">
        <v>33247.9</v>
      </c>
      <c r="X104" s="7" t="n">
        <v>24051.5</v>
      </c>
      <c r="Z104" s="7" t="n">
        <v>23646.1</v>
      </c>
      <c r="AB104" s="7" t="n">
        <v>417719</v>
      </c>
    </row>
    <row r="105">
      <c r="A105" s="4" t="inlineStr">
        <is>
          <t>奖金及提成</t>
        </is>
      </c>
      <c r="D105" s="7" t="n">
        <v>8368</v>
      </c>
      <c r="F105" s="7" t="n">
        <v>5290.9</v>
      </c>
      <c r="H105" s="7" t="n">
        <v>14977.8</v>
      </c>
      <c r="J105" s="7" t="n">
        <v>7669.8</v>
      </c>
      <c r="L105" s="7" t="n">
        <v>20145.2</v>
      </c>
      <c r="N105" s="7" t="n">
        <v>12884.2</v>
      </c>
      <c r="P105" s="7" t="n">
        <v>15903.8</v>
      </c>
      <c r="R105" s="7" t="n">
        <v>11251.8</v>
      </c>
      <c r="T105" s="7" t="n">
        <v>12356.6</v>
      </c>
      <c r="V105" s="7" t="n">
        <v>9832.5</v>
      </c>
      <c r="X105" s="7" t="n">
        <v>6162</v>
      </c>
      <c r="Z105" s="7" t="n">
        <v>8820.700000000001</v>
      </c>
      <c r="AB105" s="7" t="n">
        <v>133663.3</v>
      </c>
    </row>
    <row r="106">
      <c r="A106" s="4" t="inlineStr">
        <is>
          <t>社保</t>
        </is>
      </c>
      <c r="D106" s="7" t="n">
        <v>9707</v>
      </c>
      <c r="F106" s="7" t="n">
        <v>4361.8</v>
      </c>
      <c r="H106" s="7" t="n">
        <v>11611.4</v>
      </c>
      <c r="J106" s="7" t="n">
        <v>6919.3</v>
      </c>
      <c r="L106" s="7" t="n">
        <v>13966.7</v>
      </c>
      <c r="N106" s="7" t="n">
        <v>11915.1</v>
      </c>
      <c r="P106" s="7" t="n">
        <v>15913.5</v>
      </c>
      <c r="R106" s="7" t="n">
        <v>9942.299999999999</v>
      </c>
      <c r="T106" s="7" t="n">
        <v>8474.700000000001</v>
      </c>
      <c r="V106" s="7" t="n">
        <v>7957.5</v>
      </c>
      <c r="X106" s="7" t="n">
        <v>6178.9</v>
      </c>
      <c r="Z106" s="7" t="n">
        <v>6551.7</v>
      </c>
      <c r="AB106" s="7" t="n">
        <v>113499.9</v>
      </c>
    </row>
    <row r="107">
      <c r="A107" s="4" t="inlineStr">
        <is>
          <t>养老</t>
        </is>
      </c>
      <c r="D107" s="7" t="n">
        <v>625</v>
      </c>
      <c r="F107" s="7" t="n">
        <v>267.2</v>
      </c>
      <c r="H107" s="7" t="n">
        <v>901.7</v>
      </c>
      <c r="J107" s="7" t="n">
        <v>456.5</v>
      </c>
      <c r="L107" s="7" t="n">
        <v>1249.8</v>
      </c>
      <c r="N107" s="7" t="n">
        <v>865.1</v>
      </c>
      <c r="P107" s="7" t="n">
        <v>1065.6</v>
      </c>
      <c r="R107" s="7" t="n">
        <v>706.7</v>
      </c>
      <c r="T107" s="7" t="n">
        <v>890.4</v>
      </c>
      <c r="V107" s="7" t="n">
        <v>687</v>
      </c>
      <c r="X107" s="7" t="n">
        <v>565.3</v>
      </c>
      <c r="Z107" s="7" t="n">
        <v>846.8</v>
      </c>
      <c r="AB107" s="7" t="n">
        <v>9127.1</v>
      </c>
    </row>
    <row r="108">
      <c r="A108" s="4" t="inlineStr">
        <is>
          <t>医疗</t>
        </is>
      </c>
      <c r="D108" s="7" t="n">
        <v>648.1</v>
      </c>
      <c r="F108" s="7" t="n">
        <v>236.5</v>
      </c>
      <c r="H108" s="7" t="n">
        <v>545.7</v>
      </c>
      <c r="J108" s="7" t="n">
        <v>323.3</v>
      </c>
      <c r="L108" s="7" t="n">
        <v>1042.9</v>
      </c>
      <c r="N108" s="7" t="n">
        <v>713.8</v>
      </c>
      <c r="P108" s="7" t="n">
        <v>856.9</v>
      </c>
      <c r="R108" s="7" t="n">
        <v>386.3</v>
      </c>
      <c r="T108" s="7" t="n">
        <v>750</v>
      </c>
      <c r="V108" s="7" t="n">
        <v>611</v>
      </c>
      <c r="X108" s="7" t="n">
        <v>401.9</v>
      </c>
      <c r="Z108" s="7" t="n">
        <v>434.4</v>
      </c>
      <c r="AB108" s="7" t="n">
        <v>6950.8</v>
      </c>
    </row>
    <row r="109">
      <c r="A109" s="4" t="inlineStr">
        <is>
          <t>工伤</t>
        </is>
      </c>
      <c r="D109" s="7" t="n">
        <v>323.7</v>
      </c>
      <c r="F109" s="7" t="n">
        <v>218</v>
      </c>
      <c r="H109" s="7" t="n">
        <v>374.6</v>
      </c>
      <c r="J109" s="7" t="n">
        <v>276.4</v>
      </c>
      <c r="L109" s="7" t="n">
        <v>664.8</v>
      </c>
      <c r="N109" s="7" t="n">
        <v>460.3</v>
      </c>
      <c r="P109" s="7" t="n">
        <v>978.4</v>
      </c>
      <c r="R109" s="7" t="n">
        <v>297.6</v>
      </c>
      <c r="T109" s="7" t="n">
        <v>393.4</v>
      </c>
      <c r="V109" s="7" t="n">
        <v>419</v>
      </c>
      <c r="X109" s="7" t="n">
        <v>277.7</v>
      </c>
      <c r="Z109" s="7" t="n">
        <v>389.8</v>
      </c>
      <c r="AB109" s="7" t="n">
        <v>5073.7</v>
      </c>
    </row>
    <row r="110">
      <c r="A110" s="4" t="inlineStr">
        <is>
          <t>失业</t>
        </is>
      </c>
      <c r="D110" s="7" t="n">
        <v>0.7</v>
      </c>
      <c r="F110" s="7" t="n">
        <v>0.3</v>
      </c>
      <c r="H110" s="7" t="n">
        <v>0.9</v>
      </c>
      <c r="J110" s="7" t="n">
        <v>0.5</v>
      </c>
      <c r="L110" s="7" t="n">
        <v>1.5</v>
      </c>
      <c r="N110" s="7" t="n">
        <v>0.7</v>
      </c>
      <c r="P110" s="7" t="n">
        <v>1.1</v>
      </c>
      <c r="R110" s="7" t="n">
        <v>0.5</v>
      </c>
      <c r="T110" s="7" t="n">
        <v>0.8</v>
      </c>
      <c r="V110" s="7" t="n">
        <v>0.6</v>
      </c>
      <c r="X110" s="7" t="n">
        <v>0.6</v>
      </c>
      <c r="Z110" s="7" t="n">
        <v>0.5</v>
      </c>
      <c r="AB110" s="7" t="n">
        <v>8.699999999999999</v>
      </c>
    </row>
    <row r="111">
      <c r="A111" s="4" t="inlineStr">
        <is>
          <t>生育</t>
        </is>
      </c>
      <c r="D111" s="7" t="n">
        <v>462.4</v>
      </c>
      <c r="F111" s="7" t="n">
        <v>324.4</v>
      </c>
      <c r="H111" s="7" t="n">
        <v>556.1</v>
      </c>
      <c r="J111" s="7" t="n">
        <v>403.2</v>
      </c>
      <c r="L111" s="7" t="n">
        <v>1117.1</v>
      </c>
      <c r="N111" s="7" t="n">
        <v>759.5</v>
      </c>
      <c r="P111" s="7" t="n">
        <v>1257.2</v>
      </c>
      <c r="R111" s="7" t="n">
        <v>448.5</v>
      </c>
      <c r="T111" s="7" t="n">
        <v>651.9</v>
      </c>
      <c r="V111" s="7" t="n">
        <v>513.4</v>
      </c>
      <c r="X111" s="7" t="n">
        <v>380.4</v>
      </c>
      <c r="Z111" s="7" t="n">
        <v>525.8</v>
      </c>
      <c r="AB111" s="7" t="n">
        <v>7399.9</v>
      </c>
    </row>
    <row r="112">
      <c r="A112" s="4" t="inlineStr">
        <is>
          <t>公积金</t>
        </is>
      </c>
      <c r="D112" s="7" t="n">
        <v>273</v>
      </c>
      <c r="F112" s="7" t="n">
        <v>134.6</v>
      </c>
      <c r="H112" s="7" t="n">
        <v>447.3</v>
      </c>
      <c r="J112" s="7" t="n">
        <v>203.7</v>
      </c>
      <c r="L112" s="7" t="n">
        <v>648.4</v>
      </c>
      <c r="N112" s="7" t="n">
        <v>406.6</v>
      </c>
      <c r="P112" s="7" t="n">
        <v>526.4</v>
      </c>
      <c r="R112" s="7" t="n">
        <v>279</v>
      </c>
      <c r="T112" s="7" t="n">
        <v>466.5</v>
      </c>
      <c r="V112" s="7" t="n">
        <v>452.3</v>
      </c>
      <c r="X112" s="7" t="n">
        <v>184.4</v>
      </c>
      <c r="Z112" s="7" t="n">
        <v>226.9</v>
      </c>
      <c r="AB112" s="7" t="n">
        <v>4249.1</v>
      </c>
    </row>
    <row r="113">
      <c r="A113" s="4" t="inlineStr">
        <is>
          <t>工会经费</t>
        </is>
      </c>
      <c r="D113" s="7" t="n">
        <v>360.2</v>
      </c>
      <c r="F113" s="7" t="n">
        <v>294.5</v>
      </c>
      <c r="H113" s="7" t="n">
        <v>616.9</v>
      </c>
      <c r="J113" s="7" t="n">
        <v>280.8</v>
      </c>
      <c r="L113" s="7" t="n">
        <v>714.3</v>
      </c>
      <c r="N113" s="7" t="n">
        <v>477.8</v>
      </c>
      <c r="P113" s="7" t="n">
        <v>1034</v>
      </c>
      <c r="R113" s="7" t="n">
        <v>361.5</v>
      </c>
      <c r="T113" s="7" t="n">
        <v>528.6</v>
      </c>
      <c r="V113" s="7" t="n">
        <v>467.7</v>
      </c>
      <c r="X113" s="7" t="n">
        <v>379.3</v>
      </c>
      <c r="Z113" s="7" t="n">
        <v>365.5</v>
      </c>
      <c r="AB113" s="7" t="n">
        <v>5881.1</v>
      </c>
    </row>
    <row r="114">
      <c r="A114" s="4" t="inlineStr">
        <is>
          <t>职工教育经费</t>
        </is>
      </c>
      <c r="D114" s="7" t="n">
        <v>145.5</v>
      </c>
      <c r="F114" s="7" t="n">
        <v>65.59999999999999</v>
      </c>
      <c r="H114" s="7" t="n">
        <v>183.5</v>
      </c>
      <c r="J114" s="7" t="n">
        <v>100.6</v>
      </c>
      <c r="L114" s="7" t="n">
        <v>250.3</v>
      </c>
      <c r="N114" s="7" t="n">
        <v>198.4</v>
      </c>
      <c r="P114" s="7" t="n">
        <v>355.2</v>
      </c>
      <c r="R114" s="7" t="n">
        <v>146.3</v>
      </c>
      <c r="T114" s="7" t="n">
        <v>190.5</v>
      </c>
      <c r="V114" s="7" t="n">
        <v>158.6</v>
      </c>
      <c r="X114" s="7" t="n">
        <v>116.9</v>
      </c>
      <c r="Z114" s="7" t="n">
        <v>135.3</v>
      </c>
      <c r="AB114" s="7" t="n">
        <v>2046.7</v>
      </c>
    </row>
    <row r="115">
      <c r="A115" s="4" t="inlineStr">
        <is>
          <t>福利费</t>
        </is>
      </c>
      <c r="D115" s="7" t="n">
        <v>1926</v>
      </c>
      <c r="F115" s="7" t="n">
        <v>1009.1</v>
      </c>
      <c r="H115" s="7" t="n">
        <v>2690.5</v>
      </c>
      <c r="J115" s="7" t="n">
        <v>1659.6</v>
      </c>
      <c r="L115" s="7" t="n">
        <v>4467.8</v>
      </c>
      <c r="N115" s="7" t="n">
        <v>2538.5</v>
      </c>
      <c r="P115" s="7" t="n">
        <v>4526.9</v>
      </c>
      <c r="R115" s="7" t="n">
        <v>2055.7</v>
      </c>
      <c r="T115" s="7" t="n">
        <v>3110.4</v>
      </c>
      <c r="V115" s="7" t="n">
        <v>2840.5</v>
      </c>
      <c r="X115" s="7" t="n">
        <v>1290.1</v>
      </c>
      <c r="Z115" s="7" t="n">
        <v>2090.7</v>
      </c>
      <c r="AB115" s="7" t="n">
        <v>30205.8</v>
      </c>
    </row>
    <row r="116">
      <c r="A116" s="4" t="inlineStr">
        <is>
          <t>职工房租</t>
        </is>
      </c>
      <c r="D116" s="7" t="n">
        <v>595.9</v>
      </c>
      <c r="F116" s="7" t="n">
        <v>280.7</v>
      </c>
      <c r="H116" s="7" t="n">
        <v>737.3</v>
      </c>
      <c r="J116" s="7" t="n">
        <v>346.1</v>
      </c>
      <c r="L116" s="7" t="n">
        <v>1454.1</v>
      </c>
      <c r="N116" s="7" t="n">
        <v>786.6</v>
      </c>
      <c r="P116" s="7" t="n">
        <v>1171.4</v>
      </c>
      <c r="R116" s="7" t="n">
        <v>607.1</v>
      </c>
      <c r="T116" s="7" t="n">
        <v>859</v>
      </c>
      <c r="V116" s="7" t="n">
        <v>616.2</v>
      </c>
      <c r="X116" s="7" t="n">
        <v>310.7</v>
      </c>
      <c r="Z116" s="7" t="n">
        <v>493.5</v>
      </c>
      <c r="AB116" s="7" t="n">
        <v>8258.6</v>
      </c>
    </row>
    <row r="117">
      <c r="A117" s="4" t="inlineStr">
        <is>
          <t>水电物业费</t>
        </is>
      </c>
      <c r="D117" s="7" t="n">
        <v>186.8</v>
      </c>
      <c r="F117" s="7" t="n">
        <v>106</v>
      </c>
      <c r="H117" s="7" t="n">
        <v>278.4</v>
      </c>
      <c r="J117" s="7" t="n">
        <v>167.2</v>
      </c>
      <c r="L117" s="7" t="n">
        <v>337.4</v>
      </c>
      <c r="N117" s="7" t="n">
        <v>196</v>
      </c>
      <c r="P117" s="7" t="n">
        <v>312.7</v>
      </c>
      <c r="R117" s="7" t="n">
        <v>154.1</v>
      </c>
      <c r="T117" s="7" t="n">
        <v>279.8</v>
      </c>
      <c r="V117" s="7" t="n">
        <v>272.8</v>
      </c>
      <c r="X117" s="7" t="n">
        <v>131.4</v>
      </c>
      <c r="Z117" s="7" t="n">
        <v>209</v>
      </c>
      <c r="AB117" s="7" t="n">
        <v>2631.6</v>
      </c>
    </row>
    <row r="118">
      <c r="A118" s="4" t="inlineStr">
        <is>
          <t>员工餐</t>
        </is>
      </c>
      <c r="D118" s="7" t="n">
        <v>166.7</v>
      </c>
      <c r="F118" s="7" t="n">
        <v>110.4</v>
      </c>
      <c r="H118" s="7" t="n">
        <v>276.2</v>
      </c>
      <c r="J118" s="7" t="n">
        <v>125.1</v>
      </c>
      <c r="L118" s="7" t="n">
        <v>331.1</v>
      </c>
      <c r="N118" s="7" t="n">
        <v>297.6</v>
      </c>
      <c r="P118" s="7" t="n">
        <v>521.8</v>
      </c>
      <c r="R118" s="7" t="n">
        <v>224.5</v>
      </c>
      <c r="T118" s="7" t="n">
        <v>349.8</v>
      </c>
      <c r="V118" s="7" t="n">
        <v>255.3</v>
      </c>
      <c r="X118" s="7" t="n">
        <v>127.3</v>
      </c>
      <c r="Z118" s="7" t="n">
        <v>199.1</v>
      </c>
      <c r="AB118" s="7" t="n">
        <v>2984.9</v>
      </c>
    </row>
    <row r="119">
      <c r="A119" s="4" t="inlineStr">
        <is>
          <t>节日礼品</t>
        </is>
      </c>
      <c r="D119" s="7" t="n">
        <v>305.7</v>
      </c>
      <c r="F119" s="7" t="n">
        <v>200.3</v>
      </c>
      <c r="H119" s="7" t="n">
        <v>462.9</v>
      </c>
      <c r="J119" s="7" t="n">
        <v>376.7</v>
      </c>
      <c r="L119" s="7" t="n">
        <v>865.2</v>
      </c>
      <c r="N119" s="7" t="n">
        <v>467.5</v>
      </c>
      <c r="P119" s="7" t="n">
        <v>854.5</v>
      </c>
      <c r="R119" s="7" t="n">
        <v>332.5</v>
      </c>
      <c r="T119" s="7" t="n">
        <v>542.2</v>
      </c>
      <c r="V119" s="7" t="n">
        <v>606.8</v>
      </c>
      <c r="X119" s="7" t="n">
        <v>216.2</v>
      </c>
      <c r="Z119" s="7" t="n">
        <v>472.2</v>
      </c>
      <c r="AB119" s="7" t="n">
        <v>5702.7</v>
      </c>
    </row>
    <row r="120">
      <c r="A120" s="4" t="inlineStr">
        <is>
          <t>生日礼品</t>
        </is>
      </c>
      <c r="D120" s="7" t="n">
        <v>305.8</v>
      </c>
      <c r="F120" s="7" t="n">
        <v>138.8</v>
      </c>
      <c r="H120" s="7" t="n">
        <v>405.2</v>
      </c>
      <c r="J120" s="7" t="n">
        <v>274.4</v>
      </c>
      <c r="L120" s="7" t="n">
        <v>635.2</v>
      </c>
      <c r="N120" s="7" t="n">
        <v>310.6</v>
      </c>
      <c r="P120" s="7" t="n">
        <v>665.9</v>
      </c>
      <c r="R120" s="7" t="n">
        <v>391.4</v>
      </c>
      <c r="T120" s="7" t="n">
        <v>581.4</v>
      </c>
      <c r="V120" s="7" t="n">
        <v>436</v>
      </c>
      <c r="X120" s="7" t="n">
        <v>193.2</v>
      </c>
      <c r="Z120" s="7" t="n">
        <v>242.3</v>
      </c>
      <c r="AB120" s="7" t="n">
        <v>4580.2</v>
      </c>
    </row>
    <row r="121">
      <c r="A121" s="4" t="inlineStr">
        <is>
          <t>体检</t>
        </is>
      </c>
      <c r="D121" s="7" t="n">
        <v>192.7</v>
      </c>
      <c r="F121" s="7" t="n">
        <v>97.40000000000001</v>
      </c>
      <c r="H121" s="7" t="n">
        <v>315.9</v>
      </c>
      <c r="J121" s="7" t="n">
        <v>229.5</v>
      </c>
      <c r="L121" s="7" t="n">
        <v>483.4</v>
      </c>
      <c r="N121" s="7" t="n">
        <v>251.7</v>
      </c>
      <c r="P121" s="7" t="n">
        <v>665.1</v>
      </c>
      <c r="R121" s="7" t="n">
        <v>189.6</v>
      </c>
      <c r="T121" s="7" t="n">
        <v>263.6</v>
      </c>
      <c r="V121" s="7" t="n">
        <v>364.8</v>
      </c>
      <c r="X121" s="7" t="n">
        <v>211.8</v>
      </c>
      <c r="Z121" s="7" t="n">
        <v>284.4</v>
      </c>
      <c r="AB121" s="7" t="n">
        <v>3549.9</v>
      </c>
    </row>
    <row r="122">
      <c r="A122" s="4" t="inlineStr">
        <is>
          <t>其他福利支出</t>
        </is>
      </c>
      <c r="D122" s="7" t="n">
        <v>172.4</v>
      </c>
      <c r="F122" s="7" t="n">
        <v>75.5</v>
      </c>
      <c r="H122" s="7" t="n">
        <v>214.6</v>
      </c>
      <c r="J122" s="7" t="n">
        <v>140.6</v>
      </c>
      <c r="L122" s="7" t="n">
        <v>361.4</v>
      </c>
      <c r="N122" s="7" t="n">
        <v>228.5</v>
      </c>
      <c r="P122" s="7" t="n">
        <v>335.5</v>
      </c>
      <c r="R122" s="7" t="n">
        <v>156.5</v>
      </c>
      <c r="T122" s="7" t="n">
        <v>234.6</v>
      </c>
      <c r="V122" s="7" t="n">
        <v>288.6</v>
      </c>
      <c r="X122" s="7" t="n">
        <v>99.5</v>
      </c>
      <c r="Z122" s="7" t="n">
        <v>190.2</v>
      </c>
      <c r="AB122" s="7" t="n">
        <v>2497.9</v>
      </c>
    </row>
    <row r="123">
      <c r="A123" s="4" t="inlineStr">
        <is>
          <t>招聘费</t>
        </is>
      </c>
      <c r="D123" s="7" t="n">
        <v>556.5</v>
      </c>
      <c r="F123" s="7" t="n">
        <v>221.3</v>
      </c>
      <c r="H123" s="7" t="n">
        <v>727.2</v>
      </c>
      <c r="J123" s="7" t="n">
        <v>375.5</v>
      </c>
      <c r="L123" s="7" t="n">
        <v>921.5</v>
      </c>
      <c r="N123" s="7" t="n">
        <v>517.3</v>
      </c>
      <c r="P123" s="7" t="n">
        <v>1167.1</v>
      </c>
      <c r="R123" s="7" t="n">
        <v>657.8</v>
      </c>
      <c r="T123" s="7" t="n">
        <v>823.5</v>
      </c>
      <c r="V123" s="7" t="n">
        <v>579.5</v>
      </c>
      <c r="X123" s="7" t="n">
        <v>453.1</v>
      </c>
      <c r="Z123" s="7" t="n">
        <v>451.7</v>
      </c>
      <c r="AB123" s="7" t="n">
        <v>7452</v>
      </c>
    </row>
    <row r="124">
      <c r="A124" s="4" t="inlineStr">
        <is>
          <t>办公费</t>
        </is>
      </c>
      <c r="D124" s="7" t="n">
        <v>2107.6</v>
      </c>
      <c r="F124" s="7" t="n">
        <v>1373</v>
      </c>
      <c r="H124" s="7" t="n">
        <v>3438.6</v>
      </c>
      <c r="J124" s="7" t="n">
        <v>2439.9</v>
      </c>
      <c r="L124" s="7" t="n">
        <v>6409.2</v>
      </c>
      <c r="N124" s="7" t="n">
        <v>3836.4</v>
      </c>
      <c r="P124" s="7" t="n">
        <v>8022</v>
      </c>
      <c r="R124" s="7" t="n">
        <v>3749.2</v>
      </c>
      <c r="T124" s="7" t="n">
        <v>3513</v>
      </c>
      <c r="V124" s="7" t="n">
        <v>4254.8</v>
      </c>
      <c r="X124" s="7" t="n">
        <v>2477.8</v>
      </c>
      <c r="Z124" s="7" t="n">
        <v>2595.3</v>
      </c>
      <c r="AB124" s="7" t="n">
        <v>44216.8</v>
      </c>
    </row>
    <row r="125">
      <c r="A125" s="4" t="inlineStr">
        <is>
          <t>市内交通费</t>
        </is>
      </c>
      <c r="D125" s="7" t="n">
        <v>18.7</v>
      </c>
      <c r="F125" s="7" t="n">
        <v>9.9</v>
      </c>
      <c r="H125" s="7" t="n">
        <v>25.4</v>
      </c>
      <c r="J125" s="7" t="n">
        <v>16</v>
      </c>
      <c r="L125" s="7" t="n">
        <v>35.9</v>
      </c>
      <c r="N125" s="7" t="n">
        <v>18.8</v>
      </c>
      <c r="P125" s="7" t="n">
        <v>48.2</v>
      </c>
      <c r="R125" s="7" t="n">
        <v>21.4</v>
      </c>
      <c r="T125" s="7" t="n">
        <v>27.4</v>
      </c>
      <c r="V125" s="7" t="n">
        <v>20.7</v>
      </c>
      <c r="X125" s="7" t="n">
        <v>16.7</v>
      </c>
      <c r="Z125" s="7" t="n">
        <v>22.4</v>
      </c>
      <c r="AB125" s="7" t="n">
        <v>281.5</v>
      </c>
    </row>
    <row r="126">
      <c r="A126" s="4" t="inlineStr">
        <is>
          <t>差旅费</t>
        </is>
      </c>
      <c r="D126" s="7" t="n">
        <v>6615.3</v>
      </c>
      <c r="F126" s="7" t="n">
        <v>4098.3</v>
      </c>
      <c r="H126" s="7" t="n">
        <v>5949.8</v>
      </c>
      <c r="J126" s="7" t="n">
        <v>5180.7</v>
      </c>
      <c r="L126" s="7" t="n">
        <v>12205.5</v>
      </c>
      <c r="N126" s="7" t="n">
        <v>5338.1</v>
      </c>
      <c r="P126" s="7" t="n">
        <v>11604.2</v>
      </c>
      <c r="R126" s="7" t="n">
        <v>4977.2</v>
      </c>
      <c r="T126" s="7" t="n">
        <v>6253.7</v>
      </c>
      <c r="V126" s="7" t="n">
        <v>10276.3</v>
      </c>
      <c r="X126" s="7" t="n">
        <v>3097.9</v>
      </c>
      <c r="Z126" s="7" t="n">
        <v>7089.7</v>
      </c>
      <c r="AB126" s="7" t="n">
        <v>82686.7</v>
      </c>
    </row>
    <row r="127">
      <c r="A127" s="4" t="inlineStr">
        <is>
          <t>交通费</t>
        </is>
      </c>
      <c r="D127" s="7" t="n">
        <v>461.8</v>
      </c>
      <c r="F127" s="7" t="n">
        <v>181.3</v>
      </c>
      <c r="H127" s="7" t="n">
        <v>563.5</v>
      </c>
      <c r="J127" s="7" t="n">
        <v>277.6</v>
      </c>
      <c r="L127" s="7" t="n">
        <v>733.9</v>
      </c>
      <c r="N127" s="7" t="n">
        <v>537.9</v>
      </c>
      <c r="P127" s="7" t="n">
        <v>979.2</v>
      </c>
      <c r="R127" s="7" t="n">
        <v>318.6</v>
      </c>
      <c r="T127" s="7" t="n">
        <v>648.3</v>
      </c>
      <c r="V127" s="7" t="n">
        <v>598.7</v>
      </c>
      <c r="X127" s="7" t="n">
        <v>333.9</v>
      </c>
      <c r="Z127" s="7" t="n">
        <v>599.7</v>
      </c>
      <c r="AB127" s="7" t="n">
        <v>6234.4</v>
      </c>
    </row>
    <row r="128">
      <c r="A128" s="4" t="inlineStr">
        <is>
          <t>住宿费</t>
        </is>
      </c>
      <c r="D128" s="7" t="n">
        <v>188.5</v>
      </c>
      <c r="F128" s="7" t="n">
        <v>169.1</v>
      </c>
      <c r="H128" s="7" t="n">
        <v>305.4</v>
      </c>
      <c r="J128" s="7" t="n">
        <v>202.2</v>
      </c>
      <c r="L128" s="7" t="n">
        <v>576.4</v>
      </c>
      <c r="N128" s="7" t="n">
        <v>373.4</v>
      </c>
      <c r="P128" s="7" t="n">
        <v>642.7</v>
      </c>
      <c r="R128" s="7" t="n">
        <v>285.7</v>
      </c>
      <c r="T128" s="7" t="n">
        <v>444.5</v>
      </c>
      <c r="V128" s="7" t="n">
        <v>356.4</v>
      </c>
      <c r="X128" s="7" t="n">
        <v>161.8</v>
      </c>
      <c r="Z128" s="7" t="n">
        <v>289.4</v>
      </c>
      <c r="AB128" s="7" t="n">
        <v>3995.5</v>
      </c>
    </row>
    <row r="129">
      <c r="A129" s="4" t="inlineStr">
        <is>
          <t>餐补</t>
        </is>
      </c>
      <c r="D129" s="7" t="n">
        <v>294.7</v>
      </c>
      <c r="F129" s="7" t="n">
        <v>175.6</v>
      </c>
      <c r="H129" s="7" t="n">
        <v>645.2</v>
      </c>
      <c r="J129" s="7" t="n">
        <v>248.6</v>
      </c>
      <c r="L129" s="7" t="n">
        <v>651.8</v>
      </c>
      <c r="N129" s="7" t="n">
        <v>430.1</v>
      </c>
      <c r="P129" s="7" t="n">
        <v>1068.9</v>
      </c>
      <c r="R129" s="7" t="n">
        <v>478.3</v>
      </c>
      <c r="T129" s="7" t="n">
        <v>746.7</v>
      </c>
      <c r="V129" s="7" t="n">
        <v>514.6</v>
      </c>
      <c r="X129" s="7" t="n">
        <v>330.9</v>
      </c>
      <c r="Z129" s="7" t="n">
        <v>435.6</v>
      </c>
      <c r="AB129" s="7" t="n">
        <v>6021</v>
      </c>
    </row>
    <row r="130">
      <c r="A130" s="4" t="inlineStr">
        <is>
          <t>交通补助</t>
        </is>
      </c>
      <c r="D130" s="7" t="n">
        <v>261.7</v>
      </c>
      <c r="F130" s="7" t="n">
        <v>238.6</v>
      </c>
      <c r="H130" s="7" t="n">
        <v>579.5</v>
      </c>
      <c r="J130" s="7" t="n">
        <v>267.4</v>
      </c>
      <c r="L130" s="7" t="n">
        <v>717.3</v>
      </c>
      <c r="N130" s="7" t="n">
        <v>458.1</v>
      </c>
      <c r="P130" s="7" t="n">
        <v>838.7</v>
      </c>
      <c r="R130" s="7" t="n">
        <v>444.4</v>
      </c>
      <c r="T130" s="7" t="n">
        <v>555.9</v>
      </c>
      <c r="V130" s="7" t="n">
        <v>455.2</v>
      </c>
      <c r="X130" s="7" t="n">
        <v>209.7</v>
      </c>
      <c r="Z130" s="7" t="n">
        <v>468.5</v>
      </c>
      <c r="AB130" s="7" t="n">
        <v>5495</v>
      </c>
    </row>
    <row r="131">
      <c r="A131" s="4" t="inlineStr">
        <is>
          <t>通讯补助</t>
        </is>
      </c>
      <c r="D131" s="7" t="n">
        <v>97.40000000000001</v>
      </c>
      <c r="F131" s="7" t="n">
        <v>74.7</v>
      </c>
      <c r="H131" s="7" t="n">
        <v>218.3</v>
      </c>
      <c r="J131" s="7" t="n">
        <v>96</v>
      </c>
      <c r="L131" s="7" t="n">
        <v>245.9</v>
      </c>
      <c r="N131" s="7" t="n">
        <v>189.2</v>
      </c>
      <c r="P131" s="7" t="n">
        <v>324.2</v>
      </c>
      <c r="R131" s="7" t="n">
        <v>150.4</v>
      </c>
      <c r="T131" s="7" t="n">
        <v>141.1</v>
      </c>
      <c r="V131" s="7" t="n">
        <v>191</v>
      </c>
      <c r="X131" s="7" t="n">
        <v>98.90000000000001</v>
      </c>
      <c r="Z131" s="7" t="n">
        <v>112.4</v>
      </c>
      <c r="AB131" s="7" t="n">
        <v>1939.5</v>
      </c>
    </row>
    <row r="132">
      <c r="A132" s="4" t="inlineStr">
        <is>
          <t>招待费</t>
        </is>
      </c>
      <c r="D132" s="7" t="n">
        <v>4897.2</v>
      </c>
      <c r="F132" s="7" t="n">
        <v>2162.5</v>
      </c>
      <c r="H132" s="7" t="n">
        <v>3889.3</v>
      </c>
      <c r="J132" s="7" t="n">
        <v>3826.4</v>
      </c>
      <c r="L132" s="7" t="n">
        <v>6798.5</v>
      </c>
      <c r="N132" s="7" t="n">
        <v>5870.4</v>
      </c>
      <c r="P132" s="7" t="n">
        <v>9704.1</v>
      </c>
      <c r="R132" s="7" t="n">
        <v>4333.4</v>
      </c>
      <c r="T132" s="7" t="n">
        <v>6955.1</v>
      </c>
      <c r="V132" s="7" t="n">
        <v>4029.7</v>
      </c>
      <c r="X132" s="7" t="n">
        <v>2881</v>
      </c>
      <c r="Z132" s="7" t="n">
        <v>5233.7</v>
      </c>
      <c r="AB132" s="7" t="n">
        <v>60581.3</v>
      </c>
    </row>
    <row r="133">
      <c r="A133" s="4" t="inlineStr">
        <is>
          <t>通讯费</t>
        </is>
      </c>
      <c r="D133" s="7" t="n">
        <v>344.7</v>
      </c>
      <c r="F133" s="7" t="n">
        <v>203</v>
      </c>
      <c r="H133" s="7" t="n">
        <v>705.2</v>
      </c>
      <c r="J133" s="7" t="n">
        <v>363.6</v>
      </c>
      <c r="L133" s="7" t="n">
        <v>898.8</v>
      </c>
      <c r="N133" s="7" t="n">
        <v>552</v>
      </c>
      <c r="P133" s="7" t="n">
        <v>801.3</v>
      </c>
      <c r="R133" s="7" t="n">
        <v>505.2</v>
      </c>
      <c r="T133" s="7" t="n">
        <v>518.4</v>
      </c>
      <c r="V133" s="7" t="n">
        <v>587.6</v>
      </c>
      <c r="X133" s="7" t="n">
        <v>382.4</v>
      </c>
      <c r="Z133" s="7" t="n">
        <v>525.9</v>
      </c>
      <c r="AB133" s="7" t="n">
        <v>6388.1</v>
      </c>
    </row>
    <row r="134">
      <c r="A134" s="4" t="inlineStr">
        <is>
          <t>网络费</t>
        </is>
      </c>
      <c r="D134" s="7" t="n">
        <v>209.4</v>
      </c>
      <c r="F134" s="7" t="n">
        <v>179</v>
      </c>
      <c r="H134" s="7" t="n">
        <v>266.3</v>
      </c>
      <c r="J134" s="7" t="n">
        <v>234.8</v>
      </c>
      <c r="L134" s="7" t="n">
        <v>577.5</v>
      </c>
      <c r="N134" s="7" t="n">
        <v>288.2</v>
      </c>
      <c r="P134" s="7" t="n">
        <v>429.9</v>
      </c>
      <c r="R134" s="7" t="n">
        <v>332.4</v>
      </c>
      <c r="T134" s="7" t="n">
        <v>345.7</v>
      </c>
      <c r="V134" s="7" t="n">
        <v>403.7</v>
      </c>
      <c r="X134" s="7" t="n">
        <v>143.5</v>
      </c>
      <c r="Z134" s="7" t="n">
        <v>281.1</v>
      </c>
      <c r="AB134" s="7" t="n">
        <v>3691.5</v>
      </c>
    </row>
    <row r="135">
      <c r="A135" s="4" t="inlineStr">
        <is>
          <t>修理费</t>
        </is>
      </c>
      <c r="D135" s="7" t="n">
        <v>96.09999999999999</v>
      </c>
      <c r="F135" s="7" t="n">
        <v>50.6</v>
      </c>
      <c r="H135" s="7" t="n">
        <v>139.6</v>
      </c>
      <c r="J135" s="7" t="n">
        <v>76.59999999999999</v>
      </c>
      <c r="L135" s="7" t="n">
        <v>183.8</v>
      </c>
      <c r="N135" s="7" t="n">
        <v>144.9</v>
      </c>
      <c r="P135" s="7" t="n">
        <v>286.6</v>
      </c>
      <c r="R135" s="7" t="n">
        <v>127</v>
      </c>
      <c r="T135" s="7" t="n">
        <v>127.1</v>
      </c>
      <c r="V135" s="7" t="n">
        <v>156</v>
      </c>
      <c r="X135" s="7" t="n">
        <v>79.7</v>
      </c>
      <c r="Z135" s="7" t="n">
        <v>127.6</v>
      </c>
      <c r="AB135" s="7" t="n">
        <v>1595.6</v>
      </c>
    </row>
    <row r="136">
      <c r="A136" s="4" t="inlineStr">
        <is>
          <t>车辆费</t>
        </is>
      </c>
      <c r="D136" s="7" t="n">
        <v>78.7</v>
      </c>
      <c r="F136" s="7" t="n">
        <v>37.9</v>
      </c>
      <c r="H136" s="7" t="n">
        <v>119.3</v>
      </c>
      <c r="J136" s="7" t="n">
        <v>68.5</v>
      </c>
      <c r="L136" s="7" t="n">
        <v>132.1</v>
      </c>
      <c r="N136" s="7" t="n">
        <v>122.4</v>
      </c>
      <c r="P136" s="7" t="n">
        <v>203.7</v>
      </c>
      <c r="R136" s="7" t="n">
        <v>99.59999999999999</v>
      </c>
      <c r="T136" s="7" t="n">
        <v>87.40000000000001</v>
      </c>
      <c r="V136" s="7" t="n">
        <v>132.2</v>
      </c>
      <c r="X136" s="7" t="n">
        <v>42.6</v>
      </c>
      <c r="Z136" s="7" t="n">
        <v>88.7</v>
      </c>
      <c r="AB136" s="7" t="n">
        <v>1213.1</v>
      </c>
    </row>
    <row r="137">
      <c r="A137" s="4" t="inlineStr">
        <is>
          <t>租赁费</t>
        </is>
      </c>
      <c r="D137" s="7" t="n">
        <v>5609.3</v>
      </c>
      <c r="F137" s="7" t="n">
        <v>2405.3</v>
      </c>
      <c r="H137" s="7" t="n">
        <v>7928.4</v>
      </c>
      <c r="J137" s="7" t="n">
        <v>2941.2</v>
      </c>
      <c r="L137" s="7" t="n">
        <v>11753.2</v>
      </c>
      <c r="N137" s="7" t="n">
        <v>7804.9</v>
      </c>
      <c r="P137" s="7" t="n">
        <v>13669.1</v>
      </c>
      <c r="R137" s="7" t="n">
        <v>4240.2</v>
      </c>
      <c r="T137" s="7" t="n">
        <v>7028</v>
      </c>
      <c r="V137" s="7" t="n">
        <v>6553.8</v>
      </c>
      <c r="X137" s="7" t="n">
        <v>2856.6</v>
      </c>
      <c r="Z137" s="7" t="n">
        <v>6502.9</v>
      </c>
      <c r="AB137" s="7" t="n">
        <v>79292.89999999999</v>
      </c>
    </row>
    <row r="138">
      <c r="A138" s="4" t="inlineStr">
        <is>
          <t>能源费</t>
        </is>
      </c>
      <c r="D138" s="7" t="n">
        <v>1374.3</v>
      </c>
      <c r="F138" s="7" t="n">
        <v>760.1</v>
      </c>
      <c r="H138" s="7" t="n">
        <v>1826</v>
      </c>
      <c r="J138" s="7" t="n">
        <v>1176.1</v>
      </c>
      <c r="L138" s="7" t="n">
        <v>3112.6</v>
      </c>
      <c r="N138" s="7" t="n">
        <v>1697.4</v>
      </c>
      <c r="P138" s="7" t="n">
        <v>2858.2</v>
      </c>
      <c r="R138" s="7" t="n">
        <v>1616.8</v>
      </c>
      <c r="T138" s="7" t="n">
        <v>1758</v>
      </c>
      <c r="V138" s="7" t="n">
        <v>2044.3</v>
      </c>
      <c r="X138" s="7" t="n">
        <v>1142.9</v>
      </c>
      <c r="Z138" s="7" t="n">
        <v>1704.3</v>
      </c>
      <c r="AB138" s="7" t="n">
        <v>21071</v>
      </c>
    </row>
    <row r="139">
      <c r="A139" s="4" t="inlineStr">
        <is>
          <t>水费</t>
        </is>
      </c>
      <c r="D139" s="7" t="n">
        <v>317.9</v>
      </c>
      <c r="F139" s="7" t="n">
        <v>148.1</v>
      </c>
      <c r="H139" s="7" t="n">
        <v>438.6</v>
      </c>
      <c r="J139" s="7" t="n">
        <v>337.1</v>
      </c>
      <c r="L139" s="7" t="n">
        <v>794.2</v>
      </c>
      <c r="N139" s="7" t="n">
        <v>310.8</v>
      </c>
      <c r="P139" s="7" t="n">
        <v>911.5</v>
      </c>
      <c r="R139" s="7" t="n">
        <v>355.5</v>
      </c>
      <c r="T139" s="7" t="n">
        <v>482.6</v>
      </c>
      <c r="V139" s="7" t="n">
        <v>549.2</v>
      </c>
      <c r="X139" s="7" t="n">
        <v>232.3</v>
      </c>
      <c r="Z139" s="7" t="n">
        <v>478.4</v>
      </c>
      <c r="AB139" s="7" t="n">
        <v>5356.2</v>
      </c>
    </row>
    <row r="140">
      <c r="A140" s="4" t="inlineStr">
        <is>
          <t>电费</t>
        </is>
      </c>
      <c r="D140" s="7" t="n">
        <v>31.2</v>
      </c>
      <c r="F140" s="7" t="n">
        <v>18.2</v>
      </c>
      <c r="H140" s="7" t="n">
        <v>34.5</v>
      </c>
      <c r="J140" s="7" t="n">
        <v>29.6</v>
      </c>
      <c r="L140" s="7" t="n">
        <v>65.2</v>
      </c>
      <c r="N140" s="7" t="n">
        <v>35.9</v>
      </c>
      <c r="P140" s="7" t="n">
        <v>70.2</v>
      </c>
      <c r="R140" s="7" t="n">
        <v>37.6</v>
      </c>
      <c r="T140" s="7" t="n">
        <v>30.7</v>
      </c>
      <c r="V140" s="7" t="n">
        <v>53.8</v>
      </c>
      <c r="X140" s="7" t="n">
        <v>22.8</v>
      </c>
      <c r="Z140" s="7" t="n">
        <v>38.1</v>
      </c>
      <c r="AB140" s="7" t="n">
        <v>467.8</v>
      </c>
    </row>
    <row r="141">
      <c r="A141" s="4" t="inlineStr">
        <is>
          <t>燃气费</t>
        </is>
      </c>
      <c r="D141" s="7" t="n">
        <v>441.3</v>
      </c>
      <c r="F141" s="7" t="n">
        <v>268.3</v>
      </c>
      <c r="H141" s="7" t="n">
        <v>734.7</v>
      </c>
      <c r="J141" s="7" t="n">
        <v>328.6</v>
      </c>
      <c r="L141" s="7" t="n">
        <v>1200.5</v>
      </c>
      <c r="N141" s="7" t="n">
        <v>700.5</v>
      </c>
      <c r="P141" s="7" t="n">
        <v>943.9</v>
      </c>
      <c r="R141" s="7" t="n">
        <v>460.6</v>
      </c>
      <c r="T141" s="7" t="n">
        <v>481</v>
      </c>
      <c r="V141" s="7" t="n">
        <v>522.2</v>
      </c>
      <c r="X141" s="7" t="n">
        <v>416.4</v>
      </c>
      <c r="Z141" s="7" t="n">
        <v>466.8</v>
      </c>
      <c r="AB141" s="7" t="n">
        <v>6964.8</v>
      </c>
    </row>
    <row r="142">
      <c r="A142" s="4" t="inlineStr">
        <is>
          <t>蒸汽费</t>
        </is>
      </c>
      <c r="D142" s="7" t="n">
        <v>583.9</v>
      </c>
      <c r="F142" s="7" t="n">
        <v>325.5</v>
      </c>
      <c r="H142" s="7" t="n">
        <v>618.2</v>
      </c>
      <c r="J142" s="7" t="n">
        <v>480.8</v>
      </c>
      <c r="L142" s="7" t="n">
        <v>1052.7</v>
      </c>
      <c r="N142" s="7" t="n">
        <v>650.2</v>
      </c>
      <c r="P142" s="7" t="n">
        <v>932.6</v>
      </c>
      <c r="R142" s="7" t="n">
        <v>763.1</v>
      </c>
      <c r="T142" s="7" t="n">
        <v>763.7</v>
      </c>
      <c r="V142" s="7" t="n">
        <v>919.1</v>
      </c>
      <c r="X142" s="7" t="n">
        <v>471.4</v>
      </c>
      <c r="Z142" s="7" t="n">
        <v>721</v>
      </c>
      <c r="AB142" s="7" t="n">
        <v>8282.200000000001</v>
      </c>
    </row>
    <row r="143">
      <c r="A143" s="4" t="inlineStr">
        <is>
          <t>物业费</t>
        </is>
      </c>
      <c r="D143" s="7" t="n">
        <v>459.8</v>
      </c>
      <c r="F143" s="7" t="n">
        <v>357</v>
      </c>
      <c r="H143" s="7" t="n">
        <v>982.2</v>
      </c>
      <c r="J143" s="7" t="n">
        <v>592.9</v>
      </c>
      <c r="L143" s="7" t="n">
        <v>1067.3</v>
      </c>
      <c r="N143" s="7" t="n">
        <v>889.9</v>
      </c>
      <c r="P143" s="7" t="n">
        <v>1264.2</v>
      </c>
      <c r="R143" s="7" t="n">
        <v>769.1</v>
      </c>
      <c r="T143" s="7" t="n">
        <v>709.1</v>
      </c>
      <c r="V143" s="7" t="n">
        <v>717</v>
      </c>
      <c r="X143" s="7" t="n">
        <v>389.1</v>
      </c>
      <c r="Z143" s="7" t="n">
        <v>793.3</v>
      </c>
      <c r="AB143" s="7" t="n">
        <v>8990.9</v>
      </c>
    </row>
    <row r="144">
      <c r="A144" s="4" t="inlineStr">
        <is>
          <t>劳动保护费</t>
        </is>
      </c>
      <c r="D144" s="7" t="n">
        <v>62.2</v>
      </c>
      <c r="F144" s="7" t="n">
        <v>36.2</v>
      </c>
      <c r="H144" s="7" t="n">
        <v>70.59999999999999</v>
      </c>
      <c r="J144" s="7" t="n">
        <v>42.3</v>
      </c>
      <c r="L144" s="7" t="n">
        <v>111.4</v>
      </c>
      <c r="N144" s="7" t="n">
        <v>95.90000000000001</v>
      </c>
      <c r="P144" s="7" t="n">
        <v>162.7</v>
      </c>
      <c r="R144" s="7" t="n">
        <v>53</v>
      </c>
      <c r="T144" s="7" t="n">
        <v>96</v>
      </c>
      <c r="V144" s="7" t="n">
        <v>93.5</v>
      </c>
      <c r="X144" s="7" t="n">
        <v>34.7</v>
      </c>
      <c r="Z144" s="7" t="n">
        <v>55.2</v>
      </c>
      <c r="AB144" s="7" t="n">
        <v>913.7</v>
      </c>
    </row>
    <row r="145">
      <c r="A145" s="4" t="inlineStr">
        <is>
          <t>顾问费</t>
        </is>
      </c>
      <c r="D145" s="7" t="n">
        <v>599.2</v>
      </c>
      <c r="F145" s="7" t="n">
        <v>201</v>
      </c>
      <c r="H145" s="7" t="n">
        <v>725.8</v>
      </c>
      <c r="J145" s="7" t="n">
        <v>406</v>
      </c>
      <c r="L145" s="7" t="n">
        <v>992.5</v>
      </c>
      <c r="N145" s="7" t="n">
        <v>794.1</v>
      </c>
      <c r="P145" s="7" t="n">
        <v>861.6</v>
      </c>
      <c r="R145" s="7" t="n">
        <v>580.7</v>
      </c>
      <c r="T145" s="7" t="n">
        <v>754.7</v>
      </c>
      <c r="V145" s="7" t="n">
        <v>798.4</v>
      </c>
      <c r="X145" s="7" t="n">
        <v>483</v>
      </c>
      <c r="Z145" s="7" t="n">
        <v>519.4</v>
      </c>
      <c r="AB145" s="7" t="n">
        <v>7716.4</v>
      </c>
    </row>
    <row r="146">
      <c r="A146" s="4" t="inlineStr">
        <is>
          <t>快递费</t>
        </is>
      </c>
      <c r="D146" s="7" t="n">
        <v>188.1</v>
      </c>
      <c r="F146" s="7" t="n">
        <v>101.1</v>
      </c>
      <c r="H146" s="7" t="n">
        <v>176.7</v>
      </c>
      <c r="J146" s="7" t="n">
        <v>142.4</v>
      </c>
      <c r="L146" s="7" t="n">
        <v>301.2</v>
      </c>
      <c r="N146" s="7" t="n">
        <v>222.7</v>
      </c>
      <c r="P146" s="7" t="n">
        <v>434.9</v>
      </c>
      <c r="R146" s="7" t="n">
        <v>221.3</v>
      </c>
      <c r="T146" s="7" t="n">
        <v>248.5</v>
      </c>
      <c r="V146" s="7" t="n">
        <v>220.5</v>
      </c>
      <c r="X146" s="7" t="n">
        <v>152.3</v>
      </c>
      <c r="Z146" s="7" t="n">
        <v>144.6</v>
      </c>
      <c r="AB146" s="7" t="n">
        <v>2554.3</v>
      </c>
    </row>
    <row r="147">
      <c r="A147" s="4" t="inlineStr">
        <is>
          <t>诉讼费</t>
        </is>
      </c>
      <c r="D147" s="7" t="n">
        <v>698.1</v>
      </c>
      <c r="F147" s="7" t="n">
        <v>328.8</v>
      </c>
      <c r="H147" s="7" t="n">
        <v>762.7</v>
      </c>
      <c r="J147" s="7" t="n">
        <v>439.4</v>
      </c>
      <c r="L147" s="7" t="n">
        <v>1351</v>
      </c>
      <c r="N147" s="7" t="n">
        <v>620.4</v>
      </c>
      <c r="P147" s="7" t="n">
        <v>883.4</v>
      </c>
      <c r="R147" s="7" t="n">
        <v>679.1</v>
      </c>
      <c r="T147" s="7" t="n">
        <v>906.5</v>
      </c>
      <c r="V147" s="7" t="n">
        <v>542.1</v>
      </c>
      <c r="X147" s="7" t="n">
        <v>318.9</v>
      </c>
      <c r="Z147" s="7" t="n">
        <v>527.6</v>
      </c>
      <c r="AB147" s="7" t="n">
        <v>8058</v>
      </c>
    </row>
    <row r="148">
      <c r="A148" s="4" t="inlineStr">
        <is>
          <t>会员费</t>
        </is>
      </c>
      <c r="D148" s="7" t="n">
        <v>320.7</v>
      </c>
      <c r="F148" s="7" t="n">
        <v>227.8</v>
      </c>
      <c r="H148" s="7" t="n">
        <v>675.3</v>
      </c>
      <c r="J148" s="7" t="n">
        <v>231.7</v>
      </c>
      <c r="L148" s="7" t="n">
        <v>1058.9</v>
      </c>
      <c r="N148" s="7" t="n">
        <v>413.8</v>
      </c>
      <c r="P148" s="7" t="n">
        <v>809.2</v>
      </c>
      <c r="R148" s="7" t="n">
        <v>373.6</v>
      </c>
      <c r="T148" s="7" t="n">
        <v>598.9</v>
      </c>
      <c r="V148" s="7" t="n">
        <v>702</v>
      </c>
      <c r="X148" s="7" t="n">
        <v>272.8</v>
      </c>
      <c r="Z148" s="7" t="n">
        <v>335.2</v>
      </c>
      <c r="AB148" s="7" t="n">
        <v>6019.9</v>
      </c>
    </row>
    <row r="149">
      <c r="A149" s="4" t="inlineStr">
        <is>
          <t>广告宣传费</t>
        </is>
      </c>
      <c r="D149" s="7" t="n">
        <v>2356</v>
      </c>
      <c r="F149" s="7" t="n">
        <v>1466.7</v>
      </c>
      <c r="H149" s="7" t="n">
        <v>3249.3</v>
      </c>
      <c r="J149" s="7" t="n">
        <v>2218.2</v>
      </c>
      <c r="L149" s="7" t="n">
        <v>6421.5</v>
      </c>
      <c r="N149" s="7" t="n">
        <v>2745.8</v>
      </c>
      <c r="P149" s="7" t="n">
        <v>4777</v>
      </c>
      <c r="R149" s="7" t="n">
        <v>3562.5</v>
      </c>
      <c r="T149" s="7" t="n">
        <v>4950.6</v>
      </c>
      <c r="V149" s="7" t="n">
        <v>3364.8</v>
      </c>
      <c r="X149" s="7" t="n">
        <v>2347.2</v>
      </c>
      <c r="Z149" s="7" t="n">
        <v>3717.4</v>
      </c>
      <c r="AB149" s="7" t="n">
        <v>41177</v>
      </c>
    </row>
    <row r="150">
      <c r="A150" s="4" t="inlineStr">
        <is>
          <t>会务费</t>
        </is>
      </c>
      <c r="D150" s="7" t="n">
        <v>596.8</v>
      </c>
      <c r="F150" s="7" t="n">
        <v>247.3</v>
      </c>
      <c r="H150" s="7" t="n">
        <v>582.9</v>
      </c>
      <c r="J150" s="7" t="n">
        <v>445.8</v>
      </c>
      <c r="L150" s="7" t="n">
        <v>843.8</v>
      </c>
      <c r="N150" s="7" t="n">
        <v>441.7</v>
      </c>
      <c r="P150" s="7" t="n">
        <v>1069.5</v>
      </c>
      <c r="R150" s="7" t="n">
        <v>417.3</v>
      </c>
      <c r="T150" s="7" t="n">
        <v>841.5</v>
      </c>
      <c r="V150" s="7" t="n">
        <v>616.9</v>
      </c>
      <c r="X150" s="7" t="n">
        <v>299.7</v>
      </c>
      <c r="Z150" s="7" t="n">
        <v>634.8</v>
      </c>
      <c r="AB150" s="7" t="n">
        <v>7038</v>
      </c>
    </row>
    <row r="151">
      <c r="A151" s="4" t="inlineStr">
        <is>
          <t>装修费</t>
        </is>
      </c>
      <c r="D151" s="7" t="n">
        <v>443.9</v>
      </c>
      <c r="F151" s="7" t="n">
        <v>199.6</v>
      </c>
      <c r="H151" s="7" t="n">
        <v>481.3</v>
      </c>
      <c r="J151" s="7" t="n">
        <v>290.1</v>
      </c>
      <c r="L151" s="7" t="n">
        <v>838.9</v>
      </c>
      <c r="N151" s="7" t="n">
        <v>676.8</v>
      </c>
      <c r="P151" s="7" t="n">
        <v>1088.6</v>
      </c>
      <c r="R151" s="7" t="n">
        <v>408.7</v>
      </c>
      <c r="T151" s="7" t="n">
        <v>774.9</v>
      </c>
      <c r="V151" s="7" t="n">
        <v>519</v>
      </c>
      <c r="X151" s="7" t="n">
        <v>226</v>
      </c>
      <c r="Z151" s="7" t="n">
        <v>438.3</v>
      </c>
      <c r="AB151" s="7" t="n">
        <v>6386.1</v>
      </c>
    </row>
    <row r="152">
      <c r="A152" s="4" t="inlineStr">
        <is>
          <t>推广费</t>
        </is>
      </c>
      <c r="D152" s="7" t="n">
        <v>617.2</v>
      </c>
      <c r="F152" s="7" t="n">
        <v>229.8</v>
      </c>
      <c r="H152" s="7" t="n">
        <v>581.3</v>
      </c>
      <c r="J152" s="7" t="n">
        <v>437</v>
      </c>
      <c r="L152" s="7" t="n">
        <v>1013.7</v>
      </c>
      <c r="N152" s="7" t="n">
        <v>688.3</v>
      </c>
      <c r="P152" s="7" t="n">
        <v>890.7</v>
      </c>
      <c r="R152" s="7" t="n">
        <v>473.5</v>
      </c>
      <c r="T152" s="7" t="n">
        <v>532.9</v>
      </c>
      <c r="V152" s="7" t="n">
        <v>628.3</v>
      </c>
      <c r="X152" s="7" t="n">
        <v>339</v>
      </c>
      <c r="Z152" s="7" t="n">
        <v>655.9</v>
      </c>
      <c r="AB152" s="7" t="n">
        <v>7087.6</v>
      </c>
    </row>
    <row r="153">
      <c r="A153" s="4" t="inlineStr">
        <is>
          <t>展会费</t>
        </is>
      </c>
      <c r="D153" s="7" t="n">
        <v>337.5</v>
      </c>
      <c r="F153" s="7" t="n">
        <v>261.9</v>
      </c>
      <c r="H153" s="7" t="n">
        <v>592.4</v>
      </c>
      <c r="J153" s="7" t="n">
        <v>325.2</v>
      </c>
      <c r="L153" s="7" t="n">
        <v>982.3</v>
      </c>
      <c r="N153" s="7" t="n">
        <v>543.2</v>
      </c>
      <c r="P153" s="7" t="n">
        <v>1055.1</v>
      </c>
      <c r="R153" s="7" t="n">
        <v>401.4</v>
      </c>
      <c r="T153" s="7" t="n">
        <v>656</v>
      </c>
      <c r="V153" s="7" t="n">
        <v>652.9</v>
      </c>
      <c r="X153" s="7" t="n">
        <v>323.1</v>
      </c>
      <c r="Z153" s="7" t="n">
        <v>476.3</v>
      </c>
      <c r="AB153" s="7" t="n">
        <v>6607.3</v>
      </c>
    </row>
    <row r="154">
      <c r="A154" s="4" t="inlineStr">
        <is>
          <t>设计费</t>
        </is>
      </c>
      <c r="D154" s="7" t="n">
        <v>153</v>
      </c>
      <c r="F154" s="7" t="n">
        <v>109.1</v>
      </c>
      <c r="H154" s="7" t="n">
        <v>257.8</v>
      </c>
      <c r="J154" s="7" t="n">
        <v>123.6</v>
      </c>
      <c r="L154" s="7" t="n">
        <v>300.5</v>
      </c>
      <c r="N154" s="7" t="n">
        <v>176.5</v>
      </c>
      <c r="P154" s="7" t="n">
        <v>266.2</v>
      </c>
      <c r="R154" s="7" t="n">
        <v>197.5</v>
      </c>
      <c r="T154" s="7" t="n">
        <v>217</v>
      </c>
      <c r="V154" s="7" t="n">
        <v>163.1</v>
      </c>
      <c r="X154" s="7" t="n">
        <v>112.5</v>
      </c>
      <c r="Z154" s="7" t="n">
        <v>198.8</v>
      </c>
      <c r="AB154" s="7" t="n">
        <v>2275.6</v>
      </c>
    </row>
    <row r="155">
      <c r="A155" s="4" t="inlineStr">
        <is>
          <t>折旧费</t>
        </is>
      </c>
      <c r="D155" s="7" t="n">
        <v>3977.3</v>
      </c>
      <c r="F155" s="7" t="n">
        <v>1513.2</v>
      </c>
      <c r="H155" s="7" t="n">
        <v>5975.4</v>
      </c>
      <c r="J155" s="7" t="n">
        <v>3748.2</v>
      </c>
      <c r="L155" s="7" t="n">
        <v>7434.8</v>
      </c>
      <c r="N155" s="7" t="n">
        <v>3787.5</v>
      </c>
      <c r="P155" s="7" t="n">
        <v>8660.6</v>
      </c>
      <c r="R155" s="7" t="n">
        <v>3872.8</v>
      </c>
      <c r="T155" s="7" t="n">
        <v>7116</v>
      </c>
      <c r="V155" s="7" t="n">
        <v>7108.8</v>
      </c>
      <c r="X155" s="7" t="n">
        <v>3236.1</v>
      </c>
      <c r="Z155" s="7" t="n">
        <v>4399</v>
      </c>
      <c r="AB155" s="7" t="n">
        <v>60829.7</v>
      </c>
    </row>
    <row r="156">
      <c r="A156" s="4" t="inlineStr">
        <is>
          <t>认证费</t>
        </is>
      </c>
      <c r="D156" s="7" t="n">
        <v>239.5</v>
      </c>
      <c r="F156" s="7" t="n">
        <v>181.3</v>
      </c>
      <c r="H156" s="7" t="n">
        <v>325.9</v>
      </c>
      <c r="J156" s="7" t="n">
        <v>220.7</v>
      </c>
      <c r="L156" s="7" t="n">
        <v>578.1</v>
      </c>
      <c r="N156" s="7" t="n">
        <v>272.9</v>
      </c>
      <c r="P156" s="7" t="n">
        <v>403</v>
      </c>
      <c r="R156" s="7" t="n">
        <v>293.8</v>
      </c>
      <c r="T156" s="7" t="n">
        <v>362.5</v>
      </c>
      <c r="V156" s="7" t="n">
        <v>439.6</v>
      </c>
      <c r="X156" s="7" t="n">
        <v>202.4</v>
      </c>
      <c r="Z156" s="7" t="n">
        <v>332.6</v>
      </c>
      <c r="AB156" s="7" t="n">
        <v>3852.3</v>
      </c>
    </row>
    <row r="157">
      <c r="A157" s="4" t="inlineStr">
        <is>
          <t>样品费</t>
        </is>
      </c>
      <c r="D157" s="7" t="n">
        <v>2392.9</v>
      </c>
      <c r="F157" s="7" t="n">
        <v>1033.5</v>
      </c>
      <c r="H157" s="7" t="n">
        <v>1887</v>
      </c>
      <c r="J157" s="7" t="n">
        <v>1920</v>
      </c>
      <c r="L157" s="7" t="n">
        <v>4410.6</v>
      </c>
      <c r="N157" s="7" t="n">
        <v>3015.5</v>
      </c>
      <c r="P157" s="7" t="n">
        <v>3224.4</v>
      </c>
      <c r="R157" s="7" t="n">
        <v>2542.9</v>
      </c>
      <c r="T157" s="7" t="n">
        <v>2339.4</v>
      </c>
      <c r="V157" s="7" t="n">
        <v>2791</v>
      </c>
      <c r="X157" s="7" t="n">
        <v>1666.1</v>
      </c>
      <c r="Z157" s="7" t="n">
        <v>2621</v>
      </c>
      <c r="AB157" s="7" t="n">
        <v>29844.3</v>
      </c>
    </row>
    <row r="158">
      <c r="A158" s="4" t="inlineStr">
        <is>
          <t>劳务费</t>
        </is>
      </c>
      <c r="D158" s="7" t="n">
        <v>580.9</v>
      </c>
      <c r="F158" s="7" t="n">
        <v>296.9</v>
      </c>
      <c r="H158" s="7" t="n">
        <v>780</v>
      </c>
      <c r="J158" s="7" t="n">
        <v>444.7</v>
      </c>
      <c r="L158" s="7" t="n">
        <v>1205.7</v>
      </c>
      <c r="N158" s="7" t="n">
        <v>663.1</v>
      </c>
      <c r="P158" s="7" t="n">
        <v>1437.5</v>
      </c>
      <c r="R158" s="7" t="n">
        <v>453.7</v>
      </c>
      <c r="T158" s="7" t="n">
        <v>980.7</v>
      </c>
      <c r="V158" s="7" t="n">
        <v>802.1</v>
      </c>
      <c r="X158" s="7" t="n">
        <v>307.9</v>
      </c>
      <c r="Z158" s="7" t="n">
        <v>477.7</v>
      </c>
      <c r="AB158" s="7" t="n">
        <v>8430.9</v>
      </c>
    </row>
    <row r="159">
      <c r="A159" s="4" t="inlineStr">
        <is>
          <t>销售佣金</t>
        </is>
      </c>
      <c r="D159" s="7" t="n">
        <v>276.7</v>
      </c>
      <c r="F159" s="7" t="n">
        <v>180</v>
      </c>
      <c r="H159" s="7" t="n">
        <v>471.7</v>
      </c>
      <c r="J159" s="7" t="n">
        <v>207.1</v>
      </c>
      <c r="L159" s="7" t="n">
        <v>576.6</v>
      </c>
      <c r="N159" s="7" t="n">
        <v>321.8</v>
      </c>
      <c r="P159" s="7" t="n">
        <v>887.9</v>
      </c>
      <c r="R159" s="7" t="n">
        <v>341.9</v>
      </c>
      <c r="T159" s="7" t="n">
        <v>492.8</v>
      </c>
      <c r="V159" s="7" t="n">
        <v>426.1</v>
      </c>
      <c r="X159" s="7" t="n">
        <v>230.3</v>
      </c>
      <c r="Z159" s="7" t="n">
        <v>236.3</v>
      </c>
      <c r="AB159" s="7" t="n">
        <v>4649.2</v>
      </c>
    </row>
    <row r="160">
      <c r="A160" s="4" t="inlineStr">
        <is>
          <t>检测费</t>
        </is>
      </c>
      <c r="D160" s="7" t="n">
        <v>788.6</v>
      </c>
      <c r="F160" s="7" t="n">
        <v>308.3</v>
      </c>
      <c r="H160" s="7" t="n">
        <v>1029.5</v>
      </c>
      <c r="J160" s="7" t="n">
        <v>553.4</v>
      </c>
      <c r="L160" s="7" t="n">
        <v>1538.6</v>
      </c>
      <c r="N160" s="7" t="n">
        <v>732.9</v>
      </c>
      <c r="P160" s="7" t="n">
        <v>1550.7</v>
      </c>
      <c r="R160" s="7" t="n">
        <v>748.2</v>
      </c>
      <c r="T160" s="7" t="n">
        <v>756.7</v>
      </c>
      <c r="V160" s="7" t="n">
        <v>798.1</v>
      </c>
      <c r="X160" s="7" t="n">
        <v>329.4</v>
      </c>
      <c r="Z160" s="7" t="n">
        <v>789</v>
      </c>
      <c r="AB160" s="7" t="n">
        <v>9923.4</v>
      </c>
    </row>
    <row r="161">
      <c r="A161" s="4" t="inlineStr">
        <is>
          <t>质量赔偿</t>
        </is>
      </c>
      <c r="D161" s="7" t="n">
        <v>413.8</v>
      </c>
      <c r="F161" s="7" t="n">
        <v>213.4</v>
      </c>
      <c r="H161" s="7" t="n">
        <v>657.6</v>
      </c>
      <c r="J161" s="7" t="n">
        <v>290.3</v>
      </c>
      <c r="L161" s="7" t="n">
        <v>1211.1</v>
      </c>
      <c r="N161" s="7" t="n">
        <v>608.4</v>
      </c>
      <c r="P161" s="7" t="n">
        <v>847.5</v>
      </c>
      <c r="R161" s="7" t="n">
        <v>439.3</v>
      </c>
      <c r="T161" s="7" t="n">
        <v>670.8</v>
      </c>
      <c r="V161" s="7" t="n">
        <v>595.3</v>
      </c>
      <c r="X161" s="7" t="n">
        <v>250.3</v>
      </c>
      <c r="Z161" s="7" t="n">
        <v>394.3</v>
      </c>
      <c r="AB161" s="7" t="n">
        <v>6592.1</v>
      </c>
    </row>
    <row r="162">
      <c r="A162" s="4" t="inlineStr">
        <is>
          <t>保险费</t>
        </is>
      </c>
      <c r="D162" s="7" t="n">
        <v>43.6</v>
      </c>
      <c r="F162" s="7" t="n">
        <v>23.9</v>
      </c>
      <c r="H162" s="7" t="n">
        <v>48.2</v>
      </c>
      <c r="J162" s="7" t="n">
        <v>35.5</v>
      </c>
      <c r="L162" s="7" t="n">
        <v>97.59999999999999</v>
      </c>
      <c r="N162" s="7" t="n">
        <v>42.3</v>
      </c>
      <c r="P162" s="7" t="n">
        <v>63.2</v>
      </c>
      <c r="R162" s="7" t="n">
        <v>33.6</v>
      </c>
      <c r="T162" s="7" t="n">
        <v>61.8</v>
      </c>
      <c r="V162" s="7" t="n">
        <v>50.7</v>
      </c>
      <c r="X162" s="7" t="n">
        <v>30.3</v>
      </c>
      <c r="Z162" s="7" t="n">
        <v>40.6</v>
      </c>
      <c r="AB162" s="7" t="n">
        <v>571.3</v>
      </c>
    </row>
    <row r="163">
      <c r="A163" s="4" t="inlineStr">
        <is>
          <t>清洁费</t>
        </is>
      </c>
      <c r="D163" s="7" t="n">
        <v>415.6</v>
      </c>
      <c r="F163" s="7" t="n">
        <v>292.1</v>
      </c>
      <c r="H163" s="7" t="n">
        <v>672</v>
      </c>
      <c r="J163" s="7" t="n">
        <v>458</v>
      </c>
      <c r="L163" s="7" t="n">
        <v>968.2</v>
      </c>
      <c r="N163" s="7" t="n">
        <v>625.5</v>
      </c>
      <c r="P163" s="7" t="n">
        <v>785.4</v>
      </c>
      <c r="R163" s="7" t="n">
        <v>462.1</v>
      </c>
      <c r="T163" s="7" t="n">
        <v>629.1</v>
      </c>
      <c r="V163" s="7" t="n">
        <v>624.8</v>
      </c>
      <c r="X163" s="7" t="n">
        <v>251</v>
      </c>
      <c r="Z163" s="7" t="n">
        <v>619.3</v>
      </c>
      <c r="AB163" s="7" t="n">
        <v>6803.1</v>
      </c>
    </row>
    <row r="164">
      <c r="A164" s="4" t="inlineStr">
        <is>
          <t>低值易耗品</t>
        </is>
      </c>
      <c r="D164" s="7" t="n">
        <v>10.5</v>
      </c>
      <c r="F164" s="7" t="n">
        <v>8.9</v>
      </c>
      <c r="H164" s="7" t="n">
        <v>17.7</v>
      </c>
      <c r="J164" s="7" t="n">
        <v>11.9</v>
      </c>
      <c r="L164" s="7" t="n">
        <v>31.1</v>
      </c>
      <c r="N164" s="7" t="n">
        <v>13</v>
      </c>
      <c r="P164" s="7" t="n">
        <v>36.3</v>
      </c>
      <c r="R164" s="7" t="n">
        <v>15.4</v>
      </c>
      <c r="T164" s="7" t="n">
        <v>14.1</v>
      </c>
      <c r="V164" s="7" t="n">
        <v>17.2</v>
      </c>
      <c r="X164" s="7" t="n">
        <v>12.6</v>
      </c>
      <c r="Z164" s="7" t="n">
        <v>17.9</v>
      </c>
      <c r="AB164" s="7" t="n">
        <v>206.6</v>
      </c>
    </row>
    <row r="165">
      <c r="A165" s="4" t="inlineStr">
        <is>
          <t>物料消耗</t>
        </is>
      </c>
      <c r="D165" s="7" t="n">
        <v>115.8</v>
      </c>
      <c r="F165" s="7" t="n">
        <v>58.5</v>
      </c>
      <c r="H165" s="7" t="n">
        <v>121.8</v>
      </c>
      <c r="J165" s="7" t="n">
        <v>78</v>
      </c>
      <c r="L165" s="7" t="n">
        <v>229.6</v>
      </c>
      <c r="N165" s="7" t="n">
        <v>85.40000000000001</v>
      </c>
      <c r="P165" s="7" t="n">
        <v>172.8</v>
      </c>
      <c r="R165" s="7" t="n">
        <v>86.2</v>
      </c>
      <c r="T165" s="7" t="n">
        <v>107.5</v>
      </c>
      <c r="V165" s="7" t="n">
        <v>168.6</v>
      </c>
      <c r="X165" s="7" t="n">
        <v>78.5</v>
      </c>
      <c r="Z165" s="7" t="n">
        <v>82.7</v>
      </c>
      <c r="AB165" s="7" t="n">
        <v>1385.4</v>
      </c>
    </row>
    <row r="166">
      <c r="A166" s="4" t="inlineStr">
        <is>
          <t>盘盈盘亏</t>
        </is>
      </c>
      <c r="D166" s="7" t="n">
        <v>169.9</v>
      </c>
      <c r="F166" s="7" t="n">
        <v>115.6</v>
      </c>
      <c r="H166" s="7" t="n">
        <v>220</v>
      </c>
      <c r="J166" s="7" t="n">
        <v>159.3</v>
      </c>
      <c r="L166" s="7" t="n">
        <v>433.9</v>
      </c>
      <c r="N166" s="7" t="n">
        <v>277.3</v>
      </c>
      <c r="P166" s="7" t="n">
        <v>485.8</v>
      </c>
      <c r="R166" s="7" t="n">
        <v>166.5</v>
      </c>
      <c r="T166" s="7" t="n">
        <v>287.6</v>
      </c>
      <c r="V166" s="7" t="n">
        <v>303</v>
      </c>
      <c r="X166" s="7" t="n">
        <v>111.5</v>
      </c>
      <c r="Z166" s="7" t="n">
        <v>171.4</v>
      </c>
      <c r="AB166" s="7" t="n">
        <v>2901.8</v>
      </c>
    </row>
    <row r="167">
      <c r="A167" s="4" t="inlineStr">
        <is>
          <t>平台服务费</t>
        </is>
      </c>
      <c r="D167" s="7" t="n">
        <v>269.5</v>
      </c>
      <c r="F167" s="7" t="n">
        <v>153.1</v>
      </c>
      <c r="H167" s="7" t="n">
        <v>448.7</v>
      </c>
      <c r="J167" s="7" t="n">
        <v>284.5</v>
      </c>
      <c r="L167" s="7" t="n">
        <v>574.5</v>
      </c>
      <c r="N167" s="7" t="n">
        <v>290.5</v>
      </c>
      <c r="P167" s="7" t="n">
        <v>481</v>
      </c>
      <c r="R167" s="7" t="n">
        <v>277.7</v>
      </c>
      <c r="T167" s="7" t="n">
        <v>353.2</v>
      </c>
      <c r="V167" s="7" t="n">
        <v>362.8</v>
      </c>
      <c r="X167" s="7" t="n">
        <v>199.3</v>
      </c>
      <c r="Z167" s="7" t="n">
        <v>284.6</v>
      </c>
      <c r="AB167" s="7" t="n">
        <v>3979.4</v>
      </c>
    </row>
    <row r="168">
      <c r="A168" s="4" t="inlineStr">
        <is>
          <t>无形资产摊销</t>
        </is>
      </c>
      <c r="D168" s="7" t="n">
        <v>535.9</v>
      </c>
      <c r="F168" s="7" t="n">
        <v>222.3</v>
      </c>
      <c r="H168" s="7" t="n">
        <v>723.5</v>
      </c>
      <c r="J168" s="7" t="n">
        <v>340.2</v>
      </c>
      <c r="L168" s="7" t="n">
        <v>808.2</v>
      </c>
      <c r="N168" s="7" t="n">
        <v>388.6</v>
      </c>
      <c r="P168" s="7" t="n">
        <v>1019.1</v>
      </c>
      <c r="R168" s="7" t="n">
        <v>548.7</v>
      </c>
      <c r="T168" s="7" t="n">
        <v>780.3</v>
      </c>
      <c r="V168" s="7" t="n">
        <v>647.8</v>
      </c>
      <c r="X168" s="7" t="n">
        <v>372.1</v>
      </c>
      <c r="Z168" s="7" t="n">
        <v>392.2</v>
      </c>
      <c r="AB168" s="7" t="n">
        <v>6778.9</v>
      </c>
    </row>
    <row r="169">
      <c r="A169" s="4" t="inlineStr">
        <is>
          <t>研发材料</t>
        </is>
      </c>
      <c r="D169" s="7" t="n">
        <v>371.2</v>
      </c>
      <c r="F169" s="7" t="n">
        <v>161.8</v>
      </c>
      <c r="H169" s="7" t="n">
        <v>362.4</v>
      </c>
      <c r="J169" s="7" t="n">
        <v>225.4</v>
      </c>
      <c r="L169" s="7" t="n">
        <v>563.9</v>
      </c>
      <c r="N169" s="7" t="n">
        <v>343</v>
      </c>
      <c r="P169" s="7" t="n">
        <v>701.3</v>
      </c>
      <c r="R169" s="7" t="n">
        <v>291.3</v>
      </c>
      <c r="T169" s="7" t="n">
        <v>482.8</v>
      </c>
      <c r="V169" s="7" t="n">
        <v>540.9</v>
      </c>
      <c r="X169" s="7" t="n">
        <v>222.5</v>
      </c>
      <c r="Z169" s="7" t="n">
        <v>327.2</v>
      </c>
      <c r="AB169" s="7" t="n">
        <v>4593.7</v>
      </c>
    </row>
    <row r="170">
      <c r="A170" s="4" t="inlineStr">
        <is>
          <t>项目名称</t>
        </is>
      </c>
      <c r="D170" s="7" t="n">
        <v>195.1</v>
      </c>
      <c r="F170" s="7" t="n">
        <v>64.2</v>
      </c>
      <c r="H170" s="7" t="n">
        <v>247.4</v>
      </c>
      <c r="J170" s="7" t="n">
        <v>111.6</v>
      </c>
      <c r="L170" s="7" t="n">
        <v>319.3</v>
      </c>
      <c r="N170" s="7" t="n">
        <v>191.8</v>
      </c>
      <c r="P170" s="7" t="n">
        <v>353.1</v>
      </c>
      <c r="R170" s="7" t="n">
        <v>118.4</v>
      </c>
      <c r="T170" s="7" t="n">
        <v>287.2</v>
      </c>
      <c r="V170" s="7" t="n">
        <v>163.4</v>
      </c>
      <c r="X170" s="7" t="n">
        <v>143.6</v>
      </c>
      <c r="Z170" s="7" t="n">
        <v>163.5</v>
      </c>
      <c r="AB170" s="7" t="n">
        <v>2358.6</v>
      </c>
    </row>
    <row r="171">
      <c r="A171" s="4" t="inlineStr">
        <is>
          <t>研发费</t>
        </is>
      </c>
      <c r="D171" s="7" t="n">
        <v>201.8</v>
      </c>
      <c r="F171" s="7" t="n">
        <v>121.1</v>
      </c>
      <c r="H171" s="7" t="n">
        <v>246.1</v>
      </c>
      <c r="J171" s="7" t="n">
        <v>139.2</v>
      </c>
      <c r="L171" s="7" t="n">
        <v>425.7</v>
      </c>
      <c r="N171" s="7" t="n">
        <v>276.8</v>
      </c>
      <c r="P171" s="7" t="n">
        <v>413.1</v>
      </c>
      <c r="R171" s="7" t="n">
        <v>269.8</v>
      </c>
      <c r="T171" s="7" t="n">
        <v>241.4</v>
      </c>
      <c r="V171" s="7" t="n">
        <v>337</v>
      </c>
      <c r="X171" s="7" t="n">
        <v>193</v>
      </c>
      <c r="Z171" s="7" t="n">
        <v>260.5</v>
      </c>
      <c r="AB171" s="7" t="n">
        <v>3125.5</v>
      </c>
    </row>
    <row r="172">
      <c r="A172" s="4" t="inlineStr">
        <is>
          <t>残保金</t>
        </is>
      </c>
      <c r="D172" s="7" t="n">
        <v>36.2</v>
      </c>
      <c r="F172" s="7" t="n">
        <v>18.8</v>
      </c>
      <c r="H172" s="7" t="n">
        <v>46.4</v>
      </c>
      <c r="J172" s="7" t="n">
        <v>22.4</v>
      </c>
      <c r="L172" s="7" t="n">
        <v>57.3</v>
      </c>
      <c r="N172" s="7" t="n">
        <v>37.1</v>
      </c>
      <c r="P172" s="7" t="n">
        <v>55.5</v>
      </c>
      <c r="R172" s="7" t="n">
        <v>26.5</v>
      </c>
      <c r="T172" s="7" t="n">
        <v>36.9</v>
      </c>
      <c r="V172" s="7" t="n">
        <v>35.5</v>
      </c>
      <c r="X172" s="7" t="n">
        <v>27.8</v>
      </c>
      <c r="Z172" s="7" t="n">
        <v>37.1</v>
      </c>
      <c r="AB172" s="7" t="n">
        <v>437.5</v>
      </c>
    </row>
    <row r="173">
      <c r="A173" s="4" t="inlineStr">
        <is>
          <t>环保费</t>
        </is>
      </c>
      <c r="D173" s="7" t="n">
        <v>401.5</v>
      </c>
      <c r="F173" s="7" t="n">
        <v>195.9</v>
      </c>
      <c r="H173" s="7" t="n">
        <v>705.1</v>
      </c>
      <c r="J173" s="7" t="n">
        <v>426</v>
      </c>
      <c r="L173" s="7" t="n">
        <v>1075.8</v>
      </c>
      <c r="N173" s="7" t="n">
        <v>404.6</v>
      </c>
      <c r="P173" s="7" t="n">
        <v>875.7</v>
      </c>
      <c r="R173" s="7" t="n">
        <v>551.1</v>
      </c>
      <c r="T173" s="7" t="n">
        <v>653.5</v>
      </c>
      <c r="V173" s="7" t="n">
        <v>738</v>
      </c>
      <c r="X173" s="7" t="n">
        <v>334.8</v>
      </c>
      <c r="Z173" s="7" t="n">
        <v>313.5</v>
      </c>
      <c r="AB173" s="7" t="n">
        <v>6675.5</v>
      </c>
    </row>
    <row r="174">
      <c r="A174" s="4" t="inlineStr">
        <is>
          <t>报废损失</t>
        </is>
      </c>
      <c r="D174" s="7" t="n">
        <v>527.5</v>
      </c>
      <c r="F174" s="7" t="n">
        <v>242.6</v>
      </c>
      <c r="H174" s="7" t="n">
        <v>1054</v>
      </c>
      <c r="J174" s="7" t="n">
        <v>570.3</v>
      </c>
      <c r="L174" s="7" t="n">
        <v>958.3</v>
      </c>
      <c r="N174" s="7" t="n">
        <v>868.4</v>
      </c>
      <c r="P174" s="7" t="n">
        <v>1608.8</v>
      </c>
      <c r="R174" s="7" t="n">
        <v>656.8</v>
      </c>
      <c r="T174" s="7" t="n">
        <v>1021.2</v>
      </c>
      <c r="V174" s="7" t="n">
        <v>792.6</v>
      </c>
      <c r="X174" s="7" t="n">
        <v>423.4</v>
      </c>
      <c r="Z174" s="7" t="n">
        <v>484.1</v>
      </c>
      <c r="AB174" s="7" t="n">
        <v>9208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73089.39999999999</v>
      </c>
      <c r="D175" s="7" t="n">
        <v>49274.4</v>
      </c>
      <c r="E175" s="7" t="n">
        <v>62845.1</v>
      </c>
      <c r="F175" s="7" t="n">
        <v>45625.9</v>
      </c>
      <c r="G175" s="7" t="n">
        <v>56526</v>
      </c>
      <c r="H175" s="7" t="n">
        <v>59596.1</v>
      </c>
      <c r="I175" s="7" t="n">
        <v>69224</v>
      </c>
      <c r="J175" s="7" t="n">
        <v>74547.89999999999</v>
      </c>
      <c r="K175" s="7" t="n">
        <v>64177.5</v>
      </c>
      <c r="L175" s="7" t="n">
        <v>100492</v>
      </c>
      <c r="M175" s="7" t="n">
        <v>63296.9</v>
      </c>
      <c r="N175" s="7" t="n">
        <v>114724.8</v>
      </c>
      <c r="O175" s="7" t="n">
        <v>56846.7</v>
      </c>
      <c r="P175" s="7" t="n">
        <v>39056.3</v>
      </c>
      <c r="Q175" s="7" t="n">
        <v>67527.5</v>
      </c>
      <c r="R175" s="7" t="n">
        <v>31111.1</v>
      </c>
      <c r="S175" s="7" t="n">
        <v>67626.10000000001</v>
      </c>
      <c r="T175" s="7" t="n">
        <v>84775.7</v>
      </c>
      <c r="U175" s="7" t="n">
        <v>64968.9</v>
      </c>
      <c r="V175" s="7" t="n">
        <v>73712.5</v>
      </c>
      <c r="W175" s="7" t="n">
        <v>68034.39999999999</v>
      </c>
      <c r="X175" s="7" t="n">
        <v>68170.39999999999</v>
      </c>
      <c r="Y175" s="7" t="n">
        <v>60492</v>
      </c>
      <c r="Z175" s="7" t="n">
        <v>35946.9</v>
      </c>
      <c r="AA175" s="8" t="n">
        <v>774654.5</v>
      </c>
      <c r="AB175" s="8" t="n">
        <v>777034</v>
      </c>
    </row>
    <row r="176">
      <c r="A176" s="4" t="inlineStr">
        <is>
          <t>职工薪酬</t>
        </is>
      </c>
      <c r="D176" s="7" t="n">
        <v>31068.6</v>
      </c>
      <c r="F176" s="7" t="n">
        <v>24852.5</v>
      </c>
      <c r="H176" s="7" t="n">
        <v>24057.4</v>
      </c>
      <c r="J176" s="7" t="n">
        <v>40872.8</v>
      </c>
      <c r="L176" s="7" t="n">
        <v>46572.6</v>
      </c>
      <c r="N176" s="7" t="n">
        <v>62566.2</v>
      </c>
      <c r="P176" s="7" t="n">
        <v>21474.2</v>
      </c>
      <c r="R176" s="7" t="n">
        <v>17199.8</v>
      </c>
      <c r="T176" s="7" t="n">
        <v>33417.8</v>
      </c>
      <c r="V176" s="7" t="n">
        <v>32716.8</v>
      </c>
      <c r="X176" s="7" t="n">
        <v>35315.8</v>
      </c>
      <c r="Z176" s="7" t="n">
        <v>18735.4</v>
      </c>
      <c r="AB176" s="7" t="n">
        <v>388849.9</v>
      </c>
    </row>
    <row r="177">
      <c r="A177" s="4" t="inlineStr">
        <is>
          <t>工资</t>
        </is>
      </c>
      <c r="D177" s="7" t="n">
        <v>19021.5</v>
      </c>
      <c r="F177" s="7" t="n">
        <v>14395.4</v>
      </c>
      <c r="H177" s="7" t="n">
        <v>12695.1</v>
      </c>
      <c r="J177" s="7" t="n">
        <v>24268.5</v>
      </c>
      <c r="L177" s="7" t="n">
        <v>22329.7</v>
      </c>
      <c r="N177" s="7" t="n">
        <v>38926</v>
      </c>
      <c r="P177" s="7" t="n">
        <v>13132.6</v>
      </c>
      <c r="R177" s="7" t="n">
        <v>10406.6</v>
      </c>
      <c r="T177" s="7" t="n">
        <v>17858</v>
      </c>
      <c r="V177" s="7" t="n">
        <v>17874.3</v>
      </c>
      <c r="X177" s="7" t="n">
        <v>22958.9</v>
      </c>
      <c r="Z177" s="7" t="n">
        <v>10760.6</v>
      </c>
      <c r="AB177" s="7" t="n">
        <v>224627.2</v>
      </c>
    </row>
    <row r="178">
      <c r="A178" s="4" t="inlineStr">
        <is>
          <t>奖金及提成</t>
        </is>
      </c>
      <c r="D178" s="7" t="n">
        <v>6134.5</v>
      </c>
      <c r="F178" s="7" t="n">
        <v>5535.4</v>
      </c>
      <c r="H178" s="7" t="n">
        <v>5300</v>
      </c>
      <c r="J178" s="7" t="n">
        <v>8967.4</v>
      </c>
      <c r="L178" s="7" t="n">
        <v>11137</v>
      </c>
      <c r="N178" s="7" t="n">
        <v>12320.1</v>
      </c>
      <c r="P178" s="7" t="n">
        <v>3723.6</v>
      </c>
      <c r="R178" s="7" t="n">
        <v>3885.1</v>
      </c>
      <c r="T178" s="7" t="n">
        <v>6275.5</v>
      </c>
      <c r="V178" s="7" t="n">
        <v>5402.2</v>
      </c>
      <c r="X178" s="7" t="n">
        <v>5046.9</v>
      </c>
      <c r="Z178" s="7" t="n">
        <v>4404.9</v>
      </c>
      <c r="AB178" s="7" t="n">
        <v>78132.60000000001</v>
      </c>
    </row>
    <row r="179">
      <c r="A179" s="4" t="inlineStr">
        <is>
          <t>社保</t>
        </is>
      </c>
      <c r="D179" s="7" t="n">
        <v>4017.5</v>
      </c>
      <c r="F179" s="7" t="n">
        <v>3378.7</v>
      </c>
      <c r="H179" s="7" t="n">
        <v>4219.4</v>
      </c>
      <c r="J179" s="7" t="n">
        <v>5275.1</v>
      </c>
      <c r="L179" s="7" t="n">
        <v>9812.6</v>
      </c>
      <c r="N179" s="7" t="n">
        <v>7598.7</v>
      </c>
      <c r="P179" s="7" t="n">
        <v>3294.7</v>
      </c>
      <c r="R179" s="7" t="n">
        <v>1877.1</v>
      </c>
      <c r="T179" s="7" t="n">
        <v>6594</v>
      </c>
      <c r="V179" s="7" t="n">
        <v>6748.5</v>
      </c>
      <c r="X179" s="7" t="n">
        <v>4928.7</v>
      </c>
      <c r="Z179" s="7" t="n">
        <v>2463.6</v>
      </c>
      <c r="AB179" s="7" t="n">
        <v>60208.6</v>
      </c>
    </row>
    <row r="180">
      <c r="A180" s="4" t="inlineStr">
        <is>
          <t>养老</t>
        </is>
      </c>
      <c r="D180" s="7" t="n">
        <v>85.2</v>
      </c>
      <c r="F180" s="7" t="n">
        <v>69.59999999999999</v>
      </c>
      <c r="H180" s="7" t="n">
        <v>95</v>
      </c>
      <c r="J180" s="7" t="n">
        <v>155.6</v>
      </c>
      <c r="L180" s="7" t="n">
        <v>171.4</v>
      </c>
      <c r="N180" s="7" t="n">
        <v>159.8</v>
      </c>
      <c r="P180" s="7" t="n">
        <v>94.90000000000001</v>
      </c>
      <c r="R180" s="7" t="n">
        <v>74.7</v>
      </c>
      <c r="T180" s="7" t="n">
        <v>133.1</v>
      </c>
      <c r="V180" s="7" t="n">
        <v>163.9</v>
      </c>
      <c r="X180" s="7" t="n">
        <v>156.5</v>
      </c>
      <c r="Z180" s="7" t="n">
        <v>69.7</v>
      </c>
      <c r="AB180" s="7" t="n">
        <v>1429.4</v>
      </c>
    </row>
    <row r="181">
      <c r="A181" s="4" t="inlineStr">
        <is>
          <t>医疗</t>
        </is>
      </c>
      <c r="D181" s="7" t="n">
        <v>66.7</v>
      </c>
      <c r="F181" s="7" t="n">
        <v>50.6</v>
      </c>
      <c r="H181" s="7" t="n">
        <v>110.2</v>
      </c>
      <c r="J181" s="7" t="n">
        <v>122.4</v>
      </c>
      <c r="L181" s="7" t="n">
        <v>171.4</v>
      </c>
      <c r="N181" s="7" t="n">
        <v>160.2</v>
      </c>
      <c r="P181" s="7" t="n">
        <v>51.2</v>
      </c>
      <c r="R181" s="7" t="n">
        <v>56.2</v>
      </c>
      <c r="T181" s="7" t="n">
        <v>125.2</v>
      </c>
      <c r="V181" s="7" t="n">
        <v>96.09999999999999</v>
      </c>
      <c r="X181" s="7" t="n">
        <v>82.90000000000001</v>
      </c>
      <c r="Z181" s="7" t="n">
        <v>68.2</v>
      </c>
      <c r="AB181" s="7" t="n">
        <v>1161.3</v>
      </c>
    </row>
    <row r="182">
      <c r="A182" s="4" t="inlineStr">
        <is>
          <t>工伤</t>
        </is>
      </c>
      <c r="D182" s="7" t="n">
        <v>221.4</v>
      </c>
      <c r="F182" s="7" t="n">
        <v>303.6</v>
      </c>
      <c r="H182" s="7" t="n">
        <v>253.2</v>
      </c>
      <c r="J182" s="7" t="n">
        <v>410.1</v>
      </c>
      <c r="L182" s="7" t="n">
        <v>559.6</v>
      </c>
      <c r="N182" s="7" t="n">
        <v>594.7</v>
      </c>
      <c r="P182" s="7" t="n">
        <v>298.1</v>
      </c>
      <c r="R182" s="7" t="n">
        <v>178.2</v>
      </c>
      <c r="T182" s="7" t="n">
        <v>455</v>
      </c>
      <c r="V182" s="7" t="n">
        <v>527.9</v>
      </c>
      <c r="X182" s="7" t="n">
        <v>373.5</v>
      </c>
      <c r="Z182" s="7" t="n">
        <v>275.1</v>
      </c>
      <c r="AB182" s="7" t="n">
        <v>4450.4</v>
      </c>
    </row>
    <row r="183">
      <c r="A183" s="4" t="inlineStr">
        <is>
          <t>失业</t>
        </is>
      </c>
      <c r="D183" s="7" t="n">
        <v>352.4</v>
      </c>
      <c r="F183" s="7" t="n">
        <v>257.2</v>
      </c>
      <c r="H183" s="7" t="n">
        <v>292.8</v>
      </c>
      <c r="J183" s="7" t="n">
        <v>352.8</v>
      </c>
      <c r="L183" s="7" t="n">
        <v>635.2</v>
      </c>
      <c r="N183" s="7" t="n">
        <v>631.2</v>
      </c>
      <c r="P183" s="7" t="n">
        <v>293.8</v>
      </c>
      <c r="R183" s="7" t="n">
        <v>226</v>
      </c>
      <c r="T183" s="7" t="n">
        <v>382.2</v>
      </c>
      <c r="V183" s="7" t="n">
        <v>473.2</v>
      </c>
      <c r="X183" s="7" t="n">
        <v>369</v>
      </c>
      <c r="Z183" s="7" t="n">
        <v>271.7</v>
      </c>
      <c r="AB183" s="7" t="n">
        <v>4537.5</v>
      </c>
    </row>
    <row r="184">
      <c r="A184" s="4" t="inlineStr">
        <is>
          <t>生育</t>
        </is>
      </c>
      <c r="D184" s="7" t="n">
        <v>191.2</v>
      </c>
      <c r="F184" s="7" t="n">
        <v>190.6</v>
      </c>
      <c r="H184" s="7" t="n">
        <v>402.8</v>
      </c>
      <c r="J184" s="7" t="n">
        <v>499.5</v>
      </c>
      <c r="L184" s="7" t="n">
        <v>469.7</v>
      </c>
      <c r="N184" s="7" t="n">
        <v>707.3</v>
      </c>
      <c r="P184" s="7" t="n">
        <v>244.7</v>
      </c>
      <c r="R184" s="7" t="n">
        <v>207.9</v>
      </c>
      <c r="T184" s="7" t="n">
        <v>338.1</v>
      </c>
      <c r="V184" s="7" t="n">
        <v>374.6</v>
      </c>
      <c r="X184" s="7" t="n">
        <v>409.7</v>
      </c>
      <c r="Z184" s="7" t="n">
        <v>150.9</v>
      </c>
      <c r="AB184" s="7" t="n">
        <v>4187</v>
      </c>
    </row>
    <row r="185">
      <c r="A185" s="4" t="inlineStr">
        <is>
          <t>公积金</t>
        </is>
      </c>
      <c r="D185" s="7" t="n">
        <v>220</v>
      </c>
      <c r="F185" s="7" t="n">
        <v>122.1</v>
      </c>
      <c r="H185" s="7" t="n">
        <v>175</v>
      </c>
      <c r="J185" s="7" t="n">
        <v>268.1</v>
      </c>
      <c r="L185" s="7" t="n">
        <v>451.3</v>
      </c>
      <c r="N185" s="7" t="n">
        <v>305.6</v>
      </c>
      <c r="P185" s="7" t="n">
        <v>170.2</v>
      </c>
      <c r="R185" s="7" t="n">
        <v>127.2</v>
      </c>
      <c r="T185" s="7" t="n">
        <v>340.8</v>
      </c>
      <c r="V185" s="7" t="n">
        <v>337</v>
      </c>
      <c r="X185" s="7" t="n">
        <v>307</v>
      </c>
      <c r="Z185" s="7" t="n">
        <v>93.7</v>
      </c>
      <c r="AB185" s="7" t="n">
        <v>2918</v>
      </c>
    </row>
    <row r="186">
      <c r="A186" s="4" t="inlineStr">
        <is>
          <t>工会经费</t>
        </is>
      </c>
      <c r="D186" s="7" t="n">
        <v>77.7</v>
      </c>
      <c r="F186" s="7" t="n">
        <v>66.09999999999999</v>
      </c>
      <c r="H186" s="7" t="n">
        <v>113.2</v>
      </c>
      <c r="J186" s="7" t="n">
        <v>162.7</v>
      </c>
      <c r="L186" s="7" t="n">
        <v>136.8</v>
      </c>
      <c r="N186" s="7" t="n">
        <v>242.6</v>
      </c>
      <c r="P186" s="7" t="n">
        <v>50.4</v>
      </c>
      <c r="R186" s="7" t="n">
        <v>56.1</v>
      </c>
      <c r="T186" s="7" t="n">
        <v>132.3</v>
      </c>
      <c r="V186" s="7" t="n">
        <v>122.1</v>
      </c>
      <c r="X186" s="7" t="n">
        <v>139</v>
      </c>
      <c r="Z186" s="7" t="n">
        <v>78.3</v>
      </c>
      <c r="AB186" s="7" t="n">
        <v>1377.3</v>
      </c>
    </row>
    <row r="187">
      <c r="A187" s="4" t="inlineStr">
        <is>
          <t>职工教育经费</t>
        </is>
      </c>
      <c r="D187" s="7" t="n">
        <v>329.6</v>
      </c>
      <c r="F187" s="7" t="n">
        <v>289.2</v>
      </c>
      <c r="H187" s="7" t="n">
        <v>251.9</v>
      </c>
      <c r="J187" s="7" t="n">
        <v>305.6</v>
      </c>
      <c r="L187" s="7" t="n">
        <v>496</v>
      </c>
      <c r="N187" s="7" t="n">
        <v>626.6</v>
      </c>
      <c r="P187" s="7" t="n">
        <v>177</v>
      </c>
      <c r="R187" s="7" t="n">
        <v>130.4</v>
      </c>
      <c r="T187" s="7" t="n">
        <v>354.2</v>
      </c>
      <c r="V187" s="7" t="n">
        <v>464.4</v>
      </c>
      <c r="X187" s="7" t="n">
        <v>285.1</v>
      </c>
      <c r="Z187" s="7" t="n">
        <v>169.6</v>
      </c>
      <c r="AB187" s="7" t="n">
        <v>3879.6</v>
      </c>
    </row>
    <row r="188">
      <c r="A188" s="4" t="inlineStr">
        <is>
          <t>福利费</t>
        </is>
      </c>
      <c r="D188" s="7" t="n">
        <v>1267.8</v>
      </c>
      <c r="F188" s="7" t="n">
        <v>1065.6</v>
      </c>
      <c r="H188" s="7" t="n">
        <v>1302.8</v>
      </c>
      <c r="J188" s="7" t="n">
        <v>1625.4</v>
      </c>
      <c r="L188" s="7" t="n">
        <v>2209.2</v>
      </c>
      <c r="N188" s="7" t="n">
        <v>2546.6</v>
      </c>
      <c r="P188" s="7" t="n">
        <v>925.7</v>
      </c>
      <c r="R188" s="7" t="n">
        <v>717.3</v>
      </c>
      <c r="T188" s="7" t="n">
        <v>1863</v>
      </c>
      <c r="V188" s="7" t="n">
        <v>1768.3</v>
      </c>
      <c r="X188" s="7" t="n">
        <v>1650.2</v>
      </c>
      <c r="Z188" s="7" t="n">
        <v>764.7</v>
      </c>
      <c r="AB188" s="7" t="n">
        <v>17706.6</v>
      </c>
    </row>
    <row r="189">
      <c r="A189" s="4" t="inlineStr">
        <is>
          <t>职工房租</t>
        </is>
      </c>
      <c r="D189" s="7" t="n">
        <v>284.5</v>
      </c>
      <c r="F189" s="7" t="n">
        <v>228</v>
      </c>
      <c r="H189" s="7" t="n">
        <v>343.1</v>
      </c>
      <c r="J189" s="7" t="n">
        <v>328.8</v>
      </c>
      <c r="L189" s="7" t="n">
        <v>501.4</v>
      </c>
      <c r="N189" s="7" t="n">
        <v>472.5</v>
      </c>
      <c r="P189" s="7" t="n">
        <v>211.7</v>
      </c>
      <c r="R189" s="7" t="n">
        <v>129.6</v>
      </c>
      <c r="T189" s="7" t="n">
        <v>373.8</v>
      </c>
      <c r="V189" s="7" t="n">
        <v>414.4</v>
      </c>
      <c r="X189" s="7" t="n">
        <v>305.4</v>
      </c>
      <c r="Z189" s="7" t="n">
        <v>193</v>
      </c>
      <c r="AB189" s="7" t="n">
        <v>3786.2</v>
      </c>
    </row>
    <row r="190">
      <c r="A190" s="4" t="inlineStr">
        <is>
          <t>水电物业费</t>
        </is>
      </c>
      <c r="D190" s="7" t="n">
        <v>127.6</v>
      </c>
      <c r="F190" s="7" t="n">
        <v>80.59999999999999</v>
      </c>
      <c r="H190" s="7" t="n">
        <v>139.6</v>
      </c>
      <c r="J190" s="7" t="n">
        <v>171</v>
      </c>
      <c r="L190" s="7" t="n">
        <v>163.1</v>
      </c>
      <c r="N190" s="7" t="n">
        <v>242.3</v>
      </c>
      <c r="P190" s="7" t="n">
        <v>61.4</v>
      </c>
      <c r="R190" s="7" t="n">
        <v>78.7</v>
      </c>
      <c r="T190" s="7" t="n">
        <v>206.2</v>
      </c>
      <c r="V190" s="7" t="n">
        <v>156.3</v>
      </c>
      <c r="X190" s="7" t="n">
        <v>123.5</v>
      </c>
      <c r="Z190" s="7" t="n">
        <v>52.8</v>
      </c>
      <c r="AB190" s="7" t="n">
        <v>1603.1</v>
      </c>
    </row>
    <row r="191">
      <c r="A191" s="4" t="inlineStr">
        <is>
          <t>员工餐</t>
        </is>
      </c>
      <c r="D191" s="7" t="n">
        <v>74.3</v>
      </c>
      <c r="F191" s="7" t="n">
        <v>98.3</v>
      </c>
      <c r="H191" s="7" t="n">
        <v>136.7</v>
      </c>
      <c r="J191" s="7" t="n">
        <v>114.2</v>
      </c>
      <c r="L191" s="7" t="n">
        <v>192.4</v>
      </c>
      <c r="N191" s="7" t="n">
        <v>176</v>
      </c>
      <c r="P191" s="7" t="n">
        <v>87.8</v>
      </c>
      <c r="R191" s="7" t="n">
        <v>58.2</v>
      </c>
      <c r="T191" s="7" t="n">
        <v>184.9</v>
      </c>
      <c r="V191" s="7" t="n">
        <v>165.2</v>
      </c>
      <c r="X191" s="7" t="n">
        <v>103.7</v>
      </c>
      <c r="Z191" s="7" t="n">
        <v>53.2</v>
      </c>
      <c r="AB191" s="7" t="n">
        <v>1444.9</v>
      </c>
    </row>
    <row r="192">
      <c r="A192" s="4" t="inlineStr">
        <is>
          <t>节日礼品</t>
        </is>
      </c>
      <c r="D192" s="7" t="n">
        <v>293.3</v>
      </c>
      <c r="F192" s="7" t="n">
        <v>252.9</v>
      </c>
      <c r="H192" s="7" t="n">
        <v>299.2</v>
      </c>
      <c r="J192" s="7" t="n">
        <v>287.2</v>
      </c>
      <c r="L192" s="7" t="n">
        <v>545.6</v>
      </c>
      <c r="N192" s="7" t="n">
        <v>442.5</v>
      </c>
      <c r="P192" s="7" t="n">
        <v>220.8</v>
      </c>
      <c r="R192" s="7" t="n">
        <v>145</v>
      </c>
      <c r="T192" s="7" t="n">
        <v>328.9</v>
      </c>
      <c r="V192" s="7" t="n">
        <v>435.2</v>
      </c>
      <c r="X192" s="7" t="n">
        <v>422.9</v>
      </c>
      <c r="Z192" s="7" t="n">
        <v>140.6</v>
      </c>
      <c r="AB192" s="7" t="n">
        <v>3814.1</v>
      </c>
    </row>
    <row r="193">
      <c r="A193" s="4" t="inlineStr">
        <is>
          <t>生日礼品</t>
        </is>
      </c>
      <c r="D193" s="7" t="n">
        <v>32.1</v>
      </c>
      <c r="F193" s="7" t="n">
        <v>22.9</v>
      </c>
      <c r="H193" s="7" t="n">
        <v>35.4</v>
      </c>
      <c r="J193" s="7" t="n">
        <v>32.8</v>
      </c>
      <c r="L193" s="7" t="n">
        <v>64.5</v>
      </c>
      <c r="N193" s="7" t="n">
        <v>75.7</v>
      </c>
      <c r="P193" s="7" t="n">
        <v>22.3</v>
      </c>
      <c r="R193" s="7" t="n">
        <v>15.9</v>
      </c>
      <c r="T193" s="7" t="n">
        <v>36.7</v>
      </c>
      <c r="V193" s="7" t="n">
        <v>41.2</v>
      </c>
      <c r="X193" s="7" t="n">
        <v>40.4</v>
      </c>
      <c r="Z193" s="7" t="n">
        <v>19.7</v>
      </c>
      <c r="AB193" s="7" t="n">
        <v>439.6</v>
      </c>
    </row>
    <row r="194">
      <c r="A194" s="4" t="inlineStr">
        <is>
          <t>体检</t>
        </is>
      </c>
      <c r="D194" s="7" t="n">
        <v>290.7</v>
      </c>
      <c r="F194" s="7" t="n">
        <v>274.5</v>
      </c>
      <c r="H194" s="7" t="n">
        <v>220.8</v>
      </c>
      <c r="J194" s="7" t="n">
        <v>407</v>
      </c>
      <c r="L194" s="7" t="n">
        <v>412.8</v>
      </c>
      <c r="N194" s="7" t="n">
        <v>709.7</v>
      </c>
      <c r="P194" s="7" t="n">
        <v>221.2</v>
      </c>
      <c r="R194" s="7" t="n">
        <v>205.9</v>
      </c>
      <c r="T194" s="7" t="n">
        <v>480.1</v>
      </c>
      <c r="V194" s="7" t="n">
        <v>384.7</v>
      </c>
      <c r="X194" s="7" t="n">
        <v>413.2</v>
      </c>
      <c r="Z194" s="7" t="n">
        <v>194.3</v>
      </c>
      <c r="AB194" s="7" t="n">
        <v>4214.9</v>
      </c>
    </row>
    <row r="195">
      <c r="A195" s="4" t="inlineStr">
        <is>
          <t>其他福利支出</t>
        </is>
      </c>
      <c r="D195" s="7" t="n">
        <v>165.3</v>
      </c>
      <c r="F195" s="7" t="n">
        <v>108.4</v>
      </c>
      <c r="H195" s="7" t="n">
        <v>128</v>
      </c>
      <c r="J195" s="7" t="n">
        <v>284.4</v>
      </c>
      <c r="L195" s="7" t="n">
        <v>329.4</v>
      </c>
      <c r="N195" s="7" t="n">
        <v>427.9</v>
      </c>
      <c r="P195" s="7" t="n">
        <v>100.5</v>
      </c>
      <c r="R195" s="7" t="n">
        <v>84</v>
      </c>
      <c r="T195" s="7" t="n">
        <v>252.4</v>
      </c>
      <c r="V195" s="7" t="n">
        <v>171.3</v>
      </c>
      <c r="X195" s="7" t="n">
        <v>241.1</v>
      </c>
      <c r="Z195" s="7" t="n">
        <v>111.1</v>
      </c>
      <c r="AB195" s="7" t="n">
        <v>2403.8</v>
      </c>
    </row>
    <row r="196">
      <c r="A196" s="4" t="inlineStr">
        <is>
          <t>招聘费</t>
        </is>
      </c>
      <c r="D196" s="7" t="n">
        <v>238.8</v>
      </c>
      <c r="F196" s="7" t="n">
        <v>255.7</v>
      </c>
      <c r="H196" s="7" t="n">
        <v>322</v>
      </c>
      <c r="J196" s="7" t="n">
        <v>372.7</v>
      </c>
      <c r="L196" s="7" t="n">
        <v>699.6</v>
      </c>
      <c r="N196" s="7" t="n">
        <v>513.6</v>
      </c>
      <c r="P196" s="7" t="n">
        <v>266.1</v>
      </c>
      <c r="R196" s="7" t="n">
        <v>193</v>
      </c>
      <c r="T196" s="7" t="n">
        <v>655.5</v>
      </c>
      <c r="V196" s="7" t="n">
        <v>492.8</v>
      </c>
      <c r="X196" s="7" t="n">
        <v>471.9</v>
      </c>
      <c r="Z196" s="7" t="n">
        <v>174.6</v>
      </c>
      <c r="AB196" s="7" t="n">
        <v>4656.3</v>
      </c>
    </row>
    <row r="197">
      <c r="A197" s="4" t="inlineStr">
        <is>
          <t>办公费</t>
        </is>
      </c>
      <c r="D197" s="7" t="n">
        <v>1595.1</v>
      </c>
      <c r="F197" s="7" t="n">
        <v>1381.9</v>
      </c>
      <c r="H197" s="7" t="n">
        <v>1268.6</v>
      </c>
      <c r="J197" s="7" t="n">
        <v>2075.6</v>
      </c>
      <c r="L197" s="7" t="n">
        <v>2631.3</v>
      </c>
      <c r="N197" s="7" t="n">
        <v>2468.4</v>
      </c>
      <c r="P197" s="7" t="n">
        <v>1376.5</v>
      </c>
      <c r="R197" s="7" t="n">
        <v>1119.1</v>
      </c>
      <c r="T197" s="7" t="n">
        <v>2180.3</v>
      </c>
      <c r="V197" s="7" t="n">
        <v>2103.3</v>
      </c>
      <c r="X197" s="7" t="n">
        <v>1871.6</v>
      </c>
      <c r="Z197" s="7" t="n">
        <v>949.3</v>
      </c>
      <c r="AB197" s="7" t="n">
        <v>21021</v>
      </c>
    </row>
    <row r="198">
      <c r="A198" s="4" t="inlineStr">
        <is>
          <t>市内交通费</t>
        </is>
      </c>
      <c r="D198" s="7" t="n">
        <v>149.6</v>
      </c>
      <c r="F198" s="7" t="n">
        <v>168.8</v>
      </c>
      <c r="H198" s="7" t="n">
        <v>208</v>
      </c>
      <c r="J198" s="7" t="n">
        <v>248.2</v>
      </c>
      <c r="L198" s="7" t="n">
        <v>284.4</v>
      </c>
      <c r="N198" s="7" t="n">
        <v>405.9</v>
      </c>
      <c r="P198" s="7" t="n">
        <v>87.2</v>
      </c>
      <c r="R198" s="7" t="n">
        <v>119</v>
      </c>
      <c r="T198" s="7" t="n">
        <v>286.6</v>
      </c>
      <c r="V198" s="7" t="n">
        <v>295.9</v>
      </c>
      <c r="X198" s="7" t="n">
        <v>224.1</v>
      </c>
      <c r="Z198" s="7" t="n">
        <v>101</v>
      </c>
      <c r="AB198" s="7" t="n">
        <v>2578.7</v>
      </c>
    </row>
    <row r="199">
      <c r="A199" s="4" t="inlineStr">
        <is>
          <t>差旅费</t>
        </is>
      </c>
      <c r="D199" s="7" t="n">
        <v>2765.1</v>
      </c>
      <c r="F199" s="7" t="n">
        <v>3046</v>
      </c>
      <c r="H199" s="7" t="n">
        <v>2941.2</v>
      </c>
      <c r="J199" s="7" t="n">
        <v>3382.7</v>
      </c>
      <c r="L199" s="7" t="n">
        <v>5627.7</v>
      </c>
      <c r="N199" s="7" t="n">
        <v>7408</v>
      </c>
      <c r="P199" s="7" t="n">
        <v>2138.7</v>
      </c>
      <c r="R199" s="7" t="n">
        <v>2208.6</v>
      </c>
      <c r="T199" s="7" t="n">
        <v>4233.7</v>
      </c>
      <c r="V199" s="7" t="n">
        <v>4579</v>
      </c>
      <c r="X199" s="7" t="n">
        <v>4165.9</v>
      </c>
      <c r="Z199" s="7" t="n">
        <v>2709.1</v>
      </c>
      <c r="AB199" s="7" t="n">
        <v>45205.7</v>
      </c>
    </row>
    <row r="200">
      <c r="A200" s="4" t="inlineStr">
        <is>
          <t>交通费</t>
        </is>
      </c>
      <c r="D200" s="7" t="n">
        <v>175.7</v>
      </c>
      <c r="F200" s="7" t="n">
        <v>120.4</v>
      </c>
      <c r="H200" s="7" t="n">
        <v>193.5</v>
      </c>
      <c r="J200" s="7" t="n">
        <v>269.9</v>
      </c>
      <c r="L200" s="7" t="n">
        <v>311.6</v>
      </c>
      <c r="N200" s="7" t="n">
        <v>399</v>
      </c>
      <c r="P200" s="7" t="n">
        <v>84.40000000000001</v>
      </c>
      <c r="R200" s="7" t="n">
        <v>84.3</v>
      </c>
      <c r="T200" s="7" t="n">
        <v>313.9</v>
      </c>
      <c r="V200" s="7" t="n">
        <v>203.3</v>
      </c>
      <c r="X200" s="7" t="n">
        <v>153.8</v>
      </c>
      <c r="Z200" s="7" t="n">
        <v>131.1</v>
      </c>
      <c r="AB200" s="7" t="n">
        <v>2440.9</v>
      </c>
    </row>
    <row r="201">
      <c r="A201" s="4" t="inlineStr">
        <is>
          <t>住宿费</t>
        </is>
      </c>
      <c r="D201" s="7" t="n">
        <v>194.5</v>
      </c>
      <c r="F201" s="7" t="n">
        <v>190</v>
      </c>
      <c r="H201" s="7" t="n">
        <v>250</v>
      </c>
      <c r="J201" s="7" t="n">
        <v>468.4</v>
      </c>
      <c r="L201" s="7" t="n">
        <v>453.5</v>
      </c>
      <c r="N201" s="7" t="n">
        <v>589.6</v>
      </c>
      <c r="P201" s="7" t="n">
        <v>270.7</v>
      </c>
      <c r="R201" s="7" t="n">
        <v>170.2</v>
      </c>
      <c r="T201" s="7" t="n">
        <v>493.9</v>
      </c>
      <c r="V201" s="7" t="n">
        <v>448.1</v>
      </c>
      <c r="X201" s="7" t="n">
        <v>365.1</v>
      </c>
      <c r="Z201" s="7" t="n">
        <v>244.4</v>
      </c>
      <c r="AB201" s="7" t="n">
        <v>4138.4</v>
      </c>
    </row>
    <row r="202">
      <c r="A202" s="4" t="inlineStr">
        <is>
          <t>餐补</t>
        </is>
      </c>
      <c r="D202" s="7" t="n">
        <v>260.4</v>
      </c>
      <c r="F202" s="7" t="n">
        <v>186.8</v>
      </c>
      <c r="H202" s="7" t="n">
        <v>209.1</v>
      </c>
      <c r="J202" s="7" t="n">
        <v>330.7</v>
      </c>
      <c r="L202" s="7" t="n">
        <v>574.1</v>
      </c>
      <c r="N202" s="7" t="n">
        <v>645.3</v>
      </c>
      <c r="P202" s="7" t="n">
        <v>234.3</v>
      </c>
      <c r="R202" s="7" t="n">
        <v>155.7</v>
      </c>
      <c r="T202" s="7" t="n">
        <v>493.8</v>
      </c>
      <c r="V202" s="7" t="n">
        <v>422.3</v>
      </c>
      <c r="X202" s="7" t="n">
        <v>383.4</v>
      </c>
      <c r="Z202" s="7" t="n">
        <v>184.1</v>
      </c>
      <c r="AB202" s="7" t="n">
        <v>4080</v>
      </c>
    </row>
    <row r="203">
      <c r="A203" s="4" t="inlineStr">
        <is>
          <t>交通补助</t>
        </is>
      </c>
      <c r="D203" s="7" t="n">
        <v>320</v>
      </c>
      <c r="F203" s="7" t="n">
        <v>251.7</v>
      </c>
      <c r="H203" s="7" t="n">
        <v>391.4</v>
      </c>
      <c r="J203" s="7" t="n">
        <v>535.4</v>
      </c>
      <c r="L203" s="7" t="n">
        <v>536.1</v>
      </c>
      <c r="N203" s="7" t="n">
        <v>847.8</v>
      </c>
      <c r="P203" s="7" t="n">
        <v>277.2</v>
      </c>
      <c r="R203" s="7" t="n">
        <v>247.1</v>
      </c>
      <c r="T203" s="7" t="n">
        <v>444</v>
      </c>
      <c r="V203" s="7" t="n">
        <v>443.1</v>
      </c>
      <c r="X203" s="7" t="n">
        <v>440.5</v>
      </c>
      <c r="Z203" s="7" t="n">
        <v>236</v>
      </c>
      <c r="AB203" s="7" t="n">
        <v>4970.3</v>
      </c>
    </row>
    <row r="204">
      <c r="A204" s="4" t="inlineStr">
        <is>
          <t>通讯补助</t>
        </is>
      </c>
      <c r="D204" s="7" t="n">
        <v>363.5</v>
      </c>
      <c r="F204" s="7" t="n">
        <v>249.6</v>
      </c>
      <c r="H204" s="7" t="n">
        <v>286</v>
      </c>
      <c r="J204" s="7" t="n">
        <v>316.6</v>
      </c>
      <c r="L204" s="7" t="n">
        <v>604.1</v>
      </c>
      <c r="N204" s="7" t="n">
        <v>755.2</v>
      </c>
      <c r="P204" s="7" t="n">
        <v>175.4</v>
      </c>
      <c r="R204" s="7" t="n">
        <v>204.9</v>
      </c>
      <c r="T204" s="7" t="n">
        <v>488.8</v>
      </c>
      <c r="V204" s="7" t="n">
        <v>505.5</v>
      </c>
      <c r="X204" s="7" t="n">
        <v>336.8</v>
      </c>
      <c r="Z204" s="7" t="n">
        <v>209.4</v>
      </c>
      <c r="AB204" s="7" t="n">
        <v>4495.8</v>
      </c>
    </row>
    <row r="205">
      <c r="A205" s="4" t="inlineStr">
        <is>
          <t>招待费</t>
        </is>
      </c>
      <c r="D205" s="7" t="n">
        <v>1991.2</v>
      </c>
      <c r="F205" s="7" t="n">
        <v>2169.6</v>
      </c>
      <c r="H205" s="7" t="n">
        <v>2424.9</v>
      </c>
      <c r="J205" s="7" t="n">
        <v>3465.4</v>
      </c>
      <c r="L205" s="7" t="n">
        <v>4826.9</v>
      </c>
      <c r="N205" s="7" t="n">
        <v>4125.7</v>
      </c>
      <c r="P205" s="7" t="n">
        <v>1739.2</v>
      </c>
      <c r="R205" s="7" t="n">
        <v>982.6</v>
      </c>
      <c r="T205" s="7" t="n">
        <v>4186.4</v>
      </c>
      <c r="V205" s="7" t="n">
        <v>2714.2</v>
      </c>
      <c r="X205" s="7" t="n">
        <v>2994.4</v>
      </c>
      <c r="Z205" s="7" t="n">
        <v>1578</v>
      </c>
      <c r="AB205" s="7" t="n">
        <v>33198.5</v>
      </c>
    </row>
    <row r="206">
      <c r="A206" s="4" t="inlineStr">
        <is>
          <t>通讯费</t>
        </is>
      </c>
      <c r="D206" s="7" t="n">
        <v>262.3</v>
      </c>
      <c r="F206" s="7" t="n">
        <v>157.9</v>
      </c>
      <c r="H206" s="7" t="n">
        <v>322.5</v>
      </c>
      <c r="J206" s="7" t="n">
        <v>366.6</v>
      </c>
      <c r="L206" s="7" t="n">
        <v>542.5</v>
      </c>
      <c r="N206" s="7" t="n">
        <v>577.1</v>
      </c>
      <c r="P206" s="7" t="n">
        <v>130.3</v>
      </c>
      <c r="R206" s="7" t="n">
        <v>112.5</v>
      </c>
      <c r="T206" s="7" t="n">
        <v>312.5</v>
      </c>
      <c r="V206" s="7" t="n">
        <v>264.9</v>
      </c>
      <c r="X206" s="7" t="n">
        <v>285.4</v>
      </c>
      <c r="Z206" s="7" t="n">
        <v>157.3</v>
      </c>
      <c r="AB206" s="7" t="n">
        <v>3491.8</v>
      </c>
    </row>
    <row r="207">
      <c r="A207" s="4" t="inlineStr">
        <is>
          <t>网络费</t>
        </is>
      </c>
      <c r="D207" s="7" t="n">
        <v>113.1</v>
      </c>
      <c r="F207" s="7" t="n">
        <v>90.09999999999999</v>
      </c>
      <c r="H207" s="7" t="n">
        <v>169.5</v>
      </c>
      <c r="J207" s="7" t="n">
        <v>159.8</v>
      </c>
      <c r="L207" s="7" t="n">
        <v>281</v>
      </c>
      <c r="N207" s="7" t="n">
        <v>279.5</v>
      </c>
      <c r="P207" s="7" t="n">
        <v>87.90000000000001</v>
      </c>
      <c r="R207" s="7" t="n">
        <v>74.59999999999999</v>
      </c>
      <c r="T207" s="7" t="n">
        <v>179.1</v>
      </c>
      <c r="V207" s="7" t="n">
        <v>148.2</v>
      </c>
      <c r="X207" s="7" t="n">
        <v>158</v>
      </c>
      <c r="Z207" s="7" t="n">
        <v>79.8</v>
      </c>
      <c r="AB207" s="7" t="n">
        <v>1820.6</v>
      </c>
    </row>
    <row r="208">
      <c r="A208" s="4" t="inlineStr">
        <is>
          <t>修理费</t>
        </is>
      </c>
      <c r="D208" s="7" t="n">
        <v>75.40000000000001</v>
      </c>
      <c r="F208" s="7" t="n">
        <v>72</v>
      </c>
      <c r="H208" s="7" t="n">
        <v>109.8</v>
      </c>
      <c r="J208" s="7" t="n">
        <v>118.4</v>
      </c>
      <c r="L208" s="7" t="n">
        <v>132.4</v>
      </c>
      <c r="N208" s="7" t="n">
        <v>184.9</v>
      </c>
      <c r="P208" s="7" t="n">
        <v>56.5</v>
      </c>
      <c r="R208" s="7" t="n">
        <v>69.2</v>
      </c>
      <c r="T208" s="7" t="n">
        <v>133.5</v>
      </c>
      <c r="V208" s="7" t="n">
        <v>117.8</v>
      </c>
      <c r="X208" s="7" t="n">
        <v>140.9</v>
      </c>
      <c r="Z208" s="7" t="n">
        <v>56.9</v>
      </c>
      <c r="AB208" s="7" t="n">
        <v>1267.7</v>
      </c>
    </row>
    <row r="209">
      <c r="A209" s="4" t="inlineStr">
        <is>
          <t>车辆费</t>
        </is>
      </c>
      <c r="D209" s="7" t="n">
        <v>254.7</v>
      </c>
      <c r="F209" s="7" t="n">
        <v>210.6</v>
      </c>
      <c r="H209" s="7" t="n">
        <v>243.9</v>
      </c>
      <c r="J209" s="7" t="n">
        <v>314.1</v>
      </c>
      <c r="L209" s="7" t="n">
        <v>403.6</v>
      </c>
      <c r="N209" s="7" t="n">
        <v>409.4</v>
      </c>
      <c r="P209" s="7" t="n">
        <v>206.1</v>
      </c>
      <c r="R209" s="7" t="n">
        <v>94.7</v>
      </c>
      <c r="T209" s="7" t="n">
        <v>377.9</v>
      </c>
      <c r="V209" s="7" t="n">
        <v>389.6</v>
      </c>
      <c r="X209" s="7" t="n">
        <v>261.7</v>
      </c>
      <c r="Z209" s="7" t="n">
        <v>182.6</v>
      </c>
      <c r="AB209" s="7" t="n">
        <v>3348.9</v>
      </c>
    </row>
    <row r="210">
      <c r="A210" s="4" t="inlineStr">
        <is>
          <t>租赁费</t>
        </is>
      </c>
      <c r="D210" s="7" t="n">
        <v>3097.2</v>
      </c>
      <c r="F210" s="7" t="n">
        <v>2183.5</v>
      </c>
      <c r="H210" s="7" t="n">
        <v>2663.8</v>
      </c>
      <c r="J210" s="7" t="n">
        <v>2878.2</v>
      </c>
      <c r="L210" s="7" t="n">
        <v>5772.8</v>
      </c>
      <c r="N210" s="7" t="n">
        <v>4420.9</v>
      </c>
      <c r="P210" s="7" t="n">
        <v>2090</v>
      </c>
      <c r="R210" s="7" t="n">
        <v>1549</v>
      </c>
      <c r="T210" s="7" t="n">
        <v>3621.2</v>
      </c>
      <c r="V210" s="7" t="n">
        <v>3075.3</v>
      </c>
      <c r="X210" s="7" t="n">
        <v>3639.9</v>
      </c>
      <c r="Z210" s="7" t="n">
        <v>1641.6</v>
      </c>
      <c r="AB210" s="7" t="n">
        <v>36633.4</v>
      </c>
    </row>
    <row r="211">
      <c r="A211" s="4" t="inlineStr">
        <is>
          <t>能源费</t>
        </is>
      </c>
      <c r="D211" s="7" t="n">
        <v>625.7</v>
      </c>
      <c r="F211" s="7" t="n">
        <v>660.9</v>
      </c>
      <c r="H211" s="7" t="n">
        <v>865.7</v>
      </c>
      <c r="J211" s="7" t="n">
        <v>1241.2</v>
      </c>
      <c r="L211" s="7" t="n">
        <v>1396.4</v>
      </c>
      <c r="N211" s="7" t="n">
        <v>1416.6</v>
      </c>
      <c r="P211" s="7" t="n">
        <v>474.3</v>
      </c>
      <c r="R211" s="7" t="n">
        <v>521.6</v>
      </c>
      <c r="T211" s="7" t="n">
        <v>1244.7</v>
      </c>
      <c r="V211" s="7" t="n">
        <v>981.9</v>
      </c>
      <c r="X211" s="7" t="n">
        <v>1110.9</v>
      </c>
      <c r="Z211" s="7" t="n">
        <v>508</v>
      </c>
      <c r="AB211" s="7" t="n">
        <v>11047.9</v>
      </c>
    </row>
    <row r="212">
      <c r="A212" s="4" t="inlineStr">
        <is>
          <t>水费</t>
        </is>
      </c>
      <c r="D212" s="7" t="n">
        <v>281.1</v>
      </c>
      <c r="F212" s="7" t="n">
        <v>286.6</v>
      </c>
      <c r="H212" s="7" t="n">
        <v>302.5</v>
      </c>
      <c r="J212" s="7" t="n">
        <v>560.9</v>
      </c>
      <c r="L212" s="7" t="n">
        <v>590.3</v>
      </c>
      <c r="N212" s="7" t="n">
        <v>585.8</v>
      </c>
      <c r="P212" s="7" t="n">
        <v>176.8</v>
      </c>
      <c r="R212" s="7" t="n">
        <v>225.2</v>
      </c>
      <c r="T212" s="7" t="n">
        <v>476.1</v>
      </c>
      <c r="V212" s="7" t="n">
        <v>455</v>
      </c>
      <c r="X212" s="7" t="n">
        <v>462.8</v>
      </c>
      <c r="Z212" s="7" t="n">
        <v>181</v>
      </c>
      <c r="AB212" s="7" t="n">
        <v>4584.1</v>
      </c>
    </row>
    <row r="213">
      <c r="A213" s="4" t="inlineStr">
        <is>
          <t>电费</t>
        </is>
      </c>
      <c r="D213" s="7" t="n">
        <v>70.40000000000001</v>
      </c>
      <c r="F213" s="7" t="n">
        <v>73</v>
      </c>
      <c r="H213" s="7" t="n">
        <v>112.5</v>
      </c>
      <c r="J213" s="7" t="n">
        <v>157.4</v>
      </c>
      <c r="L213" s="7" t="n">
        <v>163.4</v>
      </c>
      <c r="N213" s="7" t="n">
        <v>231.9</v>
      </c>
      <c r="P213" s="7" t="n">
        <v>57.6</v>
      </c>
      <c r="R213" s="7" t="n">
        <v>53.2</v>
      </c>
      <c r="T213" s="7" t="n">
        <v>161.1</v>
      </c>
      <c r="V213" s="7" t="n">
        <v>141.2</v>
      </c>
      <c r="X213" s="7" t="n">
        <v>127</v>
      </c>
      <c r="Z213" s="7" t="n">
        <v>56.4</v>
      </c>
      <c r="AB213" s="7" t="n">
        <v>1405.1</v>
      </c>
    </row>
    <row r="214">
      <c r="A214" s="4" t="inlineStr">
        <is>
          <t>燃气费</t>
        </is>
      </c>
      <c r="D214" s="7" t="n">
        <v>154.4</v>
      </c>
      <c r="F214" s="7" t="n">
        <v>146.9</v>
      </c>
      <c r="H214" s="7" t="n">
        <v>276.5</v>
      </c>
      <c r="J214" s="7" t="n">
        <v>321.3</v>
      </c>
      <c r="L214" s="7" t="n">
        <v>310.8</v>
      </c>
      <c r="N214" s="7" t="n">
        <v>347.3</v>
      </c>
      <c r="P214" s="7" t="n">
        <v>137.9</v>
      </c>
      <c r="R214" s="7" t="n">
        <v>166.5</v>
      </c>
      <c r="T214" s="7" t="n">
        <v>375.8</v>
      </c>
      <c r="V214" s="7" t="n">
        <v>235.3</v>
      </c>
      <c r="X214" s="7" t="n">
        <v>355</v>
      </c>
      <c r="Z214" s="7" t="n">
        <v>188.7</v>
      </c>
      <c r="AB214" s="7" t="n">
        <v>3016.4</v>
      </c>
    </row>
    <row r="215">
      <c r="A215" s="4" t="inlineStr">
        <is>
          <t>蒸汽费</t>
        </is>
      </c>
      <c r="D215" s="7" t="n">
        <v>119.8</v>
      </c>
      <c r="F215" s="7" t="n">
        <v>154.4</v>
      </c>
      <c r="H215" s="7" t="n">
        <v>174.2</v>
      </c>
      <c r="J215" s="7" t="n">
        <v>201.6</v>
      </c>
      <c r="L215" s="7" t="n">
        <v>331.9</v>
      </c>
      <c r="N215" s="7" t="n">
        <v>251.6</v>
      </c>
      <c r="P215" s="7" t="n">
        <v>102</v>
      </c>
      <c r="R215" s="7" t="n">
        <v>76.7</v>
      </c>
      <c r="T215" s="7" t="n">
        <v>231.7</v>
      </c>
      <c r="V215" s="7" t="n">
        <v>150.4</v>
      </c>
      <c r="X215" s="7" t="n">
        <v>166.1</v>
      </c>
      <c r="Z215" s="7" t="n">
        <v>81.90000000000001</v>
      </c>
      <c r="AB215" s="7" t="n">
        <v>2042.3</v>
      </c>
    </row>
    <row r="216">
      <c r="A216" s="4" t="inlineStr">
        <is>
          <t>物业费</t>
        </is>
      </c>
      <c r="D216" s="7" t="n">
        <v>135.7</v>
      </c>
      <c r="F216" s="7" t="n">
        <v>113.2</v>
      </c>
      <c r="H216" s="7" t="n">
        <v>186.3</v>
      </c>
      <c r="J216" s="7" t="n">
        <v>241.8</v>
      </c>
      <c r="L216" s="7" t="n">
        <v>309.4</v>
      </c>
      <c r="N216" s="7" t="n">
        <v>278.4</v>
      </c>
      <c r="P216" s="7" t="n">
        <v>112.7</v>
      </c>
      <c r="R216" s="7" t="n">
        <v>80</v>
      </c>
      <c r="T216" s="7" t="n">
        <v>159.2</v>
      </c>
      <c r="V216" s="7" t="n">
        <v>170.9</v>
      </c>
      <c r="X216" s="7" t="n">
        <v>144.7</v>
      </c>
      <c r="Z216" s="7" t="n">
        <v>116.3</v>
      </c>
      <c r="AB216" s="7" t="n">
        <v>2048.6</v>
      </c>
    </row>
    <row r="217">
      <c r="A217" s="4" t="inlineStr">
        <is>
          <t>劳动保护费</t>
        </is>
      </c>
      <c r="D217" s="7" t="n">
        <v>242.2</v>
      </c>
      <c r="F217" s="7" t="n">
        <v>266.3</v>
      </c>
      <c r="H217" s="7" t="n">
        <v>254.6</v>
      </c>
      <c r="J217" s="7" t="n">
        <v>464.5</v>
      </c>
      <c r="L217" s="7" t="n">
        <v>632.8</v>
      </c>
      <c r="N217" s="7" t="n">
        <v>764.9</v>
      </c>
      <c r="P217" s="7" t="n">
        <v>198.6</v>
      </c>
      <c r="R217" s="7" t="n">
        <v>168.1</v>
      </c>
      <c r="T217" s="7" t="n">
        <v>509.9</v>
      </c>
      <c r="V217" s="7" t="n">
        <v>457.3</v>
      </c>
      <c r="X217" s="7" t="n">
        <v>450.4</v>
      </c>
      <c r="Z217" s="7" t="n">
        <v>184.6</v>
      </c>
      <c r="AB217" s="7" t="n">
        <v>4594.2</v>
      </c>
    </row>
    <row r="218">
      <c r="A218" s="4" t="inlineStr">
        <is>
          <t>顾问费</t>
        </is>
      </c>
      <c r="D218" s="7" t="n">
        <v>17.7</v>
      </c>
      <c r="F218" s="7" t="n">
        <v>15.6</v>
      </c>
      <c r="H218" s="7" t="n">
        <v>21.1</v>
      </c>
      <c r="J218" s="7" t="n">
        <v>26.7</v>
      </c>
      <c r="L218" s="7" t="n">
        <v>31.8</v>
      </c>
      <c r="N218" s="7" t="n">
        <v>38.7</v>
      </c>
      <c r="P218" s="7" t="n">
        <v>11.9</v>
      </c>
      <c r="R218" s="7" t="n">
        <v>9.5</v>
      </c>
      <c r="T218" s="7" t="n">
        <v>24.5</v>
      </c>
      <c r="V218" s="7" t="n">
        <v>25</v>
      </c>
      <c r="X218" s="7" t="n">
        <v>21</v>
      </c>
      <c r="Z218" s="7" t="n">
        <v>9.800000000000001</v>
      </c>
      <c r="AB218" s="7" t="n">
        <v>253.3</v>
      </c>
    </row>
    <row r="219">
      <c r="A219" s="4" t="inlineStr">
        <is>
          <t>快递费</t>
        </is>
      </c>
      <c r="D219" s="7" t="n">
        <v>291</v>
      </c>
      <c r="F219" s="7" t="n">
        <v>197.2</v>
      </c>
      <c r="H219" s="7" t="n">
        <v>271.8</v>
      </c>
      <c r="J219" s="7" t="n">
        <v>346.1</v>
      </c>
      <c r="L219" s="7" t="n">
        <v>493.4</v>
      </c>
      <c r="N219" s="7" t="n">
        <v>832.7</v>
      </c>
      <c r="P219" s="7" t="n">
        <v>206.7</v>
      </c>
      <c r="R219" s="7" t="n">
        <v>176.1</v>
      </c>
      <c r="T219" s="7" t="n">
        <v>489.8</v>
      </c>
      <c r="V219" s="7" t="n">
        <v>369.2</v>
      </c>
      <c r="X219" s="7" t="n">
        <v>366.5</v>
      </c>
      <c r="Z219" s="7" t="n">
        <v>199.5</v>
      </c>
      <c r="AB219" s="7" t="n">
        <v>4240</v>
      </c>
    </row>
    <row r="220">
      <c r="A220" s="4" t="inlineStr">
        <is>
          <t>诉讼费</t>
        </is>
      </c>
      <c r="D220" s="7" t="n">
        <v>236.2</v>
      </c>
      <c r="F220" s="7" t="n">
        <v>218.6</v>
      </c>
      <c r="H220" s="7" t="n">
        <v>285.4</v>
      </c>
      <c r="J220" s="7" t="n">
        <v>223.3</v>
      </c>
      <c r="L220" s="7" t="n">
        <v>469.4</v>
      </c>
      <c r="N220" s="7" t="n">
        <v>475.7</v>
      </c>
      <c r="P220" s="7" t="n">
        <v>162.6</v>
      </c>
      <c r="R220" s="7" t="n">
        <v>94.5</v>
      </c>
      <c r="T220" s="7" t="n">
        <v>339.8</v>
      </c>
      <c r="V220" s="7" t="n">
        <v>286.9</v>
      </c>
      <c r="X220" s="7" t="n">
        <v>252</v>
      </c>
      <c r="Z220" s="7" t="n">
        <v>106.5</v>
      </c>
      <c r="AB220" s="7" t="n">
        <v>3150.9</v>
      </c>
    </row>
    <row r="221">
      <c r="A221" s="4" t="inlineStr">
        <is>
          <t>会员费</t>
        </is>
      </c>
      <c r="D221" s="7" t="n">
        <v>205.9</v>
      </c>
      <c r="F221" s="7" t="n">
        <v>150.6</v>
      </c>
      <c r="H221" s="7" t="n">
        <v>263.2</v>
      </c>
      <c r="J221" s="7" t="n">
        <v>297.4</v>
      </c>
      <c r="L221" s="7" t="n">
        <v>301.5</v>
      </c>
      <c r="N221" s="7" t="n">
        <v>354.8</v>
      </c>
      <c r="P221" s="7" t="n">
        <v>111.5</v>
      </c>
      <c r="R221" s="7" t="n">
        <v>146.1</v>
      </c>
      <c r="T221" s="7" t="n">
        <v>341.2</v>
      </c>
      <c r="V221" s="7" t="n">
        <v>223.3</v>
      </c>
      <c r="X221" s="7" t="n">
        <v>295.8</v>
      </c>
      <c r="Z221" s="7" t="n">
        <v>156</v>
      </c>
      <c r="AB221" s="7" t="n">
        <v>2847.3</v>
      </c>
    </row>
    <row r="222">
      <c r="A222" s="4" t="inlineStr">
        <is>
          <t>广告宣传费</t>
        </is>
      </c>
      <c r="D222" s="7" t="n">
        <v>1493.6</v>
      </c>
      <c r="F222" s="7" t="n">
        <v>1487.1</v>
      </c>
      <c r="H222" s="7" t="n">
        <v>1962.7</v>
      </c>
      <c r="J222" s="7" t="n">
        <v>2204.1</v>
      </c>
      <c r="L222" s="7" t="n">
        <v>2906.2</v>
      </c>
      <c r="N222" s="7" t="n">
        <v>3306.2</v>
      </c>
      <c r="P222" s="7" t="n">
        <v>1086.8</v>
      </c>
      <c r="R222" s="7" t="n">
        <v>832.1</v>
      </c>
      <c r="T222" s="7" t="n">
        <v>3150.4</v>
      </c>
      <c r="V222" s="7" t="n">
        <v>2186.7</v>
      </c>
      <c r="X222" s="7" t="n">
        <v>1875.3</v>
      </c>
      <c r="Z222" s="7" t="n">
        <v>950.9</v>
      </c>
      <c r="AB222" s="7" t="n">
        <v>23442.1</v>
      </c>
    </row>
    <row r="223">
      <c r="A223" s="4" t="inlineStr">
        <is>
          <t>会务费</t>
        </is>
      </c>
      <c r="D223" s="7" t="n">
        <v>215.6</v>
      </c>
      <c r="F223" s="7" t="n">
        <v>206.2</v>
      </c>
      <c r="H223" s="7" t="n">
        <v>259.4</v>
      </c>
      <c r="J223" s="7" t="n">
        <v>264.7</v>
      </c>
      <c r="L223" s="7" t="n">
        <v>521</v>
      </c>
      <c r="N223" s="7" t="n">
        <v>442.1</v>
      </c>
      <c r="P223" s="7" t="n">
        <v>154.2</v>
      </c>
      <c r="R223" s="7" t="n">
        <v>124.5</v>
      </c>
      <c r="T223" s="7" t="n">
        <v>307.2</v>
      </c>
      <c r="V223" s="7" t="n">
        <v>280.3</v>
      </c>
      <c r="X223" s="7" t="n">
        <v>284.4</v>
      </c>
      <c r="Z223" s="7" t="n">
        <v>183.5</v>
      </c>
      <c r="AB223" s="7" t="n">
        <v>3243.1</v>
      </c>
    </row>
    <row r="224">
      <c r="A224" s="4" t="inlineStr">
        <is>
          <t>装修费</t>
        </is>
      </c>
      <c r="D224" s="7" t="n">
        <v>281</v>
      </c>
      <c r="F224" s="7" t="n">
        <v>186.6</v>
      </c>
      <c r="H224" s="7" t="n">
        <v>302.8</v>
      </c>
      <c r="J224" s="7" t="n">
        <v>439.5</v>
      </c>
      <c r="L224" s="7" t="n">
        <v>474.6</v>
      </c>
      <c r="N224" s="7" t="n">
        <v>692.4</v>
      </c>
      <c r="P224" s="7" t="n">
        <v>207.5</v>
      </c>
      <c r="R224" s="7" t="n">
        <v>130.2</v>
      </c>
      <c r="T224" s="7" t="n">
        <v>309.7</v>
      </c>
      <c r="V224" s="7" t="n">
        <v>289.9</v>
      </c>
      <c r="X224" s="7" t="n">
        <v>342.8</v>
      </c>
      <c r="Z224" s="7" t="n">
        <v>167.7</v>
      </c>
      <c r="AB224" s="7" t="n">
        <v>3824.7</v>
      </c>
    </row>
    <row r="225">
      <c r="A225" s="4" t="inlineStr">
        <is>
          <t>推广费</t>
        </is>
      </c>
      <c r="D225" s="7" t="n">
        <v>352.8</v>
      </c>
      <c r="F225" s="7" t="n">
        <v>227.8</v>
      </c>
      <c r="H225" s="7" t="n">
        <v>493.3</v>
      </c>
      <c r="J225" s="7" t="n">
        <v>527.8</v>
      </c>
      <c r="L225" s="7" t="n">
        <v>640.3</v>
      </c>
      <c r="N225" s="7" t="n">
        <v>908.9</v>
      </c>
      <c r="P225" s="7" t="n">
        <v>295.3</v>
      </c>
      <c r="R225" s="7" t="n">
        <v>216.7</v>
      </c>
      <c r="T225" s="7" t="n">
        <v>474</v>
      </c>
      <c r="V225" s="7" t="n">
        <v>527.6</v>
      </c>
      <c r="X225" s="7" t="n">
        <v>529.3</v>
      </c>
      <c r="Z225" s="7" t="n">
        <v>256.7</v>
      </c>
      <c r="AB225" s="7" t="n">
        <v>5450.5</v>
      </c>
    </row>
    <row r="226">
      <c r="A226" s="4" t="inlineStr">
        <is>
          <t>展会费</t>
        </is>
      </c>
      <c r="D226" s="7" t="n">
        <v>222.1</v>
      </c>
      <c r="F226" s="7" t="n">
        <v>166.9</v>
      </c>
      <c r="H226" s="7" t="n">
        <v>343.3</v>
      </c>
      <c r="J226" s="7" t="n">
        <v>332.9</v>
      </c>
      <c r="L226" s="7" t="n">
        <v>457.6</v>
      </c>
      <c r="N226" s="7" t="n">
        <v>491.3</v>
      </c>
      <c r="P226" s="7" t="n">
        <v>135.5</v>
      </c>
      <c r="R226" s="7" t="n">
        <v>128.3</v>
      </c>
      <c r="T226" s="7" t="n">
        <v>420.2</v>
      </c>
      <c r="V226" s="7" t="n">
        <v>382.1</v>
      </c>
      <c r="X226" s="7" t="n">
        <v>308.1</v>
      </c>
      <c r="Z226" s="7" t="n">
        <v>123.9</v>
      </c>
      <c r="AB226" s="7" t="n">
        <v>3512.2</v>
      </c>
    </row>
    <row r="227">
      <c r="A227" s="4" t="inlineStr">
        <is>
          <t>设计费</t>
        </is>
      </c>
      <c r="D227" s="7" t="n">
        <v>211.4</v>
      </c>
      <c r="F227" s="7" t="n">
        <v>147.7</v>
      </c>
      <c r="H227" s="7" t="n">
        <v>172.9</v>
      </c>
      <c r="J227" s="7" t="n">
        <v>286.9</v>
      </c>
      <c r="L227" s="7" t="n">
        <v>278.3</v>
      </c>
      <c r="N227" s="7" t="n">
        <v>488.6</v>
      </c>
      <c r="P227" s="7" t="n">
        <v>139.7</v>
      </c>
      <c r="R227" s="7" t="n">
        <v>139.4</v>
      </c>
      <c r="T227" s="7" t="n">
        <v>270</v>
      </c>
      <c r="V227" s="7" t="n">
        <v>183.4</v>
      </c>
      <c r="X227" s="7" t="n">
        <v>278.1</v>
      </c>
      <c r="Z227" s="7" t="n">
        <v>144.7</v>
      </c>
      <c r="AB227" s="7" t="n">
        <v>2741.1</v>
      </c>
    </row>
    <row r="228">
      <c r="A228" s="4" t="inlineStr">
        <is>
          <t>折旧费</t>
        </is>
      </c>
      <c r="D228" s="7" t="n">
        <v>2308.9</v>
      </c>
      <c r="F228" s="7" t="n">
        <v>2193.7</v>
      </c>
      <c r="H228" s="7" t="n">
        <v>2363.8</v>
      </c>
      <c r="J228" s="7" t="n">
        <v>3156.9</v>
      </c>
      <c r="L228" s="7" t="n">
        <v>4822.5</v>
      </c>
      <c r="N228" s="7" t="n">
        <v>4209.4</v>
      </c>
      <c r="P228" s="7" t="n">
        <v>1563.7</v>
      </c>
      <c r="R228" s="7" t="n">
        <v>1359.1</v>
      </c>
      <c r="T228" s="7" t="n">
        <v>3192.6</v>
      </c>
      <c r="V228" s="7" t="n">
        <v>2338.8</v>
      </c>
      <c r="X228" s="7" t="n">
        <v>3377.9</v>
      </c>
      <c r="Z228" s="7" t="n">
        <v>1464.5</v>
      </c>
      <c r="AB228" s="7" t="n">
        <v>32351.8</v>
      </c>
    </row>
    <row r="229">
      <c r="A229" s="4" t="inlineStr">
        <is>
          <t>认证费</t>
        </is>
      </c>
      <c r="D229" s="7" t="n">
        <v>316.3</v>
      </c>
      <c r="F229" s="7" t="n">
        <v>209.6</v>
      </c>
      <c r="H229" s="7" t="n">
        <v>289.9</v>
      </c>
      <c r="J229" s="7" t="n">
        <v>355.8</v>
      </c>
      <c r="L229" s="7" t="n">
        <v>496</v>
      </c>
      <c r="N229" s="7" t="n">
        <v>780.8</v>
      </c>
      <c r="P229" s="7" t="n">
        <v>272.9</v>
      </c>
      <c r="R229" s="7" t="n">
        <v>200.8</v>
      </c>
      <c r="T229" s="7" t="n">
        <v>488.4</v>
      </c>
      <c r="V229" s="7" t="n">
        <v>386.8</v>
      </c>
      <c r="X229" s="7" t="n">
        <v>397.8</v>
      </c>
      <c r="Z229" s="7" t="n">
        <v>182.4</v>
      </c>
      <c r="AB229" s="7" t="n">
        <v>4377.5</v>
      </c>
    </row>
    <row r="230">
      <c r="A230" s="4" t="inlineStr">
        <is>
          <t>样品费</t>
        </is>
      </c>
      <c r="D230" s="7" t="n">
        <v>1166.9</v>
      </c>
      <c r="F230" s="7" t="n">
        <v>1184.7</v>
      </c>
      <c r="H230" s="7" t="n">
        <v>1152.3</v>
      </c>
      <c r="J230" s="7" t="n">
        <v>1684.5</v>
      </c>
      <c r="L230" s="7" t="n">
        <v>1713.8</v>
      </c>
      <c r="N230" s="7" t="n">
        <v>2954</v>
      </c>
      <c r="P230" s="7" t="n">
        <v>860.5</v>
      </c>
      <c r="R230" s="7" t="n">
        <v>618.2</v>
      </c>
      <c r="T230" s="7" t="n">
        <v>2010.2</v>
      </c>
      <c r="V230" s="7" t="n">
        <v>1757.8</v>
      </c>
      <c r="X230" s="7" t="n">
        <v>1155.3</v>
      </c>
      <c r="Z230" s="7" t="n">
        <v>628.7</v>
      </c>
      <c r="AB230" s="7" t="n">
        <v>16886.9</v>
      </c>
    </row>
    <row r="231">
      <c r="A231" s="4" t="inlineStr">
        <is>
          <t>劳务费</t>
        </is>
      </c>
      <c r="D231" s="7" t="n">
        <v>202.7</v>
      </c>
      <c r="F231" s="7" t="n">
        <v>173.5</v>
      </c>
      <c r="H231" s="7" t="n">
        <v>281.8</v>
      </c>
      <c r="J231" s="7" t="n">
        <v>274.7</v>
      </c>
      <c r="L231" s="7" t="n">
        <v>304.1</v>
      </c>
      <c r="N231" s="7" t="n">
        <v>528.4</v>
      </c>
      <c r="P231" s="7" t="n">
        <v>131.5</v>
      </c>
      <c r="R231" s="7" t="n">
        <v>131.6</v>
      </c>
      <c r="T231" s="7" t="n">
        <v>223.2</v>
      </c>
      <c r="V231" s="7" t="n">
        <v>262.5</v>
      </c>
      <c r="X231" s="7" t="n">
        <v>202.4</v>
      </c>
      <c r="Z231" s="7" t="n">
        <v>156.6</v>
      </c>
      <c r="AB231" s="7" t="n">
        <v>2873</v>
      </c>
    </row>
    <row r="232">
      <c r="A232" s="4" t="inlineStr">
        <is>
          <t>销售佣金</t>
        </is>
      </c>
      <c r="D232" s="7" t="n">
        <v>24.3</v>
      </c>
      <c r="F232" s="7" t="n">
        <v>27.4</v>
      </c>
      <c r="H232" s="7" t="n">
        <v>43.6</v>
      </c>
      <c r="J232" s="7" t="n">
        <v>54</v>
      </c>
      <c r="L232" s="7" t="n">
        <v>48.1</v>
      </c>
      <c r="N232" s="7" t="n">
        <v>57.8</v>
      </c>
      <c r="P232" s="7" t="n">
        <v>29.7</v>
      </c>
      <c r="R232" s="7" t="n">
        <v>26</v>
      </c>
      <c r="T232" s="7" t="n">
        <v>54.7</v>
      </c>
      <c r="V232" s="7" t="n">
        <v>57.2</v>
      </c>
      <c r="X232" s="7" t="n">
        <v>38.8</v>
      </c>
      <c r="Z232" s="7" t="n">
        <v>17.1</v>
      </c>
      <c r="AB232" s="7" t="n">
        <v>478.7</v>
      </c>
    </row>
    <row r="233">
      <c r="A233" s="4" t="inlineStr">
        <is>
          <t>检测费</t>
        </is>
      </c>
      <c r="D233" s="7" t="n">
        <v>196.6</v>
      </c>
      <c r="F233" s="7" t="n">
        <v>131.1</v>
      </c>
      <c r="H233" s="7" t="n">
        <v>215.9</v>
      </c>
      <c r="J233" s="7" t="n">
        <v>235.8</v>
      </c>
      <c r="L233" s="7" t="n">
        <v>271.5</v>
      </c>
      <c r="N233" s="7" t="n">
        <v>507.5</v>
      </c>
      <c r="P233" s="7" t="n">
        <v>110.4</v>
      </c>
      <c r="R233" s="7" t="n">
        <v>127.3</v>
      </c>
      <c r="T233" s="7" t="n">
        <v>277.4</v>
      </c>
      <c r="V233" s="7" t="n">
        <v>311.3</v>
      </c>
      <c r="X233" s="7" t="n">
        <v>204.3</v>
      </c>
      <c r="Z233" s="7" t="n">
        <v>131.8</v>
      </c>
      <c r="AB233" s="7" t="n">
        <v>2720.9</v>
      </c>
    </row>
    <row r="234">
      <c r="A234" s="4" t="inlineStr">
        <is>
          <t>质量赔偿</t>
        </is>
      </c>
      <c r="D234" s="7" t="n">
        <v>268.8</v>
      </c>
      <c r="F234" s="7" t="n">
        <v>229</v>
      </c>
      <c r="H234" s="7" t="n">
        <v>342.1</v>
      </c>
      <c r="J234" s="7" t="n">
        <v>352.8</v>
      </c>
      <c r="L234" s="7" t="n">
        <v>427</v>
      </c>
      <c r="N234" s="7" t="n">
        <v>569.8</v>
      </c>
      <c r="P234" s="7" t="n">
        <v>263.5</v>
      </c>
      <c r="R234" s="7" t="n">
        <v>148.7</v>
      </c>
      <c r="T234" s="7" t="n">
        <v>485.9</v>
      </c>
      <c r="V234" s="7" t="n">
        <v>349.5</v>
      </c>
      <c r="X234" s="7" t="n">
        <v>359.6</v>
      </c>
      <c r="Z234" s="7" t="n">
        <v>176.2</v>
      </c>
      <c r="AB234" s="7" t="n">
        <v>3972.9</v>
      </c>
    </row>
    <row r="235">
      <c r="A235" s="4" t="inlineStr">
        <is>
          <t>保险费</t>
        </is>
      </c>
      <c r="D235" s="7" t="n">
        <v>153.7</v>
      </c>
      <c r="F235" s="7" t="n">
        <v>114.1</v>
      </c>
      <c r="H235" s="7" t="n">
        <v>195.5</v>
      </c>
      <c r="J235" s="7" t="n">
        <v>206.1</v>
      </c>
      <c r="L235" s="7" t="n">
        <v>242.1</v>
      </c>
      <c r="N235" s="7" t="n">
        <v>304.7</v>
      </c>
      <c r="P235" s="7" t="n">
        <v>147.9</v>
      </c>
      <c r="R235" s="7" t="n">
        <v>118.9</v>
      </c>
      <c r="T235" s="7" t="n">
        <v>313.2</v>
      </c>
      <c r="V235" s="7" t="n">
        <v>252.3</v>
      </c>
      <c r="X235" s="7" t="n">
        <v>162.8</v>
      </c>
      <c r="Z235" s="7" t="n">
        <v>93.8</v>
      </c>
      <c r="AB235" s="7" t="n">
        <v>2305.1</v>
      </c>
    </row>
    <row r="236">
      <c r="A236" s="4" t="inlineStr">
        <is>
          <t>清洁费</t>
        </is>
      </c>
      <c r="D236" s="7" t="n">
        <v>243.1</v>
      </c>
      <c r="F236" s="7" t="n">
        <v>160</v>
      </c>
      <c r="H236" s="7" t="n">
        <v>234.8</v>
      </c>
      <c r="J236" s="7" t="n">
        <v>261.4</v>
      </c>
      <c r="L236" s="7" t="n">
        <v>425.1</v>
      </c>
      <c r="N236" s="7" t="n">
        <v>435.6</v>
      </c>
      <c r="P236" s="7" t="n">
        <v>187.1</v>
      </c>
      <c r="R236" s="7" t="n">
        <v>154.4</v>
      </c>
      <c r="T236" s="7" t="n">
        <v>298</v>
      </c>
      <c r="V236" s="7" t="n">
        <v>328.9</v>
      </c>
      <c r="X236" s="7" t="n">
        <v>306.6</v>
      </c>
      <c r="Z236" s="7" t="n">
        <v>134.9</v>
      </c>
      <c r="AB236" s="7" t="n">
        <v>3169.9</v>
      </c>
    </row>
    <row r="237">
      <c r="A237" s="4" t="inlineStr">
        <is>
          <t>低值易耗品</t>
        </is>
      </c>
      <c r="D237" s="7" t="n">
        <v>305.6</v>
      </c>
      <c r="F237" s="7" t="n">
        <v>292.1</v>
      </c>
      <c r="H237" s="7" t="n">
        <v>258.6</v>
      </c>
      <c r="J237" s="7" t="n">
        <v>480.2</v>
      </c>
      <c r="L237" s="7" t="n">
        <v>414.1</v>
      </c>
      <c r="N237" s="7" t="n">
        <v>671.1</v>
      </c>
      <c r="P237" s="7" t="n">
        <v>252.8</v>
      </c>
      <c r="R237" s="7" t="n">
        <v>172.6</v>
      </c>
      <c r="T237" s="7" t="n">
        <v>469.4</v>
      </c>
      <c r="V237" s="7" t="n">
        <v>463.8</v>
      </c>
      <c r="X237" s="7" t="n">
        <v>379.4</v>
      </c>
      <c r="Z237" s="7" t="n">
        <v>151.6</v>
      </c>
      <c r="AB237" s="7" t="n">
        <v>4311.3</v>
      </c>
    </row>
    <row r="238">
      <c r="A238" s="4" t="inlineStr">
        <is>
          <t>物料消耗</t>
        </is>
      </c>
      <c r="D238" s="7" t="n">
        <v>126.8</v>
      </c>
      <c r="F238" s="7" t="n">
        <v>131.4</v>
      </c>
      <c r="H238" s="7" t="n">
        <v>147.5</v>
      </c>
      <c r="J238" s="7" t="n">
        <v>141</v>
      </c>
      <c r="L238" s="7" t="n">
        <v>286.7</v>
      </c>
      <c r="N238" s="7" t="n">
        <v>276.2</v>
      </c>
      <c r="P238" s="7" t="n">
        <v>119.8</v>
      </c>
      <c r="R238" s="7" t="n">
        <v>67.3</v>
      </c>
      <c r="T238" s="7" t="n">
        <v>257</v>
      </c>
      <c r="V238" s="7" t="n">
        <v>193.9</v>
      </c>
      <c r="X238" s="7" t="n">
        <v>137.1</v>
      </c>
      <c r="Z238" s="7" t="n">
        <v>97.7</v>
      </c>
      <c r="AB238" s="7" t="n">
        <v>1982.4</v>
      </c>
    </row>
    <row r="239">
      <c r="A239" s="4" t="inlineStr">
        <is>
          <t>盘盈盘亏</t>
        </is>
      </c>
      <c r="D239" s="7" t="n">
        <v>331.7</v>
      </c>
      <c r="F239" s="7" t="n">
        <v>272.4</v>
      </c>
      <c r="H239" s="7" t="n">
        <v>373.4</v>
      </c>
      <c r="J239" s="7" t="n">
        <v>310.7</v>
      </c>
      <c r="L239" s="7" t="n">
        <v>535.7</v>
      </c>
      <c r="N239" s="7" t="n">
        <v>705.5</v>
      </c>
      <c r="P239" s="7" t="n">
        <v>193.7</v>
      </c>
      <c r="R239" s="7" t="n">
        <v>208.7</v>
      </c>
      <c r="T239" s="7" t="n">
        <v>343.1</v>
      </c>
      <c r="V239" s="7" t="n">
        <v>464.3</v>
      </c>
      <c r="X239" s="7" t="n">
        <v>399.4</v>
      </c>
      <c r="Z239" s="7" t="n">
        <v>243.2</v>
      </c>
      <c r="AB239" s="7" t="n">
        <v>4381.8</v>
      </c>
    </row>
    <row r="240">
      <c r="A240" s="4" t="inlineStr">
        <is>
          <t>平台服务费</t>
        </is>
      </c>
      <c r="D240" s="7" t="n">
        <v>205.9</v>
      </c>
      <c r="F240" s="7" t="n">
        <v>204.6</v>
      </c>
      <c r="H240" s="7" t="n">
        <v>340.8</v>
      </c>
      <c r="J240" s="7" t="n">
        <v>348</v>
      </c>
      <c r="L240" s="7" t="n">
        <v>417.6</v>
      </c>
      <c r="N240" s="7" t="n">
        <v>555.4</v>
      </c>
      <c r="P240" s="7" t="n">
        <v>255.9</v>
      </c>
      <c r="R240" s="7" t="n">
        <v>170.9</v>
      </c>
      <c r="T240" s="7" t="n">
        <v>519.9</v>
      </c>
      <c r="V240" s="7" t="n">
        <v>395.9</v>
      </c>
      <c r="X240" s="7" t="n">
        <v>421.6</v>
      </c>
      <c r="Z240" s="7" t="n">
        <v>148</v>
      </c>
      <c r="AB240" s="7" t="n">
        <v>3984.5</v>
      </c>
    </row>
    <row r="241">
      <c r="A241" s="4" t="inlineStr">
        <is>
          <t>无形资产摊销</t>
        </is>
      </c>
      <c r="D241" s="7" t="n">
        <v>115.3</v>
      </c>
      <c r="F241" s="7" t="n">
        <v>88.09999999999999</v>
      </c>
      <c r="H241" s="7" t="n">
        <v>167.4</v>
      </c>
      <c r="J241" s="7" t="n">
        <v>188.1</v>
      </c>
      <c r="L241" s="7" t="n">
        <v>213.1</v>
      </c>
      <c r="N241" s="7" t="n">
        <v>215.2</v>
      </c>
      <c r="P241" s="7" t="n">
        <v>91.90000000000001</v>
      </c>
      <c r="R241" s="7" t="n">
        <v>63</v>
      </c>
      <c r="T241" s="7" t="n">
        <v>171</v>
      </c>
      <c r="V241" s="7" t="n">
        <v>133.5</v>
      </c>
      <c r="X241" s="7" t="n">
        <v>137.7</v>
      </c>
      <c r="Z241" s="7" t="n">
        <v>93.59999999999999</v>
      </c>
      <c r="AB241" s="7" t="n">
        <v>1677.9</v>
      </c>
    </row>
    <row r="242">
      <c r="A242" s="4" t="inlineStr">
        <is>
          <t>研发材料</t>
        </is>
      </c>
      <c r="D242" s="7" t="n">
        <v>113.6</v>
      </c>
      <c r="F242" s="7" t="n">
        <v>64.2</v>
      </c>
      <c r="H242" s="7" t="n">
        <v>83</v>
      </c>
      <c r="J242" s="7" t="n">
        <v>159.3</v>
      </c>
      <c r="L242" s="7" t="n">
        <v>188.2</v>
      </c>
      <c r="N242" s="7" t="n">
        <v>255</v>
      </c>
      <c r="P242" s="7" t="n">
        <v>89.2</v>
      </c>
      <c r="R242" s="7" t="n">
        <v>51.8</v>
      </c>
      <c r="T242" s="7" t="n">
        <v>129</v>
      </c>
      <c r="V242" s="7" t="n">
        <v>169.7</v>
      </c>
      <c r="X242" s="7" t="n">
        <v>101.8</v>
      </c>
      <c r="Z242" s="7" t="n">
        <v>84.5</v>
      </c>
      <c r="AB242" s="7" t="n">
        <v>1489.3</v>
      </c>
    </row>
    <row r="243">
      <c r="A243" s="4" t="inlineStr">
        <is>
          <t>项目名称</t>
        </is>
      </c>
      <c r="D243" s="7" t="n">
        <v>174.7</v>
      </c>
      <c r="F243" s="7" t="n">
        <v>169.3</v>
      </c>
      <c r="H243" s="7" t="n">
        <v>321</v>
      </c>
      <c r="J243" s="7" t="n">
        <v>364.8</v>
      </c>
      <c r="L243" s="7" t="n">
        <v>344.2</v>
      </c>
      <c r="N243" s="7" t="n">
        <v>545.8</v>
      </c>
      <c r="P243" s="7" t="n">
        <v>170.1</v>
      </c>
      <c r="R243" s="7" t="n">
        <v>178.1</v>
      </c>
      <c r="T243" s="7" t="n">
        <v>365.7</v>
      </c>
      <c r="V243" s="7" t="n">
        <v>292.5</v>
      </c>
      <c r="X243" s="7" t="n">
        <v>233.4</v>
      </c>
      <c r="Z243" s="7" t="n">
        <v>189</v>
      </c>
      <c r="AB243" s="7" t="n">
        <v>3348.6</v>
      </c>
    </row>
    <row r="244">
      <c r="A244" s="4" t="inlineStr">
        <is>
          <t>研发费</t>
        </is>
      </c>
      <c r="D244" s="7" t="n">
        <v>90.09999999999999</v>
      </c>
      <c r="F244" s="7" t="n">
        <v>62.6</v>
      </c>
      <c r="H244" s="7" t="n">
        <v>101.5</v>
      </c>
      <c r="J244" s="7" t="n">
        <v>106.7</v>
      </c>
      <c r="L244" s="7" t="n">
        <v>132</v>
      </c>
      <c r="N244" s="7" t="n">
        <v>156.6</v>
      </c>
      <c r="P244" s="7" t="n">
        <v>78.5</v>
      </c>
      <c r="R244" s="7" t="n">
        <v>48.2</v>
      </c>
      <c r="T244" s="7" t="n">
        <v>131.4</v>
      </c>
      <c r="V244" s="7" t="n">
        <v>116.2</v>
      </c>
      <c r="X244" s="7" t="n">
        <v>91.90000000000001</v>
      </c>
      <c r="Z244" s="7" t="n">
        <v>50</v>
      </c>
      <c r="AB244" s="7" t="n">
        <v>1165.7</v>
      </c>
    </row>
    <row r="245">
      <c r="A245" s="4" t="inlineStr">
        <is>
          <t>残保金</t>
        </is>
      </c>
      <c r="D245" s="7" t="n">
        <v>47.8</v>
      </c>
      <c r="F245" s="7" t="n">
        <v>45.5</v>
      </c>
      <c r="H245" s="7" t="n">
        <v>67.3</v>
      </c>
      <c r="J245" s="7" t="n">
        <v>73.8</v>
      </c>
      <c r="L245" s="7" t="n">
        <v>122.2</v>
      </c>
      <c r="N245" s="7" t="n">
        <v>170.4</v>
      </c>
      <c r="P245" s="7" t="n">
        <v>44.3</v>
      </c>
      <c r="R245" s="7" t="n">
        <v>32.9</v>
      </c>
      <c r="T245" s="7" t="n">
        <v>127.7</v>
      </c>
      <c r="V245" s="7" t="n">
        <v>64.90000000000001</v>
      </c>
      <c r="X245" s="7" t="n">
        <v>86.09999999999999</v>
      </c>
      <c r="Z245" s="7" t="n">
        <v>56.3</v>
      </c>
      <c r="AB245" s="7" t="n">
        <v>939.2</v>
      </c>
    </row>
    <row r="246">
      <c r="A246" s="4" t="inlineStr">
        <is>
          <t>环保费</t>
        </is>
      </c>
      <c r="D246" s="7" t="n">
        <v>211.5</v>
      </c>
      <c r="F246" s="7" t="n">
        <v>151.4</v>
      </c>
      <c r="H246" s="7" t="n">
        <v>265.2</v>
      </c>
      <c r="J246" s="7" t="n">
        <v>376.8</v>
      </c>
      <c r="L246" s="7" t="n">
        <v>403.7</v>
      </c>
      <c r="N246" s="7" t="n">
        <v>569.4</v>
      </c>
      <c r="P246" s="7" t="n">
        <v>156.5</v>
      </c>
      <c r="R246" s="7" t="n">
        <v>133.6</v>
      </c>
      <c r="T246" s="7" t="n">
        <v>401.7</v>
      </c>
      <c r="V246" s="7" t="n">
        <v>356</v>
      </c>
      <c r="X246" s="7" t="n">
        <v>218.6</v>
      </c>
      <c r="Z246" s="7" t="n">
        <v>148</v>
      </c>
      <c r="AB246" s="7" t="n">
        <v>3392.4</v>
      </c>
    </row>
    <row r="247">
      <c r="A247" s="4" t="inlineStr">
        <is>
          <t>报废损失</t>
        </is>
      </c>
      <c r="D247" s="7" t="n">
        <v>309.5</v>
      </c>
      <c r="F247" s="7" t="n">
        <v>207.9</v>
      </c>
      <c r="H247" s="7" t="n">
        <v>384.8</v>
      </c>
      <c r="J247" s="7" t="n">
        <v>565.7</v>
      </c>
      <c r="L247" s="7" t="n">
        <v>591.7</v>
      </c>
      <c r="N247" s="7" t="n">
        <v>526.1</v>
      </c>
      <c r="P247" s="7" t="n">
        <v>216</v>
      </c>
      <c r="R247" s="7" t="n">
        <v>195.7</v>
      </c>
      <c r="T247" s="7" t="n">
        <v>633.2</v>
      </c>
      <c r="V247" s="7" t="n">
        <v>386.1</v>
      </c>
      <c r="X247" s="7" t="n">
        <v>358.1</v>
      </c>
      <c r="Z247" s="7" t="n">
        <v>270.3</v>
      </c>
      <c r="AB247" s="7" t="n">
        <v>4645.1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6038.7</v>
      </c>
      <c r="D248" s="7" t="n">
        <v>-954.1</v>
      </c>
      <c r="E248" s="7" t="n">
        <v>6927.6</v>
      </c>
      <c r="F248" s="7" t="n">
        <v>16123.8</v>
      </c>
      <c r="G248" s="7" t="n">
        <v>6346.6</v>
      </c>
      <c r="H248" s="7" t="n">
        <v>11358.5</v>
      </c>
      <c r="I248" s="7" t="n">
        <v>7380.9</v>
      </c>
      <c r="J248" s="7" t="n">
        <v>14896.1</v>
      </c>
      <c r="K248" s="7" t="n">
        <v>7153</v>
      </c>
      <c r="L248" s="7" t="n">
        <v>1417.6</v>
      </c>
      <c r="M248" s="7" t="n">
        <v>6705.7</v>
      </c>
      <c r="N248" s="7" t="n">
        <v>5735</v>
      </c>
      <c r="O248" s="7" t="n">
        <v>7486.4</v>
      </c>
      <c r="P248" s="7" t="n">
        <v>2462.8</v>
      </c>
      <c r="Q248" s="7" t="n">
        <v>7001.7</v>
      </c>
      <c r="R248" s="7" t="n">
        <v>9720.6</v>
      </c>
      <c r="S248" s="7" t="n">
        <v>7063.5</v>
      </c>
      <c r="T248" s="7" t="n">
        <v>-2917.1</v>
      </c>
      <c r="U248" s="7" t="n">
        <v>6855.6</v>
      </c>
      <c r="V248" s="7" t="n">
        <v>-4074.9</v>
      </c>
      <c r="W248" s="7" t="n">
        <v>6036.3</v>
      </c>
      <c r="X248" s="7" t="n">
        <v>12948.1</v>
      </c>
      <c r="Y248" s="7" t="n">
        <v>5841.6</v>
      </c>
      <c r="Z248" s="7" t="n">
        <v>12117.2</v>
      </c>
      <c r="AA248" s="8" t="n">
        <v>80837.60000000001</v>
      </c>
      <c r="AB248" s="8" t="n">
        <v>78833.60000000001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3143.5</v>
      </c>
      <c r="E250" s="7" t="n">
        <v>0</v>
      </c>
      <c r="F250" s="7" t="n">
        <v>4980.5</v>
      </c>
      <c r="G250" s="7" t="n">
        <v>0</v>
      </c>
      <c r="H250" s="7" t="n">
        <v>2051.7</v>
      </c>
      <c r="I250" s="7" t="n">
        <v>0</v>
      </c>
      <c r="J250" s="7" t="n">
        <v>961.8</v>
      </c>
      <c r="K250" s="7" t="n">
        <v>0</v>
      </c>
      <c r="L250" s="7" t="n">
        <v>1826.8</v>
      </c>
      <c r="M250" s="7" t="n">
        <v>0</v>
      </c>
      <c r="N250" s="7" t="n">
        <v>-3766.2</v>
      </c>
      <c r="O250" s="7" t="n">
        <v>0</v>
      </c>
      <c r="P250" s="7" t="n">
        <v>-4308.5</v>
      </c>
      <c r="Q250" s="7" t="n">
        <v>0</v>
      </c>
      <c r="R250" s="7" t="n">
        <v>3633.8</v>
      </c>
      <c r="S250" s="7" t="n">
        <v>0</v>
      </c>
      <c r="T250" s="7" t="n">
        <v>586.5</v>
      </c>
      <c r="U250" s="7" t="n">
        <v>0</v>
      </c>
      <c r="V250" s="7" t="n">
        <v>-4001.6</v>
      </c>
      <c r="W250" s="7" t="n">
        <v>0</v>
      </c>
      <c r="X250" s="7" t="n">
        <v>-1028.9</v>
      </c>
      <c r="Y250" s="7" t="n">
        <v>0</v>
      </c>
      <c r="Z250" s="7" t="n">
        <v>448.3</v>
      </c>
      <c r="AA250" s="7" t="n">
        <v>0</v>
      </c>
      <c r="AB250" s="7" t="n">
        <v>4527.7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13276.9</v>
      </c>
      <c r="D255" s="7" t="n">
        <v>17387.3</v>
      </c>
      <c r="E255" s="7" t="n">
        <v>11344.4</v>
      </c>
      <c r="F255" s="7" t="n">
        <v>13936.4</v>
      </c>
      <c r="G255" s="7" t="n">
        <v>9948.299999999999</v>
      </c>
      <c r="H255" s="7" t="n">
        <v>323.2</v>
      </c>
      <c r="I255" s="7" t="n">
        <v>10547.3</v>
      </c>
      <c r="J255" s="7" t="n">
        <v>8318.200000000001</v>
      </c>
      <c r="K255" s="7" t="n">
        <v>11421.2</v>
      </c>
      <c r="L255" s="7" t="n">
        <v>3536</v>
      </c>
      <c r="M255" s="7" t="n">
        <v>12513.7</v>
      </c>
      <c r="N255" s="7" t="n">
        <v>9963.4</v>
      </c>
      <c r="O255" s="7" t="n">
        <v>12590</v>
      </c>
      <c r="P255" s="7" t="n">
        <v>7398.1</v>
      </c>
      <c r="Q255" s="7" t="n">
        <v>11866.5</v>
      </c>
      <c r="R255" s="7" t="n">
        <v>17950.8</v>
      </c>
      <c r="S255" s="7" t="n">
        <v>11724.9</v>
      </c>
      <c r="T255" s="7" t="n">
        <v>19128.5</v>
      </c>
      <c r="U255" s="7" t="n">
        <v>11222.7</v>
      </c>
      <c r="V255" s="7" t="n">
        <v>11939.2</v>
      </c>
      <c r="W255" s="7" t="n">
        <v>10905.4</v>
      </c>
      <c r="X255" s="7" t="n">
        <v>4156.4</v>
      </c>
      <c r="Y255" s="7" t="n">
        <v>9972.9</v>
      </c>
      <c r="Z255" s="7" t="n">
        <v>26238.9</v>
      </c>
      <c r="AA255" s="7" t="n">
        <v>137334.2</v>
      </c>
      <c r="AB255" s="7" t="n">
        <v>140276.4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261988.2</v>
      </c>
      <c r="D256" s="7" t="n">
        <v>245839.7</v>
      </c>
      <c r="E256" s="7" t="n">
        <v>296852.8</v>
      </c>
      <c r="F256" s="7" t="n">
        <v>260461.4</v>
      </c>
      <c r="G256" s="7" t="n">
        <v>252220.4</v>
      </c>
      <c r="H256" s="7" t="n">
        <v>201425.3</v>
      </c>
      <c r="I256" s="7" t="n">
        <v>232917.5</v>
      </c>
      <c r="J256" s="7" t="n">
        <v>316941.1</v>
      </c>
      <c r="K256" s="7" t="n">
        <v>251041.1</v>
      </c>
      <c r="L256" s="7" t="n">
        <v>317927</v>
      </c>
      <c r="M256" s="7" t="n">
        <v>299478.1</v>
      </c>
      <c r="N256" s="7" t="n">
        <v>263064.5</v>
      </c>
      <c r="O256" s="7" t="n">
        <v>256300.3</v>
      </c>
      <c r="P256" s="7" t="n">
        <v>358721</v>
      </c>
      <c r="Q256" s="7" t="n">
        <v>243551.3</v>
      </c>
      <c r="R256" s="7" t="n">
        <v>242103.4</v>
      </c>
      <c r="S256" s="7" t="n">
        <v>281276.9</v>
      </c>
      <c r="T256" s="7" t="n">
        <v>308873.2</v>
      </c>
      <c r="U256" s="7" t="n">
        <v>253728.3</v>
      </c>
      <c r="V256" s="7" t="n">
        <v>365323.1</v>
      </c>
      <c r="W256" s="7" t="n">
        <v>228250.6</v>
      </c>
      <c r="X256" s="7" t="n">
        <v>152662.1</v>
      </c>
      <c r="Y256" s="7" t="n">
        <v>239180.9</v>
      </c>
      <c r="Z256" s="7" t="n">
        <v>159720.5</v>
      </c>
      <c r="AA256" s="8" t="n">
        <v>3096786.4</v>
      </c>
      <c r="AB256" s="8" t="n">
        <v>3193062.3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407.4</v>
      </c>
      <c r="E257" s="7" t="n">
        <v>0</v>
      </c>
      <c r="F257" s="7" t="n">
        <v>235.4</v>
      </c>
      <c r="G257" s="7" t="n">
        <v>0</v>
      </c>
      <c r="H257" s="7" t="n">
        <v>4039</v>
      </c>
      <c r="I257" s="7" t="n">
        <v>0</v>
      </c>
      <c r="J257" s="7" t="n">
        <v>442.1</v>
      </c>
      <c r="K257" s="7" t="n">
        <v>0</v>
      </c>
      <c r="L257" s="7" t="n">
        <v>4554.4</v>
      </c>
      <c r="M257" s="7" t="n">
        <v>0</v>
      </c>
      <c r="N257" s="7" t="n">
        <v>1222.7</v>
      </c>
      <c r="O257" s="7" t="n">
        <v>0</v>
      </c>
      <c r="P257" s="7" t="n">
        <v>433.9</v>
      </c>
      <c r="Q257" s="7" t="n">
        <v>0</v>
      </c>
      <c r="R257" s="7" t="n">
        <v>1652.1</v>
      </c>
      <c r="S257" s="7" t="n">
        <v>0</v>
      </c>
      <c r="T257" s="7" t="n">
        <v>2566.1</v>
      </c>
      <c r="U257" s="7" t="n">
        <v>0</v>
      </c>
      <c r="V257" s="7" t="n">
        <v>3173.9</v>
      </c>
      <c r="W257" s="7" t="n">
        <v>0</v>
      </c>
      <c r="X257" s="7" t="n">
        <v>3532.7</v>
      </c>
      <c r="Y257" s="7" t="n">
        <v>0</v>
      </c>
      <c r="Z257" s="7" t="n">
        <v>2831.3</v>
      </c>
      <c r="AA257" s="7" t="n">
        <v>0</v>
      </c>
      <c r="AB257" s="7" t="n">
        <v>25091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35.8</v>
      </c>
      <c r="E258" s="7" t="n">
        <v>0</v>
      </c>
      <c r="F258" s="7" t="n">
        <v>661.6</v>
      </c>
      <c r="G258" s="7" t="n">
        <v>0</v>
      </c>
      <c r="H258" s="7" t="n">
        <v>2424.1</v>
      </c>
      <c r="I258" s="7" t="n">
        <v>0</v>
      </c>
      <c r="J258" s="7" t="n">
        <v>2587</v>
      </c>
      <c r="K258" s="7" t="n">
        <v>0</v>
      </c>
      <c r="L258" s="7" t="n">
        <v>1361.4</v>
      </c>
      <c r="M258" s="7" t="n">
        <v>0</v>
      </c>
      <c r="N258" s="7" t="n">
        <v>1478.3</v>
      </c>
      <c r="O258" s="7" t="n">
        <v>0</v>
      </c>
      <c r="P258" s="7" t="n">
        <v>1478.8</v>
      </c>
      <c r="Q258" s="7" t="n">
        <v>0</v>
      </c>
      <c r="R258" s="7" t="n">
        <v>2571.1</v>
      </c>
      <c r="S258" s="7" t="n">
        <v>0</v>
      </c>
      <c r="T258" s="7" t="n">
        <v>2097.8</v>
      </c>
      <c r="U258" s="7" t="n">
        <v>0</v>
      </c>
      <c r="V258" s="7" t="n">
        <v>576.7</v>
      </c>
      <c r="W258" s="7" t="n">
        <v>0</v>
      </c>
      <c r="X258" s="7" t="n">
        <v>1036.2</v>
      </c>
      <c r="Y258" s="7" t="n">
        <v>0</v>
      </c>
      <c r="Z258" s="7" t="n">
        <v>1501</v>
      </c>
      <c r="AA258" s="7" t="n">
        <v>0</v>
      </c>
      <c r="AB258" s="7" t="n">
        <v>17809.8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269049.8</v>
      </c>
      <c r="D259" s="7" t="n">
        <v>265878.3</v>
      </c>
      <c r="E259" s="7" t="n">
        <v>250429.3</v>
      </c>
      <c r="F259" s="7" t="n">
        <v>280946.8</v>
      </c>
      <c r="G259" s="7" t="n">
        <v>243943.1</v>
      </c>
      <c r="H259" s="7" t="n">
        <v>193507.9</v>
      </c>
      <c r="I259" s="7" t="n">
        <v>255544.5</v>
      </c>
      <c r="J259" s="7" t="n">
        <v>293460.2</v>
      </c>
      <c r="K259" s="7" t="n">
        <v>245515.2</v>
      </c>
      <c r="L259" s="7" t="n">
        <v>344001.9</v>
      </c>
      <c r="M259" s="7" t="n">
        <v>284990.9</v>
      </c>
      <c r="N259" s="7" t="n">
        <v>273515.9</v>
      </c>
      <c r="O259" s="7" t="n">
        <v>260972.3</v>
      </c>
      <c r="P259" s="7" t="n">
        <v>323194.2</v>
      </c>
      <c r="Q259" s="7" t="n">
        <v>291078.7</v>
      </c>
      <c r="R259" s="7" t="n">
        <v>222407</v>
      </c>
      <c r="S259" s="7" t="n">
        <v>261286.6</v>
      </c>
      <c r="T259" s="7" t="n">
        <v>302211.4</v>
      </c>
      <c r="U259" s="7" t="n">
        <v>293694.1</v>
      </c>
      <c r="V259" s="7" t="n">
        <v>368309.3</v>
      </c>
      <c r="W259" s="7" t="n">
        <v>259546.1</v>
      </c>
      <c r="X259" s="7" t="n">
        <v>144475.1</v>
      </c>
      <c r="Y259" s="7" t="n">
        <v>229776.3</v>
      </c>
      <c r="Z259" s="7" t="n">
        <v>164019.9</v>
      </c>
      <c r="AA259" s="8" t="n">
        <v>3145826.9</v>
      </c>
      <c r="AB259" s="8" t="n">
        <v>3175927.9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63937.5</v>
      </c>
      <c r="D260" s="7" t="n">
        <v>66469.60000000001</v>
      </c>
      <c r="E260" s="7" t="n">
        <v>60695.5</v>
      </c>
      <c r="F260" s="7" t="n">
        <v>70236.7</v>
      </c>
      <c r="G260" s="7" t="n">
        <v>62683.5</v>
      </c>
      <c r="H260" s="7" t="n">
        <v>48377</v>
      </c>
      <c r="I260" s="7" t="n">
        <v>75180.2</v>
      </c>
      <c r="J260" s="7" t="n">
        <v>73365.10000000001</v>
      </c>
      <c r="K260" s="7" t="n">
        <v>72969.5</v>
      </c>
      <c r="L260" s="7" t="n">
        <v>86000.5</v>
      </c>
      <c r="M260" s="7" t="n">
        <v>74724.7</v>
      </c>
      <c r="N260" s="7" t="n">
        <v>68379</v>
      </c>
      <c r="O260" s="7" t="n">
        <v>72101</v>
      </c>
      <c r="P260" s="7" t="n">
        <v>80798.60000000001</v>
      </c>
      <c r="Q260" s="7" t="n">
        <v>65272.9</v>
      </c>
      <c r="R260" s="7" t="n">
        <v>55601.8</v>
      </c>
      <c r="S260" s="7" t="n">
        <v>68845.3</v>
      </c>
      <c r="T260" s="7" t="n">
        <v>75552.89999999999</v>
      </c>
      <c r="U260" s="7" t="n">
        <v>72954.39999999999</v>
      </c>
      <c r="V260" s="7" t="n">
        <v>92077.3</v>
      </c>
      <c r="W260" s="7" t="n">
        <v>72968.8</v>
      </c>
      <c r="X260" s="7" t="n">
        <v>36118.8</v>
      </c>
      <c r="Y260" s="7" t="n">
        <v>68925.3</v>
      </c>
      <c r="Z260" s="7" t="n">
        <v>41005</v>
      </c>
      <c r="AA260" s="7" t="n">
        <v>831258.6</v>
      </c>
      <c r="AB260" s="7" t="n">
        <v>793982.3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227778.8</v>
      </c>
      <c r="D261" s="7" t="n">
        <v>199408.7</v>
      </c>
      <c r="E261" s="7" t="n">
        <v>217485.2</v>
      </c>
      <c r="F261" s="7" t="n">
        <v>210710.1</v>
      </c>
      <c r="G261" s="7" t="n">
        <v>211394.8</v>
      </c>
      <c r="H261" s="7" t="n">
        <v>145130.9</v>
      </c>
      <c r="I261" s="7" t="n">
        <v>193244.2</v>
      </c>
      <c r="J261" s="7" t="n">
        <v>220095.1</v>
      </c>
      <c r="K261" s="7" t="n">
        <v>206898.9</v>
      </c>
      <c r="L261" s="7" t="n">
        <v>258001.4</v>
      </c>
      <c r="M261" s="7" t="n">
        <v>181489.4</v>
      </c>
      <c r="N261" s="7" t="n">
        <v>205136.9</v>
      </c>
      <c r="O261" s="7" t="n">
        <v>174460.9</v>
      </c>
      <c r="P261" s="7" t="n">
        <v>242395.6</v>
      </c>
      <c r="Q261" s="7" t="n">
        <v>174548.8</v>
      </c>
      <c r="R261" s="7" t="n">
        <v>166805.2</v>
      </c>
      <c r="S261" s="7" t="n">
        <v>153737.3</v>
      </c>
      <c r="T261" s="7" t="n">
        <v>226658.5</v>
      </c>
      <c r="U261" s="7" t="n">
        <v>157610</v>
      </c>
      <c r="V261" s="7" t="n">
        <v>276232</v>
      </c>
      <c r="W261" s="7" t="n">
        <v>241328.2</v>
      </c>
      <c r="X261" s="7" t="n">
        <v>108356.3</v>
      </c>
      <c r="Y261" s="7" t="n">
        <v>188664.7</v>
      </c>
      <c r="Z261" s="7" t="n">
        <v>123014.9</v>
      </c>
      <c r="AA261" s="8" t="n">
        <v>2328641.2</v>
      </c>
      <c r="AB261" s="8" t="n">
        <v>2381945.6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28261.3</v>
      </c>
      <c r="E262" s="7" t="n">
        <v>0</v>
      </c>
      <c r="F262" s="7" t="n">
        <v>14939.4</v>
      </c>
      <c r="G262" s="7" t="n">
        <v>0</v>
      </c>
      <c r="H262" s="7" t="n">
        <v>9911.6</v>
      </c>
      <c r="I262" s="7" t="n">
        <v>0</v>
      </c>
      <c r="J262" s="7" t="n">
        <v>11690.2</v>
      </c>
      <c r="K262" s="7" t="n">
        <v>0</v>
      </c>
      <c r="L262" s="7" t="n">
        <v>44903.4</v>
      </c>
      <c r="M262" s="7" t="n">
        <v>0</v>
      </c>
      <c r="N262" s="7" t="n">
        <v>25859.5</v>
      </c>
      <c r="O262" s="7" t="n">
        <v>0</v>
      </c>
      <c r="P262" s="7" t="n">
        <v>60263.2</v>
      </c>
      <c r="Q262" s="7" t="n">
        <v>0</v>
      </c>
      <c r="R262" s="7" t="n">
        <v>36294.9</v>
      </c>
      <c r="S262" s="7" t="n">
        <v>0</v>
      </c>
      <c r="T262" s="7" t="n">
        <v>22665.7</v>
      </c>
      <c r="U262" s="7" t="n">
        <v>0</v>
      </c>
      <c r="V262" s="7" t="n">
        <v>62560.8</v>
      </c>
      <c r="W262" s="7" t="n">
        <v>0</v>
      </c>
      <c r="X262" s="7" t="n">
        <v>16249.3</v>
      </c>
      <c r="Y262" s="7" t="n">
        <v>0</v>
      </c>
      <c r="Z262" s="7" t="n">
        <v>36167.3</v>
      </c>
      <c r="AA262" s="7" t="n">
        <v>0</v>
      </c>
      <c r="AB262" s="7" t="n">
        <v>369766.6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227778.8</v>
      </c>
      <c r="D263" s="7" t="n">
        <v>171147.4</v>
      </c>
      <c r="E263" s="7" t="n">
        <v>217485.2</v>
      </c>
      <c r="F263" s="7" t="n">
        <v>195770.7</v>
      </c>
      <c r="G263" s="7" t="n">
        <v>211394.8</v>
      </c>
      <c r="H263" s="7" t="n">
        <v>135219.3</v>
      </c>
      <c r="I263" s="7" t="n">
        <v>193244.2</v>
      </c>
      <c r="J263" s="7" t="n">
        <v>208404.9</v>
      </c>
      <c r="K263" s="7" t="n">
        <v>206898.9</v>
      </c>
      <c r="L263" s="7" t="n">
        <v>213098</v>
      </c>
      <c r="M263" s="7" t="n">
        <v>181489.4</v>
      </c>
      <c r="N263" s="7" t="n">
        <v>179277.4</v>
      </c>
      <c r="O263" s="7" t="n">
        <v>174460.9</v>
      </c>
      <c r="P263" s="7" t="n">
        <v>182132.4</v>
      </c>
      <c r="Q263" s="7" t="n">
        <v>174548.8</v>
      </c>
      <c r="R263" s="7" t="n">
        <v>130510.3</v>
      </c>
      <c r="S263" s="7" t="n">
        <v>153737.3</v>
      </c>
      <c r="T263" s="7" t="n">
        <v>203992.8</v>
      </c>
      <c r="U263" s="7" t="n">
        <v>157610</v>
      </c>
      <c r="V263" s="7" t="n">
        <v>213671.2</v>
      </c>
      <c r="W263" s="7" t="n">
        <v>241328.2</v>
      </c>
      <c r="X263" s="7" t="n">
        <v>92107</v>
      </c>
      <c r="Y263" s="7" t="n">
        <v>188664.7</v>
      </c>
      <c r="Z263" s="7" t="n">
        <v>86847.60000000001</v>
      </c>
      <c r="AA263" s="8" t="n">
        <v>2328641.2</v>
      </c>
      <c r="AB263" s="8" t="n">
        <v>2012179</v>
      </c>
    </row>
    <row r="264">
      <c r="A264" s="4" t="inlineStr">
        <is>
          <t>净利率</t>
        </is>
      </c>
      <c r="D264" s="13" t="n">
        <v>12.4</v>
      </c>
      <c r="F264" s="13" t="n">
        <v>12.9</v>
      </c>
      <c r="H264" s="13" t="n">
        <v>6.6</v>
      </c>
      <c r="J264" s="13" t="n">
        <v>9.5</v>
      </c>
      <c r="L264" s="13" t="n">
        <v>9</v>
      </c>
      <c r="N264" s="13" t="n">
        <v>7.1</v>
      </c>
      <c r="P264" s="13" t="n">
        <v>7.8</v>
      </c>
      <c r="R264" s="13" t="n">
        <v>7</v>
      </c>
      <c r="T264" s="13" t="n">
        <v>9.800000000000001</v>
      </c>
      <c r="V264" s="13" t="n">
        <v>9.4</v>
      </c>
      <c r="X264" s="13" t="n">
        <v>5.2</v>
      </c>
      <c r="Z264" s="13" t="n">
        <v>8</v>
      </c>
    </row>
    <row r="265">
      <c r="A265" s="4" t="inlineStr">
        <is>
          <t>销售达成率</t>
        </is>
      </c>
      <c r="D265" s="13" t="n">
        <v>62.9</v>
      </c>
      <c r="F265" s="13" t="n">
        <v>66.59999999999999</v>
      </c>
      <c r="H265" s="13" t="n">
        <v>107.9</v>
      </c>
      <c r="J265" s="13" t="n">
        <v>112.6</v>
      </c>
      <c r="L265" s="13" t="n">
        <v>116</v>
      </c>
      <c r="N265" s="13" t="n">
        <v>131.1</v>
      </c>
      <c r="P265" s="13" t="n">
        <v>123.6</v>
      </c>
      <c r="R265" s="13" t="n">
        <v>96.90000000000001</v>
      </c>
      <c r="T265" s="13" t="n">
        <v>87.90000000000001</v>
      </c>
      <c r="V265" s="13" t="n">
        <v>112.5</v>
      </c>
      <c r="X265" s="13" t="n">
        <v>94.09999999999999</v>
      </c>
      <c r="Z265" s="13" t="n">
        <v>63.7</v>
      </c>
    </row>
    <row r="266">
      <c r="A266" s="4" t="inlineStr">
        <is>
          <t>净利达成率</t>
        </is>
      </c>
      <c r="D266" s="13" t="n">
        <v>87.5</v>
      </c>
      <c r="F266" s="13" t="n">
        <v>96.90000000000001</v>
      </c>
      <c r="H266" s="13" t="n">
        <v>68.7</v>
      </c>
      <c r="J266" s="13" t="n">
        <v>113.9</v>
      </c>
      <c r="L266" s="13" t="n">
        <v>124.7</v>
      </c>
      <c r="N266" s="13" t="n">
        <v>113</v>
      </c>
      <c r="P266" s="13" t="n">
        <v>138.9</v>
      </c>
      <c r="R266" s="13" t="n">
        <v>95.59999999999999</v>
      </c>
      <c r="T266" s="13" t="n">
        <v>147.4</v>
      </c>
      <c r="V266" s="13" t="n">
        <v>175.3</v>
      </c>
      <c r="X266" s="13" t="n">
        <v>44.9</v>
      </c>
      <c r="Z266" s="13" t="n">
        <v>65.2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4" customWidth="1" min="4" max="4"/>
    <col width="12" customWidth="1" min="5" max="5"/>
    <col width="10" customWidth="1" min="6" max="6"/>
  </cols>
  <sheetData>
    <row r="1">
      <c r="A1" s="2" t="inlineStr">
        <is>
          <t>日期</t>
        </is>
      </c>
      <c r="B1" s="2" t="inlineStr">
        <is>
          <t>月份</t>
        </is>
      </c>
      <c r="C1" s="2" t="inlineStr">
        <is>
          <t>摘要</t>
        </is>
      </c>
      <c r="D1" s="2" t="inlineStr">
        <is>
          <t>贷方金额</t>
        </is>
      </c>
      <c r="E1" s="2" t="inlineStr">
        <is>
          <t>区域</t>
        </is>
      </c>
      <c r="F1" s="2" t="inlineStr">
        <is>
          <t>业务员</t>
        </is>
      </c>
    </row>
    <row r="2">
      <c r="A2" s="14" t="n">
        <v>45295</v>
      </c>
      <c r="B2" s="4" t="inlineStr">
        <is>
          <t>2024-01</t>
        </is>
      </c>
      <c r="C2" s="4" t="inlineStr">
        <is>
          <t>吴中实业有限公司经销商返点实现14727</t>
        </is>
      </c>
      <c r="D2" s="15" t="n">
        <v>-14727.64</v>
      </c>
      <c r="E2" s="4" t="inlineStr">
        <is>
          <t>上海分部</t>
        </is>
      </c>
      <c r="F2" s="4" t="inlineStr">
        <is>
          <t>王秀英</t>
        </is>
      </c>
    </row>
    <row r="3">
      <c r="A3" s="14" t="n">
        <v>45307</v>
      </c>
      <c r="B3" s="4" t="inlineStr">
        <is>
          <t>2024-01</t>
        </is>
      </c>
      <c r="C3" s="4" t="inlineStr">
        <is>
          <t>冲减计提吴中食品有限公司经销商返点实现10341</t>
        </is>
      </c>
      <c r="D3" s="15" t="n">
        <v>10341.67</v>
      </c>
      <c r="E3" s="4" t="inlineStr">
        <is>
          <t>赣皖区域</t>
        </is>
      </c>
      <c r="F3" s="4" t="inlineStr">
        <is>
          <t>何明秀</t>
        </is>
      </c>
    </row>
    <row r="4">
      <c r="A4" s="14" t="n">
        <v>45336</v>
      </c>
      <c r="B4" s="4" t="inlineStr">
        <is>
          <t>2024-02</t>
        </is>
      </c>
      <c r="C4" s="4" t="inlineStr">
        <is>
          <t>冲减计提海宁食品有限公司经销商返点实现596</t>
        </is>
      </c>
      <c r="D4" s="15" t="n">
        <v>596.12</v>
      </c>
      <c r="E4" s="4" t="inlineStr">
        <is>
          <t>江苏分部</t>
        </is>
      </c>
      <c r="F4" s="4" t="inlineStr">
        <is>
          <t>黄静芳</t>
        </is>
      </c>
    </row>
    <row r="5">
      <c r="A5" s="14" t="n">
        <v>45361</v>
      </c>
      <c r="B5" s="4" t="inlineStr">
        <is>
          <t>2024-03</t>
        </is>
      </c>
      <c r="C5" s="4" t="inlineStr">
        <is>
          <t>冲减计提吴中市大匠食品商行经销商返点实现5514</t>
        </is>
      </c>
      <c r="D5" s="15" t="n">
        <v>5514.49</v>
      </c>
      <c r="E5" s="4" t="inlineStr">
        <is>
          <t>赣皖区域</t>
        </is>
      </c>
      <c r="F5" s="4" t="inlineStr">
        <is>
          <t>黄秀秀</t>
        </is>
      </c>
    </row>
    <row r="6">
      <c r="A6" s="14" t="n">
        <v>45364</v>
      </c>
      <c r="B6" s="4" t="inlineStr">
        <is>
          <t>2024-03</t>
        </is>
      </c>
      <c r="C6" s="4" t="inlineStr">
        <is>
          <t>海宁供应链管理有限公司经销商返点实现1945</t>
        </is>
      </c>
      <c r="D6" s="15" t="n">
        <v>-1945.98</v>
      </c>
      <c r="E6" s="4" t="inlineStr">
        <is>
          <t>赣皖区域</t>
        </is>
      </c>
      <c r="F6" s="4" t="inlineStr">
        <is>
          <t>李强英</t>
        </is>
      </c>
    </row>
    <row r="7">
      <c r="A7" s="14" t="n">
        <v>45367</v>
      </c>
      <c r="B7" s="4" t="inlineStr">
        <is>
          <t>2024-03</t>
        </is>
      </c>
      <c r="C7" s="4" t="inlineStr">
        <is>
          <t>余杭供应链管理有限公司经销商返点实现10912</t>
        </is>
      </c>
      <c r="D7" s="15" t="n">
        <v>-10912.73</v>
      </c>
      <c r="E7" s="4" t="inlineStr">
        <is>
          <t>江苏分部</t>
        </is>
      </c>
      <c r="F7" s="4" t="inlineStr">
        <is>
          <t>胡兰英</t>
        </is>
      </c>
    </row>
    <row r="8">
      <c r="A8" s="14" t="n">
        <v>45368</v>
      </c>
      <c r="B8" s="4" t="inlineStr">
        <is>
          <t>2024-03</t>
        </is>
      </c>
      <c r="C8" s="4" t="inlineStr">
        <is>
          <t>余杭实业有限公司经销商返点实现14574</t>
        </is>
      </c>
      <c r="D8" s="15" t="n">
        <v>-14574.03</v>
      </c>
      <c r="E8" s="4" t="inlineStr">
        <is>
          <t>江苏分部</t>
        </is>
      </c>
      <c r="F8" s="4" t="inlineStr">
        <is>
          <t>徐丽秀</t>
        </is>
      </c>
    </row>
    <row r="9">
      <c r="A9" s="14" t="n">
        <v>45369</v>
      </c>
      <c r="B9" s="4" t="inlineStr">
        <is>
          <t>2024-03</t>
        </is>
      </c>
      <c r="C9" s="4" t="inlineStr">
        <is>
          <t>冲减计提武进商贸有限公司经销商返点实现7024</t>
        </is>
      </c>
      <c r="D9" s="15" t="n">
        <v>7024.47</v>
      </c>
      <c r="E9" s="4" t="inlineStr">
        <is>
          <t>上海分部</t>
        </is>
      </c>
      <c r="F9" s="4" t="inlineStr">
        <is>
          <t>陈丽芳</t>
        </is>
      </c>
    </row>
    <row r="10">
      <c r="A10" s="14" t="n">
        <v>45373</v>
      </c>
      <c r="B10" s="4" t="inlineStr">
        <is>
          <t>2024-03</t>
        </is>
      </c>
      <c r="C10" s="4" t="inlineStr">
        <is>
          <t>武进供应链管理有限公司经销商返点实现3861</t>
        </is>
      </c>
      <c r="D10" s="15" t="n">
        <v>-3861.51</v>
      </c>
      <c r="E10" s="4" t="inlineStr">
        <is>
          <t>江苏分部</t>
        </is>
      </c>
      <c r="F10" s="4" t="inlineStr">
        <is>
          <t>朱超芳</t>
        </is>
      </c>
    </row>
    <row r="11">
      <c r="A11" s="14" t="n">
        <v>45373</v>
      </c>
      <c r="B11" s="4" t="inlineStr">
        <is>
          <t>2024-03</t>
        </is>
      </c>
      <c r="C11" s="4" t="inlineStr">
        <is>
          <t>冲减计提姑苏供应链管理有限公司经销商返点实现14233</t>
        </is>
      </c>
      <c r="D11" s="15" t="n">
        <v>14233.17</v>
      </c>
      <c r="E11" s="4" t="inlineStr">
        <is>
          <t>浙江分部</t>
        </is>
      </c>
      <c r="F11" s="4" t="inlineStr">
        <is>
          <t>张娜秀</t>
        </is>
      </c>
    </row>
    <row r="12">
      <c r="A12" s="14" t="n">
        <v>45378</v>
      </c>
      <c r="B12" s="4" t="inlineStr">
        <is>
          <t>2024-03</t>
        </is>
      </c>
      <c r="C12" s="4" t="inlineStr">
        <is>
          <t>海宁实业有限公司经销商返点实现4739</t>
        </is>
      </c>
      <c r="D12" s="15" t="n">
        <v>-4739.14</v>
      </c>
      <c r="E12" s="4" t="inlineStr">
        <is>
          <t>江苏分部</t>
        </is>
      </c>
      <c r="F12" s="4" t="inlineStr">
        <is>
          <t>黄艳伟</t>
        </is>
      </c>
    </row>
    <row r="13">
      <c r="A13" s="14" t="n">
        <v>45384</v>
      </c>
      <c r="B13" s="4" t="inlineStr">
        <is>
          <t>2024-04</t>
        </is>
      </c>
      <c r="C13" s="4" t="inlineStr">
        <is>
          <t>姑苏市优鲜食品商行经销商返点实现5996</t>
        </is>
      </c>
      <c r="D13" s="15" t="n">
        <v>-5996.74</v>
      </c>
      <c r="E13" s="4" t="inlineStr">
        <is>
          <t>浙江分部</t>
        </is>
      </c>
      <c r="F13" s="4" t="inlineStr">
        <is>
          <t>杨兰英</t>
        </is>
      </c>
    </row>
    <row r="14">
      <c r="A14" s="14" t="n">
        <v>45384</v>
      </c>
      <c r="B14" s="4" t="inlineStr">
        <is>
          <t>2024-04</t>
        </is>
      </c>
      <c r="C14" s="4" t="inlineStr">
        <is>
          <t>衢州区优鲜冷冻食品批发部经销商返点实现2650</t>
        </is>
      </c>
      <c r="D14" s="15" t="n">
        <v>-2650.47</v>
      </c>
      <c r="E14" s="4" t="inlineStr">
        <is>
          <t>江苏分部</t>
        </is>
      </c>
      <c r="F14" s="4" t="inlineStr">
        <is>
          <t>周霞伟</t>
        </is>
      </c>
    </row>
    <row r="15">
      <c r="A15" s="14" t="n">
        <v>45389</v>
      </c>
      <c r="B15" s="4" t="inlineStr">
        <is>
          <t>2024-04</t>
        </is>
      </c>
      <c r="C15" s="4" t="inlineStr">
        <is>
          <t>武进实业有限公司经销商返点实现10487</t>
        </is>
      </c>
      <c r="D15" s="15" t="n">
        <v>-10487.52</v>
      </c>
      <c r="E15" s="4" t="inlineStr">
        <is>
          <t>江苏分部</t>
        </is>
      </c>
      <c r="F15" s="4" t="inlineStr">
        <is>
          <t>高勇英</t>
        </is>
      </c>
    </row>
    <row r="16">
      <c r="A16" s="14" t="n">
        <v>45393</v>
      </c>
      <c r="B16" s="4" t="inlineStr">
        <is>
          <t>2024-04</t>
        </is>
      </c>
      <c r="C16" s="4" t="inlineStr">
        <is>
          <t>海宁市优鲜食品商行经销商返点实现1809</t>
        </is>
      </c>
      <c r="D16" s="15" t="n">
        <v>-1809.99</v>
      </c>
      <c r="E16" s="4" t="inlineStr">
        <is>
          <t>赣皖区域</t>
        </is>
      </c>
      <c r="F16" s="4" t="inlineStr">
        <is>
          <t>何艳娜</t>
        </is>
      </c>
    </row>
    <row r="17">
      <c r="A17" s="14" t="n">
        <v>45398</v>
      </c>
      <c r="B17" s="4" t="inlineStr">
        <is>
          <t>2024-04</t>
        </is>
      </c>
      <c r="C17" s="4" t="inlineStr">
        <is>
          <t>海宁供应链管理有限公司经销商返点实现5376</t>
        </is>
      </c>
      <c r="D17" s="15" t="n">
        <v>-5376.81</v>
      </c>
      <c r="E17" s="4" t="inlineStr">
        <is>
          <t>江苏分部</t>
        </is>
      </c>
      <c r="F17" s="4" t="inlineStr">
        <is>
          <t>王艳娜</t>
        </is>
      </c>
    </row>
    <row r="18">
      <c r="A18" s="14" t="n">
        <v>45429</v>
      </c>
      <c r="B18" s="4" t="inlineStr">
        <is>
          <t>2024-05</t>
        </is>
      </c>
      <c r="C18" s="4" t="inlineStr">
        <is>
          <t>冲减计提余杭区优鲜冷冻食品批发部经销商返点实现6383</t>
        </is>
      </c>
      <c r="D18" s="15" t="n">
        <v>6383.97</v>
      </c>
      <c r="E18" s="4" t="inlineStr">
        <is>
          <t>赣皖区域</t>
        </is>
      </c>
      <c r="F18" s="4" t="inlineStr">
        <is>
          <t>罗英伟</t>
        </is>
      </c>
    </row>
    <row r="19">
      <c r="A19" s="14" t="n">
        <v>45431</v>
      </c>
      <c r="B19" s="4" t="inlineStr">
        <is>
          <t>2024-05</t>
        </is>
      </c>
      <c r="C19" s="4" t="inlineStr">
        <is>
          <t>吴中区淼沃冷冻食品批发部经销商返点实现8872</t>
        </is>
      </c>
      <c r="D19" s="15" t="n">
        <v>-8872.84</v>
      </c>
      <c r="E19" s="4" t="inlineStr">
        <is>
          <t>上海分部</t>
        </is>
      </c>
      <c r="F19" s="4" t="inlineStr">
        <is>
          <t>朱敏英</t>
        </is>
      </c>
    </row>
    <row r="20">
      <c r="A20" s="14" t="n">
        <v>45431</v>
      </c>
      <c r="B20" s="4" t="inlineStr">
        <is>
          <t>2024-05</t>
        </is>
      </c>
      <c r="C20" s="4" t="inlineStr">
        <is>
          <t>武进食品有限公司经销商返点实现13687</t>
        </is>
      </c>
      <c r="D20" s="15" t="n">
        <v>-13687.62</v>
      </c>
      <c r="E20" s="4" t="inlineStr">
        <is>
          <t>浙江分部</t>
        </is>
      </c>
      <c r="F20" s="4" t="inlineStr">
        <is>
          <t>林秀娜</t>
        </is>
      </c>
    </row>
    <row r="21">
      <c r="A21" s="14" t="n">
        <v>45446</v>
      </c>
      <c r="B21" s="4" t="inlineStr">
        <is>
          <t>2024-06</t>
        </is>
      </c>
      <c r="C21" s="4" t="inlineStr">
        <is>
          <t>姑苏供应链管理有限公司经销商返点实现1649</t>
        </is>
      </c>
      <c r="D21" s="15" t="n">
        <v>-1649.68</v>
      </c>
      <c r="E21" s="4" t="inlineStr">
        <is>
          <t>江苏分部</t>
        </is>
      </c>
      <c r="F21" s="4" t="inlineStr">
        <is>
          <t>刘明秀</t>
        </is>
      </c>
    </row>
    <row r="22">
      <c r="A22" s="14" t="n">
        <v>45447</v>
      </c>
      <c r="B22" s="4" t="inlineStr">
        <is>
          <t>2024-06</t>
        </is>
      </c>
      <c r="C22" s="4" t="inlineStr">
        <is>
          <t>余杭食品有限公司经销商返点实现9006</t>
        </is>
      </c>
      <c r="D22" s="15" t="n">
        <v>-9006.41</v>
      </c>
      <c r="E22" s="4" t="inlineStr">
        <is>
          <t>江苏分部</t>
        </is>
      </c>
      <c r="F22" s="4" t="inlineStr">
        <is>
          <t>吴超娜</t>
        </is>
      </c>
    </row>
    <row r="23">
      <c r="A23" s="14" t="n">
        <v>45451</v>
      </c>
      <c r="B23" s="4" t="inlineStr">
        <is>
          <t>2024-06</t>
        </is>
      </c>
      <c r="C23" s="4" t="inlineStr">
        <is>
          <t>姑苏区大匠冷冻食品批发部经销商返点实现5750</t>
        </is>
      </c>
      <c r="D23" s="15" t="n">
        <v>-5750.59</v>
      </c>
      <c r="E23" s="4" t="inlineStr">
        <is>
          <t>江苏分部</t>
        </is>
      </c>
      <c r="F23" s="4" t="inlineStr">
        <is>
          <t>赵秀英</t>
        </is>
      </c>
    </row>
    <row r="24">
      <c r="A24" s="14" t="n">
        <v>45453</v>
      </c>
      <c r="B24" s="4" t="inlineStr">
        <is>
          <t>2024-06</t>
        </is>
      </c>
      <c r="C24" s="4" t="inlineStr">
        <is>
          <t>海宁市食佳食品商行经销商返点实现11958</t>
        </is>
      </c>
      <c r="D24" s="15" t="n">
        <v>-11958.61</v>
      </c>
      <c r="E24" s="4" t="inlineStr">
        <is>
          <t>上海分部</t>
        </is>
      </c>
      <c r="F24" s="4" t="inlineStr">
        <is>
          <t>朱洋秀</t>
        </is>
      </c>
    </row>
    <row r="25">
      <c r="A25" s="14" t="n">
        <v>45471</v>
      </c>
      <c r="B25" s="4" t="inlineStr">
        <is>
          <t>2024-06</t>
        </is>
      </c>
      <c r="C25" s="4" t="inlineStr">
        <is>
          <t>武进实业有限公司经销商返点实现14630</t>
        </is>
      </c>
      <c r="D25" s="15" t="n">
        <v>-14630.05</v>
      </c>
      <c r="E25" s="4" t="inlineStr">
        <is>
          <t>上海分部</t>
        </is>
      </c>
      <c r="F25" s="4" t="inlineStr">
        <is>
          <t>罗娟英</t>
        </is>
      </c>
    </row>
    <row r="26">
      <c r="A26" s="14" t="n">
        <v>45492</v>
      </c>
      <c r="B26" s="4" t="inlineStr">
        <is>
          <t>2024-07</t>
        </is>
      </c>
      <c r="C26" s="4" t="inlineStr">
        <is>
          <t>姑苏食品有限公司经销商返点实现13816</t>
        </is>
      </c>
      <c r="D26" s="15" t="n">
        <v>-13816.89</v>
      </c>
      <c r="E26" s="4" t="inlineStr">
        <is>
          <t>江苏分部</t>
        </is>
      </c>
      <c r="F26" s="4" t="inlineStr">
        <is>
          <t>张霞伟</t>
        </is>
      </c>
    </row>
    <row r="27">
      <c r="A27" s="14" t="n">
        <v>45495</v>
      </c>
      <c r="B27" s="4" t="inlineStr">
        <is>
          <t>2024-07</t>
        </is>
      </c>
      <c r="C27" s="4" t="inlineStr">
        <is>
          <t>衢州供应链管理有限公司经销商返点实现11494</t>
        </is>
      </c>
      <c r="D27" s="15" t="n">
        <v>-11494.07</v>
      </c>
      <c r="E27" s="4" t="inlineStr">
        <is>
          <t>浙江分部</t>
        </is>
      </c>
      <c r="F27" s="4" t="inlineStr">
        <is>
          <t>吴明娜</t>
        </is>
      </c>
    </row>
    <row r="28">
      <c r="A28" s="14" t="n">
        <v>45496</v>
      </c>
      <c r="B28" s="4" t="inlineStr">
        <is>
          <t>2024-07</t>
        </is>
      </c>
      <c r="C28" s="4" t="inlineStr">
        <is>
          <t>武进供应链管理有限公司经销商返点实现4932</t>
        </is>
      </c>
      <c r="D28" s="15" t="n">
        <v>-4932.89</v>
      </c>
      <c r="E28" s="4" t="inlineStr">
        <is>
          <t>赣皖区域</t>
        </is>
      </c>
      <c r="F28" s="4" t="inlineStr">
        <is>
          <t>林敏娜</t>
        </is>
      </c>
    </row>
    <row r="29">
      <c r="A29" s="14" t="n">
        <v>45496</v>
      </c>
      <c r="B29" s="4" t="inlineStr">
        <is>
          <t>2024-07</t>
        </is>
      </c>
      <c r="C29" s="4" t="inlineStr">
        <is>
          <t>武进实业有限公司经销商返点实现13245</t>
        </is>
      </c>
      <c r="D29" s="15" t="n">
        <v>-13245.23</v>
      </c>
      <c r="E29" s="4" t="inlineStr">
        <is>
          <t>上海分部</t>
        </is>
      </c>
      <c r="F29" s="4" t="inlineStr">
        <is>
          <t>林丽秀</t>
        </is>
      </c>
    </row>
    <row r="30">
      <c r="A30" s="14" t="n">
        <v>45507</v>
      </c>
      <c r="B30" s="4" t="inlineStr">
        <is>
          <t>2024-08</t>
        </is>
      </c>
      <c r="C30" s="4" t="inlineStr">
        <is>
          <t>钟楼供应链管理有限公司经销商返点实现8531</t>
        </is>
      </c>
      <c r="D30" s="15" t="n">
        <v>-8531.530000000001</v>
      </c>
      <c r="E30" s="4" t="inlineStr">
        <is>
          <t>江苏分部</t>
        </is>
      </c>
      <c r="F30" s="4" t="inlineStr">
        <is>
          <t>王娟芳</t>
        </is>
      </c>
    </row>
    <row r="31">
      <c r="A31" s="14" t="n">
        <v>45508</v>
      </c>
      <c r="B31" s="4" t="inlineStr">
        <is>
          <t>2024-08</t>
        </is>
      </c>
      <c r="C31" s="4" t="inlineStr">
        <is>
          <t>余杭食品有限公司经销商返点实现9890</t>
        </is>
      </c>
      <c r="D31" s="15" t="n">
        <v>-9890.049999999999</v>
      </c>
      <c r="E31" s="4" t="inlineStr">
        <is>
          <t>上海分部</t>
        </is>
      </c>
      <c r="F31" s="4" t="inlineStr">
        <is>
          <t>马磊芳</t>
        </is>
      </c>
    </row>
    <row r="32">
      <c r="A32" s="14" t="n">
        <v>45515</v>
      </c>
      <c r="B32" s="4" t="inlineStr">
        <is>
          <t>2024-08</t>
        </is>
      </c>
      <c r="C32" s="4" t="inlineStr">
        <is>
          <t>衢州实业有限公司经销商返点实现8781</t>
        </is>
      </c>
      <c r="D32" s="15" t="n">
        <v>-8781.709999999999</v>
      </c>
      <c r="E32" s="4" t="inlineStr">
        <is>
          <t>江苏分部</t>
        </is>
      </c>
      <c r="F32" s="4" t="inlineStr">
        <is>
          <t>赵勇芳</t>
        </is>
      </c>
    </row>
    <row r="33">
      <c r="A33" s="14" t="n">
        <v>45518</v>
      </c>
      <c r="B33" s="4" t="inlineStr">
        <is>
          <t>2024-08</t>
        </is>
      </c>
      <c r="C33" s="4" t="inlineStr">
        <is>
          <t>海宁实业有限公司经销商返点实现6186</t>
        </is>
      </c>
      <c r="D33" s="15" t="n">
        <v>-6186.97</v>
      </c>
      <c r="E33" s="4" t="inlineStr">
        <is>
          <t>江苏分部</t>
        </is>
      </c>
      <c r="F33" s="4" t="inlineStr">
        <is>
          <t>赵秀伟</t>
        </is>
      </c>
    </row>
    <row r="34">
      <c r="A34" s="14" t="n">
        <v>45528</v>
      </c>
      <c r="B34" s="4" t="inlineStr">
        <is>
          <t>2024-08</t>
        </is>
      </c>
      <c r="C34" s="4" t="inlineStr">
        <is>
          <t>吴中供应链管理有限公司经销商返点实现12918</t>
        </is>
      </c>
      <c r="D34" s="15" t="n">
        <v>-12918.46</v>
      </c>
      <c r="E34" s="4" t="inlineStr">
        <is>
          <t>浙江分部</t>
        </is>
      </c>
      <c r="F34" s="4" t="inlineStr">
        <is>
          <t>赵超伟</t>
        </is>
      </c>
    </row>
    <row r="35">
      <c r="A35" s="14" t="n">
        <v>45543</v>
      </c>
      <c r="B35" s="4" t="inlineStr">
        <is>
          <t>2024-09</t>
        </is>
      </c>
      <c r="C35" s="4" t="inlineStr">
        <is>
          <t>衢州实业有限公司经销商返点实现3916</t>
        </is>
      </c>
      <c r="D35" s="15" t="n">
        <v>-3916.7</v>
      </c>
      <c r="E35" s="4" t="inlineStr">
        <is>
          <t>江苏分部</t>
        </is>
      </c>
      <c r="F35" s="4" t="inlineStr">
        <is>
          <t>刘磊英</t>
        </is>
      </c>
    </row>
    <row r="36">
      <c r="A36" s="14" t="n">
        <v>45558</v>
      </c>
      <c r="B36" s="4" t="inlineStr">
        <is>
          <t>2024-09</t>
        </is>
      </c>
      <c r="C36" s="4" t="inlineStr">
        <is>
          <t>姑苏供应链管理有限公司经销商返点实现14678</t>
        </is>
      </c>
      <c r="D36" s="15" t="n">
        <v>-14678.44</v>
      </c>
      <c r="E36" s="4" t="inlineStr">
        <is>
          <t>江苏分部</t>
        </is>
      </c>
      <c r="F36" s="4" t="inlineStr">
        <is>
          <t>朱芳伟</t>
        </is>
      </c>
    </row>
    <row r="37">
      <c r="A37" s="14" t="n">
        <v>45560</v>
      </c>
      <c r="B37" s="4" t="inlineStr">
        <is>
          <t>2024-09</t>
        </is>
      </c>
      <c r="C37" s="4" t="inlineStr">
        <is>
          <t>余杭市淼沃食品商行经销商返点实现1606</t>
        </is>
      </c>
      <c r="D37" s="15" t="n">
        <v>-1606.19</v>
      </c>
      <c r="E37" s="4" t="inlineStr">
        <is>
          <t>赣皖区域</t>
        </is>
      </c>
      <c r="F37" s="4" t="inlineStr">
        <is>
          <t>刘明秀</t>
        </is>
      </c>
    </row>
    <row r="38">
      <c r="A38" s="14" t="n">
        <v>45571</v>
      </c>
      <c r="B38" s="4" t="inlineStr">
        <is>
          <t>2024-10</t>
        </is>
      </c>
      <c r="C38" s="4" t="inlineStr">
        <is>
          <t>衢州供应链管理有限公司经销商返点实现14926</t>
        </is>
      </c>
      <c r="D38" s="15" t="n">
        <v>-14926.33</v>
      </c>
      <c r="E38" s="4" t="inlineStr">
        <is>
          <t>江苏分部</t>
        </is>
      </c>
      <c r="F38" s="4" t="inlineStr">
        <is>
          <t>胡洋秀</t>
        </is>
      </c>
    </row>
    <row r="39">
      <c r="A39" s="14" t="n">
        <v>45582</v>
      </c>
      <c r="B39" s="4" t="inlineStr">
        <is>
          <t>2024-10</t>
        </is>
      </c>
      <c r="C39" s="4" t="inlineStr">
        <is>
          <t>吴中商贸有限公司经销商返点实现12721</t>
        </is>
      </c>
      <c r="D39" s="15" t="n">
        <v>-12721.34</v>
      </c>
      <c r="E39" s="4" t="inlineStr">
        <is>
          <t>上海分部</t>
        </is>
      </c>
      <c r="F39" s="4" t="inlineStr">
        <is>
          <t>马明娜</t>
        </is>
      </c>
    </row>
    <row r="40">
      <c r="A40" s="14" t="n">
        <v>45584</v>
      </c>
      <c r="B40" s="4" t="inlineStr">
        <is>
          <t>2024-10</t>
        </is>
      </c>
      <c r="C40" s="4" t="inlineStr">
        <is>
          <t>吴中实业有限公司经销商返点实现3164</t>
        </is>
      </c>
      <c r="D40" s="15" t="n">
        <v>-3164.2</v>
      </c>
      <c r="E40" s="4" t="inlineStr">
        <is>
          <t>赣皖区域</t>
        </is>
      </c>
      <c r="F40" s="4" t="inlineStr">
        <is>
          <t>陈艳芳</t>
        </is>
      </c>
    </row>
    <row r="41">
      <c r="A41" s="14" t="n">
        <v>45584</v>
      </c>
      <c r="B41" s="4" t="inlineStr">
        <is>
          <t>2024-10</t>
        </is>
      </c>
      <c r="C41" s="4" t="inlineStr">
        <is>
          <t>钟楼商贸有限公司经销商返点实现4804</t>
        </is>
      </c>
      <c r="D41" s="15" t="n">
        <v>-4804.02</v>
      </c>
      <c r="E41" s="4" t="inlineStr">
        <is>
          <t>江苏分部</t>
        </is>
      </c>
      <c r="F41" s="4" t="inlineStr">
        <is>
          <t>黄强英</t>
        </is>
      </c>
    </row>
    <row r="42">
      <c r="A42" s="14" t="n">
        <v>45589</v>
      </c>
      <c r="B42" s="4" t="inlineStr">
        <is>
          <t>2024-10</t>
        </is>
      </c>
      <c r="C42" s="4" t="inlineStr">
        <is>
          <t>武进食品有限公司经销商返点实现11835</t>
        </is>
      </c>
      <c r="D42" s="15" t="n">
        <v>-11835.92</v>
      </c>
      <c r="E42" s="4" t="inlineStr">
        <is>
          <t>浙江分部</t>
        </is>
      </c>
      <c r="F42" s="4" t="inlineStr">
        <is>
          <t>朱娜芳</t>
        </is>
      </c>
    </row>
    <row r="43">
      <c r="A43" s="14" t="n">
        <v>45590</v>
      </c>
      <c r="B43" s="4" t="inlineStr">
        <is>
          <t>2024-10</t>
        </is>
      </c>
      <c r="C43" s="4" t="inlineStr">
        <is>
          <t>姑苏食品有限公司经销商返点实现1092</t>
        </is>
      </c>
      <c r="D43" s="15" t="n">
        <v>-1092.76</v>
      </c>
      <c r="E43" s="4" t="inlineStr">
        <is>
          <t>赣皖区域</t>
        </is>
      </c>
      <c r="F43" s="4" t="inlineStr">
        <is>
          <t>胡娟秀</t>
        </is>
      </c>
    </row>
    <row r="44">
      <c r="A44" s="14" t="n">
        <v>45593</v>
      </c>
      <c r="B44" s="4" t="inlineStr">
        <is>
          <t>2024-10</t>
        </is>
      </c>
      <c r="C44" s="4" t="inlineStr">
        <is>
          <t>钟楼商贸有限公司经销商返点实现4662</t>
        </is>
      </c>
      <c r="D44" s="15" t="n">
        <v>-4662.67</v>
      </c>
      <c r="E44" s="4" t="inlineStr">
        <is>
          <t>赣皖区域</t>
        </is>
      </c>
      <c r="F44" s="4" t="inlineStr">
        <is>
          <t>王霞伟</t>
        </is>
      </c>
    </row>
    <row r="45">
      <c r="A45" s="14" t="n">
        <v>45601</v>
      </c>
      <c r="B45" s="4" t="inlineStr">
        <is>
          <t>2024-11</t>
        </is>
      </c>
      <c r="C45" s="4" t="inlineStr">
        <is>
          <t>海宁区大匠冷冻食品批发部经销商返点实现1170</t>
        </is>
      </c>
      <c r="D45" s="15" t="n">
        <v>-1170.19</v>
      </c>
      <c r="E45" s="4" t="inlineStr">
        <is>
          <t>江苏分部</t>
        </is>
      </c>
      <c r="F45" s="4" t="inlineStr">
        <is>
          <t>罗英娜</t>
        </is>
      </c>
    </row>
    <row r="46">
      <c r="A46" s="14" t="n">
        <v>45608</v>
      </c>
      <c r="B46" s="4" t="inlineStr">
        <is>
          <t>2024-11</t>
        </is>
      </c>
      <c r="C46" s="4" t="inlineStr">
        <is>
          <t>冲减计提余杭市食佳食品商行经销商返点实现9865</t>
        </is>
      </c>
      <c r="D46" s="15" t="n">
        <v>9865.9</v>
      </c>
      <c r="E46" s="4" t="inlineStr">
        <is>
          <t>上海分部</t>
        </is>
      </c>
      <c r="F46" s="4" t="inlineStr">
        <is>
          <t>赵娜秀</t>
        </is>
      </c>
    </row>
    <row r="47">
      <c r="A47" s="14" t="n">
        <v>45627</v>
      </c>
      <c r="B47" s="4" t="inlineStr">
        <is>
          <t>2024-12</t>
        </is>
      </c>
      <c r="C47" s="4" t="inlineStr">
        <is>
          <t>钟楼商贸有限公司经销商返点实现9373</t>
        </is>
      </c>
      <c r="D47" s="15" t="n">
        <v>-9373.59</v>
      </c>
      <c r="E47" s="4" t="inlineStr">
        <is>
          <t>赣皖区域</t>
        </is>
      </c>
      <c r="F47" s="4" t="inlineStr">
        <is>
          <t>高强芳</t>
        </is>
      </c>
    </row>
    <row r="48">
      <c r="A48" s="14" t="n">
        <v>45630</v>
      </c>
      <c r="B48" s="4" t="inlineStr">
        <is>
          <t>2024-12</t>
        </is>
      </c>
      <c r="C48" s="4" t="inlineStr">
        <is>
          <t>钟楼供应链管理有限公司经销商返点实现7624</t>
        </is>
      </c>
      <c r="D48" s="15" t="n">
        <v>-7624.46</v>
      </c>
      <c r="E48" s="4" t="inlineStr">
        <is>
          <t>赣皖区域</t>
        </is>
      </c>
      <c r="F48" s="4" t="inlineStr">
        <is>
          <t>刘敏秀</t>
        </is>
      </c>
    </row>
    <row r="49">
      <c r="A49" s="14" t="n">
        <v>45637</v>
      </c>
      <c r="B49" s="4" t="inlineStr">
        <is>
          <t>2024-12</t>
        </is>
      </c>
      <c r="C49" s="4" t="inlineStr">
        <is>
          <t>衢州食品有限公司经销商返点实现8329</t>
        </is>
      </c>
      <c r="D49" s="15" t="n">
        <v>-8329.209999999999</v>
      </c>
      <c r="E49" s="4" t="inlineStr">
        <is>
          <t>赣皖区域</t>
        </is>
      </c>
      <c r="F49" s="4" t="inlineStr">
        <is>
          <t>朱静英</t>
        </is>
      </c>
    </row>
    <row r="50">
      <c r="A50" s="14" t="n">
        <v>45645</v>
      </c>
      <c r="B50" s="4" t="inlineStr">
        <is>
          <t>2024-12</t>
        </is>
      </c>
      <c r="C50" s="4" t="inlineStr">
        <is>
          <t>冲减计提吴中区京功冷冻食品批发部经销商返点实现13578</t>
        </is>
      </c>
      <c r="D50" s="15" t="n">
        <v>13578.48</v>
      </c>
      <c r="E50" s="4" t="inlineStr">
        <is>
          <t>浙江分部</t>
        </is>
      </c>
      <c r="F50" s="4" t="inlineStr">
        <is>
          <t>刘秀芳</t>
        </is>
      </c>
    </row>
    <row r="51">
      <c r="A51" s="14" t="n">
        <v>45651</v>
      </c>
      <c r="B51" s="4" t="inlineStr">
        <is>
          <t>2024-12</t>
        </is>
      </c>
      <c r="C51" s="4" t="inlineStr">
        <is>
          <t>武进食品有限公司经销商返点实现3701</t>
        </is>
      </c>
      <c r="D51" s="15" t="n">
        <v>-3701.94</v>
      </c>
      <c r="E51" s="4" t="inlineStr">
        <is>
          <t>浙江分部</t>
        </is>
      </c>
      <c r="F51" s="4" t="inlineStr">
        <is>
          <t>陈勇娜</t>
        </is>
      </c>
    </row>
    <row r="52">
      <c r="C52" s="6" t="inlineStr">
        <is>
          <t>合计</t>
        </is>
      </c>
      <c r="D52" s="16" t="n">
        <v>-268505.85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6" customWidth="1" min="3" max="3"/>
    <col width="16" customWidth="1" min="4" max="4"/>
    <col width="22" customWidth="1" min="5" max="5"/>
    <col width="6" customWidth="1" min="6" max="6"/>
    <col width="16" customWidth="1" min="7" max="7"/>
    <col width="16" customWidth="1" min="8" max="8"/>
  </cols>
  <sheetData>
    <row r="1">
      <c r="A1" s="1" t="inlineStr">
        <is>
          <t>江苏美鑫食品科技有限公司资产负债表</t>
        </is>
      </c>
    </row>
    <row r="2">
      <c r="A2" s="17" t="inlineStr">
        <is>
          <t>编制日期：2025年12月31日</t>
        </is>
      </c>
      <c r="H2" t="inlineStr">
        <is>
          <t>单位：元</t>
        </is>
      </c>
    </row>
    <row r="3">
      <c r="A3" s="2" t="inlineStr">
        <is>
          <t>资产</t>
        </is>
      </c>
      <c r="B3" s="2" t="inlineStr">
        <is>
          <t>行次</t>
        </is>
      </c>
      <c r="C3" s="2" t="inlineStr">
        <is>
          <t>期末余额</t>
        </is>
      </c>
      <c r="D3" s="2" t="inlineStr">
        <is>
          <t>年初余额</t>
        </is>
      </c>
      <c r="E3" s="2" t="inlineStr">
        <is>
          <t>负债和所有者权益</t>
        </is>
      </c>
      <c r="F3" s="2" t="inlineStr">
        <is>
          <t>行次</t>
        </is>
      </c>
      <c r="G3" s="2" t="inlineStr">
        <is>
          <t>期末余额</t>
        </is>
      </c>
      <c r="H3" s="2" t="inlineStr">
        <is>
          <t>年初余额</t>
        </is>
      </c>
    </row>
    <row r="4">
      <c r="A4" s="6" t="inlineStr">
        <is>
          <t>流动资产：</t>
        </is>
      </c>
      <c r="E4" s="6" t="inlineStr">
        <is>
          <t>流动负债：</t>
        </is>
      </c>
    </row>
    <row r="5">
      <c r="A5" s="4" t="inlineStr">
        <is>
          <t>货币资金</t>
        </is>
      </c>
      <c r="B5" s="3" t="n">
        <v>1</v>
      </c>
      <c r="C5" s="15" t="n">
        <v>4956335.22</v>
      </c>
      <c r="D5" s="15" t="n">
        <v>4369484.8</v>
      </c>
      <c r="E5" s="4" t="inlineStr">
        <is>
          <t>短期借款</t>
        </is>
      </c>
      <c r="F5" s="3" t="n">
        <v>21</v>
      </c>
      <c r="G5" s="15" t="n">
        <v>922521.13</v>
      </c>
      <c r="H5" s="15" t="n">
        <v>3599787.83</v>
      </c>
    </row>
    <row r="6">
      <c r="A6" s="4" t="inlineStr">
        <is>
          <t>交易性金融资产</t>
        </is>
      </c>
      <c r="B6" s="3" t="n">
        <v>2</v>
      </c>
      <c r="C6" s="15" t="n">
        <v>6582114.01</v>
      </c>
      <c r="D6" s="15" t="n">
        <v>4777476.08</v>
      </c>
      <c r="E6" s="4" t="inlineStr">
        <is>
          <t>应付票据</t>
        </is>
      </c>
      <c r="F6" s="3" t="n">
        <v>22</v>
      </c>
      <c r="G6" s="15" t="n">
        <v>4914656.34</v>
      </c>
      <c r="H6" s="15" t="n">
        <v>1723566.47</v>
      </c>
    </row>
    <row r="7">
      <c r="A7" s="4" t="inlineStr">
        <is>
          <t>应收票据</t>
        </is>
      </c>
      <c r="B7" s="3" t="n">
        <v>3</v>
      </c>
      <c r="C7" s="15" t="n">
        <v>4342318.18</v>
      </c>
      <c r="D7" s="15" t="n">
        <v>6141960.76</v>
      </c>
      <c r="E7" s="4" t="inlineStr">
        <is>
          <t>应付账款</t>
        </is>
      </c>
      <c r="F7" s="3" t="n">
        <v>23</v>
      </c>
      <c r="G7" s="15" t="n">
        <v>2183481.99</v>
      </c>
      <c r="H7" s="15" t="n">
        <v>3281017.63</v>
      </c>
    </row>
    <row r="8">
      <c r="A8" s="4" t="inlineStr">
        <is>
          <t>应收账款</t>
        </is>
      </c>
      <c r="B8" s="3" t="n">
        <v>4</v>
      </c>
      <c r="C8" s="15" t="n">
        <v>3238664.75</v>
      </c>
      <c r="D8" s="15" t="n">
        <v>3557783.52</v>
      </c>
      <c r="E8" s="4" t="inlineStr">
        <is>
          <t>预收款项</t>
        </is>
      </c>
      <c r="F8" s="3" t="n">
        <v>24</v>
      </c>
      <c r="G8" s="15" t="n">
        <v>1325759.86</v>
      </c>
      <c r="H8" s="15" t="n">
        <v>1029348.67</v>
      </c>
    </row>
    <row r="9">
      <c r="A9" s="4" t="inlineStr">
        <is>
          <t>预付款项</t>
        </is>
      </c>
      <c r="B9" s="3" t="n">
        <v>5</v>
      </c>
      <c r="C9" s="15" t="n">
        <v>2087978.74</v>
      </c>
      <c r="D9" s="15" t="n">
        <v>3529958.43</v>
      </c>
      <c r="E9" s="4" t="inlineStr">
        <is>
          <t>合同负债</t>
        </is>
      </c>
      <c r="F9" s="3" t="n">
        <v>25</v>
      </c>
      <c r="G9" s="15" t="n">
        <v>3172142.38</v>
      </c>
      <c r="H9" s="15" t="n">
        <v>3184845.16</v>
      </c>
    </row>
    <row r="10">
      <c r="A10" s="4" t="inlineStr">
        <is>
          <t>其他应收款</t>
        </is>
      </c>
      <c r="B10" s="3" t="n">
        <v>6</v>
      </c>
      <c r="C10" s="15" t="n">
        <v>5043384.1</v>
      </c>
      <c r="D10" s="15" t="n">
        <v>6277960.44</v>
      </c>
      <c r="E10" s="4" t="inlineStr">
        <is>
          <t>应付职工薪酬</t>
        </is>
      </c>
      <c r="F10" s="3" t="n">
        <v>26</v>
      </c>
      <c r="G10" s="15" t="n">
        <v>1861570.73</v>
      </c>
      <c r="H10" s="15" t="n">
        <v>3095223.5</v>
      </c>
    </row>
    <row r="11">
      <c r="A11" s="4" t="inlineStr">
        <is>
          <t>存货</t>
        </is>
      </c>
      <c r="B11" s="3" t="n">
        <v>7</v>
      </c>
      <c r="C11" s="15" t="n">
        <v>2743358.77</v>
      </c>
      <c r="D11" s="15" t="n">
        <v>6570426.51</v>
      </c>
      <c r="E11" s="4" t="inlineStr">
        <is>
          <t>应交税费</t>
        </is>
      </c>
      <c r="F11" s="3" t="n">
        <v>27</v>
      </c>
      <c r="G11" s="15" t="n">
        <v>4381970.25</v>
      </c>
      <c r="H11" s="15" t="n">
        <v>3642172.82</v>
      </c>
    </row>
    <row r="12">
      <c r="A12" s="4" t="inlineStr">
        <is>
          <t>其中：原材料</t>
        </is>
      </c>
      <c r="C12" s="15" t="n">
        <v>837694.65</v>
      </c>
      <c r="D12" s="15" t="n">
        <v>886583.23</v>
      </c>
      <c r="E12" s="4" t="inlineStr">
        <is>
          <t>其他应付款</t>
        </is>
      </c>
      <c r="F12" s="3" t="n">
        <v>28</v>
      </c>
      <c r="G12" s="15" t="n">
        <v>2251235.87</v>
      </c>
      <c r="H12" s="15" t="n">
        <v>3754707.45</v>
      </c>
    </row>
    <row r="13">
      <c r="A13" s="4" t="inlineStr">
        <is>
          <t>在制品</t>
        </is>
      </c>
      <c r="C13" s="15" t="n">
        <v>518420.28</v>
      </c>
      <c r="D13" s="15" t="n">
        <v>775463.6899999999</v>
      </c>
      <c r="E13" s="4" t="inlineStr">
        <is>
          <t>一年内到期的非流动负债</t>
        </is>
      </c>
      <c r="F13" s="3" t="n">
        <v>29</v>
      </c>
      <c r="G13" s="15" t="n">
        <v>1915208.63</v>
      </c>
      <c r="H13" s="15" t="n">
        <v>3688347.99</v>
      </c>
    </row>
    <row r="14">
      <c r="A14" s="4" t="inlineStr">
        <is>
          <t>库存商品</t>
        </is>
      </c>
      <c r="C14" s="15" t="n">
        <v>546608.72</v>
      </c>
      <c r="D14" s="15" t="n">
        <v>1150173.54</v>
      </c>
      <c r="E14" s="4" t="inlineStr">
        <is>
          <t>其他流动负债</t>
        </is>
      </c>
      <c r="F14" s="3" t="n">
        <v>30</v>
      </c>
      <c r="G14" s="15" t="n">
        <v>5418757.58</v>
      </c>
      <c r="H14" s="15" t="n">
        <v>2415757.37</v>
      </c>
    </row>
    <row r="15">
      <c r="A15" s="4" t="inlineStr">
        <is>
          <t>合同资产</t>
        </is>
      </c>
      <c r="B15" s="3" t="n">
        <v>8</v>
      </c>
      <c r="C15" s="15" t="n">
        <v>7024300.39</v>
      </c>
      <c r="D15" s="15" t="n">
        <v>2163863.74</v>
      </c>
      <c r="E15" s="6" t="inlineStr">
        <is>
          <t>流动负债合计</t>
        </is>
      </c>
      <c r="F15" s="3" t="n">
        <v>31</v>
      </c>
      <c r="G15" s="16" t="n">
        <v>28347304.76</v>
      </c>
      <c r="H15" s="16" t="n">
        <v>29414774.89</v>
      </c>
    </row>
    <row r="16">
      <c r="A16" s="4" t="inlineStr">
        <is>
          <t>一年内到期的非流动资产</t>
        </is>
      </c>
      <c r="B16" s="3" t="n">
        <v>9</v>
      </c>
      <c r="C16" s="15" t="n">
        <v>6773794.84</v>
      </c>
      <c r="D16" s="15" t="n">
        <v>4241395.36</v>
      </c>
      <c r="E16" s="6" t="inlineStr">
        <is>
          <t>非流动负债：</t>
        </is>
      </c>
    </row>
    <row r="17">
      <c r="A17" s="4" t="inlineStr">
        <is>
          <t>其他流动资产</t>
        </is>
      </c>
      <c r="B17" s="3" t="n">
        <v>10</v>
      </c>
      <c r="C17" s="15" t="n">
        <v>6776239.36</v>
      </c>
      <c r="D17" s="15" t="n">
        <v>5409578.16</v>
      </c>
      <c r="E17" s="4" t="inlineStr">
        <is>
          <t>长期借款</t>
        </is>
      </c>
      <c r="F17" s="3" t="n">
        <v>32</v>
      </c>
      <c r="G17" s="15" t="n">
        <v>2029682.45</v>
      </c>
      <c r="H17" s="15" t="n">
        <v>1446191.31</v>
      </c>
    </row>
    <row r="18">
      <c r="A18" s="6" t="inlineStr">
        <is>
          <t>流动资产合计</t>
        </is>
      </c>
      <c r="B18" s="3" t="n">
        <v>11</v>
      </c>
      <c r="C18" s="16" t="n">
        <v>49568488.36</v>
      </c>
      <c r="D18" s="16" t="n">
        <v>47039887.8</v>
      </c>
      <c r="E18" s="4" t="inlineStr">
        <is>
          <t>长期应付款</t>
        </is>
      </c>
      <c r="F18" s="3" t="n">
        <v>33</v>
      </c>
      <c r="G18" s="15" t="n">
        <v>4164526.04</v>
      </c>
      <c r="H18" s="15" t="n">
        <v>5017445.79</v>
      </c>
    </row>
    <row r="19">
      <c r="A19" s="6" t="inlineStr">
        <is>
          <t>非流动资产：</t>
        </is>
      </c>
      <c r="E19" s="4" t="inlineStr">
        <is>
          <t>递延收益</t>
        </is>
      </c>
      <c r="F19" s="3" t="n">
        <v>34</v>
      </c>
      <c r="G19" s="15" t="n">
        <v>4519376.12</v>
      </c>
      <c r="H19" s="15" t="n">
        <v>3738254.12</v>
      </c>
    </row>
    <row r="20">
      <c r="A20" s="4" t="inlineStr">
        <is>
          <t>长期股权投资</t>
        </is>
      </c>
      <c r="B20" s="3" t="n">
        <v>12</v>
      </c>
      <c r="C20" s="15" t="n">
        <v>2642745.77</v>
      </c>
      <c r="D20" s="15" t="n">
        <v>1780475.85</v>
      </c>
      <c r="E20" s="4" t="inlineStr">
        <is>
          <t>递延所得税负债</t>
        </is>
      </c>
      <c r="F20" s="3" t="n">
        <v>35</v>
      </c>
      <c r="G20" s="15" t="n">
        <v>1435260.28</v>
      </c>
      <c r="H20" s="15" t="n">
        <v>2404440.88</v>
      </c>
    </row>
    <row r="21">
      <c r="A21" s="4" t="inlineStr">
        <is>
          <t>固定资产</t>
        </is>
      </c>
      <c r="B21" s="3" t="n">
        <v>13</v>
      </c>
      <c r="C21" s="15" t="n">
        <v>8389863.57</v>
      </c>
      <c r="D21" s="15" t="n">
        <v>3633518.62</v>
      </c>
      <c r="E21" s="6" t="inlineStr">
        <is>
          <t>非流动负债合计</t>
        </is>
      </c>
      <c r="F21" s="3" t="n">
        <v>36</v>
      </c>
      <c r="G21" s="16" t="n">
        <v>12148844.89</v>
      </c>
      <c r="H21" s="16" t="n">
        <v>12606332.1</v>
      </c>
    </row>
    <row r="22">
      <c r="A22" s="4" t="inlineStr">
        <is>
          <t>在建工程</t>
        </is>
      </c>
      <c r="B22" s="3" t="n">
        <v>14</v>
      </c>
      <c r="C22" s="15" t="n">
        <v>2617599.57</v>
      </c>
      <c r="D22" s="15" t="n">
        <v>8290500.23</v>
      </c>
      <c r="E22" s="6" t="inlineStr">
        <is>
          <t>负债合计</t>
        </is>
      </c>
      <c r="F22" s="3" t="n">
        <v>37</v>
      </c>
      <c r="G22" s="16" t="n">
        <v>40496149.64</v>
      </c>
      <c r="H22" s="16" t="n">
        <v>42021106.98</v>
      </c>
    </row>
    <row r="23">
      <c r="A23" s="4" t="inlineStr">
        <is>
          <t>无形资产</t>
        </is>
      </c>
      <c r="B23" s="3" t="n">
        <v>15</v>
      </c>
      <c r="C23" s="15" t="n">
        <v>3929741.55</v>
      </c>
      <c r="D23" s="15" t="n">
        <v>1470179.43</v>
      </c>
      <c r="E23" s="6" t="inlineStr">
        <is>
          <t>所有者权益：</t>
        </is>
      </c>
    </row>
    <row r="24">
      <c r="A24" s="4" t="inlineStr">
        <is>
          <t>长期待摊费用</t>
        </is>
      </c>
      <c r="B24" s="3" t="n">
        <v>16</v>
      </c>
      <c r="C24" s="15" t="n">
        <v>8003338.62</v>
      </c>
      <c r="D24" s="15" t="n">
        <v>1725256.32</v>
      </c>
      <c r="E24" s="4" t="inlineStr">
        <is>
          <t>实收资本</t>
        </is>
      </c>
      <c r="F24" s="3" t="n">
        <v>38</v>
      </c>
      <c r="G24" s="15" t="n">
        <v>3096123.65</v>
      </c>
      <c r="H24" s="15" t="n">
        <v>9979205.699999999</v>
      </c>
    </row>
    <row r="25">
      <c r="A25" s="4" t="inlineStr">
        <is>
          <t>递延所得税资产</t>
        </is>
      </c>
      <c r="B25" s="3" t="n">
        <v>17</v>
      </c>
      <c r="C25" s="15" t="n">
        <v>3311006.83</v>
      </c>
      <c r="D25" s="15" t="n">
        <v>12530243.49</v>
      </c>
      <c r="E25" s="4" t="inlineStr">
        <is>
          <t>资本公积</t>
        </is>
      </c>
      <c r="F25" s="3" t="n">
        <v>39</v>
      </c>
      <c r="G25" s="15" t="n">
        <v>10228315.56</v>
      </c>
      <c r="H25" s="15" t="n">
        <v>4189619.12</v>
      </c>
    </row>
    <row r="26">
      <c r="A26" s="4" t="inlineStr">
        <is>
          <t>其他非流动资产</t>
        </is>
      </c>
      <c r="B26" s="3" t="n">
        <v>18</v>
      </c>
      <c r="C26" s="15" t="n">
        <v>4151362.99</v>
      </c>
      <c r="D26" s="15" t="n">
        <v>1929751.25</v>
      </c>
      <c r="E26" s="4" t="inlineStr">
        <is>
          <t>盈余公积</t>
        </is>
      </c>
      <c r="F26" s="3" t="n">
        <v>40</v>
      </c>
      <c r="G26" s="15" t="n">
        <v>7675771.87</v>
      </c>
      <c r="H26" s="15" t="n">
        <v>15692482.17</v>
      </c>
    </row>
    <row r="27">
      <c r="A27" s="6" t="inlineStr">
        <is>
          <t>非流动资产合计</t>
        </is>
      </c>
      <c r="B27" s="3" t="n">
        <v>19</v>
      </c>
      <c r="C27" s="16" t="n">
        <v>33045658.9</v>
      </c>
      <c r="D27" s="16" t="n">
        <v>31359925.19</v>
      </c>
      <c r="E27" s="4" t="inlineStr">
        <is>
          <t>未分配利润</t>
        </is>
      </c>
      <c r="F27" s="3" t="n">
        <v>41</v>
      </c>
      <c r="G27" s="15" t="n">
        <v>21117786.54</v>
      </c>
      <c r="H27" s="15" t="n">
        <v>6517399.01</v>
      </c>
    </row>
    <row r="28">
      <c r="A28" s="6" t="inlineStr">
        <is>
          <t>资产总计</t>
        </is>
      </c>
      <c r="B28" s="3" t="n">
        <v>20</v>
      </c>
      <c r="C28" s="16" t="n">
        <v>82614147.27</v>
      </c>
      <c r="D28" s="16" t="n">
        <v>78399812.98</v>
      </c>
      <c r="E28" s="6" t="inlineStr">
        <is>
          <t>所有者权益合计</t>
        </is>
      </c>
      <c r="F28" s="3" t="n">
        <v>42</v>
      </c>
      <c r="G28" s="16" t="n">
        <v>42117997.63</v>
      </c>
      <c r="H28" s="16" t="n">
        <v>36378706</v>
      </c>
    </row>
    <row r="29">
      <c r="E29" s="6" t="inlineStr">
        <is>
          <t>负债和所有者权益总计</t>
        </is>
      </c>
      <c r="F29" s="3" t="n">
        <v>43</v>
      </c>
      <c r="G29" s="16" t="n">
        <v>82614147.27</v>
      </c>
      <c r="H29" s="16" t="n">
        <v>78399812.98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4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0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江苏美鑫食品科技有限公司2025年销售明细表</t>
        </is>
      </c>
    </row>
    <row r="2">
      <c r="A2" s="2" t="inlineStr">
        <is>
          <t>日期</t>
        </is>
      </c>
      <c r="B2" s="2" t="inlineStr">
        <is>
          <t>订单号</t>
        </is>
      </c>
      <c r="C2" s="2" t="inlineStr">
        <is>
          <t>客户名称</t>
        </is>
      </c>
      <c r="D2" s="2" t="inlineStr">
        <is>
          <t>产品</t>
        </is>
      </c>
      <c r="E2" s="2" t="inlineStr">
        <is>
          <t>规格型号</t>
        </is>
      </c>
      <c r="F2" s="2" t="inlineStr">
        <is>
          <t>数量</t>
        </is>
      </c>
      <c r="G2" s="2" t="inlineStr">
        <is>
          <t>单价(元)</t>
        </is>
      </c>
      <c r="H2" s="2" t="inlineStr">
        <is>
          <t>金额(元)</t>
        </is>
      </c>
      <c r="I2" s="2" t="inlineStr">
        <is>
          <t>区域</t>
        </is>
      </c>
      <c r="J2" s="2" t="inlineStr">
        <is>
          <t>业务员</t>
        </is>
      </c>
    </row>
    <row r="3">
      <c r="A3" s="14" t="n">
        <v>45658</v>
      </c>
      <c r="B3" s="4" t="inlineStr">
        <is>
          <t>SO202510121</t>
        </is>
      </c>
      <c r="C3" s="4" t="inlineStr">
        <is>
          <t>合肥淼沃酒店管理集团</t>
        </is>
      </c>
      <c r="D3" s="4" t="inlineStr">
        <is>
          <t>复合调味粉</t>
        </is>
      </c>
      <c r="E3" s="4" t="inlineStr">
        <is>
          <t>1kg</t>
        </is>
      </c>
      <c r="F3" s="18" t="n">
        <v>1010</v>
      </c>
      <c r="G3" s="15" t="n">
        <v>58.1</v>
      </c>
      <c r="H3" s="15" t="n">
        <v>58681</v>
      </c>
      <c r="I3" s="4" t="inlineStr">
        <is>
          <t>浙江分部</t>
        </is>
      </c>
      <c r="J3" s="4" t="inlineStr">
        <is>
          <t>李英敏</t>
        </is>
      </c>
    </row>
    <row r="4">
      <c r="A4" s="14" t="n">
        <v>45658</v>
      </c>
      <c r="B4" s="4" t="inlineStr">
        <is>
          <t>SO202510146</t>
        </is>
      </c>
      <c r="C4" s="4" t="inlineStr">
        <is>
          <t>杭州食佳餐饮管理有限公司</t>
        </is>
      </c>
      <c r="D4" s="4" t="inlineStr">
        <is>
          <t>复合调味粉</t>
        </is>
      </c>
      <c r="E4" s="4" t="inlineStr">
        <is>
          <t>2.5kg</t>
        </is>
      </c>
      <c r="F4" s="18" t="n">
        <v>920</v>
      </c>
      <c r="G4" s="15" t="n">
        <v>140.38</v>
      </c>
      <c r="H4" s="15" t="n">
        <v>129149.6</v>
      </c>
      <c r="I4" s="4" t="inlineStr">
        <is>
          <t>江苏分部</t>
        </is>
      </c>
      <c r="J4" s="4" t="inlineStr">
        <is>
          <t>马英秀</t>
        </is>
      </c>
    </row>
    <row r="5">
      <c r="A5" s="14" t="n">
        <v>45658</v>
      </c>
      <c r="B5" s="4" t="inlineStr">
        <is>
          <t>SO202510162</t>
        </is>
      </c>
      <c r="C5" s="4" t="inlineStr">
        <is>
          <t>苏州食佳酒店管理集团</t>
        </is>
      </c>
      <c r="D5" s="4" t="inlineStr">
        <is>
          <t>川味底料</t>
        </is>
      </c>
      <c r="E5" s="4" t="inlineStr">
        <is>
          <t>简装</t>
        </is>
      </c>
      <c r="F5" s="18" t="n">
        <v>1010</v>
      </c>
      <c r="G5" s="15" t="n">
        <v>173.81</v>
      </c>
      <c r="H5" s="15" t="n">
        <v>175548.1</v>
      </c>
      <c r="I5" s="4" t="inlineStr">
        <is>
          <t>赣皖区域</t>
        </is>
      </c>
      <c r="J5" s="4" t="inlineStr">
        <is>
          <t>朱芳娜</t>
        </is>
      </c>
    </row>
    <row r="6">
      <c r="A6" s="14" t="n">
        <v>45659</v>
      </c>
      <c r="B6" s="4" t="inlineStr">
        <is>
          <t>SO202510059</t>
        </is>
      </c>
      <c r="C6" s="4" t="inlineStr">
        <is>
          <t>苏州优鲜超市</t>
        </is>
      </c>
      <c r="D6" s="4" t="inlineStr">
        <is>
          <t>川味底料</t>
        </is>
      </c>
      <c r="E6" s="4" t="inlineStr">
        <is>
          <t>精装</t>
        </is>
      </c>
      <c r="F6" s="18" t="n">
        <v>3160</v>
      </c>
      <c r="G6" s="15" t="n">
        <v>9.609999999999999</v>
      </c>
      <c r="H6" s="15" t="n">
        <v>30367.6</v>
      </c>
      <c r="I6" s="4" t="inlineStr">
        <is>
          <t>赣皖区域</t>
        </is>
      </c>
      <c r="J6" s="4" t="inlineStr">
        <is>
          <t>吴娜娜</t>
        </is>
      </c>
    </row>
    <row r="7">
      <c r="A7" s="14" t="n">
        <v>45660</v>
      </c>
      <c r="B7" s="4" t="inlineStr">
        <is>
          <t>SO202510235</t>
        </is>
      </c>
      <c r="C7" s="4" t="inlineStr">
        <is>
          <t>苏州优鲜商贸有限公司</t>
        </is>
      </c>
      <c r="D7" s="4" t="inlineStr">
        <is>
          <t>复合调味粉</t>
        </is>
      </c>
      <c r="E7" s="4" t="inlineStr">
        <is>
          <t>10kg</t>
        </is>
      </c>
      <c r="F7" s="18" t="n">
        <v>4610</v>
      </c>
      <c r="G7" s="15" t="n">
        <v>120.9</v>
      </c>
      <c r="H7" s="15" t="n">
        <v>557349</v>
      </c>
      <c r="I7" s="4" t="inlineStr">
        <is>
          <t>上海分部</t>
        </is>
      </c>
      <c r="J7" s="4" t="inlineStr">
        <is>
          <t>黄强英</t>
        </is>
      </c>
    </row>
    <row r="8">
      <c r="A8" s="14" t="n">
        <v>45661</v>
      </c>
      <c r="B8" s="4" t="inlineStr">
        <is>
          <t>SO202510260</t>
        </is>
      </c>
      <c r="C8" s="4" t="inlineStr">
        <is>
          <t>南京京功供应链有限公司</t>
        </is>
      </c>
      <c r="D8" s="4" t="inlineStr">
        <is>
          <t>川味底料</t>
        </is>
      </c>
      <c r="E8" s="4" t="inlineStr">
        <is>
          <t>25kg</t>
        </is>
      </c>
      <c r="F8" s="18" t="n">
        <v>1840</v>
      </c>
      <c r="G8" s="15" t="n">
        <v>105.11</v>
      </c>
      <c r="H8" s="15" t="n">
        <v>193402.4</v>
      </c>
      <c r="I8" s="4" t="inlineStr">
        <is>
          <t>江苏分部</t>
        </is>
      </c>
      <c r="J8" s="4" t="inlineStr">
        <is>
          <t>赵强娜</t>
        </is>
      </c>
    </row>
    <row r="9">
      <c r="A9" s="14" t="n">
        <v>45661</v>
      </c>
      <c r="B9" s="4" t="inlineStr">
        <is>
          <t>SO202510342</t>
        </is>
      </c>
      <c r="C9" s="4" t="inlineStr">
        <is>
          <t>上海京功酒店管理集团</t>
        </is>
      </c>
      <c r="D9" s="4" t="inlineStr">
        <is>
          <t>预制菜</t>
        </is>
      </c>
      <c r="E9" s="4" t="inlineStr">
        <is>
          <t>精装</t>
        </is>
      </c>
      <c r="F9" s="18" t="n">
        <v>1150</v>
      </c>
      <c r="G9" s="15" t="n">
        <v>105.55</v>
      </c>
      <c r="H9" s="15" t="n">
        <v>121382.5</v>
      </c>
      <c r="I9" s="4" t="inlineStr">
        <is>
          <t>赣皖区域</t>
        </is>
      </c>
      <c r="J9" s="4" t="inlineStr">
        <is>
          <t>张敏英</t>
        </is>
      </c>
    </row>
    <row r="10">
      <c r="A10" s="14" t="n">
        <v>45662</v>
      </c>
      <c r="B10" s="4" t="inlineStr">
        <is>
          <t>SO202510034</t>
        </is>
      </c>
      <c r="C10" s="4" t="inlineStr">
        <is>
          <t>南京百味超市</t>
        </is>
      </c>
      <c r="D10" s="4" t="inlineStr">
        <is>
          <t>酱料</t>
        </is>
      </c>
      <c r="E10" s="4" t="inlineStr">
        <is>
          <t>C级</t>
        </is>
      </c>
      <c r="F10" s="18" t="n">
        <v>4600</v>
      </c>
      <c r="G10" s="15" t="n">
        <v>191.01</v>
      </c>
      <c r="H10" s="15" t="n">
        <v>878646</v>
      </c>
      <c r="I10" s="4" t="inlineStr">
        <is>
          <t>上海分部</t>
        </is>
      </c>
      <c r="J10" s="4" t="inlineStr">
        <is>
          <t>胡娟伟</t>
        </is>
      </c>
    </row>
    <row r="11">
      <c r="A11" s="14" t="n">
        <v>45662</v>
      </c>
      <c r="B11" s="4" t="inlineStr">
        <is>
          <t>SO202510102</t>
        </is>
      </c>
      <c r="C11" s="4" t="inlineStr">
        <is>
          <t>南京大匠酒店管理集团</t>
        </is>
      </c>
      <c r="D11" s="4" t="inlineStr">
        <is>
          <t>团餐</t>
        </is>
      </c>
      <c r="E11" s="4" t="inlineStr">
        <is>
          <t>标准</t>
        </is>
      </c>
      <c r="F11" s="18" t="n">
        <v>3350</v>
      </c>
      <c r="G11" s="15" t="n">
        <v>108.14</v>
      </c>
      <c r="H11" s="15" t="n">
        <v>362269</v>
      </c>
      <c r="I11" s="4" t="inlineStr">
        <is>
          <t>浙江分部</t>
        </is>
      </c>
      <c r="J11" s="4" t="inlineStr">
        <is>
          <t>周英敏</t>
        </is>
      </c>
    </row>
    <row r="12">
      <c r="A12" s="14" t="n">
        <v>45662</v>
      </c>
      <c r="B12" s="4" t="inlineStr">
        <is>
          <t>SO202510139</t>
        </is>
      </c>
      <c r="C12" s="4" t="inlineStr">
        <is>
          <t>南昌京功超市</t>
        </is>
      </c>
      <c r="D12" s="4" t="inlineStr">
        <is>
          <t>中式汤底</t>
        </is>
      </c>
      <c r="E12" s="4" t="inlineStr">
        <is>
          <t>标准</t>
        </is>
      </c>
      <c r="F12" s="18" t="n">
        <v>210</v>
      </c>
      <c r="G12" s="15" t="n">
        <v>85.16</v>
      </c>
      <c r="H12" s="15" t="n">
        <v>17883.6</v>
      </c>
      <c r="I12" s="4" t="inlineStr">
        <is>
          <t>上海分部</t>
        </is>
      </c>
      <c r="J12" s="4" t="inlineStr">
        <is>
          <t>杨杰娜</t>
        </is>
      </c>
    </row>
    <row r="13">
      <c r="A13" s="14" t="n">
        <v>45662</v>
      </c>
      <c r="B13" s="4" t="inlineStr">
        <is>
          <t>SO202510144</t>
        </is>
      </c>
      <c r="C13" s="4" t="inlineStr">
        <is>
          <t>合肥百味食品有限公司</t>
        </is>
      </c>
      <c r="D13" s="4" t="inlineStr">
        <is>
          <t>调味汁</t>
        </is>
      </c>
      <c r="E13" s="4" t="inlineStr">
        <is>
          <t>2.5kg</t>
        </is>
      </c>
      <c r="F13" s="18" t="n">
        <v>1090</v>
      </c>
      <c r="G13" s="15" t="n">
        <v>142.61</v>
      </c>
      <c r="H13" s="15" t="n">
        <v>155444.9</v>
      </c>
      <c r="I13" s="4" t="inlineStr">
        <is>
          <t>上海分部</t>
        </is>
      </c>
      <c r="J13" s="4" t="inlineStr">
        <is>
          <t>林涛英</t>
        </is>
      </c>
    </row>
    <row r="14">
      <c r="A14" s="14" t="n">
        <v>45662</v>
      </c>
      <c r="B14" s="4" t="inlineStr">
        <is>
          <t>SO202510334</t>
        </is>
      </c>
      <c r="C14" s="4" t="inlineStr">
        <is>
          <t>常州食佳酒店管理集团</t>
        </is>
      </c>
      <c r="D14" s="4" t="inlineStr">
        <is>
          <t>酱料</t>
        </is>
      </c>
      <c r="E14" s="4" t="inlineStr">
        <is>
          <t>25kg</t>
        </is>
      </c>
      <c r="F14" s="18" t="n">
        <v>240</v>
      </c>
      <c r="G14" s="15" t="n">
        <v>104.74</v>
      </c>
      <c r="H14" s="15" t="n">
        <v>25137.6</v>
      </c>
      <c r="I14" s="4" t="inlineStr">
        <is>
          <t>浙江分部</t>
        </is>
      </c>
      <c r="J14" s="4" t="inlineStr">
        <is>
          <t>马强秀</t>
        </is>
      </c>
    </row>
    <row r="15">
      <c r="A15" s="14" t="n">
        <v>45664</v>
      </c>
      <c r="B15" s="4" t="inlineStr">
        <is>
          <t>SO202510248</t>
        </is>
      </c>
      <c r="C15" s="4" t="inlineStr">
        <is>
          <t>合肥大匠电商平台</t>
        </is>
      </c>
      <c r="D15" s="4" t="inlineStr">
        <is>
          <t>预制菜</t>
        </is>
      </c>
      <c r="E15" s="4" t="inlineStr">
        <is>
          <t>500g</t>
        </is>
      </c>
      <c r="F15" s="18" t="n">
        <v>4390</v>
      </c>
      <c r="G15" s="15" t="n">
        <v>116.8</v>
      </c>
      <c r="H15" s="15" t="n">
        <v>512752</v>
      </c>
      <c r="I15" s="4" t="inlineStr">
        <is>
          <t>江苏分部</t>
        </is>
      </c>
      <c r="J15" s="4" t="inlineStr">
        <is>
          <t>王杰秀</t>
        </is>
      </c>
    </row>
    <row r="16">
      <c r="A16" s="14" t="n">
        <v>45664</v>
      </c>
      <c r="B16" s="4" t="inlineStr">
        <is>
          <t>SO202510265</t>
        </is>
      </c>
      <c r="C16" s="4" t="inlineStr">
        <is>
          <t>宁波淼沃酒店管理集团</t>
        </is>
      </c>
      <c r="D16" s="4" t="inlineStr">
        <is>
          <t>川味底料</t>
        </is>
      </c>
      <c r="E16" s="4" t="inlineStr">
        <is>
          <t>2.5kg</t>
        </is>
      </c>
      <c r="F16" s="18" t="n">
        <v>4500</v>
      </c>
      <c r="G16" s="15" t="n">
        <v>160.86</v>
      </c>
      <c r="H16" s="15" t="n">
        <v>723870</v>
      </c>
      <c r="I16" s="4" t="inlineStr">
        <is>
          <t>上海分部</t>
        </is>
      </c>
      <c r="J16" s="4" t="inlineStr">
        <is>
          <t>徐强娜</t>
        </is>
      </c>
    </row>
    <row r="17">
      <c r="A17" s="14" t="n">
        <v>45664</v>
      </c>
      <c r="B17" s="4" t="inlineStr">
        <is>
          <t>SO202510292</t>
        </is>
      </c>
      <c r="C17" s="4" t="inlineStr">
        <is>
          <t>镇江京功供应链有限公司</t>
        </is>
      </c>
      <c r="D17" s="4" t="inlineStr">
        <is>
          <t>团餐</t>
        </is>
      </c>
      <c r="E17" s="4" t="inlineStr">
        <is>
          <t>500g</t>
        </is>
      </c>
      <c r="F17" s="18" t="n">
        <v>3820</v>
      </c>
      <c r="G17" s="15" t="n">
        <v>97.12</v>
      </c>
      <c r="H17" s="15" t="n">
        <v>370998.4</v>
      </c>
      <c r="I17" s="4" t="inlineStr">
        <is>
          <t>江苏分部</t>
        </is>
      </c>
      <c r="J17" s="4" t="inlineStr">
        <is>
          <t>胡芳芳</t>
        </is>
      </c>
    </row>
    <row r="18">
      <c r="A18" s="14" t="n">
        <v>45664</v>
      </c>
      <c r="B18" s="4" t="inlineStr">
        <is>
          <t>SO202510307</t>
        </is>
      </c>
      <c r="C18" s="4" t="inlineStr">
        <is>
          <t>杭州大匠商贸有限公司</t>
        </is>
      </c>
      <c r="D18" s="4" t="inlineStr">
        <is>
          <t>团餐</t>
        </is>
      </c>
      <c r="E18" s="4" t="inlineStr">
        <is>
          <t>5kg</t>
        </is>
      </c>
      <c r="F18" s="18" t="n">
        <v>2290</v>
      </c>
      <c r="G18" s="15" t="n">
        <v>7.17</v>
      </c>
      <c r="H18" s="15" t="n">
        <v>16419.3</v>
      </c>
      <c r="I18" s="4" t="inlineStr">
        <is>
          <t>浙江分部</t>
        </is>
      </c>
      <c r="J18" s="4" t="inlineStr">
        <is>
          <t>杨秀敏</t>
        </is>
      </c>
    </row>
    <row r="19">
      <c r="A19" s="14" t="n">
        <v>45665</v>
      </c>
      <c r="B19" s="4" t="inlineStr">
        <is>
          <t>SO202510105</t>
        </is>
      </c>
      <c r="C19" s="4" t="inlineStr">
        <is>
          <t>上海优鲜超市</t>
        </is>
      </c>
      <c r="D19" s="4" t="inlineStr">
        <is>
          <t>酱料</t>
        </is>
      </c>
      <c r="E19" s="4" t="inlineStr">
        <is>
          <t>B级</t>
        </is>
      </c>
      <c r="F19" s="18" t="n">
        <v>4400</v>
      </c>
      <c r="G19" s="15" t="n">
        <v>5.28</v>
      </c>
      <c r="H19" s="15" t="n">
        <v>23232</v>
      </c>
      <c r="I19" s="4" t="inlineStr">
        <is>
          <t>赣皖区域</t>
        </is>
      </c>
      <c r="J19" s="4" t="inlineStr">
        <is>
          <t>李伟秀</t>
        </is>
      </c>
    </row>
    <row r="20">
      <c r="A20" s="14" t="n">
        <v>45665</v>
      </c>
      <c r="B20" s="4" t="inlineStr">
        <is>
          <t>SO202510114</t>
        </is>
      </c>
      <c r="C20" s="4" t="inlineStr">
        <is>
          <t>常州大匠食品有限公司</t>
        </is>
      </c>
      <c r="D20" s="4" t="inlineStr">
        <is>
          <t>中式汤底</t>
        </is>
      </c>
      <c r="E20" s="4" t="inlineStr">
        <is>
          <t>25kg</t>
        </is>
      </c>
      <c r="F20" s="18" t="n">
        <v>2280</v>
      </c>
      <c r="G20" s="15" t="n">
        <v>58.89</v>
      </c>
      <c r="H20" s="15" t="n">
        <v>134269.2</v>
      </c>
      <c r="I20" s="4" t="inlineStr">
        <is>
          <t>江苏分部</t>
        </is>
      </c>
      <c r="J20" s="4" t="inlineStr">
        <is>
          <t>张强娜</t>
        </is>
      </c>
    </row>
    <row r="21">
      <c r="A21" s="14" t="n">
        <v>45667</v>
      </c>
      <c r="B21" s="4" t="inlineStr">
        <is>
          <t>SO202510175</t>
        </is>
      </c>
      <c r="C21" s="4" t="inlineStr">
        <is>
          <t>上海淼沃电商平台</t>
        </is>
      </c>
      <c r="D21" s="4" t="inlineStr">
        <is>
          <t>中式汤底</t>
        </is>
      </c>
      <c r="E21" s="4" t="inlineStr">
        <is>
          <t>A级</t>
        </is>
      </c>
      <c r="F21" s="18" t="n">
        <v>2080</v>
      </c>
      <c r="G21" s="15" t="n">
        <v>60.42</v>
      </c>
      <c r="H21" s="15" t="n">
        <v>125673.6</v>
      </c>
      <c r="I21" s="4" t="inlineStr">
        <is>
          <t>上海分部</t>
        </is>
      </c>
      <c r="J21" s="4" t="inlineStr">
        <is>
          <t>杨娟娜</t>
        </is>
      </c>
    </row>
    <row r="22">
      <c r="A22" s="14" t="n">
        <v>45668</v>
      </c>
      <c r="B22" s="4" t="inlineStr">
        <is>
          <t>SO202510012</t>
        </is>
      </c>
      <c r="C22" s="4" t="inlineStr">
        <is>
          <t>温州优鲜电商平台</t>
        </is>
      </c>
      <c r="D22" s="4" t="inlineStr">
        <is>
          <t>复合调味粉</t>
        </is>
      </c>
      <c r="E22" s="4" t="inlineStr">
        <is>
          <t>500g</t>
        </is>
      </c>
      <c r="F22" s="18" t="n">
        <v>2880</v>
      </c>
      <c r="G22" s="15" t="n">
        <v>133.61</v>
      </c>
      <c r="H22" s="15" t="n">
        <v>384796.8</v>
      </c>
      <c r="I22" s="4" t="inlineStr">
        <is>
          <t>江苏分部</t>
        </is>
      </c>
      <c r="J22" s="4" t="inlineStr">
        <is>
          <t>朱兰秀</t>
        </is>
      </c>
    </row>
    <row r="23">
      <c r="A23" s="14" t="n">
        <v>45669</v>
      </c>
      <c r="B23" s="4" t="inlineStr">
        <is>
          <t>SO202510067</t>
        </is>
      </c>
      <c r="C23" s="4" t="inlineStr">
        <is>
          <t>南昌大匠电商平台</t>
        </is>
      </c>
      <c r="D23" s="4" t="inlineStr">
        <is>
          <t>川味底料</t>
        </is>
      </c>
      <c r="E23" s="4" t="inlineStr">
        <is>
          <t>C级</t>
        </is>
      </c>
      <c r="F23" s="18" t="n">
        <v>2870</v>
      </c>
      <c r="G23" s="15" t="n">
        <v>130.01</v>
      </c>
      <c r="H23" s="15" t="n">
        <v>373128.7</v>
      </c>
      <c r="I23" s="4" t="inlineStr">
        <is>
          <t>江苏分部</t>
        </is>
      </c>
      <c r="J23" s="4" t="inlineStr">
        <is>
          <t>徐娟英</t>
        </is>
      </c>
    </row>
    <row r="24">
      <c r="A24" s="14" t="n">
        <v>45669</v>
      </c>
      <c r="B24" s="4" t="inlineStr">
        <is>
          <t>SO202510100</t>
        </is>
      </c>
      <c r="C24" s="4" t="inlineStr">
        <is>
          <t>常州淼沃超市</t>
        </is>
      </c>
      <c r="D24" s="4" t="inlineStr">
        <is>
          <t>中式汤底</t>
        </is>
      </c>
      <c r="E24" s="4" t="inlineStr">
        <is>
          <t>C级</t>
        </is>
      </c>
      <c r="F24" s="18" t="n">
        <v>170</v>
      </c>
      <c r="G24" s="15" t="n">
        <v>105.09</v>
      </c>
      <c r="H24" s="15" t="n">
        <v>17865.3</v>
      </c>
      <c r="I24" s="4" t="inlineStr">
        <is>
          <t>浙江分部</t>
        </is>
      </c>
      <c r="J24" s="4" t="inlineStr">
        <is>
          <t>何强敏</t>
        </is>
      </c>
    </row>
    <row r="25">
      <c r="A25" s="14" t="n">
        <v>45669</v>
      </c>
      <c r="B25" s="4" t="inlineStr">
        <is>
          <t>SO202510249</t>
        </is>
      </c>
      <c r="C25" s="4" t="inlineStr">
        <is>
          <t>常州百味电商平台</t>
        </is>
      </c>
      <c r="D25" s="4" t="inlineStr">
        <is>
          <t>复合调味粉</t>
        </is>
      </c>
      <c r="E25" s="4" t="inlineStr">
        <is>
          <t>10kg</t>
        </is>
      </c>
      <c r="F25" s="18" t="n">
        <v>3120</v>
      </c>
      <c r="G25" s="15" t="n">
        <v>59.78</v>
      </c>
      <c r="H25" s="15" t="n">
        <v>186513.6</v>
      </c>
      <c r="I25" s="4" t="inlineStr">
        <is>
          <t>浙江分部</t>
        </is>
      </c>
      <c r="J25" s="4" t="inlineStr">
        <is>
          <t>马兰芳</t>
        </is>
      </c>
    </row>
    <row r="26">
      <c r="A26" s="14" t="n">
        <v>45672</v>
      </c>
      <c r="B26" s="4" t="inlineStr">
        <is>
          <t>SO202510159</t>
        </is>
      </c>
      <c r="C26" s="4" t="inlineStr">
        <is>
          <t>常州百味超市</t>
        </is>
      </c>
      <c r="D26" s="4" t="inlineStr">
        <is>
          <t>中式汤底</t>
        </is>
      </c>
      <c r="E26" s="4" t="inlineStr">
        <is>
          <t>500g</t>
        </is>
      </c>
      <c r="F26" s="18" t="n">
        <v>4150</v>
      </c>
      <c r="G26" s="15" t="n">
        <v>140.89</v>
      </c>
      <c r="H26" s="15" t="n">
        <v>584693.5</v>
      </c>
      <c r="I26" s="4" t="inlineStr">
        <is>
          <t>江苏分部</t>
        </is>
      </c>
      <c r="J26" s="4" t="inlineStr">
        <is>
          <t>徐涛秀</t>
        </is>
      </c>
    </row>
    <row r="27">
      <c r="A27" s="14" t="n">
        <v>45673</v>
      </c>
      <c r="B27" s="4" t="inlineStr">
        <is>
          <t>SO202510096</t>
        </is>
      </c>
      <c r="C27" s="4" t="inlineStr">
        <is>
          <t>杭州大匠食品有限公司</t>
        </is>
      </c>
      <c r="D27" s="4" t="inlineStr">
        <is>
          <t>团餐</t>
        </is>
      </c>
      <c r="E27" s="4" t="inlineStr">
        <is>
          <t>简装</t>
        </is>
      </c>
      <c r="F27" s="18" t="n">
        <v>3670</v>
      </c>
      <c r="G27" s="15" t="n">
        <v>106.73</v>
      </c>
      <c r="H27" s="15" t="n">
        <v>391699.1</v>
      </c>
      <c r="I27" s="4" t="inlineStr">
        <is>
          <t>上海分部</t>
        </is>
      </c>
      <c r="J27" s="4" t="inlineStr">
        <is>
          <t>胡丽敏</t>
        </is>
      </c>
    </row>
    <row r="28">
      <c r="A28" s="14" t="n">
        <v>45677</v>
      </c>
      <c r="B28" s="4" t="inlineStr">
        <is>
          <t>SO202510333</t>
        </is>
      </c>
      <c r="C28" s="4" t="inlineStr">
        <is>
          <t>常州食佳商贸有限公司</t>
        </is>
      </c>
      <c r="D28" s="4" t="inlineStr">
        <is>
          <t>预制菜</t>
        </is>
      </c>
      <c r="E28" s="4" t="inlineStr">
        <is>
          <t>10kg</t>
        </is>
      </c>
      <c r="F28" s="18" t="n">
        <v>2070</v>
      </c>
      <c r="G28" s="15" t="n">
        <v>104.08</v>
      </c>
      <c r="H28" s="15" t="n">
        <v>215445.6</v>
      </c>
      <c r="I28" s="4" t="inlineStr">
        <is>
          <t>上海分部</t>
        </is>
      </c>
      <c r="J28" s="4" t="inlineStr">
        <is>
          <t>王艳芳</t>
        </is>
      </c>
    </row>
    <row r="29">
      <c r="A29" s="14" t="n">
        <v>45679</v>
      </c>
      <c r="B29" s="4" t="inlineStr">
        <is>
          <t>SO202510028</t>
        </is>
      </c>
      <c r="C29" s="4" t="inlineStr">
        <is>
          <t>南京淼沃供应链有限公司</t>
        </is>
      </c>
      <c r="D29" s="4" t="inlineStr">
        <is>
          <t>中式汤底</t>
        </is>
      </c>
      <c r="E29" s="4" t="inlineStr">
        <is>
          <t>1kg</t>
        </is>
      </c>
      <c r="F29" s="18" t="n">
        <v>1760</v>
      </c>
      <c r="G29" s="15" t="n">
        <v>62.68</v>
      </c>
      <c r="H29" s="15" t="n">
        <v>110316.8</v>
      </c>
      <c r="I29" s="4" t="inlineStr">
        <is>
          <t>浙江分部</t>
        </is>
      </c>
      <c r="J29" s="4" t="inlineStr">
        <is>
          <t>王秀英</t>
        </is>
      </c>
    </row>
    <row r="30">
      <c r="A30" s="14" t="n">
        <v>45679</v>
      </c>
      <c r="B30" s="4" t="inlineStr">
        <is>
          <t>SO202510122</t>
        </is>
      </c>
      <c r="C30" s="4" t="inlineStr">
        <is>
          <t>苏州京功酒店管理集团</t>
        </is>
      </c>
      <c r="D30" s="4" t="inlineStr">
        <is>
          <t>调味汁</t>
        </is>
      </c>
      <c r="E30" s="4" t="inlineStr">
        <is>
          <t>25kg</t>
        </is>
      </c>
      <c r="F30" s="18" t="n">
        <v>1440</v>
      </c>
      <c r="G30" s="15" t="n">
        <v>81.13</v>
      </c>
      <c r="H30" s="15" t="n">
        <v>116827.2</v>
      </c>
      <c r="I30" s="4" t="inlineStr">
        <is>
          <t>赣皖区域</t>
        </is>
      </c>
      <c r="J30" s="4" t="inlineStr">
        <is>
          <t>黄秀英</t>
        </is>
      </c>
    </row>
    <row r="31">
      <c r="A31" s="14" t="n">
        <v>45679</v>
      </c>
      <c r="B31" s="4" t="inlineStr">
        <is>
          <t>SO202510172</t>
        </is>
      </c>
      <c r="C31" s="4" t="inlineStr">
        <is>
          <t>南昌食佳超市</t>
        </is>
      </c>
      <c r="D31" s="4" t="inlineStr">
        <is>
          <t>酱料</t>
        </is>
      </c>
      <c r="E31" s="4" t="inlineStr">
        <is>
          <t>5kg</t>
        </is>
      </c>
      <c r="F31" s="18" t="n">
        <v>3180</v>
      </c>
      <c r="G31" s="15" t="n">
        <v>180.74</v>
      </c>
      <c r="H31" s="15" t="n">
        <v>574753.2</v>
      </c>
      <c r="I31" s="4" t="inlineStr">
        <is>
          <t>赣皖区域</t>
        </is>
      </c>
      <c r="J31" s="4" t="inlineStr">
        <is>
          <t>罗涛娜</t>
        </is>
      </c>
    </row>
    <row r="32">
      <c r="A32" s="14" t="n">
        <v>45682</v>
      </c>
      <c r="B32" s="4" t="inlineStr">
        <is>
          <t>SO202510057</t>
        </is>
      </c>
      <c r="C32" s="4" t="inlineStr">
        <is>
          <t>杭州百味酒店管理集团</t>
        </is>
      </c>
      <c r="D32" s="4" t="inlineStr">
        <is>
          <t>中式汤底</t>
        </is>
      </c>
      <c r="E32" s="4" t="inlineStr">
        <is>
          <t>2.5kg</t>
        </is>
      </c>
      <c r="F32" s="18" t="n">
        <v>2280</v>
      </c>
      <c r="G32" s="15" t="n">
        <v>99.83</v>
      </c>
      <c r="H32" s="15" t="n">
        <v>227612.4</v>
      </c>
      <c r="I32" s="4" t="inlineStr">
        <is>
          <t>浙江分部</t>
        </is>
      </c>
      <c r="J32" s="4" t="inlineStr">
        <is>
          <t>徐秀娜</t>
        </is>
      </c>
    </row>
    <row r="33">
      <c r="A33" s="14" t="n">
        <v>45682</v>
      </c>
      <c r="B33" s="4" t="inlineStr">
        <is>
          <t>SO202510270</t>
        </is>
      </c>
      <c r="C33" s="4" t="inlineStr">
        <is>
          <t>合肥优鲜酒店管理集团</t>
        </is>
      </c>
      <c r="D33" s="4" t="inlineStr">
        <is>
          <t>团餐</t>
        </is>
      </c>
      <c r="E33" s="4" t="inlineStr">
        <is>
          <t>B级</t>
        </is>
      </c>
      <c r="F33" s="18" t="n">
        <v>3100</v>
      </c>
      <c r="G33" s="15" t="n">
        <v>116.85</v>
      </c>
      <c r="H33" s="15" t="n">
        <v>362235</v>
      </c>
      <c r="I33" s="4" t="inlineStr">
        <is>
          <t>浙江分部</t>
        </is>
      </c>
      <c r="J33" s="4" t="inlineStr">
        <is>
          <t>王超伟</t>
        </is>
      </c>
    </row>
    <row r="34">
      <c r="A34" s="14" t="n">
        <v>45683</v>
      </c>
      <c r="B34" s="4" t="inlineStr">
        <is>
          <t>SO202510005</t>
        </is>
      </c>
      <c r="C34" s="4" t="inlineStr">
        <is>
          <t>嘉兴京功酒店管理集团</t>
        </is>
      </c>
      <c r="D34" s="4" t="inlineStr">
        <is>
          <t>复合调味粉</t>
        </is>
      </c>
      <c r="E34" s="4" t="inlineStr">
        <is>
          <t>5kg</t>
        </is>
      </c>
      <c r="F34" s="18" t="n">
        <v>4900</v>
      </c>
      <c r="G34" s="15" t="n">
        <v>193.44</v>
      </c>
      <c r="H34" s="15" t="n">
        <v>947856</v>
      </c>
      <c r="I34" s="4" t="inlineStr">
        <is>
          <t>上海分部</t>
        </is>
      </c>
      <c r="J34" s="4" t="inlineStr">
        <is>
          <t>周英芳</t>
        </is>
      </c>
    </row>
    <row r="35">
      <c r="A35" s="14" t="n">
        <v>45683</v>
      </c>
      <c r="B35" s="4" t="inlineStr">
        <is>
          <t>SO202510120</t>
        </is>
      </c>
      <c r="C35" s="4" t="inlineStr">
        <is>
          <t>嘉兴大匠商贸有限公司</t>
        </is>
      </c>
      <c r="D35" s="4" t="inlineStr">
        <is>
          <t>预制菜</t>
        </is>
      </c>
      <c r="E35" s="4" t="inlineStr">
        <is>
          <t>简装</t>
        </is>
      </c>
      <c r="F35" s="18" t="n">
        <v>560</v>
      </c>
      <c r="G35" s="15" t="n">
        <v>176.25</v>
      </c>
      <c r="H35" s="15" t="n">
        <v>98700</v>
      </c>
      <c r="I35" s="4" t="inlineStr">
        <is>
          <t>赣皖区域</t>
        </is>
      </c>
      <c r="J35" s="4" t="inlineStr">
        <is>
          <t>赵静芳</t>
        </is>
      </c>
    </row>
    <row r="36">
      <c r="A36" s="14" t="n">
        <v>45683</v>
      </c>
      <c r="B36" s="4" t="inlineStr">
        <is>
          <t>SO202510325</t>
        </is>
      </c>
      <c r="C36" s="4" t="inlineStr">
        <is>
          <t>常州优鲜食品有限公司</t>
        </is>
      </c>
      <c r="D36" s="4" t="inlineStr">
        <is>
          <t>中式汤底</t>
        </is>
      </c>
      <c r="E36" s="4" t="inlineStr">
        <is>
          <t>简装</t>
        </is>
      </c>
      <c r="F36" s="18" t="n">
        <v>2980</v>
      </c>
      <c r="G36" s="15" t="n">
        <v>29.15</v>
      </c>
      <c r="H36" s="15" t="n">
        <v>86867</v>
      </c>
      <c r="I36" s="4" t="inlineStr">
        <is>
          <t>江苏分部</t>
        </is>
      </c>
      <c r="J36" s="4" t="inlineStr">
        <is>
          <t>何明秀</t>
        </is>
      </c>
    </row>
    <row r="37">
      <c r="A37" s="14" t="n">
        <v>45684</v>
      </c>
      <c r="B37" s="4" t="inlineStr">
        <is>
          <t>SO202510170</t>
        </is>
      </c>
      <c r="C37" s="4" t="inlineStr">
        <is>
          <t>上海淼沃食品有限公司</t>
        </is>
      </c>
      <c r="D37" s="4" t="inlineStr">
        <is>
          <t>中式汤底</t>
        </is>
      </c>
      <c r="E37" s="4" t="inlineStr">
        <is>
          <t>A级</t>
        </is>
      </c>
      <c r="F37" s="18" t="n">
        <v>2550</v>
      </c>
      <c r="G37" s="15" t="n">
        <v>113.28</v>
      </c>
      <c r="H37" s="15" t="n">
        <v>288864</v>
      </c>
      <c r="I37" s="4" t="inlineStr">
        <is>
          <t>浙江分部</t>
        </is>
      </c>
      <c r="J37" s="4" t="inlineStr">
        <is>
          <t>刘伟娜</t>
        </is>
      </c>
    </row>
    <row r="38">
      <c r="A38" s="14" t="n">
        <v>45684</v>
      </c>
      <c r="B38" s="4" t="inlineStr">
        <is>
          <t>SO202510184</t>
        </is>
      </c>
      <c r="C38" s="4" t="inlineStr">
        <is>
          <t>杭州优鲜酒店管理集团</t>
        </is>
      </c>
      <c r="D38" s="4" t="inlineStr">
        <is>
          <t>团餐</t>
        </is>
      </c>
      <c r="E38" s="4" t="inlineStr">
        <is>
          <t>C级</t>
        </is>
      </c>
      <c r="F38" s="18" t="n">
        <v>2330</v>
      </c>
      <c r="G38" s="15" t="n">
        <v>146.03</v>
      </c>
      <c r="H38" s="15" t="n">
        <v>340249.9</v>
      </c>
      <c r="I38" s="4" t="inlineStr">
        <is>
          <t>浙江分部</t>
        </is>
      </c>
      <c r="J38" s="4" t="inlineStr">
        <is>
          <t>何伟伟</t>
        </is>
      </c>
    </row>
    <row r="39">
      <c r="A39" s="14" t="n">
        <v>45691</v>
      </c>
      <c r="B39" s="4" t="inlineStr">
        <is>
          <t>SO202510085</t>
        </is>
      </c>
      <c r="C39" s="4" t="inlineStr">
        <is>
          <t>杭州百味食品有限公司</t>
        </is>
      </c>
      <c r="D39" s="4" t="inlineStr">
        <is>
          <t>川味底料</t>
        </is>
      </c>
      <c r="E39" s="4" t="inlineStr">
        <is>
          <t>10kg</t>
        </is>
      </c>
      <c r="F39" s="18" t="n">
        <v>4010</v>
      </c>
      <c r="G39" s="15" t="n">
        <v>194.36</v>
      </c>
      <c r="H39" s="15" t="n">
        <v>779383.6</v>
      </c>
      <c r="I39" s="4" t="inlineStr">
        <is>
          <t>江苏分部</t>
        </is>
      </c>
      <c r="J39" s="4" t="inlineStr">
        <is>
          <t>周伟英</t>
        </is>
      </c>
    </row>
    <row r="40">
      <c r="A40" s="14" t="n">
        <v>45692</v>
      </c>
      <c r="B40" s="4" t="inlineStr">
        <is>
          <t>SO202510262</t>
        </is>
      </c>
      <c r="C40" s="4" t="inlineStr">
        <is>
          <t>杭州京功餐饮管理有限公司</t>
        </is>
      </c>
      <c r="D40" s="4" t="inlineStr">
        <is>
          <t>川味底料</t>
        </is>
      </c>
      <c r="E40" s="4" t="inlineStr">
        <is>
          <t>C级</t>
        </is>
      </c>
      <c r="F40" s="18" t="n">
        <v>1980</v>
      </c>
      <c r="G40" s="15" t="n">
        <v>183.9</v>
      </c>
      <c r="H40" s="15" t="n">
        <v>364122</v>
      </c>
      <c r="I40" s="4" t="inlineStr">
        <is>
          <t>赣皖区域</t>
        </is>
      </c>
      <c r="J40" s="4" t="inlineStr">
        <is>
          <t>李明英</t>
        </is>
      </c>
    </row>
    <row r="41">
      <c r="A41" s="14" t="n">
        <v>45693</v>
      </c>
      <c r="B41" s="4" t="inlineStr">
        <is>
          <t>SO202510142</t>
        </is>
      </c>
      <c r="C41" s="4" t="inlineStr">
        <is>
          <t>温州大匠酒店管理集团</t>
        </is>
      </c>
      <c r="D41" s="4" t="inlineStr">
        <is>
          <t>酱料</t>
        </is>
      </c>
      <c r="E41" s="4" t="inlineStr">
        <is>
          <t>标准</t>
        </is>
      </c>
      <c r="F41" s="18" t="n">
        <v>4460</v>
      </c>
      <c r="G41" s="15" t="n">
        <v>34.14</v>
      </c>
      <c r="H41" s="15" t="n">
        <v>152264.4</v>
      </c>
      <c r="I41" s="4" t="inlineStr">
        <is>
          <t>上海分部</t>
        </is>
      </c>
      <c r="J41" s="4" t="inlineStr">
        <is>
          <t>张勇秀</t>
        </is>
      </c>
    </row>
    <row r="42">
      <c r="A42" s="14" t="n">
        <v>45693</v>
      </c>
      <c r="B42" s="4" t="inlineStr">
        <is>
          <t>SO202510259</t>
        </is>
      </c>
      <c r="C42" s="4" t="inlineStr">
        <is>
          <t>南昌优鲜超市</t>
        </is>
      </c>
      <c r="D42" s="4" t="inlineStr">
        <is>
          <t>中式汤底</t>
        </is>
      </c>
      <c r="E42" s="4" t="inlineStr">
        <is>
          <t>500g</t>
        </is>
      </c>
      <c r="F42" s="18" t="n">
        <v>2050</v>
      </c>
      <c r="G42" s="15" t="n">
        <v>49.46</v>
      </c>
      <c r="H42" s="15" t="n">
        <v>101393</v>
      </c>
      <c r="I42" s="4" t="inlineStr">
        <is>
          <t>赣皖区域</t>
        </is>
      </c>
      <c r="J42" s="4" t="inlineStr">
        <is>
          <t>刘秀秀</t>
        </is>
      </c>
    </row>
    <row r="43">
      <c r="A43" s="14" t="n">
        <v>45694</v>
      </c>
      <c r="B43" s="4" t="inlineStr">
        <is>
          <t>SO202510202</t>
        </is>
      </c>
      <c r="C43" s="4" t="inlineStr">
        <is>
          <t>合肥食佳餐饮管理有限公司</t>
        </is>
      </c>
      <c r="D43" s="4" t="inlineStr">
        <is>
          <t>团餐</t>
        </is>
      </c>
      <c r="E43" s="4" t="inlineStr">
        <is>
          <t>标准</t>
        </is>
      </c>
      <c r="F43" s="18" t="n">
        <v>2680</v>
      </c>
      <c r="G43" s="15" t="n">
        <v>142.45</v>
      </c>
      <c r="H43" s="15" t="n">
        <v>381766</v>
      </c>
      <c r="I43" s="4" t="inlineStr">
        <is>
          <t>赣皖区域</t>
        </is>
      </c>
      <c r="J43" s="4" t="inlineStr">
        <is>
          <t>王洋英</t>
        </is>
      </c>
    </row>
    <row r="44">
      <c r="A44" s="14" t="n">
        <v>45694</v>
      </c>
      <c r="B44" s="4" t="inlineStr">
        <is>
          <t>SO202510237</t>
        </is>
      </c>
      <c r="C44" s="4" t="inlineStr">
        <is>
          <t>无锡京功食品有限公司</t>
        </is>
      </c>
      <c r="D44" s="4" t="inlineStr">
        <is>
          <t>调味汁</t>
        </is>
      </c>
      <c r="E44" s="4" t="inlineStr">
        <is>
          <t>2.5kg</t>
        </is>
      </c>
      <c r="F44" s="18" t="n">
        <v>1230</v>
      </c>
      <c r="G44" s="15" t="n">
        <v>61.62</v>
      </c>
      <c r="H44" s="15" t="n">
        <v>75792.60000000001</v>
      </c>
      <c r="I44" s="4" t="inlineStr">
        <is>
          <t>江苏分部</t>
        </is>
      </c>
      <c r="J44" s="4" t="inlineStr">
        <is>
          <t>陈伟芳</t>
        </is>
      </c>
    </row>
    <row r="45">
      <c r="A45" s="14" t="n">
        <v>45695</v>
      </c>
      <c r="B45" s="4" t="inlineStr">
        <is>
          <t>SO202510176</t>
        </is>
      </c>
      <c r="C45" s="4" t="inlineStr">
        <is>
          <t>常州大匠电商平台</t>
        </is>
      </c>
      <c r="D45" s="4" t="inlineStr">
        <is>
          <t>酱料</t>
        </is>
      </c>
      <c r="E45" s="4" t="inlineStr">
        <is>
          <t>10kg</t>
        </is>
      </c>
      <c r="F45" s="18" t="n">
        <v>2350</v>
      </c>
      <c r="G45" s="15" t="n">
        <v>187.8</v>
      </c>
      <c r="H45" s="15" t="n">
        <v>441330</v>
      </c>
      <c r="I45" s="4" t="inlineStr">
        <is>
          <t>赣皖区域</t>
        </is>
      </c>
      <c r="J45" s="4" t="inlineStr">
        <is>
          <t>胡杰秀</t>
        </is>
      </c>
    </row>
    <row r="46">
      <c r="A46" s="14" t="n">
        <v>45696</v>
      </c>
      <c r="B46" s="4" t="inlineStr">
        <is>
          <t>SO202510001</t>
        </is>
      </c>
      <c r="C46" s="4" t="inlineStr">
        <is>
          <t>杭州优鲜超市</t>
        </is>
      </c>
      <c r="D46" s="4" t="inlineStr">
        <is>
          <t>酱料</t>
        </is>
      </c>
      <c r="E46" s="4" t="inlineStr">
        <is>
          <t>C级</t>
        </is>
      </c>
      <c r="F46" s="18" t="n">
        <v>110</v>
      </c>
      <c r="G46" s="15" t="n">
        <v>187.18</v>
      </c>
      <c r="H46" s="15" t="n">
        <v>20589.8</v>
      </c>
      <c r="I46" s="4" t="inlineStr">
        <is>
          <t>浙江分部</t>
        </is>
      </c>
      <c r="J46" s="4" t="inlineStr">
        <is>
          <t>黄静伟</t>
        </is>
      </c>
    </row>
    <row r="47">
      <c r="A47" s="14" t="n">
        <v>45697</v>
      </c>
      <c r="B47" s="4" t="inlineStr">
        <is>
          <t>SO202510245</t>
        </is>
      </c>
      <c r="C47" s="4" t="inlineStr">
        <is>
          <t>上海淼沃食品有限公司</t>
        </is>
      </c>
      <c r="D47" s="4" t="inlineStr">
        <is>
          <t>复合调味粉</t>
        </is>
      </c>
      <c r="E47" s="4" t="inlineStr">
        <is>
          <t>25kg</t>
        </is>
      </c>
      <c r="F47" s="18" t="n">
        <v>2440</v>
      </c>
      <c r="G47" s="15" t="n">
        <v>155.14</v>
      </c>
      <c r="H47" s="15" t="n">
        <v>378541.6</v>
      </c>
      <c r="I47" s="4" t="inlineStr">
        <is>
          <t>浙江分部</t>
        </is>
      </c>
      <c r="J47" s="4" t="inlineStr">
        <is>
          <t>林娟娜</t>
        </is>
      </c>
    </row>
    <row r="48">
      <c r="A48" s="14" t="n">
        <v>45698</v>
      </c>
      <c r="B48" s="4" t="inlineStr">
        <is>
          <t>SO202510014</t>
        </is>
      </c>
      <c r="C48" s="4" t="inlineStr">
        <is>
          <t>苏州京功电商平台</t>
        </is>
      </c>
      <c r="D48" s="4" t="inlineStr">
        <is>
          <t>预制菜</t>
        </is>
      </c>
      <c r="E48" s="4" t="inlineStr">
        <is>
          <t>500g</t>
        </is>
      </c>
      <c r="F48" s="18" t="n">
        <v>3870</v>
      </c>
      <c r="G48" s="15" t="n">
        <v>86.43000000000001</v>
      </c>
      <c r="H48" s="15" t="n">
        <v>334484.1</v>
      </c>
      <c r="I48" s="4" t="inlineStr">
        <is>
          <t>江苏分部</t>
        </is>
      </c>
      <c r="J48" s="4" t="inlineStr">
        <is>
          <t>杨兰芳</t>
        </is>
      </c>
    </row>
    <row r="49">
      <c r="A49" s="14" t="n">
        <v>45699</v>
      </c>
      <c r="B49" s="4" t="inlineStr">
        <is>
          <t>SO202510341</t>
        </is>
      </c>
      <c r="C49" s="4" t="inlineStr">
        <is>
          <t>杭州大匠超市</t>
        </is>
      </c>
      <c r="D49" s="4" t="inlineStr">
        <is>
          <t>复合调味粉</t>
        </is>
      </c>
      <c r="E49" s="4" t="inlineStr">
        <is>
          <t>10kg</t>
        </is>
      </c>
      <c r="F49" s="18" t="n">
        <v>3090</v>
      </c>
      <c r="G49" s="15" t="n">
        <v>48.21</v>
      </c>
      <c r="H49" s="15" t="n">
        <v>148968.9</v>
      </c>
      <c r="I49" s="4" t="inlineStr">
        <is>
          <t>赣皖区域</t>
        </is>
      </c>
      <c r="J49" s="4" t="inlineStr">
        <is>
          <t>何杰敏</t>
        </is>
      </c>
    </row>
    <row r="50">
      <c r="A50" s="14" t="n">
        <v>45700</v>
      </c>
      <c r="B50" s="4" t="inlineStr">
        <is>
          <t>SO202510311</t>
        </is>
      </c>
      <c r="C50" s="4" t="inlineStr">
        <is>
          <t>杭州食佳餐饮管理有限公司</t>
        </is>
      </c>
      <c r="D50" s="4" t="inlineStr">
        <is>
          <t>调味汁</t>
        </is>
      </c>
      <c r="E50" s="4" t="inlineStr">
        <is>
          <t>A级</t>
        </is>
      </c>
      <c r="F50" s="18" t="n">
        <v>3410</v>
      </c>
      <c r="G50" s="15" t="n">
        <v>140.86</v>
      </c>
      <c r="H50" s="15" t="n">
        <v>480332.6</v>
      </c>
      <c r="I50" s="4" t="inlineStr">
        <is>
          <t>上海分部</t>
        </is>
      </c>
      <c r="J50" s="4" t="inlineStr">
        <is>
          <t>刘杰娜</t>
        </is>
      </c>
    </row>
    <row r="51">
      <c r="A51" s="14" t="n">
        <v>45701</v>
      </c>
      <c r="B51" s="4" t="inlineStr">
        <is>
          <t>SO202510026</t>
        </is>
      </c>
      <c r="C51" s="4" t="inlineStr">
        <is>
          <t>苏州大匠供应链有限公司</t>
        </is>
      </c>
      <c r="D51" s="4" t="inlineStr">
        <is>
          <t>调味汁</t>
        </is>
      </c>
      <c r="E51" s="4" t="inlineStr">
        <is>
          <t>标准</t>
        </is>
      </c>
      <c r="F51" s="18" t="n">
        <v>3530</v>
      </c>
      <c r="G51" s="15" t="n">
        <v>113.66</v>
      </c>
      <c r="H51" s="15" t="n">
        <v>401219.8</v>
      </c>
      <c r="I51" s="4" t="inlineStr">
        <is>
          <t>赣皖区域</t>
        </is>
      </c>
      <c r="J51" s="4" t="inlineStr">
        <is>
          <t>朱秀娜</t>
        </is>
      </c>
    </row>
    <row r="52">
      <c r="A52" s="14" t="n">
        <v>45701</v>
      </c>
      <c r="B52" s="4" t="inlineStr">
        <is>
          <t>SO202510228</t>
        </is>
      </c>
      <c r="C52" s="4" t="inlineStr">
        <is>
          <t>苏州淼沃供应链有限公司</t>
        </is>
      </c>
      <c r="D52" s="4" t="inlineStr">
        <is>
          <t>团餐</t>
        </is>
      </c>
      <c r="E52" s="4" t="inlineStr">
        <is>
          <t>精装</t>
        </is>
      </c>
      <c r="F52" s="18" t="n">
        <v>1610</v>
      </c>
      <c r="G52" s="15" t="n">
        <v>23.77</v>
      </c>
      <c r="H52" s="15" t="n">
        <v>38269.7</v>
      </c>
      <c r="I52" s="4" t="inlineStr">
        <is>
          <t>赣皖区域</t>
        </is>
      </c>
      <c r="J52" s="4" t="inlineStr">
        <is>
          <t>刘娜娜</t>
        </is>
      </c>
    </row>
    <row r="53">
      <c r="A53" s="14" t="n">
        <v>45710</v>
      </c>
      <c r="B53" s="4" t="inlineStr">
        <is>
          <t>SO202510035</t>
        </is>
      </c>
      <c r="C53" s="4" t="inlineStr">
        <is>
          <t>南京优鲜电商平台</t>
        </is>
      </c>
      <c r="D53" s="4" t="inlineStr">
        <is>
          <t>川味底料</t>
        </is>
      </c>
      <c r="E53" s="4" t="inlineStr">
        <is>
          <t>C级</t>
        </is>
      </c>
      <c r="F53" s="18" t="n">
        <v>2660</v>
      </c>
      <c r="G53" s="15" t="n">
        <v>114.95</v>
      </c>
      <c r="H53" s="15" t="n">
        <v>305767</v>
      </c>
      <c r="I53" s="4" t="inlineStr">
        <is>
          <t>江苏分部</t>
        </is>
      </c>
      <c r="J53" s="4" t="inlineStr">
        <is>
          <t>赵明敏</t>
        </is>
      </c>
    </row>
    <row r="54">
      <c r="A54" s="14" t="n">
        <v>45710</v>
      </c>
      <c r="B54" s="4" t="inlineStr">
        <is>
          <t>SO202510241</t>
        </is>
      </c>
      <c r="C54" s="4" t="inlineStr">
        <is>
          <t>温州淼沃酒店管理集团</t>
        </is>
      </c>
      <c r="D54" s="4" t="inlineStr">
        <is>
          <t>酱料</t>
        </is>
      </c>
      <c r="E54" s="4" t="inlineStr">
        <is>
          <t>C级</t>
        </is>
      </c>
      <c r="F54" s="18" t="n">
        <v>990</v>
      </c>
      <c r="G54" s="15" t="n">
        <v>67.58</v>
      </c>
      <c r="H54" s="15" t="n">
        <v>66904.2</v>
      </c>
      <c r="I54" s="4" t="inlineStr">
        <is>
          <t>浙江分部</t>
        </is>
      </c>
      <c r="J54" s="4" t="inlineStr">
        <is>
          <t>杨秀秀</t>
        </is>
      </c>
    </row>
    <row r="55">
      <c r="A55" s="14" t="n">
        <v>45712</v>
      </c>
      <c r="B55" s="4" t="inlineStr">
        <is>
          <t>SO202510109</t>
        </is>
      </c>
      <c r="C55" s="4" t="inlineStr">
        <is>
          <t>上海大匠电商平台</t>
        </is>
      </c>
      <c r="D55" s="4" t="inlineStr">
        <is>
          <t>团餐</t>
        </is>
      </c>
      <c r="E55" s="4" t="inlineStr">
        <is>
          <t>10kg</t>
        </is>
      </c>
      <c r="F55" s="18" t="n">
        <v>3960</v>
      </c>
      <c r="G55" s="15" t="n">
        <v>43.05</v>
      </c>
      <c r="H55" s="15" t="n">
        <v>170478</v>
      </c>
      <c r="I55" s="4" t="inlineStr">
        <is>
          <t>浙江分部</t>
        </is>
      </c>
      <c r="J55" s="4" t="inlineStr">
        <is>
          <t>徐勇芳</t>
        </is>
      </c>
    </row>
    <row r="56">
      <c r="A56" s="14" t="n">
        <v>45712</v>
      </c>
      <c r="B56" s="4" t="inlineStr">
        <is>
          <t>SO202510284</t>
        </is>
      </c>
      <c r="C56" s="4" t="inlineStr">
        <is>
          <t>苏州百味食品有限公司</t>
        </is>
      </c>
      <c r="D56" s="4" t="inlineStr">
        <is>
          <t>中式汤底</t>
        </is>
      </c>
      <c r="E56" s="4" t="inlineStr">
        <is>
          <t>简装</t>
        </is>
      </c>
      <c r="F56" s="18" t="n">
        <v>2500</v>
      </c>
      <c r="G56" s="15" t="n">
        <v>146.91</v>
      </c>
      <c r="H56" s="15" t="n">
        <v>367275</v>
      </c>
      <c r="I56" s="4" t="inlineStr">
        <is>
          <t>上海分部</t>
        </is>
      </c>
      <c r="J56" s="4" t="inlineStr">
        <is>
          <t>赵娜娜</t>
        </is>
      </c>
    </row>
    <row r="57">
      <c r="A57" s="14" t="n">
        <v>45713</v>
      </c>
      <c r="B57" s="4" t="inlineStr">
        <is>
          <t>SO202510078</t>
        </is>
      </c>
      <c r="C57" s="4" t="inlineStr">
        <is>
          <t>无锡百味食品有限公司</t>
        </is>
      </c>
      <c r="D57" s="4" t="inlineStr">
        <is>
          <t>复合调味粉</t>
        </is>
      </c>
      <c r="E57" s="4" t="inlineStr">
        <is>
          <t>10kg</t>
        </is>
      </c>
      <c r="F57" s="18" t="n">
        <v>2810</v>
      </c>
      <c r="G57" s="15" t="n">
        <v>31.56</v>
      </c>
      <c r="H57" s="15" t="n">
        <v>88683.60000000001</v>
      </c>
      <c r="I57" s="4" t="inlineStr">
        <is>
          <t>赣皖区域</t>
        </is>
      </c>
      <c r="J57" s="4" t="inlineStr">
        <is>
          <t>杨娜英</t>
        </is>
      </c>
    </row>
    <row r="58">
      <c r="A58" s="14" t="n">
        <v>45714</v>
      </c>
      <c r="B58" s="4" t="inlineStr">
        <is>
          <t>SO202510205</t>
        </is>
      </c>
      <c r="C58" s="4" t="inlineStr">
        <is>
          <t>杭州大匠酒店管理集团</t>
        </is>
      </c>
      <c r="D58" s="4" t="inlineStr">
        <is>
          <t>团餐</t>
        </is>
      </c>
      <c r="E58" s="4" t="inlineStr">
        <is>
          <t>简装</t>
        </is>
      </c>
      <c r="F58" s="18" t="n">
        <v>3870</v>
      </c>
      <c r="G58" s="15" t="n">
        <v>173.65</v>
      </c>
      <c r="H58" s="15" t="n">
        <v>672025.5</v>
      </c>
      <c r="I58" s="4" t="inlineStr">
        <is>
          <t>赣皖区域</t>
        </is>
      </c>
      <c r="J58" s="4" t="inlineStr">
        <is>
          <t>张静秀</t>
        </is>
      </c>
    </row>
    <row r="59">
      <c r="A59" s="14" t="n">
        <v>45715</v>
      </c>
      <c r="B59" s="4" t="inlineStr">
        <is>
          <t>SO202510043</t>
        </is>
      </c>
      <c r="C59" s="4" t="inlineStr">
        <is>
          <t>无锡优鲜酒店管理集团</t>
        </is>
      </c>
      <c r="D59" s="4" t="inlineStr">
        <is>
          <t>复合调味粉</t>
        </is>
      </c>
      <c r="E59" s="4" t="inlineStr">
        <is>
          <t>标准</t>
        </is>
      </c>
      <c r="F59" s="18" t="n">
        <v>4120</v>
      </c>
      <c r="G59" s="15" t="n">
        <v>160.92</v>
      </c>
      <c r="H59" s="15" t="n">
        <v>662990.4</v>
      </c>
      <c r="I59" s="4" t="inlineStr">
        <is>
          <t>赣皖区域</t>
        </is>
      </c>
      <c r="J59" s="4" t="inlineStr">
        <is>
          <t>马兰芳</t>
        </is>
      </c>
    </row>
    <row r="60">
      <c r="A60" s="14" t="n">
        <v>45715</v>
      </c>
      <c r="B60" s="4" t="inlineStr">
        <is>
          <t>SO202510073</t>
        </is>
      </c>
      <c r="C60" s="4" t="inlineStr">
        <is>
          <t>苏州食佳电商平台</t>
        </is>
      </c>
      <c r="D60" s="4" t="inlineStr">
        <is>
          <t>川味底料</t>
        </is>
      </c>
      <c r="E60" s="4" t="inlineStr">
        <is>
          <t>标准</t>
        </is>
      </c>
      <c r="F60" s="18" t="n">
        <v>2180</v>
      </c>
      <c r="G60" s="15" t="n">
        <v>19.39</v>
      </c>
      <c r="H60" s="15" t="n">
        <v>42270.2</v>
      </c>
      <c r="I60" s="4" t="inlineStr">
        <is>
          <t>上海分部</t>
        </is>
      </c>
      <c r="J60" s="4" t="inlineStr">
        <is>
          <t>胡静英</t>
        </is>
      </c>
    </row>
    <row r="61">
      <c r="A61" s="14" t="n">
        <v>45721</v>
      </c>
      <c r="B61" s="4" t="inlineStr">
        <is>
          <t>SO202510033</t>
        </is>
      </c>
      <c r="C61" s="4" t="inlineStr">
        <is>
          <t>上海百味酒店管理集团</t>
        </is>
      </c>
      <c r="D61" s="4" t="inlineStr">
        <is>
          <t>川味底料</t>
        </is>
      </c>
      <c r="E61" s="4" t="inlineStr">
        <is>
          <t>C级</t>
        </is>
      </c>
      <c r="F61" s="18" t="n">
        <v>800</v>
      </c>
      <c r="G61" s="15" t="n">
        <v>93.20999999999999</v>
      </c>
      <c r="H61" s="15" t="n">
        <v>74568</v>
      </c>
      <c r="I61" s="4" t="inlineStr">
        <is>
          <t>浙江分部</t>
        </is>
      </c>
      <c r="J61" s="4" t="inlineStr">
        <is>
          <t>王伟芳</t>
        </is>
      </c>
    </row>
    <row r="62">
      <c r="A62" s="14" t="n">
        <v>45722</v>
      </c>
      <c r="B62" s="4" t="inlineStr">
        <is>
          <t>SO202510039</t>
        </is>
      </c>
      <c r="C62" s="4" t="inlineStr">
        <is>
          <t>无锡食佳超市</t>
        </is>
      </c>
      <c r="D62" s="4" t="inlineStr">
        <is>
          <t>预制菜</t>
        </is>
      </c>
      <c r="E62" s="4" t="inlineStr">
        <is>
          <t>10kg</t>
        </is>
      </c>
      <c r="F62" s="18" t="n">
        <v>1330</v>
      </c>
      <c r="G62" s="15" t="n">
        <v>140.35</v>
      </c>
      <c r="H62" s="15" t="n">
        <v>186665.5</v>
      </c>
      <c r="I62" s="4" t="inlineStr">
        <is>
          <t>江苏分部</t>
        </is>
      </c>
      <c r="J62" s="4" t="inlineStr">
        <is>
          <t>何艳芳</t>
        </is>
      </c>
    </row>
    <row r="63">
      <c r="A63" s="14" t="n">
        <v>45724</v>
      </c>
      <c r="B63" s="4" t="inlineStr">
        <is>
          <t>SO202510004</t>
        </is>
      </c>
      <c r="C63" s="4" t="inlineStr">
        <is>
          <t>南京淼沃餐饮管理有限公司</t>
        </is>
      </c>
      <c r="D63" s="4" t="inlineStr">
        <is>
          <t>预制菜</t>
        </is>
      </c>
      <c r="E63" s="4" t="inlineStr">
        <is>
          <t>精装</t>
        </is>
      </c>
      <c r="F63" s="18" t="n">
        <v>680</v>
      </c>
      <c r="G63" s="15" t="n">
        <v>68.7</v>
      </c>
      <c r="H63" s="15" t="n">
        <v>46716</v>
      </c>
      <c r="I63" s="4" t="inlineStr">
        <is>
          <t>赣皖区域</t>
        </is>
      </c>
      <c r="J63" s="4" t="inlineStr">
        <is>
          <t>李勇娜</t>
        </is>
      </c>
    </row>
    <row r="64">
      <c r="A64" s="14" t="n">
        <v>45724</v>
      </c>
      <c r="B64" s="4" t="inlineStr">
        <is>
          <t>SO202510061</t>
        </is>
      </c>
      <c r="C64" s="4" t="inlineStr">
        <is>
          <t>嘉兴大匠食品有限公司</t>
        </is>
      </c>
      <c r="D64" s="4" t="inlineStr">
        <is>
          <t>复合调味粉</t>
        </is>
      </c>
      <c r="E64" s="4" t="inlineStr">
        <is>
          <t>A级</t>
        </is>
      </c>
      <c r="F64" s="18" t="n">
        <v>560</v>
      </c>
      <c r="G64" s="15" t="n">
        <v>98.61</v>
      </c>
      <c r="H64" s="15" t="n">
        <v>55221.6</v>
      </c>
      <c r="I64" s="4" t="inlineStr">
        <is>
          <t>江苏分部</t>
        </is>
      </c>
      <c r="J64" s="4" t="inlineStr">
        <is>
          <t>黄勇芳</t>
        </is>
      </c>
    </row>
    <row r="65">
      <c r="A65" s="14" t="n">
        <v>45724</v>
      </c>
      <c r="B65" s="4" t="inlineStr">
        <is>
          <t>SO202510218</t>
        </is>
      </c>
      <c r="C65" s="4" t="inlineStr">
        <is>
          <t>上海食佳供应链有限公司</t>
        </is>
      </c>
      <c r="D65" s="4" t="inlineStr">
        <is>
          <t>团餐</t>
        </is>
      </c>
      <c r="E65" s="4" t="inlineStr">
        <is>
          <t>标准</t>
        </is>
      </c>
      <c r="F65" s="18" t="n">
        <v>3150</v>
      </c>
      <c r="G65" s="15" t="n">
        <v>56.05</v>
      </c>
      <c r="H65" s="15" t="n">
        <v>176557.5</v>
      </c>
      <c r="I65" s="4" t="inlineStr">
        <is>
          <t>江苏分部</t>
        </is>
      </c>
      <c r="J65" s="4" t="inlineStr">
        <is>
          <t>周敏秀</t>
        </is>
      </c>
    </row>
    <row r="66">
      <c r="A66" s="14" t="n">
        <v>45724</v>
      </c>
      <c r="B66" s="4" t="inlineStr">
        <is>
          <t>SO202510257</t>
        </is>
      </c>
      <c r="C66" s="4" t="inlineStr">
        <is>
          <t>镇江百味商贸有限公司</t>
        </is>
      </c>
      <c r="D66" s="4" t="inlineStr">
        <is>
          <t>复合调味粉</t>
        </is>
      </c>
      <c r="E66" s="4" t="inlineStr">
        <is>
          <t>1kg</t>
        </is>
      </c>
      <c r="F66" s="18" t="n">
        <v>90</v>
      </c>
      <c r="G66" s="15" t="n">
        <v>11.35</v>
      </c>
      <c r="H66" s="15" t="n">
        <v>1021.5</v>
      </c>
      <c r="I66" s="4" t="inlineStr">
        <is>
          <t>上海分部</t>
        </is>
      </c>
      <c r="J66" s="4" t="inlineStr">
        <is>
          <t>周娟娜</t>
        </is>
      </c>
    </row>
    <row r="67">
      <c r="A67" s="14" t="n">
        <v>45725</v>
      </c>
      <c r="B67" s="4" t="inlineStr">
        <is>
          <t>SO202510137</t>
        </is>
      </c>
      <c r="C67" s="4" t="inlineStr">
        <is>
          <t>无锡大匠商贸有限公司</t>
        </is>
      </c>
      <c r="D67" s="4" t="inlineStr">
        <is>
          <t>复合调味粉</t>
        </is>
      </c>
      <c r="E67" s="4" t="inlineStr">
        <is>
          <t>B级</t>
        </is>
      </c>
      <c r="F67" s="18" t="n">
        <v>3540</v>
      </c>
      <c r="G67" s="15" t="n">
        <v>15.46</v>
      </c>
      <c r="H67" s="15" t="n">
        <v>54728.4</v>
      </c>
      <c r="I67" s="4" t="inlineStr">
        <is>
          <t>上海分部</t>
        </is>
      </c>
      <c r="J67" s="4" t="inlineStr">
        <is>
          <t>周涛秀</t>
        </is>
      </c>
    </row>
    <row r="68">
      <c r="A68" s="14" t="n">
        <v>45727</v>
      </c>
      <c r="B68" s="4" t="inlineStr">
        <is>
          <t>SO202510046</t>
        </is>
      </c>
      <c r="C68" s="4" t="inlineStr">
        <is>
          <t>常州京功酒店管理集团</t>
        </is>
      </c>
      <c r="D68" s="4" t="inlineStr">
        <is>
          <t>团餐</t>
        </is>
      </c>
      <c r="E68" s="4" t="inlineStr">
        <is>
          <t>A级</t>
        </is>
      </c>
      <c r="F68" s="18" t="n">
        <v>600</v>
      </c>
      <c r="G68" s="15" t="n">
        <v>91.76000000000001</v>
      </c>
      <c r="H68" s="15" t="n">
        <v>55056</v>
      </c>
      <c r="I68" s="4" t="inlineStr">
        <is>
          <t>上海分部</t>
        </is>
      </c>
      <c r="J68" s="4" t="inlineStr">
        <is>
          <t>吴磊秀</t>
        </is>
      </c>
    </row>
    <row r="69">
      <c r="A69" s="14" t="n">
        <v>45727</v>
      </c>
      <c r="B69" s="4" t="inlineStr">
        <is>
          <t>SO202510316</t>
        </is>
      </c>
      <c r="C69" s="4" t="inlineStr">
        <is>
          <t>镇江食佳酒店管理集团</t>
        </is>
      </c>
      <c r="D69" s="4" t="inlineStr">
        <is>
          <t>中式汤底</t>
        </is>
      </c>
      <c r="E69" s="4" t="inlineStr">
        <is>
          <t>5kg</t>
        </is>
      </c>
      <c r="F69" s="18" t="n">
        <v>2030</v>
      </c>
      <c r="G69" s="15" t="n">
        <v>90</v>
      </c>
      <c r="H69" s="15" t="n">
        <v>182700</v>
      </c>
      <c r="I69" s="4" t="inlineStr">
        <is>
          <t>赣皖区域</t>
        </is>
      </c>
      <c r="J69" s="4" t="inlineStr">
        <is>
          <t>马芳秀</t>
        </is>
      </c>
    </row>
    <row r="70">
      <c r="A70" s="14" t="n">
        <v>45728</v>
      </c>
      <c r="B70" s="4" t="inlineStr">
        <is>
          <t>SO202510093</t>
        </is>
      </c>
      <c r="C70" s="4" t="inlineStr">
        <is>
          <t>合肥京功食品有限公司</t>
        </is>
      </c>
      <c r="D70" s="4" t="inlineStr">
        <is>
          <t>调味汁</t>
        </is>
      </c>
      <c r="E70" s="4" t="inlineStr">
        <is>
          <t>标准</t>
        </is>
      </c>
      <c r="F70" s="18" t="n">
        <v>4910</v>
      </c>
      <c r="G70" s="15" t="n">
        <v>132.32</v>
      </c>
      <c r="H70" s="15" t="n">
        <v>649691.2</v>
      </c>
      <c r="I70" s="4" t="inlineStr">
        <is>
          <t>浙江分部</t>
        </is>
      </c>
      <c r="J70" s="4" t="inlineStr">
        <is>
          <t>刘勇英</t>
        </is>
      </c>
    </row>
    <row r="71">
      <c r="A71" s="14" t="n">
        <v>45728</v>
      </c>
      <c r="B71" s="4" t="inlineStr">
        <is>
          <t>SO202510300</t>
        </is>
      </c>
      <c r="C71" s="4" t="inlineStr">
        <is>
          <t>常州京功酒店管理集团</t>
        </is>
      </c>
      <c r="D71" s="4" t="inlineStr">
        <is>
          <t>调味汁</t>
        </is>
      </c>
      <c r="E71" s="4" t="inlineStr">
        <is>
          <t>10kg</t>
        </is>
      </c>
      <c r="F71" s="18" t="n">
        <v>1150</v>
      </c>
      <c r="G71" s="15" t="n">
        <v>52.1</v>
      </c>
      <c r="H71" s="15" t="n">
        <v>59915</v>
      </c>
      <c r="I71" s="4" t="inlineStr">
        <is>
          <t>赣皖区域</t>
        </is>
      </c>
      <c r="J71" s="4" t="inlineStr">
        <is>
          <t>胡强伟</t>
        </is>
      </c>
    </row>
    <row r="72">
      <c r="A72" s="14" t="n">
        <v>45731</v>
      </c>
      <c r="B72" s="4" t="inlineStr">
        <is>
          <t>SO202510049</t>
        </is>
      </c>
      <c r="C72" s="4" t="inlineStr">
        <is>
          <t>常州京功超市</t>
        </is>
      </c>
      <c r="D72" s="4" t="inlineStr">
        <is>
          <t>川味底料</t>
        </is>
      </c>
      <c r="E72" s="4" t="inlineStr">
        <is>
          <t>特级</t>
        </is>
      </c>
      <c r="F72" s="18" t="n">
        <v>3390</v>
      </c>
      <c r="G72" s="15" t="n">
        <v>195.46</v>
      </c>
      <c r="H72" s="15" t="n">
        <v>662609.4</v>
      </c>
      <c r="I72" s="4" t="inlineStr">
        <is>
          <t>浙江分部</t>
        </is>
      </c>
      <c r="J72" s="4" t="inlineStr">
        <is>
          <t>胡强伟</t>
        </is>
      </c>
    </row>
    <row r="73">
      <c r="A73" s="14" t="n">
        <v>45732</v>
      </c>
      <c r="B73" s="4" t="inlineStr">
        <is>
          <t>SO202510207</t>
        </is>
      </c>
      <c r="C73" s="4" t="inlineStr">
        <is>
          <t>合肥淼沃食品有限公司</t>
        </is>
      </c>
      <c r="D73" s="4" t="inlineStr">
        <is>
          <t>酱料</t>
        </is>
      </c>
      <c r="E73" s="4" t="inlineStr">
        <is>
          <t>1kg</t>
        </is>
      </c>
      <c r="F73" s="18" t="n">
        <v>2710</v>
      </c>
      <c r="G73" s="15" t="n">
        <v>95.23999999999999</v>
      </c>
      <c r="H73" s="15" t="n">
        <v>258100.4</v>
      </c>
      <c r="I73" s="4" t="inlineStr">
        <is>
          <t>赣皖区域</t>
        </is>
      </c>
      <c r="J73" s="4" t="inlineStr">
        <is>
          <t>黄英伟</t>
        </is>
      </c>
    </row>
    <row r="74">
      <c r="A74" s="14" t="n">
        <v>45732</v>
      </c>
      <c r="B74" s="4" t="inlineStr">
        <is>
          <t>SO202510267</t>
        </is>
      </c>
      <c r="C74" s="4" t="inlineStr">
        <is>
          <t>温州食佳餐饮管理有限公司</t>
        </is>
      </c>
      <c r="D74" s="4" t="inlineStr">
        <is>
          <t>预制菜</t>
        </is>
      </c>
      <c r="E74" s="4" t="inlineStr">
        <is>
          <t>C级</t>
        </is>
      </c>
      <c r="F74" s="18" t="n">
        <v>770</v>
      </c>
      <c r="G74" s="15" t="n">
        <v>191.51</v>
      </c>
      <c r="H74" s="15" t="n">
        <v>147462.7</v>
      </c>
      <c r="I74" s="4" t="inlineStr">
        <is>
          <t>江苏分部</t>
        </is>
      </c>
      <c r="J74" s="4" t="inlineStr">
        <is>
          <t>林强敏</t>
        </is>
      </c>
    </row>
    <row r="75">
      <c r="A75" s="14" t="n">
        <v>45733</v>
      </c>
      <c r="B75" s="4" t="inlineStr">
        <is>
          <t>SO202510275</t>
        </is>
      </c>
      <c r="C75" s="4" t="inlineStr">
        <is>
          <t>合肥淼沃酒店管理集团</t>
        </is>
      </c>
      <c r="D75" s="4" t="inlineStr">
        <is>
          <t>中式汤底</t>
        </is>
      </c>
      <c r="E75" s="4" t="inlineStr">
        <is>
          <t>标准</t>
        </is>
      </c>
      <c r="F75" s="18" t="n">
        <v>4960</v>
      </c>
      <c r="G75" s="15" t="n">
        <v>7.34</v>
      </c>
      <c r="H75" s="15" t="n">
        <v>36406.4</v>
      </c>
      <c r="I75" s="4" t="inlineStr">
        <is>
          <t>上海分部</t>
        </is>
      </c>
      <c r="J75" s="4" t="inlineStr">
        <is>
          <t>李娟芳</t>
        </is>
      </c>
    </row>
    <row r="76">
      <c r="A76" s="14" t="n">
        <v>45734</v>
      </c>
      <c r="B76" s="4" t="inlineStr">
        <is>
          <t>SO202510098</t>
        </is>
      </c>
      <c r="C76" s="4" t="inlineStr">
        <is>
          <t>苏州淼沃餐饮管理有限公司</t>
        </is>
      </c>
      <c r="D76" s="4" t="inlineStr">
        <is>
          <t>调味汁</t>
        </is>
      </c>
      <c r="E76" s="4" t="inlineStr">
        <is>
          <t>10kg</t>
        </is>
      </c>
      <c r="F76" s="18" t="n">
        <v>1300</v>
      </c>
      <c r="G76" s="15" t="n">
        <v>166.77</v>
      </c>
      <c r="H76" s="15" t="n">
        <v>216801</v>
      </c>
      <c r="I76" s="4" t="inlineStr">
        <is>
          <t>赣皖区域</t>
        </is>
      </c>
      <c r="J76" s="4" t="inlineStr">
        <is>
          <t>刘涛英</t>
        </is>
      </c>
    </row>
    <row r="77">
      <c r="A77" s="14" t="n">
        <v>45734</v>
      </c>
      <c r="B77" s="4" t="inlineStr">
        <is>
          <t>SO202510212</t>
        </is>
      </c>
      <c r="C77" s="4" t="inlineStr">
        <is>
          <t>南昌优鲜食品有限公司</t>
        </is>
      </c>
      <c r="D77" s="4" t="inlineStr">
        <is>
          <t>川味底料</t>
        </is>
      </c>
      <c r="E77" s="4" t="inlineStr">
        <is>
          <t>25kg</t>
        </is>
      </c>
      <c r="F77" s="18" t="n">
        <v>4180</v>
      </c>
      <c r="G77" s="15" t="n">
        <v>185.27</v>
      </c>
      <c r="H77" s="15" t="n">
        <v>774428.6</v>
      </c>
      <c r="I77" s="4" t="inlineStr">
        <is>
          <t>浙江分部</t>
        </is>
      </c>
      <c r="J77" s="4" t="inlineStr">
        <is>
          <t>刘强伟</t>
        </is>
      </c>
    </row>
    <row r="78">
      <c r="A78" s="14" t="n">
        <v>45736</v>
      </c>
      <c r="B78" s="4" t="inlineStr">
        <is>
          <t>SO202510239</t>
        </is>
      </c>
      <c r="C78" s="4" t="inlineStr">
        <is>
          <t>温州淼沃供应链有限公司</t>
        </is>
      </c>
      <c r="D78" s="4" t="inlineStr">
        <is>
          <t>复合调味粉</t>
        </is>
      </c>
      <c r="E78" s="4" t="inlineStr">
        <is>
          <t>简装</t>
        </is>
      </c>
      <c r="F78" s="18" t="n">
        <v>4870</v>
      </c>
      <c r="G78" s="15" t="n">
        <v>122.46</v>
      </c>
      <c r="H78" s="15" t="n">
        <v>596380.2</v>
      </c>
      <c r="I78" s="4" t="inlineStr">
        <is>
          <t>赣皖区域</t>
        </is>
      </c>
      <c r="J78" s="4" t="inlineStr">
        <is>
          <t>郭娜英</t>
        </is>
      </c>
    </row>
    <row r="79">
      <c r="A79" s="14" t="n">
        <v>45738</v>
      </c>
      <c r="B79" s="4" t="inlineStr">
        <is>
          <t>SO202510147</t>
        </is>
      </c>
      <c r="C79" s="4" t="inlineStr">
        <is>
          <t>南昌优鲜超市</t>
        </is>
      </c>
      <c r="D79" s="4" t="inlineStr">
        <is>
          <t>酱料</t>
        </is>
      </c>
      <c r="E79" s="4" t="inlineStr">
        <is>
          <t>500g</t>
        </is>
      </c>
      <c r="F79" s="18" t="n">
        <v>770</v>
      </c>
      <c r="G79" s="15" t="n">
        <v>17.1</v>
      </c>
      <c r="H79" s="15" t="n">
        <v>13167</v>
      </c>
      <c r="I79" s="4" t="inlineStr">
        <is>
          <t>江苏分部</t>
        </is>
      </c>
      <c r="J79" s="4" t="inlineStr">
        <is>
          <t>张艳伟</t>
        </is>
      </c>
    </row>
    <row r="80">
      <c r="A80" s="14" t="n">
        <v>45740</v>
      </c>
      <c r="B80" s="4" t="inlineStr">
        <is>
          <t>SO202510150</t>
        </is>
      </c>
      <c r="C80" s="4" t="inlineStr">
        <is>
          <t>嘉兴淼沃商贸有限公司</t>
        </is>
      </c>
      <c r="D80" s="4" t="inlineStr">
        <is>
          <t>中式汤底</t>
        </is>
      </c>
      <c r="E80" s="4" t="inlineStr">
        <is>
          <t>5kg</t>
        </is>
      </c>
      <c r="F80" s="18" t="n">
        <v>2830</v>
      </c>
      <c r="G80" s="15" t="n">
        <v>131.57</v>
      </c>
      <c r="H80" s="15" t="n">
        <v>372343.1</v>
      </c>
      <c r="I80" s="4" t="inlineStr">
        <is>
          <t>江苏分部</t>
        </is>
      </c>
      <c r="J80" s="4" t="inlineStr">
        <is>
          <t>黄秀敏</t>
        </is>
      </c>
    </row>
    <row r="81">
      <c r="A81" s="14" t="n">
        <v>45740</v>
      </c>
      <c r="B81" s="4" t="inlineStr">
        <is>
          <t>SO202510227</t>
        </is>
      </c>
      <c r="C81" s="4" t="inlineStr">
        <is>
          <t>无锡京功电商平台</t>
        </is>
      </c>
      <c r="D81" s="4" t="inlineStr">
        <is>
          <t>预制菜</t>
        </is>
      </c>
      <c r="E81" s="4" t="inlineStr">
        <is>
          <t>1kg</t>
        </is>
      </c>
      <c r="F81" s="18" t="n">
        <v>3400</v>
      </c>
      <c r="G81" s="15" t="n">
        <v>179.89</v>
      </c>
      <c r="H81" s="15" t="n">
        <v>611626</v>
      </c>
      <c r="I81" s="4" t="inlineStr">
        <is>
          <t>浙江分部</t>
        </is>
      </c>
      <c r="J81" s="4" t="inlineStr">
        <is>
          <t>胡明敏</t>
        </is>
      </c>
    </row>
    <row r="82">
      <c r="A82" s="14" t="n">
        <v>45740</v>
      </c>
      <c r="B82" s="4" t="inlineStr">
        <is>
          <t>SO202510231</t>
        </is>
      </c>
      <c r="C82" s="4" t="inlineStr">
        <is>
          <t>宁波京功超市</t>
        </is>
      </c>
      <c r="D82" s="4" t="inlineStr">
        <is>
          <t>中式汤底</t>
        </is>
      </c>
      <c r="E82" s="4" t="inlineStr">
        <is>
          <t>25kg</t>
        </is>
      </c>
      <c r="F82" s="18" t="n">
        <v>4030</v>
      </c>
      <c r="G82" s="15" t="n">
        <v>37.86</v>
      </c>
      <c r="H82" s="15" t="n">
        <v>152575.8</v>
      </c>
      <c r="I82" s="4" t="inlineStr">
        <is>
          <t>赣皖区域</t>
        </is>
      </c>
      <c r="J82" s="4" t="inlineStr">
        <is>
          <t>刘秀芳</t>
        </is>
      </c>
    </row>
    <row r="83">
      <c r="A83" s="14" t="n">
        <v>45740</v>
      </c>
      <c r="B83" s="4" t="inlineStr">
        <is>
          <t>SO202510324</t>
        </is>
      </c>
      <c r="C83" s="4" t="inlineStr">
        <is>
          <t>南昌食佳超市</t>
        </is>
      </c>
      <c r="D83" s="4" t="inlineStr">
        <is>
          <t>酱料</t>
        </is>
      </c>
      <c r="E83" s="4" t="inlineStr">
        <is>
          <t>简装</t>
        </is>
      </c>
      <c r="F83" s="18" t="n">
        <v>1460</v>
      </c>
      <c r="G83" s="15" t="n">
        <v>184.03</v>
      </c>
      <c r="H83" s="15" t="n">
        <v>268683.8</v>
      </c>
      <c r="I83" s="4" t="inlineStr">
        <is>
          <t>赣皖区域</t>
        </is>
      </c>
      <c r="J83" s="4" t="inlineStr">
        <is>
          <t>杨兰伟</t>
        </is>
      </c>
    </row>
    <row r="84">
      <c r="A84" s="14" t="n">
        <v>45743</v>
      </c>
      <c r="B84" s="4" t="inlineStr">
        <is>
          <t>SO202510336</t>
        </is>
      </c>
      <c r="C84" s="4" t="inlineStr">
        <is>
          <t>南京大匠电商平台</t>
        </is>
      </c>
      <c r="D84" s="4" t="inlineStr">
        <is>
          <t>中式汤底</t>
        </is>
      </c>
      <c r="E84" s="4" t="inlineStr">
        <is>
          <t>A级</t>
        </is>
      </c>
      <c r="F84" s="18" t="n">
        <v>3520</v>
      </c>
      <c r="G84" s="15" t="n">
        <v>74.36</v>
      </c>
      <c r="H84" s="15" t="n">
        <v>261747.2</v>
      </c>
      <c r="I84" s="4" t="inlineStr">
        <is>
          <t>江苏分部</t>
        </is>
      </c>
      <c r="J84" s="4" t="inlineStr">
        <is>
          <t>郭娟伟</t>
        </is>
      </c>
    </row>
    <row r="85">
      <c r="A85" s="14" t="n">
        <v>45749</v>
      </c>
      <c r="B85" s="4" t="inlineStr">
        <is>
          <t>SO202510322</t>
        </is>
      </c>
      <c r="C85" s="4" t="inlineStr">
        <is>
          <t>苏州淼沃食品有限公司</t>
        </is>
      </c>
      <c r="D85" s="4" t="inlineStr">
        <is>
          <t>中式汤底</t>
        </is>
      </c>
      <c r="E85" s="4" t="inlineStr">
        <is>
          <t>简装</t>
        </is>
      </c>
      <c r="F85" s="18" t="n">
        <v>770</v>
      </c>
      <c r="G85" s="15" t="n">
        <v>148.97</v>
      </c>
      <c r="H85" s="15" t="n">
        <v>114706.9</v>
      </c>
      <c r="I85" s="4" t="inlineStr">
        <is>
          <t>赣皖区域</t>
        </is>
      </c>
      <c r="J85" s="4" t="inlineStr">
        <is>
          <t>陈娟芳</t>
        </is>
      </c>
    </row>
    <row r="86">
      <c r="A86" s="14" t="n">
        <v>45754</v>
      </c>
      <c r="B86" s="4" t="inlineStr">
        <is>
          <t>SO202510094</t>
        </is>
      </c>
      <c r="C86" s="4" t="inlineStr">
        <is>
          <t>南京百味超市</t>
        </is>
      </c>
      <c r="D86" s="4" t="inlineStr">
        <is>
          <t>中式汤底</t>
        </is>
      </c>
      <c r="E86" s="4" t="inlineStr">
        <is>
          <t>1kg</t>
        </is>
      </c>
      <c r="F86" s="18" t="n">
        <v>4080</v>
      </c>
      <c r="G86" s="15" t="n">
        <v>7.81</v>
      </c>
      <c r="H86" s="15" t="n">
        <v>31864.8</v>
      </c>
      <c r="I86" s="4" t="inlineStr">
        <is>
          <t>浙江分部</t>
        </is>
      </c>
      <c r="J86" s="4" t="inlineStr">
        <is>
          <t>黄芳敏</t>
        </is>
      </c>
    </row>
    <row r="87">
      <c r="A87" s="14" t="n">
        <v>45754</v>
      </c>
      <c r="B87" s="4" t="inlineStr">
        <is>
          <t>SO202510250</t>
        </is>
      </c>
      <c r="C87" s="4" t="inlineStr">
        <is>
          <t>南昌淼沃食品有限公司</t>
        </is>
      </c>
      <c r="D87" s="4" t="inlineStr">
        <is>
          <t>团餐</t>
        </is>
      </c>
      <c r="E87" s="4" t="inlineStr">
        <is>
          <t>25kg</t>
        </is>
      </c>
      <c r="F87" s="18" t="n">
        <v>2370</v>
      </c>
      <c r="G87" s="15" t="n">
        <v>16.56</v>
      </c>
      <c r="H87" s="15" t="n">
        <v>39247.2</v>
      </c>
      <c r="I87" s="4" t="inlineStr">
        <is>
          <t>江苏分部</t>
        </is>
      </c>
      <c r="J87" s="4" t="inlineStr">
        <is>
          <t>徐明伟</t>
        </is>
      </c>
    </row>
    <row r="88">
      <c r="A88" s="14" t="n">
        <v>45755</v>
      </c>
      <c r="B88" s="4" t="inlineStr">
        <is>
          <t>SO202510145</t>
        </is>
      </c>
      <c r="C88" s="4" t="inlineStr">
        <is>
          <t>杭州淼沃供应链有限公司</t>
        </is>
      </c>
      <c r="D88" s="4" t="inlineStr">
        <is>
          <t>团餐</t>
        </is>
      </c>
      <c r="E88" s="4" t="inlineStr">
        <is>
          <t>5kg</t>
        </is>
      </c>
      <c r="F88" s="18" t="n">
        <v>710</v>
      </c>
      <c r="G88" s="15" t="n">
        <v>100.19</v>
      </c>
      <c r="H88" s="15" t="n">
        <v>71134.89999999999</v>
      </c>
      <c r="I88" s="4" t="inlineStr">
        <is>
          <t>赣皖区域</t>
        </is>
      </c>
      <c r="J88" s="4" t="inlineStr">
        <is>
          <t>罗芳娜</t>
        </is>
      </c>
    </row>
    <row r="89">
      <c r="A89" s="14" t="n">
        <v>45756</v>
      </c>
      <c r="B89" s="4" t="inlineStr">
        <is>
          <t>SO202510209</t>
        </is>
      </c>
      <c r="C89" s="4" t="inlineStr">
        <is>
          <t>嘉兴优鲜酒店管理集团</t>
        </is>
      </c>
      <c r="D89" s="4" t="inlineStr">
        <is>
          <t>团餐</t>
        </is>
      </c>
      <c r="E89" s="4" t="inlineStr">
        <is>
          <t>简装</t>
        </is>
      </c>
      <c r="F89" s="18" t="n">
        <v>3250</v>
      </c>
      <c r="G89" s="15" t="n">
        <v>72.66</v>
      </c>
      <c r="H89" s="15" t="n">
        <v>236145</v>
      </c>
      <c r="I89" s="4" t="inlineStr">
        <is>
          <t>浙江分部</t>
        </is>
      </c>
      <c r="J89" s="4" t="inlineStr">
        <is>
          <t>林丽娜</t>
        </is>
      </c>
    </row>
    <row r="90">
      <c r="A90" s="14" t="n">
        <v>45757</v>
      </c>
      <c r="B90" s="4" t="inlineStr">
        <is>
          <t>SO202510132</t>
        </is>
      </c>
      <c r="C90" s="4" t="inlineStr">
        <is>
          <t>镇江京功商贸有限公司</t>
        </is>
      </c>
      <c r="D90" s="4" t="inlineStr">
        <is>
          <t>团餐</t>
        </is>
      </c>
      <c r="E90" s="4" t="inlineStr">
        <is>
          <t>500g</t>
        </is>
      </c>
      <c r="F90" s="18" t="n">
        <v>200</v>
      </c>
      <c r="G90" s="15" t="n">
        <v>100.32</v>
      </c>
      <c r="H90" s="15" t="n">
        <v>20064</v>
      </c>
      <c r="I90" s="4" t="inlineStr">
        <is>
          <t>赣皖区域</t>
        </is>
      </c>
      <c r="J90" s="4" t="inlineStr">
        <is>
          <t>胡秀敏</t>
        </is>
      </c>
    </row>
    <row r="91">
      <c r="A91" s="14" t="n">
        <v>45757</v>
      </c>
      <c r="B91" s="4" t="inlineStr">
        <is>
          <t>SO202510232</t>
        </is>
      </c>
      <c r="C91" s="4" t="inlineStr">
        <is>
          <t>南京优鲜供应链有限公司</t>
        </is>
      </c>
      <c r="D91" s="4" t="inlineStr">
        <is>
          <t>团餐</t>
        </is>
      </c>
      <c r="E91" s="4" t="inlineStr">
        <is>
          <t>B级</t>
        </is>
      </c>
      <c r="F91" s="18" t="n">
        <v>4280</v>
      </c>
      <c r="G91" s="15" t="n">
        <v>159.89</v>
      </c>
      <c r="H91" s="15" t="n">
        <v>684329.2</v>
      </c>
      <c r="I91" s="4" t="inlineStr">
        <is>
          <t>江苏分部</t>
        </is>
      </c>
      <c r="J91" s="4" t="inlineStr">
        <is>
          <t>李敏敏</t>
        </is>
      </c>
    </row>
    <row r="92">
      <c r="A92" s="14" t="n">
        <v>45757</v>
      </c>
      <c r="B92" s="4" t="inlineStr">
        <is>
          <t>SO202510317</t>
        </is>
      </c>
      <c r="C92" s="4" t="inlineStr">
        <is>
          <t>宁波食佳电商平台</t>
        </is>
      </c>
      <c r="D92" s="4" t="inlineStr">
        <is>
          <t>调味汁</t>
        </is>
      </c>
      <c r="E92" s="4" t="inlineStr">
        <is>
          <t>特级</t>
        </is>
      </c>
      <c r="F92" s="18" t="n">
        <v>2140</v>
      </c>
      <c r="G92" s="15" t="n">
        <v>96.84999999999999</v>
      </c>
      <c r="H92" s="15" t="n">
        <v>207259</v>
      </c>
      <c r="I92" s="4" t="inlineStr">
        <is>
          <t>浙江分部</t>
        </is>
      </c>
      <c r="J92" s="4" t="inlineStr">
        <is>
          <t>高超秀</t>
        </is>
      </c>
    </row>
    <row r="93">
      <c r="A93" s="14" t="n">
        <v>45758</v>
      </c>
      <c r="B93" s="4" t="inlineStr">
        <is>
          <t>SO202510301</t>
        </is>
      </c>
      <c r="C93" s="4" t="inlineStr">
        <is>
          <t>无锡大匠酒店管理集团</t>
        </is>
      </c>
      <c r="D93" s="4" t="inlineStr">
        <is>
          <t>中式汤底</t>
        </is>
      </c>
      <c r="E93" s="4" t="inlineStr">
        <is>
          <t>10kg</t>
        </is>
      </c>
      <c r="F93" s="18" t="n">
        <v>2220</v>
      </c>
      <c r="G93" s="15" t="n">
        <v>105.41</v>
      </c>
      <c r="H93" s="15" t="n">
        <v>234010.2</v>
      </c>
      <c r="I93" s="4" t="inlineStr">
        <is>
          <t>赣皖区域</t>
        </is>
      </c>
      <c r="J93" s="4" t="inlineStr">
        <is>
          <t>周娟秀</t>
        </is>
      </c>
    </row>
    <row r="94">
      <c r="A94" s="14" t="n">
        <v>45758</v>
      </c>
      <c r="B94" s="4" t="inlineStr">
        <is>
          <t>SO202510337</t>
        </is>
      </c>
      <c r="C94" s="4" t="inlineStr">
        <is>
          <t>宁波百味餐饮管理有限公司</t>
        </is>
      </c>
      <c r="D94" s="4" t="inlineStr">
        <is>
          <t>预制菜</t>
        </is>
      </c>
      <c r="E94" s="4" t="inlineStr">
        <is>
          <t>25kg</t>
        </is>
      </c>
      <c r="F94" s="18" t="n">
        <v>1590</v>
      </c>
      <c r="G94" s="15" t="n">
        <v>86.81999999999999</v>
      </c>
      <c r="H94" s="15" t="n">
        <v>138043.8</v>
      </c>
      <c r="I94" s="4" t="inlineStr">
        <is>
          <t>江苏分部</t>
        </is>
      </c>
      <c r="J94" s="4" t="inlineStr">
        <is>
          <t>张磊英</t>
        </is>
      </c>
    </row>
    <row r="95">
      <c r="A95" s="14" t="n">
        <v>45759</v>
      </c>
      <c r="B95" s="4" t="inlineStr">
        <is>
          <t>SO202510165</t>
        </is>
      </c>
      <c r="C95" s="4" t="inlineStr">
        <is>
          <t>合肥京功电商平台</t>
        </is>
      </c>
      <c r="D95" s="4" t="inlineStr">
        <is>
          <t>团餐</t>
        </is>
      </c>
      <c r="E95" s="4" t="inlineStr">
        <is>
          <t>B级</t>
        </is>
      </c>
      <c r="F95" s="18" t="n">
        <v>3520</v>
      </c>
      <c r="G95" s="15" t="n">
        <v>57.66</v>
      </c>
      <c r="H95" s="15" t="n">
        <v>202963.2</v>
      </c>
      <c r="I95" s="4" t="inlineStr">
        <is>
          <t>上海分部</t>
        </is>
      </c>
      <c r="J95" s="4" t="inlineStr">
        <is>
          <t>李秀英</t>
        </is>
      </c>
    </row>
    <row r="96">
      <c r="A96" s="14" t="n">
        <v>45759</v>
      </c>
      <c r="B96" s="4" t="inlineStr">
        <is>
          <t>SO202510221</t>
        </is>
      </c>
      <c r="C96" s="4" t="inlineStr">
        <is>
          <t>上海京功供应链有限公司</t>
        </is>
      </c>
      <c r="D96" s="4" t="inlineStr">
        <is>
          <t>调味汁</t>
        </is>
      </c>
      <c r="E96" s="4" t="inlineStr">
        <is>
          <t>A级</t>
        </is>
      </c>
      <c r="F96" s="18" t="n">
        <v>2820</v>
      </c>
      <c r="G96" s="15" t="n">
        <v>126.79</v>
      </c>
      <c r="H96" s="15" t="n">
        <v>357547.8</v>
      </c>
      <c r="I96" s="4" t="inlineStr">
        <is>
          <t>江苏分部</t>
        </is>
      </c>
      <c r="J96" s="4" t="inlineStr">
        <is>
          <t>王超敏</t>
        </is>
      </c>
    </row>
    <row r="97">
      <c r="A97" s="14" t="n">
        <v>45760</v>
      </c>
      <c r="B97" s="4" t="inlineStr">
        <is>
          <t>SO202510303</t>
        </is>
      </c>
      <c r="C97" s="4" t="inlineStr">
        <is>
          <t>常州大匠商贸有限公司</t>
        </is>
      </c>
      <c r="D97" s="4" t="inlineStr">
        <is>
          <t>团餐</t>
        </is>
      </c>
      <c r="E97" s="4" t="inlineStr">
        <is>
          <t>特级</t>
        </is>
      </c>
      <c r="F97" s="18" t="n">
        <v>4740</v>
      </c>
      <c r="G97" s="15" t="n">
        <v>154.58</v>
      </c>
      <c r="H97" s="15" t="n">
        <v>732709.2</v>
      </c>
      <c r="I97" s="4" t="inlineStr">
        <is>
          <t>浙江分部</t>
        </is>
      </c>
      <c r="J97" s="4" t="inlineStr">
        <is>
          <t>陈涛秀</t>
        </is>
      </c>
    </row>
    <row r="98">
      <c r="A98" s="14" t="n">
        <v>45760</v>
      </c>
      <c r="B98" s="4" t="inlineStr">
        <is>
          <t>SO202510345</t>
        </is>
      </c>
      <c r="C98" s="4" t="inlineStr">
        <is>
          <t>南京优鲜超市</t>
        </is>
      </c>
      <c r="D98" s="4" t="inlineStr">
        <is>
          <t>团餐</t>
        </is>
      </c>
      <c r="E98" s="4" t="inlineStr">
        <is>
          <t>5kg</t>
        </is>
      </c>
      <c r="F98" s="18" t="n">
        <v>4020</v>
      </c>
      <c r="G98" s="15" t="n">
        <v>146.18</v>
      </c>
      <c r="H98" s="15" t="n">
        <v>587643.6</v>
      </c>
      <c r="I98" s="4" t="inlineStr">
        <is>
          <t>浙江分部</t>
        </is>
      </c>
      <c r="J98" s="4" t="inlineStr">
        <is>
          <t>赵秀伟</t>
        </is>
      </c>
    </row>
    <row r="99">
      <c r="A99" s="14" t="n">
        <v>45763</v>
      </c>
      <c r="B99" s="4" t="inlineStr">
        <is>
          <t>SO202510338</t>
        </is>
      </c>
      <c r="C99" s="4" t="inlineStr">
        <is>
          <t>南昌淼沃餐饮管理有限公司</t>
        </is>
      </c>
      <c r="D99" s="4" t="inlineStr">
        <is>
          <t>调味汁</t>
        </is>
      </c>
      <c r="E99" s="4" t="inlineStr">
        <is>
          <t>10kg</t>
        </is>
      </c>
      <c r="F99" s="18" t="n">
        <v>1330</v>
      </c>
      <c r="G99" s="15" t="n">
        <v>91.05</v>
      </c>
      <c r="H99" s="15" t="n">
        <v>121096.5</v>
      </c>
      <c r="I99" s="4" t="inlineStr">
        <is>
          <t>江苏分部</t>
        </is>
      </c>
      <c r="J99" s="4" t="inlineStr">
        <is>
          <t>高秀敏</t>
        </is>
      </c>
    </row>
    <row r="100">
      <c r="A100" s="14" t="n">
        <v>45765</v>
      </c>
      <c r="B100" s="4" t="inlineStr">
        <is>
          <t>SO202510199</t>
        </is>
      </c>
      <c r="C100" s="4" t="inlineStr">
        <is>
          <t>无锡百味供应链有限公司</t>
        </is>
      </c>
      <c r="D100" s="4" t="inlineStr">
        <is>
          <t>团餐</t>
        </is>
      </c>
      <c r="E100" s="4" t="inlineStr">
        <is>
          <t>简装</t>
        </is>
      </c>
      <c r="F100" s="18" t="n">
        <v>80</v>
      </c>
      <c r="G100" s="15" t="n">
        <v>100.85</v>
      </c>
      <c r="H100" s="15" t="n">
        <v>8068</v>
      </c>
      <c r="I100" s="4" t="inlineStr">
        <is>
          <t>江苏分部</t>
        </is>
      </c>
      <c r="J100" s="4" t="inlineStr">
        <is>
          <t>何芳秀</t>
        </is>
      </c>
    </row>
    <row r="101">
      <c r="A101" s="14" t="n">
        <v>45766</v>
      </c>
      <c r="B101" s="4" t="inlineStr">
        <is>
          <t>SO202510220</t>
        </is>
      </c>
      <c r="C101" s="4" t="inlineStr">
        <is>
          <t>杭州食佳酒店管理集团</t>
        </is>
      </c>
      <c r="D101" s="4" t="inlineStr">
        <is>
          <t>复合调味粉</t>
        </is>
      </c>
      <c r="E101" s="4" t="inlineStr">
        <is>
          <t>C级</t>
        </is>
      </c>
      <c r="F101" s="18" t="n">
        <v>150</v>
      </c>
      <c r="G101" s="15" t="n">
        <v>140.29</v>
      </c>
      <c r="H101" s="15" t="n">
        <v>21043.5</v>
      </c>
      <c r="I101" s="4" t="inlineStr">
        <is>
          <t>浙江分部</t>
        </is>
      </c>
      <c r="J101" s="4" t="inlineStr">
        <is>
          <t>林娜秀</t>
        </is>
      </c>
    </row>
    <row r="102">
      <c r="A102" s="14" t="n">
        <v>45767</v>
      </c>
      <c r="B102" s="4" t="inlineStr">
        <is>
          <t>SO202510320</t>
        </is>
      </c>
      <c r="C102" s="4" t="inlineStr">
        <is>
          <t>常州京功超市</t>
        </is>
      </c>
      <c r="D102" s="4" t="inlineStr">
        <is>
          <t>复合调味粉</t>
        </is>
      </c>
      <c r="E102" s="4" t="inlineStr">
        <is>
          <t>精装</t>
        </is>
      </c>
      <c r="F102" s="18" t="n">
        <v>1320</v>
      </c>
      <c r="G102" s="15" t="n">
        <v>124.94</v>
      </c>
      <c r="H102" s="15" t="n">
        <v>164920.8</v>
      </c>
      <c r="I102" s="4" t="inlineStr">
        <is>
          <t>上海分部</t>
        </is>
      </c>
      <c r="J102" s="4" t="inlineStr">
        <is>
          <t>杨超英</t>
        </is>
      </c>
    </row>
    <row r="103">
      <c r="A103" s="14" t="n">
        <v>45768</v>
      </c>
      <c r="B103" s="4" t="inlineStr">
        <is>
          <t>SO202510099</t>
        </is>
      </c>
      <c r="C103" s="4" t="inlineStr">
        <is>
          <t>常州淼沃酒店管理集团</t>
        </is>
      </c>
      <c r="D103" s="4" t="inlineStr">
        <is>
          <t>调味汁</t>
        </is>
      </c>
      <c r="E103" s="4" t="inlineStr">
        <is>
          <t>B级</t>
        </is>
      </c>
      <c r="F103" s="18" t="n">
        <v>1680</v>
      </c>
      <c r="G103" s="15" t="n">
        <v>17.91</v>
      </c>
      <c r="H103" s="15" t="n">
        <v>30088.8</v>
      </c>
      <c r="I103" s="4" t="inlineStr">
        <is>
          <t>江苏分部</t>
        </is>
      </c>
      <c r="J103" s="4" t="inlineStr">
        <is>
          <t>徐勇娜</t>
        </is>
      </c>
    </row>
    <row r="104">
      <c r="A104" s="14" t="n">
        <v>45768</v>
      </c>
      <c r="B104" s="4" t="inlineStr">
        <is>
          <t>SO202510210</t>
        </is>
      </c>
      <c r="C104" s="4" t="inlineStr">
        <is>
          <t>南昌淼沃餐饮管理有限公司</t>
        </is>
      </c>
      <c r="D104" s="4" t="inlineStr">
        <is>
          <t>酱料</t>
        </is>
      </c>
      <c r="E104" s="4" t="inlineStr">
        <is>
          <t>精装</t>
        </is>
      </c>
      <c r="F104" s="18" t="n">
        <v>4400</v>
      </c>
      <c r="G104" s="15" t="n">
        <v>161.82</v>
      </c>
      <c r="H104" s="15" t="n">
        <v>712008</v>
      </c>
      <c r="I104" s="4" t="inlineStr">
        <is>
          <t>浙江分部</t>
        </is>
      </c>
      <c r="J104" s="4" t="inlineStr">
        <is>
          <t>王芳娜</t>
        </is>
      </c>
    </row>
    <row r="105">
      <c r="A105" s="14" t="n">
        <v>45769</v>
      </c>
      <c r="B105" s="4" t="inlineStr">
        <is>
          <t>SO202510323</t>
        </is>
      </c>
      <c r="C105" s="4" t="inlineStr">
        <is>
          <t>镇江淼沃餐饮管理有限公司</t>
        </is>
      </c>
      <c r="D105" s="4" t="inlineStr">
        <is>
          <t>团餐</t>
        </is>
      </c>
      <c r="E105" s="4" t="inlineStr">
        <is>
          <t>10kg</t>
        </is>
      </c>
      <c r="F105" s="18" t="n">
        <v>4990</v>
      </c>
      <c r="G105" s="15" t="n">
        <v>37.71</v>
      </c>
      <c r="H105" s="15" t="n">
        <v>188172.9</v>
      </c>
      <c r="I105" s="4" t="inlineStr">
        <is>
          <t>浙江分部</t>
        </is>
      </c>
      <c r="J105" s="4" t="inlineStr">
        <is>
          <t>胡静敏</t>
        </is>
      </c>
    </row>
    <row r="106">
      <c r="A106" s="14" t="n">
        <v>45770</v>
      </c>
      <c r="B106" s="4" t="inlineStr">
        <is>
          <t>SO202510003</t>
        </is>
      </c>
      <c r="C106" s="4" t="inlineStr">
        <is>
          <t>杭州优鲜商贸有限公司</t>
        </is>
      </c>
      <c r="D106" s="4" t="inlineStr">
        <is>
          <t>预制菜</t>
        </is>
      </c>
      <c r="E106" s="4" t="inlineStr">
        <is>
          <t>简装</t>
        </is>
      </c>
      <c r="F106" s="18" t="n">
        <v>2350</v>
      </c>
      <c r="G106" s="15" t="n">
        <v>35.67</v>
      </c>
      <c r="H106" s="15" t="n">
        <v>83824.5</v>
      </c>
      <c r="I106" s="4" t="inlineStr">
        <is>
          <t>江苏分部</t>
        </is>
      </c>
      <c r="J106" s="4" t="inlineStr">
        <is>
          <t>王洋伟</t>
        </is>
      </c>
    </row>
    <row r="107">
      <c r="A107" s="14" t="n">
        <v>45770</v>
      </c>
      <c r="B107" s="4" t="inlineStr">
        <is>
          <t>SO202510312</t>
        </is>
      </c>
      <c r="C107" s="4" t="inlineStr">
        <is>
          <t>杭州食佳酒店管理集团</t>
        </is>
      </c>
      <c r="D107" s="4" t="inlineStr">
        <is>
          <t>酱料</t>
        </is>
      </c>
      <c r="E107" s="4" t="inlineStr">
        <is>
          <t>精装</t>
        </is>
      </c>
      <c r="F107" s="18" t="n">
        <v>3230</v>
      </c>
      <c r="G107" s="15" t="n">
        <v>165.66</v>
      </c>
      <c r="H107" s="15" t="n">
        <v>535081.8</v>
      </c>
      <c r="I107" s="4" t="inlineStr">
        <is>
          <t>浙江分部</t>
        </is>
      </c>
      <c r="J107" s="4" t="inlineStr">
        <is>
          <t>朱明英</t>
        </is>
      </c>
    </row>
    <row r="108">
      <c r="A108" s="14" t="n">
        <v>45771</v>
      </c>
      <c r="B108" s="4" t="inlineStr">
        <is>
          <t>SO202510244</t>
        </is>
      </c>
      <c r="C108" s="4" t="inlineStr">
        <is>
          <t>杭州优鲜超市</t>
        </is>
      </c>
      <c r="D108" s="4" t="inlineStr">
        <is>
          <t>酱料</t>
        </is>
      </c>
      <c r="E108" s="4" t="inlineStr">
        <is>
          <t>A级</t>
        </is>
      </c>
      <c r="F108" s="18" t="n">
        <v>4010</v>
      </c>
      <c r="G108" s="15" t="n">
        <v>35.98</v>
      </c>
      <c r="H108" s="15" t="n">
        <v>144279.8</v>
      </c>
      <c r="I108" s="4" t="inlineStr">
        <is>
          <t>赣皖区域</t>
        </is>
      </c>
      <c r="J108" s="4" t="inlineStr">
        <is>
          <t>高勇秀</t>
        </is>
      </c>
    </row>
    <row r="109">
      <c r="A109" s="14" t="n">
        <v>45772</v>
      </c>
      <c r="B109" s="4" t="inlineStr">
        <is>
          <t>SO202510045</t>
        </is>
      </c>
      <c r="C109" s="4" t="inlineStr">
        <is>
          <t>温州京功酒店管理集团</t>
        </is>
      </c>
      <c r="D109" s="4" t="inlineStr">
        <is>
          <t>中式汤底</t>
        </is>
      </c>
      <c r="E109" s="4" t="inlineStr">
        <is>
          <t>B级</t>
        </is>
      </c>
      <c r="F109" s="18" t="n">
        <v>2650</v>
      </c>
      <c r="G109" s="15" t="n">
        <v>25.21</v>
      </c>
      <c r="H109" s="15" t="n">
        <v>66806.5</v>
      </c>
      <c r="I109" s="4" t="inlineStr">
        <is>
          <t>浙江分部</t>
        </is>
      </c>
      <c r="J109" s="4" t="inlineStr">
        <is>
          <t>吴伟娜</t>
        </is>
      </c>
    </row>
    <row r="110">
      <c r="A110" s="14" t="n">
        <v>45773</v>
      </c>
      <c r="B110" s="4" t="inlineStr">
        <is>
          <t>SO202510343</t>
        </is>
      </c>
      <c r="C110" s="4" t="inlineStr">
        <is>
          <t>南京大匠食品有限公司</t>
        </is>
      </c>
      <c r="D110" s="4" t="inlineStr">
        <is>
          <t>复合调味粉</t>
        </is>
      </c>
      <c r="E110" s="4" t="inlineStr">
        <is>
          <t>B级</t>
        </is>
      </c>
      <c r="F110" s="18" t="n">
        <v>60</v>
      </c>
      <c r="G110" s="15" t="n">
        <v>25.66</v>
      </c>
      <c r="H110" s="15" t="n">
        <v>1539.6</v>
      </c>
      <c r="I110" s="4" t="inlineStr">
        <is>
          <t>江苏分部</t>
        </is>
      </c>
      <c r="J110" s="4" t="inlineStr">
        <is>
          <t>吴勇秀</t>
        </is>
      </c>
    </row>
    <row r="111">
      <c r="A111" s="14" t="n">
        <v>45774</v>
      </c>
      <c r="B111" s="4" t="inlineStr">
        <is>
          <t>SO202510058</t>
        </is>
      </c>
      <c r="C111" s="4" t="inlineStr">
        <is>
          <t>苏州百味食品有限公司</t>
        </is>
      </c>
      <c r="D111" s="4" t="inlineStr">
        <is>
          <t>中式汤底</t>
        </is>
      </c>
      <c r="E111" s="4" t="inlineStr">
        <is>
          <t>25kg</t>
        </is>
      </c>
      <c r="F111" s="18" t="n">
        <v>2280</v>
      </c>
      <c r="G111" s="15" t="n">
        <v>107.92</v>
      </c>
      <c r="H111" s="15" t="n">
        <v>246057.6</v>
      </c>
      <c r="I111" s="4" t="inlineStr">
        <is>
          <t>赣皖区域</t>
        </is>
      </c>
      <c r="J111" s="4" t="inlineStr">
        <is>
          <t>赵秀敏</t>
        </is>
      </c>
    </row>
    <row r="112">
      <c r="A112" s="14" t="n">
        <v>45775</v>
      </c>
      <c r="B112" s="4" t="inlineStr">
        <is>
          <t>SO202510040</t>
        </is>
      </c>
      <c r="C112" s="4" t="inlineStr">
        <is>
          <t>宁波京功超市</t>
        </is>
      </c>
      <c r="D112" s="4" t="inlineStr">
        <is>
          <t>调味汁</t>
        </is>
      </c>
      <c r="E112" s="4" t="inlineStr">
        <is>
          <t>1kg</t>
        </is>
      </c>
      <c r="F112" s="18" t="n">
        <v>1210</v>
      </c>
      <c r="G112" s="15" t="n">
        <v>95.09</v>
      </c>
      <c r="H112" s="15" t="n">
        <v>115058.9</v>
      </c>
      <c r="I112" s="4" t="inlineStr">
        <is>
          <t>江苏分部</t>
        </is>
      </c>
      <c r="J112" s="4" t="inlineStr">
        <is>
          <t>黄娜伟</t>
        </is>
      </c>
    </row>
    <row r="113">
      <c r="A113" s="14" t="n">
        <v>45781</v>
      </c>
      <c r="B113" s="4" t="inlineStr">
        <is>
          <t>SO202510079</t>
        </is>
      </c>
      <c r="C113" s="4" t="inlineStr">
        <is>
          <t>嘉兴淼沃酒店管理集团</t>
        </is>
      </c>
      <c r="D113" s="4" t="inlineStr">
        <is>
          <t>调味汁</t>
        </is>
      </c>
      <c r="E113" s="4" t="inlineStr">
        <is>
          <t>特级</t>
        </is>
      </c>
      <c r="F113" s="18" t="n">
        <v>1970</v>
      </c>
      <c r="G113" s="15" t="n">
        <v>17.31</v>
      </c>
      <c r="H113" s="15" t="n">
        <v>34100.7</v>
      </c>
      <c r="I113" s="4" t="inlineStr">
        <is>
          <t>赣皖区域</t>
        </is>
      </c>
      <c r="J113" s="4" t="inlineStr">
        <is>
          <t>黄伟芳</t>
        </is>
      </c>
    </row>
    <row r="114">
      <c r="A114" s="14" t="n">
        <v>45781</v>
      </c>
      <c r="B114" s="4" t="inlineStr">
        <is>
          <t>SO202510108</t>
        </is>
      </c>
      <c r="C114" s="4" t="inlineStr">
        <is>
          <t>南京食佳酒店管理集团</t>
        </is>
      </c>
      <c r="D114" s="4" t="inlineStr">
        <is>
          <t>中式汤底</t>
        </is>
      </c>
      <c r="E114" s="4" t="inlineStr">
        <is>
          <t>10kg</t>
        </is>
      </c>
      <c r="F114" s="18" t="n">
        <v>1840</v>
      </c>
      <c r="G114" s="15" t="n">
        <v>6.18</v>
      </c>
      <c r="H114" s="15" t="n">
        <v>11371.2</v>
      </c>
      <c r="I114" s="4" t="inlineStr">
        <is>
          <t>赣皖区域</t>
        </is>
      </c>
      <c r="J114" s="4" t="inlineStr">
        <is>
          <t>朱兰英</t>
        </is>
      </c>
    </row>
    <row r="115">
      <c r="A115" s="14" t="n">
        <v>45781</v>
      </c>
      <c r="B115" s="4" t="inlineStr">
        <is>
          <t>SO202510214</t>
        </is>
      </c>
      <c r="C115" s="4" t="inlineStr">
        <is>
          <t>温州京功供应链有限公司</t>
        </is>
      </c>
      <c r="D115" s="4" t="inlineStr">
        <is>
          <t>中式汤底</t>
        </is>
      </c>
      <c r="E115" s="4" t="inlineStr">
        <is>
          <t>5kg</t>
        </is>
      </c>
      <c r="F115" s="18" t="n">
        <v>2130</v>
      </c>
      <c r="G115" s="15" t="n">
        <v>97.95</v>
      </c>
      <c r="H115" s="15" t="n">
        <v>208633.5</v>
      </c>
      <c r="I115" s="4" t="inlineStr">
        <is>
          <t>上海分部</t>
        </is>
      </c>
      <c r="J115" s="4" t="inlineStr">
        <is>
          <t>孙秀秀</t>
        </is>
      </c>
    </row>
    <row r="116">
      <c r="A116" s="14" t="n">
        <v>45782</v>
      </c>
      <c r="B116" s="4" t="inlineStr">
        <is>
          <t>SO202510206</t>
        </is>
      </c>
      <c r="C116" s="4" t="inlineStr">
        <is>
          <t>镇江食佳餐饮管理有限公司</t>
        </is>
      </c>
      <c r="D116" s="4" t="inlineStr">
        <is>
          <t>预制菜</t>
        </is>
      </c>
      <c r="E116" s="4" t="inlineStr">
        <is>
          <t>1kg</t>
        </is>
      </c>
      <c r="F116" s="18" t="n">
        <v>2270</v>
      </c>
      <c r="G116" s="15" t="n">
        <v>186.25</v>
      </c>
      <c r="H116" s="15" t="n">
        <v>422787.5</v>
      </c>
      <c r="I116" s="4" t="inlineStr">
        <is>
          <t>上海分部</t>
        </is>
      </c>
      <c r="J116" s="4" t="inlineStr">
        <is>
          <t>马英秀</t>
        </is>
      </c>
    </row>
    <row r="117">
      <c r="A117" s="14" t="n">
        <v>45782</v>
      </c>
      <c r="B117" s="4" t="inlineStr">
        <is>
          <t>SO202510274</t>
        </is>
      </c>
      <c r="C117" s="4" t="inlineStr">
        <is>
          <t>镇江淼沃餐饮管理有限公司</t>
        </is>
      </c>
      <c r="D117" s="4" t="inlineStr">
        <is>
          <t>预制菜</t>
        </is>
      </c>
      <c r="E117" s="4" t="inlineStr">
        <is>
          <t>500g</t>
        </is>
      </c>
      <c r="F117" s="18" t="n">
        <v>440</v>
      </c>
      <c r="G117" s="15" t="n">
        <v>196.29</v>
      </c>
      <c r="H117" s="15" t="n">
        <v>86367.60000000001</v>
      </c>
      <c r="I117" s="4" t="inlineStr">
        <is>
          <t>上海分部</t>
        </is>
      </c>
      <c r="J117" s="4" t="inlineStr">
        <is>
          <t>孙杰芳</t>
        </is>
      </c>
    </row>
    <row r="118">
      <c r="A118" s="14" t="n">
        <v>45782</v>
      </c>
      <c r="B118" s="4" t="inlineStr">
        <is>
          <t>SO202510304</t>
        </is>
      </c>
      <c r="C118" s="4" t="inlineStr">
        <is>
          <t>镇江大匠餐饮管理有限公司</t>
        </is>
      </c>
      <c r="D118" s="4" t="inlineStr">
        <is>
          <t>酱料</t>
        </is>
      </c>
      <c r="E118" s="4" t="inlineStr">
        <is>
          <t>C级</t>
        </is>
      </c>
      <c r="F118" s="18" t="n">
        <v>2730</v>
      </c>
      <c r="G118" s="15" t="n">
        <v>189.02</v>
      </c>
      <c r="H118" s="15" t="n">
        <v>516024.6</v>
      </c>
      <c r="I118" s="4" t="inlineStr">
        <is>
          <t>浙江分部</t>
        </is>
      </c>
      <c r="J118" s="4" t="inlineStr">
        <is>
          <t>郭丽秀</t>
        </is>
      </c>
    </row>
    <row r="119">
      <c r="A119" s="14" t="n">
        <v>45783</v>
      </c>
      <c r="B119" s="4" t="inlineStr">
        <is>
          <t>SO202510286</t>
        </is>
      </c>
      <c r="C119" s="4" t="inlineStr">
        <is>
          <t>南昌淼沃商贸有限公司</t>
        </is>
      </c>
      <c r="D119" s="4" t="inlineStr">
        <is>
          <t>团餐</t>
        </is>
      </c>
      <c r="E119" s="4" t="inlineStr">
        <is>
          <t>25kg</t>
        </is>
      </c>
      <c r="F119" s="18" t="n">
        <v>3930</v>
      </c>
      <c r="G119" s="15" t="n">
        <v>63.88</v>
      </c>
      <c r="H119" s="15" t="n">
        <v>251048.4</v>
      </c>
      <c r="I119" s="4" t="inlineStr">
        <is>
          <t>上海分部</t>
        </is>
      </c>
      <c r="J119" s="4" t="inlineStr">
        <is>
          <t>郭超敏</t>
        </is>
      </c>
    </row>
    <row r="120">
      <c r="A120" s="14" t="n">
        <v>45784</v>
      </c>
      <c r="B120" s="4" t="inlineStr">
        <is>
          <t>SO202510013</t>
        </is>
      </c>
      <c r="C120" s="4" t="inlineStr">
        <is>
          <t>合肥食佳食品有限公司</t>
        </is>
      </c>
      <c r="D120" s="4" t="inlineStr">
        <is>
          <t>团餐</t>
        </is>
      </c>
      <c r="E120" s="4" t="inlineStr">
        <is>
          <t>B级</t>
        </is>
      </c>
      <c r="F120" s="18" t="n">
        <v>1110</v>
      </c>
      <c r="G120" s="15" t="n">
        <v>140.08</v>
      </c>
      <c r="H120" s="15" t="n">
        <v>155488.8</v>
      </c>
      <c r="I120" s="4" t="inlineStr">
        <is>
          <t>江苏分部</t>
        </is>
      </c>
      <c r="J120" s="4" t="inlineStr">
        <is>
          <t>王秀伟</t>
        </is>
      </c>
    </row>
    <row r="121">
      <c r="A121" s="14" t="n">
        <v>45784</v>
      </c>
      <c r="B121" s="4" t="inlineStr">
        <is>
          <t>SO202510252</t>
        </is>
      </c>
      <c r="C121" s="4" t="inlineStr">
        <is>
          <t>合肥食佳超市</t>
        </is>
      </c>
      <c r="D121" s="4" t="inlineStr">
        <is>
          <t>预制菜</t>
        </is>
      </c>
      <c r="E121" s="4" t="inlineStr">
        <is>
          <t>10kg</t>
        </is>
      </c>
      <c r="F121" s="18" t="n">
        <v>160</v>
      </c>
      <c r="G121" s="15" t="n">
        <v>160.82</v>
      </c>
      <c r="H121" s="15" t="n">
        <v>25731.2</v>
      </c>
      <c r="I121" s="4" t="inlineStr">
        <is>
          <t>浙江分部</t>
        </is>
      </c>
      <c r="J121" s="4" t="inlineStr">
        <is>
          <t>林磊娜</t>
        </is>
      </c>
    </row>
    <row r="122">
      <c r="A122" s="14" t="n">
        <v>45785</v>
      </c>
      <c r="B122" s="4" t="inlineStr">
        <is>
          <t>SO202510031</t>
        </is>
      </c>
      <c r="C122" s="4" t="inlineStr">
        <is>
          <t>常州京功商贸有限公司</t>
        </is>
      </c>
      <c r="D122" s="4" t="inlineStr">
        <is>
          <t>川味底料</t>
        </is>
      </c>
      <c r="E122" s="4" t="inlineStr">
        <is>
          <t>500g</t>
        </is>
      </c>
      <c r="F122" s="18" t="n">
        <v>810</v>
      </c>
      <c r="G122" s="15" t="n">
        <v>124.94</v>
      </c>
      <c r="H122" s="15" t="n">
        <v>101201.4</v>
      </c>
      <c r="I122" s="4" t="inlineStr">
        <is>
          <t>赣皖区域</t>
        </is>
      </c>
      <c r="J122" s="4" t="inlineStr">
        <is>
          <t>林强伟</t>
        </is>
      </c>
    </row>
    <row r="123">
      <c r="A123" s="14" t="n">
        <v>45785</v>
      </c>
      <c r="B123" s="4" t="inlineStr">
        <is>
          <t>SO202510168</t>
        </is>
      </c>
      <c r="C123" s="4" t="inlineStr">
        <is>
          <t>常州淼沃超市</t>
        </is>
      </c>
      <c r="D123" s="4" t="inlineStr">
        <is>
          <t>酱料</t>
        </is>
      </c>
      <c r="E123" s="4" t="inlineStr">
        <is>
          <t>500g</t>
        </is>
      </c>
      <c r="F123" s="18" t="n">
        <v>2180</v>
      </c>
      <c r="G123" s="15" t="n">
        <v>195.13</v>
      </c>
      <c r="H123" s="15" t="n">
        <v>425383.4</v>
      </c>
      <c r="I123" s="4" t="inlineStr">
        <is>
          <t>浙江分部</t>
        </is>
      </c>
      <c r="J123" s="4" t="inlineStr">
        <is>
          <t>胡兰秀</t>
        </is>
      </c>
    </row>
    <row r="124">
      <c r="A124" s="14" t="n">
        <v>45785</v>
      </c>
      <c r="B124" s="4" t="inlineStr">
        <is>
          <t>SO202510335</t>
        </is>
      </c>
      <c r="C124" s="4" t="inlineStr">
        <is>
          <t>上海食佳超市</t>
        </is>
      </c>
      <c r="D124" s="4" t="inlineStr">
        <is>
          <t>川味底料</t>
        </is>
      </c>
      <c r="E124" s="4" t="inlineStr">
        <is>
          <t>C级</t>
        </is>
      </c>
      <c r="F124" s="18" t="n">
        <v>3970</v>
      </c>
      <c r="G124" s="15" t="n">
        <v>175.6</v>
      </c>
      <c r="H124" s="15" t="n">
        <v>697132</v>
      </c>
      <c r="I124" s="4" t="inlineStr">
        <is>
          <t>江苏分部</t>
        </is>
      </c>
      <c r="J124" s="4" t="inlineStr">
        <is>
          <t>马兰娜</t>
        </is>
      </c>
    </row>
    <row r="125">
      <c r="A125" s="14" t="n">
        <v>45786</v>
      </c>
      <c r="B125" s="4" t="inlineStr">
        <is>
          <t>SO202510084</t>
        </is>
      </c>
      <c r="C125" s="4" t="inlineStr">
        <is>
          <t>杭州淼沃电商平台</t>
        </is>
      </c>
      <c r="D125" s="4" t="inlineStr">
        <is>
          <t>川味底料</t>
        </is>
      </c>
      <c r="E125" s="4" t="inlineStr">
        <is>
          <t>1kg</t>
        </is>
      </c>
      <c r="F125" s="18" t="n">
        <v>3510</v>
      </c>
      <c r="G125" s="15" t="n">
        <v>106.45</v>
      </c>
      <c r="H125" s="15" t="n">
        <v>373639.5</v>
      </c>
      <c r="I125" s="4" t="inlineStr">
        <is>
          <t>江苏分部</t>
        </is>
      </c>
      <c r="J125" s="4" t="inlineStr">
        <is>
          <t>朱超秀</t>
        </is>
      </c>
    </row>
    <row r="126">
      <c r="A126" s="14" t="n">
        <v>45786</v>
      </c>
      <c r="B126" s="4" t="inlineStr">
        <is>
          <t>SO202510156</t>
        </is>
      </c>
      <c r="C126" s="4" t="inlineStr">
        <is>
          <t>温州优鲜供应链有限公司</t>
        </is>
      </c>
      <c r="D126" s="4" t="inlineStr">
        <is>
          <t>调味汁</t>
        </is>
      </c>
      <c r="E126" s="4" t="inlineStr">
        <is>
          <t>简装</t>
        </is>
      </c>
      <c r="F126" s="18" t="n">
        <v>3610</v>
      </c>
      <c r="G126" s="15" t="n">
        <v>86.72</v>
      </c>
      <c r="H126" s="15" t="n">
        <v>313059.2</v>
      </c>
      <c r="I126" s="4" t="inlineStr">
        <is>
          <t>江苏分部</t>
        </is>
      </c>
      <c r="J126" s="4" t="inlineStr">
        <is>
          <t>陈强秀</t>
        </is>
      </c>
    </row>
    <row r="127">
      <c r="A127" s="14" t="n">
        <v>45786</v>
      </c>
      <c r="B127" s="4" t="inlineStr">
        <is>
          <t>SO202510179</t>
        </is>
      </c>
      <c r="C127" s="4" t="inlineStr">
        <is>
          <t>南京优鲜商贸有限公司</t>
        </is>
      </c>
      <c r="D127" s="4" t="inlineStr">
        <is>
          <t>复合调味粉</t>
        </is>
      </c>
      <c r="E127" s="4" t="inlineStr">
        <is>
          <t>标准</t>
        </is>
      </c>
      <c r="F127" s="18" t="n">
        <v>3140</v>
      </c>
      <c r="G127" s="15" t="n">
        <v>11.8</v>
      </c>
      <c r="H127" s="15" t="n">
        <v>37052</v>
      </c>
      <c r="I127" s="4" t="inlineStr">
        <is>
          <t>江苏分部</t>
        </is>
      </c>
      <c r="J127" s="4" t="inlineStr">
        <is>
          <t>郭艳芳</t>
        </is>
      </c>
    </row>
    <row r="128">
      <c r="A128" s="14" t="n">
        <v>45789</v>
      </c>
      <c r="B128" s="4" t="inlineStr">
        <is>
          <t>SO202510181</t>
        </is>
      </c>
      <c r="C128" s="4" t="inlineStr">
        <is>
          <t>南昌食佳酒店管理集团</t>
        </is>
      </c>
      <c r="D128" s="4" t="inlineStr">
        <is>
          <t>预制菜</t>
        </is>
      </c>
      <c r="E128" s="4" t="inlineStr">
        <is>
          <t>B级</t>
        </is>
      </c>
      <c r="F128" s="18" t="n">
        <v>1250</v>
      </c>
      <c r="G128" s="15" t="n">
        <v>66.88</v>
      </c>
      <c r="H128" s="15" t="n">
        <v>83600</v>
      </c>
      <c r="I128" s="4" t="inlineStr">
        <is>
          <t>江苏分部</t>
        </is>
      </c>
      <c r="J128" s="4" t="inlineStr">
        <is>
          <t>赵秀伟</t>
        </is>
      </c>
    </row>
    <row r="129">
      <c r="A129" s="14" t="n">
        <v>45790</v>
      </c>
      <c r="B129" s="4" t="inlineStr">
        <is>
          <t>SO202510285</t>
        </is>
      </c>
      <c r="C129" s="4" t="inlineStr">
        <is>
          <t>苏州食佳供应链有限公司</t>
        </is>
      </c>
      <c r="D129" s="4" t="inlineStr">
        <is>
          <t>团餐</t>
        </is>
      </c>
      <c r="E129" s="4" t="inlineStr">
        <is>
          <t>500g</t>
        </is>
      </c>
      <c r="F129" s="18" t="n">
        <v>3330</v>
      </c>
      <c r="G129" s="15" t="n">
        <v>20.94</v>
      </c>
      <c r="H129" s="15" t="n">
        <v>69730.2</v>
      </c>
      <c r="I129" s="4" t="inlineStr">
        <is>
          <t>上海分部</t>
        </is>
      </c>
      <c r="J129" s="4" t="inlineStr">
        <is>
          <t>黄芳英</t>
        </is>
      </c>
    </row>
    <row r="130">
      <c r="A130" s="14" t="n">
        <v>45791</v>
      </c>
      <c r="B130" s="4" t="inlineStr">
        <is>
          <t>SO202510010</t>
        </is>
      </c>
      <c r="C130" s="4" t="inlineStr">
        <is>
          <t>合肥淼沃食品有限公司</t>
        </is>
      </c>
      <c r="D130" s="4" t="inlineStr">
        <is>
          <t>酱料</t>
        </is>
      </c>
      <c r="E130" s="4" t="inlineStr">
        <is>
          <t>5kg</t>
        </is>
      </c>
      <c r="F130" s="18" t="n">
        <v>90</v>
      </c>
      <c r="G130" s="15" t="n">
        <v>168.78</v>
      </c>
      <c r="H130" s="15" t="n">
        <v>15190.2</v>
      </c>
      <c r="I130" s="4" t="inlineStr">
        <is>
          <t>上海分部</t>
        </is>
      </c>
      <c r="J130" s="4" t="inlineStr">
        <is>
          <t>朱英伟</t>
        </is>
      </c>
    </row>
    <row r="131">
      <c r="A131" s="14" t="n">
        <v>45794</v>
      </c>
      <c r="B131" s="4" t="inlineStr">
        <is>
          <t>SO202510055</t>
        </is>
      </c>
      <c r="C131" s="4" t="inlineStr">
        <is>
          <t>温州淼沃餐饮管理有限公司</t>
        </is>
      </c>
      <c r="D131" s="4" t="inlineStr">
        <is>
          <t>调味汁</t>
        </is>
      </c>
      <c r="E131" s="4" t="inlineStr">
        <is>
          <t>标准</t>
        </is>
      </c>
      <c r="F131" s="18" t="n">
        <v>2380</v>
      </c>
      <c r="G131" s="15" t="n">
        <v>121.89</v>
      </c>
      <c r="H131" s="15" t="n">
        <v>290098.2</v>
      </c>
      <c r="I131" s="4" t="inlineStr">
        <is>
          <t>上海分部</t>
        </is>
      </c>
      <c r="J131" s="4" t="inlineStr">
        <is>
          <t>高明英</t>
        </is>
      </c>
    </row>
    <row r="132">
      <c r="A132" s="14" t="n">
        <v>45795</v>
      </c>
      <c r="B132" s="4" t="inlineStr">
        <is>
          <t>SO202510097</t>
        </is>
      </c>
      <c r="C132" s="4" t="inlineStr">
        <is>
          <t>南昌京功商贸有限公司</t>
        </is>
      </c>
      <c r="D132" s="4" t="inlineStr">
        <is>
          <t>川味底料</t>
        </is>
      </c>
      <c r="E132" s="4" t="inlineStr">
        <is>
          <t>A级</t>
        </is>
      </c>
      <c r="F132" s="18" t="n">
        <v>770</v>
      </c>
      <c r="G132" s="15" t="n">
        <v>40.86</v>
      </c>
      <c r="H132" s="15" t="n">
        <v>31462.2</v>
      </c>
      <c r="I132" s="4" t="inlineStr">
        <is>
          <t>上海分部</t>
        </is>
      </c>
      <c r="J132" s="4" t="inlineStr">
        <is>
          <t>李兰秀</t>
        </is>
      </c>
    </row>
    <row r="133">
      <c r="A133" s="14" t="n">
        <v>45797</v>
      </c>
      <c r="B133" s="4" t="inlineStr">
        <is>
          <t>SO202510062</t>
        </is>
      </c>
      <c r="C133" s="4" t="inlineStr">
        <is>
          <t>无锡淼沃餐饮管理有限公司</t>
        </is>
      </c>
      <c r="D133" s="4" t="inlineStr">
        <is>
          <t>团餐</t>
        </is>
      </c>
      <c r="E133" s="4" t="inlineStr">
        <is>
          <t>10kg</t>
        </is>
      </c>
      <c r="F133" s="18" t="n">
        <v>4090</v>
      </c>
      <c r="G133" s="15" t="n">
        <v>119.2</v>
      </c>
      <c r="H133" s="15" t="n">
        <v>487528</v>
      </c>
      <c r="I133" s="4" t="inlineStr">
        <is>
          <t>赣皖区域</t>
        </is>
      </c>
      <c r="J133" s="4" t="inlineStr">
        <is>
          <t>马勇芳</t>
        </is>
      </c>
    </row>
    <row r="134">
      <c r="A134" s="14" t="n">
        <v>45799</v>
      </c>
      <c r="B134" s="4" t="inlineStr">
        <is>
          <t>SO202510296</t>
        </is>
      </c>
      <c r="C134" s="4" t="inlineStr">
        <is>
          <t>合肥百味超市</t>
        </is>
      </c>
      <c r="D134" s="4" t="inlineStr">
        <is>
          <t>预制菜</t>
        </is>
      </c>
      <c r="E134" s="4" t="inlineStr">
        <is>
          <t>简装</t>
        </is>
      </c>
      <c r="F134" s="18" t="n">
        <v>1380</v>
      </c>
      <c r="G134" s="15" t="n">
        <v>163.35</v>
      </c>
      <c r="H134" s="15" t="n">
        <v>225423</v>
      </c>
      <c r="I134" s="4" t="inlineStr">
        <is>
          <t>上海分部</t>
        </is>
      </c>
      <c r="J134" s="4" t="inlineStr">
        <is>
          <t>陈杰秀</t>
        </is>
      </c>
    </row>
    <row r="135">
      <c r="A135" s="14" t="n">
        <v>45800</v>
      </c>
      <c r="B135" s="4" t="inlineStr">
        <is>
          <t>SO202510229</t>
        </is>
      </c>
      <c r="C135" s="4" t="inlineStr">
        <is>
          <t>杭州淼沃食品有限公司</t>
        </is>
      </c>
      <c r="D135" s="4" t="inlineStr">
        <is>
          <t>川味底料</t>
        </is>
      </c>
      <c r="E135" s="4" t="inlineStr">
        <is>
          <t>简装</t>
        </is>
      </c>
      <c r="F135" s="18" t="n">
        <v>1640</v>
      </c>
      <c r="G135" s="15" t="n">
        <v>34.04</v>
      </c>
      <c r="H135" s="15" t="n">
        <v>55825.6</v>
      </c>
      <c r="I135" s="4" t="inlineStr">
        <is>
          <t>上海分部</t>
        </is>
      </c>
      <c r="J135" s="4" t="inlineStr">
        <is>
          <t>陈涛敏</t>
        </is>
      </c>
    </row>
    <row r="136">
      <c r="A136" s="14" t="n">
        <v>45801</v>
      </c>
      <c r="B136" s="4" t="inlineStr">
        <is>
          <t>SO202510313</t>
        </is>
      </c>
      <c r="C136" s="4" t="inlineStr">
        <is>
          <t>杭州食佳酒店管理集团</t>
        </is>
      </c>
      <c r="D136" s="4" t="inlineStr">
        <is>
          <t>酱料</t>
        </is>
      </c>
      <c r="E136" s="4" t="inlineStr">
        <is>
          <t>500g</t>
        </is>
      </c>
      <c r="F136" s="18" t="n">
        <v>2700</v>
      </c>
      <c r="G136" s="15" t="n">
        <v>198.45</v>
      </c>
      <c r="H136" s="15" t="n">
        <v>535815</v>
      </c>
      <c r="I136" s="4" t="inlineStr">
        <is>
          <t>赣皖区域</t>
        </is>
      </c>
      <c r="J136" s="4" t="inlineStr">
        <is>
          <t>王丽英</t>
        </is>
      </c>
    </row>
    <row r="137">
      <c r="A137" s="14" t="n">
        <v>45802</v>
      </c>
      <c r="B137" s="4" t="inlineStr">
        <is>
          <t>SO202510080</t>
        </is>
      </c>
      <c r="C137" s="4" t="inlineStr">
        <is>
          <t>常州百味商贸有限公司</t>
        </is>
      </c>
      <c r="D137" s="4" t="inlineStr">
        <is>
          <t>中式汤底</t>
        </is>
      </c>
      <c r="E137" s="4" t="inlineStr">
        <is>
          <t>5kg</t>
        </is>
      </c>
      <c r="F137" s="18" t="n">
        <v>3540</v>
      </c>
      <c r="G137" s="15" t="n">
        <v>127.42</v>
      </c>
      <c r="H137" s="15" t="n">
        <v>451066.8</v>
      </c>
      <c r="I137" s="4" t="inlineStr">
        <is>
          <t>江苏分部</t>
        </is>
      </c>
      <c r="J137" s="4" t="inlineStr">
        <is>
          <t>郭静娜</t>
        </is>
      </c>
    </row>
    <row r="138">
      <c r="A138" s="14" t="n">
        <v>45803</v>
      </c>
      <c r="B138" s="4" t="inlineStr">
        <is>
          <t>SO202510240</t>
        </is>
      </c>
      <c r="C138" s="4" t="inlineStr">
        <is>
          <t>常州淼沃食品有限公司</t>
        </is>
      </c>
      <c r="D138" s="4" t="inlineStr">
        <is>
          <t>川味底料</t>
        </is>
      </c>
      <c r="E138" s="4" t="inlineStr">
        <is>
          <t>1kg</t>
        </is>
      </c>
      <c r="F138" s="18" t="n">
        <v>810</v>
      </c>
      <c r="G138" s="15" t="n">
        <v>41.71</v>
      </c>
      <c r="H138" s="15" t="n">
        <v>33785.1</v>
      </c>
      <c r="I138" s="4" t="inlineStr">
        <is>
          <t>浙江分部</t>
        </is>
      </c>
      <c r="J138" s="4" t="inlineStr">
        <is>
          <t>高秀伟</t>
        </is>
      </c>
    </row>
    <row r="139">
      <c r="A139" s="14" t="n">
        <v>45804</v>
      </c>
      <c r="B139" s="4" t="inlineStr">
        <is>
          <t>SO202510194</t>
        </is>
      </c>
      <c r="C139" s="4" t="inlineStr">
        <is>
          <t>南昌大匠供应链有限公司</t>
        </is>
      </c>
      <c r="D139" s="4" t="inlineStr">
        <is>
          <t>复合调味粉</t>
        </is>
      </c>
      <c r="E139" s="4" t="inlineStr">
        <is>
          <t>B级</t>
        </is>
      </c>
      <c r="F139" s="18" t="n">
        <v>1470</v>
      </c>
      <c r="G139" s="15" t="n">
        <v>158.59</v>
      </c>
      <c r="H139" s="15" t="n">
        <v>233127.3</v>
      </c>
      <c r="I139" s="4" t="inlineStr">
        <is>
          <t>江苏分部</t>
        </is>
      </c>
      <c r="J139" s="4" t="inlineStr">
        <is>
          <t>朱勇秀</t>
        </is>
      </c>
    </row>
    <row r="140">
      <c r="A140" s="14" t="n">
        <v>45804</v>
      </c>
      <c r="B140" s="4" t="inlineStr">
        <is>
          <t>SO202510234</t>
        </is>
      </c>
      <c r="C140" s="4" t="inlineStr">
        <is>
          <t>苏州淼沃商贸有限公司</t>
        </is>
      </c>
      <c r="D140" s="4" t="inlineStr">
        <is>
          <t>调味汁</t>
        </is>
      </c>
      <c r="E140" s="4" t="inlineStr">
        <is>
          <t>标准</t>
        </is>
      </c>
      <c r="F140" s="18" t="n">
        <v>3120</v>
      </c>
      <c r="G140" s="15" t="n">
        <v>183.05</v>
      </c>
      <c r="H140" s="15" t="n">
        <v>571116</v>
      </c>
      <c r="I140" s="4" t="inlineStr">
        <is>
          <t>赣皖区域</t>
        </is>
      </c>
      <c r="J140" s="4" t="inlineStr">
        <is>
          <t>黄英娜</t>
        </is>
      </c>
    </row>
    <row r="141">
      <c r="A141" s="14" t="n">
        <v>45809</v>
      </c>
      <c r="B141" s="4" t="inlineStr">
        <is>
          <t>SO202510072</t>
        </is>
      </c>
      <c r="C141" s="4" t="inlineStr">
        <is>
          <t>南京京功食品有限公司</t>
        </is>
      </c>
      <c r="D141" s="4" t="inlineStr">
        <is>
          <t>复合调味粉</t>
        </is>
      </c>
      <c r="E141" s="4" t="inlineStr">
        <is>
          <t>25kg</t>
        </is>
      </c>
      <c r="F141" s="18" t="n">
        <v>4740</v>
      </c>
      <c r="G141" s="15" t="n">
        <v>38.86</v>
      </c>
      <c r="H141" s="15" t="n">
        <v>184196.4</v>
      </c>
      <c r="I141" s="4" t="inlineStr">
        <is>
          <t>江苏分部</t>
        </is>
      </c>
      <c r="J141" s="4" t="inlineStr">
        <is>
          <t>李秀敏</t>
        </is>
      </c>
    </row>
    <row r="142">
      <c r="A142" s="14" t="n">
        <v>45809</v>
      </c>
      <c r="B142" s="4" t="inlineStr">
        <is>
          <t>SO202510225</t>
        </is>
      </c>
      <c r="C142" s="4" t="inlineStr">
        <is>
          <t>杭州淼沃酒店管理集团</t>
        </is>
      </c>
      <c r="D142" s="4" t="inlineStr">
        <is>
          <t>川味底料</t>
        </is>
      </c>
      <c r="E142" s="4" t="inlineStr">
        <is>
          <t>10kg</t>
        </is>
      </c>
      <c r="F142" s="18" t="n">
        <v>1660</v>
      </c>
      <c r="G142" s="15" t="n">
        <v>179.83</v>
      </c>
      <c r="H142" s="15" t="n">
        <v>298517.8</v>
      </c>
      <c r="I142" s="4" t="inlineStr">
        <is>
          <t>江苏分部</t>
        </is>
      </c>
      <c r="J142" s="4" t="inlineStr">
        <is>
          <t>马英英</t>
        </is>
      </c>
    </row>
    <row r="143">
      <c r="A143" s="14" t="n">
        <v>45811</v>
      </c>
      <c r="B143" s="4" t="inlineStr">
        <is>
          <t>SO202510036</t>
        </is>
      </c>
      <c r="C143" s="4" t="inlineStr">
        <is>
          <t>镇江京功供应链有限公司</t>
        </is>
      </c>
      <c r="D143" s="4" t="inlineStr">
        <is>
          <t>调味汁</t>
        </is>
      </c>
      <c r="E143" s="4" t="inlineStr">
        <is>
          <t>C级</t>
        </is>
      </c>
      <c r="F143" s="18" t="n">
        <v>2070</v>
      </c>
      <c r="G143" s="15" t="n">
        <v>89.11</v>
      </c>
      <c r="H143" s="15" t="n">
        <v>184457.7</v>
      </c>
      <c r="I143" s="4" t="inlineStr">
        <is>
          <t>赣皖区域</t>
        </is>
      </c>
      <c r="J143" s="4" t="inlineStr">
        <is>
          <t>刘静英</t>
        </is>
      </c>
    </row>
    <row r="144">
      <c r="A144" s="14" t="n">
        <v>45812</v>
      </c>
      <c r="B144" s="4" t="inlineStr">
        <is>
          <t>SO202510302</t>
        </is>
      </c>
      <c r="C144" s="4" t="inlineStr">
        <is>
          <t>杭州淼沃餐饮管理有限公司</t>
        </is>
      </c>
      <c r="D144" s="4" t="inlineStr">
        <is>
          <t>酱料</t>
        </is>
      </c>
      <c r="E144" s="4" t="inlineStr">
        <is>
          <t>A级</t>
        </is>
      </c>
      <c r="F144" s="18" t="n">
        <v>1760</v>
      </c>
      <c r="G144" s="15" t="n">
        <v>143.08</v>
      </c>
      <c r="H144" s="15" t="n">
        <v>251820.8</v>
      </c>
      <c r="I144" s="4" t="inlineStr">
        <is>
          <t>上海分部</t>
        </is>
      </c>
      <c r="J144" s="4" t="inlineStr">
        <is>
          <t>高秀伟</t>
        </is>
      </c>
    </row>
    <row r="145">
      <c r="A145" s="14" t="n">
        <v>45813</v>
      </c>
      <c r="B145" s="4" t="inlineStr">
        <is>
          <t>SO202510204</t>
        </is>
      </c>
      <c r="C145" s="4" t="inlineStr">
        <is>
          <t>杭州淼沃电商平台</t>
        </is>
      </c>
      <c r="D145" s="4" t="inlineStr">
        <is>
          <t>中式汤底</t>
        </is>
      </c>
      <c r="E145" s="4" t="inlineStr">
        <is>
          <t>1kg</t>
        </is>
      </c>
      <c r="F145" s="18" t="n">
        <v>1250</v>
      </c>
      <c r="G145" s="15" t="n">
        <v>20.45</v>
      </c>
      <c r="H145" s="15" t="n">
        <v>25562.5</v>
      </c>
      <c r="I145" s="4" t="inlineStr">
        <is>
          <t>赣皖区域</t>
        </is>
      </c>
      <c r="J145" s="4" t="inlineStr">
        <is>
          <t>刘兰英</t>
        </is>
      </c>
    </row>
    <row r="146">
      <c r="A146" s="14" t="n">
        <v>45814</v>
      </c>
      <c r="B146" s="4" t="inlineStr">
        <is>
          <t>SO202510158</t>
        </is>
      </c>
      <c r="C146" s="4" t="inlineStr">
        <is>
          <t>温州淼沃餐饮管理有限公司</t>
        </is>
      </c>
      <c r="D146" s="4" t="inlineStr">
        <is>
          <t>川味底料</t>
        </is>
      </c>
      <c r="E146" s="4" t="inlineStr">
        <is>
          <t>1kg</t>
        </is>
      </c>
      <c r="F146" s="18" t="n">
        <v>2370</v>
      </c>
      <c r="G146" s="15" t="n">
        <v>47.42</v>
      </c>
      <c r="H146" s="15" t="n">
        <v>112385.4</v>
      </c>
      <c r="I146" s="4" t="inlineStr">
        <is>
          <t>上海分部</t>
        </is>
      </c>
      <c r="J146" s="4" t="inlineStr">
        <is>
          <t>周涛秀</t>
        </is>
      </c>
    </row>
    <row r="147">
      <c r="A147" s="14" t="n">
        <v>45817</v>
      </c>
      <c r="B147" s="4" t="inlineStr">
        <is>
          <t>SO202510032</t>
        </is>
      </c>
      <c r="C147" s="4" t="inlineStr">
        <is>
          <t>温州百味供应链有限公司</t>
        </is>
      </c>
      <c r="D147" s="4" t="inlineStr">
        <is>
          <t>调味汁</t>
        </is>
      </c>
      <c r="E147" s="4" t="inlineStr">
        <is>
          <t>1kg</t>
        </is>
      </c>
      <c r="F147" s="18" t="n">
        <v>3870</v>
      </c>
      <c r="G147" s="15" t="n">
        <v>80.56</v>
      </c>
      <c r="H147" s="15" t="n">
        <v>311767.2</v>
      </c>
      <c r="I147" s="4" t="inlineStr">
        <is>
          <t>赣皖区域</t>
        </is>
      </c>
      <c r="J147" s="4" t="inlineStr">
        <is>
          <t>杨勇伟</t>
        </is>
      </c>
    </row>
    <row r="148">
      <c r="A148" s="14" t="n">
        <v>45818</v>
      </c>
      <c r="B148" s="4" t="inlineStr">
        <is>
          <t>SO202510021</t>
        </is>
      </c>
      <c r="C148" s="4" t="inlineStr">
        <is>
          <t>南昌优鲜食品有限公司</t>
        </is>
      </c>
      <c r="D148" s="4" t="inlineStr">
        <is>
          <t>复合调味粉</t>
        </is>
      </c>
      <c r="E148" s="4" t="inlineStr">
        <is>
          <t>2.5kg</t>
        </is>
      </c>
      <c r="F148" s="18" t="n">
        <v>2810</v>
      </c>
      <c r="G148" s="15" t="n">
        <v>44.86</v>
      </c>
      <c r="H148" s="15" t="n">
        <v>126056.6</v>
      </c>
      <c r="I148" s="4" t="inlineStr">
        <is>
          <t>江苏分部</t>
        </is>
      </c>
      <c r="J148" s="4" t="inlineStr">
        <is>
          <t>马涛娜</t>
        </is>
      </c>
    </row>
    <row r="149">
      <c r="A149" s="14" t="n">
        <v>45819</v>
      </c>
      <c r="B149" s="4" t="inlineStr">
        <is>
          <t>SO202510113</t>
        </is>
      </c>
      <c r="C149" s="4" t="inlineStr">
        <is>
          <t>无锡百味餐饮管理有限公司</t>
        </is>
      </c>
      <c r="D149" s="4" t="inlineStr">
        <is>
          <t>复合调味粉</t>
        </is>
      </c>
      <c r="E149" s="4" t="inlineStr">
        <is>
          <t>C级</t>
        </is>
      </c>
      <c r="F149" s="18" t="n">
        <v>3520</v>
      </c>
      <c r="G149" s="15" t="n">
        <v>89.90000000000001</v>
      </c>
      <c r="H149" s="15" t="n">
        <v>316448</v>
      </c>
      <c r="I149" s="4" t="inlineStr">
        <is>
          <t>赣皖区域</t>
        </is>
      </c>
      <c r="J149" s="4" t="inlineStr">
        <is>
          <t>何超英</t>
        </is>
      </c>
    </row>
    <row r="150">
      <c r="A150" s="14" t="n">
        <v>45819</v>
      </c>
      <c r="B150" s="4" t="inlineStr">
        <is>
          <t>SO202510213</t>
        </is>
      </c>
      <c r="C150" s="4" t="inlineStr">
        <is>
          <t>温州淼沃供应链有限公司</t>
        </is>
      </c>
      <c r="D150" s="4" t="inlineStr">
        <is>
          <t>川味底料</t>
        </is>
      </c>
      <c r="E150" s="4" t="inlineStr">
        <is>
          <t>500g</t>
        </is>
      </c>
      <c r="F150" s="18" t="n">
        <v>1490</v>
      </c>
      <c r="G150" s="15" t="n">
        <v>182.11</v>
      </c>
      <c r="H150" s="15" t="n">
        <v>271343.9</v>
      </c>
      <c r="I150" s="4" t="inlineStr">
        <is>
          <t>江苏分部</t>
        </is>
      </c>
      <c r="J150" s="4" t="inlineStr">
        <is>
          <t>黄秀秀</t>
        </is>
      </c>
    </row>
    <row r="151">
      <c r="A151" s="14" t="n">
        <v>45821</v>
      </c>
      <c r="B151" s="4" t="inlineStr">
        <is>
          <t>SO202510006</t>
        </is>
      </c>
      <c r="C151" s="4" t="inlineStr">
        <is>
          <t>常州优鲜商贸有限公司</t>
        </is>
      </c>
      <c r="D151" s="4" t="inlineStr">
        <is>
          <t>川味底料</t>
        </is>
      </c>
      <c r="E151" s="4" t="inlineStr">
        <is>
          <t>精装</t>
        </is>
      </c>
      <c r="F151" s="18" t="n">
        <v>370</v>
      </c>
      <c r="G151" s="15" t="n">
        <v>20.35</v>
      </c>
      <c r="H151" s="15" t="n">
        <v>7529.5</v>
      </c>
      <c r="I151" s="4" t="inlineStr">
        <is>
          <t>浙江分部</t>
        </is>
      </c>
      <c r="J151" s="4" t="inlineStr">
        <is>
          <t>孙娜芳</t>
        </is>
      </c>
    </row>
    <row r="152">
      <c r="A152" s="14" t="n">
        <v>45822</v>
      </c>
      <c r="B152" s="4" t="inlineStr">
        <is>
          <t>SO202510195</t>
        </is>
      </c>
      <c r="C152" s="4" t="inlineStr">
        <is>
          <t>镇江淼沃商贸有限公司</t>
        </is>
      </c>
      <c r="D152" s="4" t="inlineStr">
        <is>
          <t>复合调味粉</t>
        </is>
      </c>
      <c r="E152" s="4" t="inlineStr">
        <is>
          <t>A级</t>
        </is>
      </c>
      <c r="F152" s="18" t="n">
        <v>4120</v>
      </c>
      <c r="G152" s="15" t="n">
        <v>83.40000000000001</v>
      </c>
      <c r="H152" s="15" t="n">
        <v>343608</v>
      </c>
      <c r="I152" s="4" t="inlineStr">
        <is>
          <t>赣皖区域</t>
        </is>
      </c>
      <c r="J152" s="4" t="inlineStr">
        <is>
          <t>黄芳秀</t>
        </is>
      </c>
    </row>
    <row r="153">
      <c r="A153" s="14" t="n">
        <v>45823</v>
      </c>
      <c r="B153" s="4" t="inlineStr">
        <is>
          <t>SO202510261</t>
        </is>
      </c>
      <c r="C153" s="4" t="inlineStr">
        <is>
          <t>宁波大匠酒店管理集团</t>
        </is>
      </c>
      <c r="D153" s="4" t="inlineStr">
        <is>
          <t>酱料</t>
        </is>
      </c>
      <c r="E153" s="4" t="inlineStr">
        <is>
          <t>简装</t>
        </is>
      </c>
      <c r="F153" s="18" t="n">
        <v>2790</v>
      </c>
      <c r="G153" s="15" t="n">
        <v>26.98</v>
      </c>
      <c r="H153" s="15" t="n">
        <v>75274.2</v>
      </c>
      <c r="I153" s="4" t="inlineStr">
        <is>
          <t>赣皖区域</t>
        </is>
      </c>
      <c r="J153" s="4" t="inlineStr">
        <is>
          <t>马娜伟</t>
        </is>
      </c>
    </row>
    <row r="154">
      <c r="A154" s="14" t="n">
        <v>45824</v>
      </c>
      <c r="B154" s="4" t="inlineStr">
        <is>
          <t>SO202510070</t>
        </is>
      </c>
      <c r="C154" s="4" t="inlineStr">
        <is>
          <t>常州大匠酒店管理集团</t>
        </is>
      </c>
      <c r="D154" s="4" t="inlineStr">
        <is>
          <t>中式汤底</t>
        </is>
      </c>
      <c r="E154" s="4" t="inlineStr">
        <is>
          <t>10kg</t>
        </is>
      </c>
      <c r="F154" s="18" t="n">
        <v>4340</v>
      </c>
      <c r="G154" s="15" t="n">
        <v>175.42</v>
      </c>
      <c r="H154" s="15" t="n">
        <v>761322.8</v>
      </c>
      <c r="I154" s="4" t="inlineStr">
        <is>
          <t>江苏分部</t>
        </is>
      </c>
      <c r="J154" s="4" t="inlineStr">
        <is>
          <t>周英秀</t>
        </is>
      </c>
    </row>
    <row r="155">
      <c r="A155" s="14" t="n">
        <v>45825</v>
      </c>
      <c r="B155" s="4" t="inlineStr">
        <is>
          <t>SO202510191</t>
        </is>
      </c>
      <c r="C155" s="4" t="inlineStr">
        <is>
          <t>宁波大匠食品有限公司</t>
        </is>
      </c>
      <c r="D155" s="4" t="inlineStr">
        <is>
          <t>川味底料</t>
        </is>
      </c>
      <c r="E155" s="4" t="inlineStr">
        <is>
          <t>2.5kg</t>
        </is>
      </c>
      <c r="F155" s="18" t="n">
        <v>4530</v>
      </c>
      <c r="G155" s="15" t="n">
        <v>93.12</v>
      </c>
      <c r="H155" s="15" t="n">
        <v>421833.6</v>
      </c>
      <c r="I155" s="4" t="inlineStr">
        <is>
          <t>浙江分部</t>
        </is>
      </c>
      <c r="J155" s="4" t="inlineStr">
        <is>
          <t>周伟伟</t>
        </is>
      </c>
    </row>
    <row r="156">
      <c r="A156" s="14" t="n">
        <v>45825</v>
      </c>
      <c r="B156" s="4" t="inlineStr">
        <is>
          <t>SO202510211</t>
        </is>
      </c>
      <c r="C156" s="4" t="inlineStr">
        <is>
          <t>杭州大匠食品有限公司</t>
        </is>
      </c>
      <c r="D156" s="4" t="inlineStr">
        <is>
          <t>川味底料</t>
        </is>
      </c>
      <c r="E156" s="4" t="inlineStr">
        <is>
          <t>5kg</t>
        </is>
      </c>
      <c r="F156" s="18" t="n">
        <v>3620</v>
      </c>
      <c r="G156" s="15" t="n">
        <v>118.88</v>
      </c>
      <c r="H156" s="15" t="n">
        <v>430345.6</v>
      </c>
      <c r="I156" s="4" t="inlineStr">
        <is>
          <t>浙江分部</t>
        </is>
      </c>
      <c r="J156" s="4" t="inlineStr">
        <is>
          <t>胡丽敏</t>
        </is>
      </c>
    </row>
    <row r="157">
      <c r="A157" s="14" t="n">
        <v>45826</v>
      </c>
      <c r="B157" s="4" t="inlineStr">
        <is>
          <t>SO202510086</t>
        </is>
      </c>
      <c r="C157" s="4" t="inlineStr">
        <is>
          <t>上海淼沃超市</t>
        </is>
      </c>
      <c r="D157" s="4" t="inlineStr">
        <is>
          <t>调味汁</t>
        </is>
      </c>
      <c r="E157" s="4" t="inlineStr">
        <is>
          <t>5kg</t>
        </is>
      </c>
      <c r="F157" s="18" t="n">
        <v>2460</v>
      </c>
      <c r="G157" s="15" t="n">
        <v>21.61</v>
      </c>
      <c r="H157" s="15" t="n">
        <v>53160.6</v>
      </c>
      <c r="I157" s="4" t="inlineStr">
        <is>
          <t>江苏分部</t>
        </is>
      </c>
      <c r="J157" s="4" t="inlineStr">
        <is>
          <t>孙兰敏</t>
        </is>
      </c>
    </row>
    <row r="158">
      <c r="A158" s="14" t="n">
        <v>45826</v>
      </c>
      <c r="B158" s="4" t="inlineStr">
        <is>
          <t>SO202510344</t>
        </is>
      </c>
      <c r="C158" s="4" t="inlineStr">
        <is>
          <t>嘉兴京功电商平台</t>
        </is>
      </c>
      <c r="D158" s="4" t="inlineStr">
        <is>
          <t>中式汤底</t>
        </is>
      </c>
      <c r="E158" s="4" t="inlineStr">
        <is>
          <t>2.5kg</t>
        </is>
      </c>
      <c r="F158" s="18" t="n">
        <v>1980</v>
      </c>
      <c r="G158" s="15" t="n">
        <v>150.8</v>
      </c>
      <c r="H158" s="15" t="n">
        <v>298584</v>
      </c>
      <c r="I158" s="4" t="inlineStr">
        <is>
          <t>江苏分部</t>
        </is>
      </c>
      <c r="J158" s="4" t="inlineStr">
        <is>
          <t>罗磊英</t>
        </is>
      </c>
    </row>
    <row r="159">
      <c r="A159" s="14" t="n">
        <v>45828</v>
      </c>
      <c r="B159" s="4" t="inlineStr">
        <is>
          <t>SO202510196</t>
        </is>
      </c>
      <c r="C159" s="4" t="inlineStr">
        <is>
          <t>上海京功商贸有限公司</t>
        </is>
      </c>
      <c r="D159" s="4" t="inlineStr">
        <is>
          <t>川味底料</t>
        </is>
      </c>
      <c r="E159" s="4" t="inlineStr">
        <is>
          <t>10kg</t>
        </is>
      </c>
      <c r="F159" s="18" t="n">
        <v>2660</v>
      </c>
      <c r="G159" s="15" t="n">
        <v>10.9</v>
      </c>
      <c r="H159" s="15" t="n">
        <v>28994</v>
      </c>
      <c r="I159" s="4" t="inlineStr">
        <is>
          <t>浙江分部</t>
        </is>
      </c>
      <c r="J159" s="4" t="inlineStr">
        <is>
          <t>马芳芳</t>
        </is>
      </c>
    </row>
    <row r="160">
      <c r="A160" s="14" t="n">
        <v>45830</v>
      </c>
      <c r="B160" s="4" t="inlineStr">
        <is>
          <t>SO202510090</t>
        </is>
      </c>
      <c r="C160" s="4" t="inlineStr">
        <is>
          <t>南昌大匠餐饮管理有限公司</t>
        </is>
      </c>
      <c r="D160" s="4" t="inlineStr">
        <is>
          <t>复合调味粉</t>
        </is>
      </c>
      <c r="E160" s="4" t="inlineStr">
        <is>
          <t>2.5kg</t>
        </is>
      </c>
      <c r="F160" s="18" t="n">
        <v>3020</v>
      </c>
      <c r="G160" s="15" t="n">
        <v>115.72</v>
      </c>
      <c r="H160" s="15" t="n">
        <v>349474.4</v>
      </c>
      <c r="I160" s="4" t="inlineStr">
        <is>
          <t>上海分部</t>
        </is>
      </c>
      <c r="J160" s="4" t="inlineStr">
        <is>
          <t>胡秀芳</t>
        </is>
      </c>
    </row>
    <row r="161">
      <c r="A161" s="14" t="n">
        <v>45830</v>
      </c>
      <c r="B161" s="4" t="inlineStr">
        <is>
          <t>SO202510171</t>
        </is>
      </c>
      <c r="C161" s="4" t="inlineStr">
        <is>
          <t>嘉兴淼沃电商平台</t>
        </is>
      </c>
      <c r="D161" s="4" t="inlineStr">
        <is>
          <t>川味底料</t>
        </is>
      </c>
      <c r="E161" s="4" t="inlineStr">
        <is>
          <t>A级</t>
        </is>
      </c>
      <c r="F161" s="18" t="n">
        <v>2900</v>
      </c>
      <c r="G161" s="15" t="n">
        <v>97.34</v>
      </c>
      <c r="H161" s="15" t="n">
        <v>282286</v>
      </c>
      <c r="I161" s="4" t="inlineStr">
        <is>
          <t>江苏分部</t>
        </is>
      </c>
      <c r="J161" s="4" t="inlineStr">
        <is>
          <t>黄兰芳</t>
        </is>
      </c>
    </row>
    <row r="162">
      <c r="A162" s="14" t="n">
        <v>45830</v>
      </c>
      <c r="B162" s="4" t="inlineStr">
        <is>
          <t>SO202510193</t>
        </is>
      </c>
      <c r="C162" s="4" t="inlineStr">
        <is>
          <t>宁波大匠餐饮管理有限公司</t>
        </is>
      </c>
      <c r="D162" s="4" t="inlineStr">
        <is>
          <t>中式汤底</t>
        </is>
      </c>
      <c r="E162" s="4" t="inlineStr">
        <is>
          <t>B级</t>
        </is>
      </c>
      <c r="F162" s="18" t="n">
        <v>3580</v>
      </c>
      <c r="G162" s="15" t="n">
        <v>118.38</v>
      </c>
      <c r="H162" s="15" t="n">
        <v>423800.4</v>
      </c>
      <c r="I162" s="4" t="inlineStr">
        <is>
          <t>浙江分部</t>
        </is>
      </c>
      <c r="J162" s="4" t="inlineStr">
        <is>
          <t>郭兰伟</t>
        </is>
      </c>
    </row>
    <row r="163">
      <c r="A163" s="14" t="n">
        <v>45831</v>
      </c>
      <c r="B163" s="4" t="inlineStr">
        <is>
          <t>SO202510008</t>
        </is>
      </c>
      <c r="C163" s="4" t="inlineStr">
        <is>
          <t>宁波优鲜供应链有限公司</t>
        </is>
      </c>
      <c r="D163" s="4" t="inlineStr">
        <is>
          <t>团餐</t>
        </is>
      </c>
      <c r="E163" s="4" t="inlineStr">
        <is>
          <t>500g</t>
        </is>
      </c>
      <c r="F163" s="18" t="n">
        <v>1150</v>
      </c>
      <c r="G163" s="15" t="n">
        <v>147.2</v>
      </c>
      <c r="H163" s="15" t="n">
        <v>169280</v>
      </c>
      <c r="I163" s="4" t="inlineStr">
        <is>
          <t>江苏分部</t>
        </is>
      </c>
      <c r="J163" s="4" t="inlineStr">
        <is>
          <t>李兰敏</t>
        </is>
      </c>
    </row>
    <row r="164">
      <c r="A164" s="14" t="n">
        <v>45831</v>
      </c>
      <c r="B164" s="4" t="inlineStr">
        <is>
          <t>SO202510009</t>
        </is>
      </c>
      <c r="C164" s="4" t="inlineStr">
        <is>
          <t>上海京功餐饮管理有限公司</t>
        </is>
      </c>
      <c r="D164" s="4" t="inlineStr">
        <is>
          <t>调味汁</t>
        </is>
      </c>
      <c r="E164" s="4" t="inlineStr">
        <is>
          <t>C级</t>
        </is>
      </c>
      <c r="F164" s="18" t="n">
        <v>4400</v>
      </c>
      <c r="G164" s="15" t="n">
        <v>152.51</v>
      </c>
      <c r="H164" s="15" t="n">
        <v>671044</v>
      </c>
      <c r="I164" s="4" t="inlineStr">
        <is>
          <t>浙江分部</t>
        </is>
      </c>
      <c r="J164" s="4" t="inlineStr">
        <is>
          <t>马杰芳</t>
        </is>
      </c>
    </row>
    <row r="165">
      <c r="A165" s="14" t="n">
        <v>45831</v>
      </c>
      <c r="B165" s="4" t="inlineStr">
        <is>
          <t>SO202510116</t>
        </is>
      </c>
      <c r="C165" s="4" t="inlineStr">
        <is>
          <t>宁波淼沃酒店管理集团</t>
        </is>
      </c>
      <c r="D165" s="4" t="inlineStr">
        <is>
          <t>川味底料</t>
        </is>
      </c>
      <c r="E165" s="4" t="inlineStr">
        <is>
          <t>A级</t>
        </is>
      </c>
      <c r="F165" s="18" t="n">
        <v>4920</v>
      </c>
      <c r="G165" s="15" t="n">
        <v>139.97</v>
      </c>
      <c r="H165" s="15" t="n">
        <v>688652.4</v>
      </c>
      <c r="I165" s="4" t="inlineStr">
        <is>
          <t>上海分部</t>
        </is>
      </c>
      <c r="J165" s="4" t="inlineStr">
        <is>
          <t>孙兰芳</t>
        </is>
      </c>
    </row>
    <row r="166">
      <c r="A166" s="14" t="n">
        <v>45831</v>
      </c>
      <c r="B166" s="4" t="inlineStr">
        <is>
          <t>SO202510200</t>
        </is>
      </c>
      <c r="C166" s="4" t="inlineStr">
        <is>
          <t>温州食佳超市</t>
        </is>
      </c>
      <c r="D166" s="4" t="inlineStr">
        <is>
          <t>川味底料</t>
        </is>
      </c>
      <c r="E166" s="4" t="inlineStr">
        <is>
          <t>精装</t>
        </is>
      </c>
      <c r="F166" s="18" t="n">
        <v>1780</v>
      </c>
      <c r="G166" s="15" t="n">
        <v>126.4</v>
      </c>
      <c r="H166" s="15" t="n">
        <v>224992</v>
      </c>
      <c r="I166" s="4" t="inlineStr">
        <is>
          <t>赣皖区域</t>
        </is>
      </c>
      <c r="J166" s="4" t="inlineStr">
        <is>
          <t>马艳芳</t>
        </is>
      </c>
    </row>
    <row r="167">
      <c r="A167" s="14" t="n">
        <v>45831</v>
      </c>
      <c r="B167" s="4" t="inlineStr">
        <is>
          <t>SO202510201</t>
        </is>
      </c>
      <c r="C167" s="4" t="inlineStr">
        <is>
          <t>南京淼沃商贸有限公司</t>
        </is>
      </c>
      <c r="D167" s="4" t="inlineStr">
        <is>
          <t>预制菜</t>
        </is>
      </c>
      <c r="E167" s="4" t="inlineStr">
        <is>
          <t>精装</t>
        </is>
      </c>
      <c r="F167" s="18" t="n">
        <v>1520</v>
      </c>
      <c r="G167" s="15" t="n">
        <v>20.58</v>
      </c>
      <c r="H167" s="15" t="n">
        <v>31281.6</v>
      </c>
      <c r="I167" s="4" t="inlineStr">
        <is>
          <t>浙江分部</t>
        </is>
      </c>
      <c r="J167" s="4" t="inlineStr">
        <is>
          <t>何明芳</t>
        </is>
      </c>
    </row>
    <row r="168">
      <c r="A168" s="14" t="n">
        <v>45831</v>
      </c>
      <c r="B168" s="4" t="inlineStr">
        <is>
          <t>SO202510233</t>
        </is>
      </c>
      <c r="C168" s="4" t="inlineStr">
        <is>
          <t>南昌优鲜供应链有限公司</t>
        </is>
      </c>
      <c r="D168" s="4" t="inlineStr">
        <is>
          <t>预制菜</t>
        </is>
      </c>
      <c r="E168" s="4" t="inlineStr">
        <is>
          <t>10kg</t>
        </is>
      </c>
      <c r="F168" s="18" t="n">
        <v>3380</v>
      </c>
      <c r="G168" s="15" t="n">
        <v>37.13</v>
      </c>
      <c r="H168" s="15" t="n">
        <v>125499.4</v>
      </c>
      <c r="I168" s="4" t="inlineStr">
        <is>
          <t>江苏分部</t>
        </is>
      </c>
      <c r="J168" s="4" t="inlineStr">
        <is>
          <t>高秀伟</t>
        </is>
      </c>
    </row>
    <row r="169">
      <c r="A169" s="14" t="n">
        <v>45831</v>
      </c>
      <c r="B169" s="4" t="inlineStr">
        <is>
          <t>SO202510246</t>
        </is>
      </c>
      <c r="C169" s="4" t="inlineStr">
        <is>
          <t>杭州百味食品有限公司</t>
        </is>
      </c>
      <c r="D169" s="4" t="inlineStr">
        <is>
          <t>预制菜</t>
        </is>
      </c>
      <c r="E169" s="4" t="inlineStr">
        <is>
          <t>A级</t>
        </is>
      </c>
      <c r="F169" s="18" t="n">
        <v>3350</v>
      </c>
      <c r="G169" s="15" t="n">
        <v>94.55</v>
      </c>
      <c r="H169" s="15" t="n">
        <v>316742.5</v>
      </c>
      <c r="I169" s="4" t="inlineStr">
        <is>
          <t>浙江分部</t>
        </is>
      </c>
      <c r="J169" s="4" t="inlineStr">
        <is>
          <t>杨秀秀</t>
        </is>
      </c>
    </row>
    <row r="170">
      <c r="A170" s="14" t="n">
        <v>45832</v>
      </c>
      <c r="B170" s="4" t="inlineStr">
        <is>
          <t>SO202510107</t>
        </is>
      </c>
      <c r="C170" s="4" t="inlineStr">
        <is>
          <t>宁波食佳商贸有限公司</t>
        </is>
      </c>
      <c r="D170" s="4" t="inlineStr">
        <is>
          <t>团餐</t>
        </is>
      </c>
      <c r="E170" s="4" t="inlineStr">
        <is>
          <t>A级</t>
        </is>
      </c>
      <c r="F170" s="18" t="n">
        <v>490</v>
      </c>
      <c r="G170" s="15" t="n">
        <v>100.51</v>
      </c>
      <c r="H170" s="15" t="n">
        <v>49249.9</v>
      </c>
      <c r="I170" s="4" t="inlineStr">
        <is>
          <t>浙江分部</t>
        </is>
      </c>
      <c r="J170" s="4" t="inlineStr">
        <is>
          <t>朱敏英</t>
        </is>
      </c>
    </row>
    <row r="171">
      <c r="A171" s="14" t="n">
        <v>45833</v>
      </c>
      <c r="B171" s="4" t="inlineStr">
        <is>
          <t>SO202510119</t>
        </is>
      </c>
      <c r="C171" s="4" t="inlineStr">
        <is>
          <t>合肥食佳食品有限公司</t>
        </is>
      </c>
      <c r="D171" s="4" t="inlineStr">
        <is>
          <t>预制菜</t>
        </is>
      </c>
      <c r="E171" s="4" t="inlineStr">
        <is>
          <t>2.5kg</t>
        </is>
      </c>
      <c r="F171" s="18" t="n">
        <v>3500</v>
      </c>
      <c r="G171" s="15" t="n">
        <v>25.3</v>
      </c>
      <c r="H171" s="15" t="n">
        <v>88550</v>
      </c>
      <c r="I171" s="4" t="inlineStr">
        <is>
          <t>赣皖区域</t>
        </is>
      </c>
      <c r="J171" s="4" t="inlineStr">
        <is>
          <t>高勇英</t>
        </is>
      </c>
    </row>
    <row r="172">
      <c r="A172" s="14" t="n">
        <v>45833</v>
      </c>
      <c r="B172" s="4" t="inlineStr">
        <is>
          <t>SO202510329</t>
        </is>
      </c>
      <c r="C172" s="4" t="inlineStr">
        <is>
          <t>宁波百味餐饮管理有限公司</t>
        </is>
      </c>
      <c r="D172" s="4" t="inlineStr">
        <is>
          <t>调味汁</t>
        </is>
      </c>
      <c r="E172" s="4" t="inlineStr">
        <is>
          <t>500g</t>
        </is>
      </c>
      <c r="F172" s="18" t="n">
        <v>4180</v>
      </c>
      <c r="G172" s="15" t="n">
        <v>53.15</v>
      </c>
      <c r="H172" s="15" t="n">
        <v>222167</v>
      </c>
      <c r="I172" s="4" t="inlineStr">
        <is>
          <t>浙江分部</t>
        </is>
      </c>
      <c r="J172" s="4" t="inlineStr">
        <is>
          <t>高磊娜</t>
        </is>
      </c>
    </row>
    <row r="173">
      <c r="A173" s="14" t="n">
        <v>45835</v>
      </c>
      <c r="B173" s="4" t="inlineStr">
        <is>
          <t>SO202510222</t>
        </is>
      </c>
      <c r="C173" s="4" t="inlineStr">
        <is>
          <t>杭州百味超市</t>
        </is>
      </c>
      <c r="D173" s="4" t="inlineStr">
        <is>
          <t>酱料</t>
        </is>
      </c>
      <c r="E173" s="4" t="inlineStr">
        <is>
          <t>5kg</t>
        </is>
      </c>
      <c r="F173" s="18" t="n">
        <v>1060</v>
      </c>
      <c r="G173" s="15" t="n">
        <v>94.12</v>
      </c>
      <c r="H173" s="15" t="n">
        <v>99767.2</v>
      </c>
      <c r="I173" s="4" t="inlineStr">
        <is>
          <t>赣皖区域</t>
        </is>
      </c>
      <c r="J173" s="4" t="inlineStr">
        <is>
          <t>胡伟芳</t>
        </is>
      </c>
    </row>
    <row r="174">
      <c r="A174" s="14" t="n">
        <v>45839</v>
      </c>
      <c r="B174" s="4" t="inlineStr">
        <is>
          <t>SO202510047</t>
        </is>
      </c>
      <c r="C174" s="4" t="inlineStr">
        <is>
          <t>南京百味电商平台</t>
        </is>
      </c>
      <c r="D174" s="4" t="inlineStr">
        <is>
          <t>复合调味粉</t>
        </is>
      </c>
      <c r="E174" s="4" t="inlineStr">
        <is>
          <t>5kg</t>
        </is>
      </c>
      <c r="F174" s="18" t="n">
        <v>3820</v>
      </c>
      <c r="G174" s="15" t="n">
        <v>58.6</v>
      </c>
      <c r="H174" s="15" t="n">
        <v>223852</v>
      </c>
      <c r="I174" s="4" t="inlineStr">
        <is>
          <t>赣皖区域</t>
        </is>
      </c>
      <c r="J174" s="4" t="inlineStr">
        <is>
          <t>胡秀娜</t>
        </is>
      </c>
    </row>
    <row r="175">
      <c r="A175" s="14" t="n">
        <v>45839</v>
      </c>
      <c r="B175" s="4" t="inlineStr">
        <is>
          <t>SO202510052</t>
        </is>
      </c>
      <c r="C175" s="4" t="inlineStr">
        <is>
          <t>南昌大匠超市</t>
        </is>
      </c>
      <c r="D175" s="4" t="inlineStr">
        <is>
          <t>酱料</t>
        </is>
      </c>
      <c r="E175" s="4" t="inlineStr">
        <is>
          <t>精装</t>
        </is>
      </c>
      <c r="F175" s="18" t="n">
        <v>860</v>
      </c>
      <c r="G175" s="15" t="n">
        <v>88.19</v>
      </c>
      <c r="H175" s="15" t="n">
        <v>75843.39999999999</v>
      </c>
      <c r="I175" s="4" t="inlineStr">
        <is>
          <t>赣皖区域</t>
        </is>
      </c>
      <c r="J175" s="4" t="inlineStr">
        <is>
          <t>李超伟</t>
        </is>
      </c>
    </row>
    <row r="176">
      <c r="A176" s="14" t="n">
        <v>45841</v>
      </c>
      <c r="B176" s="4" t="inlineStr">
        <is>
          <t>SO202510038</t>
        </is>
      </c>
      <c r="C176" s="4" t="inlineStr">
        <is>
          <t>常州食佳超市</t>
        </is>
      </c>
      <c r="D176" s="4" t="inlineStr">
        <is>
          <t>川味底料</t>
        </is>
      </c>
      <c r="E176" s="4" t="inlineStr">
        <is>
          <t>C级</t>
        </is>
      </c>
      <c r="F176" s="18" t="n">
        <v>720</v>
      </c>
      <c r="G176" s="15" t="n">
        <v>97.36</v>
      </c>
      <c r="H176" s="15" t="n">
        <v>70099.2</v>
      </c>
      <c r="I176" s="4" t="inlineStr">
        <is>
          <t>江苏分部</t>
        </is>
      </c>
      <c r="J176" s="4" t="inlineStr">
        <is>
          <t>吴磊娜</t>
        </is>
      </c>
    </row>
    <row r="177">
      <c r="A177" s="14" t="n">
        <v>45841</v>
      </c>
      <c r="B177" s="4" t="inlineStr">
        <is>
          <t>SO202510160</t>
        </is>
      </c>
      <c r="C177" s="4" t="inlineStr">
        <is>
          <t>温州百味供应链有限公司</t>
        </is>
      </c>
      <c r="D177" s="4" t="inlineStr">
        <is>
          <t>酱料</t>
        </is>
      </c>
      <c r="E177" s="4" t="inlineStr">
        <is>
          <t>C级</t>
        </is>
      </c>
      <c r="F177" s="18" t="n">
        <v>4640</v>
      </c>
      <c r="G177" s="15" t="n">
        <v>124.89</v>
      </c>
      <c r="H177" s="15" t="n">
        <v>579489.6</v>
      </c>
      <c r="I177" s="4" t="inlineStr">
        <is>
          <t>赣皖区域</t>
        </is>
      </c>
      <c r="J177" s="4" t="inlineStr">
        <is>
          <t>陈超娜</t>
        </is>
      </c>
    </row>
    <row r="178">
      <c r="A178" s="14" t="n">
        <v>45841</v>
      </c>
      <c r="B178" s="4" t="inlineStr">
        <is>
          <t>SO202510339</t>
        </is>
      </c>
      <c r="C178" s="4" t="inlineStr">
        <is>
          <t>上海大匠食品有限公司</t>
        </is>
      </c>
      <c r="D178" s="4" t="inlineStr">
        <is>
          <t>酱料</t>
        </is>
      </c>
      <c r="E178" s="4" t="inlineStr">
        <is>
          <t>精装</t>
        </is>
      </c>
      <c r="F178" s="18" t="n">
        <v>910</v>
      </c>
      <c r="G178" s="15" t="n">
        <v>27.58</v>
      </c>
      <c r="H178" s="15" t="n">
        <v>25097.8</v>
      </c>
      <c r="I178" s="4" t="inlineStr">
        <is>
          <t>上海分部</t>
        </is>
      </c>
      <c r="J178" s="4" t="inlineStr">
        <is>
          <t>高艳敏</t>
        </is>
      </c>
    </row>
    <row r="179">
      <c r="A179" s="14" t="n">
        <v>45842</v>
      </c>
      <c r="B179" s="4" t="inlineStr">
        <is>
          <t>SO202510133</t>
        </is>
      </c>
      <c r="C179" s="4" t="inlineStr">
        <is>
          <t>上海京功酒店管理集团</t>
        </is>
      </c>
      <c r="D179" s="4" t="inlineStr">
        <is>
          <t>团餐</t>
        </is>
      </c>
      <c r="E179" s="4" t="inlineStr">
        <is>
          <t>1kg</t>
        </is>
      </c>
      <c r="F179" s="18" t="n">
        <v>3270</v>
      </c>
      <c r="G179" s="15" t="n">
        <v>172.68</v>
      </c>
      <c r="H179" s="15" t="n">
        <v>564663.6</v>
      </c>
      <c r="I179" s="4" t="inlineStr">
        <is>
          <t>浙江分部</t>
        </is>
      </c>
      <c r="J179" s="4" t="inlineStr">
        <is>
          <t>张涛英</t>
        </is>
      </c>
    </row>
    <row r="180">
      <c r="A180" s="14" t="n">
        <v>45844</v>
      </c>
      <c r="B180" s="4" t="inlineStr">
        <is>
          <t>SO202510101</t>
        </is>
      </c>
      <c r="C180" s="4" t="inlineStr">
        <is>
          <t>杭州京功餐饮管理有限公司</t>
        </is>
      </c>
      <c r="D180" s="4" t="inlineStr">
        <is>
          <t>酱料</t>
        </is>
      </c>
      <c r="E180" s="4" t="inlineStr">
        <is>
          <t>特级</t>
        </is>
      </c>
      <c r="F180" s="18" t="n">
        <v>3540</v>
      </c>
      <c r="G180" s="15" t="n">
        <v>14.29</v>
      </c>
      <c r="H180" s="15" t="n">
        <v>50586.6</v>
      </c>
      <c r="I180" s="4" t="inlineStr">
        <is>
          <t>上海分部</t>
        </is>
      </c>
      <c r="J180" s="4" t="inlineStr">
        <is>
          <t>胡英芳</t>
        </is>
      </c>
    </row>
    <row r="181">
      <c r="A181" s="14" t="n">
        <v>45844</v>
      </c>
      <c r="B181" s="4" t="inlineStr">
        <is>
          <t>SO202510299</t>
        </is>
      </c>
      <c r="C181" s="4" t="inlineStr">
        <is>
          <t>杭州大匠食品有限公司</t>
        </is>
      </c>
      <c r="D181" s="4" t="inlineStr">
        <is>
          <t>调味汁</t>
        </is>
      </c>
      <c r="E181" s="4" t="inlineStr">
        <is>
          <t>标准</t>
        </is>
      </c>
      <c r="F181" s="18" t="n">
        <v>3140</v>
      </c>
      <c r="G181" s="15" t="n">
        <v>198.38</v>
      </c>
      <c r="H181" s="15" t="n">
        <v>622913.2</v>
      </c>
      <c r="I181" s="4" t="inlineStr">
        <is>
          <t>上海分部</t>
        </is>
      </c>
      <c r="J181" s="4" t="inlineStr">
        <is>
          <t>陈艳敏</t>
        </is>
      </c>
    </row>
    <row r="182">
      <c r="A182" s="14" t="n">
        <v>45845</v>
      </c>
      <c r="B182" s="4" t="inlineStr">
        <is>
          <t>SO202510030</t>
        </is>
      </c>
      <c r="C182" s="4" t="inlineStr">
        <is>
          <t>宁波食佳商贸有限公司</t>
        </is>
      </c>
      <c r="D182" s="4" t="inlineStr">
        <is>
          <t>中式汤底</t>
        </is>
      </c>
      <c r="E182" s="4" t="inlineStr">
        <is>
          <t>A级</t>
        </is>
      </c>
      <c r="F182" s="18" t="n">
        <v>1040</v>
      </c>
      <c r="G182" s="15" t="n">
        <v>160.68</v>
      </c>
      <c r="H182" s="15" t="n">
        <v>167107.2</v>
      </c>
      <c r="I182" s="4" t="inlineStr">
        <is>
          <t>江苏分部</t>
        </is>
      </c>
      <c r="J182" s="4" t="inlineStr">
        <is>
          <t>黄芳伟</t>
        </is>
      </c>
    </row>
    <row r="183">
      <c r="A183" s="14" t="n">
        <v>45846</v>
      </c>
      <c r="B183" s="4" t="inlineStr">
        <is>
          <t>SO202510053</t>
        </is>
      </c>
      <c r="C183" s="4" t="inlineStr">
        <is>
          <t>苏州食佳食品有限公司</t>
        </is>
      </c>
      <c r="D183" s="4" t="inlineStr">
        <is>
          <t>中式汤底</t>
        </is>
      </c>
      <c r="E183" s="4" t="inlineStr">
        <is>
          <t>精装</t>
        </is>
      </c>
      <c r="F183" s="18" t="n">
        <v>3510</v>
      </c>
      <c r="G183" s="15" t="n">
        <v>168.12</v>
      </c>
      <c r="H183" s="15" t="n">
        <v>590101.2</v>
      </c>
      <c r="I183" s="4" t="inlineStr">
        <is>
          <t>上海分部</t>
        </is>
      </c>
      <c r="J183" s="4" t="inlineStr">
        <is>
          <t>罗艳敏</t>
        </is>
      </c>
    </row>
    <row r="184">
      <c r="A184" s="14" t="n">
        <v>45847</v>
      </c>
      <c r="B184" s="4" t="inlineStr">
        <is>
          <t>SO202510106</t>
        </is>
      </c>
      <c r="C184" s="4" t="inlineStr">
        <is>
          <t>嘉兴优鲜供应链有限公司</t>
        </is>
      </c>
      <c r="D184" s="4" t="inlineStr">
        <is>
          <t>复合调味粉</t>
        </is>
      </c>
      <c r="E184" s="4" t="inlineStr">
        <is>
          <t>A级</t>
        </is>
      </c>
      <c r="F184" s="18" t="n">
        <v>2380</v>
      </c>
      <c r="G184" s="15" t="n">
        <v>5.84</v>
      </c>
      <c r="H184" s="15" t="n">
        <v>13899.2</v>
      </c>
      <c r="I184" s="4" t="inlineStr">
        <is>
          <t>江苏分部</t>
        </is>
      </c>
      <c r="J184" s="4" t="inlineStr">
        <is>
          <t>吴洋英</t>
        </is>
      </c>
    </row>
    <row r="185">
      <c r="A185" s="14" t="n">
        <v>45848</v>
      </c>
      <c r="B185" s="4" t="inlineStr">
        <is>
          <t>SO202510002</t>
        </is>
      </c>
      <c r="C185" s="4" t="inlineStr">
        <is>
          <t>宁波百味电商平台</t>
        </is>
      </c>
      <c r="D185" s="4" t="inlineStr">
        <is>
          <t>中式汤底</t>
        </is>
      </c>
      <c r="E185" s="4" t="inlineStr">
        <is>
          <t>2.5kg</t>
        </is>
      </c>
      <c r="F185" s="18" t="n">
        <v>4330</v>
      </c>
      <c r="G185" s="15" t="n">
        <v>39.85</v>
      </c>
      <c r="H185" s="15" t="n">
        <v>172550.5</v>
      </c>
      <c r="I185" s="4" t="inlineStr">
        <is>
          <t>上海分部</t>
        </is>
      </c>
      <c r="J185" s="4" t="inlineStr">
        <is>
          <t>周伟敏</t>
        </is>
      </c>
    </row>
    <row r="186">
      <c r="A186" s="14" t="n">
        <v>45848</v>
      </c>
      <c r="B186" s="4" t="inlineStr">
        <is>
          <t>SO202510023</t>
        </is>
      </c>
      <c r="C186" s="4" t="inlineStr">
        <is>
          <t>嘉兴优鲜供应链有限公司</t>
        </is>
      </c>
      <c r="D186" s="4" t="inlineStr">
        <is>
          <t>川味底料</t>
        </is>
      </c>
      <c r="E186" s="4" t="inlineStr">
        <is>
          <t>特级</t>
        </is>
      </c>
      <c r="F186" s="18" t="n">
        <v>2210</v>
      </c>
      <c r="G186" s="15" t="n">
        <v>13.86</v>
      </c>
      <c r="H186" s="15" t="n">
        <v>30630.6</v>
      </c>
      <c r="I186" s="4" t="inlineStr">
        <is>
          <t>江苏分部</t>
        </is>
      </c>
      <c r="J186" s="4" t="inlineStr">
        <is>
          <t>马静娜</t>
        </is>
      </c>
    </row>
    <row r="187">
      <c r="A187" s="14" t="n">
        <v>45848</v>
      </c>
      <c r="B187" s="4" t="inlineStr">
        <is>
          <t>SO202510069</t>
        </is>
      </c>
      <c r="C187" s="4" t="inlineStr">
        <is>
          <t>温州食佳酒店管理集团</t>
        </is>
      </c>
      <c r="D187" s="4" t="inlineStr">
        <is>
          <t>调味汁</t>
        </is>
      </c>
      <c r="E187" s="4" t="inlineStr">
        <is>
          <t>标准</t>
        </is>
      </c>
      <c r="F187" s="18" t="n">
        <v>1070</v>
      </c>
      <c r="G187" s="15" t="n">
        <v>164.82</v>
      </c>
      <c r="H187" s="15" t="n">
        <v>176357.4</v>
      </c>
      <c r="I187" s="4" t="inlineStr">
        <is>
          <t>上海分部</t>
        </is>
      </c>
      <c r="J187" s="4" t="inlineStr">
        <is>
          <t>胡伟伟</t>
        </is>
      </c>
    </row>
    <row r="188">
      <c r="A188" s="14" t="n">
        <v>45849</v>
      </c>
      <c r="B188" s="4" t="inlineStr">
        <is>
          <t>SO202510025</t>
        </is>
      </c>
      <c r="C188" s="4" t="inlineStr">
        <is>
          <t>南昌百味酒店管理集团</t>
        </is>
      </c>
      <c r="D188" s="4" t="inlineStr">
        <is>
          <t>预制菜</t>
        </is>
      </c>
      <c r="E188" s="4" t="inlineStr">
        <is>
          <t>5kg</t>
        </is>
      </c>
      <c r="F188" s="18" t="n">
        <v>4050</v>
      </c>
      <c r="G188" s="15" t="n">
        <v>46.72</v>
      </c>
      <c r="H188" s="15" t="n">
        <v>189216</v>
      </c>
      <c r="I188" s="4" t="inlineStr">
        <is>
          <t>浙江分部</t>
        </is>
      </c>
      <c r="J188" s="4" t="inlineStr">
        <is>
          <t>林丽伟</t>
        </is>
      </c>
    </row>
    <row r="189">
      <c r="A189" s="14" t="n">
        <v>45851</v>
      </c>
      <c r="B189" s="4" t="inlineStr">
        <is>
          <t>SO202510022</t>
        </is>
      </c>
      <c r="C189" s="4" t="inlineStr">
        <is>
          <t>南昌京功超市</t>
        </is>
      </c>
      <c r="D189" s="4" t="inlineStr">
        <is>
          <t>复合调味粉</t>
        </is>
      </c>
      <c r="E189" s="4" t="inlineStr">
        <is>
          <t>B级</t>
        </is>
      </c>
      <c r="F189" s="18" t="n">
        <v>2640</v>
      </c>
      <c r="G189" s="15" t="n">
        <v>146.03</v>
      </c>
      <c r="H189" s="15" t="n">
        <v>385519.2</v>
      </c>
      <c r="I189" s="4" t="inlineStr">
        <is>
          <t>江苏分部</t>
        </is>
      </c>
      <c r="J189" s="4" t="inlineStr">
        <is>
          <t>何洋秀</t>
        </is>
      </c>
    </row>
    <row r="190">
      <c r="A190" s="14" t="n">
        <v>45852</v>
      </c>
      <c r="B190" s="4" t="inlineStr">
        <is>
          <t>SO202510258</t>
        </is>
      </c>
      <c r="C190" s="4" t="inlineStr">
        <is>
          <t>镇江淼沃餐饮管理有限公司</t>
        </is>
      </c>
      <c r="D190" s="4" t="inlineStr">
        <is>
          <t>预制菜</t>
        </is>
      </c>
      <c r="E190" s="4" t="inlineStr">
        <is>
          <t>特级</t>
        </is>
      </c>
      <c r="F190" s="18" t="n">
        <v>1410</v>
      </c>
      <c r="G190" s="15" t="n">
        <v>105.87</v>
      </c>
      <c r="H190" s="15" t="n">
        <v>149276.7</v>
      </c>
      <c r="I190" s="4" t="inlineStr">
        <is>
          <t>赣皖区域</t>
        </is>
      </c>
      <c r="J190" s="4" t="inlineStr">
        <is>
          <t>周秀秀</t>
        </is>
      </c>
    </row>
    <row r="191">
      <c r="A191" s="14" t="n">
        <v>45854</v>
      </c>
      <c r="B191" s="4" t="inlineStr">
        <is>
          <t>SO202510256</t>
        </is>
      </c>
      <c r="C191" s="4" t="inlineStr">
        <is>
          <t>温州百味酒店管理集团</t>
        </is>
      </c>
      <c r="D191" s="4" t="inlineStr">
        <is>
          <t>复合调味粉</t>
        </is>
      </c>
      <c r="E191" s="4" t="inlineStr">
        <is>
          <t>5kg</t>
        </is>
      </c>
      <c r="F191" s="18" t="n">
        <v>2880</v>
      </c>
      <c r="G191" s="15" t="n">
        <v>182.23</v>
      </c>
      <c r="H191" s="15" t="n">
        <v>524822.4</v>
      </c>
      <c r="I191" s="4" t="inlineStr">
        <is>
          <t>浙江分部</t>
        </is>
      </c>
      <c r="J191" s="4" t="inlineStr">
        <is>
          <t>杨艳英</t>
        </is>
      </c>
    </row>
    <row r="192">
      <c r="A192" s="14" t="n">
        <v>45855</v>
      </c>
      <c r="B192" s="4" t="inlineStr">
        <is>
          <t>SO202510016</t>
        </is>
      </c>
      <c r="C192" s="4" t="inlineStr">
        <is>
          <t>上海食佳食品有限公司</t>
        </is>
      </c>
      <c r="D192" s="4" t="inlineStr">
        <is>
          <t>调味汁</t>
        </is>
      </c>
      <c r="E192" s="4" t="inlineStr">
        <is>
          <t>A级</t>
        </is>
      </c>
      <c r="F192" s="18" t="n">
        <v>3630</v>
      </c>
      <c r="G192" s="15" t="n">
        <v>109.45</v>
      </c>
      <c r="H192" s="15" t="n">
        <v>397303.5</v>
      </c>
      <c r="I192" s="4" t="inlineStr">
        <is>
          <t>上海分部</t>
        </is>
      </c>
      <c r="J192" s="4" t="inlineStr">
        <is>
          <t>孙杰英</t>
        </is>
      </c>
    </row>
    <row r="193">
      <c r="A193" s="14" t="n">
        <v>45856</v>
      </c>
      <c r="B193" s="4" t="inlineStr">
        <is>
          <t>SO202510044</t>
        </is>
      </c>
      <c r="C193" s="4" t="inlineStr">
        <is>
          <t>宁波京功食品有限公司</t>
        </is>
      </c>
      <c r="D193" s="4" t="inlineStr">
        <is>
          <t>复合调味粉</t>
        </is>
      </c>
      <c r="E193" s="4" t="inlineStr">
        <is>
          <t>标准</t>
        </is>
      </c>
      <c r="F193" s="18" t="n">
        <v>3430</v>
      </c>
      <c r="G193" s="15" t="n">
        <v>156.53</v>
      </c>
      <c r="H193" s="15" t="n">
        <v>536897.9</v>
      </c>
      <c r="I193" s="4" t="inlineStr">
        <is>
          <t>江苏分部</t>
        </is>
      </c>
      <c r="J193" s="4" t="inlineStr">
        <is>
          <t>黄强伟</t>
        </is>
      </c>
    </row>
    <row r="194">
      <c r="A194" s="14" t="n">
        <v>45856</v>
      </c>
      <c r="B194" s="4" t="inlineStr">
        <is>
          <t>SO202510143</t>
        </is>
      </c>
      <c r="C194" s="4" t="inlineStr">
        <is>
          <t>南京优鲜超市</t>
        </is>
      </c>
      <c r="D194" s="4" t="inlineStr">
        <is>
          <t>团餐</t>
        </is>
      </c>
      <c r="E194" s="4" t="inlineStr">
        <is>
          <t>2.5kg</t>
        </is>
      </c>
      <c r="F194" s="18" t="n">
        <v>1810</v>
      </c>
      <c r="G194" s="15" t="n">
        <v>53.42</v>
      </c>
      <c r="H194" s="15" t="n">
        <v>96690.2</v>
      </c>
      <c r="I194" s="4" t="inlineStr">
        <is>
          <t>上海分部</t>
        </is>
      </c>
      <c r="J194" s="4" t="inlineStr">
        <is>
          <t>孙洋娜</t>
        </is>
      </c>
    </row>
    <row r="195">
      <c r="A195" s="14" t="n">
        <v>45856</v>
      </c>
      <c r="B195" s="4" t="inlineStr">
        <is>
          <t>SO202510177</t>
        </is>
      </c>
      <c r="C195" s="4" t="inlineStr">
        <is>
          <t>合肥京功电商平台</t>
        </is>
      </c>
      <c r="D195" s="4" t="inlineStr">
        <is>
          <t>中式汤底</t>
        </is>
      </c>
      <c r="E195" s="4" t="inlineStr">
        <is>
          <t>500g</t>
        </is>
      </c>
      <c r="F195" s="18" t="n">
        <v>3810</v>
      </c>
      <c r="G195" s="15" t="n">
        <v>136.83</v>
      </c>
      <c r="H195" s="15" t="n">
        <v>521322.3</v>
      </c>
      <c r="I195" s="4" t="inlineStr">
        <is>
          <t>江苏分部</t>
        </is>
      </c>
      <c r="J195" s="4" t="inlineStr">
        <is>
          <t>郭洋娜</t>
        </is>
      </c>
    </row>
    <row r="196">
      <c r="A196" s="14" t="n">
        <v>45857</v>
      </c>
      <c r="B196" s="4" t="inlineStr">
        <is>
          <t>SO202510134</t>
        </is>
      </c>
      <c r="C196" s="4" t="inlineStr">
        <is>
          <t>镇江食佳酒店管理集团</t>
        </is>
      </c>
      <c r="D196" s="4" t="inlineStr">
        <is>
          <t>酱料</t>
        </is>
      </c>
      <c r="E196" s="4" t="inlineStr">
        <is>
          <t>特级</t>
        </is>
      </c>
      <c r="F196" s="18" t="n">
        <v>770</v>
      </c>
      <c r="G196" s="15" t="n">
        <v>42.2</v>
      </c>
      <c r="H196" s="15" t="n">
        <v>32494</v>
      </c>
      <c r="I196" s="4" t="inlineStr">
        <is>
          <t>浙江分部</t>
        </is>
      </c>
      <c r="J196" s="4" t="inlineStr">
        <is>
          <t>徐磊伟</t>
        </is>
      </c>
    </row>
    <row r="197">
      <c r="A197" s="14" t="n">
        <v>45857</v>
      </c>
      <c r="B197" s="4" t="inlineStr">
        <is>
          <t>SO202510135</t>
        </is>
      </c>
      <c r="C197" s="4" t="inlineStr">
        <is>
          <t>温州淼沃超市</t>
        </is>
      </c>
      <c r="D197" s="4" t="inlineStr">
        <is>
          <t>复合调味粉</t>
        </is>
      </c>
      <c r="E197" s="4" t="inlineStr">
        <is>
          <t>B级</t>
        </is>
      </c>
      <c r="F197" s="18" t="n">
        <v>3100</v>
      </c>
      <c r="G197" s="15" t="n">
        <v>71.31</v>
      </c>
      <c r="H197" s="15" t="n">
        <v>221061</v>
      </c>
      <c r="I197" s="4" t="inlineStr">
        <is>
          <t>浙江分部</t>
        </is>
      </c>
      <c r="J197" s="4" t="inlineStr">
        <is>
          <t>王敏芳</t>
        </is>
      </c>
    </row>
    <row r="198">
      <c r="A198" s="14" t="n">
        <v>45859</v>
      </c>
      <c r="B198" s="4" t="inlineStr">
        <is>
          <t>SO202510148</t>
        </is>
      </c>
      <c r="C198" s="4" t="inlineStr">
        <is>
          <t>苏州淼沃超市</t>
        </is>
      </c>
      <c r="D198" s="4" t="inlineStr">
        <is>
          <t>调味汁</t>
        </is>
      </c>
      <c r="E198" s="4" t="inlineStr">
        <is>
          <t>A级</t>
        </is>
      </c>
      <c r="F198" s="18" t="n">
        <v>130</v>
      </c>
      <c r="G198" s="15" t="n">
        <v>183.95</v>
      </c>
      <c r="H198" s="15" t="n">
        <v>23913.5</v>
      </c>
      <c r="I198" s="4" t="inlineStr">
        <is>
          <t>浙江分部</t>
        </is>
      </c>
      <c r="J198" s="4" t="inlineStr">
        <is>
          <t>赵敏伟</t>
        </is>
      </c>
    </row>
    <row r="199">
      <c r="A199" s="14" t="n">
        <v>45861</v>
      </c>
      <c r="B199" s="4" t="inlineStr">
        <is>
          <t>SO202510104</t>
        </is>
      </c>
      <c r="C199" s="4" t="inlineStr">
        <is>
          <t>合肥百味供应链有限公司</t>
        </is>
      </c>
      <c r="D199" s="4" t="inlineStr">
        <is>
          <t>调味汁</t>
        </is>
      </c>
      <c r="E199" s="4" t="inlineStr">
        <is>
          <t>5kg</t>
        </is>
      </c>
      <c r="F199" s="18" t="n">
        <v>1140</v>
      </c>
      <c r="G199" s="15" t="n">
        <v>29.17</v>
      </c>
      <c r="H199" s="15" t="n">
        <v>33253.8</v>
      </c>
      <c r="I199" s="4" t="inlineStr">
        <is>
          <t>上海分部</t>
        </is>
      </c>
      <c r="J199" s="4" t="inlineStr">
        <is>
          <t>何涛敏</t>
        </is>
      </c>
    </row>
    <row r="200">
      <c r="A200" s="14" t="n">
        <v>45862</v>
      </c>
      <c r="B200" s="4" t="inlineStr">
        <is>
          <t>SO202510089</t>
        </is>
      </c>
      <c r="C200" s="4" t="inlineStr">
        <is>
          <t>上海优鲜供应链有限公司</t>
        </is>
      </c>
      <c r="D200" s="4" t="inlineStr">
        <is>
          <t>中式汤底</t>
        </is>
      </c>
      <c r="E200" s="4" t="inlineStr">
        <is>
          <t>C级</t>
        </is>
      </c>
      <c r="F200" s="18" t="n">
        <v>1110</v>
      </c>
      <c r="G200" s="15" t="n">
        <v>33.42</v>
      </c>
      <c r="H200" s="15" t="n">
        <v>37096.2</v>
      </c>
      <c r="I200" s="4" t="inlineStr">
        <is>
          <t>上海分部</t>
        </is>
      </c>
      <c r="J200" s="4" t="inlineStr">
        <is>
          <t>李超伟</t>
        </is>
      </c>
    </row>
    <row r="201">
      <c r="A201" s="14" t="n">
        <v>45864</v>
      </c>
      <c r="B201" s="4" t="inlineStr">
        <is>
          <t>SO202510054</t>
        </is>
      </c>
      <c r="C201" s="4" t="inlineStr">
        <is>
          <t>合肥百味食品有限公司</t>
        </is>
      </c>
      <c r="D201" s="4" t="inlineStr">
        <is>
          <t>中式汤底</t>
        </is>
      </c>
      <c r="E201" s="4" t="inlineStr">
        <is>
          <t>标准</t>
        </is>
      </c>
      <c r="F201" s="18" t="n">
        <v>850</v>
      </c>
      <c r="G201" s="15" t="n">
        <v>67.81</v>
      </c>
      <c r="H201" s="15" t="n">
        <v>57638.5</v>
      </c>
      <c r="I201" s="4" t="inlineStr">
        <is>
          <t>赣皖区域</t>
        </is>
      </c>
      <c r="J201" s="4" t="inlineStr">
        <is>
          <t>吴伟伟</t>
        </is>
      </c>
    </row>
    <row r="202">
      <c r="A202" s="14" t="n">
        <v>45864</v>
      </c>
      <c r="B202" s="4" t="inlineStr">
        <is>
          <t>SO202510138</t>
        </is>
      </c>
      <c r="C202" s="4" t="inlineStr">
        <is>
          <t>常州淼沃商贸有限公司</t>
        </is>
      </c>
      <c r="D202" s="4" t="inlineStr">
        <is>
          <t>复合调味粉</t>
        </is>
      </c>
      <c r="E202" s="4" t="inlineStr">
        <is>
          <t>精装</t>
        </is>
      </c>
      <c r="F202" s="18" t="n">
        <v>1690</v>
      </c>
      <c r="G202" s="15" t="n">
        <v>177.81</v>
      </c>
      <c r="H202" s="15" t="n">
        <v>300498.9</v>
      </c>
      <c r="I202" s="4" t="inlineStr">
        <is>
          <t>赣皖区域</t>
        </is>
      </c>
      <c r="J202" s="4" t="inlineStr">
        <is>
          <t>孙洋娜</t>
        </is>
      </c>
    </row>
    <row r="203">
      <c r="A203" s="14" t="n">
        <v>45864</v>
      </c>
      <c r="B203" s="4" t="inlineStr">
        <is>
          <t>SO202510271</t>
        </is>
      </c>
      <c r="C203" s="4" t="inlineStr">
        <is>
          <t>南京优鲜商贸有限公司</t>
        </is>
      </c>
      <c r="D203" s="4" t="inlineStr">
        <is>
          <t>团餐</t>
        </is>
      </c>
      <c r="E203" s="4" t="inlineStr">
        <is>
          <t>标准</t>
        </is>
      </c>
      <c r="F203" s="18" t="n">
        <v>4050</v>
      </c>
      <c r="G203" s="15" t="n">
        <v>55.63</v>
      </c>
      <c r="H203" s="15" t="n">
        <v>225301.5</v>
      </c>
      <c r="I203" s="4" t="inlineStr">
        <is>
          <t>浙江分部</t>
        </is>
      </c>
      <c r="J203" s="4" t="inlineStr">
        <is>
          <t>郭强英</t>
        </is>
      </c>
    </row>
    <row r="204">
      <c r="A204" s="14" t="n">
        <v>45866</v>
      </c>
      <c r="B204" s="4" t="inlineStr">
        <is>
          <t>SO202510081</t>
        </is>
      </c>
      <c r="C204" s="4" t="inlineStr">
        <is>
          <t>杭州大匠商贸有限公司</t>
        </is>
      </c>
      <c r="D204" s="4" t="inlineStr">
        <is>
          <t>调味汁</t>
        </is>
      </c>
      <c r="E204" s="4" t="inlineStr">
        <is>
          <t>2.5kg</t>
        </is>
      </c>
      <c r="F204" s="18" t="n">
        <v>2230</v>
      </c>
      <c r="G204" s="15" t="n">
        <v>58.41</v>
      </c>
      <c r="H204" s="15" t="n">
        <v>130254.3</v>
      </c>
      <c r="I204" s="4" t="inlineStr">
        <is>
          <t>浙江分部</t>
        </is>
      </c>
      <c r="J204" s="4" t="inlineStr">
        <is>
          <t>高娜敏</t>
        </is>
      </c>
    </row>
    <row r="205">
      <c r="A205" s="14" t="n">
        <v>45866</v>
      </c>
      <c r="B205" s="4" t="inlineStr">
        <is>
          <t>SO202510215</t>
        </is>
      </c>
      <c r="C205" s="4" t="inlineStr">
        <is>
          <t>合肥优鲜电商平台</t>
        </is>
      </c>
      <c r="D205" s="4" t="inlineStr">
        <is>
          <t>团餐</t>
        </is>
      </c>
      <c r="E205" s="4" t="inlineStr">
        <is>
          <t>标准</t>
        </is>
      </c>
      <c r="F205" s="18" t="n">
        <v>2360</v>
      </c>
      <c r="G205" s="15" t="n">
        <v>50.41</v>
      </c>
      <c r="H205" s="15" t="n">
        <v>118967.6</v>
      </c>
      <c r="I205" s="4" t="inlineStr">
        <is>
          <t>上海分部</t>
        </is>
      </c>
      <c r="J205" s="4" t="inlineStr">
        <is>
          <t>马兰伟</t>
        </is>
      </c>
    </row>
    <row r="206">
      <c r="A206" s="14" t="n">
        <v>45866</v>
      </c>
      <c r="B206" s="4" t="inlineStr">
        <is>
          <t>SO202510242</t>
        </is>
      </c>
      <c r="C206" s="4" t="inlineStr">
        <is>
          <t>宁波淼沃酒店管理集团</t>
        </is>
      </c>
      <c r="D206" s="4" t="inlineStr">
        <is>
          <t>团餐</t>
        </is>
      </c>
      <c r="E206" s="4" t="inlineStr">
        <is>
          <t>A级</t>
        </is>
      </c>
      <c r="F206" s="18" t="n">
        <v>2050</v>
      </c>
      <c r="G206" s="15" t="n">
        <v>100.37</v>
      </c>
      <c r="H206" s="15" t="n">
        <v>205758.5</v>
      </c>
      <c r="I206" s="4" t="inlineStr">
        <is>
          <t>浙江分部</t>
        </is>
      </c>
      <c r="J206" s="4" t="inlineStr">
        <is>
          <t>李涛伟</t>
        </is>
      </c>
    </row>
    <row r="207">
      <c r="A207" s="14" t="n">
        <v>45872</v>
      </c>
      <c r="B207" s="4" t="inlineStr">
        <is>
          <t>SO202510152</t>
        </is>
      </c>
      <c r="C207" s="4" t="inlineStr">
        <is>
          <t>南京京功电商平台</t>
        </is>
      </c>
      <c r="D207" s="4" t="inlineStr">
        <is>
          <t>酱料</t>
        </is>
      </c>
      <c r="E207" s="4" t="inlineStr">
        <is>
          <t>1kg</t>
        </is>
      </c>
      <c r="F207" s="18" t="n">
        <v>890</v>
      </c>
      <c r="G207" s="15" t="n">
        <v>184.33</v>
      </c>
      <c r="H207" s="15" t="n">
        <v>164053.7</v>
      </c>
      <c r="I207" s="4" t="inlineStr">
        <is>
          <t>浙江分部</t>
        </is>
      </c>
      <c r="J207" s="4" t="inlineStr">
        <is>
          <t>何英芳</t>
        </is>
      </c>
    </row>
    <row r="208">
      <c r="A208" s="14" t="n">
        <v>45872</v>
      </c>
      <c r="B208" s="4" t="inlineStr">
        <is>
          <t>SO202510236</t>
        </is>
      </c>
      <c r="C208" s="4" t="inlineStr">
        <is>
          <t>嘉兴百味供应链有限公司</t>
        </is>
      </c>
      <c r="D208" s="4" t="inlineStr">
        <is>
          <t>酱料</t>
        </is>
      </c>
      <c r="E208" s="4" t="inlineStr">
        <is>
          <t>1kg</t>
        </is>
      </c>
      <c r="F208" s="18" t="n">
        <v>1100</v>
      </c>
      <c r="G208" s="15" t="n">
        <v>122.16</v>
      </c>
      <c r="H208" s="15" t="n">
        <v>134376</v>
      </c>
      <c r="I208" s="4" t="inlineStr">
        <is>
          <t>赣皖区域</t>
        </is>
      </c>
      <c r="J208" s="4" t="inlineStr">
        <is>
          <t>刘娟秀</t>
        </is>
      </c>
    </row>
    <row r="209">
      <c r="A209" s="14" t="n">
        <v>45872</v>
      </c>
      <c r="B209" s="4" t="inlineStr">
        <is>
          <t>SO202510332</t>
        </is>
      </c>
      <c r="C209" s="4" t="inlineStr">
        <is>
          <t>温州大匠供应链有限公司</t>
        </is>
      </c>
      <c r="D209" s="4" t="inlineStr">
        <is>
          <t>复合调味粉</t>
        </is>
      </c>
      <c r="E209" s="4" t="inlineStr">
        <is>
          <t>标准</t>
        </is>
      </c>
      <c r="F209" s="18" t="n">
        <v>2710</v>
      </c>
      <c r="G209" s="15" t="n">
        <v>184.86</v>
      </c>
      <c r="H209" s="15" t="n">
        <v>500970.6</v>
      </c>
      <c r="I209" s="4" t="inlineStr">
        <is>
          <t>上海分部</t>
        </is>
      </c>
      <c r="J209" s="4" t="inlineStr">
        <is>
          <t>胡强芳</t>
        </is>
      </c>
    </row>
    <row r="210">
      <c r="A210" s="14" t="n">
        <v>45873</v>
      </c>
      <c r="B210" s="4" t="inlineStr">
        <is>
          <t>SO202510188</t>
        </is>
      </c>
      <c r="C210" s="4" t="inlineStr">
        <is>
          <t>宁波百味酒店管理集团</t>
        </is>
      </c>
      <c r="D210" s="4" t="inlineStr">
        <is>
          <t>调味汁</t>
        </is>
      </c>
      <c r="E210" s="4" t="inlineStr">
        <is>
          <t>简装</t>
        </is>
      </c>
      <c r="F210" s="18" t="n">
        <v>3700</v>
      </c>
      <c r="G210" s="15" t="n">
        <v>111.79</v>
      </c>
      <c r="H210" s="15" t="n">
        <v>413623</v>
      </c>
      <c r="I210" s="4" t="inlineStr">
        <is>
          <t>江苏分部</t>
        </is>
      </c>
      <c r="J210" s="4" t="inlineStr">
        <is>
          <t>刘娜娜</t>
        </is>
      </c>
    </row>
    <row r="211">
      <c r="A211" s="14" t="n">
        <v>45873</v>
      </c>
      <c r="B211" s="4" t="inlineStr">
        <is>
          <t>SO202510226</t>
        </is>
      </c>
      <c r="C211" s="4" t="inlineStr">
        <is>
          <t>宁波食佳食品有限公司</t>
        </is>
      </c>
      <c r="D211" s="4" t="inlineStr">
        <is>
          <t>川味底料</t>
        </is>
      </c>
      <c r="E211" s="4" t="inlineStr">
        <is>
          <t>C级</t>
        </is>
      </c>
      <c r="F211" s="18" t="n">
        <v>2640</v>
      </c>
      <c r="G211" s="15" t="n">
        <v>76.09</v>
      </c>
      <c r="H211" s="15" t="n">
        <v>200877.6</v>
      </c>
      <c r="I211" s="4" t="inlineStr">
        <is>
          <t>上海分部</t>
        </is>
      </c>
      <c r="J211" s="4" t="inlineStr">
        <is>
          <t>黄兰娜</t>
        </is>
      </c>
    </row>
    <row r="212">
      <c r="A212" s="14" t="n">
        <v>45874</v>
      </c>
      <c r="B212" s="4" t="inlineStr">
        <is>
          <t>SO202510019</t>
        </is>
      </c>
      <c r="C212" s="4" t="inlineStr">
        <is>
          <t>上海优鲜餐饮管理有限公司</t>
        </is>
      </c>
      <c r="D212" s="4" t="inlineStr">
        <is>
          <t>团餐</t>
        </is>
      </c>
      <c r="E212" s="4" t="inlineStr">
        <is>
          <t>特级</t>
        </is>
      </c>
      <c r="F212" s="18" t="n">
        <v>990</v>
      </c>
      <c r="G212" s="15" t="n">
        <v>94.33</v>
      </c>
      <c r="H212" s="15" t="n">
        <v>93386.7</v>
      </c>
      <c r="I212" s="4" t="inlineStr">
        <is>
          <t>江苏分部</t>
        </is>
      </c>
      <c r="J212" s="4" t="inlineStr">
        <is>
          <t>张娟英</t>
        </is>
      </c>
    </row>
    <row r="213">
      <c r="A213" s="14" t="n">
        <v>45874</v>
      </c>
      <c r="B213" s="4" t="inlineStr">
        <is>
          <t>SO202510076</t>
        </is>
      </c>
      <c r="C213" s="4" t="inlineStr">
        <is>
          <t>苏州优鲜食品有限公司</t>
        </is>
      </c>
      <c r="D213" s="4" t="inlineStr">
        <is>
          <t>酱料</t>
        </is>
      </c>
      <c r="E213" s="4" t="inlineStr">
        <is>
          <t>500g</t>
        </is>
      </c>
      <c r="F213" s="18" t="n">
        <v>3460</v>
      </c>
      <c r="G213" s="15" t="n">
        <v>186.77</v>
      </c>
      <c r="H213" s="15" t="n">
        <v>646224.2</v>
      </c>
      <c r="I213" s="4" t="inlineStr">
        <is>
          <t>赣皖区域</t>
        </is>
      </c>
      <c r="J213" s="4" t="inlineStr">
        <is>
          <t>周明伟</t>
        </is>
      </c>
    </row>
    <row r="214">
      <c r="A214" s="14" t="n">
        <v>45875</v>
      </c>
      <c r="B214" s="4" t="inlineStr">
        <is>
          <t>SO202510189</t>
        </is>
      </c>
      <c r="C214" s="4" t="inlineStr">
        <is>
          <t>宁波大匠超市</t>
        </is>
      </c>
      <c r="D214" s="4" t="inlineStr">
        <is>
          <t>调味汁</t>
        </is>
      </c>
      <c r="E214" s="4" t="inlineStr">
        <is>
          <t>500g</t>
        </is>
      </c>
      <c r="F214" s="18" t="n">
        <v>1730</v>
      </c>
      <c r="G214" s="15" t="n">
        <v>109.39</v>
      </c>
      <c r="H214" s="15" t="n">
        <v>189244.7</v>
      </c>
      <c r="I214" s="4" t="inlineStr">
        <is>
          <t>赣皖区域</t>
        </is>
      </c>
      <c r="J214" s="4" t="inlineStr">
        <is>
          <t>罗敏秀</t>
        </is>
      </c>
    </row>
    <row r="215">
      <c r="A215" s="14" t="n">
        <v>45875</v>
      </c>
      <c r="B215" s="4" t="inlineStr">
        <is>
          <t>SO202510223</t>
        </is>
      </c>
      <c r="C215" s="4" t="inlineStr">
        <is>
          <t>上海优鲜餐饮管理有限公司</t>
        </is>
      </c>
      <c r="D215" s="4" t="inlineStr">
        <is>
          <t>复合调味粉</t>
        </is>
      </c>
      <c r="E215" s="4" t="inlineStr">
        <is>
          <t>2.5kg</t>
        </is>
      </c>
      <c r="F215" s="18" t="n">
        <v>3930</v>
      </c>
      <c r="G215" s="15" t="n">
        <v>94.86</v>
      </c>
      <c r="H215" s="15" t="n">
        <v>372799.8</v>
      </c>
      <c r="I215" s="4" t="inlineStr">
        <is>
          <t>上海分部</t>
        </is>
      </c>
      <c r="J215" s="4" t="inlineStr">
        <is>
          <t>罗杰敏</t>
        </is>
      </c>
    </row>
    <row r="216">
      <c r="A216" s="14" t="n">
        <v>45876</v>
      </c>
      <c r="B216" s="4" t="inlineStr">
        <is>
          <t>SO202510230</t>
        </is>
      </c>
      <c r="C216" s="4" t="inlineStr">
        <is>
          <t>温州优鲜商贸有限公司</t>
        </is>
      </c>
      <c r="D216" s="4" t="inlineStr">
        <is>
          <t>中式汤底</t>
        </is>
      </c>
      <c r="E216" s="4" t="inlineStr">
        <is>
          <t>精装</t>
        </is>
      </c>
      <c r="F216" s="18" t="n">
        <v>2630</v>
      </c>
      <c r="G216" s="15" t="n">
        <v>147.48</v>
      </c>
      <c r="H216" s="15" t="n">
        <v>387872.4</v>
      </c>
      <c r="I216" s="4" t="inlineStr">
        <is>
          <t>浙江分部</t>
        </is>
      </c>
      <c r="J216" s="4" t="inlineStr">
        <is>
          <t>王静敏</t>
        </is>
      </c>
    </row>
    <row r="217">
      <c r="A217" s="14" t="n">
        <v>45877</v>
      </c>
      <c r="B217" s="4" t="inlineStr">
        <is>
          <t>SO202510309</t>
        </is>
      </c>
      <c r="C217" s="4" t="inlineStr">
        <is>
          <t>镇江淼沃酒店管理集团</t>
        </is>
      </c>
      <c r="D217" s="4" t="inlineStr">
        <is>
          <t>调味汁</t>
        </is>
      </c>
      <c r="E217" s="4" t="inlineStr">
        <is>
          <t>简装</t>
        </is>
      </c>
      <c r="F217" s="18" t="n">
        <v>520</v>
      </c>
      <c r="G217" s="15" t="n">
        <v>120.53</v>
      </c>
      <c r="H217" s="15" t="n">
        <v>62675.6</v>
      </c>
      <c r="I217" s="4" t="inlineStr">
        <is>
          <t>赣皖区域</t>
        </is>
      </c>
      <c r="J217" s="4" t="inlineStr">
        <is>
          <t>孙秀秀</t>
        </is>
      </c>
    </row>
    <row r="218">
      <c r="A218" s="14" t="n">
        <v>45878</v>
      </c>
      <c r="B218" s="4" t="inlineStr">
        <is>
          <t>SO202510050</t>
        </is>
      </c>
      <c r="C218" s="4" t="inlineStr">
        <is>
          <t>常州百味供应链有限公司</t>
        </is>
      </c>
      <c r="D218" s="4" t="inlineStr">
        <is>
          <t>川味底料</t>
        </is>
      </c>
      <c r="E218" s="4" t="inlineStr">
        <is>
          <t>特级</t>
        </is>
      </c>
      <c r="F218" s="18" t="n">
        <v>3170</v>
      </c>
      <c r="G218" s="15" t="n">
        <v>127.34</v>
      </c>
      <c r="H218" s="15" t="n">
        <v>403667.8</v>
      </c>
      <c r="I218" s="4" t="inlineStr">
        <is>
          <t>江苏分部</t>
        </is>
      </c>
      <c r="J218" s="4" t="inlineStr">
        <is>
          <t>张兰芳</t>
        </is>
      </c>
    </row>
    <row r="219">
      <c r="A219" s="14" t="n">
        <v>45878</v>
      </c>
      <c r="B219" s="4" t="inlineStr">
        <is>
          <t>SO202510060</t>
        </is>
      </c>
      <c r="C219" s="4" t="inlineStr">
        <is>
          <t>嘉兴优鲜供应链有限公司</t>
        </is>
      </c>
      <c r="D219" s="4" t="inlineStr">
        <is>
          <t>酱料</t>
        </is>
      </c>
      <c r="E219" s="4" t="inlineStr">
        <is>
          <t>精装</t>
        </is>
      </c>
      <c r="F219" s="18" t="n">
        <v>1190</v>
      </c>
      <c r="G219" s="15" t="n">
        <v>50.49</v>
      </c>
      <c r="H219" s="15" t="n">
        <v>60083.1</v>
      </c>
      <c r="I219" s="4" t="inlineStr">
        <is>
          <t>上海分部</t>
        </is>
      </c>
      <c r="J219" s="4" t="inlineStr">
        <is>
          <t>高杰敏</t>
        </is>
      </c>
    </row>
    <row r="220">
      <c r="A220" s="14" t="n">
        <v>45879</v>
      </c>
      <c r="B220" s="4" t="inlineStr">
        <is>
          <t>SO202510178</t>
        </is>
      </c>
      <c r="C220" s="4" t="inlineStr">
        <is>
          <t>上海优鲜供应链有限公司</t>
        </is>
      </c>
      <c r="D220" s="4" t="inlineStr">
        <is>
          <t>复合调味粉</t>
        </is>
      </c>
      <c r="E220" s="4" t="inlineStr">
        <is>
          <t>1kg</t>
        </is>
      </c>
      <c r="F220" s="18" t="n">
        <v>3370</v>
      </c>
      <c r="G220" s="15" t="n">
        <v>14.05</v>
      </c>
      <c r="H220" s="15" t="n">
        <v>47348.5</v>
      </c>
      <c r="I220" s="4" t="inlineStr">
        <is>
          <t>江苏分部</t>
        </is>
      </c>
      <c r="J220" s="4" t="inlineStr">
        <is>
          <t>罗艳英</t>
        </is>
      </c>
    </row>
    <row r="221">
      <c r="A221" s="14" t="n">
        <v>45880</v>
      </c>
      <c r="B221" s="4" t="inlineStr">
        <is>
          <t>SO202510103</t>
        </is>
      </c>
      <c r="C221" s="4" t="inlineStr">
        <is>
          <t>合肥食佳电商平台</t>
        </is>
      </c>
      <c r="D221" s="4" t="inlineStr">
        <is>
          <t>预制菜</t>
        </is>
      </c>
      <c r="E221" s="4" t="inlineStr">
        <is>
          <t>2.5kg</t>
        </is>
      </c>
      <c r="F221" s="18" t="n">
        <v>1050</v>
      </c>
      <c r="G221" s="15" t="n">
        <v>116.99</v>
      </c>
      <c r="H221" s="15" t="n">
        <v>122839.5</v>
      </c>
      <c r="I221" s="4" t="inlineStr">
        <is>
          <t>江苏分部</t>
        </is>
      </c>
      <c r="J221" s="4" t="inlineStr">
        <is>
          <t>陈超伟</t>
        </is>
      </c>
    </row>
    <row r="222">
      <c r="A222" s="14" t="n">
        <v>45882</v>
      </c>
      <c r="B222" s="4" t="inlineStr">
        <is>
          <t>SO202510319</t>
        </is>
      </c>
      <c r="C222" s="4" t="inlineStr">
        <is>
          <t>上海百味供应链有限公司</t>
        </is>
      </c>
      <c r="D222" s="4" t="inlineStr">
        <is>
          <t>酱料</t>
        </is>
      </c>
      <c r="E222" s="4" t="inlineStr">
        <is>
          <t>特级</t>
        </is>
      </c>
      <c r="F222" s="18" t="n">
        <v>790</v>
      </c>
      <c r="G222" s="15" t="n">
        <v>25.12</v>
      </c>
      <c r="H222" s="15" t="n">
        <v>19844.8</v>
      </c>
      <c r="I222" s="4" t="inlineStr">
        <is>
          <t>赣皖区域</t>
        </is>
      </c>
      <c r="J222" s="4" t="inlineStr">
        <is>
          <t>黄娟娜</t>
        </is>
      </c>
    </row>
    <row r="223">
      <c r="A223" s="14" t="n">
        <v>45883</v>
      </c>
      <c r="B223" s="4" t="inlineStr">
        <is>
          <t>SO202510219</t>
        </is>
      </c>
      <c r="C223" s="4" t="inlineStr">
        <is>
          <t>上海京功商贸有限公司</t>
        </is>
      </c>
      <c r="D223" s="4" t="inlineStr">
        <is>
          <t>中式汤底</t>
        </is>
      </c>
      <c r="E223" s="4" t="inlineStr">
        <is>
          <t>A级</t>
        </is>
      </c>
      <c r="F223" s="18" t="n">
        <v>3260</v>
      </c>
      <c r="G223" s="15" t="n">
        <v>113.26</v>
      </c>
      <c r="H223" s="15" t="n">
        <v>369227.6</v>
      </c>
      <c r="I223" s="4" t="inlineStr">
        <is>
          <t>浙江分部</t>
        </is>
      </c>
      <c r="J223" s="4" t="inlineStr">
        <is>
          <t>李英敏</t>
        </is>
      </c>
    </row>
    <row r="224">
      <c r="A224" s="14" t="n">
        <v>45886</v>
      </c>
      <c r="B224" s="4" t="inlineStr">
        <is>
          <t>SO202510131</t>
        </is>
      </c>
      <c r="C224" s="4" t="inlineStr">
        <is>
          <t>南昌百味超市</t>
        </is>
      </c>
      <c r="D224" s="4" t="inlineStr">
        <is>
          <t>预制菜</t>
        </is>
      </c>
      <c r="E224" s="4" t="inlineStr">
        <is>
          <t>500g</t>
        </is>
      </c>
      <c r="F224" s="18" t="n">
        <v>1150</v>
      </c>
      <c r="G224" s="15" t="n">
        <v>184.78</v>
      </c>
      <c r="H224" s="15" t="n">
        <v>212497</v>
      </c>
      <c r="I224" s="4" t="inlineStr">
        <is>
          <t>上海分部</t>
        </is>
      </c>
      <c r="J224" s="4" t="inlineStr">
        <is>
          <t>何娜秀</t>
        </is>
      </c>
    </row>
    <row r="225">
      <c r="A225" s="14" t="n">
        <v>45887</v>
      </c>
      <c r="B225" s="4" t="inlineStr">
        <is>
          <t>SO202510208</t>
        </is>
      </c>
      <c r="C225" s="4" t="inlineStr">
        <is>
          <t>苏州京功酒店管理集团</t>
        </is>
      </c>
      <c r="D225" s="4" t="inlineStr">
        <is>
          <t>酱料</t>
        </is>
      </c>
      <c r="E225" s="4" t="inlineStr">
        <is>
          <t>1kg</t>
        </is>
      </c>
      <c r="F225" s="18" t="n">
        <v>4260</v>
      </c>
      <c r="G225" s="15" t="n">
        <v>57.38</v>
      </c>
      <c r="H225" s="15" t="n">
        <v>244438.8</v>
      </c>
      <c r="I225" s="4" t="inlineStr">
        <is>
          <t>浙江分部</t>
        </is>
      </c>
      <c r="J225" s="4" t="inlineStr">
        <is>
          <t>朱敏敏</t>
        </is>
      </c>
    </row>
    <row r="226">
      <c r="A226" s="14" t="n">
        <v>45887</v>
      </c>
      <c r="B226" s="4" t="inlineStr">
        <is>
          <t>SO202510288</t>
        </is>
      </c>
      <c r="C226" s="4" t="inlineStr">
        <is>
          <t>无锡大匠超市</t>
        </is>
      </c>
      <c r="D226" s="4" t="inlineStr">
        <is>
          <t>复合调味粉</t>
        </is>
      </c>
      <c r="E226" s="4" t="inlineStr">
        <is>
          <t>C级</t>
        </is>
      </c>
      <c r="F226" s="18" t="n">
        <v>4550</v>
      </c>
      <c r="G226" s="15" t="n">
        <v>28.59</v>
      </c>
      <c r="H226" s="15" t="n">
        <v>130084.5</v>
      </c>
      <c r="I226" s="4" t="inlineStr">
        <is>
          <t>江苏分部</t>
        </is>
      </c>
      <c r="J226" s="4" t="inlineStr">
        <is>
          <t>刘洋伟</t>
        </is>
      </c>
    </row>
    <row r="227">
      <c r="A227" s="14" t="n">
        <v>45888</v>
      </c>
      <c r="B227" s="4" t="inlineStr">
        <is>
          <t>SO202510118</t>
        </is>
      </c>
      <c r="C227" s="4" t="inlineStr">
        <is>
          <t>镇江优鲜超市</t>
        </is>
      </c>
      <c r="D227" s="4" t="inlineStr">
        <is>
          <t>预制菜</t>
        </is>
      </c>
      <c r="E227" s="4" t="inlineStr">
        <is>
          <t>500g</t>
        </is>
      </c>
      <c r="F227" s="18" t="n">
        <v>2810</v>
      </c>
      <c r="G227" s="15" t="n">
        <v>48.58</v>
      </c>
      <c r="H227" s="15" t="n">
        <v>136509.8</v>
      </c>
      <c r="I227" s="4" t="inlineStr">
        <is>
          <t>上海分部</t>
        </is>
      </c>
      <c r="J227" s="4" t="inlineStr">
        <is>
          <t>胡杰芳</t>
        </is>
      </c>
    </row>
    <row r="228">
      <c r="A228" s="14" t="n">
        <v>45888</v>
      </c>
      <c r="B228" s="4" t="inlineStr">
        <is>
          <t>SO202510276</t>
        </is>
      </c>
      <c r="C228" s="4" t="inlineStr">
        <is>
          <t>上海大匠供应链有限公司</t>
        </is>
      </c>
      <c r="D228" s="4" t="inlineStr">
        <is>
          <t>团餐</t>
        </is>
      </c>
      <c r="E228" s="4" t="inlineStr">
        <is>
          <t>B级</t>
        </is>
      </c>
      <c r="F228" s="18" t="n">
        <v>4010</v>
      </c>
      <c r="G228" s="15" t="n">
        <v>60.49</v>
      </c>
      <c r="H228" s="15" t="n">
        <v>242564.9</v>
      </c>
      <c r="I228" s="4" t="inlineStr">
        <is>
          <t>赣皖区域</t>
        </is>
      </c>
      <c r="J228" s="4" t="inlineStr">
        <is>
          <t>黄洋敏</t>
        </is>
      </c>
    </row>
    <row r="229">
      <c r="A229" s="14" t="n">
        <v>45890</v>
      </c>
      <c r="B229" s="4" t="inlineStr">
        <is>
          <t>SO202510197</t>
        </is>
      </c>
      <c r="C229" s="4" t="inlineStr">
        <is>
          <t>杭州百味电商平台</t>
        </is>
      </c>
      <c r="D229" s="4" t="inlineStr">
        <is>
          <t>川味底料</t>
        </is>
      </c>
      <c r="E229" s="4" t="inlineStr">
        <is>
          <t>1kg</t>
        </is>
      </c>
      <c r="F229" s="18" t="n">
        <v>1240</v>
      </c>
      <c r="G229" s="15" t="n">
        <v>53.37</v>
      </c>
      <c r="H229" s="15" t="n">
        <v>66178.8</v>
      </c>
      <c r="I229" s="4" t="inlineStr">
        <is>
          <t>赣皖区域</t>
        </is>
      </c>
      <c r="J229" s="4" t="inlineStr">
        <is>
          <t>刘涛伟</t>
        </is>
      </c>
    </row>
    <row r="230">
      <c r="A230" s="14" t="n">
        <v>45891</v>
      </c>
      <c r="B230" s="4" t="inlineStr">
        <is>
          <t>SO202510187</t>
        </is>
      </c>
      <c r="C230" s="4" t="inlineStr">
        <is>
          <t>宁波优鲜餐饮管理有限公司</t>
        </is>
      </c>
      <c r="D230" s="4" t="inlineStr">
        <is>
          <t>川味底料</t>
        </is>
      </c>
      <c r="E230" s="4" t="inlineStr">
        <is>
          <t>C级</t>
        </is>
      </c>
      <c r="F230" s="18" t="n">
        <v>3120</v>
      </c>
      <c r="G230" s="15" t="n">
        <v>147.12</v>
      </c>
      <c r="H230" s="15" t="n">
        <v>459014.4</v>
      </c>
      <c r="I230" s="4" t="inlineStr">
        <is>
          <t>浙江分部</t>
        </is>
      </c>
      <c r="J230" s="4" t="inlineStr">
        <is>
          <t>马伟娜</t>
        </is>
      </c>
    </row>
    <row r="231">
      <c r="A231" s="14" t="n">
        <v>45891</v>
      </c>
      <c r="B231" s="4" t="inlineStr">
        <is>
          <t>SO202510305</t>
        </is>
      </c>
      <c r="C231" s="4" t="inlineStr">
        <is>
          <t>常州京功商贸有限公司</t>
        </is>
      </c>
      <c r="D231" s="4" t="inlineStr">
        <is>
          <t>酱料</t>
        </is>
      </c>
      <c r="E231" s="4" t="inlineStr">
        <is>
          <t>10kg</t>
        </is>
      </c>
      <c r="F231" s="18" t="n">
        <v>960</v>
      </c>
      <c r="G231" s="15" t="n">
        <v>70.72</v>
      </c>
      <c r="H231" s="15" t="n">
        <v>67891.2</v>
      </c>
      <c r="I231" s="4" t="inlineStr">
        <is>
          <t>赣皖区域</t>
        </is>
      </c>
      <c r="J231" s="4" t="inlineStr">
        <is>
          <t>王丽芳</t>
        </is>
      </c>
    </row>
    <row r="232">
      <c r="A232" s="14" t="n">
        <v>45892</v>
      </c>
      <c r="B232" s="4" t="inlineStr">
        <is>
          <t>SO202510224</t>
        </is>
      </c>
      <c r="C232" s="4" t="inlineStr">
        <is>
          <t>上海优鲜餐饮管理有限公司</t>
        </is>
      </c>
      <c r="D232" s="4" t="inlineStr">
        <is>
          <t>复合调味粉</t>
        </is>
      </c>
      <c r="E232" s="4" t="inlineStr">
        <is>
          <t>2.5kg</t>
        </is>
      </c>
      <c r="F232" s="18" t="n">
        <v>3420</v>
      </c>
      <c r="G232" s="15" t="n">
        <v>180.1</v>
      </c>
      <c r="H232" s="15" t="n">
        <v>615942</v>
      </c>
      <c r="I232" s="4" t="inlineStr">
        <is>
          <t>上海分部</t>
        </is>
      </c>
      <c r="J232" s="4" t="inlineStr">
        <is>
          <t>高洋英</t>
        </is>
      </c>
    </row>
    <row r="233">
      <c r="A233" s="14" t="n">
        <v>45893</v>
      </c>
      <c r="B233" s="4" t="inlineStr">
        <is>
          <t>SO202510154</t>
        </is>
      </c>
      <c r="C233" s="4" t="inlineStr">
        <is>
          <t>无锡大匠供应链有限公司</t>
        </is>
      </c>
      <c r="D233" s="4" t="inlineStr">
        <is>
          <t>复合调味粉</t>
        </is>
      </c>
      <c r="E233" s="4" t="inlineStr">
        <is>
          <t>C级</t>
        </is>
      </c>
      <c r="F233" s="18" t="n">
        <v>2750</v>
      </c>
      <c r="G233" s="15" t="n">
        <v>178.38</v>
      </c>
      <c r="H233" s="15" t="n">
        <v>490545</v>
      </c>
      <c r="I233" s="4" t="inlineStr">
        <is>
          <t>浙江分部</t>
        </is>
      </c>
      <c r="J233" s="4" t="inlineStr">
        <is>
          <t>王艳芳</t>
        </is>
      </c>
    </row>
    <row r="234">
      <c r="A234" s="14" t="n">
        <v>45893</v>
      </c>
      <c r="B234" s="4" t="inlineStr">
        <is>
          <t>SO202510295</t>
        </is>
      </c>
      <c r="C234" s="4" t="inlineStr">
        <is>
          <t>合肥大匠酒店管理集团</t>
        </is>
      </c>
      <c r="D234" s="4" t="inlineStr">
        <is>
          <t>川味底料</t>
        </is>
      </c>
      <c r="E234" s="4" t="inlineStr">
        <is>
          <t>A级</t>
        </is>
      </c>
      <c r="F234" s="18" t="n">
        <v>2770</v>
      </c>
      <c r="G234" s="15" t="n">
        <v>90.84999999999999</v>
      </c>
      <c r="H234" s="15" t="n">
        <v>251654.5</v>
      </c>
      <c r="I234" s="4" t="inlineStr">
        <is>
          <t>赣皖区域</t>
        </is>
      </c>
      <c r="J234" s="4" t="inlineStr">
        <is>
          <t>罗杰娜</t>
        </is>
      </c>
    </row>
    <row r="235">
      <c r="A235" s="14" t="n">
        <v>45897</v>
      </c>
      <c r="B235" s="4" t="inlineStr">
        <is>
          <t>SO202510091</t>
        </is>
      </c>
      <c r="C235" s="4" t="inlineStr">
        <is>
          <t>苏州淼沃供应链有限公司</t>
        </is>
      </c>
      <c r="D235" s="4" t="inlineStr">
        <is>
          <t>复合调味粉</t>
        </is>
      </c>
      <c r="E235" s="4" t="inlineStr">
        <is>
          <t>500g</t>
        </is>
      </c>
      <c r="F235" s="18" t="n">
        <v>1620</v>
      </c>
      <c r="G235" s="15" t="n">
        <v>153.91</v>
      </c>
      <c r="H235" s="15" t="n">
        <v>249334.2</v>
      </c>
      <c r="I235" s="4" t="inlineStr">
        <is>
          <t>上海分部</t>
        </is>
      </c>
      <c r="J235" s="4" t="inlineStr">
        <is>
          <t>陈强敏</t>
        </is>
      </c>
    </row>
    <row r="236">
      <c r="A236" s="14" t="n">
        <v>45897</v>
      </c>
      <c r="B236" s="4" t="inlineStr">
        <is>
          <t>SO202510167</t>
        </is>
      </c>
      <c r="C236" s="4" t="inlineStr">
        <is>
          <t>南昌淼沃餐饮管理有限公司</t>
        </is>
      </c>
      <c r="D236" s="4" t="inlineStr">
        <is>
          <t>中式汤底</t>
        </is>
      </c>
      <c r="E236" s="4" t="inlineStr">
        <is>
          <t>标准</t>
        </is>
      </c>
      <c r="F236" s="18" t="n">
        <v>1880</v>
      </c>
      <c r="G236" s="15" t="n">
        <v>38.26</v>
      </c>
      <c r="H236" s="15" t="n">
        <v>71928.8</v>
      </c>
      <c r="I236" s="4" t="inlineStr">
        <is>
          <t>江苏分部</t>
        </is>
      </c>
      <c r="J236" s="4" t="inlineStr">
        <is>
          <t>赵芳秀</t>
        </is>
      </c>
    </row>
    <row r="237">
      <c r="A237" s="14" t="n">
        <v>45901</v>
      </c>
      <c r="B237" s="4" t="inlineStr">
        <is>
          <t>SO202510166</t>
        </is>
      </c>
      <c r="C237" s="4" t="inlineStr">
        <is>
          <t>镇江百味食品有限公司</t>
        </is>
      </c>
      <c r="D237" s="4" t="inlineStr">
        <is>
          <t>复合调味粉</t>
        </is>
      </c>
      <c r="E237" s="4" t="inlineStr">
        <is>
          <t>5kg</t>
        </is>
      </c>
      <c r="F237" s="18" t="n">
        <v>2260</v>
      </c>
      <c r="G237" s="15" t="n">
        <v>5.54</v>
      </c>
      <c r="H237" s="15" t="n">
        <v>12520.4</v>
      </c>
      <c r="I237" s="4" t="inlineStr">
        <is>
          <t>赣皖区域</t>
        </is>
      </c>
      <c r="J237" s="4" t="inlineStr">
        <is>
          <t>张明敏</t>
        </is>
      </c>
    </row>
    <row r="238">
      <c r="A238" s="14" t="n">
        <v>45901</v>
      </c>
      <c r="B238" s="4" t="inlineStr">
        <is>
          <t>SO202510310</t>
        </is>
      </c>
      <c r="C238" s="4" t="inlineStr">
        <is>
          <t>上海淼沃电商平台</t>
        </is>
      </c>
      <c r="D238" s="4" t="inlineStr">
        <is>
          <t>团餐</t>
        </is>
      </c>
      <c r="E238" s="4" t="inlineStr">
        <is>
          <t>10kg</t>
        </is>
      </c>
      <c r="F238" s="18" t="n">
        <v>3220</v>
      </c>
      <c r="G238" s="15" t="n">
        <v>80.3</v>
      </c>
      <c r="H238" s="15" t="n">
        <v>258566</v>
      </c>
      <c r="I238" s="4" t="inlineStr">
        <is>
          <t>浙江分部</t>
        </is>
      </c>
      <c r="J238" s="4" t="inlineStr">
        <is>
          <t>孙磊娜</t>
        </is>
      </c>
    </row>
    <row r="239">
      <c r="A239" s="14" t="n">
        <v>45902</v>
      </c>
      <c r="B239" s="4" t="inlineStr">
        <is>
          <t>SO202510018</t>
        </is>
      </c>
      <c r="C239" s="4" t="inlineStr">
        <is>
          <t>镇江大匠餐饮管理有限公司</t>
        </is>
      </c>
      <c r="D239" s="4" t="inlineStr">
        <is>
          <t>中式汤底</t>
        </is>
      </c>
      <c r="E239" s="4" t="inlineStr">
        <is>
          <t>5kg</t>
        </is>
      </c>
      <c r="F239" s="18" t="n">
        <v>2460</v>
      </c>
      <c r="G239" s="15" t="n">
        <v>190.1</v>
      </c>
      <c r="H239" s="15" t="n">
        <v>467646</v>
      </c>
      <c r="I239" s="4" t="inlineStr">
        <is>
          <t>上海分部</t>
        </is>
      </c>
      <c r="J239" s="4" t="inlineStr">
        <is>
          <t>张超伟</t>
        </is>
      </c>
    </row>
    <row r="240">
      <c r="A240" s="14" t="n">
        <v>45902</v>
      </c>
      <c r="B240" s="4" t="inlineStr">
        <is>
          <t>SO202510024</t>
        </is>
      </c>
      <c r="C240" s="4" t="inlineStr">
        <is>
          <t>常州京功商贸有限公司</t>
        </is>
      </c>
      <c r="D240" s="4" t="inlineStr">
        <is>
          <t>团餐</t>
        </is>
      </c>
      <c r="E240" s="4" t="inlineStr">
        <is>
          <t>1kg</t>
        </is>
      </c>
      <c r="F240" s="18" t="n">
        <v>3360</v>
      </c>
      <c r="G240" s="15" t="n">
        <v>90.58</v>
      </c>
      <c r="H240" s="15" t="n">
        <v>304348.8</v>
      </c>
      <c r="I240" s="4" t="inlineStr">
        <is>
          <t>上海分部</t>
        </is>
      </c>
      <c r="J240" s="4" t="inlineStr">
        <is>
          <t>王英娜</t>
        </is>
      </c>
    </row>
    <row r="241">
      <c r="A241" s="14" t="n">
        <v>45902</v>
      </c>
      <c r="B241" s="4" t="inlineStr">
        <is>
          <t>SO202510161</t>
        </is>
      </c>
      <c r="C241" s="4" t="inlineStr">
        <is>
          <t>无锡淼沃餐饮管理有限公司</t>
        </is>
      </c>
      <c r="D241" s="4" t="inlineStr">
        <is>
          <t>预制菜</t>
        </is>
      </c>
      <c r="E241" s="4" t="inlineStr">
        <is>
          <t>B级</t>
        </is>
      </c>
      <c r="F241" s="18" t="n">
        <v>3070</v>
      </c>
      <c r="G241" s="15" t="n">
        <v>31.58</v>
      </c>
      <c r="H241" s="15" t="n">
        <v>96950.60000000001</v>
      </c>
      <c r="I241" s="4" t="inlineStr">
        <is>
          <t>赣皖区域</t>
        </is>
      </c>
      <c r="J241" s="4" t="inlineStr">
        <is>
          <t>李艳娜</t>
        </is>
      </c>
    </row>
    <row r="242">
      <c r="A242" s="14" t="n">
        <v>45903</v>
      </c>
      <c r="B242" s="4" t="inlineStr">
        <is>
          <t>SO202510056</t>
        </is>
      </c>
      <c r="C242" s="4" t="inlineStr">
        <is>
          <t>杭州京功餐饮管理有限公司</t>
        </is>
      </c>
      <c r="D242" s="4" t="inlineStr">
        <is>
          <t>调味汁</t>
        </is>
      </c>
      <c r="E242" s="4" t="inlineStr">
        <is>
          <t>25kg</t>
        </is>
      </c>
      <c r="F242" s="18" t="n">
        <v>70</v>
      </c>
      <c r="G242" s="15" t="n">
        <v>180.15</v>
      </c>
      <c r="H242" s="15" t="n">
        <v>12610.5</v>
      </c>
      <c r="I242" s="4" t="inlineStr">
        <is>
          <t>赣皖区域</t>
        </is>
      </c>
      <c r="J242" s="4" t="inlineStr">
        <is>
          <t>张芳秀</t>
        </is>
      </c>
    </row>
    <row r="243">
      <c r="A243" s="14" t="n">
        <v>45907</v>
      </c>
      <c r="B243" s="4" t="inlineStr">
        <is>
          <t>SO202510048</t>
        </is>
      </c>
      <c r="C243" s="4" t="inlineStr">
        <is>
          <t>宁波优鲜电商平台</t>
        </is>
      </c>
      <c r="D243" s="4" t="inlineStr">
        <is>
          <t>中式汤底</t>
        </is>
      </c>
      <c r="E243" s="4" t="inlineStr">
        <is>
          <t>500g</t>
        </is>
      </c>
      <c r="F243" s="18" t="n">
        <v>120</v>
      </c>
      <c r="G243" s="15" t="n">
        <v>43.6</v>
      </c>
      <c r="H243" s="15" t="n">
        <v>5232</v>
      </c>
      <c r="I243" s="4" t="inlineStr">
        <is>
          <t>浙江分部</t>
        </is>
      </c>
      <c r="J243" s="4" t="inlineStr">
        <is>
          <t>马强娜</t>
        </is>
      </c>
    </row>
    <row r="244">
      <c r="A244" s="14" t="n">
        <v>45907</v>
      </c>
      <c r="B244" s="4" t="inlineStr">
        <is>
          <t>SO202510281</t>
        </is>
      </c>
      <c r="C244" s="4" t="inlineStr">
        <is>
          <t>嘉兴百味供应链有限公司</t>
        </is>
      </c>
      <c r="D244" s="4" t="inlineStr">
        <is>
          <t>团餐</t>
        </is>
      </c>
      <c r="E244" s="4" t="inlineStr">
        <is>
          <t>500g</t>
        </is>
      </c>
      <c r="F244" s="18" t="n">
        <v>1100</v>
      </c>
      <c r="G244" s="15" t="n">
        <v>99.26000000000001</v>
      </c>
      <c r="H244" s="15" t="n">
        <v>109186</v>
      </c>
      <c r="I244" s="4" t="inlineStr">
        <is>
          <t>江苏分部</t>
        </is>
      </c>
      <c r="J244" s="4" t="inlineStr">
        <is>
          <t>孙艳敏</t>
        </is>
      </c>
    </row>
    <row r="245">
      <c r="A245" s="14" t="n">
        <v>45908</v>
      </c>
      <c r="B245" s="4" t="inlineStr">
        <is>
          <t>SO202510020</t>
        </is>
      </c>
      <c r="C245" s="4" t="inlineStr">
        <is>
          <t>南昌食佳供应链有限公司</t>
        </is>
      </c>
      <c r="D245" s="4" t="inlineStr">
        <is>
          <t>中式汤底</t>
        </is>
      </c>
      <c r="E245" s="4" t="inlineStr">
        <is>
          <t>B级</t>
        </is>
      </c>
      <c r="F245" s="18" t="n">
        <v>3940</v>
      </c>
      <c r="G245" s="15" t="n">
        <v>83.06999999999999</v>
      </c>
      <c r="H245" s="15" t="n">
        <v>327295.8</v>
      </c>
      <c r="I245" s="4" t="inlineStr">
        <is>
          <t>上海分部</t>
        </is>
      </c>
      <c r="J245" s="4" t="inlineStr">
        <is>
          <t>高秀娜</t>
        </is>
      </c>
    </row>
    <row r="246">
      <c r="A246" s="14" t="n">
        <v>45909</v>
      </c>
      <c r="B246" s="4" t="inlineStr">
        <is>
          <t>SO202510308</t>
        </is>
      </c>
      <c r="C246" s="4" t="inlineStr">
        <is>
          <t>苏州优鲜商贸有限公司</t>
        </is>
      </c>
      <c r="D246" s="4" t="inlineStr">
        <is>
          <t>川味底料</t>
        </is>
      </c>
      <c r="E246" s="4" t="inlineStr">
        <is>
          <t>A级</t>
        </is>
      </c>
      <c r="F246" s="18" t="n">
        <v>2050</v>
      </c>
      <c r="G246" s="15" t="n">
        <v>128.75</v>
      </c>
      <c r="H246" s="15" t="n">
        <v>263937.5</v>
      </c>
      <c r="I246" s="4" t="inlineStr">
        <is>
          <t>上海分部</t>
        </is>
      </c>
      <c r="J246" s="4" t="inlineStr">
        <is>
          <t>林超敏</t>
        </is>
      </c>
    </row>
    <row r="247">
      <c r="A247" s="14" t="n">
        <v>45910</v>
      </c>
      <c r="B247" s="4" t="inlineStr">
        <is>
          <t>SO202510280</t>
        </is>
      </c>
      <c r="C247" s="4" t="inlineStr">
        <is>
          <t>宁波淼沃商贸有限公司</t>
        </is>
      </c>
      <c r="D247" s="4" t="inlineStr">
        <is>
          <t>中式汤底</t>
        </is>
      </c>
      <c r="E247" s="4" t="inlineStr">
        <is>
          <t>精装</t>
        </is>
      </c>
      <c r="F247" s="18" t="n">
        <v>3580</v>
      </c>
      <c r="G247" s="15" t="n">
        <v>184.6</v>
      </c>
      <c r="H247" s="15" t="n">
        <v>660868</v>
      </c>
      <c r="I247" s="4" t="inlineStr">
        <is>
          <t>浙江分部</t>
        </is>
      </c>
      <c r="J247" s="4" t="inlineStr">
        <is>
          <t>黄洋敏</t>
        </is>
      </c>
    </row>
    <row r="248">
      <c r="A248" s="14" t="n">
        <v>45917</v>
      </c>
      <c r="B248" s="4" t="inlineStr">
        <is>
          <t>SO202510163</t>
        </is>
      </c>
      <c r="C248" s="4" t="inlineStr">
        <is>
          <t>镇江淼沃电商平台</t>
        </is>
      </c>
      <c r="D248" s="4" t="inlineStr">
        <is>
          <t>中式汤底</t>
        </is>
      </c>
      <c r="E248" s="4" t="inlineStr">
        <is>
          <t>500g</t>
        </is>
      </c>
      <c r="F248" s="18" t="n">
        <v>4070</v>
      </c>
      <c r="G248" s="15" t="n">
        <v>44.25</v>
      </c>
      <c r="H248" s="15" t="n">
        <v>180097.5</v>
      </c>
      <c r="I248" s="4" t="inlineStr">
        <is>
          <t>上海分部</t>
        </is>
      </c>
      <c r="J248" s="4" t="inlineStr">
        <is>
          <t>马艳娜</t>
        </is>
      </c>
    </row>
    <row r="249">
      <c r="A249" s="14" t="n">
        <v>45918</v>
      </c>
      <c r="B249" s="4" t="inlineStr">
        <is>
          <t>SO202510037</t>
        </is>
      </c>
      <c r="C249" s="4" t="inlineStr">
        <is>
          <t>嘉兴京功供应链有限公司</t>
        </is>
      </c>
      <c r="D249" s="4" t="inlineStr">
        <is>
          <t>川味底料</t>
        </is>
      </c>
      <c r="E249" s="4" t="inlineStr">
        <is>
          <t>25kg</t>
        </is>
      </c>
      <c r="F249" s="18" t="n">
        <v>3950</v>
      </c>
      <c r="G249" s="15" t="n">
        <v>58.71</v>
      </c>
      <c r="H249" s="15" t="n">
        <v>231904.5</v>
      </c>
      <c r="I249" s="4" t="inlineStr">
        <is>
          <t>浙江分部</t>
        </is>
      </c>
      <c r="J249" s="4" t="inlineStr">
        <is>
          <t>高超秀</t>
        </is>
      </c>
    </row>
    <row r="250">
      <c r="A250" s="14" t="n">
        <v>45918</v>
      </c>
      <c r="B250" s="4" t="inlineStr">
        <is>
          <t>SO202510283</t>
        </is>
      </c>
      <c r="C250" s="4" t="inlineStr">
        <is>
          <t>苏州食佳电商平台</t>
        </is>
      </c>
      <c r="D250" s="4" t="inlineStr">
        <is>
          <t>酱料</t>
        </is>
      </c>
      <c r="E250" s="4" t="inlineStr">
        <is>
          <t>1kg</t>
        </is>
      </c>
      <c r="F250" s="18" t="n">
        <v>4530</v>
      </c>
      <c r="G250" s="15" t="n">
        <v>147.11</v>
      </c>
      <c r="H250" s="15" t="n">
        <v>666408.3</v>
      </c>
      <c r="I250" s="4" t="inlineStr">
        <is>
          <t>上海分部</t>
        </is>
      </c>
      <c r="J250" s="4" t="inlineStr">
        <is>
          <t>胡芳敏</t>
        </is>
      </c>
    </row>
    <row r="251">
      <c r="A251" s="14" t="n">
        <v>45919</v>
      </c>
      <c r="B251" s="4" t="inlineStr">
        <is>
          <t>SO202510318</t>
        </is>
      </c>
      <c r="C251" s="4" t="inlineStr">
        <is>
          <t>镇江大匠食品有限公司</t>
        </is>
      </c>
      <c r="D251" s="4" t="inlineStr">
        <is>
          <t>川味底料</t>
        </is>
      </c>
      <c r="E251" s="4" t="inlineStr">
        <is>
          <t>标准</t>
        </is>
      </c>
      <c r="F251" s="18" t="n">
        <v>3710</v>
      </c>
      <c r="G251" s="15" t="n">
        <v>125.05</v>
      </c>
      <c r="H251" s="15" t="n">
        <v>463935.5</v>
      </c>
      <c r="I251" s="4" t="inlineStr">
        <is>
          <t>浙江分部</t>
        </is>
      </c>
      <c r="J251" s="4" t="inlineStr">
        <is>
          <t>郭洋芳</t>
        </is>
      </c>
    </row>
    <row r="252">
      <c r="A252" s="14" t="n">
        <v>45920</v>
      </c>
      <c r="B252" s="4" t="inlineStr">
        <is>
          <t>SO202510015</t>
        </is>
      </c>
      <c r="C252" s="4" t="inlineStr">
        <is>
          <t>合肥京功酒店管理集团</t>
        </is>
      </c>
      <c r="D252" s="4" t="inlineStr">
        <is>
          <t>酱料</t>
        </is>
      </c>
      <c r="E252" s="4" t="inlineStr">
        <is>
          <t>1kg</t>
        </is>
      </c>
      <c r="F252" s="18" t="n">
        <v>200</v>
      </c>
      <c r="G252" s="15" t="n">
        <v>59.8</v>
      </c>
      <c r="H252" s="15" t="n">
        <v>11960</v>
      </c>
      <c r="I252" s="4" t="inlineStr">
        <is>
          <t>江苏分部</t>
        </is>
      </c>
      <c r="J252" s="4" t="inlineStr">
        <is>
          <t>马丽英</t>
        </is>
      </c>
    </row>
    <row r="253">
      <c r="A253" s="14" t="n">
        <v>45921</v>
      </c>
      <c r="B253" s="4" t="inlineStr">
        <is>
          <t>SO202510293</t>
        </is>
      </c>
      <c r="C253" s="4" t="inlineStr">
        <is>
          <t>镇江百味酒店管理集团</t>
        </is>
      </c>
      <c r="D253" s="4" t="inlineStr">
        <is>
          <t>复合调味粉</t>
        </is>
      </c>
      <c r="E253" s="4" t="inlineStr">
        <is>
          <t>A级</t>
        </is>
      </c>
      <c r="F253" s="18" t="n">
        <v>3850</v>
      </c>
      <c r="G253" s="15" t="n">
        <v>147.97</v>
      </c>
      <c r="H253" s="15" t="n">
        <v>569684.5</v>
      </c>
      <c r="I253" s="4" t="inlineStr">
        <is>
          <t>赣皖区域</t>
        </is>
      </c>
      <c r="J253" s="4" t="inlineStr">
        <is>
          <t>高丽芳</t>
        </is>
      </c>
    </row>
    <row r="254">
      <c r="A254" s="14" t="n">
        <v>45922</v>
      </c>
      <c r="B254" s="4" t="inlineStr">
        <is>
          <t>SO202510216</t>
        </is>
      </c>
      <c r="C254" s="4" t="inlineStr">
        <is>
          <t>南昌大匠酒店管理集团</t>
        </is>
      </c>
      <c r="D254" s="4" t="inlineStr">
        <is>
          <t>川味底料</t>
        </is>
      </c>
      <c r="E254" s="4" t="inlineStr">
        <is>
          <t>C级</t>
        </is>
      </c>
      <c r="F254" s="18" t="n">
        <v>3830</v>
      </c>
      <c r="G254" s="15" t="n">
        <v>135.87</v>
      </c>
      <c r="H254" s="15" t="n">
        <v>520382.1</v>
      </c>
      <c r="I254" s="4" t="inlineStr">
        <is>
          <t>江苏分部</t>
        </is>
      </c>
      <c r="J254" s="4" t="inlineStr">
        <is>
          <t>杨敏敏</t>
        </is>
      </c>
    </row>
    <row r="255">
      <c r="A255" s="14" t="n">
        <v>45925</v>
      </c>
      <c r="B255" s="4" t="inlineStr">
        <is>
          <t>SO202510125</t>
        </is>
      </c>
      <c r="C255" s="4" t="inlineStr">
        <is>
          <t>常州百味餐饮管理有限公司</t>
        </is>
      </c>
      <c r="D255" s="4" t="inlineStr">
        <is>
          <t>预制菜</t>
        </is>
      </c>
      <c r="E255" s="4" t="inlineStr">
        <is>
          <t>2.5kg</t>
        </is>
      </c>
      <c r="F255" s="18" t="n">
        <v>1330</v>
      </c>
      <c r="G255" s="15" t="n">
        <v>156.31</v>
      </c>
      <c r="H255" s="15" t="n">
        <v>207892.3</v>
      </c>
      <c r="I255" s="4" t="inlineStr">
        <is>
          <t>江苏分部</t>
        </is>
      </c>
      <c r="J255" s="4" t="inlineStr">
        <is>
          <t>黄芳敏</t>
        </is>
      </c>
    </row>
    <row r="256">
      <c r="A256" s="14" t="n">
        <v>45926</v>
      </c>
      <c r="B256" s="4" t="inlineStr">
        <is>
          <t>SO202510007</t>
        </is>
      </c>
      <c r="C256" s="4" t="inlineStr">
        <is>
          <t>温州食佳食品有限公司</t>
        </is>
      </c>
      <c r="D256" s="4" t="inlineStr">
        <is>
          <t>预制菜</t>
        </is>
      </c>
      <c r="E256" s="4" t="inlineStr">
        <is>
          <t>精装</t>
        </is>
      </c>
      <c r="F256" s="18" t="n">
        <v>190</v>
      </c>
      <c r="G256" s="15" t="n">
        <v>188.57</v>
      </c>
      <c r="H256" s="15" t="n">
        <v>35828.3</v>
      </c>
      <c r="I256" s="4" t="inlineStr">
        <is>
          <t>江苏分部</t>
        </is>
      </c>
      <c r="J256" s="4" t="inlineStr">
        <is>
          <t>李丽敏</t>
        </is>
      </c>
    </row>
    <row r="257">
      <c r="A257" s="14" t="n">
        <v>45926</v>
      </c>
      <c r="B257" s="4" t="inlineStr">
        <is>
          <t>SO202510340</t>
        </is>
      </c>
      <c r="C257" s="4" t="inlineStr">
        <is>
          <t>镇江淼沃食品有限公司</t>
        </is>
      </c>
      <c r="D257" s="4" t="inlineStr">
        <is>
          <t>调味汁</t>
        </is>
      </c>
      <c r="E257" s="4" t="inlineStr">
        <is>
          <t>25kg</t>
        </is>
      </c>
      <c r="F257" s="18" t="n">
        <v>3640</v>
      </c>
      <c r="G257" s="15" t="n">
        <v>103.03</v>
      </c>
      <c r="H257" s="15" t="n">
        <v>375029.2</v>
      </c>
      <c r="I257" s="4" t="inlineStr">
        <is>
          <t>上海分部</t>
        </is>
      </c>
      <c r="J257" s="4" t="inlineStr">
        <is>
          <t>高芳伟</t>
        </is>
      </c>
    </row>
    <row r="258">
      <c r="A258" s="14" t="n">
        <v>45927</v>
      </c>
      <c r="B258" s="4" t="inlineStr">
        <is>
          <t>SO202510186</t>
        </is>
      </c>
      <c r="C258" s="4" t="inlineStr">
        <is>
          <t>南昌食佳电商平台</t>
        </is>
      </c>
      <c r="D258" s="4" t="inlineStr">
        <is>
          <t>酱料</t>
        </is>
      </c>
      <c r="E258" s="4" t="inlineStr">
        <is>
          <t>B级</t>
        </is>
      </c>
      <c r="F258" s="18" t="n">
        <v>4220</v>
      </c>
      <c r="G258" s="15" t="n">
        <v>117.02</v>
      </c>
      <c r="H258" s="15" t="n">
        <v>493824.4</v>
      </c>
      <c r="I258" s="4" t="inlineStr">
        <is>
          <t>上海分部</t>
        </is>
      </c>
      <c r="J258" s="4" t="inlineStr">
        <is>
          <t>赵兰芳</t>
        </is>
      </c>
    </row>
    <row r="259">
      <c r="A259" s="14" t="n">
        <v>45927</v>
      </c>
      <c r="B259" s="4" t="inlineStr">
        <is>
          <t>SO202510254</t>
        </is>
      </c>
      <c r="C259" s="4" t="inlineStr">
        <is>
          <t>温州淼沃超市</t>
        </is>
      </c>
      <c r="D259" s="4" t="inlineStr">
        <is>
          <t>团餐</t>
        </is>
      </c>
      <c r="E259" s="4" t="inlineStr">
        <is>
          <t>B级</t>
        </is>
      </c>
      <c r="F259" s="18" t="n">
        <v>730</v>
      </c>
      <c r="G259" s="15" t="n">
        <v>138.75</v>
      </c>
      <c r="H259" s="15" t="n">
        <v>101287.5</v>
      </c>
      <c r="I259" s="4" t="inlineStr">
        <is>
          <t>浙江分部</t>
        </is>
      </c>
      <c r="J259" s="4" t="inlineStr">
        <is>
          <t>周勇娜</t>
        </is>
      </c>
    </row>
    <row r="260">
      <c r="A260" s="14" t="n">
        <v>45936</v>
      </c>
      <c r="B260" s="4" t="inlineStr">
        <is>
          <t>SO202510095</t>
        </is>
      </c>
      <c r="C260" s="4" t="inlineStr">
        <is>
          <t>温州食佳商贸有限公司</t>
        </is>
      </c>
      <c r="D260" s="4" t="inlineStr">
        <is>
          <t>团餐</t>
        </is>
      </c>
      <c r="E260" s="4" t="inlineStr">
        <is>
          <t>25kg</t>
        </is>
      </c>
      <c r="F260" s="18" t="n">
        <v>1300</v>
      </c>
      <c r="G260" s="15" t="n">
        <v>198.87</v>
      </c>
      <c r="H260" s="15" t="n">
        <v>258531</v>
      </c>
      <c r="I260" s="4" t="inlineStr">
        <is>
          <t>江苏分部</t>
        </is>
      </c>
      <c r="J260" s="4" t="inlineStr">
        <is>
          <t>胡丽芳</t>
        </is>
      </c>
    </row>
    <row r="261">
      <c r="A261" s="14" t="n">
        <v>45937</v>
      </c>
      <c r="B261" s="4" t="inlineStr">
        <is>
          <t>SO202510328</t>
        </is>
      </c>
      <c r="C261" s="4" t="inlineStr">
        <is>
          <t>宁波淼沃电商平台</t>
        </is>
      </c>
      <c r="D261" s="4" t="inlineStr">
        <is>
          <t>调味汁</t>
        </is>
      </c>
      <c r="E261" s="4" t="inlineStr">
        <is>
          <t>A级</t>
        </is>
      </c>
      <c r="F261" s="18" t="n">
        <v>500</v>
      </c>
      <c r="G261" s="15" t="n">
        <v>184.1</v>
      </c>
      <c r="H261" s="15" t="n">
        <v>92050</v>
      </c>
      <c r="I261" s="4" t="inlineStr">
        <is>
          <t>上海分部</t>
        </is>
      </c>
      <c r="J261" s="4" t="inlineStr">
        <is>
          <t>孙超伟</t>
        </is>
      </c>
    </row>
    <row r="262">
      <c r="A262" s="14" t="n">
        <v>45938</v>
      </c>
      <c r="B262" s="4" t="inlineStr">
        <is>
          <t>SO202510083</t>
        </is>
      </c>
      <c r="C262" s="4" t="inlineStr">
        <is>
          <t>常州优鲜供应链有限公司</t>
        </is>
      </c>
      <c r="D262" s="4" t="inlineStr">
        <is>
          <t>调味汁</t>
        </is>
      </c>
      <c r="E262" s="4" t="inlineStr">
        <is>
          <t>C级</t>
        </is>
      </c>
      <c r="F262" s="18" t="n">
        <v>2990</v>
      </c>
      <c r="G262" s="15" t="n">
        <v>55.71</v>
      </c>
      <c r="H262" s="15" t="n">
        <v>166572.9</v>
      </c>
      <c r="I262" s="4" t="inlineStr">
        <is>
          <t>赣皖区域</t>
        </is>
      </c>
      <c r="J262" s="4" t="inlineStr">
        <is>
          <t>刘敏娜</t>
        </is>
      </c>
    </row>
    <row r="263">
      <c r="A263" s="14" t="n">
        <v>45938</v>
      </c>
      <c r="B263" s="4" t="inlineStr">
        <is>
          <t>SO202510183</t>
        </is>
      </c>
      <c r="C263" s="4" t="inlineStr">
        <is>
          <t>上海食佳电商平台</t>
        </is>
      </c>
      <c r="D263" s="4" t="inlineStr">
        <is>
          <t>预制菜</t>
        </is>
      </c>
      <c r="E263" s="4" t="inlineStr">
        <is>
          <t>5kg</t>
        </is>
      </c>
      <c r="F263" s="18" t="n">
        <v>850</v>
      </c>
      <c r="G263" s="15" t="n">
        <v>19.89</v>
      </c>
      <c r="H263" s="15" t="n">
        <v>16906.5</v>
      </c>
      <c r="I263" s="4" t="inlineStr">
        <is>
          <t>浙江分部</t>
        </is>
      </c>
      <c r="J263" s="4" t="inlineStr">
        <is>
          <t>朱秀英</t>
        </is>
      </c>
    </row>
    <row r="264">
      <c r="A264" s="14" t="n">
        <v>45939</v>
      </c>
      <c r="B264" s="4" t="inlineStr">
        <is>
          <t>SO202510140</t>
        </is>
      </c>
      <c r="C264" s="4" t="inlineStr">
        <is>
          <t>苏州大匠电商平台</t>
        </is>
      </c>
      <c r="D264" s="4" t="inlineStr">
        <is>
          <t>预制菜</t>
        </is>
      </c>
      <c r="E264" s="4" t="inlineStr">
        <is>
          <t>特级</t>
        </is>
      </c>
      <c r="F264" s="18" t="n">
        <v>2410</v>
      </c>
      <c r="G264" s="15" t="n">
        <v>160.84</v>
      </c>
      <c r="H264" s="15" t="n">
        <v>387624.4</v>
      </c>
      <c r="I264" s="4" t="inlineStr">
        <is>
          <t>江苏分部</t>
        </is>
      </c>
      <c r="J264" s="4" t="inlineStr">
        <is>
          <t>赵超英</t>
        </is>
      </c>
    </row>
    <row r="265">
      <c r="A265" s="14" t="n">
        <v>45942</v>
      </c>
      <c r="B265" s="4" t="inlineStr">
        <is>
          <t>SO202510298</t>
        </is>
      </c>
      <c r="C265" s="4" t="inlineStr">
        <is>
          <t>南京优鲜商贸有限公司</t>
        </is>
      </c>
      <c r="D265" s="4" t="inlineStr">
        <is>
          <t>中式汤底</t>
        </is>
      </c>
      <c r="E265" s="4" t="inlineStr">
        <is>
          <t>A级</t>
        </is>
      </c>
      <c r="F265" s="18" t="n">
        <v>4400</v>
      </c>
      <c r="G265" s="15" t="n">
        <v>184.29</v>
      </c>
      <c r="H265" s="15" t="n">
        <v>810876</v>
      </c>
      <c r="I265" s="4" t="inlineStr">
        <is>
          <t>浙江分部</t>
        </is>
      </c>
      <c r="J265" s="4" t="inlineStr">
        <is>
          <t>徐英芳</t>
        </is>
      </c>
    </row>
    <row r="266">
      <c r="A266" s="14" t="n">
        <v>45944</v>
      </c>
      <c r="B266" s="4" t="inlineStr">
        <is>
          <t>SO202510157</t>
        </is>
      </c>
      <c r="C266" s="4" t="inlineStr">
        <is>
          <t>嘉兴优鲜餐饮管理有限公司</t>
        </is>
      </c>
      <c r="D266" s="4" t="inlineStr">
        <is>
          <t>预制菜</t>
        </is>
      </c>
      <c r="E266" s="4" t="inlineStr">
        <is>
          <t>5kg</t>
        </is>
      </c>
      <c r="F266" s="18" t="n">
        <v>3550</v>
      </c>
      <c r="G266" s="15" t="n">
        <v>165.27</v>
      </c>
      <c r="H266" s="15" t="n">
        <v>586708.5</v>
      </c>
      <c r="I266" s="4" t="inlineStr">
        <is>
          <t>上海分部</t>
        </is>
      </c>
      <c r="J266" s="4" t="inlineStr">
        <is>
          <t>胡英敏</t>
        </is>
      </c>
    </row>
    <row r="267">
      <c r="A267" s="14" t="n">
        <v>45944</v>
      </c>
      <c r="B267" s="4" t="inlineStr">
        <is>
          <t>SO202510290</t>
        </is>
      </c>
      <c r="C267" s="4" t="inlineStr">
        <is>
          <t>南京食佳商贸有限公司</t>
        </is>
      </c>
      <c r="D267" s="4" t="inlineStr">
        <is>
          <t>团餐</t>
        </is>
      </c>
      <c r="E267" s="4" t="inlineStr">
        <is>
          <t>特级</t>
        </is>
      </c>
      <c r="F267" s="18" t="n">
        <v>2080</v>
      </c>
      <c r="G267" s="15" t="n">
        <v>85.33</v>
      </c>
      <c r="H267" s="15" t="n">
        <v>177486.4</v>
      </c>
      <c r="I267" s="4" t="inlineStr">
        <is>
          <t>浙江分部</t>
        </is>
      </c>
      <c r="J267" s="4" t="inlineStr">
        <is>
          <t>朱勇敏</t>
        </is>
      </c>
    </row>
    <row r="268">
      <c r="A268" s="14" t="n">
        <v>45946</v>
      </c>
      <c r="B268" s="4" t="inlineStr">
        <is>
          <t>SO202510251</t>
        </is>
      </c>
      <c r="C268" s="4" t="inlineStr">
        <is>
          <t>嘉兴食佳食品有限公司</t>
        </is>
      </c>
      <c r="D268" s="4" t="inlineStr">
        <is>
          <t>预制菜</t>
        </is>
      </c>
      <c r="E268" s="4" t="inlineStr">
        <is>
          <t>C级</t>
        </is>
      </c>
      <c r="F268" s="18" t="n">
        <v>4680</v>
      </c>
      <c r="G268" s="15" t="n">
        <v>17.81</v>
      </c>
      <c r="H268" s="15" t="n">
        <v>83350.8</v>
      </c>
      <c r="I268" s="4" t="inlineStr">
        <is>
          <t>浙江分部</t>
        </is>
      </c>
      <c r="J268" s="4" t="inlineStr">
        <is>
          <t>朱静芳</t>
        </is>
      </c>
    </row>
    <row r="269">
      <c r="A269" s="14" t="n">
        <v>45947</v>
      </c>
      <c r="B269" s="4" t="inlineStr">
        <is>
          <t>SO202510190</t>
        </is>
      </c>
      <c r="C269" s="4" t="inlineStr">
        <is>
          <t>常州食佳供应链有限公司</t>
        </is>
      </c>
      <c r="D269" s="4" t="inlineStr">
        <is>
          <t>复合调味粉</t>
        </is>
      </c>
      <c r="E269" s="4" t="inlineStr">
        <is>
          <t>标准</t>
        </is>
      </c>
      <c r="F269" s="18" t="n">
        <v>3330</v>
      </c>
      <c r="G269" s="15" t="n">
        <v>125.64</v>
      </c>
      <c r="H269" s="15" t="n">
        <v>418381.2</v>
      </c>
      <c r="I269" s="4" t="inlineStr">
        <is>
          <t>上海分部</t>
        </is>
      </c>
      <c r="J269" s="4" t="inlineStr">
        <is>
          <t>胡涛娜</t>
        </is>
      </c>
    </row>
    <row r="270">
      <c r="A270" s="14" t="n">
        <v>45947</v>
      </c>
      <c r="B270" s="4" t="inlineStr">
        <is>
          <t>SO202510315</t>
        </is>
      </c>
      <c r="C270" s="4" t="inlineStr">
        <is>
          <t>嘉兴优鲜餐饮管理有限公司</t>
        </is>
      </c>
      <c r="D270" s="4" t="inlineStr">
        <is>
          <t>川味底料</t>
        </is>
      </c>
      <c r="E270" s="4" t="inlineStr">
        <is>
          <t>5kg</t>
        </is>
      </c>
      <c r="F270" s="18" t="n">
        <v>3880</v>
      </c>
      <c r="G270" s="15" t="n">
        <v>118.42</v>
      </c>
      <c r="H270" s="15" t="n">
        <v>459469.6</v>
      </c>
      <c r="I270" s="4" t="inlineStr">
        <is>
          <t>江苏分部</t>
        </is>
      </c>
      <c r="J270" s="4" t="inlineStr">
        <is>
          <t>孙娜敏</t>
        </is>
      </c>
    </row>
    <row r="271">
      <c r="A271" s="14" t="n">
        <v>45951</v>
      </c>
      <c r="B271" s="4" t="inlineStr">
        <is>
          <t>SO202510253</t>
        </is>
      </c>
      <c r="C271" s="4" t="inlineStr">
        <is>
          <t>常州京功酒店管理集团</t>
        </is>
      </c>
      <c r="D271" s="4" t="inlineStr">
        <is>
          <t>酱料</t>
        </is>
      </c>
      <c r="E271" s="4" t="inlineStr">
        <is>
          <t>C级</t>
        </is>
      </c>
      <c r="F271" s="18" t="n">
        <v>1250</v>
      </c>
      <c r="G271" s="15" t="n">
        <v>96.28</v>
      </c>
      <c r="H271" s="15" t="n">
        <v>120350</v>
      </c>
      <c r="I271" s="4" t="inlineStr">
        <is>
          <t>上海分部</t>
        </is>
      </c>
      <c r="J271" s="4" t="inlineStr">
        <is>
          <t>高涛芳</t>
        </is>
      </c>
    </row>
    <row r="272">
      <c r="A272" s="14" t="n">
        <v>45951</v>
      </c>
      <c r="B272" s="4" t="inlineStr">
        <is>
          <t>SO202510291</t>
        </is>
      </c>
      <c r="C272" s="4" t="inlineStr">
        <is>
          <t>宁波淼沃餐饮管理有限公司</t>
        </is>
      </c>
      <c r="D272" s="4" t="inlineStr">
        <is>
          <t>川味底料</t>
        </is>
      </c>
      <c r="E272" s="4" t="inlineStr">
        <is>
          <t>25kg</t>
        </is>
      </c>
      <c r="F272" s="18" t="n">
        <v>2360</v>
      </c>
      <c r="G272" s="15" t="n">
        <v>17.32</v>
      </c>
      <c r="H272" s="15" t="n">
        <v>40875.2</v>
      </c>
      <c r="I272" s="4" t="inlineStr">
        <is>
          <t>江苏分部</t>
        </is>
      </c>
      <c r="J272" s="4" t="inlineStr">
        <is>
          <t>郭英伟</t>
        </is>
      </c>
    </row>
    <row r="273">
      <c r="A273" s="14" t="n">
        <v>45953</v>
      </c>
      <c r="B273" s="4" t="inlineStr">
        <is>
          <t>SO202510203</t>
        </is>
      </c>
      <c r="C273" s="4" t="inlineStr">
        <is>
          <t>无锡食佳供应链有限公司</t>
        </is>
      </c>
      <c r="D273" s="4" t="inlineStr">
        <is>
          <t>复合调味粉</t>
        </is>
      </c>
      <c r="E273" s="4" t="inlineStr">
        <is>
          <t>500g</t>
        </is>
      </c>
      <c r="F273" s="18" t="n">
        <v>2700</v>
      </c>
      <c r="G273" s="15" t="n">
        <v>153.43</v>
      </c>
      <c r="H273" s="15" t="n">
        <v>414261</v>
      </c>
      <c r="I273" s="4" t="inlineStr">
        <is>
          <t>江苏分部</t>
        </is>
      </c>
      <c r="J273" s="4" t="inlineStr">
        <is>
          <t>刘超娜</t>
        </is>
      </c>
    </row>
    <row r="274">
      <c r="A274" s="14" t="n">
        <v>45955</v>
      </c>
      <c r="B274" s="4" t="inlineStr">
        <is>
          <t>SO202510255</t>
        </is>
      </c>
      <c r="C274" s="4" t="inlineStr">
        <is>
          <t>合肥京功电商平台</t>
        </is>
      </c>
      <c r="D274" s="4" t="inlineStr">
        <is>
          <t>中式汤底</t>
        </is>
      </c>
      <c r="E274" s="4" t="inlineStr">
        <is>
          <t>C级</t>
        </is>
      </c>
      <c r="F274" s="18" t="n">
        <v>4580</v>
      </c>
      <c r="G274" s="15" t="n">
        <v>117.34</v>
      </c>
      <c r="H274" s="15" t="n">
        <v>537417.2</v>
      </c>
      <c r="I274" s="4" t="inlineStr">
        <is>
          <t>浙江分部</t>
        </is>
      </c>
      <c r="J274" s="4" t="inlineStr">
        <is>
          <t>杨磊英</t>
        </is>
      </c>
    </row>
    <row r="275">
      <c r="A275" s="14" t="n">
        <v>45958</v>
      </c>
      <c r="B275" s="4" t="inlineStr">
        <is>
          <t>SO202510029</t>
        </is>
      </c>
      <c r="C275" s="4" t="inlineStr">
        <is>
          <t>杭州食佳供应链有限公司</t>
        </is>
      </c>
      <c r="D275" s="4" t="inlineStr">
        <is>
          <t>调味汁</t>
        </is>
      </c>
      <c r="E275" s="4" t="inlineStr">
        <is>
          <t>简装</t>
        </is>
      </c>
      <c r="F275" s="18" t="n">
        <v>2060</v>
      </c>
      <c r="G275" s="15" t="n">
        <v>128.06</v>
      </c>
      <c r="H275" s="15" t="n">
        <v>263803.6</v>
      </c>
      <c r="I275" s="4" t="inlineStr">
        <is>
          <t>江苏分部</t>
        </is>
      </c>
      <c r="J275" s="4" t="inlineStr">
        <is>
          <t>林英娜</t>
        </is>
      </c>
    </row>
    <row r="276">
      <c r="A276" s="14" t="n">
        <v>45958</v>
      </c>
      <c r="B276" s="4" t="inlineStr">
        <is>
          <t>SO202510123</t>
        </is>
      </c>
      <c r="C276" s="4" t="inlineStr">
        <is>
          <t>苏州优鲜酒店管理集团</t>
        </is>
      </c>
      <c r="D276" s="4" t="inlineStr">
        <is>
          <t>预制菜</t>
        </is>
      </c>
      <c r="E276" s="4" t="inlineStr">
        <is>
          <t>特级</t>
        </is>
      </c>
      <c r="F276" s="18" t="n">
        <v>3050</v>
      </c>
      <c r="G276" s="15" t="n">
        <v>29.7</v>
      </c>
      <c r="H276" s="15" t="n">
        <v>90585</v>
      </c>
      <c r="I276" s="4" t="inlineStr">
        <is>
          <t>赣皖区域</t>
        </is>
      </c>
      <c r="J276" s="4" t="inlineStr">
        <is>
          <t>马芳芳</t>
        </is>
      </c>
    </row>
    <row r="277">
      <c r="A277" s="14" t="n">
        <v>45958</v>
      </c>
      <c r="B277" s="4" t="inlineStr">
        <is>
          <t>SO202510149</t>
        </is>
      </c>
      <c r="C277" s="4" t="inlineStr">
        <is>
          <t>南京百味餐饮管理有限公司</t>
        </is>
      </c>
      <c r="D277" s="4" t="inlineStr">
        <is>
          <t>酱料</t>
        </is>
      </c>
      <c r="E277" s="4" t="inlineStr">
        <is>
          <t>B级</t>
        </is>
      </c>
      <c r="F277" s="18" t="n">
        <v>1300</v>
      </c>
      <c r="G277" s="15" t="n">
        <v>65.31999999999999</v>
      </c>
      <c r="H277" s="15" t="n">
        <v>84916</v>
      </c>
      <c r="I277" s="4" t="inlineStr">
        <is>
          <t>赣皖区域</t>
        </is>
      </c>
      <c r="J277" s="4" t="inlineStr">
        <is>
          <t>罗涛芳</t>
        </is>
      </c>
    </row>
    <row r="278">
      <c r="A278" s="14" t="n">
        <v>45962</v>
      </c>
      <c r="B278" s="4" t="inlineStr">
        <is>
          <t>SO202510126</t>
        </is>
      </c>
      <c r="C278" s="4" t="inlineStr">
        <is>
          <t>宁波食佳供应链有限公司</t>
        </is>
      </c>
      <c r="D278" s="4" t="inlineStr">
        <is>
          <t>调味汁</t>
        </is>
      </c>
      <c r="E278" s="4" t="inlineStr">
        <is>
          <t>精装</t>
        </is>
      </c>
      <c r="F278" s="18" t="n">
        <v>1220</v>
      </c>
      <c r="G278" s="15" t="n">
        <v>101.81</v>
      </c>
      <c r="H278" s="15" t="n">
        <v>124208.2</v>
      </c>
      <c r="I278" s="4" t="inlineStr">
        <is>
          <t>赣皖区域</t>
        </is>
      </c>
      <c r="J278" s="4" t="inlineStr">
        <is>
          <t>罗磊娜</t>
        </is>
      </c>
    </row>
    <row r="279">
      <c r="A279" s="14" t="n">
        <v>45963</v>
      </c>
      <c r="B279" s="4" t="inlineStr">
        <is>
          <t>SO202510017</t>
        </is>
      </c>
      <c r="C279" s="4" t="inlineStr">
        <is>
          <t>合肥食佳电商平台</t>
        </is>
      </c>
      <c r="D279" s="4" t="inlineStr">
        <is>
          <t>团餐</t>
        </is>
      </c>
      <c r="E279" s="4" t="inlineStr">
        <is>
          <t>500g</t>
        </is>
      </c>
      <c r="F279" s="18" t="n">
        <v>3030</v>
      </c>
      <c r="G279" s="15" t="n">
        <v>79.45</v>
      </c>
      <c r="H279" s="15" t="n">
        <v>240733.5</v>
      </c>
      <c r="I279" s="4" t="inlineStr">
        <is>
          <t>浙江分部</t>
        </is>
      </c>
      <c r="J279" s="4" t="inlineStr">
        <is>
          <t>何敏秀</t>
        </is>
      </c>
    </row>
    <row r="280">
      <c r="A280" s="14" t="n">
        <v>45964</v>
      </c>
      <c r="B280" s="4" t="inlineStr">
        <is>
          <t>SO202510092</t>
        </is>
      </c>
      <c r="C280" s="4" t="inlineStr">
        <is>
          <t>杭州百味餐饮管理有限公司</t>
        </is>
      </c>
      <c r="D280" s="4" t="inlineStr">
        <is>
          <t>中式汤底</t>
        </is>
      </c>
      <c r="E280" s="4" t="inlineStr">
        <is>
          <t>1kg</t>
        </is>
      </c>
      <c r="F280" s="18" t="n">
        <v>330</v>
      </c>
      <c r="G280" s="15" t="n">
        <v>98.5</v>
      </c>
      <c r="H280" s="15" t="n">
        <v>32505</v>
      </c>
      <c r="I280" s="4" t="inlineStr">
        <is>
          <t>赣皖区域</t>
        </is>
      </c>
      <c r="J280" s="4" t="inlineStr">
        <is>
          <t>张静敏</t>
        </is>
      </c>
    </row>
    <row r="281">
      <c r="A281" s="14" t="n">
        <v>45964</v>
      </c>
      <c r="B281" s="4" t="inlineStr">
        <is>
          <t>SO202510164</t>
        </is>
      </c>
      <c r="C281" s="4" t="inlineStr">
        <is>
          <t>杭州大匠食品有限公司</t>
        </is>
      </c>
      <c r="D281" s="4" t="inlineStr">
        <is>
          <t>酱料</t>
        </is>
      </c>
      <c r="E281" s="4" t="inlineStr">
        <is>
          <t>5kg</t>
        </is>
      </c>
      <c r="F281" s="18" t="n">
        <v>2390</v>
      </c>
      <c r="G281" s="15" t="n">
        <v>118.61</v>
      </c>
      <c r="H281" s="15" t="n">
        <v>283477.9</v>
      </c>
      <c r="I281" s="4" t="inlineStr">
        <is>
          <t>上海分部</t>
        </is>
      </c>
      <c r="J281" s="4" t="inlineStr">
        <is>
          <t>周英英</t>
        </is>
      </c>
    </row>
    <row r="282">
      <c r="A282" s="14" t="n">
        <v>45966</v>
      </c>
      <c r="B282" s="4" t="inlineStr">
        <is>
          <t>SO202510027</t>
        </is>
      </c>
      <c r="C282" s="4" t="inlineStr">
        <is>
          <t>宁波京功酒店管理集团</t>
        </is>
      </c>
      <c r="D282" s="4" t="inlineStr">
        <is>
          <t>中式汤底</t>
        </is>
      </c>
      <c r="E282" s="4" t="inlineStr">
        <is>
          <t>精装</t>
        </is>
      </c>
      <c r="F282" s="18" t="n">
        <v>4370</v>
      </c>
      <c r="G282" s="15" t="n">
        <v>25.18</v>
      </c>
      <c r="H282" s="15" t="n">
        <v>110036.6</v>
      </c>
      <c r="I282" s="4" t="inlineStr">
        <is>
          <t>上海分部</t>
        </is>
      </c>
      <c r="J282" s="4" t="inlineStr">
        <is>
          <t>陈勇娜</t>
        </is>
      </c>
    </row>
    <row r="283">
      <c r="A283" s="14" t="n">
        <v>45966</v>
      </c>
      <c r="B283" s="4" t="inlineStr">
        <is>
          <t>SO202510141</t>
        </is>
      </c>
      <c r="C283" s="4" t="inlineStr">
        <is>
          <t>南京百味电商平台</t>
        </is>
      </c>
      <c r="D283" s="4" t="inlineStr">
        <is>
          <t>调味汁</t>
        </is>
      </c>
      <c r="E283" s="4" t="inlineStr">
        <is>
          <t>10kg</t>
        </is>
      </c>
      <c r="F283" s="18" t="n">
        <v>3470</v>
      </c>
      <c r="G283" s="15" t="n">
        <v>147.82</v>
      </c>
      <c r="H283" s="15" t="n">
        <v>512935.4</v>
      </c>
      <c r="I283" s="4" t="inlineStr">
        <is>
          <t>赣皖区域</t>
        </is>
      </c>
      <c r="J283" s="4" t="inlineStr">
        <is>
          <t>徐伟秀</t>
        </is>
      </c>
    </row>
    <row r="284">
      <c r="A284" s="14" t="n">
        <v>45967</v>
      </c>
      <c r="B284" s="4" t="inlineStr">
        <is>
          <t>SO202510082</t>
        </is>
      </c>
      <c r="C284" s="4" t="inlineStr">
        <is>
          <t>温州淼沃商贸有限公司</t>
        </is>
      </c>
      <c r="D284" s="4" t="inlineStr">
        <is>
          <t>川味底料</t>
        </is>
      </c>
      <c r="E284" s="4" t="inlineStr">
        <is>
          <t>C级</t>
        </is>
      </c>
      <c r="F284" s="18" t="n">
        <v>720</v>
      </c>
      <c r="G284" s="15" t="n">
        <v>158.74</v>
      </c>
      <c r="H284" s="15" t="n">
        <v>114292.8</v>
      </c>
      <c r="I284" s="4" t="inlineStr">
        <is>
          <t>赣皖区域</t>
        </is>
      </c>
      <c r="J284" s="4" t="inlineStr">
        <is>
          <t>马娟伟</t>
        </is>
      </c>
    </row>
    <row r="285">
      <c r="A285" s="14" t="n">
        <v>45968</v>
      </c>
      <c r="B285" s="4" t="inlineStr">
        <is>
          <t>SO202510282</t>
        </is>
      </c>
      <c r="C285" s="4" t="inlineStr">
        <is>
          <t>上海优鲜餐饮管理有限公司</t>
        </is>
      </c>
      <c r="D285" s="4" t="inlineStr">
        <is>
          <t>中式汤底</t>
        </is>
      </c>
      <c r="E285" s="4" t="inlineStr">
        <is>
          <t>B级</t>
        </is>
      </c>
      <c r="F285" s="18" t="n">
        <v>4710</v>
      </c>
      <c r="G285" s="15" t="n">
        <v>32.01</v>
      </c>
      <c r="H285" s="15" t="n">
        <v>150767.1</v>
      </c>
      <c r="I285" s="4" t="inlineStr">
        <is>
          <t>上海分部</t>
        </is>
      </c>
      <c r="J285" s="4" t="inlineStr">
        <is>
          <t>胡涛伟</t>
        </is>
      </c>
    </row>
    <row r="286">
      <c r="A286" s="14" t="n">
        <v>45969</v>
      </c>
      <c r="B286" s="4" t="inlineStr">
        <is>
          <t>SO202510065</t>
        </is>
      </c>
      <c r="C286" s="4" t="inlineStr">
        <is>
          <t>南昌百味酒店管理集团</t>
        </is>
      </c>
      <c r="D286" s="4" t="inlineStr">
        <is>
          <t>预制菜</t>
        </is>
      </c>
      <c r="E286" s="4" t="inlineStr">
        <is>
          <t>B级</t>
        </is>
      </c>
      <c r="F286" s="18" t="n">
        <v>3190</v>
      </c>
      <c r="G286" s="15" t="n">
        <v>34.92</v>
      </c>
      <c r="H286" s="15" t="n">
        <v>111394.8</v>
      </c>
      <c r="I286" s="4" t="inlineStr">
        <is>
          <t>上海分部</t>
        </is>
      </c>
      <c r="J286" s="4" t="inlineStr">
        <is>
          <t>何娟敏</t>
        </is>
      </c>
    </row>
    <row r="287">
      <c r="A287" s="14" t="n">
        <v>45969</v>
      </c>
      <c r="B287" s="4" t="inlineStr">
        <is>
          <t>SO202510077</t>
        </is>
      </c>
      <c r="C287" s="4" t="inlineStr">
        <is>
          <t>上海淼沃超市</t>
        </is>
      </c>
      <c r="D287" s="4" t="inlineStr">
        <is>
          <t>团餐</t>
        </is>
      </c>
      <c r="E287" s="4" t="inlineStr">
        <is>
          <t>C级</t>
        </is>
      </c>
      <c r="F287" s="18" t="n">
        <v>2120</v>
      </c>
      <c r="G287" s="15" t="n">
        <v>171.94</v>
      </c>
      <c r="H287" s="15" t="n">
        <v>364512.8</v>
      </c>
      <c r="I287" s="4" t="inlineStr">
        <is>
          <t>浙江分部</t>
        </is>
      </c>
      <c r="J287" s="4" t="inlineStr">
        <is>
          <t>朱娜英</t>
        </is>
      </c>
    </row>
    <row r="288">
      <c r="A288" s="14" t="n">
        <v>45970</v>
      </c>
      <c r="B288" s="4" t="inlineStr">
        <is>
          <t>SO202510297</t>
        </is>
      </c>
      <c r="C288" s="4" t="inlineStr">
        <is>
          <t>无锡京功供应链有限公司</t>
        </is>
      </c>
      <c r="D288" s="4" t="inlineStr">
        <is>
          <t>中式汤底</t>
        </is>
      </c>
      <c r="E288" s="4" t="inlineStr">
        <is>
          <t>500g</t>
        </is>
      </c>
      <c r="F288" s="18" t="n">
        <v>3960</v>
      </c>
      <c r="G288" s="15" t="n">
        <v>121.63</v>
      </c>
      <c r="H288" s="15" t="n">
        <v>481654.8</v>
      </c>
      <c r="I288" s="4" t="inlineStr">
        <is>
          <t>赣皖区域</t>
        </is>
      </c>
      <c r="J288" s="4" t="inlineStr">
        <is>
          <t>胡秀娜</t>
        </is>
      </c>
    </row>
    <row r="289">
      <c r="A289" s="14" t="n">
        <v>45971</v>
      </c>
      <c r="B289" s="4" t="inlineStr">
        <is>
          <t>SO202510111</t>
        </is>
      </c>
      <c r="C289" s="4" t="inlineStr">
        <is>
          <t>镇江淼沃食品有限公司</t>
        </is>
      </c>
      <c r="D289" s="4" t="inlineStr">
        <is>
          <t>酱料</t>
        </is>
      </c>
      <c r="E289" s="4" t="inlineStr">
        <is>
          <t>C级</t>
        </is>
      </c>
      <c r="F289" s="18" t="n">
        <v>1800</v>
      </c>
      <c r="G289" s="15" t="n">
        <v>184.64</v>
      </c>
      <c r="H289" s="15" t="n">
        <v>332352</v>
      </c>
      <c r="I289" s="4" t="inlineStr">
        <is>
          <t>上海分部</t>
        </is>
      </c>
      <c r="J289" s="4" t="inlineStr">
        <is>
          <t>吴涛秀</t>
        </is>
      </c>
    </row>
    <row r="290">
      <c r="A290" s="14" t="n">
        <v>45971</v>
      </c>
      <c r="B290" s="4" t="inlineStr">
        <is>
          <t>SO202510169</t>
        </is>
      </c>
      <c r="C290" s="4" t="inlineStr">
        <is>
          <t>上海京功食品有限公司</t>
        </is>
      </c>
      <c r="D290" s="4" t="inlineStr">
        <is>
          <t>调味汁</t>
        </is>
      </c>
      <c r="E290" s="4" t="inlineStr">
        <is>
          <t>A级</t>
        </is>
      </c>
      <c r="F290" s="18" t="n">
        <v>430</v>
      </c>
      <c r="G290" s="15" t="n">
        <v>135.59</v>
      </c>
      <c r="H290" s="15" t="n">
        <v>58303.7</v>
      </c>
      <c r="I290" s="4" t="inlineStr">
        <is>
          <t>赣皖区域</t>
        </is>
      </c>
      <c r="J290" s="4" t="inlineStr">
        <is>
          <t>王秀伟</t>
        </is>
      </c>
    </row>
    <row r="291">
      <c r="A291" s="14" t="n">
        <v>45972</v>
      </c>
      <c r="B291" s="4" t="inlineStr">
        <is>
          <t>SO202510331</t>
        </is>
      </c>
      <c r="C291" s="4" t="inlineStr">
        <is>
          <t>苏州大匠供应链有限公司</t>
        </is>
      </c>
      <c r="D291" s="4" t="inlineStr">
        <is>
          <t>调味汁</t>
        </is>
      </c>
      <c r="E291" s="4" t="inlineStr">
        <is>
          <t>10kg</t>
        </is>
      </c>
      <c r="F291" s="18" t="n">
        <v>2240</v>
      </c>
      <c r="G291" s="15" t="n">
        <v>72.23</v>
      </c>
      <c r="H291" s="15" t="n">
        <v>161795.2</v>
      </c>
      <c r="I291" s="4" t="inlineStr">
        <is>
          <t>赣皖区域</t>
        </is>
      </c>
      <c r="J291" s="4" t="inlineStr">
        <is>
          <t>胡超娜</t>
        </is>
      </c>
    </row>
    <row r="292">
      <c r="A292" s="14" t="n">
        <v>45973</v>
      </c>
      <c r="B292" s="4" t="inlineStr">
        <is>
          <t>SO202510180</t>
        </is>
      </c>
      <c r="C292" s="4" t="inlineStr">
        <is>
          <t>南京食佳供应链有限公司</t>
        </is>
      </c>
      <c r="D292" s="4" t="inlineStr">
        <is>
          <t>调味汁</t>
        </is>
      </c>
      <c r="E292" s="4" t="inlineStr">
        <is>
          <t>特级</t>
        </is>
      </c>
      <c r="F292" s="18" t="n">
        <v>1310</v>
      </c>
      <c r="G292" s="15" t="n">
        <v>56.78</v>
      </c>
      <c r="H292" s="15" t="n">
        <v>74381.8</v>
      </c>
      <c r="I292" s="4" t="inlineStr">
        <is>
          <t>浙江分部</t>
        </is>
      </c>
      <c r="J292" s="4" t="inlineStr">
        <is>
          <t>高超秀</t>
        </is>
      </c>
    </row>
    <row r="293">
      <c r="A293" s="14" t="n">
        <v>45974</v>
      </c>
      <c r="B293" s="4" t="inlineStr">
        <is>
          <t>SO202510087</t>
        </is>
      </c>
      <c r="C293" s="4" t="inlineStr">
        <is>
          <t>南昌百味供应链有限公司</t>
        </is>
      </c>
      <c r="D293" s="4" t="inlineStr">
        <is>
          <t>团餐</t>
        </is>
      </c>
      <c r="E293" s="4" t="inlineStr">
        <is>
          <t>精装</t>
        </is>
      </c>
      <c r="F293" s="18" t="n">
        <v>4560</v>
      </c>
      <c r="G293" s="15" t="n">
        <v>37.55</v>
      </c>
      <c r="H293" s="15" t="n">
        <v>171228</v>
      </c>
      <c r="I293" s="4" t="inlineStr">
        <is>
          <t>江苏分部</t>
        </is>
      </c>
      <c r="J293" s="4" t="inlineStr">
        <is>
          <t>罗芳芳</t>
        </is>
      </c>
    </row>
    <row r="294">
      <c r="A294" s="14" t="n">
        <v>45975</v>
      </c>
      <c r="B294" s="4" t="inlineStr">
        <is>
          <t>SO202510266</t>
        </is>
      </c>
      <c r="C294" s="4" t="inlineStr">
        <is>
          <t>杭州京功食品有限公司</t>
        </is>
      </c>
      <c r="D294" s="4" t="inlineStr">
        <is>
          <t>预制菜</t>
        </is>
      </c>
      <c r="E294" s="4" t="inlineStr">
        <is>
          <t>5kg</t>
        </is>
      </c>
      <c r="F294" s="18" t="n">
        <v>2180</v>
      </c>
      <c r="G294" s="15" t="n">
        <v>10.59</v>
      </c>
      <c r="H294" s="15" t="n">
        <v>23086.2</v>
      </c>
      <c r="I294" s="4" t="inlineStr">
        <is>
          <t>浙江分部</t>
        </is>
      </c>
      <c r="J294" s="4" t="inlineStr">
        <is>
          <t>李兰秀</t>
        </is>
      </c>
    </row>
    <row r="295">
      <c r="A295" s="14" t="n">
        <v>45976</v>
      </c>
      <c r="B295" s="4" t="inlineStr">
        <is>
          <t>SO202510153</t>
        </is>
      </c>
      <c r="C295" s="4" t="inlineStr">
        <is>
          <t>南昌京功电商平台</t>
        </is>
      </c>
      <c r="D295" s="4" t="inlineStr">
        <is>
          <t>调味汁</t>
        </is>
      </c>
      <c r="E295" s="4" t="inlineStr">
        <is>
          <t>1kg</t>
        </is>
      </c>
      <c r="F295" s="18" t="n">
        <v>3840</v>
      </c>
      <c r="G295" s="15" t="n">
        <v>59.55</v>
      </c>
      <c r="H295" s="15" t="n">
        <v>228672</v>
      </c>
      <c r="I295" s="4" t="inlineStr">
        <is>
          <t>上海分部</t>
        </is>
      </c>
      <c r="J295" s="4" t="inlineStr">
        <is>
          <t>徐磊英</t>
        </is>
      </c>
    </row>
    <row r="296">
      <c r="A296" s="14" t="n">
        <v>45977</v>
      </c>
      <c r="B296" s="4" t="inlineStr">
        <is>
          <t>SO202510247</t>
        </is>
      </c>
      <c r="C296" s="4" t="inlineStr">
        <is>
          <t>苏州淼沃酒店管理集团</t>
        </is>
      </c>
      <c r="D296" s="4" t="inlineStr">
        <is>
          <t>团餐</t>
        </is>
      </c>
      <c r="E296" s="4" t="inlineStr">
        <is>
          <t>25kg</t>
        </is>
      </c>
      <c r="F296" s="18" t="n">
        <v>2580</v>
      </c>
      <c r="G296" s="15" t="n">
        <v>146.98</v>
      </c>
      <c r="H296" s="15" t="n">
        <v>379208.4</v>
      </c>
      <c r="I296" s="4" t="inlineStr">
        <is>
          <t>赣皖区域</t>
        </is>
      </c>
      <c r="J296" s="4" t="inlineStr">
        <is>
          <t>王洋敏</t>
        </is>
      </c>
    </row>
    <row r="297">
      <c r="A297" s="14" t="n">
        <v>45977</v>
      </c>
      <c r="B297" s="4" t="inlineStr">
        <is>
          <t>SO202510327</t>
        </is>
      </c>
      <c r="C297" s="4" t="inlineStr">
        <is>
          <t>嘉兴京功超市</t>
        </is>
      </c>
      <c r="D297" s="4" t="inlineStr">
        <is>
          <t>复合调味粉</t>
        </is>
      </c>
      <c r="E297" s="4" t="inlineStr">
        <is>
          <t>25kg</t>
        </is>
      </c>
      <c r="F297" s="18" t="n">
        <v>1830</v>
      </c>
      <c r="G297" s="15" t="n">
        <v>124.74</v>
      </c>
      <c r="H297" s="15" t="n">
        <v>228274.2</v>
      </c>
      <c r="I297" s="4" t="inlineStr">
        <is>
          <t>江苏分部</t>
        </is>
      </c>
      <c r="J297" s="4" t="inlineStr">
        <is>
          <t>林杰伟</t>
        </is>
      </c>
    </row>
    <row r="298">
      <c r="A298" s="14" t="n">
        <v>45980</v>
      </c>
      <c r="B298" s="4" t="inlineStr">
        <is>
          <t>SO202510042</t>
        </is>
      </c>
      <c r="C298" s="4" t="inlineStr">
        <is>
          <t>南京百味超市</t>
        </is>
      </c>
      <c r="D298" s="4" t="inlineStr">
        <is>
          <t>调味汁</t>
        </is>
      </c>
      <c r="E298" s="4" t="inlineStr">
        <is>
          <t>10kg</t>
        </is>
      </c>
      <c r="F298" s="18" t="n">
        <v>40</v>
      </c>
      <c r="G298" s="15" t="n">
        <v>79.73</v>
      </c>
      <c r="H298" s="15" t="n">
        <v>3189.2</v>
      </c>
      <c r="I298" s="4" t="inlineStr">
        <is>
          <t>江苏分部</t>
        </is>
      </c>
      <c r="J298" s="4" t="inlineStr">
        <is>
          <t>李明英</t>
        </is>
      </c>
    </row>
    <row r="299">
      <c r="A299" s="14" t="n">
        <v>45982</v>
      </c>
      <c r="B299" s="4" t="inlineStr">
        <is>
          <t>SO202510127</t>
        </is>
      </c>
      <c r="C299" s="4" t="inlineStr">
        <is>
          <t>宁波京功超市</t>
        </is>
      </c>
      <c r="D299" s="4" t="inlineStr">
        <is>
          <t>团餐</t>
        </is>
      </c>
      <c r="E299" s="4" t="inlineStr">
        <is>
          <t>2.5kg</t>
        </is>
      </c>
      <c r="F299" s="18" t="n">
        <v>1300</v>
      </c>
      <c r="G299" s="15" t="n">
        <v>174.56</v>
      </c>
      <c r="H299" s="15" t="n">
        <v>226928</v>
      </c>
      <c r="I299" s="4" t="inlineStr">
        <is>
          <t>浙江分部</t>
        </is>
      </c>
      <c r="J299" s="4" t="inlineStr">
        <is>
          <t>王娟秀</t>
        </is>
      </c>
    </row>
    <row r="300">
      <c r="A300" s="14" t="n">
        <v>45982</v>
      </c>
      <c r="B300" s="4" t="inlineStr">
        <is>
          <t>SO202510130</t>
        </is>
      </c>
      <c r="C300" s="4" t="inlineStr">
        <is>
          <t>南京食佳餐饮管理有限公司</t>
        </is>
      </c>
      <c r="D300" s="4" t="inlineStr">
        <is>
          <t>团餐</t>
        </is>
      </c>
      <c r="E300" s="4" t="inlineStr">
        <is>
          <t>1kg</t>
        </is>
      </c>
      <c r="F300" s="18" t="n">
        <v>4420</v>
      </c>
      <c r="G300" s="15" t="n">
        <v>115.7</v>
      </c>
      <c r="H300" s="15" t="n">
        <v>511394</v>
      </c>
      <c r="I300" s="4" t="inlineStr">
        <is>
          <t>上海分部</t>
        </is>
      </c>
      <c r="J300" s="4" t="inlineStr">
        <is>
          <t>高杰娜</t>
        </is>
      </c>
    </row>
    <row r="301">
      <c r="A301" s="14" t="n">
        <v>45982</v>
      </c>
      <c r="B301" s="4" t="inlineStr">
        <is>
          <t>SO202510198</t>
        </is>
      </c>
      <c r="C301" s="4" t="inlineStr">
        <is>
          <t>上海大匠餐饮管理有限公司</t>
        </is>
      </c>
      <c r="D301" s="4" t="inlineStr">
        <is>
          <t>酱料</t>
        </is>
      </c>
      <c r="E301" s="4" t="inlineStr">
        <is>
          <t>5kg</t>
        </is>
      </c>
      <c r="F301" s="18" t="n">
        <v>1460</v>
      </c>
      <c r="G301" s="15" t="n">
        <v>63.16</v>
      </c>
      <c r="H301" s="15" t="n">
        <v>92213.60000000001</v>
      </c>
      <c r="I301" s="4" t="inlineStr">
        <is>
          <t>江苏分部</t>
        </is>
      </c>
      <c r="J301" s="4" t="inlineStr">
        <is>
          <t>李秀芳</t>
        </is>
      </c>
    </row>
    <row r="302">
      <c r="A302" s="14" t="n">
        <v>45982</v>
      </c>
      <c r="B302" s="4" t="inlineStr">
        <is>
          <t>SO202510279</t>
        </is>
      </c>
      <c r="C302" s="4" t="inlineStr">
        <is>
          <t>苏州淼沃酒店管理集团</t>
        </is>
      </c>
      <c r="D302" s="4" t="inlineStr">
        <is>
          <t>川味底料</t>
        </is>
      </c>
      <c r="E302" s="4" t="inlineStr">
        <is>
          <t>25kg</t>
        </is>
      </c>
      <c r="F302" s="18" t="n">
        <v>2300</v>
      </c>
      <c r="G302" s="15" t="n">
        <v>83.98</v>
      </c>
      <c r="H302" s="15" t="n">
        <v>193154</v>
      </c>
      <c r="I302" s="4" t="inlineStr">
        <is>
          <t>上海分部</t>
        </is>
      </c>
      <c r="J302" s="4" t="inlineStr">
        <is>
          <t>黄芳娜</t>
        </is>
      </c>
    </row>
    <row r="303">
      <c r="A303" s="14" t="n">
        <v>45983</v>
      </c>
      <c r="B303" s="4" t="inlineStr">
        <is>
          <t>SO202510278</t>
        </is>
      </c>
      <c r="C303" s="4" t="inlineStr">
        <is>
          <t>南昌百味食品有限公司</t>
        </is>
      </c>
      <c r="D303" s="4" t="inlineStr">
        <is>
          <t>预制菜</t>
        </is>
      </c>
      <c r="E303" s="4" t="inlineStr">
        <is>
          <t>5kg</t>
        </is>
      </c>
      <c r="F303" s="18" t="n">
        <v>240</v>
      </c>
      <c r="G303" s="15" t="n">
        <v>15.34</v>
      </c>
      <c r="H303" s="15" t="n">
        <v>3681.6</v>
      </c>
      <c r="I303" s="4" t="inlineStr">
        <is>
          <t>上海分部</t>
        </is>
      </c>
      <c r="J303" s="4" t="inlineStr">
        <is>
          <t>何秀芳</t>
        </is>
      </c>
    </row>
    <row r="304">
      <c r="A304" s="14" t="n">
        <v>45983</v>
      </c>
      <c r="B304" s="4" t="inlineStr">
        <is>
          <t>SO202510314</t>
        </is>
      </c>
      <c r="C304" s="4" t="inlineStr">
        <is>
          <t>杭州淼沃食品有限公司</t>
        </is>
      </c>
      <c r="D304" s="4" t="inlineStr">
        <is>
          <t>复合调味粉</t>
        </is>
      </c>
      <c r="E304" s="4" t="inlineStr">
        <is>
          <t>C级</t>
        </is>
      </c>
      <c r="F304" s="18" t="n">
        <v>4420</v>
      </c>
      <c r="G304" s="15" t="n">
        <v>47.45</v>
      </c>
      <c r="H304" s="15" t="n">
        <v>209729</v>
      </c>
      <c r="I304" s="4" t="inlineStr">
        <is>
          <t>江苏分部</t>
        </is>
      </c>
      <c r="J304" s="4" t="inlineStr">
        <is>
          <t>孙伟芳</t>
        </is>
      </c>
    </row>
    <row r="305">
      <c r="A305" s="14" t="n">
        <v>45984</v>
      </c>
      <c r="B305" s="4" t="inlineStr">
        <is>
          <t>SO202510173</t>
        </is>
      </c>
      <c r="C305" s="4" t="inlineStr">
        <is>
          <t>上海大匠酒店管理集团</t>
        </is>
      </c>
      <c r="D305" s="4" t="inlineStr">
        <is>
          <t>团餐</t>
        </is>
      </c>
      <c r="E305" s="4" t="inlineStr">
        <is>
          <t>2.5kg</t>
        </is>
      </c>
      <c r="F305" s="18" t="n">
        <v>3400</v>
      </c>
      <c r="G305" s="15" t="n">
        <v>172.72</v>
      </c>
      <c r="H305" s="15" t="n">
        <v>587248</v>
      </c>
      <c r="I305" s="4" t="inlineStr">
        <is>
          <t>赣皖区域</t>
        </is>
      </c>
      <c r="J305" s="4" t="inlineStr">
        <is>
          <t>罗杰娜</t>
        </is>
      </c>
    </row>
    <row r="306">
      <c r="A306" s="14" t="n">
        <v>45985</v>
      </c>
      <c r="B306" s="4" t="inlineStr">
        <is>
          <t>SO202510289</t>
        </is>
      </c>
      <c r="C306" s="4" t="inlineStr">
        <is>
          <t>温州大匠商贸有限公司</t>
        </is>
      </c>
      <c r="D306" s="4" t="inlineStr">
        <is>
          <t>预制菜</t>
        </is>
      </c>
      <c r="E306" s="4" t="inlineStr">
        <is>
          <t>2.5kg</t>
        </is>
      </c>
      <c r="F306" s="18" t="n">
        <v>2850</v>
      </c>
      <c r="G306" s="15" t="n">
        <v>166.52</v>
      </c>
      <c r="H306" s="15" t="n">
        <v>474582</v>
      </c>
      <c r="I306" s="4" t="inlineStr">
        <is>
          <t>江苏分部</t>
        </is>
      </c>
      <c r="J306" s="4" t="inlineStr">
        <is>
          <t>马涛英</t>
        </is>
      </c>
    </row>
    <row r="307">
      <c r="A307" s="14" t="n">
        <v>45986</v>
      </c>
      <c r="B307" s="4" t="inlineStr">
        <is>
          <t>SO202510075</t>
        </is>
      </c>
      <c r="C307" s="4" t="inlineStr">
        <is>
          <t>嘉兴食佳餐饮管理有限公司</t>
        </is>
      </c>
      <c r="D307" s="4" t="inlineStr">
        <is>
          <t>酱料</t>
        </is>
      </c>
      <c r="E307" s="4" t="inlineStr">
        <is>
          <t>5kg</t>
        </is>
      </c>
      <c r="F307" s="18" t="n">
        <v>2720</v>
      </c>
      <c r="G307" s="15" t="n">
        <v>171.47</v>
      </c>
      <c r="H307" s="15" t="n">
        <v>466398.4</v>
      </c>
      <c r="I307" s="4" t="inlineStr">
        <is>
          <t>赣皖区域</t>
        </is>
      </c>
      <c r="J307" s="4" t="inlineStr">
        <is>
          <t>罗芳敏</t>
        </is>
      </c>
    </row>
    <row r="308">
      <c r="A308" s="14" t="n">
        <v>45987</v>
      </c>
      <c r="B308" s="4" t="inlineStr">
        <is>
          <t>SO202510136</t>
        </is>
      </c>
      <c r="C308" s="4" t="inlineStr">
        <is>
          <t>南昌优鲜商贸有限公司</t>
        </is>
      </c>
      <c r="D308" s="4" t="inlineStr">
        <is>
          <t>调味汁</t>
        </is>
      </c>
      <c r="E308" s="4" t="inlineStr">
        <is>
          <t>2.5kg</t>
        </is>
      </c>
      <c r="F308" s="18" t="n">
        <v>1620</v>
      </c>
      <c r="G308" s="15" t="n">
        <v>43.14</v>
      </c>
      <c r="H308" s="15" t="n">
        <v>69886.8</v>
      </c>
      <c r="I308" s="4" t="inlineStr">
        <is>
          <t>赣皖区域</t>
        </is>
      </c>
      <c r="J308" s="4" t="inlineStr">
        <is>
          <t>徐秀娜</t>
        </is>
      </c>
    </row>
    <row r="309">
      <c r="A309" s="14" t="n">
        <v>45987</v>
      </c>
      <c r="B309" s="4" t="inlineStr">
        <is>
          <t>SO202510269</t>
        </is>
      </c>
      <c r="C309" s="4" t="inlineStr">
        <is>
          <t>上海淼沃电商平台</t>
        </is>
      </c>
      <c r="D309" s="4" t="inlineStr">
        <is>
          <t>预制菜</t>
        </is>
      </c>
      <c r="E309" s="4" t="inlineStr">
        <is>
          <t>特级</t>
        </is>
      </c>
      <c r="F309" s="18" t="n">
        <v>290</v>
      </c>
      <c r="G309" s="15" t="n">
        <v>188.75</v>
      </c>
      <c r="H309" s="15" t="n">
        <v>54737.5</v>
      </c>
      <c r="I309" s="4" t="inlineStr">
        <is>
          <t>上海分部</t>
        </is>
      </c>
      <c r="J309" s="4" t="inlineStr">
        <is>
          <t>胡伟英</t>
        </is>
      </c>
    </row>
    <row r="310">
      <c r="A310" s="14" t="n">
        <v>45989</v>
      </c>
      <c r="B310" s="4" t="inlineStr">
        <is>
          <t>SO202510185</t>
        </is>
      </c>
      <c r="C310" s="4" t="inlineStr">
        <is>
          <t>常州淼沃餐饮管理有限公司</t>
        </is>
      </c>
      <c r="D310" s="4" t="inlineStr">
        <is>
          <t>调味汁</t>
        </is>
      </c>
      <c r="E310" s="4" t="inlineStr">
        <is>
          <t>精装</t>
        </is>
      </c>
      <c r="F310" s="18" t="n">
        <v>1360</v>
      </c>
      <c r="G310" s="15" t="n">
        <v>35.2</v>
      </c>
      <c r="H310" s="15" t="n">
        <v>47872</v>
      </c>
      <c r="I310" s="4" t="inlineStr">
        <is>
          <t>上海分部</t>
        </is>
      </c>
      <c r="J310" s="4" t="inlineStr">
        <is>
          <t>陈伟娜</t>
        </is>
      </c>
    </row>
    <row r="311">
      <c r="A311" s="14" t="n">
        <v>45989</v>
      </c>
      <c r="B311" s="4" t="inlineStr">
        <is>
          <t>SO202510268</t>
        </is>
      </c>
      <c r="C311" s="4" t="inlineStr">
        <is>
          <t>镇江大匠电商平台</t>
        </is>
      </c>
      <c r="D311" s="4" t="inlineStr">
        <is>
          <t>团餐</t>
        </is>
      </c>
      <c r="E311" s="4" t="inlineStr">
        <is>
          <t>1kg</t>
        </is>
      </c>
      <c r="F311" s="18" t="n">
        <v>4950</v>
      </c>
      <c r="G311" s="15" t="n">
        <v>154.36</v>
      </c>
      <c r="H311" s="15" t="n">
        <v>764082</v>
      </c>
      <c r="I311" s="4" t="inlineStr">
        <is>
          <t>上海分部</t>
        </is>
      </c>
      <c r="J311" s="4" t="inlineStr">
        <is>
          <t>马明芳</t>
        </is>
      </c>
    </row>
    <row r="312">
      <c r="A312" s="14" t="n">
        <v>45993</v>
      </c>
      <c r="B312" s="4" t="inlineStr">
        <is>
          <t>SO202510294</t>
        </is>
      </c>
      <c r="C312" s="4" t="inlineStr">
        <is>
          <t>温州优鲜商贸有限公司</t>
        </is>
      </c>
      <c r="D312" s="4" t="inlineStr">
        <is>
          <t>复合调味粉</t>
        </is>
      </c>
      <c r="E312" s="4" t="inlineStr">
        <is>
          <t>C级</t>
        </is>
      </c>
      <c r="F312" s="18" t="n">
        <v>4940</v>
      </c>
      <c r="G312" s="15" t="n">
        <v>178.41</v>
      </c>
      <c r="H312" s="15" t="n">
        <v>881345.4</v>
      </c>
      <c r="I312" s="4" t="inlineStr">
        <is>
          <t>赣皖区域</t>
        </is>
      </c>
      <c r="J312" s="4" t="inlineStr">
        <is>
          <t>郭强英</t>
        </is>
      </c>
    </row>
    <row r="313">
      <c r="A313" s="14" t="n">
        <v>45994</v>
      </c>
      <c r="B313" s="4" t="inlineStr">
        <is>
          <t>SO202510066</t>
        </is>
      </c>
      <c r="C313" s="4" t="inlineStr">
        <is>
          <t>苏州百味电商平台</t>
        </is>
      </c>
      <c r="D313" s="4" t="inlineStr">
        <is>
          <t>酱料</t>
        </is>
      </c>
      <c r="E313" s="4" t="inlineStr">
        <is>
          <t>A级</t>
        </is>
      </c>
      <c r="F313" s="18" t="n">
        <v>1410</v>
      </c>
      <c r="G313" s="15" t="n">
        <v>117.42</v>
      </c>
      <c r="H313" s="15" t="n">
        <v>165562.2</v>
      </c>
      <c r="I313" s="4" t="inlineStr">
        <is>
          <t>赣皖区域</t>
        </is>
      </c>
      <c r="J313" s="4" t="inlineStr">
        <is>
          <t>罗艳秀</t>
        </is>
      </c>
    </row>
    <row r="314">
      <c r="A314" s="14" t="n">
        <v>45995</v>
      </c>
      <c r="B314" s="4" t="inlineStr">
        <is>
          <t>SO202510063</t>
        </is>
      </c>
      <c r="C314" s="4" t="inlineStr">
        <is>
          <t>南昌京功商贸有限公司</t>
        </is>
      </c>
      <c r="D314" s="4" t="inlineStr">
        <is>
          <t>团餐</t>
        </is>
      </c>
      <c r="E314" s="4" t="inlineStr">
        <is>
          <t>标准</t>
        </is>
      </c>
      <c r="F314" s="18" t="n">
        <v>3150</v>
      </c>
      <c r="G314" s="15" t="n">
        <v>98.14</v>
      </c>
      <c r="H314" s="15" t="n">
        <v>309141</v>
      </c>
      <c r="I314" s="4" t="inlineStr">
        <is>
          <t>赣皖区域</t>
        </is>
      </c>
      <c r="J314" s="4" t="inlineStr">
        <is>
          <t>胡静英</t>
        </is>
      </c>
    </row>
    <row r="315">
      <c r="A315" s="14" t="n">
        <v>45995</v>
      </c>
      <c r="B315" s="4" t="inlineStr">
        <is>
          <t>SO202510068</t>
        </is>
      </c>
      <c r="C315" s="4" t="inlineStr">
        <is>
          <t>合肥食佳酒店管理集团</t>
        </is>
      </c>
      <c r="D315" s="4" t="inlineStr">
        <is>
          <t>调味汁</t>
        </is>
      </c>
      <c r="E315" s="4" t="inlineStr">
        <is>
          <t>精装</t>
        </is>
      </c>
      <c r="F315" s="18" t="n">
        <v>700</v>
      </c>
      <c r="G315" s="15" t="n">
        <v>71.11</v>
      </c>
      <c r="H315" s="15" t="n">
        <v>49777</v>
      </c>
      <c r="I315" s="4" t="inlineStr">
        <is>
          <t>上海分部</t>
        </is>
      </c>
      <c r="J315" s="4" t="inlineStr">
        <is>
          <t>何兰芳</t>
        </is>
      </c>
    </row>
    <row r="316">
      <c r="A316" s="14" t="n">
        <v>45995</v>
      </c>
      <c r="B316" s="4" t="inlineStr">
        <is>
          <t>SO202510273</t>
        </is>
      </c>
      <c r="C316" s="4" t="inlineStr">
        <is>
          <t>上海优鲜超市</t>
        </is>
      </c>
      <c r="D316" s="4" t="inlineStr">
        <is>
          <t>川味底料</t>
        </is>
      </c>
      <c r="E316" s="4" t="inlineStr">
        <is>
          <t>2.5kg</t>
        </is>
      </c>
      <c r="F316" s="18" t="n">
        <v>4160</v>
      </c>
      <c r="G316" s="15" t="n">
        <v>40.34</v>
      </c>
      <c r="H316" s="15" t="n">
        <v>167814.4</v>
      </c>
      <c r="I316" s="4" t="inlineStr">
        <is>
          <t>上海分部</t>
        </is>
      </c>
      <c r="J316" s="4" t="inlineStr">
        <is>
          <t>罗艳秀</t>
        </is>
      </c>
    </row>
    <row r="317">
      <c r="A317" s="14" t="n">
        <v>45996</v>
      </c>
      <c r="B317" s="4" t="inlineStr">
        <is>
          <t>SO202510041</t>
        </is>
      </c>
      <c r="C317" s="4" t="inlineStr">
        <is>
          <t>常州京功电商平台</t>
        </is>
      </c>
      <c r="D317" s="4" t="inlineStr">
        <is>
          <t>调味汁</t>
        </is>
      </c>
      <c r="E317" s="4" t="inlineStr">
        <is>
          <t>25kg</t>
        </is>
      </c>
      <c r="F317" s="18" t="n">
        <v>3480</v>
      </c>
      <c r="G317" s="15" t="n">
        <v>79.23</v>
      </c>
      <c r="H317" s="15" t="n">
        <v>275720.4</v>
      </c>
      <c r="I317" s="4" t="inlineStr">
        <is>
          <t>浙江分部</t>
        </is>
      </c>
      <c r="J317" s="4" t="inlineStr">
        <is>
          <t>周秀英</t>
        </is>
      </c>
    </row>
    <row r="318">
      <c r="A318" s="14" t="n">
        <v>45996</v>
      </c>
      <c r="B318" s="4" t="inlineStr">
        <is>
          <t>SO202510064</t>
        </is>
      </c>
      <c r="C318" s="4" t="inlineStr">
        <is>
          <t>镇江大匠商贸有限公司</t>
        </is>
      </c>
      <c r="D318" s="4" t="inlineStr">
        <is>
          <t>川味底料</t>
        </is>
      </c>
      <c r="E318" s="4" t="inlineStr">
        <is>
          <t>简装</t>
        </is>
      </c>
      <c r="F318" s="18" t="n">
        <v>2600</v>
      </c>
      <c r="G318" s="15" t="n">
        <v>101.59</v>
      </c>
      <c r="H318" s="15" t="n">
        <v>264134</v>
      </c>
      <c r="I318" s="4" t="inlineStr">
        <is>
          <t>上海分部</t>
        </is>
      </c>
      <c r="J318" s="4" t="inlineStr">
        <is>
          <t>何勇英</t>
        </is>
      </c>
    </row>
    <row r="319">
      <c r="A319" s="14" t="n">
        <v>45996</v>
      </c>
      <c r="B319" s="4" t="inlineStr">
        <is>
          <t>SO202510088</t>
        </is>
      </c>
      <c r="C319" s="4" t="inlineStr">
        <is>
          <t>合肥百味商贸有限公司</t>
        </is>
      </c>
      <c r="D319" s="4" t="inlineStr">
        <is>
          <t>中式汤底</t>
        </is>
      </c>
      <c r="E319" s="4" t="inlineStr">
        <is>
          <t>C级</t>
        </is>
      </c>
      <c r="F319" s="18" t="n">
        <v>3660</v>
      </c>
      <c r="G319" s="15" t="n">
        <v>147.3</v>
      </c>
      <c r="H319" s="15" t="n">
        <v>539118</v>
      </c>
      <c r="I319" s="4" t="inlineStr">
        <is>
          <t>赣皖区域</t>
        </is>
      </c>
      <c r="J319" s="4" t="inlineStr">
        <is>
          <t>刘秀秀</t>
        </is>
      </c>
    </row>
    <row r="320">
      <c r="A320" s="14" t="n">
        <v>45997</v>
      </c>
      <c r="B320" s="4" t="inlineStr">
        <is>
          <t>SO202510110</t>
        </is>
      </c>
      <c r="C320" s="4" t="inlineStr">
        <is>
          <t>温州优鲜食品有限公司</t>
        </is>
      </c>
      <c r="D320" s="4" t="inlineStr">
        <is>
          <t>酱料</t>
        </is>
      </c>
      <c r="E320" s="4" t="inlineStr">
        <is>
          <t>500g</t>
        </is>
      </c>
      <c r="F320" s="18" t="n">
        <v>3390</v>
      </c>
      <c r="G320" s="15" t="n">
        <v>159.67</v>
      </c>
      <c r="H320" s="15" t="n">
        <v>541281.3</v>
      </c>
      <c r="I320" s="4" t="inlineStr">
        <is>
          <t>赣皖区域</t>
        </is>
      </c>
      <c r="J320" s="4" t="inlineStr">
        <is>
          <t>郭超芳</t>
        </is>
      </c>
    </row>
    <row r="321">
      <c r="A321" s="14" t="n">
        <v>45997</v>
      </c>
      <c r="B321" s="4" t="inlineStr">
        <is>
          <t>SO202510217</t>
        </is>
      </c>
      <c r="C321" s="4" t="inlineStr">
        <is>
          <t>上海百味供应链有限公司</t>
        </is>
      </c>
      <c r="D321" s="4" t="inlineStr">
        <is>
          <t>川味底料</t>
        </is>
      </c>
      <c r="E321" s="4" t="inlineStr">
        <is>
          <t>5kg</t>
        </is>
      </c>
      <c r="F321" s="18" t="n">
        <v>2790</v>
      </c>
      <c r="G321" s="15" t="n">
        <v>122.45</v>
      </c>
      <c r="H321" s="15" t="n">
        <v>341635.5</v>
      </c>
      <c r="I321" s="4" t="inlineStr">
        <is>
          <t>赣皖区域</t>
        </is>
      </c>
      <c r="J321" s="4" t="inlineStr">
        <is>
          <t>胡伟伟</t>
        </is>
      </c>
    </row>
    <row r="322">
      <c r="A322" s="14" t="n">
        <v>45997</v>
      </c>
      <c r="B322" s="4" t="inlineStr">
        <is>
          <t>SO202510287</t>
        </is>
      </c>
      <c r="C322" s="4" t="inlineStr">
        <is>
          <t>嘉兴优鲜餐饮管理有限公司</t>
        </is>
      </c>
      <c r="D322" s="4" t="inlineStr">
        <is>
          <t>酱料</t>
        </is>
      </c>
      <c r="E322" s="4" t="inlineStr">
        <is>
          <t>A级</t>
        </is>
      </c>
      <c r="F322" s="18" t="n">
        <v>2550</v>
      </c>
      <c r="G322" s="15" t="n">
        <v>200</v>
      </c>
      <c r="H322" s="15" t="n">
        <v>510000</v>
      </c>
      <c r="I322" s="4" t="inlineStr">
        <is>
          <t>江苏分部</t>
        </is>
      </c>
      <c r="J322" s="4" t="inlineStr">
        <is>
          <t>何涛秀</t>
        </is>
      </c>
    </row>
    <row r="323">
      <c r="A323" s="14" t="n">
        <v>45998</v>
      </c>
      <c r="B323" s="4" t="inlineStr">
        <is>
          <t>SO202510277</t>
        </is>
      </c>
      <c r="C323" s="4" t="inlineStr">
        <is>
          <t>合肥淼沃超市</t>
        </is>
      </c>
      <c r="D323" s="4" t="inlineStr">
        <is>
          <t>复合调味粉</t>
        </is>
      </c>
      <c r="E323" s="4" t="inlineStr">
        <is>
          <t>10kg</t>
        </is>
      </c>
      <c r="F323" s="18" t="n">
        <v>1170</v>
      </c>
      <c r="G323" s="15" t="n">
        <v>165.55</v>
      </c>
      <c r="H323" s="15" t="n">
        <v>193693.5</v>
      </c>
      <c r="I323" s="4" t="inlineStr">
        <is>
          <t>江苏分部</t>
        </is>
      </c>
      <c r="J323" s="4" t="inlineStr">
        <is>
          <t>郭兰秀</t>
        </is>
      </c>
    </row>
    <row r="324">
      <c r="A324" s="14" t="n">
        <v>45999</v>
      </c>
      <c r="B324" s="4" t="inlineStr">
        <is>
          <t>SO202510051</t>
        </is>
      </c>
      <c r="C324" s="4" t="inlineStr">
        <is>
          <t>常州京功超市</t>
        </is>
      </c>
      <c r="D324" s="4" t="inlineStr">
        <is>
          <t>调味汁</t>
        </is>
      </c>
      <c r="E324" s="4" t="inlineStr">
        <is>
          <t>B级</t>
        </is>
      </c>
      <c r="F324" s="18" t="n">
        <v>3830</v>
      </c>
      <c r="G324" s="15" t="n">
        <v>194.09</v>
      </c>
      <c r="H324" s="15" t="n">
        <v>743364.7</v>
      </c>
      <c r="I324" s="4" t="inlineStr">
        <is>
          <t>江苏分部</t>
        </is>
      </c>
      <c r="J324" s="4" t="inlineStr">
        <is>
          <t>刘艳娜</t>
        </is>
      </c>
    </row>
    <row r="325">
      <c r="A325" s="14" t="n">
        <v>45999</v>
      </c>
      <c r="B325" s="4" t="inlineStr">
        <is>
          <t>SO202510330</t>
        </is>
      </c>
      <c r="C325" s="4" t="inlineStr">
        <is>
          <t>南京淼沃酒店管理集团</t>
        </is>
      </c>
      <c r="D325" s="4" t="inlineStr">
        <is>
          <t>复合调味粉</t>
        </is>
      </c>
      <c r="E325" s="4" t="inlineStr">
        <is>
          <t>2.5kg</t>
        </is>
      </c>
      <c r="F325" s="18" t="n">
        <v>2260</v>
      </c>
      <c r="G325" s="15" t="n">
        <v>154.78</v>
      </c>
      <c r="H325" s="15" t="n">
        <v>349802.8</v>
      </c>
      <c r="I325" s="4" t="inlineStr">
        <is>
          <t>江苏分部</t>
        </is>
      </c>
      <c r="J325" s="4" t="inlineStr">
        <is>
          <t>徐英英</t>
        </is>
      </c>
    </row>
    <row r="326">
      <c r="A326" s="14" t="n">
        <v>46001</v>
      </c>
      <c r="B326" s="4" t="inlineStr">
        <is>
          <t>SO202510174</t>
        </is>
      </c>
      <c r="C326" s="4" t="inlineStr">
        <is>
          <t>上海百味商贸有限公司</t>
        </is>
      </c>
      <c r="D326" s="4" t="inlineStr">
        <is>
          <t>川味底料</t>
        </is>
      </c>
      <c r="E326" s="4" t="inlineStr">
        <is>
          <t>5kg</t>
        </is>
      </c>
      <c r="F326" s="18" t="n">
        <v>4260</v>
      </c>
      <c r="G326" s="15" t="n">
        <v>153.22</v>
      </c>
      <c r="H326" s="15" t="n">
        <v>652717.2</v>
      </c>
      <c r="I326" s="4" t="inlineStr">
        <is>
          <t>浙江分部</t>
        </is>
      </c>
      <c r="J326" s="4" t="inlineStr">
        <is>
          <t>罗强敏</t>
        </is>
      </c>
    </row>
    <row r="327">
      <c r="A327" s="14" t="n">
        <v>46001</v>
      </c>
      <c r="B327" s="4" t="inlineStr">
        <is>
          <t>SO202510321</t>
        </is>
      </c>
      <c r="C327" s="4" t="inlineStr">
        <is>
          <t>嘉兴优鲜酒店管理集团</t>
        </is>
      </c>
      <c r="D327" s="4" t="inlineStr">
        <is>
          <t>调味汁</t>
        </is>
      </c>
      <c r="E327" s="4" t="inlineStr">
        <is>
          <t>A级</t>
        </is>
      </c>
      <c r="F327" s="18" t="n">
        <v>1860</v>
      </c>
      <c r="G327" s="15" t="n">
        <v>89.92</v>
      </c>
      <c r="H327" s="15" t="n">
        <v>167251.2</v>
      </c>
      <c r="I327" s="4" t="inlineStr">
        <is>
          <t>赣皖区域</t>
        </is>
      </c>
      <c r="J327" s="4" t="inlineStr">
        <is>
          <t>杨娜秀</t>
        </is>
      </c>
    </row>
    <row r="328">
      <c r="A328" s="14" t="n">
        <v>46004</v>
      </c>
      <c r="B328" s="4" t="inlineStr">
        <is>
          <t>SO202510129</t>
        </is>
      </c>
      <c r="C328" s="4" t="inlineStr">
        <is>
          <t>宁波优鲜商贸有限公司</t>
        </is>
      </c>
      <c r="D328" s="4" t="inlineStr">
        <is>
          <t>中式汤底</t>
        </is>
      </c>
      <c r="E328" s="4" t="inlineStr">
        <is>
          <t>2.5kg</t>
        </is>
      </c>
      <c r="F328" s="18" t="n">
        <v>4800</v>
      </c>
      <c r="G328" s="15" t="n">
        <v>161.06</v>
      </c>
      <c r="H328" s="15" t="n">
        <v>773088</v>
      </c>
      <c r="I328" s="4" t="inlineStr">
        <is>
          <t>上海分部</t>
        </is>
      </c>
      <c r="J328" s="4" t="inlineStr">
        <is>
          <t>高明芳</t>
        </is>
      </c>
    </row>
    <row r="329">
      <c r="A329" s="14" t="n">
        <v>46004</v>
      </c>
      <c r="B329" s="4" t="inlineStr">
        <is>
          <t>SO202510264</t>
        </is>
      </c>
      <c r="C329" s="4" t="inlineStr">
        <is>
          <t>温州优鲜电商平台</t>
        </is>
      </c>
      <c r="D329" s="4" t="inlineStr">
        <is>
          <t>复合调味粉</t>
        </is>
      </c>
      <c r="E329" s="4" t="inlineStr">
        <is>
          <t>B级</t>
        </is>
      </c>
      <c r="F329" s="18" t="n">
        <v>4970</v>
      </c>
      <c r="G329" s="15" t="n">
        <v>53.13</v>
      </c>
      <c r="H329" s="15" t="n">
        <v>264056.1</v>
      </c>
      <c r="I329" s="4" t="inlineStr">
        <is>
          <t>上海分部</t>
        </is>
      </c>
      <c r="J329" s="4" t="inlineStr">
        <is>
          <t>黄涛秀</t>
        </is>
      </c>
    </row>
    <row r="330">
      <c r="A330" s="14" t="n">
        <v>46005</v>
      </c>
      <c r="B330" s="4" t="inlineStr">
        <is>
          <t>SO202510011</t>
        </is>
      </c>
      <c r="C330" s="4" t="inlineStr">
        <is>
          <t>南京百味餐饮管理有限公司</t>
        </is>
      </c>
      <c r="D330" s="4" t="inlineStr">
        <is>
          <t>酱料</t>
        </is>
      </c>
      <c r="E330" s="4" t="inlineStr">
        <is>
          <t>标准</t>
        </is>
      </c>
      <c r="F330" s="18" t="n">
        <v>1620</v>
      </c>
      <c r="G330" s="15" t="n">
        <v>30.63</v>
      </c>
      <c r="H330" s="15" t="n">
        <v>49620.6</v>
      </c>
      <c r="I330" s="4" t="inlineStr">
        <is>
          <t>浙江分部</t>
        </is>
      </c>
      <c r="J330" s="4" t="inlineStr">
        <is>
          <t>李洋伟</t>
        </is>
      </c>
    </row>
    <row r="331">
      <c r="A331" s="14" t="n">
        <v>46005</v>
      </c>
      <c r="B331" s="4" t="inlineStr">
        <is>
          <t>SO202510128</t>
        </is>
      </c>
      <c r="C331" s="4" t="inlineStr">
        <is>
          <t>上海淼沃超市</t>
        </is>
      </c>
      <c r="D331" s="4" t="inlineStr">
        <is>
          <t>酱料</t>
        </is>
      </c>
      <c r="E331" s="4" t="inlineStr">
        <is>
          <t>精装</t>
        </is>
      </c>
      <c r="F331" s="18" t="n">
        <v>1980</v>
      </c>
      <c r="G331" s="15" t="n">
        <v>129.85</v>
      </c>
      <c r="H331" s="15" t="n">
        <v>257103</v>
      </c>
      <c r="I331" s="4" t="inlineStr">
        <is>
          <t>江苏分部</t>
        </is>
      </c>
      <c r="J331" s="4" t="inlineStr">
        <is>
          <t>黄磊秀</t>
        </is>
      </c>
    </row>
    <row r="332">
      <c r="A332" s="14" t="n">
        <v>46006</v>
      </c>
      <c r="B332" s="4" t="inlineStr">
        <is>
          <t>SO202510326</t>
        </is>
      </c>
      <c r="C332" s="4" t="inlineStr">
        <is>
          <t>无锡优鲜餐饮管理有限公司</t>
        </is>
      </c>
      <c r="D332" s="4" t="inlineStr">
        <is>
          <t>酱料</t>
        </is>
      </c>
      <c r="E332" s="4" t="inlineStr">
        <is>
          <t>2.5kg</t>
        </is>
      </c>
      <c r="F332" s="18" t="n">
        <v>5000</v>
      </c>
      <c r="G332" s="15" t="n">
        <v>172.48</v>
      </c>
      <c r="H332" s="15" t="n">
        <v>862400</v>
      </c>
      <c r="I332" s="4" t="inlineStr">
        <is>
          <t>浙江分部</t>
        </is>
      </c>
      <c r="J332" s="4" t="inlineStr">
        <is>
          <t>吴娟英</t>
        </is>
      </c>
    </row>
    <row r="333">
      <c r="A333" s="14" t="n">
        <v>46007</v>
      </c>
      <c r="B333" s="4" t="inlineStr">
        <is>
          <t>SO202510272</t>
        </is>
      </c>
      <c r="C333" s="4" t="inlineStr">
        <is>
          <t>镇江大匠餐饮管理有限公司</t>
        </is>
      </c>
      <c r="D333" s="4" t="inlineStr">
        <is>
          <t>预制菜</t>
        </is>
      </c>
      <c r="E333" s="4" t="inlineStr">
        <is>
          <t>10kg</t>
        </is>
      </c>
      <c r="F333" s="18" t="n">
        <v>2380</v>
      </c>
      <c r="G333" s="15" t="n">
        <v>11.62</v>
      </c>
      <c r="H333" s="15" t="n">
        <v>27655.6</v>
      </c>
      <c r="I333" s="4" t="inlineStr">
        <is>
          <t>上海分部</t>
        </is>
      </c>
      <c r="J333" s="4" t="inlineStr">
        <is>
          <t>林秀娜</t>
        </is>
      </c>
    </row>
    <row r="334">
      <c r="A334" s="14" t="n">
        <v>46008</v>
      </c>
      <c r="B334" s="4" t="inlineStr">
        <is>
          <t>SO202510182</t>
        </is>
      </c>
      <c r="C334" s="4" t="inlineStr">
        <is>
          <t>苏州优鲜供应链有限公司</t>
        </is>
      </c>
      <c r="D334" s="4" t="inlineStr">
        <is>
          <t>川味底料</t>
        </is>
      </c>
      <c r="E334" s="4" t="inlineStr">
        <is>
          <t>2.5kg</t>
        </is>
      </c>
      <c r="F334" s="18" t="n">
        <v>4100</v>
      </c>
      <c r="G334" s="15" t="n">
        <v>140.13</v>
      </c>
      <c r="H334" s="15" t="n">
        <v>574533</v>
      </c>
      <c r="I334" s="4" t="inlineStr">
        <is>
          <t>上海分部</t>
        </is>
      </c>
      <c r="J334" s="4" t="inlineStr">
        <is>
          <t>朱杰英</t>
        </is>
      </c>
    </row>
    <row r="335">
      <c r="A335" s="14" t="n">
        <v>46009</v>
      </c>
      <c r="B335" s="4" t="inlineStr">
        <is>
          <t>SO202510071</t>
        </is>
      </c>
      <c r="C335" s="4" t="inlineStr">
        <is>
          <t>常州优鲜商贸有限公司</t>
        </is>
      </c>
      <c r="D335" s="4" t="inlineStr">
        <is>
          <t>调味汁</t>
        </is>
      </c>
      <c r="E335" s="4" t="inlineStr">
        <is>
          <t>5kg</t>
        </is>
      </c>
      <c r="F335" s="18" t="n">
        <v>2040</v>
      </c>
      <c r="G335" s="15" t="n">
        <v>190.98</v>
      </c>
      <c r="H335" s="15" t="n">
        <v>389599.2</v>
      </c>
      <c r="I335" s="4" t="inlineStr">
        <is>
          <t>江苏分部</t>
        </is>
      </c>
      <c r="J335" s="4" t="inlineStr">
        <is>
          <t>徐英英</t>
        </is>
      </c>
    </row>
    <row r="336">
      <c r="A336" s="14" t="n">
        <v>46009</v>
      </c>
      <c r="B336" s="4" t="inlineStr">
        <is>
          <t>SO202510124</t>
        </is>
      </c>
      <c r="C336" s="4" t="inlineStr">
        <is>
          <t>无锡优鲜供应链有限公司</t>
        </is>
      </c>
      <c r="D336" s="4" t="inlineStr">
        <is>
          <t>复合调味粉</t>
        </is>
      </c>
      <c r="E336" s="4" t="inlineStr">
        <is>
          <t>简装</t>
        </is>
      </c>
      <c r="F336" s="18" t="n">
        <v>3470</v>
      </c>
      <c r="G336" s="15" t="n">
        <v>73.79000000000001</v>
      </c>
      <c r="H336" s="15" t="n">
        <v>256051.3</v>
      </c>
      <c r="I336" s="4" t="inlineStr">
        <is>
          <t>江苏分部</t>
        </is>
      </c>
      <c r="J336" s="4" t="inlineStr">
        <is>
          <t>何兰英</t>
        </is>
      </c>
    </row>
    <row r="337">
      <c r="A337" s="14" t="n">
        <v>46009</v>
      </c>
      <c r="B337" s="4" t="inlineStr">
        <is>
          <t>SO202510243</t>
        </is>
      </c>
      <c r="C337" s="4" t="inlineStr">
        <is>
          <t>温州百味电商平台</t>
        </is>
      </c>
      <c r="D337" s="4" t="inlineStr">
        <is>
          <t>复合调味粉</t>
        </is>
      </c>
      <c r="E337" s="4" t="inlineStr">
        <is>
          <t>A级</t>
        </is>
      </c>
      <c r="F337" s="18" t="n">
        <v>480</v>
      </c>
      <c r="G337" s="15" t="n">
        <v>125.58</v>
      </c>
      <c r="H337" s="15" t="n">
        <v>60278.4</v>
      </c>
      <c r="I337" s="4" t="inlineStr">
        <is>
          <t>江苏分部</t>
        </is>
      </c>
      <c r="J337" s="4" t="inlineStr">
        <is>
          <t>吴芳娜</t>
        </is>
      </c>
    </row>
    <row r="338">
      <c r="A338" s="14" t="n">
        <v>46010</v>
      </c>
      <c r="B338" s="4" t="inlineStr">
        <is>
          <t>SO202510192</t>
        </is>
      </c>
      <c r="C338" s="4" t="inlineStr">
        <is>
          <t>南京优鲜酒店管理集团</t>
        </is>
      </c>
      <c r="D338" s="4" t="inlineStr">
        <is>
          <t>团餐</t>
        </is>
      </c>
      <c r="E338" s="4" t="inlineStr">
        <is>
          <t>10kg</t>
        </is>
      </c>
      <c r="F338" s="18" t="n">
        <v>1100</v>
      </c>
      <c r="G338" s="15" t="n">
        <v>86.11</v>
      </c>
      <c r="H338" s="15" t="n">
        <v>94721</v>
      </c>
      <c r="I338" s="4" t="inlineStr">
        <is>
          <t>赣皖区域</t>
        </is>
      </c>
      <c r="J338" s="4" t="inlineStr">
        <is>
          <t>罗杰芳</t>
        </is>
      </c>
    </row>
    <row r="339">
      <c r="A339" s="14" t="n">
        <v>46011</v>
      </c>
      <c r="B339" s="4" t="inlineStr">
        <is>
          <t>SO202510074</t>
        </is>
      </c>
      <c r="C339" s="4" t="inlineStr">
        <is>
          <t>苏州大匠电商平台</t>
        </is>
      </c>
      <c r="D339" s="4" t="inlineStr">
        <is>
          <t>团餐</t>
        </is>
      </c>
      <c r="E339" s="4" t="inlineStr">
        <is>
          <t>10kg</t>
        </is>
      </c>
      <c r="F339" s="18" t="n">
        <v>2640</v>
      </c>
      <c r="G339" s="15" t="n">
        <v>20.97</v>
      </c>
      <c r="H339" s="15" t="n">
        <v>55360.8</v>
      </c>
      <c r="I339" s="4" t="inlineStr">
        <is>
          <t>浙江分部</t>
        </is>
      </c>
      <c r="J339" s="4" t="inlineStr">
        <is>
          <t>张芳敏</t>
        </is>
      </c>
    </row>
    <row r="340">
      <c r="A340" s="14" t="n">
        <v>46011</v>
      </c>
      <c r="B340" s="4" t="inlineStr">
        <is>
          <t>SO202510151</t>
        </is>
      </c>
      <c r="C340" s="4" t="inlineStr">
        <is>
          <t>嘉兴大匠供应链有限公司</t>
        </is>
      </c>
      <c r="D340" s="4" t="inlineStr">
        <is>
          <t>酱料</t>
        </is>
      </c>
      <c r="E340" s="4" t="inlineStr">
        <is>
          <t>特级</t>
        </is>
      </c>
      <c r="F340" s="18" t="n">
        <v>2960</v>
      </c>
      <c r="G340" s="15" t="n">
        <v>184.37</v>
      </c>
      <c r="H340" s="15" t="n">
        <v>545735.2</v>
      </c>
      <c r="I340" s="4" t="inlineStr">
        <is>
          <t>江苏分部</t>
        </is>
      </c>
      <c r="J340" s="4" t="inlineStr">
        <is>
          <t>赵伟娜</t>
        </is>
      </c>
    </row>
    <row r="341">
      <c r="A341" s="14" t="n">
        <v>46013</v>
      </c>
      <c r="B341" s="4" t="inlineStr">
        <is>
          <t>SO202510155</t>
        </is>
      </c>
      <c r="C341" s="4" t="inlineStr">
        <is>
          <t>镇江京功食品有限公司</t>
        </is>
      </c>
      <c r="D341" s="4" t="inlineStr">
        <is>
          <t>复合调味粉</t>
        </is>
      </c>
      <c r="E341" s="4" t="inlineStr">
        <is>
          <t>1kg</t>
        </is>
      </c>
      <c r="F341" s="18" t="n">
        <v>4260</v>
      </c>
      <c r="G341" s="15" t="n">
        <v>140.27</v>
      </c>
      <c r="H341" s="15" t="n">
        <v>597550.2</v>
      </c>
      <c r="I341" s="4" t="inlineStr">
        <is>
          <t>江苏分部</t>
        </is>
      </c>
      <c r="J341" s="4" t="inlineStr">
        <is>
          <t>刘杰英</t>
        </is>
      </c>
    </row>
    <row r="342">
      <c r="A342" s="14" t="n">
        <v>46014</v>
      </c>
      <c r="B342" s="4" t="inlineStr">
        <is>
          <t>SO202510238</t>
        </is>
      </c>
      <c r="C342" s="4" t="inlineStr">
        <is>
          <t>杭州京功食品有限公司</t>
        </is>
      </c>
      <c r="D342" s="4" t="inlineStr">
        <is>
          <t>酱料</t>
        </is>
      </c>
      <c r="E342" s="4" t="inlineStr">
        <is>
          <t>1kg</t>
        </is>
      </c>
      <c r="F342" s="18" t="n">
        <v>2580</v>
      </c>
      <c r="G342" s="15" t="n">
        <v>21.3</v>
      </c>
      <c r="H342" s="15" t="n">
        <v>54954</v>
      </c>
      <c r="I342" s="4" t="inlineStr">
        <is>
          <t>江苏分部</t>
        </is>
      </c>
      <c r="J342" s="4" t="inlineStr">
        <is>
          <t>吴秀娜</t>
        </is>
      </c>
    </row>
    <row r="343">
      <c r="A343" s="14" t="n">
        <v>46014</v>
      </c>
      <c r="B343" s="4" t="inlineStr">
        <is>
          <t>SO202510306</t>
        </is>
      </c>
      <c r="C343" s="4" t="inlineStr">
        <is>
          <t>温州食佳酒店管理集团</t>
        </is>
      </c>
      <c r="D343" s="4" t="inlineStr">
        <is>
          <t>团餐</t>
        </is>
      </c>
      <c r="E343" s="4" t="inlineStr">
        <is>
          <t>特级</t>
        </is>
      </c>
      <c r="F343" s="18" t="n">
        <v>4540</v>
      </c>
      <c r="G343" s="15" t="n">
        <v>15.38</v>
      </c>
      <c r="H343" s="15" t="n">
        <v>69825.2</v>
      </c>
      <c r="I343" s="4" t="inlineStr">
        <is>
          <t>上海分部</t>
        </is>
      </c>
      <c r="J343" s="4" t="inlineStr">
        <is>
          <t>吴英敏</t>
        </is>
      </c>
    </row>
    <row r="344">
      <c r="A344" s="14" t="n">
        <v>46015</v>
      </c>
      <c r="B344" s="4" t="inlineStr">
        <is>
          <t>SO202510263</t>
        </is>
      </c>
      <c r="C344" s="4" t="inlineStr">
        <is>
          <t>上海淼沃酒店管理集团</t>
        </is>
      </c>
      <c r="D344" s="4" t="inlineStr">
        <is>
          <t>中式汤底</t>
        </is>
      </c>
      <c r="E344" s="4" t="inlineStr">
        <is>
          <t>标准</t>
        </is>
      </c>
      <c r="F344" s="18" t="n">
        <v>4010</v>
      </c>
      <c r="G344" s="15" t="n">
        <v>69.91</v>
      </c>
      <c r="H344" s="15" t="n">
        <v>280339.1</v>
      </c>
      <c r="I344" s="4" t="inlineStr">
        <is>
          <t>浙江分部</t>
        </is>
      </c>
      <c r="J344" s="4" t="inlineStr">
        <is>
          <t>周艳娜</t>
        </is>
      </c>
    </row>
    <row r="345">
      <c r="A345" s="14" t="n">
        <v>46016</v>
      </c>
      <c r="B345" s="4" t="inlineStr">
        <is>
          <t>SO202510115</t>
        </is>
      </c>
      <c r="C345" s="4" t="inlineStr">
        <is>
          <t>温州京功餐饮管理有限公司</t>
        </is>
      </c>
      <c r="D345" s="4" t="inlineStr">
        <is>
          <t>复合调味粉</t>
        </is>
      </c>
      <c r="E345" s="4" t="inlineStr">
        <is>
          <t>2.5kg</t>
        </is>
      </c>
      <c r="F345" s="18" t="n">
        <v>2420</v>
      </c>
      <c r="G345" s="15" t="n">
        <v>27.96</v>
      </c>
      <c r="H345" s="15" t="n">
        <v>67663.2</v>
      </c>
      <c r="I345" s="4" t="inlineStr">
        <is>
          <t>浙江分部</t>
        </is>
      </c>
      <c r="J345" s="4" t="inlineStr">
        <is>
          <t>吴英芳</t>
        </is>
      </c>
    </row>
    <row r="346">
      <c r="A346" s="14" t="n">
        <v>46017</v>
      </c>
      <c r="B346" s="4" t="inlineStr">
        <is>
          <t>SO202510117</t>
        </is>
      </c>
      <c r="C346" s="4" t="inlineStr">
        <is>
          <t>上海百味餐饮管理有限公司</t>
        </is>
      </c>
      <c r="D346" s="4" t="inlineStr">
        <is>
          <t>川味底料</t>
        </is>
      </c>
      <c r="E346" s="4" t="inlineStr">
        <is>
          <t>B级</t>
        </is>
      </c>
      <c r="F346" s="18" t="n">
        <v>2890</v>
      </c>
      <c r="G346" s="15" t="n">
        <v>84.31999999999999</v>
      </c>
      <c r="H346" s="15" t="n">
        <v>243684.8</v>
      </c>
      <c r="I346" s="4" t="inlineStr">
        <is>
          <t>浙江分部</t>
        </is>
      </c>
      <c r="J346" s="4" t="inlineStr">
        <is>
          <t>罗兰伟</t>
        </is>
      </c>
    </row>
    <row r="347">
      <c r="A347" s="14" t="n">
        <v>46019</v>
      </c>
      <c r="B347" s="4" t="inlineStr">
        <is>
          <t>SO202510112</t>
        </is>
      </c>
      <c r="C347" s="4" t="inlineStr">
        <is>
          <t>南京京功电商平台</t>
        </is>
      </c>
      <c r="D347" s="4" t="inlineStr">
        <is>
          <t>团餐</t>
        </is>
      </c>
      <c r="E347" s="4" t="inlineStr">
        <is>
          <t>25kg</t>
        </is>
      </c>
      <c r="F347" s="18" t="n">
        <v>1020</v>
      </c>
      <c r="G347" s="15" t="n">
        <v>121.18</v>
      </c>
      <c r="H347" s="15" t="n">
        <v>123603.6</v>
      </c>
      <c r="I347" s="4" t="inlineStr">
        <is>
          <t>浙江分部</t>
        </is>
      </c>
      <c r="J347" s="4" t="inlineStr">
        <is>
          <t>李秀娜</t>
        </is>
      </c>
    </row>
    <row r="348">
      <c r="A348" s="6" t="inlineStr">
        <is>
          <t>合计</t>
        </is>
      </c>
      <c r="F348" s="19" t="n">
        <v>870480</v>
      </c>
      <c r="H348" s="16" t="n">
        <v>89450259.59999999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江苏美鑫食品科技有限公司应收账款账龄分析表</t>
        </is>
      </c>
    </row>
    <row r="2">
      <c r="A2" t="inlineStr">
        <is>
          <t>截止日期：2025年12月31日</t>
        </is>
      </c>
      <c r="H2" t="inlineStr">
        <is>
          <t>单位：元</t>
        </is>
      </c>
    </row>
    <row r="3">
      <c r="A3" s="2" t="inlineStr">
        <is>
          <t>客户名称</t>
        </is>
      </c>
      <c r="B3" s="2" t="inlineStr">
        <is>
          <t>应收余额</t>
        </is>
      </c>
      <c r="C3" s="2" t="inlineStr">
        <is>
          <t>账龄分布</t>
        </is>
      </c>
      <c r="H3" s="2" t="inlineStr">
        <is>
          <t>信用额度</t>
        </is>
      </c>
    </row>
    <row r="4">
      <c r="A4" s="12" t="n"/>
      <c r="B4" s="12" t="n"/>
      <c r="C4" s="2" t="inlineStr">
        <is>
          <t>0-30天</t>
        </is>
      </c>
      <c r="D4" s="2" t="inlineStr">
        <is>
          <t>31-60天</t>
        </is>
      </c>
      <c r="E4" s="2" t="inlineStr">
        <is>
          <t>61-90天</t>
        </is>
      </c>
      <c r="F4" s="2" t="inlineStr">
        <is>
          <t>91-180天</t>
        </is>
      </c>
      <c r="G4" s="2" t="inlineStr">
        <is>
          <t>180天以上</t>
        </is>
      </c>
      <c r="H4" s="12" t="n"/>
    </row>
    <row r="5">
      <c r="A5" s="4" t="inlineStr">
        <is>
          <t>西安永利商贸有限公司</t>
        </is>
      </c>
      <c r="B5" s="15" t="n">
        <v>1042544.86</v>
      </c>
      <c r="C5" s="15" t="n">
        <v>613954.05</v>
      </c>
      <c r="D5" s="15" t="n">
        <v>222654.5</v>
      </c>
      <c r="E5" s="15" t="n">
        <v>25223.78</v>
      </c>
      <c r="F5" s="15" t="n">
        <v>126286.16</v>
      </c>
      <c r="G5" s="15" t="n">
        <v>54426.37</v>
      </c>
      <c r="H5" s="15" t="n">
        <v>1063389.12</v>
      </c>
    </row>
    <row r="6">
      <c r="A6" s="4" t="inlineStr">
        <is>
          <t>昆明荣泰电子商务有限公司</t>
        </is>
      </c>
      <c r="B6" s="15" t="n">
        <v>517666.47</v>
      </c>
      <c r="C6" s="15" t="n">
        <v>355724.09</v>
      </c>
      <c r="D6" s="15" t="n">
        <v>113180.26</v>
      </c>
      <c r="E6" s="15" t="n">
        <v>4331.24</v>
      </c>
      <c r="F6" s="15" t="n">
        <v>41358.26</v>
      </c>
      <c r="G6" s="15" t="n">
        <v>3072.62</v>
      </c>
      <c r="H6" s="15" t="n">
        <v>992251.28</v>
      </c>
    </row>
    <row r="7">
      <c r="A7" s="4" t="inlineStr">
        <is>
          <t>无锡永利食品有限公司</t>
        </is>
      </c>
      <c r="B7" s="15" t="n">
        <v>1815003.06</v>
      </c>
      <c r="C7" s="15" t="n">
        <v>818828.99</v>
      </c>
      <c r="D7" s="15" t="n">
        <v>652522.47</v>
      </c>
      <c r="E7" s="15" t="n">
        <v>210978.31</v>
      </c>
      <c r="F7" s="15" t="n">
        <v>67698.44</v>
      </c>
      <c r="G7" s="15" t="n">
        <v>64974.85</v>
      </c>
      <c r="H7" s="15" t="n">
        <v>2701677.29</v>
      </c>
    </row>
    <row r="8">
      <c r="A8" s="4" t="inlineStr">
        <is>
          <t>西安京功供应链有限公司</t>
        </is>
      </c>
      <c r="B8" s="15" t="n">
        <v>568174</v>
      </c>
      <c r="C8" s="15" t="n">
        <v>387740.95</v>
      </c>
      <c r="D8" s="15" t="n">
        <v>57270.18</v>
      </c>
      <c r="E8" s="15" t="n">
        <v>42466.23</v>
      </c>
      <c r="F8" s="15" t="n">
        <v>46569.12</v>
      </c>
      <c r="G8" s="15" t="n">
        <v>34127.52</v>
      </c>
      <c r="H8" s="15" t="n">
        <v>1199019.66</v>
      </c>
    </row>
    <row r="9">
      <c r="A9" s="4" t="inlineStr">
        <is>
          <t>天津优鲜连锁超市</t>
        </is>
      </c>
      <c r="B9" s="15" t="n">
        <v>1658982.4</v>
      </c>
      <c r="C9" s="15" t="n">
        <v>1069744.82</v>
      </c>
      <c r="D9" s="15" t="n">
        <v>156272.95</v>
      </c>
      <c r="E9" s="15" t="n">
        <v>234282.01</v>
      </c>
      <c r="F9" s="15" t="n">
        <v>146970.64</v>
      </c>
      <c r="G9" s="15" t="n">
        <v>51711.98</v>
      </c>
      <c r="H9" s="15" t="n">
        <v>2506258.58</v>
      </c>
    </row>
    <row r="10">
      <c r="A10" s="4" t="inlineStr">
        <is>
          <t>上海汇通食品有限公司</t>
        </is>
      </c>
      <c r="B10" s="15" t="n">
        <v>870074.8100000001</v>
      </c>
      <c r="C10" s="15" t="n">
        <v>427969.66</v>
      </c>
      <c r="D10" s="15" t="n">
        <v>225743.64</v>
      </c>
      <c r="E10" s="15" t="n">
        <v>94308.92999999999</v>
      </c>
      <c r="F10" s="15" t="n">
        <v>101442.8</v>
      </c>
      <c r="G10" s="15" t="n">
        <v>20609.78</v>
      </c>
      <c r="H10" s="15" t="n">
        <v>1723437.1</v>
      </c>
    </row>
    <row r="11">
      <c r="A11" s="4" t="inlineStr">
        <is>
          <t>福州大匠进出口有限公司</t>
        </is>
      </c>
      <c r="B11" s="15" t="n">
        <v>979352.03</v>
      </c>
      <c r="C11" s="15" t="n">
        <v>426129.49</v>
      </c>
      <c r="D11" s="15" t="n">
        <v>453720.9</v>
      </c>
      <c r="E11" s="15" t="n">
        <v>17966.34</v>
      </c>
      <c r="F11" s="15" t="n">
        <v>24661.67</v>
      </c>
      <c r="G11" s="15" t="n">
        <v>56873.63</v>
      </c>
      <c r="H11" s="15" t="n">
        <v>1002968.42</v>
      </c>
    </row>
    <row r="12">
      <c r="A12" s="4" t="inlineStr">
        <is>
          <t>无锡优鲜连锁超市</t>
        </is>
      </c>
      <c r="B12" s="15" t="n">
        <v>1244393.08</v>
      </c>
      <c r="C12" s="15" t="n">
        <v>562802.61</v>
      </c>
      <c r="D12" s="15" t="n">
        <v>382018.33</v>
      </c>
      <c r="E12" s="15" t="n">
        <v>138907.97</v>
      </c>
      <c r="F12" s="15" t="n">
        <v>145363.59</v>
      </c>
      <c r="G12" s="15" t="n">
        <v>15300.58</v>
      </c>
      <c r="H12" s="15" t="n">
        <v>2827208.81</v>
      </c>
    </row>
    <row r="13">
      <c r="A13" s="4" t="inlineStr">
        <is>
          <t>合肥优鲜商贸有限公司</t>
        </is>
      </c>
      <c r="B13" s="15" t="n">
        <v>1352221.02</v>
      </c>
      <c r="C13" s="15" t="n">
        <v>876532.4300000001</v>
      </c>
      <c r="D13" s="15" t="n">
        <v>266147.44</v>
      </c>
      <c r="E13" s="15" t="n">
        <v>116071.76</v>
      </c>
      <c r="F13" s="15" t="n">
        <v>83688.99000000001</v>
      </c>
      <c r="G13" s="15" t="n">
        <v>9780.4</v>
      </c>
      <c r="H13" s="15" t="n">
        <v>2570376.54</v>
      </c>
    </row>
    <row r="14">
      <c r="A14" s="4" t="inlineStr">
        <is>
          <t>合肥鑫达实业有限公司</t>
        </is>
      </c>
      <c r="B14" s="15" t="n">
        <v>697339.02</v>
      </c>
      <c r="C14" s="15" t="n">
        <v>293936.47</v>
      </c>
      <c r="D14" s="15" t="n">
        <v>198016.38</v>
      </c>
      <c r="E14" s="15" t="n">
        <v>156186.16</v>
      </c>
      <c r="F14" s="15" t="n">
        <v>39064.44</v>
      </c>
      <c r="G14" s="15" t="n">
        <v>10135.57</v>
      </c>
      <c r="H14" s="15" t="n">
        <v>1722856.27</v>
      </c>
    </row>
    <row r="15">
      <c r="A15" s="4" t="inlineStr">
        <is>
          <t>上海优鲜食品有限公司</t>
        </is>
      </c>
      <c r="B15" s="15" t="n">
        <v>807699.9</v>
      </c>
      <c r="C15" s="15" t="n">
        <v>421624.95</v>
      </c>
      <c r="D15" s="15" t="n">
        <v>148278.89</v>
      </c>
      <c r="E15" s="15" t="n">
        <v>112316.25</v>
      </c>
      <c r="F15" s="15" t="n">
        <v>105283.15</v>
      </c>
      <c r="G15" s="15" t="n">
        <v>20196.66</v>
      </c>
      <c r="H15" s="15" t="n">
        <v>1906135.34</v>
      </c>
    </row>
    <row r="16">
      <c r="A16" s="4" t="inlineStr">
        <is>
          <t>重庆鑫达食品有限公司</t>
        </is>
      </c>
      <c r="B16" s="15" t="n">
        <v>278153.87</v>
      </c>
      <c r="C16" s="15" t="n">
        <v>157509.79</v>
      </c>
      <c r="D16" s="15" t="n">
        <v>69715.53999999999</v>
      </c>
      <c r="E16" s="15" t="n">
        <v>5901.37</v>
      </c>
      <c r="F16" s="15" t="n">
        <v>27573.99</v>
      </c>
      <c r="G16" s="15" t="n">
        <v>17453.18</v>
      </c>
      <c r="H16" s="15" t="n">
        <v>313536.02</v>
      </c>
    </row>
    <row r="17">
      <c r="A17" s="4" t="inlineStr">
        <is>
          <t>苏州百味电子商务有限公司</t>
        </is>
      </c>
      <c r="B17" s="15" t="n">
        <v>1519524.39</v>
      </c>
      <c r="C17" s="15" t="n">
        <v>708156.92</v>
      </c>
      <c r="D17" s="15" t="n">
        <v>474452.84</v>
      </c>
      <c r="E17" s="15" t="n">
        <v>155026.16</v>
      </c>
      <c r="F17" s="15" t="n">
        <v>93719.92999999999</v>
      </c>
      <c r="G17" s="15" t="n">
        <v>88168.53999999999</v>
      </c>
      <c r="H17" s="15" t="n">
        <v>2222551</v>
      </c>
    </row>
    <row r="18">
      <c r="A18" s="4" t="inlineStr">
        <is>
          <t>无锡永利电子商务有限公司</t>
        </is>
      </c>
      <c r="B18" s="15" t="n">
        <v>1048965.84</v>
      </c>
      <c r="C18" s="15" t="n">
        <v>403013.54</v>
      </c>
      <c r="D18" s="15" t="n">
        <v>354224.54</v>
      </c>
      <c r="E18" s="15" t="n">
        <v>162328.38</v>
      </c>
      <c r="F18" s="15" t="n">
        <v>82610.74000000001</v>
      </c>
      <c r="G18" s="15" t="n">
        <v>46788.64</v>
      </c>
      <c r="H18" s="15" t="n">
        <v>2285854.69</v>
      </c>
    </row>
    <row r="19">
      <c r="A19" s="4" t="inlineStr">
        <is>
          <t>长沙汇通进出口有限公司</t>
        </is>
      </c>
      <c r="B19" s="15" t="n">
        <v>831997.91</v>
      </c>
      <c r="C19" s="15" t="n">
        <v>577959.4399999999</v>
      </c>
      <c r="D19" s="15" t="n">
        <v>127085.85</v>
      </c>
      <c r="E19" s="15" t="n">
        <v>68326.78</v>
      </c>
      <c r="F19" s="15" t="n">
        <v>21825.03</v>
      </c>
      <c r="G19" s="15" t="n">
        <v>36800.81</v>
      </c>
      <c r="H19" s="15" t="n">
        <v>1444853.52</v>
      </c>
    </row>
    <row r="20">
      <c r="A20" s="4" t="inlineStr">
        <is>
          <t>宁波永利供应链有限公司</t>
        </is>
      </c>
      <c r="B20" s="15" t="n">
        <v>1370793.4</v>
      </c>
      <c r="C20" s="15" t="n">
        <v>605059.24</v>
      </c>
      <c r="D20" s="15" t="n">
        <v>223088.73</v>
      </c>
      <c r="E20" s="15" t="n">
        <v>136596.24</v>
      </c>
      <c r="F20" s="15" t="n">
        <v>263141.42</v>
      </c>
      <c r="G20" s="15" t="n">
        <v>142907.77</v>
      </c>
      <c r="H20" s="15" t="n">
        <v>1794947.87</v>
      </c>
    </row>
    <row r="21">
      <c r="A21" s="4" t="inlineStr">
        <is>
          <t>西安京功进出口有限公司</t>
        </is>
      </c>
      <c r="B21" s="15" t="n">
        <v>1436429</v>
      </c>
      <c r="C21" s="15" t="n">
        <v>899925.62</v>
      </c>
      <c r="D21" s="15" t="n">
        <v>347652.58</v>
      </c>
      <c r="E21" s="15" t="n">
        <v>86348.17</v>
      </c>
      <c r="F21" s="15" t="n">
        <v>73345.17999999999</v>
      </c>
      <c r="G21" s="15" t="n">
        <v>29157.45</v>
      </c>
      <c r="H21" s="15" t="n">
        <v>3220050.96</v>
      </c>
    </row>
    <row r="22">
      <c r="A22" s="4" t="inlineStr">
        <is>
          <t>济南大匠商贸有限公司</t>
        </is>
      </c>
      <c r="B22" s="15" t="n">
        <v>786653.86</v>
      </c>
      <c r="C22" s="15" t="n">
        <v>293247.98</v>
      </c>
      <c r="D22" s="15" t="n">
        <v>237153.2</v>
      </c>
      <c r="E22" s="15" t="n">
        <v>137892.29</v>
      </c>
      <c r="F22" s="15" t="n">
        <v>72517.41</v>
      </c>
      <c r="G22" s="15" t="n">
        <v>45842.98</v>
      </c>
      <c r="H22" s="15" t="n">
        <v>1494882.37</v>
      </c>
    </row>
    <row r="23">
      <c r="A23" s="4" t="inlineStr">
        <is>
          <t>上海荣泰餐饮集团</t>
        </is>
      </c>
      <c r="B23" s="15" t="n">
        <v>1758354.47</v>
      </c>
      <c r="C23" s="15" t="n">
        <v>1005725.03</v>
      </c>
      <c r="D23" s="15" t="n">
        <v>253004.17</v>
      </c>
      <c r="E23" s="15" t="n">
        <v>365284.85</v>
      </c>
      <c r="F23" s="15" t="n">
        <v>16213.65</v>
      </c>
      <c r="G23" s="15" t="n">
        <v>118126.77</v>
      </c>
      <c r="H23" s="15" t="n">
        <v>1780126.49</v>
      </c>
    </row>
    <row r="24">
      <c r="A24" s="4" t="inlineStr">
        <is>
          <t>苏州百味食品有限公司</t>
        </is>
      </c>
      <c r="B24" s="15" t="n">
        <v>726361.26</v>
      </c>
      <c r="C24" s="15" t="n">
        <v>512031.8</v>
      </c>
      <c r="D24" s="15" t="n">
        <v>129376.04</v>
      </c>
      <c r="E24" s="15" t="n">
        <v>30628.96</v>
      </c>
      <c r="F24" s="15" t="n">
        <v>10107.63</v>
      </c>
      <c r="G24" s="15" t="n">
        <v>44216.83</v>
      </c>
      <c r="H24" s="15" t="n">
        <v>1287514.03</v>
      </c>
    </row>
    <row r="25">
      <c r="A25" s="4" t="inlineStr">
        <is>
          <t>济南汇通商贸有限公司</t>
        </is>
      </c>
      <c r="B25" s="15" t="n">
        <v>749219.05</v>
      </c>
      <c r="C25" s="15" t="n">
        <v>374350.46</v>
      </c>
      <c r="D25" s="15" t="n">
        <v>146840.8</v>
      </c>
      <c r="E25" s="15" t="n">
        <v>141907</v>
      </c>
      <c r="F25" s="15" t="n">
        <v>69094.84</v>
      </c>
      <c r="G25" s="15" t="n">
        <v>17025.95</v>
      </c>
      <c r="H25" s="15" t="n">
        <v>917134.38</v>
      </c>
    </row>
    <row r="26">
      <c r="A26" s="4" t="inlineStr">
        <is>
          <t>青岛汇通电子商务有限公司</t>
        </is>
      </c>
      <c r="B26" s="15" t="n">
        <v>307351.79</v>
      </c>
      <c r="C26" s="15" t="n">
        <v>203308.58</v>
      </c>
      <c r="D26" s="15" t="n">
        <v>96112.08</v>
      </c>
      <c r="E26" s="15" t="n">
        <v>406.66</v>
      </c>
      <c r="F26" s="15" t="n">
        <v>3920.04</v>
      </c>
      <c r="G26" s="15" t="n">
        <v>3604.43</v>
      </c>
      <c r="H26" s="15" t="n">
        <v>712217.41</v>
      </c>
    </row>
    <row r="27">
      <c r="A27" s="4" t="inlineStr">
        <is>
          <t>无锡优鲜商贸有限公司</t>
        </is>
      </c>
      <c r="B27" s="15" t="n">
        <v>549026.23</v>
      </c>
      <c r="C27" s="15" t="n">
        <v>226832.19</v>
      </c>
      <c r="D27" s="15" t="n">
        <v>170889.34</v>
      </c>
      <c r="E27" s="15" t="n">
        <v>76712.27</v>
      </c>
      <c r="F27" s="15" t="n">
        <v>62870.44</v>
      </c>
      <c r="G27" s="15" t="n">
        <v>11721.99</v>
      </c>
      <c r="H27" s="15" t="n">
        <v>1124144.33</v>
      </c>
    </row>
    <row r="28">
      <c r="A28" s="4" t="inlineStr">
        <is>
          <t>杭州荣泰食品有限公司</t>
        </is>
      </c>
      <c r="B28" s="15" t="n">
        <v>1599578.52</v>
      </c>
      <c r="C28" s="15" t="n">
        <v>775824.04</v>
      </c>
      <c r="D28" s="15" t="n">
        <v>192478.36</v>
      </c>
      <c r="E28" s="15" t="n">
        <v>318187.81</v>
      </c>
      <c r="F28" s="15" t="n">
        <v>244688.02</v>
      </c>
      <c r="G28" s="15" t="n">
        <v>68400.28999999999</v>
      </c>
      <c r="H28" s="15" t="n">
        <v>2133307.15</v>
      </c>
    </row>
    <row r="29">
      <c r="A29" s="4" t="inlineStr">
        <is>
          <t>无锡大匠商贸有限公司</t>
        </is>
      </c>
      <c r="B29" s="15" t="n">
        <v>1392386.91</v>
      </c>
      <c r="C29" s="15" t="n">
        <v>837280.04</v>
      </c>
      <c r="D29" s="15" t="n">
        <v>190193.67</v>
      </c>
      <c r="E29" s="15" t="n">
        <v>201572.64</v>
      </c>
      <c r="F29" s="15" t="n">
        <v>83510.98</v>
      </c>
      <c r="G29" s="15" t="n">
        <v>79829.58</v>
      </c>
      <c r="H29" s="15" t="n">
        <v>2628285.28</v>
      </c>
    </row>
    <row r="30">
      <c r="A30" s="4" t="inlineStr">
        <is>
          <t>宁波百味连锁超市</t>
        </is>
      </c>
      <c r="B30" s="15" t="n">
        <v>1092543.13</v>
      </c>
      <c r="C30" s="15" t="n">
        <v>696815.39</v>
      </c>
      <c r="D30" s="15" t="n">
        <v>206606.75</v>
      </c>
      <c r="E30" s="15" t="n">
        <v>163521.32</v>
      </c>
      <c r="F30" s="15" t="n">
        <v>15675.23</v>
      </c>
      <c r="G30" s="15" t="n">
        <v>9924.440000000001</v>
      </c>
      <c r="H30" s="15" t="n">
        <v>2617558.69</v>
      </c>
    </row>
    <row r="31">
      <c r="A31" s="4" t="inlineStr">
        <is>
          <t>合肥京功餐饮集团</t>
        </is>
      </c>
      <c r="B31" s="15" t="n">
        <v>303072.14</v>
      </c>
      <c r="C31" s="15" t="n">
        <v>106683.08</v>
      </c>
      <c r="D31" s="15" t="n">
        <v>76270.72</v>
      </c>
      <c r="E31" s="15" t="n">
        <v>57925.34</v>
      </c>
      <c r="F31" s="15" t="n">
        <v>39986.84</v>
      </c>
      <c r="G31" s="15" t="n">
        <v>22206.16</v>
      </c>
      <c r="H31" s="15" t="n">
        <v>538125.03</v>
      </c>
    </row>
    <row r="32">
      <c r="A32" s="4" t="inlineStr">
        <is>
          <t>武汉汇通电子商务有限公司</t>
        </is>
      </c>
      <c r="B32" s="15" t="n">
        <v>1009474.02</v>
      </c>
      <c r="C32" s="15" t="n">
        <v>497064.24</v>
      </c>
      <c r="D32" s="15" t="n">
        <v>307830.55</v>
      </c>
      <c r="E32" s="15" t="n">
        <v>127566.81</v>
      </c>
      <c r="F32" s="15" t="n">
        <v>67454.41</v>
      </c>
      <c r="G32" s="15" t="n">
        <v>9558.01</v>
      </c>
      <c r="H32" s="15" t="n">
        <v>1479988.25</v>
      </c>
    </row>
    <row r="33">
      <c r="A33" s="4" t="inlineStr">
        <is>
          <t>重庆优鲜食品有限公司</t>
        </is>
      </c>
      <c r="B33" s="15" t="n">
        <v>1947113.92</v>
      </c>
      <c r="C33" s="15" t="n">
        <v>906729.92</v>
      </c>
      <c r="D33" s="15" t="n">
        <v>459126.05</v>
      </c>
      <c r="E33" s="15" t="n">
        <v>296807.13</v>
      </c>
      <c r="F33" s="15" t="n">
        <v>217551.09</v>
      </c>
      <c r="G33" s="15" t="n">
        <v>66899.73</v>
      </c>
      <c r="H33" s="15" t="n">
        <v>2581029.14</v>
      </c>
    </row>
    <row r="34">
      <c r="A34" s="4" t="inlineStr">
        <is>
          <t>青岛优鲜连锁超市</t>
        </is>
      </c>
      <c r="B34" s="15" t="n">
        <v>671667.1800000001</v>
      </c>
      <c r="C34" s="15" t="n">
        <v>365878.31</v>
      </c>
      <c r="D34" s="15" t="n">
        <v>156102.42</v>
      </c>
      <c r="E34" s="15" t="n">
        <v>37417.35</v>
      </c>
      <c r="F34" s="15" t="n">
        <v>93877.2</v>
      </c>
      <c r="G34" s="15" t="n">
        <v>18391.9</v>
      </c>
      <c r="H34" s="15" t="n">
        <v>800120.1</v>
      </c>
    </row>
    <row r="35">
      <c r="A35" s="4" t="inlineStr">
        <is>
          <t>杭州鑫达实业有限公司</t>
        </is>
      </c>
      <c r="B35" s="15" t="n">
        <v>434281.81</v>
      </c>
      <c r="C35" s="15" t="n">
        <v>240996.91</v>
      </c>
      <c r="D35" s="15" t="n">
        <v>92781.34</v>
      </c>
      <c r="E35" s="15" t="n">
        <v>70348.3</v>
      </c>
      <c r="F35" s="15" t="n">
        <v>7978.23</v>
      </c>
      <c r="G35" s="15" t="n">
        <v>22177.03</v>
      </c>
      <c r="H35" s="15" t="n">
        <v>1080584.69</v>
      </c>
    </row>
    <row r="36">
      <c r="A36" s="4" t="inlineStr">
        <is>
          <t>天津荣泰商贸有限公司</t>
        </is>
      </c>
      <c r="B36" s="15" t="n">
        <v>1649690.36</v>
      </c>
      <c r="C36" s="15" t="n">
        <v>810496.0600000001</v>
      </c>
      <c r="D36" s="15" t="n">
        <v>418169.93</v>
      </c>
      <c r="E36" s="15" t="n">
        <v>323661.01</v>
      </c>
      <c r="F36" s="15" t="n">
        <v>41632.49</v>
      </c>
      <c r="G36" s="15" t="n">
        <v>55730.87</v>
      </c>
      <c r="H36" s="15" t="n">
        <v>2458704.1</v>
      </c>
    </row>
    <row r="37">
      <c r="A37" s="4" t="inlineStr">
        <is>
          <t>南京荣泰商贸有限公司</t>
        </is>
      </c>
      <c r="B37" s="15" t="n">
        <v>144540.79</v>
      </c>
      <c r="C37" s="15" t="n">
        <v>82629.10000000001</v>
      </c>
      <c r="D37" s="15" t="n">
        <v>39986.01</v>
      </c>
      <c r="E37" s="15" t="n">
        <v>17273.96</v>
      </c>
      <c r="F37" s="15" t="n">
        <v>4338.64</v>
      </c>
      <c r="G37" s="15" t="n">
        <v>313.08</v>
      </c>
      <c r="H37" s="15" t="n">
        <v>154527.65</v>
      </c>
    </row>
    <row r="38">
      <c r="A38" s="4" t="inlineStr">
        <is>
          <t>重庆荣泰食品有限公司</t>
        </is>
      </c>
      <c r="B38" s="15" t="n">
        <v>506560.71</v>
      </c>
      <c r="C38" s="15" t="n">
        <v>266623.69</v>
      </c>
      <c r="D38" s="15" t="n">
        <v>96307.23</v>
      </c>
      <c r="E38" s="15" t="n">
        <v>83849.14</v>
      </c>
      <c r="F38" s="15" t="n">
        <v>15946.68</v>
      </c>
      <c r="G38" s="15" t="n">
        <v>43833.97</v>
      </c>
      <c r="H38" s="15" t="n">
        <v>627252.22</v>
      </c>
    </row>
    <row r="39">
      <c r="A39" s="4" t="inlineStr">
        <is>
          <t>成都汇通食品有限公司</t>
        </is>
      </c>
      <c r="B39" s="15" t="n">
        <v>1974152.7</v>
      </c>
      <c r="C39" s="15" t="n">
        <v>1143605.44</v>
      </c>
      <c r="D39" s="15" t="n">
        <v>531169.27</v>
      </c>
      <c r="E39" s="15" t="n">
        <v>166784.95</v>
      </c>
      <c r="F39" s="15" t="n">
        <v>124816.15</v>
      </c>
      <c r="G39" s="15" t="n">
        <v>7776.89</v>
      </c>
      <c r="H39" s="15" t="n">
        <v>2354682.73</v>
      </c>
    </row>
    <row r="40">
      <c r="A40" s="4" t="inlineStr">
        <is>
          <t>长沙优鲜商贸有限公司</t>
        </is>
      </c>
      <c r="B40" s="15" t="n">
        <v>1096504.1</v>
      </c>
      <c r="C40" s="15" t="n">
        <v>622499.5</v>
      </c>
      <c r="D40" s="15" t="n">
        <v>223144.84</v>
      </c>
      <c r="E40" s="15" t="n">
        <v>158315.03</v>
      </c>
      <c r="F40" s="15" t="n">
        <v>85357.16</v>
      </c>
      <c r="G40" s="15" t="n">
        <v>7187.57</v>
      </c>
      <c r="H40" s="15" t="n">
        <v>2190474.97</v>
      </c>
    </row>
    <row r="41">
      <c r="A41" s="4" t="inlineStr">
        <is>
          <t>无锡优鲜食品有限公司</t>
        </is>
      </c>
      <c r="B41" s="15" t="n">
        <v>120674.96</v>
      </c>
      <c r="C41" s="15" t="n">
        <v>63702.36</v>
      </c>
      <c r="D41" s="15" t="n">
        <v>19275.39</v>
      </c>
      <c r="E41" s="15" t="n">
        <v>16249.03</v>
      </c>
      <c r="F41" s="15" t="n">
        <v>14637.2</v>
      </c>
      <c r="G41" s="15" t="n">
        <v>6810.98</v>
      </c>
      <c r="H41" s="15" t="n">
        <v>191274.51</v>
      </c>
    </row>
    <row r="42">
      <c r="A42" s="4" t="inlineStr">
        <is>
          <t>合肥荣泰食品有限公司</t>
        </is>
      </c>
      <c r="B42" s="15" t="n">
        <v>726216.39</v>
      </c>
      <c r="C42" s="15" t="n">
        <v>364327.04</v>
      </c>
      <c r="D42" s="15" t="n">
        <v>195110.68</v>
      </c>
      <c r="E42" s="15" t="n">
        <v>138437.32</v>
      </c>
      <c r="F42" s="15" t="n">
        <v>18862.4</v>
      </c>
      <c r="G42" s="15" t="n">
        <v>9478.950000000001</v>
      </c>
      <c r="H42" s="15" t="n">
        <v>1441539.9</v>
      </c>
    </row>
    <row r="43">
      <c r="A43" s="6" t="inlineStr">
        <is>
          <t>合计</t>
        </is>
      </c>
      <c r="B43" s="16" t="n">
        <v>37584739.36</v>
      </c>
      <c r="C43" s="16" t="n">
        <v>20003264.22</v>
      </c>
      <c r="D43" s="16" t="n">
        <v>8709974.859999999</v>
      </c>
      <c r="E43" s="16" t="n">
        <v>4698315.25</v>
      </c>
      <c r="F43" s="16" t="n">
        <v>2801640.28</v>
      </c>
      <c r="G43" s="16" t="n">
        <v>1371544.75</v>
      </c>
      <c r="H43" s="16" t="n">
        <v>62090845.89</v>
      </c>
    </row>
    <row r="44">
      <c r="A44" s="6" t="inlineStr">
        <is>
          <t>占比</t>
        </is>
      </c>
      <c r="B44" s="20" t="n">
        <v>1</v>
      </c>
      <c r="C44" s="20" t="n">
        <v>0.5322</v>
      </c>
      <c r="D44" s="20" t="n">
        <v>0.2317</v>
      </c>
      <c r="E44" s="20" t="n">
        <v>0.125</v>
      </c>
      <c r="F44" s="20" t="n">
        <v>0.0745</v>
      </c>
      <c r="G44" s="20" t="n">
        <v>0.0365</v>
      </c>
    </row>
  </sheetData>
  <mergeCells count="5">
    <mergeCell ref="B3:B4"/>
    <mergeCell ref="A3:A4"/>
    <mergeCell ref="H3:H4"/>
    <mergeCell ref="A1:H1"/>
    <mergeCell ref="C3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江苏美鑫食品科技有限公司2025年12月库存台账</t>
        </is>
      </c>
    </row>
    <row r="2">
      <c r="A2" s="2" t="inlineStr">
        <is>
          <t>产品名称</t>
        </is>
      </c>
      <c r="B2" s="2" t="inlineStr">
        <is>
          <t>规格</t>
        </is>
      </c>
      <c r="C2" s="2" t="inlineStr">
        <is>
          <t>成品仓</t>
        </is>
      </c>
      <c r="G2" s="2" t="inlineStr">
        <is>
          <t>原材料仓</t>
        </is>
      </c>
      <c r="K2" s="2" t="inlineStr">
        <is>
          <t>半成品仓</t>
        </is>
      </c>
      <c r="O2" s="2" t="inlineStr">
        <is>
          <t>冷链仓</t>
        </is>
      </c>
      <c r="S2" s="2" t="inlineStr">
        <is>
          <t>合计</t>
        </is>
      </c>
    </row>
    <row r="3">
      <c r="A3" s="12" t="n"/>
      <c r="B3" s="12" t="n"/>
      <c r="C3" s="2" t="inlineStr">
        <is>
          <t>期初</t>
        </is>
      </c>
      <c r="D3" s="2" t="inlineStr">
        <is>
          <t>入库</t>
        </is>
      </c>
      <c r="E3" s="2" t="inlineStr">
        <is>
          <t>出库</t>
        </is>
      </c>
      <c r="F3" s="2" t="inlineStr">
        <is>
          <t>期末</t>
        </is>
      </c>
      <c r="G3" s="2" t="inlineStr">
        <is>
          <t>期初</t>
        </is>
      </c>
      <c r="H3" s="2" t="inlineStr">
        <is>
          <t>入库</t>
        </is>
      </c>
      <c r="I3" s="2" t="inlineStr">
        <is>
          <t>出库</t>
        </is>
      </c>
      <c r="J3" s="2" t="inlineStr">
        <is>
          <t>期末</t>
        </is>
      </c>
      <c r="K3" s="2" t="inlineStr">
        <is>
          <t>期初</t>
        </is>
      </c>
      <c r="L3" s="2" t="inlineStr">
        <is>
          <t>入库</t>
        </is>
      </c>
      <c r="M3" s="2" t="inlineStr">
        <is>
          <t>出库</t>
        </is>
      </c>
      <c r="N3" s="2" t="inlineStr">
        <is>
          <t>期末</t>
        </is>
      </c>
      <c r="O3" s="2" t="inlineStr">
        <is>
          <t>期初</t>
        </is>
      </c>
      <c r="P3" s="2" t="inlineStr">
        <is>
          <t>入库</t>
        </is>
      </c>
      <c r="Q3" s="2" t="inlineStr">
        <is>
          <t>出库</t>
        </is>
      </c>
      <c r="R3" s="2" t="inlineStr">
        <is>
          <t>期末</t>
        </is>
      </c>
      <c r="S3" s="2" t="inlineStr">
        <is>
          <t>期初</t>
        </is>
      </c>
      <c r="T3" s="2" t="inlineStr">
        <is>
          <t>入库</t>
        </is>
      </c>
      <c r="U3" s="2" t="inlineStr">
        <is>
          <t>出库</t>
        </is>
      </c>
      <c r="V3" s="2" t="inlineStr">
        <is>
          <t>期末</t>
        </is>
      </c>
    </row>
    <row r="4">
      <c r="A4" s="4" t="inlineStr">
        <is>
          <t>中式汤底</t>
        </is>
      </c>
      <c r="B4" s="4" t="inlineStr">
        <is>
          <t>500g/袋</t>
        </is>
      </c>
      <c r="C4" s="18" t="n">
        <v>3988</v>
      </c>
      <c r="D4" s="18" t="n">
        <v>6992</v>
      </c>
      <c r="E4" s="18" t="n">
        <v>2501</v>
      </c>
      <c r="F4" s="18" t="n">
        <v>8479</v>
      </c>
      <c r="G4" s="18" t="n">
        <v>723</v>
      </c>
      <c r="H4" s="18" t="n">
        <v>2204</v>
      </c>
      <c r="I4" s="18" t="n">
        <v>1158</v>
      </c>
      <c r="J4" s="18" t="n">
        <v>1769</v>
      </c>
      <c r="K4" s="18" t="n">
        <v>1851</v>
      </c>
      <c r="L4" s="18" t="n">
        <v>131</v>
      </c>
      <c r="M4" s="18" t="n">
        <v>1381</v>
      </c>
      <c r="N4" s="18" t="n">
        <v>601</v>
      </c>
      <c r="O4" s="18" t="n">
        <v>1047</v>
      </c>
      <c r="P4" s="18" t="n">
        <v>224</v>
      </c>
      <c r="Q4" s="18" t="n">
        <v>873</v>
      </c>
      <c r="R4" s="18" t="n">
        <v>398</v>
      </c>
      <c r="S4" s="18" t="n">
        <v>7609</v>
      </c>
      <c r="T4" s="18" t="n">
        <v>9551</v>
      </c>
      <c r="U4" s="18" t="n">
        <v>5913</v>
      </c>
      <c r="V4" s="18" t="n">
        <v>11247</v>
      </c>
    </row>
    <row r="5">
      <c r="A5" s="4" t="inlineStr">
        <is>
          <t>酱料</t>
        </is>
      </c>
      <c r="B5" s="4" t="inlineStr">
        <is>
          <t>500g/袋</t>
        </is>
      </c>
      <c r="C5" s="18" t="n">
        <v>2322</v>
      </c>
      <c r="D5" s="18" t="n">
        <v>7652</v>
      </c>
      <c r="E5" s="18" t="n">
        <v>2424</v>
      </c>
      <c r="F5" s="18" t="n">
        <v>7550</v>
      </c>
      <c r="G5" s="18" t="n">
        <v>2962</v>
      </c>
      <c r="H5" s="18" t="n">
        <v>1266</v>
      </c>
      <c r="I5" s="18" t="n">
        <v>3208</v>
      </c>
      <c r="J5" s="18" t="n">
        <v>1020</v>
      </c>
      <c r="K5" s="18" t="n">
        <v>2555</v>
      </c>
      <c r="L5" s="18" t="n">
        <v>2987</v>
      </c>
      <c r="M5" s="18" t="n">
        <v>3859</v>
      </c>
      <c r="N5" s="18" t="n">
        <v>1683</v>
      </c>
      <c r="O5" s="18" t="n">
        <v>2604</v>
      </c>
      <c r="P5" s="18" t="n">
        <v>2321</v>
      </c>
      <c r="Q5" s="18" t="n">
        <v>1757</v>
      </c>
      <c r="R5" s="18" t="n">
        <v>3168</v>
      </c>
      <c r="S5" s="18" t="n">
        <v>10443</v>
      </c>
      <c r="T5" s="18" t="n">
        <v>14226</v>
      </c>
      <c r="U5" s="18" t="n">
        <v>11248</v>
      </c>
      <c r="V5" s="18" t="n">
        <v>13421</v>
      </c>
    </row>
    <row r="6">
      <c r="A6" s="4" t="inlineStr">
        <is>
          <t>川味底料</t>
        </is>
      </c>
      <c r="B6" s="4" t="inlineStr">
        <is>
          <t>1kg/箱</t>
        </is>
      </c>
      <c r="C6" s="18" t="n">
        <v>616</v>
      </c>
      <c r="D6" s="18" t="n">
        <v>4975</v>
      </c>
      <c r="E6" s="18" t="n">
        <v>5096</v>
      </c>
      <c r="F6" s="18" t="n">
        <v>495</v>
      </c>
      <c r="G6" s="18" t="n">
        <v>3972</v>
      </c>
      <c r="H6" s="18" t="n">
        <v>892</v>
      </c>
      <c r="I6" s="18" t="n">
        <v>1083</v>
      </c>
      <c r="J6" s="18" t="n">
        <v>3781</v>
      </c>
      <c r="K6" s="18" t="n">
        <v>3018</v>
      </c>
      <c r="L6" s="18" t="n">
        <v>1957</v>
      </c>
      <c r="M6" s="18" t="n">
        <v>1940</v>
      </c>
      <c r="N6" s="18" t="n">
        <v>3035</v>
      </c>
      <c r="O6" s="18" t="n">
        <v>2040</v>
      </c>
      <c r="P6" s="18" t="n">
        <v>7367</v>
      </c>
      <c r="Q6" s="18" t="n">
        <v>2346</v>
      </c>
      <c r="R6" s="18" t="n">
        <v>7061</v>
      </c>
      <c r="S6" s="18" t="n">
        <v>9646</v>
      </c>
      <c r="T6" s="18" t="n">
        <v>15191</v>
      </c>
      <c r="U6" s="18" t="n">
        <v>10465</v>
      </c>
      <c r="V6" s="18" t="n">
        <v>14372</v>
      </c>
    </row>
    <row r="7">
      <c r="A7" s="4" t="inlineStr">
        <is>
          <t>调味汁</t>
        </is>
      </c>
      <c r="B7" s="4" t="inlineStr">
        <is>
          <t>10kg/桶</t>
        </is>
      </c>
      <c r="C7" s="18" t="n">
        <v>3743</v>
      </c>
      <c r="D7" s="18" t="n">
        <v>1448</v>
      </c>
      <c r="E7" s="18" t="n">
        <v>5177</v>
      </c>
      <c r="F7" s="18" t="n">
        <v>14</v>
      </c>
      <c r="G7" s="18" t="n">
        <v>3590</v>
      </c>
      <c r="H7" s="18" t="n">
        <v>6997</v>
      </c>
      <c r="I7" s="18" t="n">
        <v>5120</v>
      </c>
      <c r="J7" s="18" t="n">
        <v>5467</v>
      </c>
      <c r="K7" s="18" t="n">
        <v>3878</v>
      </c>
      <c r="L7" s="18" t="n">
        <v>333</v>
      </c>
      <c r="M7" s="18" t="n">
        <v>835</v>
      </c>
      <c r="N7" s="18" t="n">
        <v>3376</v>
      </c>
      <c r="O7" s="18" t="n">
        <v>256</v>
      </c>
      <c r="P7" s="18" t="n">
        <v>6244</v>
      </c>
      <c r="Q7" s="18" t="n">
        <v>454</v>
      </c>
      <c r="R7" s="18" t="n">
        <v>6046</v>
      </c>
      <c r="S7" s="18" t="n">
        <v>11467</v>
      </c>
      <c r="T7" s="18" t="n">
        <v>15022</v>
      </c>
      <c r="U7" s="18" t="n">
        <v>11586</v>
      </c>
      <c r="V7" s="18" t="n">
        <v>14903</v>
      </c>
    </row>
    <row r="8">
      <c r="A8" s="4" t="inlineStr">
        <is>
          <t>复合调味粉</t>
        </is>
      </c>
      <c r="B8" s="4" t="inlineStr">
        <is>
          <t>25kg/袋</t>
        </is>
      </c>
      <c r="C8" s="18" t="n">
        <v>1737</v>
      </c>
      <c r="D8" s="18" t="n">
        <v>6586</v>
      </c>
      <c r="E8" s="18" t="n">
        <v>5267</v>
      </c>
      <c r="F8" s="18" t="n">
        <v>3056</v>
      </c>
      <c r="G8" s="18" t="n">
        <v>2528</v>
      </c>
      <c r="H8" s="18" t="n">
        <v>1953</v>
      </c>
      <c r="I8" s="18" t="n">
        <v>2492</v>
      </c>
      <c r="J8" s="18" t="n">
        <v>1989</v>
      </c>
      <c r="K8" s="18" t="n">
        <v>2520</v>
      </c>
      <c r="L8" s="18" t="n">
        <v>5013</v>
      </c>
      <c r="M8" s="18" t="n">
        <v>4992</v>
      </c>
      <c r="N8" s="18" t="n">
        <v>2541</v>
      </c>
      <c r="O8" s="18" t="n">
        <v>4115</v>
      </c>
      <c r="P8" s="18" t="n">
        <v>3084</v>
      </c>
      <c r="Q8" s="18" t="n">
        <v>6133</v>
      </c>
      <c r="R8" s="18" t="n">
        <v>1066</v>
      </c>
      <c r="S8" s="18" t="n">
        <v>10900</v>
      </c>
      <c r="T8" s="18" t="n">
        <v>16636</v>
      </c>
      <c r="U8" s="18" t="n">
        <v>18884</v>
      </c>
      <c r="V8" s="18" t="n">
        <v>8652</v>
      </c>
    </row>
    <row r="9">
      <c r="A9" s="4" t="inlineStr">
        <is>
          <t>团餐</t>
        </is>
      </c>
      <c r="B9" s="4" t="inlineStr">
        <is>
          <t>25kg/袋</t>
        </is>
      </c>
      <c r="C9" s="18" t="n">
        <v>4496</v>
      </c>
      <c r="D9" s="18" t="n">
        <v>5842</v>
      </c>
      <c r="E9" s="18" t="n">
        <v>2995</v>
      </c>
      <c r="F9" s="18" t="n">
        <v>7343</v>
      </c>
      <c r="G9" s="18" t="n">
        <v>4568</v>
      </c>
      <c r="H9" s="18" t="n">
        <v>5973</v>
      </c>
      <c r="I9" s="18" t="n">
        <v>3466</v>
      </c>
      <c r="J9" s="18" t="n">
        <v>7075</v>
      </c>
      <c r="K9" s="18" t="n">
        <v>613</v>
      </c>
      <c r="L9" s="18" t="n">
        <v>6110</v>
      </c>
      <c r="M9" s="18" t="n">
        <v>4427</v>
      </c>
      <c r="N9" s="18" t="n">
        <v>2296</v>
      </c>
      <c r="O9" s="18" t="n">
        <v>4338</v>
      </c>
      <c r="P9" s="18" t="n">
        <v>4249</v>
      </c>
      <c r="Q9" s="18" t="n">
        <v>836</v>
      </c>
      <c r="R9" s="18" t="n">
        <v>7751</v>
      </c>
      <c r="S9" s="18" t="n">
        <v>14015</v>
      </c>
      <c r="T9" s="18" t="n">
        <v>22174</v>
      </c>
      <c r="U9" s="18" t="n">
        <v>11724</v>
      </c>
      <c r="V9" s="18" t="n">
        <v>24465</v>
      </c>
    </row>
    <row r="10">
      <c r="A10" s="4" t="inlineStr">
        <is>
          <t>预制菜</t>
        </is>
      </c>
      <c r="B10" s="4" t="inlineStr">
        <is>
          <t>5kg/箱</t>
        </is>
      </c>
      <c r="C10" s="18" t="n">
        <v>4242</v>
      </c>
      <c r="D10" s="18" t="n">
        <v>3405</v>
      </c>
      <c r="E10" s="18" t="n">
        <v>519</v>
      </c>
      <c r="F10" s="18" t="n">
        <v>7128</v>
      </c>
      <c r="G10" s="18" t="n">
        <v>1121</v>
      </c>
      <c r="H10" s="18" t="n">
        <v>1047</v>
      </c>
      <c r="I10" s="18" t="n">
        <v>1580</v>
      </c>
      <c r="J10" s="18" t="n">
        <v>588</v>
      </c>
      <c r="K10" s="18" t="n">
        <v>4741</v>
      </c>
      <c r="L10" s="18" t="n">
        <v>4939</v>
      </c>
      <c r="M10" s="18" t="n">
        <v>1337</v>
      </c>
      <c r="N10" s="18" t="n">
        <v>8343</v>
      </c>
      <c r="O10" s="18" t="n">
        <v>4138</v>
      </c>
      <c r="P10" s="18" t="n">
        <v>5072</v>
      </c>
      <c r="Q10" s="18" t="n">
        <v>2170</v>
      </c>
      <c r="R10" s="18" t="n">
        <v>7040</v>
      </c>
      <c r="S10" s="18" t="n">
        <v>14242</v>
      </c>
      <c r="T10" s="18" t="n">
        <v>14463</v>
      </c>
      <c r="U10" s="18" t="n">
        <v>5606</v>
      </c>
      <c r="V10" s="18" t="n">
        <v>23099</v>
      </c>
    </row>
    <row r="11">
      <c r="A11" s="6" t="inlineStr">
        <is>
          <t>合计</t>
        </is>
      </c>
      <c r="C11" s="19" t="n">
        <v>21144</v>
      </c>
      <c r="D11" s="19" t="n">
        <v>36900</v>
      </c>
      <c r="E11" s="19" t="n">
        <v>23979</v>
      </c>
      <c r="F11" s="19" t="n">
        <v>34065</v>
      </c>
      <c r="G11" s="19" t="n">
        <v>19464</v>
      </c>
      <c r="H11" s="19" t="n">
        <v>20332</v>
      </c>
      <c r="I11" s="19" t="n">
        <v>18107</v>
      </c>
      <c r="J11" s="19" t="n">
        <v>21689</v>
      </c>
      <c r="K11" s="19" t="n">
        <v>19176</v>
      </c>
      <c r="L11" s="19" t="n">
        <v>21470</v>
      </c>
      <c r="M11" s="19" t="n">
        <v>18771</v>
      </c>
      <c r="N11" s="19" t="n">
        <v>21875</v>
      </c>
      <c r="O11" s="19" t="n">
        <v>18538</v>
      </c>
      <c r="P11" s="19" t="n">
        <v>28561</v>
      </c>
      <c r="Q11" s="19" t="n">
        <v>14569</v>
      </c>
      <c r="R11" s="19" t="n">
        <v>32530</v>
      </c>
      <c r="S11" s="19" t="n">
        <v>78322</v>
      </c>
      <c r="T11" s="19" t="n">
        <v>107263</v>
      </c>
      <c r="U11" s="19" t="n">
        <v>75426</v>
      </c>
      <c r="V11" s="19" t="n">
        <v>110159</v>
      </c>
    </row>
  </sheetData>
  <mergeCells count="8">
    <mergeCell ref="S2:V2"/>
    <mergeCell ref="G2:J2"/>
    <mergeCell ref="B2:B3"/>
    <mergeCell ref="A2:A3"/>
    <mergeCell ref="A1:R1"/>
    <mergeCell ref="K2:N2"/>
    <mergeCell ref="C2:F2"/>
    <mergeCell ref="O2:R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江苏美鑫食品科技有限公司2025年度经营KPI</t>
        </is>
      </c>
    </row>
    <row r="2">
      <c r="A2" s="2" t="inlineStr">
        <is>
          <t>指标</t>
        </is>
      </c>
      <c r="B2" s="2" t="inlineStr">
        <is>
          <t>年度目标</t>
        </is>
      </c>
      <c r="C2" s="2" t="inlineStr">
        <is>
          <t>年度实际</t>
        </is>
      </c>
      <c r="D2" s="2" t="inlineStr">
        <is>
          <t>达成率</t>
        </is>
      </c>
      <c r="E2" s="2" t="inlineStr">
        <is>
          <t>去年同期</t>
        </is>
      </c>
      <c r="F2" s="2" t="inlineStr">
        <is>
          <t>同比增长</t>
        </is>
      </c>
    </row>
    <row r="3">
      <c r="A3" s="6" t="inlineStr">
        <is>
          <t>营业收入(万元)</t>
        </is>
      </c>
      <c r="B3" s="3" t="n">
        <v>20343.7</v>
      </c>
      <c r="C3" s="3" t="n">
        <v>20400.4</v>
      </c>
      <c r="D3" s="21" t="n">
        <v>1.0028</v>
      </c>
      <c r="E3" s="3" t="n">
        <v>16187.1</v>
      </c>
      <c r="F3" s="21" t="n">
        <v>0.2603</v>
      </c>
    </row>
    <row r="4">
      <c r="A4" s="6" t="inlineStr">
        <is>
          <t>净利润(万元)</t>
        </is>
      </c>
      <c r="B4" s="3" t="n">
        <v>1483.5</v>
      </c>
      <c r="C4" s="3" t="n">
        <v>1236.2</v>
      </c>
      <c r="D4" s="21" t="n">
        <v>0.8333</v>
      </c>
      <c r="E4" s="3" t="n">
        <v>989</v>
      </c>
      <c r="F4" s="21" t="n">
        <v>0.25</v>
      </c>
    </row>
    <row r="5">
      <c r="A5" s="6" t="inlineStr">
        <is>
          <t>毛利率</t>
        </is>
      </c>
      <c r="B5" s="21" t="n">
        <v>0.3</v>
      </c>
      <c r="C5" s="21" t="n">
        <v>0.3418</v>
      </c>
      <c r="D5" s="3" t="inlineStr">
        <is>
          <t>-</t>
        </is>
      </c>
      <c r="E5" s="21" t="n">
        <v>0.3015</v>
      </c>
      <c r="F5" s="3" t="inlineStr">
        <is>
          <t>-</t>
        </is>
      </c>
    </row>
    <row r="6">
      <c r="A6" s="6" t="inlineStr">
        <is>
          <t>净利率</t>
        </is>
      </c>
      <c r="B6" s="21" t="n">
        <v>0.05</v>
      </c>
      <c r="C6" s="21" t="n">
        <v>0.0606</v>
      </c>
      <c r="D6" s="3" t="inlineStr">
        <is>
          <t>-</t>
        </is>
      </c>
      <c r="E6" s="21" t="n">
        <v>0.0546</v>
      </c>
      <c r="F6" s="3" t="inlineStr">
        <is>
          <t>-</t>
        </is>
      </c>
    </row>
    <row r="7">
      <c r="A7" s="6" t="inlineStr">
        <is>
          <t>客户数(家)</t>
        </is>
      </c>
      <c r="B7" s="3" t="n">
        <v>373</v>
      </c>
      <c r="C7" s="3" t="n">
        <v>399</v>
      </c>
      <c r="D7" s="3" t="inlineStr">
        <is>
          <t>-</t>
        </is>
      </c>
      <c r="E7" s="3" t="n">
        <v>211</v>
      </c>
      <c r="F7" s="3" t="inlineStr">
        <is>
          <t>-</t>
        </is>
      </c>
    </row>
    <row r="10">
      <c r="A10" s="2" t="inlineStr">
        <is>
          <t>产品销售排名</t>
        </is>
      </c>
      <c r="H10" s="2" t="inlineStr">
        <is>
          <t>区域经营对比</t>
        </is>
      </c>
    </row>
    <row r="11">
      <c r="A11" s="2" t="inlineStr">
        <is>
          <t>排名</t>
        </is>
      </c>
      <c r="B11" s="2" t="inlineStr">
        <is>
          <t>产品</t>
        </is>
      </c>
      <c r="C11" s="2" t="inlineStr">
        <is>
          <t>销售额(万元)</t>
        </is>
      </c>
      <c r="D11" s="2" t="inlineStr">
        <is>
          <t>占比</t>
        </is>
      </c>
      <c r="E11" s="2" t="inlineStr">
        <is>
          <t>同比</t>
        </is>
      </c>
      <c r="F11" s="2" t="inlineStr">
        <is>
          <t>毛利率</t>
        </is>
      </c>
      <c r="H11" s="2" t="inlineStr">
        <is>
          <t>区域</t>
        </is>
      </c>
      <c r="I11" s="2" t="inlineStr">
        <is>
          <t>收入(万元)</t>
        </is>
      </c>
      <c r="J11" s="2" t="inlineStr">
        <is>
          <t>净利(万元)</t>
        </is>
      </c>
      <c r="K11" s="2" t="inlineStr">
        <is>
          <t>净利率</t>
        </is>
      </c>
      <c r="L11" s="2" t="inlineStr">
        <is>
          <t>达成率</t>
        </is>
      </c>
    </row>
    <row r="12">
      <c r="A12" s="3" t="n">
        <v>1</v>
      </c>
      <c r="B12" s="4" t="inlineStr">
        <is>
          <t>调味汁</t>
        </is>
      </c>
      <c r="C12" s="7" t="n">
        <v>3274.9</v>
      </c>
      <c r="D12" s="21" t="n">
        <v>0.1605</v>
      </c>
      <c r="E12" s="22" t="n">
        <v>0.2787</v>
      </c>
      <c r="F12" s="21" t="n">
        <v>0.2527</v>
      </c>
      <c r="H12" s="4" t="inlineStr">
        <is>
          <t>江苏分部</t>
        </is>
      </c>
      <c r="I12" s="7" t="n">
        <v>4443.9</v>
      </c>
      <c r="J12" s="7" t="n">
        <v>330.6</v>
      </c>
      <c r="K12" s="21" t="n">
        <v>0.07439999999999999</v>
      </c>
      <c r="L12" s="21" t="n">
        <v>1.0281</v>
      </c>
    </row>
    <row r="13">
      <c r="A13" s="3" t="n">
        <v>2</v>
      </c>
      <c r="B13" s="4" t="inlineStr">
        <is>
          <t>团餐</t>
        </is>
      </c>
      <c r="C13" s="7" t="n">
        <v>3204.8</v>
      </c>
      <c r="D13" s="21" t="n">
        <v>0.1571</v>
      </c>
      <c r="E13" s="22" t="n">
        <v>-0.09710000000000001</v>
      </c>
      <c r="F13" s="21" t="n">
        <v>0.2418</v>
      </c>
      <c r="H13" s="4" t="inlineStr">
        <is>
          <t>浙江分部</t>
        </is>
      </c>
      <c r="I13" s="7" t="n">
        <v>4265.2</v>
      </c>
      <c r="J13" s="7" t="n">
        <v>330.5</v>
      </c>
      <c r="K13" s="21" t="n">
        <v>0.0775</v>
      </c>
      <c r="L13" s="21" t="n">
        <v>0.9907</v>
      </c>
    </row>
    <row r="14">
      <c r="A14" s="3" t="n">
        <v>3</v>
      </c>
      <c r="B14" s="4" t="inlineStr">
        <is>
          <t>复合调味粉</t>
        </is>
      </c>
      <c r="C14" s="7" t="n">
        <v>3029.3</v>
      </c>
      <c r="D14" s="21" t="n">
        <v>0.1485</v>
      </c>
      <c r="E14" s="22" t="n">
        <v>-0.0469</v>
      </c>
      <c r="F14" s="21" t="n">
        <v>0.3505</v>
      </c>
      <c r="H14" s="4" t="inlineStr">
        <is>
          <t>上海分部</t>
        </is>
      </c>
      <c r="I14" s="7" t="n">
        <v>4416.2</v>
      </c>
      <c r="J14" s="7" t="n">
        <v>365.3</v>
      </c>
      <c r="K14" s="21" t="n">
        <v>0.0827</v>
      </c>
      <c r="L14" s="21" t="n">
        <v>1.0224</v>
      </c>
    </row>
    <row r="15">
      <c r="A15" s="3" t="n">
        <v>4</v>
      </c>
      <c r="B15" s="4" t="inlineStr">
        <is>
          <t>中式汤底</t>
        </is>
      </c>
      <c r="C15" s="7" t="n">
        <v>2890.8</v>
      </c>
      <c r="D15" s="21" t="n">
        <v>0.1417</v>
      </c>
      <c r="E15" s="22" t="n">
        <v>-0.0312</v>
      </c>
      <c r="F15" s="21" t="n">
        <v>0.2102</v>
      </c>
      <c r="H15" s="4" t="inlineStr">
        <is>
          <t>赣皖区域</t>
        </is>
      </c>
      <c r="I15" s="7" t="n">
        <v>2863.7</v>
      </c>
      <c r="J15" s="7" t="n">
        <v>229.9</v>
      </c>
      <c r="K15" s="21" t="n">
        <v>0.0803</v>
      </c>
      <c r="L15" s="21" t="n">
        <v>0.9679</v>
      </c>
    </row>
    <row r="16">
      <c r="A16" s="3" t="n">
        <v>5</v>
      </c>
      <c r="B16" s="4" t="inlineStr">
        <is>
          <t>川味底料</t>
        </is>
      </c>
      <c r="C16" s="7" t="n">
        <v>2743.5</v>
      </c>
      <c r="D16" s="21" t="n">
        <v>0.1345</v>
      </c>
      <c r="E16" s="22" t="n">
        <v>0.2459</v>
      </c>
      <c r="F16" s="21" t="n">
        <v>0.2034</v>
      </c>
      <c r="H16" s="4" t="inlineStr">
        <is>
          <t>安徽省区</t>
        </is>
      </c>
      <c r="I16" s="7" t="n">
        <v>1591.6</v>
      </c>
      <c r="J16" s="7" t="n">
        <v>120</v>
      </c>
      <c r="K16" s="21" t="n">
        <v>0.07539999999999999</v>
      </c>
      <c r="L16" s="21" t="n">
        <v>1.0118</v>
      </c>
    </row>
    <row r="17">
      <c r="A17" s="3" t="n">
        <v>6</v>
      </c>
      <c r="B17" s="4" t="inlineStr">
        <is>
          <t>酱料</t>
        </is>
      </c>
      <c r="C17" s="7" t="n">
        <v>2688.5</v>
      </c>
      <c r="D17" s="21" t="n">
        <v>0.1318</v>
      </c>
      <c r="E17" s="22" t="n">
        <v>0.0527</v>
      </c>
      <c r="F17" s="21" t="n">
        <v>0.3714</v>
      </c>
      <c r="H17" s="4" t="inlineStr">
        <is>
          <t>江西省区</t>
        </is>
      </c>
      <c r="I17" s="7" t="n">
        <v>2819.7</v>
      </c>
      <c r="J17" s="7" t="n">
        <v>238.2</v>
      </c>
      <c r="K17" s="21" t="n">
        <v>0.08450000000000001</v>
      </c>
      <c r="L17" s="21" t="n">
        <v>0.9844000000000001</v>
      </c>
    </row>
    <row r="18">
      <c r="A18" s="3" t="n">
        <v>7</v>
      </c>
      <c r="B18" s="4" t="inlineStr">
        <is>
          <t>预制菜</t>
        </is>
      </c>
      <c r="C18" s="7" t="n">
        <v>2568.6</v>
      </c>
      <c r="D18" s="21" t="n">
        <v>0.1259</v>
      </c>
      <c r="E18" s="22" t="n">
        <v>0.2913</v>
      </c>
      <c r="F18" s="21" t="n">
        <v>0.383</v>
      </c>
    </row>
  </sheetData>
  <mergeCells count="3">
    <mergeCell ref="H10:L10"/>
    <mergeCell ref="A10:F10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江苏美鑫食品科技有限公司2025年费用预算执行表</t>
        </is>
      </c>
    </row>
    <row r="2">
      <c r="A2" s="2" t="inlineStr">
        <is>
          <t>部门</t>
        </is>
      </c>
      <c r="B2" s="2" t="inlineStr">
        <is>
          <t>费用类别</t>
        </is>
      </c>
      <c r="C2" s="2" t="inlineStr">
        <is>
          <t>1月</t>
        </is>
      </c>
      <c r="F2" s="2" t="inlineStr">
        <is>
          <t>2月</t>
        </is>
      </c>
      <c r="I2" s="2" t="inlineStr">
        <is>
          <t>3月</t>
        </is>
      </c>
      <c r="L2" s="2" t="inlineStr">
        <is>
          <t>4月</t>
        </is>
      </c>
      <c r="O2" s="2" t="inlineStr">
        <is>
          <t>5月</t>
        </is>
      </c>
      <c r="R2" s="2" t="inlineStr">
        <is>
          <t>6月</t>
        </is>
      </c>
      <c r="U2" s="2" t="inlineStr">
        <is>
          <t>7月</t>
        </is>
      </c>
      <c r="X2" s="2" t="inlineStr">
        <is>
          <t>8月</t>
        </is>
      </c>
      <c r="AA2" s="2" t="inlineStr">
        <is>
          <t>9月</t>
        </is>
      </c>
      <c r="AD2" s="2" t="inlineStr">
        <is>
          <t>10月</t>
        </is>
      </c>
      <c r="AG2" s="2" t="inlineStr">
        <is>
          <t>11月</t>
        </is>
      </c>
      <c r="AJ2" s="2" t="inlineStr">
        <is>
          <t>12月</t>
        </is>
      </c>
    </row>
    <row r="3">
      <c r="A3" s="12" t="n"/>
      <c r="B3" s="12" t="n"/>
      <c r="C3" s="2" t="inlineStr">
        <is>
          <t>预算</t>
        </is>
      </c>
      <c r="D3" s="2" t="inlineStr">
        <is>
          <t>实际</t>
        </is>
      </c>
      <c r="E3" s="2" t="inlineStr">
        <is>
          <t>差异</t>
        </is>
      </c>
      <c r="F3" s="2" t="inlineStr">
        <is>
          <t>预算</t>
        </is>
      </c>
      <c r="G3" s="2" t="inlineStr">
        <is>
          <t>实际</t>
        </is>
      </c>
      <c r="H3" s="2" t="inlineStr">
        <is>
          <t>差异</t>
        </is>
      </c>
      <c r="I3" s="2" t="inlineStr">
        <is>
          <t>预算</t>
        </is>
      </c>
      <c r="J3" s="2" t="inlineStr">
        <is>
          <t>实际</t>
        </is>
      </c>
      <c r="K3" s="2" t="inlineStr">
        <is>
          <t>差异</t>
        </is>
      </c>
      <c r="L3" s="2" t="inlineStr">
        <is>
          <t>预算</t>
        </is>
      </c>
      <c r="M3" s="2" t="inlineStr">
        <is>
          <t>实际</t>
        </is>
      </c>
      <c r="N3" s="2" t="inlineStr">
        <is>
          <t>差异</t>
        </is>
      </c>
      <c r="O3" s="2" t="inlineStr">
        <is>
          <t>预算</t>
        </is>
      </c>
      <c r="P3" s="2" t="inlineStr">
        <is>
          <t>实际</t>
        </is>
      </c>
      <c r="Q3" s="2" t="inlineStr">
        <is>
          <t>差异</t>
        </is>
      </c>
      <c r="R3" s="2" t="inlineStr">
        <is>
          <t>预算</t>
        </is>
      </c>
      <c r="S3" s="2" t="inlineStr">
        <is>
          <t>实际</t>
        </is>
      </c>
      <c r="T3" s="2" t="inlineStr">
        <is>
          <t>差异</t>
        </is>
      </c>
      <c r="U3" s="2" t="inlineStr">
        <is>
          <t>预算</t>
        </is>
      </c>
      <c r="V3" s="2" t="inlineStr">
        <is>
          <t>实际</t>
        </is>
      </c>
      <c r="W3" s="2" t="inlineStr">
        <is>
          <t>差异</t>
        </is>
      </c>
      <c r="X3" s="2" t="inlineStr">
        <is>
          <t>预算</t>
        </is>
      </c>
      <c r="Y3" s="2" t="inlineStr">
        <is>
          <t>实际</t>
        </is>
      </c>
      <c r="Z3" s="2" t="inlineStr">
        <is>
          <t>差异</t>
        </is>
      </c>
      <c r="AA3" s="2" t="inlineStr">
        <is>
          <t>预算</t>
        </is>
      </c>
      <c r="AB3" s="2" t="inlineStr">
        <is>
          <t>实际</t>
        </is>
      </c>
      <c r="AC3" s="2" t="inlineStr">
        <is>
          <t>差异</t>
        </is>
      </c>
      <c r="AD3" s="2" t="inlineStr">
        <is>
          <t>预算</t>
        </is>
      </c>
      <c r="AE3" s="2" t="inlineStr">
        <is>
          <t>实际</t>
        </is>
      </c>
      <c r="AF3" s="2" t="inlineStr">
        <is>
          <t>差异</t>
        </is>
      </c>
      <c r="AG3" s="2" t="inlineStr">
        <is>
          <t>预算</t>
        </is>
      </c>
      <c r="AH3" s="2" t="inlineStr">
        <is>
          <t>实际</t>
        </is>
      </c>
      <c r="AI3" s="2" t="inlineStr">
        <is>
          <t>差异</t>
        </is>
      </c>
      <c r="AJ3" s="2" t="inlineStr">
        <is>
          <t>预算</t>
        </is>
      </c>
      <c r="AK3" s="2" t="inlineStr">
        <is>
          <t>实际</t>
        </is>
      </c>
      <c r="AL3" s="2" t="inlineStr">
        <is>
          <t>差异</t>
        </is>
      </c>
    </row>
    <row r="4">
      <c r="A4" s="23" t="inlineStr">
        <is>
          <t>销售部</t>
        </is>
      </c>
      <c r="B4" s="4" t="inlineStr">
        <is>
          <t>人工费用</t>
        </is>
      </c>
      <c r="C4" s="18" t="n">
        <v>104389</v>
      </c>
      <c r="D4" s="18" t="n">
        <v>105977</v>
      </c>
      <c r="E4" s="24" t="n">
        <v>1588</v>
      </c>
      <c r="F4" s="18" t="n">
        <v>89976</v>
      </c>
      <c r="G4" s="18" t="n">
        <v>92976</v>
      </c>
      <c r="H4" s="24" t="n">
        <v>3000</v>
      </c>
      <c r="I4" s="18" t="n">
        <v>105029</v>
      </c>
      <c r="J4" s="18" t="n">
        <v>103239</v>
      </c>
      <c r="K4" s="18" t="n">
        <v>-1790</v>
      </c>
      <c r="L4" s="18" t="n">
        <v>130016</v>
      </c>
      <c r="M4" s="18" t="n">
        <v>110969</v>
      </c>
      <c r="N4" s="18" t="n">
        <v>-19047</v>
      </c>
      <c r="O4" s="18" t="n">
        <v>120324</v>
      </c>
      <c r="P4" s="18" t="n">
        <v>100195</v>
      </c>
      <c r="Q4" s="18" t="n">
        <v>-20129</v>
      </c>
      <c r="R4" s="18" t="n">
        <v>130380</v>
      </c>
      <c r="S4" s="18" t="n">
        <v>158513</v>
      </c>
      <c r="T4" s="24" t="n">
        <v>28133</v>
      </c>
      <c r="U4" s="18" t="n">
        <v>159616</v>
      </c>
      <c r="V4" s="18" t="n">
        <v>145562</v>
      </c>
      <c r="W4" s="18" t="n">
        <v>-14054</v>
      </c>
      <c r="X4" s="18" t="n">
        <v>109490</v>
      </c>
      <c r="Y4" s="18" t="n">
        <v>120803</v>
      </c>
      <c r="Z4" s="24" t="n">
        <v>11313</v>
      </c>
      <c r="AA4" s="18" t="n">
        <v>108078</v>
      </c>
      <c r="AB4" s="18" t="n">
        <v>138060</v>
      </c>
      <c r="AC4" s="24" t="n">
        <v>29982</v>
      </c>
      <c r="AD4" s="18" t="n">
        <v>123821</v>
      </c>
      <c r="AE4" s="18" t="n">
        <v>150181</v>
      </c>
      <c r="AF4" s="24" t="n">
        <v>26360</v>
      </c>
      <c r="AG4" s="18" t="n">
        <v>122522</v>
      </c>
      <c r="AH4" s="18" t="n">
        <v>97135</v>
      </c>
      <c r="AI4" s="18" t="n">
        <v>-25387</v>
      </c>
      <c r="AJ4" s="18" t="n">
        <v>169240</v>
      </c>
      <c r="AK4" s="18" t="n">
        <v>136846</v>
      </c>
      <c r="AL4" s="18" t="n">
        <v>-32394</v>
      </c>
    </row>
    <row r="5">
      <c r="B5" s="4" t="inlineStr">
        <is>
          <t>差旅费</t>
        </is>
      </c>
      <c r="C5" s="18" t="n">
        <v>33564</v>
      </c>
      <c r="D5" s="18" t="n">
        <v>34345</v>
      </c>
      <c r="E5" s="24" t="n">
        <v>781</v>
      </c>
      <c r="F5" s="18" t="n">
        <v>26161</v>
      </c>
      <c r="G5" s="18" t="n">
        <v>31325</v>
      </c>
      <c r="H5" s="24" t="n">
        <v>5164</v>
      </c>
      <c r="I5" s="18" t="n">
        <v>34303</v>
      </c>
      <c r="J5" s="18" t="n">
        <v>41638</v>
      </c>
      <c r="K5" s="24" t="n">
        <v>7335</v>
      </c>
      <c r="L5" s="18" t="n">
        <v>39754</v>
      </c>
      <c r="M5" s="18" t="n">
        <v>50688</v>
      </c>
      <c r="N5" s="24" t="n">
        <v>10934</v>
      </c>
      <c r="O5" s="18" t="n">
        <v>37730</v>
      </c>
      <c r="P5" s="18" t="n">
        <v>38989</v>
      </c>
      <c r="Q5" s="24" t="n">
        <v>1259</v>
      </c>
      <c r="R5" s="18" t="n">
        <v>42362</v>
      </c>
      <c r="S5" s="18" t="n">
        <v>40846</v>
      </c>
      <c r="T5" s="18" t="n">
        <v>-1516</v>
      </c>
      <c r="U5" s="18" t="n">
        <v>47815</v>
      </c>
      <c r="V5" s="18" t="n">
        <v>53791</v>
      </c>
      <c r="W5" s="24" t="n">
        <v>5976</v>
      </c>
      <c r="X5" s="18" t="n">
        <v>38138</v>
      </c>
      <c r="Y5" s="18" t="n">
        <v>31410</v>
      </c>
      <c r="Z5" s="18" t="n">
        <v>-6728</v>
      </c>
      <c r="AA5" s="18" t="n">
        <v>38946</v>
      </c>
      <c r="AB5" s="18" t="n">
        <v>48440</v>
      </c>
      <c r="AC5" s="24" t="n">
        <v>9494</v>
      </c>
      <c r="AD5" s="18" t="n">
        <v>46457</v>
      </c>
      <c r="AE5" s="18" t="n">
        <v>42559</v>
      </c>
      <c r="AF5" s="18" t="n">
        <v>-3898</v>
      </c>
      <c r="AG5" s="18" t="n">
        <v>41137</v>
      </c>
      <c r="AH5" s="18" t="n">
        <v>49493</v>
      </c>
      <c r="AI5" s="24" t="n">
        <v>8356</v>
      </c>
      <c r="AJ5" s="18" t="n">
        <v>53306</v>
      </c>
      <c r="AK5" s="18" t="n">
        <v>58496</v>
      </c>
      <c r="AL5" s="24" t="n">
        <v>5190</v>
      </c>
    </row>
    <row r="6">
      <c r="B6" s="4" t="inlineStr">
        <is>
          <t>业务招待费</t>
        </is>
      </c>
      <c r="C6" s="18" t="n">
        <v>23483</v>
      </c>
      <c r="D6" s="18" t="n">
        <v>22106</v>
      </c>
      <c r="E6" s="18" t="n">
        <v>-1377</v>
      </c>
      <c r="F6" s="18" t="n">
        <v>23371</v>
      </c>
      <c r="G6" s="18" t="n">
        <v>21928</v>
      </c>
      <c r="H6" s="18" t="n">
        <v>-1443</v>
      </c>
      <c r="I6" s="18" t="n">
        <v>31372</v>
      </c>
      <c r="J6" s="18" t="n">
        <v>32183</v>
      </c>
      <c r="K6" s="24" t="n">
        <v>811</v>
      </c>
      <c r="L6" s="18" t="n">
        <v>35512</v>
      </c>
      <c r="M6" s="18" t="n">
        <v>26872</v>
      </c>
      <c r="N6" s="18" t="n">
        <v>-8640</v>
      </c>
      <c r="O6" s="18" t="n">
        <v>30426</v>
      </c>
      <c r="P6" s="18" t="n">
        <v>33227</v>
      </c>
      <c r="Q6" s="24" t="n">
        <v>2801</v>
      </c>
      <c r="R6" s="18" t="n">
        <v>33911</v>
      </c>
      <c r="S6" s="18" t="n">
        <v>44053</v>
      </c>
      <c r="T6" s="24" t="n">
        <v>10142</v>
      </c>
      <c r="U6" s="18" t="n">
        <v>38985</v>
      </c>
      <c r="V6" s="18" t="n">
        <v>44295</v>
      </c>
      <c r="W6" s="24" t="n">
        <v>5310</v>
      </c>
      <c r="X6" s="18" t="n">
        <v>32858</v>
      </c>
      <c r="Y6" s="18" t="n">
        <v>42709</v>
      </c>
      <c r="Z6" s="24" t="n">
        <v>9851</v>
      </c>
      <c r="AA6" s="18" t="n">
        <v>26738</v>
      </c>
      <c r="AB6" s="18" t="n">
        <v>34223</v>
      </c>
      <c r="AC6" s="24" t="n">
        <v>7485</v>
      </c>
      <c r="AD6" s="18" t="n">
        <v>36710</v>
      </c>
      <c r="AE6" s="18" t="n">
        <v>47314</v>
      </c>
      <c r="AF6" s="24" t="n">
        <v>10604</v>
      </c>
      <c r="AG6" s="18" t="n">
        <v>34282</v>
      </c>
      <c r="AH6" s="18" t="n">
        <v>31227</v>
      </c>
      <c r="AI6" s="18" t="n">
        <v>-3055</v>
      </c>
      <c r="AJ6" s="18" t="n">
        <v>39147</v>
      </c>
      <c r="AK6" s="18" t="n">
        <v>33542</v>
      </c>
      <c r="AL6" s="18" t="n">
        <v>-5605</v>
      </c>
    </row>
    <row r="7">
      <c r="B7" s="4" t="inlineStr">
        <is>
          <t>办公费</t>
        </is>
      </c>
      <c r="C7" s="18" t="n">
        <v>19921</v>
      </c>
      <c r="D7" s="18" t="n">
        <v>24378</v>
      </c>
      <c r="E7" s="24" t="n">
        <v>4457</v>
      </c>
      <c r="F7" s="18" t="n">
        <v>19813</v>
      </c>
      <c r="G7" s="18" t="n">
        <v>19429</v>
      </c>
      <c r="H7" s="18" t="n">
        <v>-384</v>
      </c>
      <c r="I7" s="18" t="n">
        <v>25148</v>
      </c>
      <c r="J7" s="18" t="n">
        <v>24753</v>
      </c>
      <c r="K7" s="18" t="n">
        <v>-395</v>
      </c>
      <c r="L7" s="18" t="n">
        <v>28078</v>
      </c>
      <c r="M7" s="18" t="n">
        <v>24825</v>
      </c>
      <c r="N7" s="18" t="n">
        <v>-3253</v>
      </c>
      <c r="O7" s="18" t="n">
        <v>28093</v>
      </c>
      <c r="P7" s="18" t="n">
        <v>35475</v>
      </c>
      <c r="Q7" s="24" t="n">
        <v>7382</v>
      </c>
      <c r="R7" s="18" t="n">
        <v>31371</v>
      </c>
      <c r="S7" s="18" t="n">
        <v>26711</v>
      </c>
      <c r="T7" s="18" t="n">
        <v>-4660</v>
      </c>
      <c r="U7" s="18" t="n">
        <v>35261</v>
      </c>
      <c r="V7" s="18" t="n">
        <v>26689</v>
      </c>
      <c r="W7" s="18" t="n">
        <v>-8572</v>
      </c>
      <c r="X7" s="18" t="n">
        <v>27980</v>
      </c>
      <c r="Y7" s="18" t="n">
        <v>31784</v>
      </c>
      <c r="Z7" s="24" t="n">
        <v>3804</v>
      </c>
      <c r="AA7" s="18" t="n">
        <v>24649</v>
      </c>
      <c r="AB7" s="18" t="n">
        <v>30945</v>
      </c>
      <c r="AC7" s="24" t="n">
        <v>6296</v>
      </c>
      <c r="AD7" s="18" t="n">
        <v>31068</v>
      </c>
      <c r="AE7" s="18" t="n">
        <v>37038</v>
      </c>
      <c r="AF7" s="24" t="n">
        <v>5970</v>
      </c>
      <c r="AG7" s="18" t="n">
        <v>28612</v>
      </c>
      <c r="AH7" s="18" t="n">
        <v>32213</v>
      </c>
      <c r="AI7" s="24" t="n">
        <v>3601</v>
      </c>
      <c r="AJ7" s="18" t="n">
        <v>35557</v>
      </c>
      <c r="AK7" s="18" t="n">
        <v>30394</v>
      </c>
      <c r="AL7" s="18" t="n">
        <v>-5163</v>
      </c>
    </row>
    <row r="8">
      <c r="B8" s="4" t="inlineStr">
        <is>
          <t>折旧费</t>
        </is>
      </c>
      <c r="C8" s="18" t="n">
        <v>15781</v>
      </c>
      <c r="D8" s="18" t="n">
        <v>13383</v>
      </c>
      <c r="E8" s="18" t="n">
        <v>-2398</v>
      </c>
      <c r="F8" s="18" t="n">
        <v>15320</v>
      </c>
      <c r="G8" s="18" t="n">
        <v>12538</v>
      </c>
      <c r="H8" s="18" t="n">
        <v>-2782</v>
      </c>
      <c r="I8" s="18" t="n">
        <v>17875</v>
      </c>
      <c r="J8" s="18" t="n">
        <v>20696</v>
      </c>
      <c r="K8" s="24" t="n">
        <v>2821</v>
      </c>
      <c r="L8" s="18" t="n">
        <v>21180</v>
      </c>
      <c r="M8" s="18" t="n">
        <v>26385</v>
      </c>
      <c r="N8" s="24" t="n">
        <v>5205</v>
      </c>
      <c r="O8" s="18" t="n">
        <v>21110</v>
      </c>
      <c r="P8" s="18" t="n">
        <v>22075</v>
      </c>
      <c r="Q8" s="24" t="n">
        <v>965</v>
      </c>
      <c r="R8" s="18" t="n">
        <v>22193</v>
      </c>
      <c r="S8" s="18" t="n">
        <v>20858</v>
      </c>
      <c r="T8" s="18" t="n">
        <v>-1335</v>
      </c>
      <c r="U8" s="18" t="n">
        <v>25507</v>
      </c>
      <c r="V8" s="18" t="n">
        <v>25390</v>
      </c>
      <c r="W8" s="18" t="n">
        <v>-117</v>
      </c>
      <c r="X8" s="18" t="n">
        <v>21516</v>
      </c>
      <c r="Y8" s="18" t="n">
        <v>22393</v>
      </c>
      <c r="Z8" s="24" t="n">
        <v>877</v>
      </c>
      <c r="AA8" s="18" t="n">
        <v>18871</v>
      </c>
      <c r="AB8" s="18" t="n">
        <v>19539</v>
      </c>
      <c r="AC8" s="24" t="n">
        <v>668</v>
      </c>
      <c r="AD8" s="18" t="n">
        <v>21693</v>
      </c>
      <c r="AE8" s="18" t="n">
        <v>26033</v>
      </c>
      <c r="AF8" s="24" t="n">
        <v>4340</v>
      </c>
      <c r="AG8" s="18" t="n">
        <v>20742</v>
      </c>
      <c r="AH8" s="18" t="n">
        <v>20562</v>
      </c>
      <c r="AI8" s="18" t="n">
        <v>-180</v>
      </c>
      <c r="AJ8" s="18" t="n">
        <v>30833</v>
      </c>
      <c r="AK8" s="18" t="n">
        <v>22933</v>
      </c>
      <c r="AL8" s="18" t="n">
        <v>-7900</v>
      </c>
    </row>
    <row r="9">
      <c r="B9" s="6" t="inlineStr">
        <is>
          <t>小计</t>
        </is>
      </c>
      <c r="C9" s="19" t="n">
        <v>197138</v>
      </c>
      <c r="D9" s="19" t="n">
        <v>200189</v>
      </c>
      <c r="E9" s="19" t="n">
        <v>3051</v>
      </c>
      <c r="F9" s="19" t="n">
        <v>174641</v>
      </c>
      <c r="G9" s="19" t="n">
        <v>178196</v>
      </c>
      <c r="H9" s="19" t="n">
        <v>3555</v>
      </c>
      <c r="I9" s="19" t="n">
        <v>213727</v>
      </c>
      <c r="J9" s="19" t="n">
        <v>222509</v>
      </c>
      <c r="K9" s="19" t="n">
        <v>8782</v>
      </c>
      <c r="L9" s="19" t="n">
        <v>254540</v>
      </c>
      <c r="M9" s="19" t="n">
        <v>239739</v>
      </c>
      <c r="N9" s="19" t="n">
        <v>-14801</v>
      </c>
      <c r="O9" s="19" t="n">
        <v>237683</v>
      </c>
      <c r="P9" s="19" t="n">
        <v>229961</v>
      </c>
      <c r="Q9" s="19" t="n">
        <v>-7722</v>
      </c>
      <c r="R9" s="19" t="n">
        <v>260217</v>
      </c>
      <c r="S9" s="19" t="n">
        <v>290981</v>
      </c>
      <c r="T9" s="19" t="n">
        <v>30764</v>
      </c>
      <c r="U9" s="19" t="n">
        <v>307184</v>
      </c>
      <c r="V9" s="19" t="n">
        <v>295727</v>
      </c>
      <c r="W9" s="19" t="n">
        <v>-11457</v>
      </c>
      <c r="X9" s="19" t="n">
        <v>229982</v>
      </c>
      <c r="Y9" s="19" t="n">
        <v>249099</v>
      </c>
      <c r="Z9" s="19" t="n">
        <v>19117</v>
      </c>
      <c r="AA9" s="19" t="n">
        <v>217282</v>
      </c>
      <c r="AB9" s="19" t="n">
        <v>271207</v>
      </c>
      <c r="AC9" s="19" t="n">
        <v>53925</v>
      </c>
      <c r="AD9" s="19" t="n">
        <v>259749</v>
      </c>
      <c r="AE9" s="19" t="n">
        <v>303125</v>
      </c>
      <c r="AF9" s="19" t="n">
        <v>43376</v>
      </c>
      <c r="AG9" s="19" t="n">
        <v>247295</v>
      </c>
      <c r="AH9" s="19" t="n">
        <v>230630</v>
      </c>
      <c r="AI9" s="19" t="n">
        <v>-16665</v>
      </c>
      <c r="AJ9" s="19" t="n">
        <v>328083</v>
      </c>
      <c r="AK9" s="19" t="n">
        <v>282211</v>
      </c>
      <c r="AL9" s="19" t="n">
        <v>-45872</v>
      </c>
    </row>
    <row r="10">
      <c r="A10" s="23" t="inlineStr">
        <is>
          <t>市场部</t>
        </is>
      </c>
      <c r="B10" s="4" t="inlineStr">
        <is>
          <t>人工费用</t>
        </is>
      </c>
      <c r="C10" s="18" t="n">
        <v>51841</v>
      </c>
      <c r="D10" s="18" t="n">
        <v>67265</v>
      </c>
      <c r="E10" s="24" t="n">
        <v>15424</v>
      </c>
      <c r="F10" s="18" t="n">
        <v>38903</v>
      </c>
      <c r="G10" s="18" t="n">
        <v>40017</v>
      </c>
      <c r="H10" s="24" t="n">
        <v>1114</v>
      </c>
      <c r="I10" s="18" t="n">
        <v>55778</v>
      </c>
      <c r="J10" s="18" t="n">
        <v>49010</v>
      </c>
      <c r="K10" s="18" t="n">
        <v>-6768</v>
      </c>
      <c r="L10" s="18" t="n">
        <v>60599</v>
      </c>
      <c r="M10" s="18" t="n">
        <v>60286</v>
      </c>
      <c r="N10" s="18" t="n">
        <v>-313</v>
      </c>
      <c r="O10" s="18" t="n">
        <v>56888</v>
      </c>
      <c r="P10" s="18" t="n">
        <v>46665</v>
      </c>
      <c r="Q10" s="18" t="n">
        <v>-10223</v>
      </c>
      <c r="R10" s="18" t="n">
        <v>69018</v>
      </c>
      <c r="S10" s="18" t="n">
        <v>76454</v>
      </c>
      <c r="T10" s="24" t="n">
        <v>7436</v>
      </c>
      <c r="U10" s="18" t="n">
        <v>73569</v>
      </c>
      <c r="V10" s="18" t="n">
        <v>69422</v>
      </c>
      <c r="W10" s="18" t="n">
        <v>-4147</v>
      </c>
      <c r="X10" s="18" t="n">
        <v>59751</v>
      </c>
      <c r="Y10" s="18" t="n">
        <v>42814</v>
      </c>
      <c r="Z10" s="18" t="n">
        <v>-16937</v>
      </c>
      <c r="AA10" s="18" t="n">
        <v>50798</v>
      </c>
      <c r="AB10" s="18" t="n">
        <v>38058</v>
      </c>
      <c r="AC10" s="18" t="n">
        <v>-12740</v>
      </c>
      <c r="AD10" s="18" t="n">
        <v>69057</v>
      </c>
      <c r="AE10" s="18" t="n">
        <v>62192</v>
      </c>
      <c r="AF10" s="18" t="n">
        <v>-6865</v>
      </c>
      <c r="AG10" s="18" t="n">
        <v>61746</v>
      </c>
      <c r="AH10" s="18" t="n">
        <v>43230</v>
      </c>
      <c r="AI10" s="18" t="n">
        <v>-18516</v>
      </c>
      <c r="AJ10" s="18" t="n">
        <v>76394</v>
      </c>
      <c r="AK10" s="18" t="n">
        <v>87825</v>
      </c>
      <c r="AL10" s="24" t="n">
        <v>11431</v>
      </c>
    </row>
    <row r="11">
      <c r="B11" s="4" t="inlineStr">
        <is>
          <t>差旅费</t>
        </is>
      </c>
      <c r="C11" s="18" t="n">
        <v>16095</v>
      </c>
      <c r="D11" s="18" t="n">
        <v>13692</v>
      </c>
      <c r="E11" s="18" t="n">
        <v>-2403</v>
      </c>
      <c r="F11" s="18" t="n">
        <v>14673</v>
      </c>
      <c r="G11" s="18" t="n">
        <v>16946</v>
      </c>
      <c r="H11" s="24" t="n">
        <v>2273</v>
      </c>
      <c r="I11" s="18" t="n">
        <v>17550</v>
      </c>
      <c r="J11" s="18" t="n">
        <v>18445</v>
      </c>
      <c r="K11" s="24" t="n">
        <v>895</v>
      </c>
      <c r="L11" s="18" t="n">
        <v>18481</v>
      </c>
      <c r="M11" s="18" t="n">
        <v>12965</v>
      </c>
      <c r="N11" s="18" t="n">
        <v>-5516</v>
      </c>
      <c r="O11" s="18" t="n">
        <v>21403</v>
      </c>
      <c r="P11" s="18" t="n">
        <v>27192</v>
      </c>
      <c r="Q11" s="24" t="n">
        <v>5789</v>
      </c>
      <c r="R11" s="18" t="n">
        <v>20710</v>
      </c>
      <c r="S11" s="18" t="n">
        <v>26100</v>
      </c>
      <c r="T11" s="24" t="n">
        <v>5390</v>
      </c>
      <c r="U11" s="18" t="n">
        <v>25935</v>
      </c>
      <c r="V11" s="18" t="n">
        <v>32275</v>
      </c>
      <c r="W11" s="24" t="n">
        <v>6340</v>
      </c>
      <c r="X11" s="18" t="n">
        <v>19453</v>
      </c>
      <c r="Y11" s="18" t="n">
        <v>18989</v>
      </c>
      <c r="Z11" s="18" t="n">
        <v>-464</v>
      </c>
      <c r="AA11" s="18" t="n">
        <v>18818</v>
      </c>
      <c r="AB11" s="18" t="n">
        <v>16694</v>
      </c>
      <c r="AC11" s="18" t="n">
        <v>-2124</v>
      </c>
      <c r="AD11" s="18" t="n">
        <v>23105</v>
      </c>
      <c r="AE11" s="18" t="n">
        <v>27274</v>
      </c>
      <c r="AF11" s="24" t="n">
        <v>4169</v>
      </c>
      <c r="AG11" s="18" t="n">
        <v>20898</v>
      </c>
      <c r="AH11" s="18" t="n">
        <v>26612</v>
      </c>
      <c r="AI11" s="24" t="n">
        <v>5714</v>
      </c>
      <c r="AJ11" s="18" t="n">
        <v>25782</v>
      </c>
      <c r="AK11" s="18" t="n">
        <v>32058</v>
      </c>
      <c r="AL11" s="24" t="n">
        <v>6276</v>
      </c>
    </row>
    <row r="12">
      <c r="B12" s="4" t="inlineStr">
        <is>
          <t>业务招待费</t>
        </is>
      </c>
      <c r="C12" s="18" t="n">
        <v>12382</v>
      </c>
      <c r="D12" s="18" t="n">
        <v>13582</v>
      </c>
      <c r="E12" s="24" t="n">
        <v>1200</v>
      </c>
      <c r="F12" s="18" t="n">
        <v>10382</v>
      </c>
      <c r="G12" s="18" t="n">
        <v>10097</v>
      </c>
      <c r="H12" s="18" t="n">
        <v>-285</v>
      </c>
      <c r="I12" s="18" t="n">
        <v>16037</v>
      </c>
      <c r="J12" s="18" t="n">
        <v>14891</v>
      </c>
      <c r="K12" s="18" t="n">
        <v>-1146</v>
      </c>
      <c r="L12" s="18" t="n">
        <v>16926</v>
      </c>
      <c r="M12" s="18" t="n">
        <v>15779</v>
      </c>
      <c r="N12" s="18" t="n">
        <v>-1147</v>
      </c>
      <c r="O12" s="18" t="n">
        <v>15338</v>
      </c>
      <c r="P12" s="18" t="n">
        <v>11073</v>
      </c>
      <c r="Q12" s="18" t="n">
        <v>-4265</v>
      </c>
      <c r="R12" s="18" t="n">
        <v>18652</v>
      </c>
      <c r="S12" s="18" t="n">
        <v>14379</v>
      </c>
      <c r="T12" s="18" t="n">
        <v>-4273</v>
      </c>
      <c r="U12" s="18" t="n">
        <v>20841</v>
      </c>
      <c r="V12" s="18" t="n">
        <v>24113</v>
      </c>
      <c r="W12" s="24" t="n">
        <v>3272</v>
      </c>
      <c r="X12" s="18" t="n">
        <v>16244</v>
      </c>
      <c r="Y12" s="18" t="n">
        <v>15585</v>
      </c>
      <c r="Z12" s="18" t="n">
        <v>-659</v>
      </c>
      <c r="AA12" s="18" t="n">
        <v>13929</v>
      </c>
      <c r="AB12" s="18" t="n">
        <v>11200</v>
      </c>
      <c r="AC12" s="18" t="n">
        <v>-2729</v>
      </c>
      <c r="AD12" s="18" t="n">
        <v>17529</v>
      </c>
      <c r="AE12" s="18" t="n">
        <v>20668</v>
      </c>
      <c r="AF12" s="24" t="n">
        <v>3139</v>
      </c>
      <c r="AG12" s="18" t="n">
        <v>16603</v>
      </c>
      <c r="AH12" s="18" t="n">
        <v>15994</v>
      </c>
      <c r="AI12" s="18" t="n">
        <v>-609</v>
      </c>
      <c r="AJ12" s="18" t="n">
        <v>19840</v>
      </c>
      <c r="AK12" s="18" t="n">
        <v>17066</v>
      </c>
      <c r="AL12" s="18" t="n">
        <v>-2774</v>
      </c>
    </row>
    <row r="13">
      <c r="B13" s="4" t="inlineStr">
        <is>
          <t>办公费</t>
        </is>
      </c>
      <c r="C13" s="18" t="n">
        <v>10622</v>
      </c>
      <c r="D13" s="18" t="n">
        <v>13708</v>
      </c>
      <c r="E13" s="24" t="n">
        <v>3086</v>
      </c>
      <c r="F13" s="18" t="n">
        <v>8798</v>
      </c>
      <c r="G13" s="18" t="n">
        <v>10615</v>
      </c>
      <c r="H13" s="24" t="n">
        <v>1817</v>
      </c>
      <c r="I13" s="18" t="n">
        <v>12644</v>
      </c>
      <c r="J13" s="18" t="n">
        <v>11596</v>
      </c>
      <c r="K13" s="18" t="n">
        <v>-1048</v>
      </c>
      <c r="L13" s="18" t="n">
        <v>14148</v>
      </c>
      <c r="M13" s="18" t="n">
        <v>15150</v>
      </c>
      <c r="N13" s="24" t="n">
        <v>1002</v>
      </c>
      <c r="O13" s="18" t="n">
        <v>12715</v>
      </c>
      <c r="P13" s="18" t="n">
        <v>15587</v>
      </c>
      <c r="Q13" s="24" t="n">
        <v>2872</v>
      </c>
      <c r="R13" s="18" t="n">
        <v>14917</v>
      </c>
      <c r="S13" s="18" t="n">
        <v>11503</v>
      </c>
      <c r="T13" s="18" t="n">
        <v>-3414</v>
      </c>
      <c r="U13" s="18" t="n">
        <v>16975</v>
      </c>
      <c r="V13" s="18" t="n">
        <v>15022</v>
      </c>
      <c r="W13" s="18" t="n">
        <v>-1953</v>
      </c>
      <c r="X13" s="18" t="n">
        <v>13975</v>
      </c>
      <c r="Y13" s="18" t="n">
        <v>16772</v>
      </c>
      <c r="Z13" s="24" t="n">
        <v>2797</v>
      </c>
      <c r="AA13" s="18" t="n">
        <v>12204</v>
      </c>
      <c r="AB13" s="18" t="n">
        <v>12198</v>
      </c>
      <c r="AC13" s="18" t="n">
        <v>-6</v>
      </c>
      <c r="AD13" s="18" t="n">
        <v>15393</v>
      </c>
      <c r="AE13" s="18" t="n">
        <v>12464</v>
      </c>
      <c r="AF13" s="18" t="n">
        <v>-2929</v>
      </c>
      <c r="AG13" s="18" t="n">
        <v>14570</v>
      </c>
      <c r="AH13" s="18" t="n">
        <v>13816</v>
      </c>
      <c r="AI13" s="18" t="n">
        <v>-754</v>
      </c>
      <c r="AJ13" s="18" t="n">
        <v>18872</v>
      </c>
      <c r="AK13" s="18" t="n">
        <v>19848</v>
      </c>
      <c r="AL13" s="24" t="n">
        <v>976</v>
      </c>
    </row>
    <row r="14">
      <c r="B14" s="4" t="inlineStr">
        <is>
          <t>折旧费</t>
        </is>
      </c>
      <c r="C14" s="18" t="n">
        <v>8751</v>
      </c>
      <c r="D14" s="18" t="n">
        <v>8259</v>
      </c>
      <c r="E14" s="18" t="n">
        <v>-492</v>
      </c>
      <c r="F14" s="18" t="n">
        <v>7724</v>
      </c>
      <c r="G14" s="18" t="n">
        <v>7891</v>
      </c>
      <c r="H14" s="24" t="n">
        <v>167</v>
      </c>
      <c r="I14" s="18" t="n">
        <v>10106</v>
      </c>
      <c r="J14" s="18" t="n">
        <v>10411</v>
      </c>
      <c r="K14" s="24" t="n">
        <v>305</v>
      </c>
      <c r="L14" s="18" t="n">
        <v>11476</v>
      </c>
      <c r="M14" s="18" t="n">
        <v>8274</v>
      </c>
      <c r="N14" s="18" t="n">
        <v>-3202</v>
      </c>
      <c r="O14" s="18" t="n">
        <v>11480</v>
      </c>
      <c r="P14" s="18" t="n">
        <v>10399</v>
      </c>
      <c r="Q14" s="18" t="n">
        <v>-1081</v>
      </c>
      <c r="R14" s="18" t="n">
        <v>12265</v>
      </c>
      <c r="S14" s="18" t="n">
        <v>10061</v>
      </c>
      <c r="T14" s="18" t="n">
        <v>-2204</v>
      </c>
      <c r="U14" s="18" t="n">
        <v>12703</v>
      </c>
      <c r="V14" s="18" t="n">
        <v>11777</v>
      </c>
      <c r="W14" s="18" t="n">
        <v>-926</v>
      </c>
      <c r="X14" s="18" t="n">
        <v>11944</v>
      </c>
      <c r="Y14" s="18" t="n">
        <v>14538</v>
      </c>
      <c r="Z14" s="24" t="n">
        <v>2594</v>
      </c>
      <c r="AA14" s="18" t="n">
        <v>10454</v>
      </c>
      <c r="AB14" s="18" t="n">
        <v>12528</v>
      </c>
      <c r="AC14" s="24" t="n">
        <v>2074</v>
      </c>
      <c r="AD14" s="18" t="n">
        <v>11516</v>
      </c>
      <c r="AE14" s="18" t="n">
        <v>9530</v>
      </c>
      <c r="AF14" s="18" t="n">
        <v>-1986</v>
      </c>
      <c r="AG14" s="18" t="n">
        <v>11351</v>
      </c>
      <c r="AH14" s="18" t="n">
        <v>9271</v>
      </c>
      <c r="AI14" s="18" t="n">
        <v>-2080</v>
      </c>
      <c r="AJ14" s="18" t="n">
        <v>15206</v>
      </c>
      <c r="AK14" s="18" t="n">
        <v>13142</v>
      </c>
      <c r="AL14" s="18" t="n">
        <v>-2064</v>
      </c>
    </row>
    <row r="15">
      <c r="B15" s="6" t="inlineStr">
        <is>
          <t>小计</t>
        </is>
      </c>
      <c r="C15" s="19" t="n">
        <v>99691</v>
      </c>
      <c r="D15" s="19" t="n">
        <v>116506</v>
      </c>
      <c r="E15" s="19" t="n">
        <v>16815</v>
      </c>
      <c r="F15" s="19" t="n">
        <v>80480</v>
      </c>
      <c r="G15" s="19" t="n">
        <v>85566</v>
      </c>
      <c r="H15" s="19" t="n">
        <v>5086</v>
      </c>
      <c r="I15" s="19" t="n">
        <v>112115</v>
      </c>
      <c r="J15" s="19" t="n">
        <v>104353</v>
      </c>
      <c r="K15" s="19" t="n">
        <v>-7762</v>
      </c>
      <c r="L15" s="19" t="n">
        <v>121630</v>
      </c>
      <c r="M15" s="19" t="n">
        <v>112454</v>
      </c>
      <c r="N15" s="19" t="n">
        <v>-9176</v>
      </c>
      <c r="O15" s="19" t="n">
        <v>117824</v>
      </c>
      <c r="P15" s="19" t="n">
        <v>110916</v>
      </c>
      <c r="Q15" s="19" t="n">
        <v>-6908</v>
      </c>
      <c r="R15" s="19" t="n">
        <v>135562</v>
      </c>
      <c r="S15" s="19" t="n">
        <v>138497</v>
      </c>
      <c r="T15" s="19" t="n">
        <v>2935</v>
      </c>
      <c r="U15" s="19" t="n">
        <v>150023</v>
      </c>
      <c r="V15" s="19" t="n">
        <v>152609</v>
      </c>
      <c r="W15" s="19" t="n">
        <v>2586</v>
      </c>
      <c r="X15" s="19" t="n">
        <v>121367</v>
      </c>
      <c r="Y15" s="19" t="n">
        <v>108698</v>
      </c>
      <c r="Z15" s="19" t="n">
        <v>-12669</v>
      </c>
      <c r="AA15" s="19" t="n">
        <v>106203</v>
      </c>
      <c r="AB15" s="19" t="n">
        <v>90678</v>
      </c>
      <c r="AC15" s="19" t="n">
        <v>-15525</v>
      </c>
      <c r="AD15" s="19" t="n">
        <v>136600</v>
      </c>
      <c r="AE15" s="19" t="n">
        <v>132128</v>
      </c>
      <c r="AF15" s="19" t="n">
        <v>-4472</v>
      </c>
      <c r="AG15" s="19" t="n">
        <v>125168</v>
      </c>
      <c r="AH15" s="19" t="n">
        <v>108923</v>
      </c>
      <c r="AI15" s="19" t="n">
        <v>-16245</v>
      </c>
      <c r="AJ15" s="19" t="n">
        <v>156094</v>
      </c>
      <c r="AK15" s="19" t="n">
        <v>169939</v>
      </c>
      <c r="AL15" s="19" t="n">
        <v>13845</v>
      </c>
    </row>
    <row r="16">
      <c r="A16" s="23" t="inlineStr">
        <is>
          <t>研发部</t>
        </is>
      </c>
      <c r="B16" s="4" t="inlineStr">
        <is>
          <t>人工费用</t>
        </is>
      </c>
      <c r="C16" s="18" t="n">
        <v>88776</v>
      </c>
      <c r="D16" s="18" t="n">
        <v>82527</v>
      </c>
      <c r="E16" s="18" t="n">
        <v>-6249</v>
      </c>
      <c r="F16" s="18" t="n">
        <v>79375</v>
      </c>
      <c r="G16" s="18" t="n">
        <v>74404</v>
      </c>
      <c r="H16" s="18" t="n">
        <v>-4971</v>
      </c>
      <c r="I16" s="18" t="n">
        <v>109567</v>
      </c>
      <c r="J16" s="18" t="n">
        <v>104590</v>
      </c>
      <c r="K16" s="18" t="n">
        <v>-4977</v>
      </c>
      <c r="L16" s="18" t="n">
        <v>129279</v>
      </c>
      <c r="M16" s="18" t="n">
        <v>158328</v>
      </c>
      <c r="N16" s="24" t="n">
        <v>29049</v>
      </c>
      <c r="O16" s="18" t="n">
        <v>124222</v>
      </c>
      <c r="P16" s="18" t="n">
        <v>147214</v>
      </c>
      <c r="Q16" s="24" t="n">
        <v>22992</v>
      </c>
      <c r="R16" s="18" t="n">
        <v>142115</v>
      </c>
      <c r="S16" s="18" t="n">
        <v>162183</v>
      </c>
      <c r="T16" s="24" t="n">
        <v>20068</v>
      </c>
      <c r="U16" s="18" t="n">
        <v>146834</v>
      </c>
      <c r="V16" s="18" t="n">
        <v>160562</v>
      </c>
      <c r="W16" s="24" t="n">
        <v>13728</v>
      </c>
      <c r="X16" s="18" t="n">
        <v>119168</v>
      </c>
      <c r="Y16" s="18" t="n">
        <v>127678</v>
      </c>
      <c r="Z16" s="24" t="n">
        <v>8510</v>
      </c>
      <c r="AA16" s="18" t="n">
        <v>116732</v>
      </c>
      <c r="AB16" s="18" t="n">
        <v>126048</v>
      </c>
      <c r="AC16" s="24" t="n">
        <v>9316</v>
      </c>
      <c r="AD16" s="18" t="n">
        <v>146781</v>
      </c>
      <c r="AE16" s="18" t="n">
        <v>168321</v>
      </c>
      <c r="AF16" s="24" t="n">
        <v>21540</v>
      </c>
      <c r="AG16" s="18" t="n">
        <v>118232</v>
      </c>
      <c r="AH16" s="18" t="n">
        <v>142490</v>
      </c>
      <c r="AI16" s="24" t="n">
        <v>24258</v>
      </c>
      <c r="AJ16" s="18" t="n">
        <v>168292</v>
      </c>
      <c r="AK16" s="18" t="n">
        <v>141898</v>
      </c>
      <c r="AL16" s="18" t="n">
        <v>-26394</v>
      </c>
    </row>
    <row r="17">
      <c r="B17" s="4" t="inlineStr">
        <is>
          <t>差旅费</t>
        </is>
      </c>
      <c r="C17" s="18" t="n">
        <v>34811</v>
      </c>
      <c r="D17" s="18" t="n">
        <v>43314</v>
      </c>
      <c r="E17" s="24" t="n">
        <v>8503</v>
      </c>
      <c r="F17" s="18" t="n">
        <v>30516</v>
      </c>
      <c r="G17" s="18" t="n">
        <v>33222</v>
      </c>
      <c r="H17" s="24" t="n">
        <v>2706</v>
      </c>
      <c r="I17" s="18" t="n">
        <v>38162</v>
      </c>
      <c r="J17" s="18" t="n">
        <v>29683</v>
      </c>
      <c r="K17" s="18" t="n">
        <v>-8479</v>
      </c>
      <c r="L17" s="18" t="n">
        <v>36766</v>
      </c>
      <c r="M17" s="18" t="n">
        <v>33778</v>
      </c>
      <c r="N17" s="18" t="n">
        <v>-2988</v>
      </c>
      <c r="O17" s="18" t="n">
        <v>40173</v>
      </c>
      <c r="P17" s="18" t="n">
        <v>32210</v>
      </c>
      <c r="Q17" s="18" t="n">
        <v>-7963</v>
      </c>
      <c r="R17" s="18" t="n">
        <v>46021</v>
      </c>
      <c r="S17" s="18" t="n">
        <v>47655</v>
      </c>
      <c r="T17" s="24" t="n">
        <v>1634</v>
      </c>
      <c r="U17" s="18" t="n">
        <v>46552</v>
      </c>
      <c r="V17" s="18" t="n">
        <v>55818</v>
      </c>
      <c r="W17" s="24" t="n">
        <v>9266</v>
      </c>
      <c r="X17" s="18" t="n">
        <v>40836</v>
      </c>
      <c r="Y17" s="18" t="n">
        <v>38346</v>
      </c>
      <c r="Z17" s="18" t="n">
        <v>-2490</v>
      </c>
      <c r="AA17" s="18" t="n">
        <v>39344</v>
      </c>
      <c r="AB17" s="18" t="n">
        <v>42689</v>
      </c>
      <c r="AC17" s="24" t="n">
        <v>3345</v>
      </c>
      <c r="AD17" s="18" t="n">
        <v>42546</v>
      </c>
      <c r="AE17" s="18" t="n">
        <v>52183</v>
      </c>
      <c r="AF17" s="24" t="n">
        <v>9637</v>
      </c>
      <c r="AG17" s="18" t="n">
        <v>38502</v>
      </c>
      <c r="AH17" s="18" t="n">
        <v>45542</v>
      </c>
      <c r="AI17" s="24" t="n">
        <v>7040</v>
      </c>
      <c r="AJ17" s="18" t="n">
        <v>51239</v>
      </c>
      <c r="AK17" s="18" t="n">
        <v>52898</v>
      </c>
      <c r="AL17" s="24" t="n">
        <v>1659</v>
      </c>
    </row>
    <row r="18">
      <c r="B18" s="4" t="inlineStr">
        <is>
          <t>业务招待费</t>
        </is>
      </c>
      <c r="C18" s="18" t="n">
        <v>28307</v>
      </c>
      <c r="D18" s="18" t="n">
        <v>32941</v>
      </c>
      <c r="E18" s="24" t="n">
        <v>4634</v>
      </c>
      <c r="F18" s="18" t="n">
        <v>22676</v>
      </c>
      <c r="G18" s="18" t="n">
        <v>15972</v>
      </c>
      <c r="H18" s="18" t="n">
        <v>-6704</v>
      </c>
      <c r="I18" s="18" t="n">
        <v>27678</v>
      </c>
      <c r="J18" s="18" t="n">
        <v>22960</v>
      </c>
      <c r="K18" s="18" t="n">
        <v>-4718</v>
      </c>
      <c r="L18" s="18" t="n">
        <v>34003</v>
      </c>
      <c r="M18" s="18" t="n">
        <v>31389</v>
      </c>
      <c r="N18" s="18" t="n">
        <v>-2614</v>
      </c>
      <c r="O18" s="18" t="n">
        <v>31880</v>
      </c>
      <c r="P18" s="18" t="n">
        <v>25921</v>
      </c>
      <c r="Q18" s="18" t="n">
        <v>-5959</v>
      </c>
      <c r="R18" s="18" t="n">
        <v>37347</v>
      </c>
      <c r="S18" s="18" t="n">
        <v>28851</v>
      </c>
      <c r="T18" s="18" t="n">
        <v>-8496</v>
      </c>
      <c r="U18" s="18" t="n">
        <v>38288</v>
      </c>
      <c r="V18" s="18" t="n">
        <v>35526</v>
      </c>
      <c r="W18" s="18" t="n">
        <v>-2762</v>
      </c>
      <c r="X18" s="18" t="n">
        <v>35606</v>
      </c>
      <c r="Y18" s="18" t="n">
        <v>36137</v>
      </c>
      <c r="Z18" s="24" t="n">
        <v>531</v>
      </c>
      <c r="AA18" s="18" t="n">
        <v>30411</v>
      </c>
      <c r="AB18" s="18" t="n">
        <v>26336</v>
      </c>
      <c r="AC18" s="18" t="n">
        <v>-4075</v>
      </c>
      <c r="AD18" s="18" t="n">
        <v>37771</v>
      </c>
      <c r="AE18" s="18" t="n">
        <v>37198</v>
      </c>
      <c r="AF18" s="18" t="n">
        <v>-573</v>
      </c>
      <c r="AG18" s="18" t="n">
        <v>32242</v>
      </c>
      <c r="AH18" s="18" t="n">
        <v>23640</v>
      </c>
      <c r="AI18" s="18" t="n">
        <v>-8602</v>
      </c>
      <c r="AJ18" s="18" t="n">
        <v>44825</v>
      </c>
      <c r="AK18" s="18" t="n">
        <v>38769</v>
      </c>
      <c r="AL18" s="18" t="n">
        <v>-6056</v>
      </c>
    </row>
    <row r="19">
      <c r="B19" s="4" t="inlineStr">
        <is>
          <t>办公费</t>
        </is>
      </c>
      <c r="C19" s="18" t="n">
        <v>21032</v>
      </c>
      <c r="D19" s="18" t="n">
        <v>23830</v>
      </c>
      <c r="E19" s="24" t="n">
        <v>2798</v>
      </c>
      <c r="F19" s="18" t="n">
        <v>18534</v>
      </c>
      <c r="G19" s="18" t="n">
        <v>14939</v>
      </c>
      <c r="H19" s="18" t="n">
        <v>-3595</v>
      </c>
      <c r="I19" s="18" t="n">
        <v>26770</v>
      </c>
      <c r="J19" s="18" t="n">
        <v>22876</v>
      </c>
      <c r="K19" s="18" t="n">
        <v>-3894</v>
      </c>
      <c r="L19" s="18" t="n">
        <v>24542</v>
      </c>
      <c r="M19" s="18" t="n">
        <v>18701</v>
      </c>
      <c r="N19" s="18" t="n">
        <v>-5841</v>
      </c>
      <c r="O19" s="18" t="n">
        <v>28730</v>
      </c>
      <c r="P19" s="18" t="n">
        <v>35272</v>
      </c>
      <c r="Q19" s="24" t="n">
        <v>6542</v>
      </c>
      <c r="R19" s="18" t="n">
        <v>29251</v>
      </c>
      <c r="S19" s="18" t="n">
        <v>29541</v>
      </c>
      <c r="T19" s="24" t="n">
        <v>290</v>
      </c>
      <c r="U19" s="18" t="n">
        <v>34913</v>
      </c>
      <c r="V19" s="18" t="n">
        <v>33907</v>
      </c>
      <c r="W19" s="18" t="n">
        <v>-1006</v>
      </c>
      <c r="X19" s="18" t="n">
        <v>27534</v>
      </c>
      <c r="Y19" s="18" t="n">
        <v>22677</v>
      </c>
      <c r="Z19" s="18" t="n">
        <v>-4857</v>
      </c>
      <c r="AA19" s="18" t="n">
        <v>26289</v>
      </c>
      <c r="AB19" s="18" t="n">
        <v>32985</v>
      </c>
      <c r="AC19" s="24" t="n">
        <v>6696</v>
      </c>
      <c r="AD19" s="18" t="n">
        <v>29607</v>
      </c>
      <c r="AE19" s="18" t="n">
        <v>32231</v>
      </c>
      <c r="AF19" s="24" t="n">
        <v>2624</v>
      </c>
      <c r="AG19" s="18" t="n">
        <v>25827</v>
      </c>
      <c r="AH19" s="18" t="n">
        <v>33319</v>
      </c>
      <c r="AI19" s="24" t="n">
        <v>7492</v>
      </c>
      <c r="AJ19" s="18" t="n">
        <v>37254</v>
      </c>
      <c r="AK19" s="18" t="n">
        <v>46213</v>
      </c>
      <c r="AL19" s="24" t="n">
        <v>8959</v>
      </c>
    </row>
    <row r="20">
      <c r="B20" s="4" t="inlineStr">
        <is>
          <t>折旧费</t>
        </is>
      </c>
      <c r="C20" s="18" t="n">
        <v>18601</v>
      </c>
      <c r="D20" s="18" t="n">
        <v>21342</v>
      </c>
      <c r="E20" s="24" t="n">
        <v>2741</v>
      </c>
      <c r="F20" s="18" t="n">
        <v>14406</v>
      </c>
      <c r="G20" s="18" t="n">
        <v>17438</v>
      </c>
      <c r="H20" s="24" t="n">
        <v>3032</v>
      </c>
      <c r="I20" s="18" t="n">
        <v>21269</v>
      </c>
      <c r="J20" s="18" t="n">
        <v>26417</v>
      </c>
      <c r="K20" s="24" t="n">
        <v>5148</v>
      </c>
      <c r="L20" s="18" t="n">
        <v>20359</v>
      </c>
      <c r="M20" s="18" t="n">
        <v>23826</v>
      </c>
      <c r="N20" s="24" t="n">
        <v>3467</v>
      </c>
      <c r="O20" s="18" t="n">
        <v>22191</v>
      </c>
      <c r="P20" s="18" t="n">
        <v>19055</v>
      </c>
      <c r="Q20" s="18" t="n">
        <v>-3136</v>
      </c>
      <c r="R20" s="18" t="n">
        <v>23058</v>
      </c>
      <c r="S20" s="18" t="n">
        <v>18169</v>
      </c>
      <c r="T20" s="18" t="n">
        <v>-4889</v>
      </c>
      <c r="U20" s="18" t="n">
        <v>23687</v>
      </c>
      <c r="V20" s="18" t="n">
        <v>30153</v>
      </c>
      <c r="W20" s="24" t="n">
        <v>6466</v>
      </c>
      <c r="X20" s="18" t="n">
        <v>22002</v>
      </c>
      <c r="Y20" s="18" t="n">
        <v>26202</v>
      </c>
      <c r="Z20" s="24" t="n">
        <v>4200</v>
      </c>
      <c r="AA20" s="18" t="n">
        <v>17828</v>
      </c>
      <c r="AB20" s="18" t="n">
        <v>21862</v>
      </c>
      <c r="AC20" s="24" t="n">
        <v>4034</v>
      </c>
      <c r="AD20" s="18" t="n">
        <v>21558</v>
      </c>
      <c r="AE20" s="18" t="n">
        <v>23217</v>
      </c>
      <c r="AF20" s="24" t="n">
        <v>1659</v>
      </c>
      <c r="AG20" s="18" t="n">
        <v>21398</v>
      </c>
      <c r="AH20" s="18" t="n">
        <v>21179</v>
      </c>
      <c r="AI20" s="18" t="n">
        <v>-219</v>
      </c>
      <c r="AJ20" s="18" t="n">
        <v>28364</v>
      </c>
      <c r="AK20" s="18" t="n">
        <v>31462</v>
      </c>
      <c r="AL20" s="24" t="n">
        <v>3098</v>
      </c>
    </row>
    <row r="21">
      <c r="B21" s="6" t="inlineStr">
        <is>
          <t>小计</t>
        </is>
      </c>
      <c r="C21" s="19" t="n">
        <v>191527</v>
      </c>
      <c r="D21" s="19" t="n">
        <v>203954</v>
      </c>
      <c r="E21" s="19" t="n">
        <v>12427</v>
      </c>
      <c r="F21" s="19" t="n">
        <v>165507</v>
      </c>
      <c r="G21" s="19" t="n">
        <v>155975</v>
      </c>
      <c r="H21" s="19" t="n">
        <v>-9532</v>
      </c>
      <c r="I21" s="19" t="n">
        <v>223446</v>
      </c>
      <c r="J21" s="19" t="n">
        <v>206526</v>
      </c>
      <c r="K21" s="19" t="n">
        <v>-16920</v>
      </c>
      <c r="L21" s="19" t="n">
        <v>244949</v>
      </c>
      <c r="M21" s="19" t="n">
        <v>266022</v>
      </c>
      <c r="N21" s="19" t="n">
        <v>21073</v>
      </c>
      <c r="O21" s="19" t="n">
        <v>247196</v>
      </c>
      <c r="P21" s="19" t="n">
        <v>259672</v>
      </c>
      <c r="Q21" s="19" t="n">
        <v>12476</v>
      </c>
      <c r="R21" s="19" t="n">
        <v>277792</v>
      </c>
      <c r="S21" s="19" t="n">
        <v>286399</v>
      </c>
      <c r="T21" s="19" t="n">
        <v>8607</v>
      </c>
      <c r="U21" s="19" t="n">
        <v>290274</v>
      </c>
      <c r="V21" s="19" t="n">
        <v>315966</v>
      </c>
      <c r="W21" s="19" t="n">
        <v>25692</v>
      </c>
      <c r="X21" s="19" t="n">
        <v>245146</v>
      </c>
      <c r="Y21" s="19" t="n">
        <v>251040</v>
      </c>
      <c r="Z21" s="19" t="n">
        <v>5894</v>
      </c>
      <c r="AA21" s="19" t="n">
        <v>230604</v>
      </c>
      <c r="AB21" s="19" t="n">
        <v>249920</v>
      </c>
      <c r="AC21" s="19" t="n">
        <v>19316</v>
      </c>
      <c r="AD21" s="19" t="n">
        <v>278263</v>
      </c>
      <c r="AE21" s="19" t="n">
        <v>313150</v>
      </c>
      <c r="AF21" s="19" t="n">
        <v>34887</v>
      </c>
      <c r="AG21" s="19" t="n">
        <v>236201</v>
      </c>
      <c r="AH21" s="19" t="n">
        <v>266170</v>
      </c>
      <c r="AI21" s="19" t="n">
        <v>29969</v>
      </c>
      <c r="AJ21" s="19" t="n">
        <v>329974</v>
      </c>
      <c r="AK21" s="19" t="n">
        <v>311240</v>
      </c>
      <c r="AL21" s="19" t="n">
        <v>-18734</v>
      </c>
    </row>
    <row r="22">
      <c r="A22" s="23" t="inlineStr">
        <is>
          <t>生产部</t>
        </is>
      </c>
      <c r="B22" s="4" t="inlineStr">
        <is>
          <t>人工费用</t>
        </is>
      </c>
      <c r="C22" s="18" t="n">
        <v>66150</v>
      </c>
      <c r="D22" s="18" t="n">
        <v>58173</v>
      </c>
      <c r="E22" s="18" t="n">
        <v>-7977</v>
      </c>
      <c r="F22" s="18" t="n">
        <v>62933</v>
      </c>
      <c r="G22" s="18" t="n">
        <v>66403</v>
      </c>
      <c r="H22" s="24" t="n">
        <v>3470</v>
      </c>
      <c r="I22" s="18" t="n">
        <v>80007</v>
      </c>
      <c r="J22" s="18" t="n">
        <v>83165</v>
      </c>
      <c r="K22" s="24" t="n">
        <v>3158</v>
      </c>
      <c r="L22" s="18" t="n">
        <v>89037</v>
      </c>
      <c r="M22" s="18" t="n">
        <v>90018</v>
      </c>
      <c r="N22" s="24" t="n">
        <v>981</v>
      </c>
      <c r="O22" s="18" t="n">
        <v>98471</v>
      </c>
      <c r="P22" s="18" t="n">
        <v>119920</v>
      </c>
      <c r="Q22" s="24" t="n">
        <v>21449</v>
      </c>
      <c r="R22" s="18" t="n">
        <v>89119</v>
      </c>
      <c r="S22" s="18" t="n">
        <v>67046</v>
      </c>
      <c r="T22" s="18" t="n">
        <v>-22073</v>
      </c>
      <c r="U22" s="18" t="n">
        <v>102163</v>
      </c>
      <c r="V22" s="18" t="n">
        <v>126035</v>
      </c>
      <c r="W22" s="24" t="n">
        <v>23872</v>
      </c>
      <c r="X22" s="18" t="n">
        <v>88640</v>
      </c>
      <c r="Y22" s="18" t="n">
        <v>96900</v>
      </c>
      <c r="Z22" s="24" t="n">
        <v>8260</v>
      </c>
      <c r="AA22" s="18" t="n">
        <v>76912</v>
      </c>
      <c r="AB22" s="18" t="n">
        <v>97516</v>
      </c>
      <c r="AC22" s="24" t="n">
        <v>20604</v>
      </c>
      <c r="AD22" s="18" t="n">
        <v>99099</v>
      </c>
      <c r="AE22" s="18" t="n">
        <v>81878</v>
      </c>
      <c r="AF22" s="18" t="n">
        <v>-17221</v>
      </c>
      <c r="AG22" s="18" t="n">
        <v>86745</v>
      </c>
      <c r="AH22" s="18" t="n">
        <v>109949</v>
      </c>
      <c r="AI22" s="24" t="n">
        <v>23204</v>
      </c>
      <c r="AJ22" s="18" t="n">
        <v>126042</v>
      </c>
      <c r="AK22" s="18" t="n">
        <v>138799</v>
      </c>
      <c r="AL22" s="24" t="n">
        <v>12757</v>
      </c>
    </row>
    <row r="23">
      <c r="B23" s="4" t="inlineStr">
        <is>
          <t>差旅费</t>
        </is>
      </c>
      <c r="C23" s="18" t="n">
        <v>25173</v>
      </c>
      <c r="D23" s="18" t="n">
        <v>27986</v>
      </c>
      <c r="E23" s="24" t="n">
        <v>2813</v>
      </c>
      <c r="F23" s="18" t="n">
        <v>20527</v>
      </c>
      <c r="G23" s="18" t="n">
        <v>16656</v>
      </c>
      <c r="H23" s="18" t="n">
        <v>-3871</v>
      </c>
      <c r="I23" s="18" t="n">
        <v>26700</v>
      </c>
      <c r="J23" s="18" t="n">
        <v>30324</v>
      </c>
      <c r="K23" s="24" t="n">
        <v>3624</v>
      </c>
      <c r="L23" s="18" t="n">
        <v>32017</v>
      </c>
      <c r="M23" s="18" t="n">
        <v>31448</v>
      </c>
      <c r="N23" s="18" t="n">
        <v>-569</v>
      </c>
      <c r="O23" s="18" t="n">
        <v>29460</v>
      </c>
      <c r="P23" s="18" t="n">
        <v>28938</v>
      </c>
      <c r="Q23" s="18" t="n">
        <v>-522</v>
      </c>
      <c r="R23" s="18" t="n">
        <v>32723</v>
      </c>
      <c r="S23" s="18" t="n">
        <v>35403</v>
      </c>
      <c r="T23" s="24" t="n">
        <v>2680</v>
      </c>
      <c r="U23" s="18" t="n">
        <v>38804</v>
      </c>
      <c r="V23" s="18" t="n">
        <v>39776</v>
      </c>
      <c r="W23" s="24" t="n">
        <v>972</v>
      </c>
      <c r="X23" s="18" t="n">
        <v>32504</v>
      </c>
      <c r="Y23" s="18" t="n">
        <v>41113</v>
      </c>
      <c r="Z23" s="24" t="n">
        <v>8609</v>
      </c>
      <c r="AA23" s="18" t="n">
        <v>27412</v>
      </c>
      <c r="AB23" s="18" t="n">
        <v>23122</v>
      </c>
      <c r="AC23" s="18" t="n">
        <v>-4290</v>
      </c>
      <c r="AD23" s="18" t="n">
        <v>34286</v>
      </c>
      <c r="AE23" s="18" t="n">
        <v>42976</v>
      </c>
      <c r="AF23" s="24" t="n">
        <v>8690</v>
      </c>
      <c r="AG23" s="18" t="n">
        <v>32028</v>
      </c>
      <c r="AH23" s="18" t="n">
        <v>33373</v>
      </c>
      <c r="AI23" s="24" t="n">
        <v>1345</v>
      </c>
      <c r="AJ23" s="18" t="n">
        <v>35928</v>
      </c>
      <c r="AK23" s="18" t="n">
        <v>35755</v>
      </c>
      <c r="AL23" s="18" t="n">
        <v>-173</v>
      </c>
    </row>
    <row r="24">
      <c r="B24" s="4" t="inlineStr">
        <is>
          <t>业务招待费</t>
        </is>
      </c>
      <c r="C24" s="18" t="n">
        <v>18170</v>
      </c>
      <c r="D24" s="18" t="n">
        <v>19241</v>
      </c>
      <c r="E24" s="24" t="n">
        <v>1071</v>
      </c>
      <c r="F24" s="18" t="n">
        <v>17018</v>
      </c>
      <c r="G24" s="18" t="n">
        <v>21770</v>
      </c>
      <c r="H24" s="24" t="n">
        <v>4752</v>
      </c>
      <c r="I24" s="18" t="n">
        <v>23479</v>
      </c>
      <c r="J24" s="18" t="n">
        <v>17879</v>
      </c>
      <c r="K24" s="18" t="n">
        <v>-5600</v>
      </c>
      <c r="L24" s="18" t="n">
        <v>25019</v>
      </c>
      <c r="M24" s="18" t="n">
        <v>20622</v>
      </c>
      <c r="N24" s="18" t="n">
        <v>-4397</v>
      </c>
      <c r="O24" s="18" t="n">
        <v>25865</v>
      </c>
      <c r="P24" s="18" t="n">
        <v>25838</v>
      </c>
      <c r="Q24" s="18" t="n">
        <v>-27</v>
      </c>
      <c r="R24" s="18" t="n">
        <v>28566</v>
      </c>
      <c r="S24" s="18" t="n">
        <v>27639</v>
      </c>
      <c r="T24" s="18" t="n">
        <v>-927</v>
      </c>
      <c r="U24" s="18" t="n">
        <v>27719</v>
      </c>
      <c r="V24" s="18" t="n">
        <v>30936</v>
      </c>
      <c r="W24" s="24" t="n">
        <v>3217</v>
      </c>
      <c r="X24" s="18" t="n">
        <v>25220</v>
      </c>
      <c r="Y24" s="18" t="n">
        <v>17831</v>
      </c>
      <c r="Z24" s="18" t="n">
        <v>-7389</v>
      </c>
      <c r="AA24" s="18" t="n">
        <v>21840</v>
      </c>
      <c r="AB24" s="18" t="n">
        <v>25227</v>
      </c>
      <c r="AC24" s="24" t="n">
        <v>3387</v>
      </c>
      <c r="AD24" s="18" t="n">
        <v>26951</v>
      </c>
      <c r="AE24" s="18" t="n">
        <v>31056</v>
      </c>
      <c r="AF24" s="24" t="n">
        <v>4105</v>
      </c>
      <c r="AG24" s="18" t="n">
        <v>25538</v>
      </c>
      <c r="AH24" s="18" t="n">
        <v>23444</v>
      </c>
      <c r="AI24" s="18" t="n">
        <v>-2094</v>
      </c>
      <c r="AJ24" s="18" t="n">
        <v>33457</v>
      </c>
      <c r="AK24" s="18" t="n">
        <v>39854</v>
      </c>
      <c r="AL24" s="24" t="n">
        <v>6397</v>
      </c>
    </row>
    <row r="25">
      <c r="B25" s="4" t="inlineStr">
        <is>
          <t>办公费</t>
        </is>
      </c>
      <c r="C25" s="18" t="n">
        <v>15185</v>
      </c>
      <c r="D25" s="18" t="n">
        <v>15148</v>
      </c>
      <c r="E25" s="18" t="n">
        <v>-37</v>
      </c>
      <c r="F25" s="18" t="n">
        <v>15233</v>
      </c>
      <c r="G25" s="18" t="n">
        <v>15486</v>
      </c>
      <c r="H25" s="24" t="n">
        <v>253</v>
      </c>
      <c r="I25" s="18" t="n">
        <v>18854</v>
      </c>
      <c r="J25" s="18" t="n">
        <v>20898</v>
      </c>
      <c r="K25" s="24" t="n">
        <v>2044</v>
      </c>
      <c r="L25" s="18" t="n">
        <v>19117</v>
      </c>
      <c r="M25" s="18" t="n">
        <v>19472</v>
      </c>
      <c r="N25" s="24" t="n">
        <v>355</v>
      </c>
      <c r="O25" s="18" t="n">
        <v>18988</v>
      </c>
      <c r="P25" s="18" t="n">
        <v>24331</v>
      </c>
      <c r="Q25" s="24" t="n">
        <v>5343</v>
      </c>
      <c r="R25" s="18" t="n">
        <v>23237</v>
      </c>
      <c r="S25" s="18" t="n">
        <v>19445</v>
      </c>
      <c r="T25" s="18" t="n">
        <v>-3792</v>
      </c>
      <c r="U25" s="18" t="n">
        <v>23974</v>
      </c>
      <c r="V25" s="18" t="n">
        <v>27840</v>
      </c>
      <c r="W25" s="24" t="n">
        <v>3866</v>
      </c>
      <c r="X25" s="18" t="n">
        <v>19759</v>
      </c>
      <c r="Y25" s="18" t="n">
        <v>18963</v>
      </c>
      <c r="Z25" s="18" t="n">
        <v>-796</v>
      </c>
      <c r="AA25" s="18" t="n">
        <v>19229</v>
      </c>
      <c r="AB25" s="18" t="n">
        <v>21074</v>
      </c>
      <c r="AC25" s="24" t="n">
        <v>1845</v>
      </c>
      <c r="AD25" s="18" t="n">
        <v>22732</v>
      </c>
      <c r="AE25" s="18" t="n">
        <v>16011</v>
      </c>
      <c r="AF25" s="18" t="n">
        <v>-6721</v>
      </c>
      <c r="AG25" s="18" t="n">
        <v>19076</v>
      </c>
      <c r="AH25" s="18" t="n">
        <v>16356</v>
      </c>
      <c r="AI25" s="18" t="n">
        <v>-2720</v>
      </c>
      <c r="AJ25" s="18" t="n">
        <v>23962</v>
      </c>
      <c r="AK25" s="18" t="n">
        <v>19429</v>
      </c>
      <c r="AL25" s="18" t="n">
        <v>-4533</v>
      </c>
    </row>
    <row r="26">
      <c r="B26" s="4" t="inlineStr">
        <is>
          <t>折旧费</t>
        </is>
      </c>
      <c r="C26" s="18" t="n">
        <v>11614</v>
      </c>
      <c r="D26" s="18" t="n">
        <v>8199</v>
      </c>
      <c r="E26" s="18" t="n">
        <v>-3415</v>
      </c>
      <c r="F26" s="18" t="n">
        <v>10296</v>
      </c>
      <c r="G26" s="18" t="n">
        <v>9998</v>
      </c>
      <c r="H26" s="18" t="n">
        <v>-298</v>
      </c>
      <c r="I26" s="18" t="n">
        <v>15392</v>
      </c>
      <c r="J26" s="18" t="n">
        <v>15448</v>
      </c>
      <c r="K26" s="24" t="n">
        <v>56</v>
      </c>
      <c r="L26" s="18" t="n">
        <v>16856</v>
      </c>
      <c r="M26" s="18" t="n">
        <v>19747</v>
      </c>
      <c r="N26" s="24" t="n">
        <v>2891</v>
      </c>
      <c r="O26" s="18" t="n">
        <v>16894</v>
      </c>
      <c r="P26" s="18" t="n">
        <v>14424</v>
      </c>
      <c r="Q26" s="18" t="n">
        <v>-2470</v>
      </c>
      <c r="R26" s="18" t="n">
        <v>18358</v>
      </c>
      <c r="S26" s="18" t="n">
        <v>13762</v>
      </c>
      <c r="T26" s="18" t="n">
        <v>-4596</v>
      </c>
      <c r="U26" s="18" t="n">
        <v>19083</v>
      </c>
      <c r="V26" s="18" t="n">
        <v>19303</v>
      </c>
      <c r="W26" s="24" t="n">
        <v>220</v>
      </c>
      <c r="X26" s="18" t="n">
        <v>16710</v>
      </c>
      <c r="Y26" s="18" t="n">
        <v>16736</v>
      </c>
      <c r="Z26" s="24" t="n">
        <v>26</v>
      </c>
      <c r="AA26" s="18" t="n">
        <v>13666</v>
      </c>
      <c r="AB26" s="18" t="n">
        <v>11707</v>
      </c>
      <c r="AC26" s="18" t="n">
        <v>-1959</v>
      </c>
      <c r="AD26" s="18" t="n">
        <v>16703</v>
      </c>
      <c r="AE26" s="18" t="n">
        <v>12109</v>
      </c>
      <c r="AF26" s="18" t="n">
        <v>-4594</v>
      </c>
      <c r="AG26" s="18" t="n">
        <v>16124</v>
      </c>
      <c r="AH26" s="18" t="n">
        <v>16826</v>
      </c>
      <c r="AI26" s="24" t="n">
        <v>702</v>
      </c>
      <c r="AJ26" s="18" t="n">
        <v>19940</v>
      </c>
      <c r="AK26" s="18" t="n">
        <v>22840</v>
      </c>
      <c r="AL26" s="24" t="n">
        <v>2900</v>
      </c>
    </row>
    <row r="27">
      <c r="B27" s="6" t="inlineStr">
        <is>
          <t>小计</t>
        </is>
      </c>
      <c r="C27" s="19" t="n">
        <v>136292</v>
      </c>
      <c r="D27" s="19" t="n">
        <v>128747</v>
      </c>
      <c r="E27" s="19" t="n">
        <v>-7545</v>
      </c>
      <c r="F27" s="19" t="n">
        <v>126007</v>
      </c>
      <c r="G27" s="19" t="n">
        <v>130313</v>
      </c>
      <c r="H27" s="19" t="n">
        <v>4306</v>
      </c>
      <c r="I27" s="19" t="n">
        <v>164432</v>
      </c>
      <c r="J27" s="19" t="n">
        <v>167714</v>
      </c>
      <c r="K27" s="19" t="n">
        <v>3282</v>
      </c>
      <c r="L27" s="19" t="n">
        <v>182046</v>
      </c>
      <c r="M27" s="19" t="n">
        <v>181307</v>
      </c>
      <c r="N27" s="19" t="n">
        <v>-739</v>
      </c>
      <c r="O27" s="19" t="n">
        <v>189678</v>
      </c>
      <c r="P27" s="19" t="n">
        <v>213451</v>
      </c>
      <c r="Q27" s="19" t="n">
        <v>23773</v>
      </c>
      <c r="R27" s="19" t="n">
        <v>192003</v>
      </c>
      <c r="S27" s="19" t="n">
        <v>163295</v>
      </c>
      <c r="T27" s="19" t="n">
        <v>-28708</v>
      </c>
      <c r="U27" s="19" t="n">
        <v>211743</v>
      </c>
      <c r="V27" s="19" t="n">
        <v>243890</v>
      </c>
      <c r="W27" s="19" t="n">
        <v>32147</v>
      </c>
      <c r="X27" s="19" t="n">
        <v>182833</v>
      </c>
      <c r="Y27" s="19" t="n">
        <v>191543</v>
      </c>
      <c r="Z27" s="19" t="n">
        <v>8710</v>
      </c>
      <c r="AA27" s="19" t="n">
        <v>159059</v>
      </c>
      <c r="AB27" s="19" t="n">
        <v>178646</v>
      </c>
      <c r="AC27" s="19" t="n">
        <v>19587</v>
      </c>
      <c r="AD27" s="19" t="n">
        <v>199771</v>
      </c>
      <c r="AE27" s="19" t="n">
        <v>184030</v>
      </c>
      <c r="AF27" s="19" t="n">
        <v>-15741</v>
      </c>
      <c r="AG27" s="19" t="n">
        <v>179511</v>
      </c>
      <c r="AH27" s="19" t="n">
        <v>199948</v>
      </c>
      <c r="AI27" s="19" t="n">
        <v>20437</v>
      </c>
      <c r="AJ27" s="19" t="n">
        <v>239329</v>
      </c>
      <c r="AK27" s="19" t="n">
        <v>256677</v>
      </c>
      <c r="AL27" s="19" t="n">
        <v>17348</v>
      </c>
    </row>
    <row r="28">
      <c r="A28" s="23" t="inlineStr">
        <is>
          <t>采购部</t>
        </is>
      </c>
      <c r="B28" s="4" t="inlineStr">
        <is>
          <t>人工费用</t>
        </is>
      </c>
      <c r="C28" s="18" t="n">
        <v>35160</v>
      </c>
      <c r="D28" s="18" t="n">
        <v>28540</v>
      </c>
      <c r="E28" s="18" t="n">
        <v>-6620</v>
      </c>
      <c r="F28" s="18" t="n">
        <v>33552</v>
      </c>
      <c r="G28" s="18" t="n">
        <v>32770</v>
      </c>
      <c r="H28" s="18" t="n">
        <v>-782</v>
      </c>
      <c r="I28" s="18" t="n">
        <v>45342</v>
      </c>
      <c r="J28" s="18" t="n">
        <v>43593</v>
      </c>
      <c r="K28" s="18" t="n">
        <v>-1749</v>
      </c>
      <c r="L28" s="18" t="n">
        <v>49980</v>
      </c>
      <c r="M28" s="18" t="n">
        <v>59722</v>
      </c>
      <c r="N28" s="24" t="n">
        <v>9742</v>
      </c>
      <c r="O28" s="18" t="n">
        <v>43526</v>
      </c>
      <c r="P28" s="18" t="n">
        <v>46642</v>
      </c>
      <c r="Q28" s="24" t="n">
        <v>3116</v>
      </c>
      <c r="R28" s="18" t="n">
        <v>54325</v>
      </c>
      <c r="S28" s="18" t="n">
        <v>42076</v>
      </c>
      <c r="T28" s="18" t="n">
        <v>-12249</v>
      </c>
      <c r="U28" s="18" t="n">
        <v>54555</v>
      </c>
      <c r="V28" s="18" t="n">
        <v>44955</v>
      </c>
      <c r="W28" s="18" t="n">
        <v>-9600</v>
      </c>
      <c r="X28" s="18" t="n">
        <v>50610</v>
      </c>
      <c r="Y28" s="18" t="n">
        <v>36574</v>
      </c>
      <c r="Z28" s="18" t="n">
        <v>-14036</v>
      </c>
      <c r="AA28" s="18" t="n">
        <v>38970</v>
      </c>
      <c r="AB28" s="18" t="n">
        <v>49435</v>
      </c>
      <c r="AC28" s="24" t="n">
        <v>10465</v>
      </c>
      <c r="AD28" s="18" t="n">
        <v>53061</v>
      </c>
      <c r="AE28" s="18" t="n">
        <v>49948</v>
      </c>
      <c r="AF28" s="18" t="n">
        <v>-3113</v>
      </c>
      <c r="AG28" s="18" t="n">
        <v>43912</v>
      </c>
      <c r="AH28" s="18" t="n">
        <v>31300</v>
      </c>
      <c r="AI28" s="18" t="n">
        <v>-12612</v>
      </c>
      <c r="AJ28" s="18" t="n">
        <v>62004</v>
      </c>
      <c r="AK28" s="18" t="n">
        <v>76570</v>
      </c>
      <c r="AL28" s="24" t="n">
        <v>14566</v>
      </c>
    </row>
    <row r="29">
      <c r="B29" s="4" t="inlineStr">
        <is>
          <t>差旅费</t>
        </is>
      </c>
      <c r="C29" s="18" t="n">
        <v>13491</v>
      </c>
      <c r="D29" s="18" t="n">
        <v>12343</v>
      </c>
      <c r="E29" s="18" t="n">
        <v>-1148</v>
      </c>
      <c r="F29" s="18" t="n">
        <v>11923</v>
      </c>
      <c r="G29" s="18" t="n">
        <v>10869</v>
      </c>
      <c r="H29" s="18" t="n">
        <v>-1054</v>
      </c>
      <c r="I29" s="18" t="n">
        <v>15343</v>
      </c>
      <c r="J29" s="18" t="n">
        <v>19748</v>
      </c>
      <c r="K29" s="24" t="n">
        <v>4405</v>
      </c>
      <c r="L29" s="18" t="n">
        <v>14118</v>
      </c>
      <c r="M29" s="18" t="n">
        <v>14942</v>
      </c>
      <c r="N29" s="24" t="n">
        <v>824</v>
      </c>
      <c r="O29" s="18" t="n">
        <v>15876</v>
      </c>
      <c r="P29" s="18" t="n">
        <v>18765</v>
      </c>
      <c r="Q29" s="24" t="n">
        <v>2889</v>
      </c>
      <c r="R29" s="18" t="n">
        <v>16373</v>
      </c>
      <c r="S29" s="18" t="n">
        <v>19270</v>
      </c>
      <c r="T29" s="24" t="n">
        <v>2897</v>
      </c>
      <c r="U29" s="18" t="n">
        <v>17057</v>
      </c>
      <c r="V29" s="18" t="n">
        <v>13782</v>
      </c>
      <c r="W29" s="18" t="n">
        <v>-3275</v>
      </c>
      <c r="X29" s="18" t="n">
        <v>15470</v>
      </c>
      <c r="Y29" s="18" t="n">
        <v>19409</v>
      </c>
      <c r="Z29" s="24" t="n">
        <v>3939</v>
      </c>
      <c r="AA29" s="18" t="n">
        <v>12696</v>
      </c>
      <c r="AB29" s="18" t="n">
        <v>9999</v>
      </c>
      <c r="AC29" s="18" t="n">
        <v>-2697</v>
      </c>
      <c r="AD29" s="18" t="n">
        <v>18772</v>
      </c>
      <c r="AE29" s="18" t="n">
        <v>20003</v>
      </c>
      <c r="AF29" s="24" t="n">
        <v>1231</v>
      </c>
      <c r="AG29" s="18" t="n">
        <v>14697</v>
      </c>
      <c r="AH29" s="18" t="n">
        <v>15212</v>
      </c>
      <c r="AI29" s="24" t="n">
        <v>515</v>
      </c>
      <c r="AJ29" s="18" t="n">
        <v>21969</v>
      </c>
      <c r="AK29" s="18" t="n">
        <v>15436</v>
      </c>
      <c r="AL29" s="18" t="n">
        <v>-6533</v>
      </c>
    </row>
    <row r="30">
      <c r="B30" s="4" t="inlineStr">
        <is>
          <t>业务招待费</t>
        </is>
      </c>
      <c r="C30" s="18" t="n">
        <v>9560</v>
      </c>
      <c r="D30" s="18" t="n">
        <v>7842</v>
      </c>
      <c r="E30" s="18" t="n">
        <v>-1718</v>
      </c>
      <c r="F30" s="18" t="n">
        <v>9015</v>
      </c>
      <c r="G30" s="18" t="n">
        <v>9186</v>
      </c>
      <c r="H30" s="24" t="n">
        <v>171</v>
      </c>
      <c r="I30" s="18" t="n">
        <v>11670</v>
      </c>
      <c r="J30" s="18" t="n">
        <v>13477</v>
      </c>
      <c r="K30" s="24" t="n">
        <v>1807</v>
      </c>
      <c r="L30" s="18" t="n">
        <v>12949</v>
      </c>
      <c r="M30" s="18" t="n">
        <v>12052</v>
      </c>
      <c r="N30" s="18" t="n">
        <v>-897</v>
      </c>
      <c r="O30" s="18" t="n">
        <v>12511</v>
      </c>
      <c r="P30" s="18" t="n">
        <v>14821</v>
      </c>
      <c r="Q30" s="24" t="n">
        <v>2310</v>
      </c>
      <c r="R30" s="18" t="n">
        <v>12496</v>
      </c>
      <c r="S30" s="18" t="n">
        <v>12709</v>
      </c>
      <c r="T30" s="24" t="n">
        <v>213</v>
      </c>
      <c r="U30" s="18" t="n">
        <v>13838</v>
      </c>
      <c r="V30" s="18" t="n">
        <v>15441</v>
      </c>
      <c r="W30" s="24" t="n">
        <v>1603</v>
      </c>
      <c r="X30" s="18" t="n">
        <v>12634</v>
      </c>
      <c r="Y30" s="18" t="n">
        <v>15742</v>
      </c>
      <c r="Z30" s="24" t="n">
        <v>3108</v>
      </c>
      <c r="AA30" s="18" t="n">
        <v>10225</v>
      </c>
      <c r="AB30" s="18" t="n">
        <v>13052</v>
      </c>
      <c r="AC30" s="24" t="n">
        <v>2827</v>
      </c>
      <c r="AD30" s="18" t="n">
        <v>13159</v>
      </c>
      <c r="AE30" s="18" t="n">
        <v>11484</v>
      </c>
      <c r="AF30" s="18" t="n">
        <v>-1675</v>
      </c>
      <c r="AG30" s="18" t="n">
        <v>12339</v>
      </c>
      <c r="AH30" s="18" t="n">
        <v>15413</v>
      </c>
      <c r="AI30" s="24" t="n">
        <v>3074</v>
      </c>
      <c r="AJ30" s="18" t="n">
        <v>15752</v>
      </c>
      <c r="AK30" s="18" t="n">
        <v>18176</v>
      </c>
      <c r="AL30" s="24" t="n">
        <v>2424</v>
      </c>
    </row>
    <row r="31">
      <c r="B31" s="4" t="inlineStr">
        <is>
          <t>办公费</t>
        </is>
      </c>
      <c r="C31" s="18" t="n">
        <v>8288</v>
      </c>
      <c r="D31" s="18" t="n">
        <v>8025</v>
      </c>
      <c r="E31" s="18" t="n">
        <v>-263</v>
      </c>
      <c r="F31" s="18" t="n">
        <v>6843</v>
      </c>
      <c r="G31" s="18" t="n">
        <v>8121</v>
      </c>
      <c r="H31" s="24" t="n">
        <v>1278</v>
      </c>
      <c r="I31" s="18" t="n">
        <v>10176</v>
      </c>
      <c r="J31" s="18" t="n">
        <v>8041</v>
      </c>
      <c r="K31" s="18" t="n">
        <v>-2135</v>
      </c>
      <c r="L31" s="18" t="n">
        <v>11078</v>
      </c>
      <c r="M31" s="18" t="n">
        <v>9945</v>
      </c>
      <c r="N31" s="18" t="n">
        <v>-1133</v>
      </c>
      <c r="O31" s="18" t="n">
        <v>10764</v>
      </c>
      <c r="P31" s="18" t="n">
        <v>9064</v>
      </c>
      <c r="Q31" s="18" t="n">
        <v>-1700</v>
      </c>
      <c r="R31" s="18" t="n">
        <v>12183</v>
      </c>
      <c r="S31" s="18" t="n">
        <v>11267</v>
      </c>
      <c r="T31" s="18" t="n">
        <v>-916</v>
      </c>
      <c r="U31" s="18" t="n">
        <v>11433</v>
      </c>
      <c r="V31" s="18" t="n">
        <v>9079</v>
      </c>
      <c r="W31" s="18" t="n">
        <v>-2354</v>
      </c>
      <c r="X31" s="18" t="n">
        <v>9653</v>
      </c>
      <c r="Y31" s="18" t="n">
        <v>10687</v>
      </c>
      <c r="Z31" s="24" t="n">
        <v>1034</v>
      </c>
      <c r="AA31" s="18" t="n">
        <v>9846</v>
      </c>
      <c r="AB31" s="18" t="n">
        <v>12034</v>
      </c>
      <c r="AC31" s="24" t="n">
        <v>2188</v>
      </c>
      <c r="AD31" s="18" t="n">
        <v>11284</v>
      </c>
      <c r="AE31" s="18" t="n">
        <v>9757</v>
      </c>
      <c r="AF31" s="18" t="n">
        <v>-1527</v>
      </c>
      <c r="AG31" s="18" t="n">
        <v>9625</v>
      </c>
      <c r="AH31" s="18" t="n">
        <v>8788</v>
      </c>
      <c r="AI31" s="18" t="n">
        <v>-837</v>
      </c>
      <c r="AJ31" s="18" t="n">
        <v>14741</v>
      </c>
      <c r="AK31" s="18" t="n">
        <v>14780</v>
      </c>
      <c r="AL31" s="24" t="n">
        <v>39</v>
      </c>
    </row>
    <row r="32">
      <c r="B32" s="4" t="inlineStr">
        <is>
          <t>折旧费</t>
        </is>
      </c>
      <c r="C32" s="18" t="n">
        <v>6230</v>
      </c>
      <c r="D32" s="18" t="n">
        <v>5715</v>
      </c>
      <c r="E32" s="18" t="n">
        <v>-515</v>
      </c>
      <c r="F32" s="18" t="n">
        <v>5989</v>
      </c>
      <c r="G32" s="18" t="n">
        <v>6656</v>
      </c>
      <c r="H32" s="24" t="n">
        <v>667</v>
      </c>
      <c r="I32" s="18" t="n">
        <v>7891</v>
      </c>
      <c r="J32" s="18" t="n">
        <v>9233</v>
      </c>
      <c r="K32" s="24" t="n">
        <v>1342</v>
      </c>
      <c r="L32" s="18" t="n">
        <v>8581</v>
      </c>
      <c r="M32" s="18" t="n">
        <v>6415</v>
      </c>
      <c r="N32" s="18" t="n">
        <v>-2166</v>
      </c>
      <c r="O32" s="18" t="n">
        <v>8986</v>
      </c>
      <c r="P32" s="18" t="n">
        <v>9481</v>
      </c>
      <c r="Q32" s="24" t="n">
        <v>495</v>
      </c>
      <c r="R32" s="18" t="n">
        <v>8675</v>
      </c>
      <c r="S32" s="18" t="n">
        <v>10949</v>
      </c>
      <c r="T32" s="24" t="n">
        <v>2274</v>
      </c>
      <c r="U32" s="18" t="n">
        <v>9224</v>
      </c>
      <c r="V32" s="18" t="n">
        <v>8799</v>
      </c>
      <c r="W32" s="18" t="n">
        <v>-425</v>
      </c>
      <c r="X32" s="18" t="n">
        <v>8689</v>
      </c>
      <c r="Y32" s="18" t="n">
        <v>10412</v>
      </c>
      <c r="Z32" s="24" t="n">
        <v>1723</v>
      </c>
      <c r="AA32" s="18" t="n">
        <v>7224</v>
      </c>
      <c r="AB32" s="18" t="n">
        <v>6372</v>
      </c>
      <c r="AC32" s="18" t="n">
        <v>-852</v>
      </c>
      <c r="AD32" s="18" t="n">
        <v>9586</v>
      </c>
      <c r="AE32" s="18" t="n">
        <v>9318</v>
      </c>
      <c r="AF32" s="18" t="n">
        <v>-268</v>
      </c>
      <c r="AG32" s="18" t="n">
        <v>7653</v>
      </c>
      <c r="AH32" s="18" t="n">
        <v>9027</v>
      </c>
      <c r="AI32" s="24" t="n">
        <v>1374</v>
      </c>
      <c r="AJ32" s="18" t="n">
        <v>9758</v>
      </c>
      <c r="AK32" s="18" t="n">
        <v>10979</v>
      </c>
      <c r="AL32" s="24" t="n">
        <v>1221</v>
      </c>
    </row>
    <row r="33">
      <c r="B33" s="6" t="inlineStr">
        <is>
          <t>小计</t>
        </is>
      </c>
      <c r="C33" s="19" t="n">
        <v>72729</v>
      </c>
      <c r="D33" s="19" t="n">
        <v>62465</v>
      </c>
      <c r="E33" s="19" t="n">
        <v>-10264</v>
      </c>
      <c r="F33" s="19" t="n">
        <v>67322</v>
      </c>
      <c r="G33" s="19" t="n">
        <v>67602</v>
      </c>
      <c r="H33" s="19" t="n">
        <v>280</v>
      </c>
      <c r="I33" s="19" t="n">
        <v>90422</v>
      </c>
      <c r="J33" s="19" t="n">
        <v>94092</v>
      </c>
      <c r="K33" s="19" t="n">
        <v>3670</v>
      </c>
      <c r="L33" s="19" t="n">
        <v>96706</v>
      </c>
      <c r="M33" s="19" t="n">
        <v>103076</v>
      </c>
      <c r="N33" s="19" t="n">
        <v>6370</v>
      </c>
      <c r="O33" s="19" t="n">
        <v>91663</v>
      </c>
      <c r="P33" s="19" t="n">
        <v>98773</v>
      </c>
      <c r="Q33" s="19" t="n">
        <v>7110</v>
      </c>
      <c r="R33" s="19" t="n">
        <v>104052</v>
      </c>
      <c r="S33" s="19" t="n">
        <v>96271</v>
      </c>
      <c r="T33" s="19" t="n">
        <v>-7781</v>
      </c>
      <c r="U33" s="19" t="n">
        <v>106107</v>
      </c>
      <c r="V33" s="19" t="n">
        <v>92056</v>
      </c>
      <c r="W33" s="19" t="n">
        <v>-14051</v>
      </c>
      <c r="X33" s="19" t="n">
        <v>97056</v>
      </c>
      <c r="Y33" s="19" t="n">
        <v>92824</v>
      </c>
      <c r="Z33" s="19" t="n">
        <v>-4232</v>
      </c>
      <c r="AA33" s="19" t="n">
        <v>78961</v>
      </c>
      <c r="AB33" s="19" t="n">
        <v>90892</v>
      </c>
      <c r="AC33" s="19" t="n">
        <v>11931</v>
      </c>
      <c r="AD33" s="19" t="n">
        <v>105862</v>
      </c>
      <c r="AE33" s="19" t="n">
        <v>100510</v>
      </c>
      <c r="AF33" s="19" t="n">
        <v>-5352</v>
      </c>
      <c r="AG33" s="19" t="n">
        <v>88226</v>
      </c>
      <c r="AH33" s="19" t="n">
        <v>79740</v>
      </c>
      <c r="AI33" s="19" t="n">
        <v>-8486</v>
      </c>
      <c r="AJ33" s="19" t="n">
        <v>124224</v>
      </c>
      <c r="AK33" s="19" t="n">
        <v>135941</v>
      </c>
      <c r="AL33" s="19" t="n">
        <v>11717</v>
      </c>
    </row>
    <row r="34">
      <c r="A34" s="23" t="inlineStr">
        <is>
          <t>人力资源部</t>
        </is>
      </c>
      <c r="B34" s="4" t="inlineStr">
        <is>
          <t>人工费用</t>
        </is>
      </c>
      <c r="C34" s="18" t="n">
        <v>44959</v>
      </c>
      <c r="D34" s="18" t="n">
        <v>47257</v>
      </c>
      <c r="E34" s="24" t="n">
        <v>2298</v>
      </c>
      <c r="F34" s="18" t="n">
        <v>35920</v>
      </c>
      <c r="G34" s="18" t="n">
        <v>40511</v>
      </c>
      <c r="H34" s="24" t="n">
        <v>4591</v>
      </c>
      <c r="I34" s="18" t="n">
        <v>48287</v>
      </c>
      <c r="J34" s="18" t="n">
        <v>34683</v>
      </c>
      <c r="K34" s="18" t="n">
        <v>-13604</v>
      </c>
      <c r="L34" s="18" t="n">
        <v>56396</v>
      </c>
      <c r="M34" s="18" t="n">
        <v>61621</v>
      </c>
      <c r="N34" s="24" t="n">
        <v>5225</v>
      </c>
      <c r="O34" s="18" t="n">
        <v>53238</v>
      </c>
      <c r="P34" s="18" t="n">
        <v>60005</v>
      </c>
      <c r="Q34" s="24" t="n">
        <v>6767</v>
      </c>
      <c r="R34" s="18" t="n">
        <v>55541</v>
      </c>
      <c r="S34" s="18" t="n">
        <v>69452</v>
      </c>
      <c r="T34" s="24" t="n">
        <v>13911</v>
      </c>
      <c r="U34" s="18" t="n">
        <v>60399</v>
      </c>
      <c r="V34" s="18" t="n">
        <v>76083</v>
      </c>
      <c r="W34" s="24" t="n">
        <v>15684</v>
      </c>
      <c r="X34" s="18" t="n">
        <v>54627</v>
      </c>
      <c r="Y34" s="18" t="n">
        <v>68730</v>
      </c>
      <c r="Z34" s="24" t="n">
        <v>14103</v>
      </c>
      <c r="AA34" s="18" t="n">
        <v>48500</v>
      </c>
      <c r="AB34" s="18" t="n">
        <v>44202</v>
      </c>
      <c r="AC34" s="18" t="n">
        <v>-4298</v>
      </c>
      <c r="AD34" s="18" t="n">
        <v>63573</v>
      </c>
      <c r="AE34" s="18" t="n">
        <v>74009</v>
      </c>
      <c r="AF34" s="24" t="n">
        <v>10436</v>
      </c>
      <c r="AG34" s="18" t="n">
        <v>52373</v>
      </c>
      <c r="AH34" s="18" t="n">
        <v>63715</v>
      </c>
      <c r="AI34" s="24" t="n">
        <v>11342</v>
      </c>
      <c r="AJ34" s="18" t="n">
        <v>72393</v>
      </c>
      <c r="AK34" s="18" t="n">
        <v>54055</v>
      </c>
      <c r="AL34" s="18" t="n">
        <v>-18338</v>
      </c>
    </row>
    <row r="35">
      <c r="B35" s="4" t="inlineStr">
        <is>
          <t>差旅费</t>
        </is>
      </c>
      <c r="C35" s="18" t="n">
        <v>13526</v>
      </c>
      <c r="D35" s="18" t="n">
        <v>15609</v>
      </c>
      <c r="E35" s="24" t="n">
        <v>2083</v>
      </c>
      <c r="F35" s="18" t="n">
        <v>12023</v>
      </c>
      <c r="G35" s="18" t="n">
        <v>9517</v>
      </c>
      <c r="H35" s="18" t="n">
        <v>-2506</v>
      </c>
      <c r="I35" s="18" t="n">
        <v>16474</v>
      </c>
      <c r="J35" s="18" t="n">
        <v>14791</v>
      </c>
      <c r="K35" s="18" t="n">
        <v>-1683</v>
      </c>
      <c r="L35" s="18" t="n">
        <v>18335</v>
      </c>
      <c r="M35" s="18" t="n">
        <v>22035</v>
      </c>
      <c r="N35" s="24" t="n">
        <v>3700</v>
      </c>
      <c r="O35" s="18" t="n">
        <v>19004</v>
      </c>
      <c r="P35" s="18" t="n">
        <v>23950</v>
      </c>
      <c r="Q35" s="24" t="n">
        <v>4946</v>
      </c>
      <c r="R35" s="18" t="n">
        <v>19453</v>
      </c>
      <c r="S35" s="18" t="n">
        <v>20322</v>
      </c>
      <c r="T35" s="24" t="n">
        <v>869</v>
      </c>
      <c r="U35" s="18" t="n">
        <v>20814</v>
      </c>
      <c r="V35" s="18" t="n">
        <v>18115</v>
      </c>
      <c r="W35" s="18" t="n">
        <v>-2699</v>
      </c>
      <c r="X35" s="18" t="n">
        <v>19302</v>
      </c>
      <c r="Y35" s="18" t="n">
        <v>14973</v>
      </c>
      <c r="Z35" s="18" t="n">
        <v>-4329</v>
      </c>
      <c r="AA35" s="18" t="n">
        <v>16726</v>
      </c>
      <c r="AB35" s="18" t="n">
        <v>13197</v>
      </c>
      <c r="AC35" s="18" t="n">
        <v>-3529</v>
      </c>
      <c r="AD35" s="18" t="n">
        <v>19522</v>
      </c>
      <c r="AE35" s="18" t="n">
        <v>20539</v>
      </c>
      <c r="AF35" s="24" t="n">
        <v>1017</v>
      </c>
      <c r="AG35" s="18" t="n">
        <v>19686</v>
      </c>
      <c r="AH35" s="18" t="n">
        <v>19480</v>
      </c>
      <c r="AI35" s="18" t="n">
        <v>-206</v>
      </c>
      <c r="AJ35" s="18" t="n">
        <v>23946</v>
      </c>
      <c r="AK35" s="18" t="n">
        <v>17316</v>
      </c>
      <c r="AL35" s="18" t="n">
        <v>-6630</v>
      </c>
    </row>
    <row r="36">
      <c r="B36" s="4" t="inlineStr">
        <is>
          <t>业务招待费</t>
        </is>
      </c>
      <c r="C36" s="18" t="n">
        <v>11845</v>
      </c>
      <c r="D36" s="18" t="n">
        <v>13342</v>
      </c>
      <c r="E36" s="24" t="n">
        <v>1497</v>
      </c>
      <c r="F36" s="18" t="n">
        <v>11154</v>
      </c>
      <c r="G36" s="18" t="n">
        <v>13782</v>
      </c>
      <c r="H36" s="24" t="n">
        <v>2628</v>
      </c>
      <c r="I36" s="18" t="n">
        <v>13609</v>
      </c>
      <c r="J36" s="18" t="n">
        <v>11847</v>
      </c>
      <c r="K36" s="18" t="n">
        <v>-1762</v>
      </c>
      <c r="L36" s="18" t="n">
        <v>15810</v>
      </c>
      <c r="M36" s="18" t="n">
        <v>16466</v>
      </c>
      <c r="N36" s="24" t="n">
        <v>656</v>
      </c>
      <c r="O36" s="18" t="n">
        <v>15528</v>
      </c>
      <c r="P36" s="18" t="n">
        <v>15173</v>
      </c>
      <c r="Q36" s="18" t="n">
        <v>-355</v>
      </c>
      <c r="R36" s="18" t="n">
        <v>15542</v>
      </c>
      <c r="S36" s="18" t="n">
        <v>17590</v>
      </c>
      <c r="T36" s="24" t="n">
        <v>2048</v>
      </c>
      <c r="U36" s="18" t="n">
        <v>19187</v>
      </c>
      <c r="V36" s="18" t="n">
        <v>18455</v>
      </c>
      <c r="W36" s="18" t="n">
        <v>-732</v>
      </c>
      <c r="X36" s="18" t="n">
        <v>13736</v>
      </c>
      <c r="Y36" s="18" t="n">
        <v>15201</v>
      </c>
      <c r="Z36" s="24" t="n">
        <v>1465</v>
      </c>
      <c r="AA36" s="18" t="n">
        <v>12918</v>
      </c>
      <c r="AB36" s="18" t="n">
        <v>12312</v>
      </c>
      <c r="AC36" s="18" t="n">
        <v>-606</v>
      </c>
      <c r="AD36" s="18" t="n">
        <v>17434</v>
      </c>
      <c r="AE36" s="18" t="n">
        <v>13432</v>
      </c>
      <c r="AF36" s="18" t="n">
        <v>-4002</v>
      </c>
      <c r="AG36" s="18" t="n">
        <v>14321</v>
      </c>
      <c r="AH36" s="18" t="n">
        <v>15061</v>
      </c>
      <c r="AI36" s="24" t="n">
        <v>740</v>
      </c>
      <c r="AJ36" s="18" t="n">
        <v>18669</v>
      </c>
      <c r="AK36" s="18" t="n">
        <v>13403</v>
      </c>
      <c r="AL36" s="18" t="n">
        <v>-5266</v>
      </c>
    </row>
    <row r="37">
      <c r="B37" s="4" t="inlineStr">
        <is>
          <t>办公费</t>
        </is>
      </c>
      <c r="C37" s="18" t="n">
        <v>9229</v>
      </c>
      <c r="D37" s="18" t="n">
        <v>8954</v>
      </c>
      <c r="E37" s="18" t="n">
        <v>-275</v>
      </c>
      <c r="F37" s="18" t="n">
        <v>8556</v>
      </c>
      <c r="G37" s="18" t="n">
        <v>9193</v>
      </c>
      <c r="H37" s="24" t="n">
        <v>637</v>
      </c>
      <c r="I37" s="18" t="n">
        <v>11766</v>
      </c>
      <c r="J37" s="18" t="n">
        <v>10888</v>
      </c>
      <c r="K37" s="18" t="n">
        <v>-878</v>
      </c>
      <c r="L37" s="18" t="n">
        <v>11425</v>
      </c>
      <c r="M37" s="18" t="n">
        <v>9059</v>
      </c>
      <c r="N37" s="18" t="n">
        <v>-2366</v>
      </c>
      <c r="O37" s="18" t="n">
        <v>13036</v>
      </c>
      <c r="P37" s="18" t="n">
        <v>10322</v>
      </c>
      <c r="Q37" s="18" t="n">
        <v>-2714</v>
      </c>
      <c r="R37" s="18" t="n">
        <v>12632</v>
      </c>
      <c r="S37" s="18" t="n">
        <v>12501</v>
      </c>
      <c r="T37" s="18" t="n">
        <v>-131</v>
      </c>
      <c r="U37" s="18" t="n">
        <v>14411</v>
      </c>
      <c r="V37" s="18" t="n">
        <v>17051</v>
      </c>
      <c r="W37" s="24" t="n">
        <v>2640</v>
      </c>
      <c r="X37" s="18" t="n">
        <v>13446</v>
      </c>
      <c r="Y37" s="18" t="n">
        <v>16004</v>
      </c>
      <c r="Z37" s="24" t="n">
        <v>2558</v>
      </c>
      <c r="AA37" s="18" t="n">
        <v>12116</v>
      </c>
      <c r="AB37" s="18" t="n">
        <v>13522</v>
      </c>
      <c r="AC37" s="24" t="n">
        <v>1406</v>
      </c>
      <c r="AD37" s="18" t="n">
        <v>12780</v>
      </c>
      <c r="AE37" s="18" t="n">
        <v>9737</v>
      </c>
      <c r="AF37" s="18" t="n">
        <v>-3043</v>
      </c>
      <c r="AG37" s="18" t="n">
        <v>13358</v>
      </c>
      <c r="AH37" s="18" t="n">
        <v>14456</v>
      </c>
      <c r="AI37" s="24" t="n">
        <v>1098</v>
      </c>
      <c r="AJ37" s="18" t="n">
        <v>14613</v>
      </c>
      <c r="AK37" s="18" t="n">
        <v>13201</v>
      </c>
      <c r="AL37" s="18" t="n">
        <v>-1412</v>
      </c>
    </row>
    <row r="38">
      <c r="B38" s="4" t="inlineStr">
        <is>
          <t>折旧费</t>
        </is>
      </c>
      <c r="C38" s="18" t="n">
        <v>8635</v>
      </c>
      <c r="D38" s="18" t="n">
        <v>7787</v>
      </c>
      <c r="E38" s="18" t="n">
        <v>-848</v>
      </c>
      <c r="F38" s="18" t="n">
        <v>6560</v>
      </c>
      <c r="G38" s="18" t="n">
        <v>5733</v>
      </c>
      <c r="H38" s="18" t="n">
        <v>-827</v>
      </c>
      <c r="I38" s="18" t="n">
        <v>8638</v>
      </c>
      <c r="J38" s="18" t="n">
        <v>11040</v>
      </c>
      <c r="K38" s="24" t="n">
        <v>2402</v>
      </c>
      <c r="L38" s="18" t="n">
        <v>10650</v>
      </c>
      <c r="M38" s="18" t="n">
        <v>9778</v>
      </c>
      <c r="N38" s="18" t="n">
        <v>-872</v>
      </c>
      <c r="O38" s="18" t="n">
        <v>9755</v>
      </c>
      <c r="P38" s="18" t="n">
        <v>7925</v>
      </c>
      <c r="Q38" s="18" t="n">
        <v>-1830</v>
      </c>
      <c r="R38" s="18" t="n">
        <v>10052</v>
      </c>
      <c r="S38" s="18" t="n">
        <v>13020</v>
      </c>
      <c r="T38" s="24" t="n">
        <v>2968</v>
      </c>
      <c r="U38" s="18" t="n">
        <v>12942</v>
      </c>
      <c r="V38" s="18" t="n">
        <v>14212</v>
      </c>
      <c r="W38" s="24" t="n">
        <v>1270</v>
      </c>
      <c r="X38" s="18" t="n">
        <v>9297</v>
      </c>
      <c r="Y38" s="18" t="n">
        <v>10939</v>
      </c>
      <c r="Z38" s="24" t="n">
        <v>1642</v>
      </c>
      <c r="AA38" s="18" t="n">
        <v>9656</v>
      </c>
      <c r="AB38" s="18" t="n">
        <v>9561</v>
      </c>
      <c r="AC38" s="18" t="n">
        <v>-95</v>
      </c>
      <c r="AD38" s="18" t="n">
        <v>11895</v>
      </c>
      <c r="AE38" s="18" t="n">
        <v>13781</v>
      </c>
      <c r="AF38" s="24" t="n">
        <v>1886</v>
      </c>
      <c r="AG38" s="18" t="n">
        <v>9715</v>
      </c>
      <c r="AH38" s="18" t="n">
        <v>7115</v>
      </c>
      <c r="AI38" s="18" t="n">
        <v>-2600</v>
      </c>
      <c r="AJ38" s="18" t="n">
        <v>13672</v>
      </c>
      <c r="AK38" s="18" t="n">
        <v>14597</v>
      </c>
      <c r="AL38" s="24" t="n">
        <v>925</v>
      </c>
    </row>
    <row r="39">
      <c r="B39" s="6" t="inlineStr">
        <is>
          <t>小计</t>
        </is>
      </c>
      <c r="C39" s="19" t="n">
        <v>88194</v>
      </c>
      <c r="D39" s="19" t="n">
        <v>92949</v>
      </c>
      <c r="E39" s="19" t="n">
        <v>4755</v>
      </c>
      <c r="F39" s="19" t="n">
        <v>74213</v>
      </c>
      <c r="G39" s="19" t="n">
        <v>78736</v>
      </c>
      <c r="H39" s="19" t="n">
        <v>4523</v>
      </c>
      <c r="I39" s="19" t="n">
        <v>98774</v>
      </c>
      <c r="J39" s="19" t="n">
        <v>83249</v>
      </c>
      <c r="K39" s="19" t="n">
        <v>-15525</v>
      </c>
      <c r="L39" s="19" t="n">
        <v>112616</v>
      </c>
      <c r="M39" s="19" t="n">
        <v>118959</v>
      </c>
      <c r="N39" s="19" t="n">
        <v>6343</v>
      </c>
      <c r="O39" s="19" t="n">
        <v>110561</v>
      </c>
      <c r="P39" s="19" t="n">
        <v>117375</v>
      </c>
      <c r="Q39" s="19" t="n">
        <v>6814</v>
      </c>
      <c r="R39" s="19" t="n">
        <v>113220</v>
      </c>
      <c r="S39" s="19" t="n">
        <v>132885</v>
      </c>
      <c r="T39" s="19" t="n">
        <v>19665</v>
      </c>
      <c r="U39" s="19" t="n">
        <v>127753</v>
      </c>
      <c r="V39" s="19" t="n">
        <v>143916</v>
      </c>
      <c r="W39" s="19" t="n">
        <v>16163</v>
      </c>
      <c r="X39" s="19" t="n">
        <v>110408</v>
      </c>
      <c r="Y39" s="19" t="n">
        <v>125847</v>
      </c>
      <c r="Z39" s="19" t="n">
        <v>15439</v>
      </c>
      <c r="AA39" s="19" t="n">
        <v>99916</v>
      </c>
      <c r="AB39" s="19" t="n">
        <v>92794</v>
      </c>
      <c r="AC39" s="19" t="n">
        <v>-7122</v>
      </c>
      <c r="AD39" s="19" t="n">
        <v>125204</v>
      </c>
      <c r="AE39" s="19" t="n">
        <v>131498</v>
      </c>
      <c r="AF39" s="19" t="n">
        <v>6294</v>
      </c>
      <c r="AG39" s="19" t="n">
        <v>109453</v>
      </c>
      <c r="AH39" s="19" t="n">
        <v>119827</v>
      </c>
      <c r="AI39" s="19" t="n">
        <v>10374</v>
      </c>
      <c r="AJ39" s="19" t="n">
        <v>143293</v>
      </c>
      <c r="AK39" s="19" t="n">
        <v>112572</v>
      </c>
      <c r="AL39" s="19" t="n">
        <v>-30721</v>
      </c>
    </row>
    <row r="40">
      <c r="A40" s="23" t="inlineStr">
        <is>
          <t>财务部</t>
        </is>
      </c>
      <c r="B40" s="4" t="inlineStr">
        <is>
          <t>人工费用</t>
        </is>
      </c>
      <c r="C40" s="18" t="n">
        <v>82852</v>
      </c>
      <c r="D40" s="18" t="n">
        <v>97941</v>
      </c>
      <c r="E40" s="24" t="n">
        <v>15089</v>
      </c>
      <c r="F40" s="18" t="n">
        <v>76708</v>
      </c>
      <c r="G40" s="18" t="n">
        <v>55075</v>
      </c>
      <c r="H40" s="18" t="n">
        <v>-21633</v>
      </c>
      <c r="I40" s="18" t="n">
        <v>95457</v>
      </c>
      <c r="J40" s="18" t="n">
        <v>107916</v>
      </c>
      <c r="K40" s="24" t="n">
        <v>12459</v>
      </c>
      <c r="L40" s="18" t="n">
        <v>103396</v>
      </c>
      <c r="M40" s="18" t="n">
        <v>77307</v>
      </c>
      <c r="N40" s="18" t="n">
        <v>-26089</v>
      </c>
      <c r="O40" s="18" t="n">
        <v>98976</v>
      </c>
      <c r="P40" s="18" t="n">
        <v>123367</v>
      </c>
      <c r="Q40" s="24" t="n">
        <v>24391</v>
      </c>
      <c r="R40" s="18" t="n">
        <v>122913</v>
      </c>
      <c r="S40" s="18" t="n">
        <v>127276</v>
      </c>
      <c r="T40" s="24" t="n">
        <v>4363</v>
      </c>
      <c r="U40" s="18" t="n">
        <v>136299</v>
      </c>
      <c r="V40" s="18" t="n">
        <v>103055</v>
      </c>
      <c r="W40" s="18" t="n">
        <v>-33244</v>
      </c>
      <c r="X40" s="18" t="n">
        <v>112552</v>
      </c>
      <c r="Y40" s="18" t="n">
        <v>109634</v>
      </c>
      <c r="Z40" s="18" t="n">
        <v>-2918</v>
      </c>
      <c r="AA40" s="18" t="n">
        <v>91849</v>
      </c>
      <c r="AB40" s="18" t="n">
        <v>85840</v>
      </c>
      <c r="AC40" s="18" t="n">
        <v>-6009</v>
      </c>
      <c r="AD40" s="18" t="n">
        <v>115871</v>
      </c>
      <c r="AE40" s="18" t="n">
        <v>84323</v>
      </c>
      <c r="AF40" s="18" t="n">
        <v>-31548</v>
      </c>
      <c r="AG40" s="18" t="n">
        <v>117296</v>
      </c>
      <c r="AH40" s="18" t="n">
        <v>130080</v>
      </c>
      <c r="AI40" s="24" t="n">
        <v>12784</v>
      </c>
      <c r="AJ40" s="18" t="n">
        <v>132981</v>
      </c>
      <c r="AK40" s="18" t="n">
        <v>98558</v>
      </c>
      <c r="AL40" s="18" t="n">
        <v>-34423</v>
      </c>
    </row>
    <row r="41">
      <c r="B41" s="4" t="inlineStr">
        <is>
          <t>差旅费</t>
        </is>
      </c>
      <c r="C41" s="18" t="n">
        <v>29794</v>
      </c>
      <c r="D41" s="18" t="n">
        <v>21500</v>
      </c>
      <c r="E41" s="18" t="n">
        <v>-8294</v>
      </c>
      <c r="F41" s="18" t="n">
        <v>25545</v>
      </c>
      <c r="G41" s="18" t="n">
        <v>32649</v>
      </c>
      <c r="H41" s="24" t="n">
        <v>7104</v>
      </c>
      <c r="I41" s="18" t="n">
        <v>32468</v>
      </c>
      <c r="J41" s="18" t="n">
        <v>32588</v>
      </c>
      <c r="K41" s="24" t="n">
        <v>120</v>
      </c>
      <c r="L41" s="18" t="n">
        <v>34872</v>
      </c>
      <c r="M41" s="18" t="n">
        <v>38622</v>
      </c>
      <c r="N41" s="24" t="n">
        <v>3750</v>
      </c>
      <c r="O41" s="18" t="n">
        <v>39396</v>
      </c>
      <c r="P41" s="18" t="n">
        <v>28367</v>
      </c>
      <c r="Q41" s="18" t="n">
        <v>-11029</v>
      </c>
      <c r="R41" s="18" t="n">
        <v>38530</v>
      </c>
      <c r="S41" s="18" t="n">
        <v>44598</v>
      </c>
      <c r="T41" s="24" t="n">
        <v>6068</v>
      </c>
      <c r="U41" s="18" t="n">
        <v>40523</v>
      </c>
      <c r="V41" s="18" t="n">
        <v>30269</v>
      </c>
      <c r="W41" s="18" t="n">
        <v>-10254</v>
      </c>
      <c r="X41" s="18" t="n">
        <v>33130</v>
      </c>
      <c r="Y41" s="18" t="n">
        <v>39913</v>
      </c>
      <c r="Z41" s="24" t="n">
        <v>6783</v>
      </c>
      <c r="AA41" s="18" t="n">
        <v>30239</v>
      </c>
      <c r="AB41" s="18" t="n">
        <v>24102</v>
      </c>
      <c r="AC41" s="18" t="n">
        <v>-6137</v>
      </c>
      <c r="AD41" s="18" t="n">
        <v>37843</v>
      </c>
      <c r="AE41" s="18" t="n">
        <v>27239</v>
      </c>
      <c r="AF41" s="18" t="n">
        <v>-10604</v>
      </c>
      <c r="AG41" s="18" t="n">
        <v>37445</v>
      </c>
      <c r="AH41" s="18" t="n">
        <v>41623</v>
      </c>
      <c r="AI41" s="24" t="n">
        <v>4178</v>
      </c>
      <c r="AJ41" s="18" t="n">
        <v>48916</v>
      </c>
      <c r="AK41" s="18" t="n">
        <v>55009</v>
      </c>
      <c r="AL41" s="24" t="n">
        <v>6093</v>
      </c>
    </row>
    <row r="42">
      <c r="B42" s="4" t="inlineStr">
        <is>
          <t>业务招待费</t>
        </is>
      </c>
      <c r="C42" s="18" t="n">
        <v>25034</v>
      </c>
      <c r="D42" s="18" t="n">
        <v>24034</v>
      </c>
      <c r="E42" s="18" t="n">
        <v>-1000</v>
      </c>
      <c r="F42" s="18" t="n">
        <v>20130</v>
      </c>
      <c r="G42" s="18" t="n">
        <v>14605</v>
      </c>
      <c r="H42" s="18" t="n">
        <v>-5525</v>
      </c>
      <c r="I42" s="18" t="n">
        <v>28004</v>
      </c>
      <c r="J42" s="18" t="n">
        <v>30788</v>
      </c>
      <c r="K42" s="24" t="n">
        <v>2784</v>
      </c>
      <c r="L42" s="18" t="n">
        <v>30999</v>
      </c>
      <c r="M42" s="18" t="n">
        <v>31805</v>
      </c>
      <c r="N42" s="24" t="n">
        <v>806</v>
      </c>
      <c r="O42" s="18" t="n">
        <v>29543</v>
      </c>
      <c r="P42" s="18" t="n">
        <v>29876</v>
      </c>
      <c r="Q42" s="24" t="n">
        <v>333</v>
      </c>
      <c r="R42" s="18" t="n">
        <v>34442</v>
      </c>
      <c r="S42" s="18" t="n">
        <v>44656</v>
      </c>
      <c r="T42" s="24" t="n">
        <v>10214</v>
      </c>
      <c r="U42" s="18" t="n">
        <v>31493</v>
      </c>
      <c r="V42" s="18" t="n">
        <v>32103</v>
      </c>
      <c r="W42" s="24" t="n">
        <v>610</v>
      </c>
      <c r="X42" s="18" t="n">
        <v>27098</v>
      </c>
      <c r="Y42" s="18" t="n">
        <v>23800</v>
      </c>
      <c r="Z42" s="18" t="n">
        <v>-3298</v>
      </c>
      <c r="AA42" s="18" t="n">
        <v>28226</v>
      </c>
      <c r="AB42" s="18" t="n">
        <v>27376</v>
      </c>
      <c r="AC42" s="18" t="n">
        <v>-850</v>
      </c>
      <c r="AD42" s="18" t="n">
        <v>29100</v>
      </c>
      <c r="AE42" s="18" t="n">
        <v>33568</v>
      </c>
      <c r="AF42" s="24" t="n">
        <v>4468</v>
      </c>
      <c r="AG42" s="18" t="n">
        <v>30329</v>
      </c>
      <c r="AH42" s="18" t="n">
        <v>29097</v>
      </c>
      <c r="AI42" s="18" t="n">
        <v>-1232</v>
      </c>
      <c r="AJ42" s="18" t="n">
        <v>35506</v>
      </c>
      <c r="AK42" s="18" t="n">
        <v>43643</v>
      </c>
      <c r="AL42" s="24" t="n">
        <v>8137</v>
      </c>
    </row>
    <row r="43">
      <c r="B43" s="4" t="inlineStr">
        <is>
          <t>办公费</t>
        </is>
      </c>
      <c r="C43" s="18" t="n">
        <v>20632</v>
      </c>
      <c r="D43" s="18" t="n">
        <v>24400</v>
      </c>
      <c r="E43" s="24" t="n">
        <v>3768</v>
      </c>
      <c r="F43" s="18" t="n">
        <v>17578</v>
      </c>
      <c r="G43" s="18" t="n">
        <v>18039</v>
      </c>
      <c r="H43" s="24" t="n">
        <v>461</v>
      </c>
      <c r="I43" s="18" t="n">
        <v>20702</v>
      </c>
      <c r="J43" s="18" t="n">
        <v>23178</v>
      </c>
      <c r="K43" s="24" t="n">
        <v>2476</v>
      </c>
      <c r="L43" s="18" t="n">
        <v>22459</v>
      </c>
      <c r="M43" s="18" t="n">
        <v>18232</v>
      </c>
      <c r="N43" s="18" t="n">
        <v>-4227</v>
      </c>
      <c r="O43" s="18" t="n">
        <v>25240</v>
      </c>
      <c r="P43" s="18" t="n">
        <v>24255</v>
      </c>
      <c r="Q43" s="18" t="n">
        <v>-985</v>
      </c>
      <c r="R43" s="18" t="n">
        <v>26261</v>
      </c>
      <c r="S43" s="18" t="n">
        <v>20729</v>
      </c>
      <c r="T43" s="18" t="n">
        <v>-5532</v>
      </c>
      <c r="U43" s="18" t="n">
        <v>30577</v>
      </c>
      <c r="V43" s="18" t="n">
        <v>27035</v>
      </c>
      <c r="W43" s="18" t="n">
        <v>-3542</v>
      </c>
      <c r="X43" s="18" t="n">
        <v>25635</v>
      </c>
      <c r="Y43" s="18" t="n">
        <v>21908</v>
      </c>
      <c r="Z43" s="18" t="n">
        <v>-3727</v>
      </c>
      <c r="AA43" s="18" t="n">
        <v>22209</v>
      </c>
      <c r="AB43" s="18" t="n">
        <v>18133</v>
      </c>
      <c r="AC43" s="18" t="n">
        <v>-4076</v>
      </c>
      <c r="AD43" s="18" t="n">
        <v>27334</v>
      </c>
      <c r="AE43" s="18" t="n">
        <v>21864</v>
      </c>
      <c r="AF43" s="18" t="n">
        <v>-5470</v>
      </c>
      <c r="AG43" s="18" t="n">
        <v>23941</v>
      </c>
      <c r="AH43" s="18" t="n">
        <v>28544</v>
      </c>
      <c r="AI43" s="24" t="n">
        <v>4603</v>
      </c>
      <c r="AJ43" s="18" t="n">
        <v>30573</v>
      </c>
      <c r="AK43" s="18" t="n">
        <v>29515</v>
      </c>
      <c r="AL43" s="18" t="n">
        <v>-1058</v>
      </c>
    </row>
    <row r="44">
      <c r="B44" s="4" t="inlineStr">
        <is>
          <t>折旧费</t>
        </is>
      </c>
      <c r="C44" s="18" t="n">
        <v>16212</v>
      </c>
      <c r="D44" s="18" t="n">
        <v>14532</v>
      </c>
      <c r="E44" s="18" t="n">
        <v>-1680</v>
      </c>
      <c r="F44" s="18" t="n">
        <v>12328</v>
      </c>
      <c r="G44" s="18" t="n">
        <v>13756</v>
      </c>
      <c r="H44" s="24" t="n">
        <v>1428</v>
      </c>
      <c r="I44" s="18" t="n">
        <v>17167</v>
      </c>
      <c r="J44" s="18" t="n">
        <v>20512</v>
      </c>
      <c r="K44" s="24" t="n">
        <v>3345</v>
      </c>
      <c r="L44" s="18" t="n">
        <v>18415</v>
      </c>
      <c r="M44" s="18" t="n">
        <v>19624</v>
      </c>
      <c r="N44" s="24" t="n">
        <v>1209</v>
      </c>
      <c r="O44" s="18" t="n">
        <v>17902</v>
      </c>
      <c r="P44" s="18" t="n">
        <v>16701</v>
      </c>
      <c r="Q44" s="18" t="n">
        <v>-1201</v>
      </c>
      <c r="R44" s="18" t="n">
        <v>20861</v>
      </c>
      <c r="S44" s="18" t="n">
        <v>15708</v>
      </c>
      <c r="T44" s="18" t="n">
        <v>-5153</v>
      </c>
      <c r="U44" s="18" t="n">
        <v>24996</v>
      </c>
      <c r="V44" s="18" t="n">
        <v>21355</v>
      </c>
      <c r="W44" s="18" t="n">
        <v>-3641</v>
      </c>
      <c r="X44" s="18" t="n">
        <v>20382</v>
      </c>
      <c r="Y44" s="18" t="n">
        <v>16924</v>
      </c>
      <c r="Z44" s="18" t="n">
        <v>-3458</v>
      </c>
      <c r="AA44" s="18" t="n">
        <v>18267</v>
      </c>
      <c r="AB44" s="18" t="n">
        <v>19545</v>
      </c>
      <c r="AC44" s="24" t="n">
        <v>1278</v>
      </c>
      <c r="AD44" s="18" t="n">
        <v>20394</v>
      </c>
      <c r="AE44" s="18" t="n">
        <v>15400</v>
      </c>
      <c r="AF44" s="18" t="n">
        <v>-4994</v>
      </c>
      <c r="AG44" s="18" t="n">
        <v>18509</v>
      </c>
      <c r="AH44" s="18" t="n">
        <v>21930</v>
      </c>
      <c r="AI44" s="24" t="n">
        <v>3421</v>
      </c>
      <c r="AJ44" s="18" t="n">
        <v>24443</v>
      </c>
      <c r="AK44" s="18" t="n">
        <v>26696</v>
      </c>
      <c r="AL44" s="24" t="n">
        <v>2253</v>
      </c>
    </row>
    <row r="45">
      <c r="B45" s="6" t="inlineStr">
        <is>
          <t>小计</t>
        </is>
      </c>
      <c r="C45" s="19" t="n">
        <v>174524</v>
      </c>
      <c r="D45" s="19" t="n">
        <v>182407</v>
      </c>
      <c r="E45" s="19" t="n">
        <v>7883</v>
      </c>
      <c r="F45" s="19" t="n">
        <v>152289</v>
      </c>
      <c r="G45" s="19" t="n">
        <v>134124</v>
      </c>
      <c r="H45" s="19" t="n">
        <v>-18165</v>
      </c>
      <c r="I45" s="19" t="n">
        <v>193798</v>
      </c>
      <c r="J45" s="19" t="n">
        <v>214982</v>
      </c>
      <c r="K45" s="19" t="n">
        <v>21184</v>
      </c>
      <c r="L45" s="19" t="n">
        <v>210141</v>
      </c>
      <c r="M45" s="19" t="n">
        <v>185590</v>
      </c>
      <c r="N45" s="19" t="n">
        <v>-24551</v>
      </c>
      <c r="O45" s="19" t="n">
        <v>211057</v>
      </c>
      <c r="P45" s="19" t="n">
        <v>222566</v>
      </c>
      <c r="Q45" s="19" t="n">
        <v>11509</v>
      </c>
      <c r="R45" s="19" t="n">
        <v>243007</v>
      </c>
      <c r="S45" s="19" t="n">
        <v>252967</v>
      </c>
      <c r="T45" s="19" t="n">
        <v>9960</v>
      </c>
      <c r="U45" s="19" t="n">
        <v>263888</v>
      </c>
      <c r="V45" s="19" t="n">
        <v>213817</v>
      </c>
      <c r="W45" s="19" t="n">
        <v>-50071</v>
      </c>
      <c r="X45" s="19" t="n">
        <v>218797</v>
      </c>
      <c r="Y45" s="19" t="n">
        <v>212179</v>
      </c>
      <c r="Z45" s="19" t="n">
        <v>-6618</v>
      </c>
      <c r="AA45" s="19" t="n">
        <v>190790</v>
      </c>
      <c r="AB45" s="19" t="n">
        <v>174996</v>
      </c>
      <c r="AC45" s="19" t="n">
        <v>-15794</v>
      </c>
      <c r="AD45" s="19" t="n">
        <v>230542</v>
      </c>
      <c r="AE45" s="19" t="n">
        <v>182394</v>
      </c>
      <c r="AF45" s="19" t="n">
        <v>-48148</v>
      </c>
      <c r="AG45" s="19" t="n">
        <v>227520</v>
      </c>
      <c r="AH45" s="19" t="n">
        <v>251274</v>
      </c>
      <c r="AI45" s="19" t="n">
        <v>23754</v>
      </c>
      <c r="AJ45" s="19" t="n">
        <v>272419</v>
      </c>
      <c r="AK45" s="19" t="n">
        <v>253421</v>
      </c>
      <c r="AL45" s="19" t="n">
        <v>-18998</v>
      </c>
    </row>
    <row r="46">
      <c r="A46" s="23" t="inlineStr">
        <is>
          <t>行政部</t>
        </is>
      </c>
      <c r="B46" s="4" t="inlineStr">
        <is>
          <t>人工费用</t>
        </is>
      </c>
      <c r="C46" s="18" t="n">
        <v>34064</v>
      </c>
      <c r="D46" s="18" t="n">
        <v>43089</v>
      </c>
      <c r="E46" s="24" t="n">
        <v>9025</v>
      </c>
      <c r="F46" s="18" t="n">
        <v>31973</v>
      </c>
      <c r="G46" s="18" t="n">
        <v>37579</v>
      </c>
      <c r="H46" s="24" t="n">
        <v>5606</v>
      </c>
      <c r="I46" s="18" t="n">
        <v>40762</v>
      </c>
      <c r="J46" s="18" t="n">
        <v>28805</v>
      </c>
      <c r="K46" s="18" t="n">
        <v>-11957</v>
      </c>
      <c r="L46" s="18" t="n">
        <v>45043</v>
      </c>
      <c r="M46" s="18" t="n">
        <v>46809</v>
      </c>
      <c r="N46" s="24" t="n">
        <v>1766</v>
      </c>
      <c r="O46" s="18" t="n">
        <v>43435</v>
      </c>
      <c r="P46" s="18" t="n">
        <v>50359</v>
      </c>
      <c r="Q46" s="24" t="n">
        <v>6924</v>
      </c>
      <c r="R46" s="18" t="n">
        <v>49877</v>
      </c>
      <c r="S46" s="18" t="n">
        <v>46599</v>
      </c>
      <c r="T46" s="18" t="n">
        <v>-3278</v>
      </c>
      <c r="U46" s="18" t="n">
        <v>55251</v>
      </c>
      <c r="V46" s="18" t="n">
        <v>65455</v>
      </c>
      <c r="W46" s="24" t="n">
        <v>10204</v>
      </c>
      <c r="X46" s="18" t="n">
        <v>40663</v>
      </c>
      <c r="Y46" s="18" t="n">
        <v>50358</v>
      </c>
      <c r="Z46" s="24" t="n">
        <v>9695</v>
      </c>
      <c r="AA46" s="18" t="n">
        <v>41387</v>
      </c>
      <c r="AB46" s="18" t="n">
        <v>42325</v>
      </c>
      <c r="AC46" s="24" t="n">
        <v>938</v>
      </c>
      <c r="AD46" s="18" t="n">
        <v>52333</v>
      </c>
      <c r="AE46" s="18" t="n">
        <v>54736</v>
      </c>
      <c r="AF46" s="24" t="n">
        <v>2403</v>
      </c>
      <c r="AG46" s="18" t="n">
        <v>47138</v>
      </c>
      <c r="AH46" s="18" t="n">
        <v>39869</v>
      </c>
      <c r="AI46" s="18" t="n">
        <v>-7269</v>
      </c>
      <c r="AJ46" s="18" t="n">
        <v>61064</v>
      </c>
      <c r="AK46" s="18" t="n">
        <v>65832</v>
      </c>
      <c r="AL46" s="24" t="n">
        <v>4768</v>
      </c>
    </row>
    <row r="47">
      <c r="B47" s="4" t="inlineStr">
        <is>
          <t>差旅费</t>
        </is>
      </c>
      <c r="C47" s="18" t="n">
        <v>12785</v>
      </c>
      <c r="D47" s="18" t="n">
        <v>9996</v>
      </c>
      <c r="E47" s="18" t="n">
        <v>-2789</v>
      </c>
      <c r="F47" s="18" t="n">
        <v>10153</v>
      </c>
      <c r="G47" s="18" t="n">
        <v>10096</v>
      </c>
      <c r="H47" s="18" t="n">
        <v>-57</v>
      </c>
      <c r="I47" s="18" t="n">
        <v>12524</v>
      </c>
      <c r="J47" s="18" t="n">
        <v>9161</v>
      </c>
      <c r="K47" s="18" t="n">
        <v>-3363</v>
      </c>
      <c r="L47" s="18" t="n">
        <v>14754</v>
      </c>
      <c r="M47" s="18" t="n">
        <v>12367</v>
      </c>
      <c r="N47" s="18" t="n">
        <v>-2387</v>
      </c>
      <c r="O47" s="18" t="n">
        <v>15464</v>
      </c>
      <c r="P47" s="18" t="n">
        <v>18002</v>
      </c>
      <c r="Q47" s="24" t="n">
        <v>2538</v>
      </c>
      <c r="R47" s="18" t="n">
        <v>14875</v>
      </c>
      <c r="S47" s="18" t="n">
        <v>13865</v>
      </c>
      <c r="T47" s="18" t="n">
        <v>-1010</v>
      </c>
      <c r="U47" s="18" t="n">
        <v>18576</v>
      </c>
      <c r="V47" s="18" t="n">
        <v>15274</v>
      </c>
      <c r="W47" s="18" t="n">
        <v>-3302</v>
      </c>
      <c r="X47" s="18" t="n">
        <v>14593</v>
      </c>
      <c r="Y47" s="18" t="n">
        <v>18270</v>
      </c>
      <c r="Z47" s="24" t="n">
        <v>3677</v>
      </c>
      <c r="AA47" s="18" t="n">
        <v>13917</v>
      </c>
      <c r="AB47" s="18" t="n">
        <v>18003</v>
      </c>
      <c r="AC47" s="24" t="n">
        <v>4086</v>
      </c>
      <c r="AD47" s="18" t="n">
        <v>17849</v>
      </c>
      <c r="AE47" s="18" t="n">
        <v>17804</v>
      </c>
      <c r="AF47" s="18" t="n">
        <v>-45</v>
      </c>
      <c r="AG47" s="18" t="n">
        <v>14091</v>
      </c>
      <c r="AH47" s="18" t="n">
        <v>17712</v>
      </c>
      <c r="AI47" s="24" t="n">
        <v>3621</v>
      </c>
      <c r="AJ47" s="18" t="n">
        <v>20413</v>
      </c>
      <c r="AK47" s="18" t="n">
        <v>18305</v>
      </c>
      <c r="AL47" s="18" t="n">
        <v>-2108</v>
      </c>
    </row>
    <row r="48">
      <c r="B48" s="4" t="inlineStr">
        <is>
          <t>业务招待费</t>
        </is>
      </c>
      <c r="C48" s="18" t="n">
        <v>9285</v>
      </c>
      <c r="D48" s="18" t="n">
        <v>10957</v>
      </c>
      <c r="E48" s="24" t="n">
        <v>1672</v>
      </c>
      <c r="F48" s="18" t="n">
        <v>8963</v>
      </c>
      <c r="G48" s="18" t="n">
        <v>9908</v>
      </c>
      <c r="H48" s="24" t="n">
        <v>945</v>
      </c>
      <c r="I48" s="18" t="n">
        <v>10583</v>
      </c>
      <c r="J48" s="18" t="n">
        <v>9944</v>
      </c>
      <c r="K48" s="18" t="n">
        <v>-639</v>
      </c>
      <c r="L48" s="18" t="n">
        <v>12638</v>
      </c>
      <c r="M48" s="18" t="n">
        <v>15793</v>
      </c>
      <c r="N48" s="24" t="n">
        <v>3155</v>
      </c>
      <c r="O48" s="18" t="n">
        <v>13022</v>
      </c>
      <c r="P48" s="18" t="n">
        <v>15567</v>
      </c>
      <c r="Q48" s="24" t="n">
        <v>2545</v>
      </c>
      <c r="R48" s="18" t="n">
        <v>12964</v>
      </c>
      <c r="S48" s="18" t="n">
        <v>12072</v>
      </c>
      <c r="T48" s="18" t="n">
        <v>-892</v>
      </c>
      <c r="U48" s="18" t="n">
        <v>14760</v>
      </c>
      <c r="V48" s="18" t="n">
        <v>10811</v>
      </c>
      <c r="W48" s="18" t="n">
        <v>-3949</v>
      </c>
      <c r="X48" s="18" t="n">
        <v>11529</v>
      </c>
      <c r="Y48" s="18" t="n">
        <v>8534</v>
      </c>
      <c r="Z48" s="18" t="n">
        <v>-2995</v>
      </c>
      <c r="AA48" s="18" t="n">
        <v>11194</v>
      </c>
      <c r="AB48" s="18" t="n">
        <v>13992</v>
      </c>
      <c r="AC48" s="24" t="n">
        <v>2798</v>
      </c>
      <c r="AD48" s="18" t="n">
        <v>13426</v>
      </c>
      <c r="AE48" s="18" t="n">
        <v>13257</v>
      </c>
      <c r="AF48" s="18" t="n">
        <v>-169</v>
      </c>
      <c r="AG48" s="18" t="n">
        <v>11700</v>
      </c>
      <c r="AH48" s="18" t="n">
        <v>12677</v>
      </c>
      <c r="AI48" s="24" t="n">
        <v>977</v>
      </c>
      <c r="AJ48" s="18" t="n">
        <v>16804</v>
      </c>
      <c r="AK48" s="18" t="n">
        <v>14424</v>
      </c>
      <c r="AL48" s="18" t="n">
        <v>-2380</v>
      </c>
    </row>
    <row r="49">
      <c r="B49" s="4" t="inlineStr">
        <is>
          <t>办公费</t>
        </is>
      </c>
      <c r="C49" s="18" t="n">
        <v>8661</v>
      </c>
      <c r="D49" s="18" t="n">
        <v>10820</v>
      </c>
      <c r="E49" s="24" t="n">
        <v>2159</v>
      </c>
      <c r="F49" s="18" t="n">
        <v>6466</v>
      </c>
      <c r="G49" s="18" t="n">
        <v>4667</v>
      </c>
      <c r="H49" s="18" t="n">
        <v>-1799</v>
      </c>
      <c r="I49" s="18" t="n">
        <v>8751</v>
      </c>
      <c r="J49" s="18" t="n">
        <v>7466</v>
      </c>
      <c r="K49" s="18" t="n">
        <v>-1285</v>
      </c>
      <c r="L49" s="18" t="n">
        <v>9770</v>
      </c>
      <c r="M49" s="18" t="n">
        <v>7970</v>
      </c>
      <c r="N49" s="18" t="n">
        <v>-1800</v>
      </c>
      <c r="O49" s="18" t="n">
        <v>9407</v>
      </c>
      <c r="P49" s="18" t="n">
        <v>8014</v>
      </c>
      <c r="Q49" s="18" t="n">
        <v>-1393</v>
      </c>
      <c r="R49" s="18" t="n">
        <v>9893</v>
      </c>
      <c r="S49" s="18" t="n">
        <v>8657</v>
      </c>
      <c r="T49" s="18" t="n">
        <v>-1236</v>
      </c>
      <c r="U49" s="18" t="n">
        <v>10900</v>
      </c>
      <c r="V49" s="18" t="n">
        <v>12110</v>
      </c>
      <c r="W49" s="24" t="n">
        <v>1210</v>
      </c>
      <c r="X49" s="18" t="n">
        <v>9764</v>
      </c>
      <c r="Y49" s="18" t="n">
        <v>8300</v>
      </c>
      <c r="Z49" s="18" t="n">
        <v>-1464</v>
      </c>
      <c r="AA49" s="18" t="n">
        <v>9293</v>
      </c>
      <c r="AB49" s="18" t="n">
        <v>11331</v>
      </c>
      <c r="AC49" s="24" t="n">
        <v>2038</v>
      </c>
      <c r="AD49" s="18" t="n">
        <v>10100</v>
      </c>
      <c r="AE49" s="18" t="n">
        <v>8582</v>
      </c>
      <c r="AF49" s="18" t="n">
        <v>-1518</v>
      </c>
      <c r="AG49" s="18" t="n">
        <v>9074</v>
      </c>
      <c r="AH49" s="18" t="n">
        <v>9479</v>
      </c>
      <c r="AI49" s="24" t="n">
        <v>405</v>
      </c>
      <c r="AJ49" s="18" t="n">
        <v>13054</v>
      </c>
      <c r="AK49" s="18" t="n">
        <v>13271</v>
      </c>
      <c r="AL49" s="24" t="n">
        <v>217</v>
      </c>
    </row>
    <row r="50">
      <c r="B50" s="4" t="inlineStr">
        <is>
          <t>折旧费</t>
        </is>
      </c>
      <c r="C50" s="18" t="n">
        <v>6552</v>
      </c>
      <c r="D50" s="18" t="n">
        <v>7171</v>
      </c>
      <c r="E50" s="24" t="n">
        <v>619</v>
      </c>
      <c r="F50" s="18" t="n">
        <v>5881</v>
      </c>
      <c r="G50" s="18" t="n">
        <v>5559</v>
      </c>
      <c r="H50" s="18" t="n">
        <v>-322</v>
      </c>
      <c r="I50" s="18" t="n">
        <v>7309</v>
      </c>
      <c r="J50" s="18" t="n">
        <v>6149</v>
      </c>
      <c r="K50" s="18" t="n">
        <v>-1160</v>
      </c>
      <c r="L50" s="18" t="n">
        <v>7629</v>
      </c>
      <c r="M50" s="18" t="n">
        <v>9241</v>
      </c>
      <c r="N50" s="24" t="n">
        <v>1612</v>
      </c>
      <c r="O50" s="18" t="n">
        <v>7634</v>
      </c>
      <c r="P50" s="18" t="n">
        <v>7833</v>
      </c>
      <c r="Q50" s="24" t="n">
        <v>199</v>
      </c>
      <c r="R50" s="18" t="n">
        <v>8931</v>
      </c>
      <c r="S50" s="18" t="n">
        <v>11551</v>
      </c>
      <c r="T50" s="24" t="n">
        <v>2620</v>
      </c>
      <c r="U50" s="18" t="n">
        <v>10288</v>
      </c>
      <c r="V50" s="18" t="n">
        <v>12343</v>
      </c>
      <c r="W50" s="24" t="n">
        <v>2055</v>
      </c>
      <c r="X50" s="18" t="n">
        <v>8252</v>
      </c>
      <c r="Y50" s="18" t="n">
        <v>8255</v>
      </c>
      <c r="Z50" s="24" t="n">
        <v>3</v>
      </c>
      <c r="AA50" s="18" t="n">
        <v>7739</v>
      </c>
      <c r="AB50" s="18" t="n">
        <v>9592</v>
      </c>
      <c r="AC50" s="24" t="n">
        <v>1853</v>
      </c>
      <c r="AD50" s="18" t="n">
        <v>8556</v>
      </c>
      <c r="AE50" s="18" t="n">
        <v>11098</v>
      </c>
      <c r="AF50" s="24" t="n">
        <v>2542</v>
      </c>
      <c r="AG50" s="18" t="n">
        <v>7423</v>
      </c>
      <c r="AH50" s="18" t="n">
        <v>7378</v>
      </c>
      <c r="AI50" s="18" t="n">
        <v>-45</v>
      </c>
      <c r="AJ50" s="18" t="n">
        <v>10483</v>
      </c>
      <c r="AK50" s="18" t="n">
        <v>11846</v>
      </c>
      <c r="AL50" s="24" t="n">
        <v>1363</v>
      </c>
    </row>
    <row r="51">
      <c r="B51" s="6" t="inlineStr">
        <is>
          <t>小计</t>
        </is>
      </c>
      <c r="C51" s="19" t="n">
        <v>71347</v>
      </c>
      <c r="D51" s="19" t="n">
        <v>82033</v>
      </c>
      <c r="E51" s="19" t="n">
        <v>10686</v>
      </c>
      <c r="F51" s="19" t="n">
        <v>63436</v>
      </c>
      <c r="G51" s="19" t="n">
        <v>67809</v>
      </c>
      <c r="H51" s="19" t="n">
        <v>4373</v>
      </c>
      <c r="I51" s="19" t="n">
        <v>79929</v>
      </c>
      <c r="J51" s="19" t="n">
        <v>61525</v>
      </c>
      <c r="K51" s="19" t="n">
        <v>-18404</v>
      </c>
      <c r="L51" s="19" t="n">
        <v>89834</v>
      </c>
      <c r="M51" s="19" t="n">
        <v>92180</v>
      </c>
      <c r="N51" s="19" t="n">
        <v>2346</v>
      </c>
      <c r="O51" s="19" t="n">
        <v>88962</v>
      </c>
      <c r="P51" s="19" t="n">
        <v>99775</v>
      </c>
      <c r="Q51" s="19" t="n">
        <v>10813</v>
      </c>
      <c r="R51" s="19" t="n">
        <v>96540</v>
      </c>
      <c r="S51" s="19" t="n">
        <v>92744</v>
      </c>
      <c r="T51" s="19" t="n">
        <v>-3796</v>
      </c>
      <c r="U51" s="19" t="n">
        <v>109775</v>
      </c>
      <c r="V51" s="19" t="n">
        <v>115993</v>
      </c>
      <c r="W51" s="19" t="n">
        <v>6218</v>
      </c>
      <c r="X51" s="19" t="n">
        <v>84801</v>
      </c>
      <c r="Y51" s="19" t="n">
        <v>93717</v>
      </c>
      <c r="Z51" s="19" t="n">
        <v>8916</v>
      </c>
      <c r="AA51" s="19" t="n">
        <v>83530</v>
      </c>
      <c r="AB51" s="19" t="n">
        <v>95243</v>
      </c>
      <c r="AC51" s="19" t="n">
        <v>11713</v>
      </c>
      <c r="AD51" s="19" t="n">
        <v>102264</v>
      </c>
      <c r="AE51" s="19" t="n">
        <v>105477</v>
      </c>
      <c r="AF51" s="19" t="n">
        <v>3213</v>
      </c>
      <c r="AG51" s="19" t="n">
        <v>89426</v>
      </c>
      <c r="AH51" s="19" t="n">
        <v>87115</v>
      </c>
      <c r="AI51" s="19" t="n">
        <v>-2311</v>
      </c>
      <c r="AJ51" s="19" t="n">
        <v>121818</v>
      </c>
      <c r="AK51" s="19" t="n">
        <v>123678</v>
      </c>
      <c r="AL51" s="19" t="n">
        <v>1860</v>
      </c>
    </row>
  </sheetData>
  <mergeCells count="23">
    <mergeCell ref="U2:W2"/>
    <mergeCell ref="AG2:AI2"/>
    <mergeCell ref="A40:A45"/>
    <mergeCell ref="F2:H2"/>
    <mergeCell ref="B2:B3"/>
    <mergeCell ref="C2:E2"/>
    <mergeCell ref="AD2:AF2"/>
    <mergeCell ref="A1:AL1"/>
    <mergeCell ref="A16:A21"/>
    <mergeCell ref="A2:A3"/>
    <mergeCell ref="O2:Q2"/>
    <mergeCell ref="AA2:AC2"/>
    <mergeCell ref="R2:T2"/>
    <mergeCell ref="A46:A51"/>
    <mergeCell ref="L2:N2"/>
    <mergeCell ref="X2:Z2"/>
    <mergeCell ref="A22:A27"/>
    <mergeCell ref="AJ2:AL2"/>
    <mergeCell ref="I2:K2"/>
    <mergeCell ref="A4:A9"/>
    <mergeCell ref="A34:A39"/>
    <mergeCell ref="A10:A15"/>
    <mergeCell ref="A28:A3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江苏美鑫食品科技有限公司现金流量表</t>
        </is>
      </c>
    </row>
    <row r="2">
      <c r="A2" s="17" t="inlineStr">
        <is>
          <t>2025年度</t>
        </is>
      </c>
      <c r="G2" t="inlineStr">
        <is>
          <t>单位：元</t>
        </is>
      </c>
    </row>
    <row r="3">
      <c r="A3" s="2" t="inlineStr">
        <is>
          <t>项目</t>
        </is>
      </c>
      <c r="B3" s="2" t="inlineStr">
        <is>
          <t>行次</t>
        </is>
      </c>
      <c r="C3" s="2" t="inlineStr">
        <is>
          <t>Q1</t>
        </is>
      </c>
      <c r="D3" s="2" t="inlineStr">
        <is>
          <t>Q2</t>
        </is>
      </c>
      <c r="E3" s="2" t="inlineStr">
        <is>
          <t>Q3</t>
        </is>
      </c>
      <c r="F3" s="2" t="inlineStr">
        <is>
          <t>Q4</t>
        </is>
      </c>
      <c r="G3" s="2" t="inlineStr">
        <is>
          <t>全年合计</t>
        </is>
      </c>
    </row>
    <row r="4">
      <c r="A4" s="6" t="inlineStr">
        <is>
          <t>一、经营活动产生的现金流量</t>
        </is>
      </c>
    </row>
    <row r="5">
      <c r="A5" s="4" t="inlineStr">
        <is>
          <t>销售商品、提供劳务收到的现金</t>
        </is>
      </c>
      <c r="B5" s="3" t="n">
        <v>1</v>
      </c>
      <c r="C5" s="15" t="n">
        <v>4681133.79</v>
      </c>
      <c r="D5" s="15" t="n">
        <v>8559632.9</v>
      </c>
      <c r="E5" s="15" t="n">
        <v>5133474.31</v>
      </c>
      <c r="F5" s="15" t="n">
        <v>17208393.19</v>
      </c>
      <c r="G5" s="15" t="n">
        <v>35582634.19</v>
      </c>
    </row>
    <row r="6">
      <c r="A6" s="4" t="inlineStr">
        <is>
          <t>收到的税费返还</t>
        </is>
      </c>
      <c r="B6" s="3" t="n">
        <v>2</v>
      </c>
      <c r="C6" s="15" t="n">
        <v>27357109.21</v>
      </c>
      <c r="D6" s="15" t="n">
        <v>27887557.74</v>
      </c>
      <c r="E6" s="15" t="n">
        <v>21274899.24</v>
      </c>
      <c r="F6" s="15" t="n">
        <v>39604059.23</v>
      </c>
      <c r="G6" s="15" t="n">
        <v>116123625.42</v>
      </c>
    </row>
    <row r="7">
      <c r="A7" s="4" t="inlineStr">
        <is>
          <t>收到其他与经营活动有关的现金</t>
        </is>
      </c>
      <c r="B7" s="3" t="n">
        <v>3</v>
      </c>
      <c r="C7" s="15" t="n">
        <v>22100655.06</v>
      </c>
      <c r="D7" s="15" t="n">
        <v>18827062.37</v>
      </c>
      <c r="E7" s="15" t="n">
        <v>2862574.8</v>
      </c>
      <c r="F7" s="15" t="n">
        <v>7313129.66</v>
      </c>
      <c r="G7" s="15" t="n">
        <v>51103421.89</v>
      </c>
    </row>
    <row r="8">
      <c r="A8" s="6" t="inlineStr">
        <is>
          <t>经营活动现金流入小计</t>
        </is>
      </c>
      <c r="B8" s="3" t="n">
        <v>4</v>
      </c>
      <c r="C8" s="16" t="n">
        <v>8724638.380000001</v>
      </c>
      <c r="D8" s="16" t="n">
        <v>6886662.01</v>
      </c>
      <c r="E8" s="16" t="n">
        <v>2460016.24</v>
      </c>
      <c r="F8" s="16" t="n">
        <v>16063339.96</v>
      </c>
      <c r="G8" s="16" t="n">
        <v>34134656.59</v>
      </c>
    </row>
    <row r="9">
      <c r="A9" s="4" t="inlineStr">
        <is>
          <t>购买商品、接受劳务支付的现金</t>
        </is>
      </c>
      <c r="B9" s="3" t="n">
        <v>5</v>
      </c>
      <c r="C9" s="15" t="n">
        <v>-16507079.24</v>
      </c>
      <c r="D9" s="15" t="n">
        <v>-25944983.78</v>
      </c>
      <c r="E9" s="15" t="n">
        <v>-10994729.52</v>
      </c>
      <c r="F9" s="15" t="n">
        <v>-28488111.1</v>
      </c>
      <c r="G9" s="15" t="n">
        <v>-81934903.64</v>
      </c>
    </row>
    <row r="10">
      <c r="A10" s="4" t="inlineStr">
        <is>
          <t>支付给职工以及为职工支付的现金</t>
        </is>
      </c>
      <c r="B10" s="3" t="n">
        <v>6</v>
      </c>
      <c r="C10" s="15" t="n">
        <v>-10627817.46</v>
      </c>
      <c r="D10" s="15" t="n">
        <v>-19561236.32</v>
      </c>
      <c r="E10" s="15" t="n">
        <v>-2041382</v>
      </c>
      <c r="F10" s="15" t="n">
        <v>-28989071.65</v>
      </c>
      <c r="G10" s="15" t="n">
        <v>-61219507.43</v>
      </c>
    </row>
    <row r="11">
      <c r="A11" s="4" t="inlineStr">
        <is>
          <t>支付的各项税费</t>
        </is>
      </c>
      <c r="B11" s="3" t="n">
        <v>7</v>
      </c>
      <c r="C11" s="15" t="n">
        <v>-12208659.78</v>
      </c>
      <c r="D11" s="15" t="n">
        <v>-22085867.34</v>
      </c>
      <c r="E11" s="15" t="n">
        <v>-12816920.68</v>
      </c>
      <c r="F11" s="15" t="n">
        <v>-21592433.87</v>
      </c>
      <c r="G11" s="15" t="n">
        <v>-68703881.67</v>
      </c>
    </row>
    <row r="12">
      <c r="A12" s="4" t="inlineStr">
        <is>
          <t>支付其他与经营活动有关的现金</t>
        </is>
      </c>
      <c r="B12" s="3" t="n">
        <v>8</v>
      </c>
      <c r="C12" s="15" t="n">
        <v>-3257611.07</v>
      </c>
      <c r="D12" s="15" t="n">
        <v>-4587332.75</v>
      </c>
      <c r="E12" s="15" t="n">
        <v>-10814050.19</v>
      </c>
      <c r="F12" s="15" t="n">
        <v>-11681467.69</v>
      </c>
      <c r="G12" s="15" t="n">
        <v>-30340461.7</v>
      </c>
    </row>
    <row r="13">
      <c r="A13" s="6" t="inlineStr">
        <is>
          <t>经营活动现金流出小计</t>
        </is>
      </c>
      <c r="B13" s="3" t="n">
        <v>9</v>
      </c>
      <c r="C13" s="16" t="n">
        <v>18038125.3</v>
      </c>
      <c r="D13" s="16" t="n">
        <v>14122700.31</v>
      </c>
      <c r="E13" s="16" t="n">
        <v>-5070969.11</v>
      </c>
      <c r="F13" s="16" t="n">
        <v>17100887.54</v>
      </c>
      <c r="G13" s="16" t="n">
        <v>44190744.04</v>
      </c>
    </row>
    <row r="14">
      <c r="A14" s="6" t="inlineStr">
        <is>
          <t>经营活动产生的现金流量净额</t>
        </is>
      </c>
      <c r="B14" s="3" t="n">
        <v>10</v>
      </c>
      <c r="C14" s="16" t="n">
        <v>-6022350.01</v>
      </c>
      <c r="D14" s="16" t="n">
        <v>5780703.07</v>
      </c>
      <c r="E14" s="16" t="n">
        <v>11897734.78</v>
      </c>
      <c r="F14" s="16" t="n">
        <v>12155635.61</v>
      </c>
      <c r="G14" s="16" t="n">
        <v>23811723.45</v>
      </c>
    </row>
    <row r="15">
      <c r="A15" s="6" t="inlineStr">
        <is>
          <t>二、投资活动产生的现金流量</t>
        </is>
      </c>
    </row>
    <row r="16">
      <c r="A16" s="4" t="inlineStr">
        <is>
          <t>收回投资收到的现金</t>
        </is>
      </c>
      <c r="B16" s="3" t="n">
        <v>11</v>
      </c>
      <c r="C16" s="15" t="n">
        <v>11485441.42</v>
      </c>
      <c r="D16" s="15" t="n">
        <v>9146068.109999999</v>
      </c>
      <c r="E16" s="15" t="n">
        <v>18228811.26</v>
      </c>
      <c r="F16" s="15" t="n">
        <v>1785970.71</v>
      </c>
      <c r="G16" s="15" t="n">
        <v>40646291.5</v>
      </c>
    </row>
    <row r="17">
      <c r="A17" s="4" t="inlineStr">
        <is>
          <t>取得投资收益收到的现金</t>
        </is>
      </c>
      <c r="B17" s="3" t="n">
        <v>12</v>
      </c>
      <c r="C17" s="15" t="n">
        <v>22515981.71</v>
      </c>
      <c r="D17" s="15" t="n">
        <v>33373513.13</v>
      </c>
      <c r="E17" s="15" t="n">
        <v>39912024.5</v>
      </c>
      <c r="F17" s="15" t="n">
        <v>5643640.74</v>
      </c>
      <c r="G17" s="15" t="n">
        <v>101445160.08</v>
      </c>
    </row>
    <row r="18">
      <c r="A18" s="4" t="inlineStr">
        <is>
          <t>处置固定资产、无形资产收到的现金净额</t>
        </is>
      </c>
      <c r="B18" s="3" t="n">
        <v>13</v>
      </c>
      <c r="C18" s="15" t="n">
        <v>16743760.14</v>
      </c>
      <c r="D18" s="15" t="n">
        <v>17562803.84</v>
      </c>
      <c r="E18" s="15" t="n">
        <v>14723468.67</v>
      </c>
      <c r="F18" s="15" t="n">
        <v>38237446.3</v>
      </c>
      <c r="G18" s="15" t="n">
        <v>87267478.95</v>
      </c>
    </row>
    <row r="19">
      <c r="A19" s="6" t="inlineStr">
        <is>
          <t>投资活动现金流入小计</t>
        </is>
      </c>
      <c r="B19" s="3" t="n">
        <v>14</v>
      </c>
      <c r="C19" s="16" t="n">
        <v>14159142.01</v>
      </c>
      <c r="D19" s="16" t="n">
        <v>-3453126.6</v>
      </c>
      <c r="E19" s="16" t="n">
        <v>18488528.35</v>
      </c>
      <c r="F19" s="16" t="n">
        <v>-266657.26</v>
      </c>
      <c r="G19" s="16" t="n">
        <v>28927886.5</v>
      </c>
    </row>
    <row r="20">
      <c r="A20" s="4" t="inlineStr">
        <is>
          <t>购建固定资产、无形资产支付的现金</t>
        </is>
      </c>
      <c r="B20" s="3" t="n">
        <v>15</v>
      </c>
      <c r="C20" s="15" t="n">
        <v>-20777669.31</v>
      </c>
      <c r="D20" s="15" t="n">
        <v>-2531684.66</v>
      </c>
      <c r="E20" s="15" t="n">
        <v>-9375778.68</v>
      </c>
      <c r="F20" s="15" t="n">
        <v>-21238676.37</v>
      </c>
      <c r="G20" s="15" t="n">
        <v>-53923809.02</v>
      </c>
    </row>
    <row r="21">
      <c r="A21" s="4" t="inlineStr">
        <is>
          <t>投资支付的现金</t>
        </is>
      </c>
      <c r="B21" s="3" t="n">
        <v>16</v>
      </c>
      <c r="C21" s="15" t="n">
        <v>-11506334.31</v>
      </c>
      <c r="D21" s="15" t="n">
        <v>-8614796.390000001</v>
      </c>
      <c r="E21" s="15" t="n">
        <v>-4195690.24</v>
      </c>
      <c r="F21" s="15" t="n">
        <v>-14852573.55</v>
      </c>
      <c r="G21" s="15" t="n">
        <v>-39169394.49</v>
      </c>
    </row>
    <row r="22">
      <c r="A22" s="6" t="inlineStr">
        <is>
          <t>投资活动现金流出小计</t>
        </is>
      </c>
      <c r="B22" s="3" t="n">
        <v>17</v>
      </c>
      <c r="C22" s="16" t="n">
        <v>3983431.07</v>
      </c>
      <c r="D22" s="16" t="n">
        <v>3660027.63</v>
      </c>
      <c r="E22" s="16" t="n">
        <v>-5108311.64</v>
      </c>
      <c r="F22" s="16" t="n">
        <v>-700074.3199999999</v>
      </c>
      <c r="G22" s="16" t="n">
        <v>1835072.74</v>
      </c>
    </row>
    <row r="23">
      <c r="A23" s="6" t="inlineStr">
        <is>
          <t>投资活动产生的现金流量净额</t>
        </is>
      </c>
      <c r="B23" s="3" t="n">
        <v>18</v>
      </c>
      <c r="C23" s="16" t="n">
        <v>3748048.46</v>
      </c>
      <c r="D23" s="16" t="n">
        <v>16165812.67</v>
      </c>
      <c r="E23" s="16" t="n">
        <v>17739425.37</v>
      </c>
      <c r="F23" s="16" t="n">
        <v>2217424.62</v>
      </c>
      <c r="G23" s="16" t="n">
        <v>39870711.12</v>
      </c>
    </row>
    <row r="24">
      <c r="A24" s="6" t="inlineStr">
        <is>
          <t>三、筹资活动产生的现金流量</t>
        </is>
      </c>
    </row>
    <row r="25">
      <c r="A25" s="4" t="inlineStr">
        <is>
          <t>吸收投资收到的现金</t>
        </is>
      </c>
      <c r="B25" s="3" t="n">
        <v>19</v>
      </c>
      <c r="C25" s="15" t="n">
        <v>1623626.08</v>
      </c>
      <c r="D25" s="15" t="n">
        <v>28562835.06</v>
      </c>
      <c r="E25" s="15" t="n">
        <v>11231877.87</v>
      </c>
      <c r="F25" s="15" t="n">
        <v>14199802.88</v>
      </c>
      <c r="G25" s="15" t="n">
        <v>55618141.89</v>
      </c>
    </row>
    <row r="26">
      <c r="A26" s="4" t="inlineStr">
        <is>
          <t>取得借款收到的现金</t>
        </is>
      </c>
      <c r="B26" s="3" t="n">
        <v>20</v>
      </c>
      <c r="C26" s="15" t="n">
        <v>10685619.87</v>
      </c>
      <c r="D26" s="15" t="n">
        <v>16316570.85</v>
      </c>
      <c r="E26" s="15" t="n">
        <v>38407447.01</v>
      </c>
      <c r="F26" s="15" t="n">
        <v>36597562.19</v>
      </c>
      <c r="G26" s="15" t="n">
        <v>102007199.92</v>
      </c>
    </row>
    <row r="27">
      <c r="A27" s="6" t="inlineStr">
        <is>
          <t>筹资活动现金流入小计</t>
        </is>
      </c>
      <c r="B27" s="3" t="n">
        <v>21</v>
      </c>
      <c r="C27" s="16" t="n">
        <v>10486502.68</v>
      </c>
      <c r="D27" s="16" t="n">
        <v>3833934.28</v>
      </c>
      <c r="E27" s="16" t="n">
        <v>15852515.17</v>
      </c>
      <c r="F27" s="16" t="n">
        <v>12288496.11</v>
      </c>
      <c r="G27" s="16" t="n">
        <v>42461448.24</v>
      </c>
    </row>
    <row r="28">
      <c r="A28" s="4" t="inlineStr">
        <is>
          <t>偿还债务支付的现金</t>
        </is>
      </c>
      <c r="B28" s="3" t="n">
        <v>22</v>
      </c>
      <c r="C28" s="15" t="n">
        <v>-4402961.26</v>
      </c>
      <c r="D28" s="15" t="n">
        <v>-22700534.49</v>
      </c>
      <c r="E28" s="15" t="n">
        <v>-5035316.26</v>
      </c>
      <c r="F28" s="15" t="n">
        <v>-1610058.29</v>
      </c>
      <c r="G28" s="15" t="n">
        <v>-33748870.3</v>
      </c>
    </row>
    <row r="29">
      <c r="A29" s="4" t="inlineStr">
        <is>
          <t>分配股利、利润或偿付利息支付的现金</t>
        </is>
      </c>
      <c r="B29" s="3" t="n">
        <v>23</v>
      </c>
      <c r="C29" s="15" t="n">
        <v>-23761159.93</v>
      </c>
      <c r="D29" s="15" t="n">
        <v>-28019152.56</v>
      </c>
      <c r="E29" s="15" t="n">
        <v>-28930827.69</v>
      </c>
      <c r="F29" s="15" t="n">
        <v>-31280391.64</v>
      </c>
      <c r="G29" s="15" t="n">
        <v>-111991531.82</v>
      </c>
    </row>
    <row r="30">
      <c r="A30" s="6" t="inlineStr">
        <is>
          <t>筹资活动现金流出小计</t>
        </is>
      </c>
      <c r="B30" s="3" t="n">
        <v>24</v>
      </c>
      <c r="C30" s="16" t="n">
        <v>16634610.42</v>
      </c>
      <c r="D30" s="16" t="n">
        <v>7408311.07</v>
      </c>
      <c r="E30" s="16" t="n">
        <v>-5147012.38</v>
      </c>
      <c r="F30" s="16" t="n">
        <v>8129432.89</v>
      </c>
      <c r="G30" s="16" t="n">
        <v>27025342</v>
      </c>
    </row>
    <row r="31">
      <c r="A31" s="6" t="inlineStr">
        <is>
          <t>筹资活动产生的现金流量净额</t>
        </is>
      </c>
      <c r="B31" s="3" t="n">
        <v>25</v>
      </c>
      <c r="C31" s="16" t="n">
        <v>1709821.16</v>
      </c>
      <c r="D31" s="16" t="n">
        <v>17465453.7</v>
      </c>
      <c r="E31" s="16" t="n">
        <v>12911374.69</v>
      </c>
      <c r="F31" s="16" t="n">
        <v>17824647.46</v>
      </c>
      <c r="G31" s="16" t="n">
        <v>49911297.01</v>
      </c>
    </row>
    <row r="32">
      <c r="A32" s="4" t="inlineStr">
        <is>
          <t>四、汇率变动对现金的影响</t>
        </is>
      </c>
      <c r="B32" s="3" t="n">
        <v>26</v>
      </c>
      <c r="C32" s="15" t="n">
        <v>-416770.91</v>
      </c>
      <c r="D32" s="15" t="n">
        <v>22550.03</v>
      </c>
      <c r="E32" s="15" t="n">
        <v>349392.1</v>
      </c>
      <c r="F32" s="15" t="n">
        <v>-46360.01</v>
      </c>
      <c r="G32" s="15" t="n">
        <v>-91188.78999999999</v>
      </c>
    </row>
    <row r="33">
      <c r="A33" s="6" t="inlineStr">
        <is>
          <t>五、现金及现金等价物净增加额</t>
        </is>
      </c>
      <c r="B33" s="3" t="n">
        <v>27</v>
      </c>
      <c r="C33" s="16" t="n">
        <v>10825070.46</v>
      </c>
      <c r="D33" s="16" t="n">
        <v>-1170829.94</v>
      </c>
      <c r="E33" s="16" t="n">
        <v>-1723778.66</v>
      </c>
      <c r="F33" s="16" t="n">
        <v>-224133.56</v>
      </c>
      <c r="G33" s="16" t="n">
        <v>7706328.3</v>
      </c>
    </row>
    <row r="34">
      <c r="A34" s="4" t="inlineStr">
        <is>
          <t>加：期初现金及现金等价物余额</t>
        </is>
      </c>
      <c r="B34" s="3" t="n">
        <v>28</v>
      </c>
      <c r="C34" s="15" t="n">
        <v>299438.13</v>
      </c>
      <c r="D34" s="15" t="n">
        <v>-312376.69</v>
      </c>
      <c r="E34" s="15" t="n">
        <v>303462.86</v>
      </c>
      <c r="F34" s="15" t="n">
        <v>260240.69</v>
      </c>
      <c r="G34" s="15" t="n">
        <v>550764.99</v>
      </c>
    </row>
    <row r="35">
      <c r="A35" s="6" t="inlineStr">
        <is>
          <t>六、期末现金及现金等价物余额</t>
        </is>
      </c>
      <c r="B35" s="3" t="n">
        <v>29</v>
      </c>
      <c r="C35" s="16" t="n">
        <v>16529365.62</v>
      </c>
      <c r="D35" s="16" t="n">
        <v>-5763952.15</v>
      </c>
      <c r="E35" s="16" t="n">
        <v>15195134.69</v>
      </c>
      <c r="F35" s="16" t="n">
        <v>559425.85</v>
      </c>
      <c r="G35" s="16" t="n">
        <v>26519974.01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P5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</cols>
  <sheetData>
    <row r="1">
      <c r="B1" s="2" t="inlineStr">
        <is>
          <t>华东</t>
        </is>
      </c>
      <c r="Z1" s="2" t="inlineStr">
        <is>
          <t>华北</t>
        </is>
      </c>
      <c r="AX1" s="2" t="inlineStr">
        <is>
          <t>华南</t>
        </is>
      </c>
      <c r="BV1" s="2" t="inlineStr">
        <is>
          <t>西南</t>
        </is>
      </c>
    </row>
    <row r="2">
      <c r="B2" s="2" t="inlineStr">
        <is>
          <t>Q1</t>
        </is>
      </c>
      <c r="H2" s="2" t="inlineStr">
        <is>
          <t>Q2</t>
        </is>
      </c>
      <c r="N2" s="2" t="inlineStr">
        <is>
          <t>Q3</t>
        </is>
      </c>
      <c r="T2" s="2" t="inlineStr">
        <is>
          <t>Q4</t>
        </is>
      </c>
      <c r="Z2" s="2" t="inlineStr">
        <is>
          <t>Q1</t>
        </is>
      </c>
      <c r="AF2" s="2" t="inlineStr">
        <is>
          <t>Q2</t>
        </is>
      </c>
      <c r="AL2" s="2" t="inlineStr">
        <is>
          <t>Q3</t>
        </is>
      </c>
      <c r="AR2" s="2" t="inlineStr">
        <is>
          <t>Q4</t>
        </is>
      </c>
      <c r="AX2" s="2" t="inlineStr">
        <is>
          <t>Q1</t>
        </is>
      </c>
      <c r="BD2" s="2" t="inlineStr">
        <is>
          <t>Q2</t>
        </is>
      </c>
      <c r="BJ2" s="2" t="inlineStr">
        <is>
          <t>Q3</t>
        </is>
      </c>
      <c r="BP2" s="2" t="inlineStr">
        <is>
          <t>Q4</t>
        </is>
      </c>
      <c r="BV2" s="2" t="inlineStr">
        <is>
          <t>Q1</t>
        </is>
      </c>
      <c r="CB2" s="2" t="inlineStr">
        <is>
          <t>Q2</t>
        </is>
      </c>
      <c r="CH2" s="2" t="inlineStr">
        <is>
          <t>Q3</t>
        </is>
      </c>
      <c r="CN2" s="2" t="inlineStr">
        <is>
          <t>Q4</t>
        </is>
      </c>
      <c r="CT2" s="2" t="inlineStr">
        <is>
          <t>Q1</t>
        </is>
      </c>
      <c r="CZ2" s="2" t="inlineStr">
        <is>
          <t>Q2</t>
        </is>
      </c>
      <c r="DF2" s="2" t="inlineStr">
        <is>
          <t>Q3</t>
        </is>
      </c>
    </row>
    <row r="3">
      <c r="A3" s="2" t="inlineStr">
        <is>
          <t>产品</t>
        </is>
      </c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费用</t>
        </is>
      </c>
      <c r="F3" s="2" t="inlineStr">
        <is>
          <t>净利</t>
        </is>
      </c>
      <c r="G3" s="2" t="inlineStr">
        <is>
          <t>预算</t>
        </is>
      </c>
      <c r="H3" s="2" t="inlineStr">
        <is>
          <t>收入</t>
        </is>
      </c>
      <c r="I3" s="2" t="inlineStr">
        <is>
          <t>成本</t>
        </is>
      </c>
      <c r="J3" s="2" t="inlineStr">
        <is>
          <t>毛利</t>
        </is>
      </c>
      <c r="K3" s="2" t="inlineStr">
        <is>
          <t>费用</t>
        </is>
      </c>
      <c r="L3" s="2" t="inlineStr">
        <is>
          <t>净利</t>
        </is>
      </c>
      <c r="M3" s="2" t="inlineStr">
        <is>
          <t>预算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费用</t>
        </is>
      </c>
      <c r="R3" s="2" t="inlineStr">
        <is>
          <t>净利</t>
        </is>
      </c>
      <c r="S3" s="2" t="inlineStr">
        <is>
          <t>预算</t>
        </is>
      </c>
      <c r="T3" s="2" t="inlineStr">
        <is>
          <t>收入</t>
        </is>
      </c>
      <c r="U3" s="2" t="inlineStr">
        <is>
          <t>成本</t>
        </is>
      </c>
      <c r="V3" s="2" t="inlineStr">
        <is>
          <t>毛利</t>
        </is>
      </c>
      <c r="W3" s="2" t="inlineStr">
        <is>
          <t>费用</t>
        </is>
      </c>
      <c r="X3" s="2" t="inlineStr">
        <is>
          <t>净利</t>
        </is>
      </c>
      <c r="Y3" s="2" t="inlineStr">
        <is>
          <t>预算</t>
        </is>
      </c>
      <c r="Z3" s="2" t="inlineStr">
        <is>
          <t>收入</t>
        </is>
      </c>
      <c r="AA3" s="2" t="inlineStr">
        <is>
          <t>成本</t>
        </is>
      </c>
      <c r="AB3" s="2" t="inlineStr">
        <is>
          <t>毛利</t>
        </is>
      </c>
      <c r="AC3" s="2" t="inlineStr">
        <is>
          <t>费用</t>
        </is>
      </c>
      <c r="AD3" s="2" t="inlineStr">
        <is>
          <t>净利</t>
        </is>
      </c>
      <c r="AE3" s="2" t="inlineStr">
        <is>
          <t>预算</t>
        </is>
      </c>
      <c r="AF3" s="2" t="inlineStr">
        <is>
          <t>收入</t>
        </is>
      </c>
      <c r="AG3" s="2" t="inlineStr">
        <is>
          <t>成本</t>
        </is>
      </c>
      <c r="AH3" s="2" t="inlineStr">
        <is>
          <t>毛利</t>
        </is>
      </c>
      <c r="AI3" s="2" t="inlineStr">
        <is>
          <t>费用</t>
        </is>
      </c>
      <c r="AJ3" s="2" t="inlineStr">
        <is>
          <t>净利</t>
        </is>
      </c>
      <c r="AK3" s="2" t="inlineStr">
        <is>
          <t>预算</t>
        </is>
      </c>
      <c r="AL3" s="2" t="inlineStr">
        <is>
          <t>收入</t>
        </is>
      </c>
      <c r="AM3" s="2" t="inlineStr">
        <is>
          <t>成本</t>
        </is>
      </c>
      <c r="AN3" s="2" t="inlineStr">
        <is>
          <t>毛利</t>
        </is>
      </c>
      <c r="AO3" s="2" t="inlineStr">
        <is>
          <t>费用</t>
        </is>
      </c>
      <c r="AP3" s="2" t="inlineStr">
        <is>
          <t>净利</t>
        </is>
      </c>
      <c r="AQ3" s="2" t="inlineStr">
        <is>
          <t>预算</t>
        </is>
      </c>
      <c r="AR3" s="2" t="inlineStr">
        <is>
          <t>收入</t>
        </is>
      </c>
      <c r="AS3" s="2" t="inlineStr">
        <is>
          <t>成本</t>
        </is>
      </c>
      <c r="AT3" s="2" t="inlineStr">
        <is>
          <t>毛利</t>
        </is>
      </c>
      <c r="AU3" s="2" t="inlineStr">
        <is>
          <t>费用</t>
        </is>
      </c>
      <c r="AV3" s="2" t="inlineStr">
        <is>
          <t>净利</t>
        </is>
      </c>
      <c r="AW3" s="2" t="inlineStr">
        <is>
          <t>预算</t>
        </is>
      </c>
      <c r="AX3" s="2" t="inlineStr">
        <is>
          <t>收入</t>
        </is>
      </c>
      <c r="AY3" s="2" t="inlineStr">
        <is>
          <t>成本</t>
        </is>
      </c>
      <c r="AZ3" s="2" t="inlineStr">
        <is>
          <t>毛利</t>
        </is>
      </c>
      <c r="BA3" s="2" t="inlineStr">
        <is>
          <t>费用</t>
        </is>
      </c>
      <c r="BB3" s="2" t="inlineStr">
        <is>
          <t>净利</t>
        </is>
      </c>
      <c r="BC3" s="2" t="inlineStr">
        <is>
          <t>预算</t>
        </is>
      </c>
      <c r="BD3" s="2" t="inlineStr">
        <is>
          <t>收入</t>
        </is>
      </c>
      <c r="BE3" s="2" t="inlineStr">
        <is>
          <t>成本</t>
        </is>
      </c>
      <c r="BF3" s="2" t="inlineStr">
        <is>
          <t>毛利</t>
        </is>
      </c>
      <c r="BG3" s="2" t="inlineStr">
        <is>
          <t>费用</t>
        </is>
      </c>
      <c r="BH3" s="2" t="inlineStr">
        <is>
          <t>净利</t>
        </is>
      </c>
      <c r="BI3" s="2" t="inlineStr">
        <is>
          <t>预算</t>
        </is>
      </c>
      <c r="BJ3" s="2" t="inlineStr">
        <is>
          <t>收入</t>
        </is>
      </c>
      <c r="BK3" s="2" t="inlineStr">
        <is>
          <t>成本</t>
        </is>
      </c>
      <c r="BL3" s="2" t="inlineStr">
        <is>
          <t>毛利</t>
        </is>
      </c>
      <c r="BM3" s="2" t="inlineStr">
        <is>
          <t>费用</t>
        </is>
      </c>
      <c r="BN3" s="2" t="inlineStr">
        <is>
          <t>净利</t>
        </is>
      </c>
      <c r="BO3" s="2" t="inlineStr">
        <is>
          <t>预算</t>
        </is>
      </c>
      <c r="BP3" s="2" t="inlineStr">
        <is>
          <t>收入</t>
        </is>
      </c>
      <c r="BQ3" s="2" t="inlineStr">
        <is>
          <t>成本</t>
        </is>
      </c>
      <c r="BR3" s="2" t="inlineStr">
        <is>
          <t>毛利</t>
        </is>
      </c>
      <c r="BS3" s="2" t="inlineStr">
        <is>
          <t>费用</t>
        </is>
      </c>
      <c r="BT3" s="2" t="inlineStr">
        <is>
          <t>净利</t>
        </is>
      </c>
      <c r="BU3" s="2" t="inlineStr">
        <is>
          <t>预算</t>
        </is>
      </c>
      <c r="BV3" s="2" t="inlineStr">
        <is>
          <t>收入</t>
        </is>
      </c>
      <c r="BW3" s="2" t="inlineStr">
        <is>
          <t>成本</t>
        </is>
      </c>
      <c r="BX3" s="2" t="inlineStr">
        <is>
          <t>毛利</t>
        </is>
      </c>
      <c r="BY3" s="2" t="inlineStr">
        <is>
          <t>费用</t>
        </is>
      </c>
      <c r="BZ3" s="2" t="inlineStr">
        <is>
          <t>净利</t>
        </is>
      </c>
      <c r="CA3" s="2" t="inlineStr">
        <is>
          <t>预算</t>
        </is>
      </c>
      <c r="CB3" s="2" t="inlineStr">
        <is>
          <t>收入</t>
        </is>
      </c>
      <c r="CC3" s="2" t="inlineStr">
        <is>
          <t>成本</t>
        </is>
      </c>
      <c r="CD3" s="2" t="inlineStr">
        <is>
          <t>毛利</t>
        </is>
      </c>
      <c r="CE3" s="2" t="inlineStr">
        <is>
          <t>费用</t>
        </is>
      </c>
      <c r="CF3" s="2" t="inlineStr">
        <is>
          <t>净利</t>
        </is>
      </c>
      <c r="CG3" s="2" t="inlineStr">
        <is>
          <t>预算</t>
        </is>
      </c>
      <c r="CH3" s="2" t="inlineStr">
        <is>
          <t>收入</t>
        </is>
      </c>
      <c r="CI3" s="2" t="inlineStr">
        <is>
          <t>成本</t>
        </is>
      </c>
      <c r="CJ3" s="2" t="inlineStr">
        <is>
          <t>毛利</t>
        </is>
      </c>
      <c r="CK3" s="2" t="inlineStr">
        <is>
          <t>费用</t>
        </is>
      </c>
      <c r="CL3" s="2" t="inlineStr">
        <is>
          <t>净利</t>
        </is>
      </c>
      <c r="CM3" s="2" t="inlineStr">
        <is>
          <t>预算</t>
        </is>
      </c>
      <c r="CN3" s="2" t="inlineStr">
        <is>
          <t>收入</t>
        </is>
      </c>
      <c r="CO3" s="2" t="inlineStr">
        <is>
          <t>成本</t>
        </is>
      </c>
      <c r="CP3" s="2" t="inlineStr">
        <is>
          <t>毛利</t>
        </is>
      </c>
      <c r="CQ3" s="2" t="inlineStr">
        <is>
          <t>费用</t>
        </is>
      </c>
      <c r="CR3" s="2" t="inlineStr">
        <is>
          <t>净利</t>
        </is>
      </c>
      <c r="CS3" s="2" t="inlineStr">
        <is>
          <t>预算</t>
        </is>
      </c>
      <c r="CT3" s="2" t="inlineStr">
        <is>
          <t>收入</t>
        </is>
      </c>
      <c r="CU3" s="2" t="inlineStr">
        <is>
          <t>成本</t>
        </is>
      </c>
      <c r="CV3" s="2" t="inlineStr">
        <is>
          <t>毛利</t>
        </is>
      </c>
      <c r="CW3" s="2" t="inlineStr">
        <is>
          <t>费用</t>
        </is>
      </c>
      <c r="CX3" s="2" t="inlineStr">
        <is>
          <t>净利</t>
        </is>
      </c>
      <c r="CY3" s="2" t="inlineStr">
        <is>
          <t>预算</t>
        </is>
      </c>
      <c r="CZ3" s="2" t="inlineStr">
        <is>
          <t>收入</t>
        </is>
      </c>
      <c r="DA3" s="2" t="inlineStr">
        <is>
          <t>成本</t>
        </is>
      </c>
      <c r="DB3" s="2" t="inlineStr">
        <is>
          <t>毛利</t>
        </is>
      </c>
      <c r="DC3" s="2" t="inlineStr">
        <is>
          <t>费用</t>
        </is>
      </c>
      <c r="DD3" s="2" t="inlineStr">
        <is>
          <t>净利</t>
        </is>
      </c>
      <c r="DE3" s="2" t="inlineStr">
        <is>
          <t>预算</t>
        </is>
      </c>
      <c r="DF3" s="2" t="inlineStr">
        <is>
          <t>收入</t>
        </is>
      </c>
      <c r="DG3" s="2" t="inlineStr">
        <is>
          <t>成本</t>
        </is>
      </c>
      <c r="DH3" s="2" t="inlineStr">
        <is>
          <t>毛利</t>
        </is>
      </c>
      <c r="DI3" s="2" t="inlineStr">
        <is>
          <t>费用</t>
        </is>
      </c>
      <c r="DJ3" s="2" t="inlineStr">
        <is>
          <t>净利</t>
        </is>
      </c>
      <c r="DK3" s="2" t="inlineStr">
        <is>
          <t>预算</t>
        </is>
      </c>
      <c r="DL3" s="2" t="inlineStr">
        <is>
          <t>收入</t>
        </is>
      </c>
      <c r="DM3" s="2" t="inlineStr">
        <is>
          <t>成本</t>
        </is>
      </c>
      <c r="DN3" s="2" t="inlineStr">
        <is>
          <t>毛利</t>
        </is>
      </c>
      <c r="DO3" s="2" t="inlineStr">
        <is>
          <t>费用</t>
        </is>
      </c>
      <c r="DP3" s="2" t="inlineStr">
        <is>
          <t>净利</t>
        </is>
      </c>
    </row>
    <row r="4">
      <c r="A4" s="4" t="inlineStr">
        <is>
          <t>中式汤底</t>
        </is>
      </c>
      <c r="B4" s="15" t="n">
        <v>1481192.85</v>
      </c>
      <c r="C4" s="15" t="n">
        <v>1773319.21</v>
      </c>
      <c r="D4" s="15" t="n">
        <v>652950.09</v>
      </c>
      <c r="E4" s="15" t="n">
        <v>50131.32</v>
      </c>
      <c r="F4" s="15" t="n">
        <v>1280068.97</v>
      </c>
      <c r="G4" s="15" t="n">
        <v>1376920.47</v>
      </c>
      <c r="H4" s="15" t="n">
        <v>4106727.44</v>
      </c>
      <c r="I4" s="15" t="n">
        <v>2695370.37</v>
      </c>
      <c r="J4" s="15" t="n">
        <v>1171729.72</v>
      </c>
      <c r="K4" s="15" t="n">
        <v>102289.28</v>
      </c>
      <c r="L4" s="15" t="n">
        <v>1263166.49</v>
      </c>
      <c r="M4" s="15" t="n">
        <v>2848553.8</v>
      </c>
      <c r="N4" s="15" t="n">
        <v>1213290.45</v>
      </c>
      <c r="O4" s="15" t="n">
        <v>494842.63</v>
      </c>
      <c r="P4" s="15" t="n">
        <v>369742.39</v>
      </c>
      <c r="Q4" s="15" t="n">
        <v>344868.03</v>
      </c>
      <c r="R4" s="15" t="n">
        <v>500850.25</v>
      </c>
      <c r="S4" s="15" t="n">
        <v>2151016.76</v>
      </c>
      <c r="T4" s="15" t="n">
        <v>1738207.28</v>
      </c>
      <c r="U4" s="15" t="n">
        <v>2790827.92</v>
      </c>
      <c r="V4" s="15" t="n">
        <v>675216.88</v>
      </c>
      <c r="W4" s="15" t="n">
        <v>64080.72</v>
      </c>
      <c r="X4" s="15" t="n">
        <v>-158265.29</v>
      </c>
      <c r="Y4" s="15" t="n">
        <v>2905317</v>
      </c>
      <c r="Z4" s="15" t="n">
        <v>1592477.1</v>
      </c>
      <c r="AA4" s="15" t="n">
        <v>2577210.35</v>
      </c>
      <c r="AB4" s="15" t="n">
        <v>1311842.26</v>
      </c>
      <c r="AC4" s="15" t="n">
        <v>41748.69</v>
      </c>
      <c r="AD4" s="15" t="n">
        <v>1007161.27</v>
      </c>
      <c r="AE4" s="15" t="n">
        <v>2213942.4</v>
      </c>
      <c r="AF4" s="15" t="n">
        <v>260608.04</v>
      </c>
      <c r="AG4" s="15" t="n">
        <v>989224.92</v>
      </c>
      <c r="AH4" s="15" t="n">
        <v>118809.1</v>
      </c>
      <c r="AI4" s="15" t="n">
        <v>118465.21</v>
      </c>
      <c r="AJ4" s="15" t="n">
        <v>283536.42</v>
      </c>
      <c r="AK4" s="15" t="n">
        <v>3116782.45</v>
      </c>
      <c r="AL4" s="15" t="n">
        <v>3644684.45</v>
      </c>
      <c r="AM4" s="15" t="n">
        <v>719355.1</v>
      </c>
      <c r="AN4" s="15" t="n">
        <v>844962.26</v>
      </c>
      <c r="AO4" s="15" t="n">
        <v>384336.95</v>
      </c>
      <c r="AP4" s="15" t="n">
        <v>-188927.58</v>
      </c>
      <c r="AQ4" s="15" t="n">
        <v>1969416.22</v>
      </c>
      <c r="AR4" s="15" t="n">
        <v>3884005.65</v>
      </c>
      <c r="AS4" s="15" t="n">
        <v>2117713.81</v>
      </c>
      <c r="AT4" s="15" t="n">
        <v>403145.42</v>
      </c>
      <c r="AU4" s="15" t="n">
        <v>353273.04</v>
      </c>
      <c r="AV4" s="15" t="n">
        <v>-110010.16</v>
      </c>
      <c r="AW4" s="15" t="n">
        <v>2344344.55</v>
      </c>
      <c r="AX4" s="15" t="n">
        <v>2747270.43</v>
      </c>
      <c r="AY4" s="15" t="n">
        <v>888516.5600000001</v>
      </c>
      <c r="AZ4" s="15" t="n">
        <v>823128.45</v>
      </c>
      <c r="BA4" s="15" t="n">
        <v>495518.39</v>
      </c>
      <c r="BB4" s="15" t="n">
        <v>196588.32</v>
      </c>
      <c r="BC4" s="15" t="n">
        <v>3721978.49</v>
      </c>
      <c r="BD4" s="15" t="n">
        <v>261723.72</v>
      </c>
      <c r="BE4" s="15" t="n">
        <v>1961473.49</v>
      </c>
      <c r="BF4" s="15" t="n">
        <v>209866.4</v>
      </c>
      <c r="BG4" s="15" t="n">
        <v>236586.83</v>
      </c>
      <c r="BH4" s="15" t="n">
        <v>1208372.4</v>
      </c>
      <c r="BI4" s="15" t="n">
        <v>3007028.36</v>
      </c>
      <c r="BJ4" s="15" t="n">
        <v>2260097.05</v>
      </c>
      <c r="BK4" s="15" t="n">
        <v>387278.24</v>
      </c>
      <c r="BL4" s="15" t="n">
        <v>384193.61</v>
      </c>
      <c r="BM4" s="15" t="n">
        <v>354844.2</v>
      </c>
      <c r="BN4" s="15" t="n">
        <v>1285500.68</v>
      </c>
      <c r="BO4" s="15" t="n">
        <v>744898.59</v>
      </c>
      <c r="BP4" s="15" t="n">
        <v>4502761.06</v>
      </c>
      <c r="BQ4" s="15" t="n">
        <v>2513942.24</v>
      </c>
      <c r="BR4" s="15" t="n">
        <v>463470.05</v>
      </c>
      <c r="BS4" s="15" t="n">
        <v>113963.05</v>
      </c>
      <c r="BT4" s="15" t="n">
        <v>1348974.73</v>
      </c>
      <c r="BU4" s="15" t="n">
        <v>3293445.5</v>
      </c>
      <c r="BV4" s="15" t="n">
        <v>3749765.25</v>
      </c>
      <c r="BW4" s="15" t="n">
        <v>332051.63</v>
      </c>
      <c r="BX4" s="15" t="n">
        <v>1291048.73</v>
      </c>
      <c r="BY4" s="15" t="n">
        <v>424956.43</v>
      </c>
      <c r="BZ4" s="15" t="n">
        <v>435990.43</v>
      </c>
      <c r="CA4" s="15" t="n">
        <v>2154409.57</v>
      </c>
      <c r="CB4" s="15" t="n">
        <v>2324665.38</v>
      </c>
      <c r="CC4" s="15" t="n">
        <v>1839082.57</v>
      </c>
      <c r="CD4" s="15" t="n">
        <v>762451.97</v>
      </c>
      <c r="CE4" s="15" t="n">
        <v>183756.93</v>
      </c>
      <c r="CF4" s="15" t="n">
        <v>-39530.63</v>
      </c>
      <c r="CG4" s="15" t="n">
        <v>3811211.79</v>
      </c>
      <c r="CH4" s="15" t="n">
        <v>1260097.92</v>
      </c>
      <c r="CI4" s="15" t="n">
        <v>2086901.26</v>
      </c>
      <c r="CJ4" s="15" t="n">
        <v>1134352.78</v>
      </c>
      <c r="CK4" s="15" t="n">
        <v>24958.04</v>
      </c>
      <c r="CL4" s="15" t="n">
        <v>992456.33</v>
      </c>
      <c r="CM4" s="15" t="n">
        <v>3925644.36</v>
      </c>
      <c r="CN4" s="15" t="n">
        <v>3459593.12</v>
      </c>
      <c r="CO4" s="15" t="n">
        <v>2180060.06</v>
      </c>
      <c r="CP4" s="15" t="n">
        <v>1787110.33</v>
      </c>
      <c r="CQ4" s="15" t="n">
        <v>298934.34</v>
      </c>
      <c r="CR4" s="15" t="n">
        <v>1116568.3</v>
      </c>
      <c r="CS4" s="15" t="n">
        <v>2457776.41</v>
      </c>
      <c r="CT4" s="15" t="n">
        <v>2786161.52</v>
      </c>
      <c r="CU4" s="15" t="n">
        <v>787205.25</v>
      </c>
      <c r="CV4" s="15" t="n">
        <v>1307910.87</v>
      </c>
      <c r="CW4" s="15" t="n">
        <v>249181.79</v>
      </c>
      <c r="CX4" s="15" t="n">
        <v>160200</v>
      </c>
      <c r="CY4" s="15" t="n">
        <v>3566308.81</v>
      </c>
      <c r="CZ4" s="15" t="n">
        <v>1508859.81</v>
      </c>
      <c r="DA4" s="15" t="n">
        <v>1528728.89</v>
      </c>
      <c r="DB4" s="15" t="n">
        <v>1047881.71</v>
      </c>
      <c r="DC4" s="15" t="n">
        <v>359559.99</v>
      </c>
      <c r="DD4" s="15" t="n">
        <v>238090</v>
      </c>
      <c r="DE4" s="15" t="n">
        <v>1255911.79</v>
      </c>
      <c r="DF4" s="15" t="n">
        <v>1989964.74</v>
      </c>
      <c r="DG4" s="15" t="n">
        <v>2130369.63</v>
      </c>
      <c r="DH4" s="15" t="n">
        <v>1606838.05</v>
      </c>
      <c r="DI4" s="15" t="n">
        <v>155047.49</v>
      </c>
      <c r="DJ4" s="15" t="n">
        <v>1487702.6</v>
      </c>
      <c r="DK4" s="15" t="n">
        <v>1471377.58</v>
      </c>
      <c r="DL4" s="15" t="n">
        <v>831286.09</v>
      </c>
      <c r="DM4" s="15" t="n">
        <v>2235749.38</v>
      </c>
      <c r="DN4" s="15" t="n">
        <v>1150449.08</v>
      </c>
      <c r="DO4" s="15" t="n">
        <v>466383.9</v>
      </c>
      <c r="DP4" s="15" t="n">
        <v>426634.16</v>
      </c>
    </row>
    <row r="5">
      <c r="A5" s="4" t="inlineStr">
        <is>
          <t>酱料</t>
        </is>
      </c>
      <c r="B5" s="15" t="n">
        <v>205125.86</v>
      </c>
      <c r="C5" s="15" t="n">
        <v>1522541.16</v>
      </c>
      <c r="D5" s="15" t="n">
        <v>1882184.02</v>
      </c>
      <c r="E5" s="15" t="n">
        <v>197276.8</v>
      </c>
      <c r="F5" s="15" t="n">
        <v>426741.03</v>
      </c>
      <c r="G5" s="15" t="n">
        <v>2340073.29</v>
      </c>
      <c r="H5" s="15" t="n">
        <v>2020592.23</v>
      </c>
      <c r="I5" s="15" t="n">
        <v>2615884.51</v>
      </c>
      <c r="J5" s="15" t="n">
        <v>948568.24</v>
      </c>
      <c r="K5" s="15" t="n">
        <v>441560.75</v>
      </c>
      <c r="L5" s="15" t="n">
        <v>344574.46</v>
      </c>
      <c r="M5" s="15" t="n">
        <v>657043.25</v>
      </c>
      <c r="N5" s="15" t="n">
        <v>4714780.81</v>
      </c>
      <c r="O5" s="15" t="n">
        <v>595926.13</v>
      </c>
      <c r="P5" s="15" t="n">
        <v>239105.71</v>
      </c>
      <c r="Q5" s="15" t="n">
        <v>334202.64</v>
      </c>
      <c r="R5" s="15" t="n">
        <v>72195.82000000001</v>
      </c>
      <c r="S5" s="15" t="n">
        <v>182191.85</v>
      </c>
      <c r="T5" s="15" t="n">
        <v>730485</v>
      </c>
      <c r="U5" s="15" t="n">
        <v>2801026.71</v>
      </c>
      <c r="V5" s="15" t="n">
        <v>1270528.31</v>
      </c>
      <c r="W5" s="15" t="n">
        <v>197682.24</v>
      </c>
      <c r="X5" s="15" t="n">
        <v>1057348.67</v>
      </c>
      <c r="Y5" s="15" t="n">
        <v>3841070.69</v>
      </c>
      <c r="Z5" s="15" t="n">
        <v>694277.17</v>
      </c>
      <c r="AA5" s="15" t="n">
        <v>1342163.4</v>
      </c>
      <c r="AB5" s="15" t="n">
        <v>1724267.13</v>
      </c>
      <c r="AC5" s="15" t="n">
        <v>19784.01</v>
      </c>
      <c r="AD5" s="15" t="n">
        <v>-181.79</v>
      </c>
      <c r="AE5" s="15" t="n">
        <v>3960248.55</v>
      </c>
      <c r="AF5" s="15" t="n">
        <v>4442140.67</v>
      </c>
      <c r="AG5" s="15" t="n">
        <v>2376565.5</v>
      </c>
      <c r="AH5" s="15" t="n">
        <v>883290.5</v>
      </c>
      <c r="AI5" s="15" t="n">
        <v>11581.61</v>
      </c>
      <c r="AJ5" s="15" t="n">
        <v>903900.21</v>
      </c>
      <c r="AK5" s="15" t="n">
        <v>2391103.69</v>
      </c>
      <c r="AL5" s="15" t="n">
        <v>4237153.01</v>
      </c>
      <c r="AM5" s="15" t="n">
        <v>70255.21000000001</v>
      </c>
      <c r="AN5" s="15" t="n">
        <v>1120379.36</v>
      </c>
      <c r="AO5" s="15" t="n">
        <v>330303.45</v>
      </c>
      <c r="AP5" s="15" t="n">
        <v>-116770.32</v>
      </c>
      <c r="AQ5" s="15" t="n">
        <v>3499640.66</v>
      </c>
      <c r="AR5" s="15" t="n">
        <v>4973852.03</v>
      </c>
      <c r="AS5" s="15" t="n">
        <v>1528806.78</v>
      </c>
      <c r="AT5" s="15" t="n">
        <v>824308.34</v>
      </c>
      <c r="AU5" s="15" t="n">
        <v>92363.34</v>
      </c>
      <c r="AV5" s="15" t="n">
        <v>-158990.54</v>
      </c>
      <c r="AW5" s="15" t="n">
        <v>3721941.5</v>
      </c>
      <c r="AX5" s="15" t="n">
        <v>4031105</v>
      </c>
      <c r="AY5" s="15" t="n">
        <v>2020916.57</v>
      </c>
      <c r="AZ5" s="15" t="n">
        <v>1057287.96</v>
      </c>
      <c r="BA5" s="15" t="n">
        <v>237820.17</v>
      </c>
      <c r="BB5" s="15" t="n">
        <v>634610.75</v>
      </c>
      <c r="BC5" s="15" t="n">
        <v>2023394.65</v>
      </c>
      <c r="BD5" s="15" t="n">
        <v>343787.23</v>
      </c>
      <c r="BE5" s="15" t="n">
        <v>875938.85</v>
      </c>
      <c r="BF5" s="15" t="n">
        <v>1185565.77</v>
      </c>
      <c r="BG5" s="15" t="n">
        <v>75724.50999999999</v>
      </c>
      <c r="BH5" s="15" t="n">
        <v>455685.2</v>
      </c>
      <c r="BI5" s="15" t="n">
        <v>587413.3</v>
      </c>
      <c r="BJ5" s="15" t="n">
        <v>4798355.27</v>
      </c>
      <c r="BK5" s="15" t="n">
        <v>369232.79</v>
      </c>
      <c r="BL5" s="15" t="n">
        <v>684986.08</v>
      </c>
      <c r="BM5" s="15" t="n">
        <v>327264.98</v>
      </c>
      <c r="BN5" s="15" t="n">
        <v>1113944.12</v>
      </c>
      <c r="BO5" s="15" t="n">
        <v>2431600.14</v>
      </c>
      <c r="BP5" s="15" t="n">
        <v>2066037.85</v>
      </c>
      <c r="BQ5" s="15" t="n">
        <v>1336001.51</v>
      </c>
      <c r="BR5" s="15" t="n">
        <v>1928998.15</v>
      </c>
      <c r="BS5" s="15" t="n">
        <v>230303.09</v>
      </c>
      <c r="BT5" s="15" t="n">
        <v>880757.85</v>
      </c>
      <c r="BU5" s="15" t="n">
        <v>3850079.91</v>
      </c>
      <c r="BV5" s="15" t="n">
        <v>1873883.2</v>
      </c>
      <c r="BW5" s="15" t="n">
        <v>2104370.28</v>
      </c>
      <c r="BX5" s="15" t="n">
        <v>1134602.88</v>
      </c>
      <c r="BY5" s="15" t="n">
        <v>64913.6</v>
      </c>
      <c r="BZ5" s="15" t="n">
        <v>807831.8</v>
      </c>
      <c r="CA5" s="15" t="n">
        <v>735575.38</v>
      </c>
      <c r="CB5" s="15" t="n">
        <v>280902.3</v>
      </c>
      <c r="CC5" s="15" t="n">
        <v>2604042.85</v>
      </c>
      <c r="CD5" s="15" t="n">
        <v>1805125.95</v>
      </c>
      <c r="CE5" s="15" t="n">
        <v>68861.96000000001</v>
      </c>
      <c r="CF5" s="15" t="n">
        <v>147908.88</v>
      </c>
      <c r="CG5" s="15" t="n">
        <v>1652971.38</v>
      </c>
      <c r="CH5" s="15" t="n">
        <v>4291865.76</v>
      </c>
      <c r="CI5" s="15" t="n">
        <v>2204238.77</v>
      </c>
      <c r="CJ5" s="15" t="n">
        <v>1146488.7</v>
      </c>
      <c r="CK5" s="15" t="n">
        <v>371878.41</v>
      </c>
      <c r="CL5" s="15" t="n">
        <v>581258.24</v>
      </c>
      <c r="CM5" s="15" t="n">
        <v>1186651.64</v>
      </c>
      <c r="CN5" s="15" t="n">
        <v>2700169.46</v>
      </c>
      <c r="CO5" s="15" t="n">
        <v>2030444.04</v>
      </c>
      <c r="CP5" s="15" t="n">
        <v>365921.92</v>
      </c>
      <c r="CQ5" s="15" t="n">
        <v>31993.05</v>
      </c>
      <c r="CR5" s="15" t="n">
        <v>643181.47</v>
      </c>
      <c r="CS5" s="15" t="n">
        <v>494895.34</v>
      </c>
      <c r="CT5" s="15" t="n">
        <v>2388180.39</v>
      </c>
      <c r="CU5" s="15" t="n">
        <v>841110.46</v>
      </c>
      <c r="CV5" s="15" t="n">
        <v>1624737.71</v>
      </c>
      <c r="CW5" s="15" t="n">
        <v>267221.2</v>
      </c>
      <c r="CX5" s="15" t="n">
        <v>886235.7</v>
      </c>
      <c r="CY5" s="15" t="n">
        <v>821415.96</v>
      </c>
      <c r="CZ5" s="15" t="n">
        <v>2752565.46</v>
      </c>
      <c r="DA5" s="15" t="n">
        <v>1679930.38</v>
      </c>
      <c r="DB5" s="15" t="n">
        <v>1467029.28</v>
      </c>
      <c r="DC5" s="15" t="n">
        <v>250131.55</v>
      </c>
      <c r="DD5" s="15" t="n">
        <v>644283.8100000001</v>
      </c>
      <c r="DE5" s="15" t="n">
        <v>2077600.73</v>
      </c>
      <c r="DF5" s="15" t="n">
        <v>4724974.36</v>
      </c>
      <c r="DG5" s="15" t="n">
        <v>889529.73</v>
      </c>
      <c r="DH5" s="15" t="n">
        <v>913231.13</v>
      </c>
      <c r="DI5" s="15" t="n">
        <v>126991.45</v>
      </c>
      <c r="DJ5" s="15" t="n">
        <v>1267637.88</v>
      </c>
      <c r="DK5" s="15" t="n">
        <v>2487737.49</v>
      </c>
      <c r="DL5" s="15" t="n">
        <v>3152461.97</v>
      </c>
      <c r="DM5" s="15" t="n">
        <v>2053596.66</v>
      </c>
      <c r="DN5" s="15" t="n">
        <v>679522.92</v>
      </c>
      <c r="DO5" s="15" t="n">
        <v>279532.39</v>
      </c>
      <c r="DP5" s="15" t="n">
        <v>167472.26</v>
      </c>
    </row>
    <row r="6">
      <c r="A6" s="4" t="inlineStr">
        <is>
          <t>川味底料</t>
        </is>
      </c>
      <c r="B6" s="15" t="n">
        <v>1252463.2</v>
      </c>
      <c r="C6" s="15" t="n">
        <v>1196688.05</v>
      </c>
      <c r="D6" s="15" t="n">
        <v>1165804</v>
      </c>
      <c r="E6" s="15" t="n">
        <v>240141.13</v>
      </c>
      <c r="F6" s="15" t="n">
        <v>11132.76</v>
      </c>
      <c r="G6" s="15" t="n">
        <v>1454618.32</v>
      </c>
      <c r="H6" s="15" t="n">
        <v>3887804.24</v>
      </c>
      <c r="I6" s="15" t="n">
        <v>2536518.99</v>
      </c>
      <c r="J6" s="15" t="n">
        <v>1231035.41</v>
      </c>
      <c r="K6" s="15" t="n">
        <v>40175.18</v>
      </c>
      <c r="L6" s="15" t="n">
        <v>445942.45</v>
      </c>
      <c r="M6" s="15" t="n">
        <v>1076356.99</v>
      </c>
      <c r="N6" s="15" t="n">
        <v>3238018.94</v>
      </c>
      <c r="O6" s="15" t="n">
        <v>421880.81</v>
      </c>
      <c r="P6" s="15" t="n">
        <v>775416.8</v>
      </c>
      <c r="Q6" s="15" t="n">
        <v>250542.22</v>
      </c>
      <c r="R6" s="15" t="n">
        <v>781462.14</v>
      </c>
      <c r="S6" s="15" t="n">
        <v>2308901.38</v>
      </c>
      <c r="T6" s="15" t="n">
        <v>4814605.55</v>
      </c>
      <c r="U6" s="15" t="n">
        <v>1751076.28</v>
      </c>
      <c r="V6" s="15" t="n">
        <v>437421.36</v>
      </c>
      <c r="W6" s="15" t="n">
        <v>127097.99</v>
      </c>
      <c r="X6" s="15" t="n">
        <v>-136128.08</v>
      </c>
      <c r="Y6" s="15" t="n">
        <v>2538285.33</v>
      </c>
      <c r="Z6" s="15" t="n">
        <v>1302046.85</v>
      </c>
      <c r="AA6" s="15" t="n">
        <v>1692032.37</v>
      </c>
      <c r="AB6" s="15" t="n">
        <v>1122486.53</v>
      </c>
      <c r="AC6" s="15" t="n">
        <v>29406.72</v>
      </c>
      <c r="AD6" s="15" t="n">
        <v>890369.98</v>
      </c>
      <c r="AE6" s="15" t="n">
        <v>2159048</v>
      </c>
      <c r="AF6" s="15" t="n">
        <v>2626438</v>
      </c>
      <c r="AG6" s="15" t="n">
        <v>2229848.5</v>
      </c>
      <c r="AH6" s="15" t="n">
        <v>1570196.07</v>
      </c>
      <c r="AI6" s="15" t="n">
        <v>193216.41</v>
      </c>
      <c r="AJ6" s="15" t="n">
        <v>200216.95</v>
      </c>
      <c r="AK6" s="15" t="n">
        <v>3384962.42</v>
      </c>
      <c r="AL6" s="15" t="n">
        <v>971886.5</v>
      </c>
      <c r="AM6" s="15" t="n">
        <v>2087265.06</v>
      </c>
      <c r="AN6" s="15" t="n">
        <v>125461.3</v>
      </c>
      <c r="AO6" s="15" t="n">
        <v>303129.23</v>
      </c>
      <c r="AP6" s="15" t="n">
        <v>270501.86</v>
      </c>
      <c r="AQ6" s="15" t="n">
        <v>2231533.5</v>
      </c>
      <c r="AR6" s="15" t="n">
        <v>2505702.49</v>
      </c>
      <c r="AS6" s="15" t="n">
        <v>1471360.19</v>
      </c>
      <c r="AT6" s="15" t="n">
        <v>265302.37</v>
      </c>
      <c r="AU6" s="15" t="n">
        <v>101285.31</v>
      </c>
      <c r="AV6" s="15" t="n">
        <v>67994.11</v>
      </c>
      <c r="AW6" s="15" t="n">
        <v>2396289.93</v>
      </c>
      <c r="AX6" s="15" t="n">
        <v>3355821.33</v>
      </c>
      <c r="AY6" s="15" t="n">
        <v>639085.52</v>
      </c>
      <c r="AZ6" s="15" t="n">
        <v>1497097.01</v>
      </c>
      <c r="BA6" s="15" t="n">
        <v>69888.05</v>
      </c>
      <c r="BB6" s="15" t="n">
        <v>192289.06</v>
      </c>
      <c r="BC6" s="15" t="n">
        <v>3896333.64</v>
      </c>
      <c r="BD6" s="15" t="n">
        <v>4023153.43</v>
      </c>
      <c r="BE6" s="15" t="n">
        <v>464087.99</v>
      </c>
      <c r="BF6" s="15" t="n">
        <v>457636.05</v>
      </c>
      <c r="BG6" s="15" t="n">
        <v>225843.14</v>
      </c>
      <c r="BH6" s="15" t="n">
        <v>582153.08</v>
      </c>
      <c r="BI6" s="15" t="n">
        <v>1771485.72</v>
      </c>
      <c r="BJ6" s="15" t="n">
        <v>4537760.7</v>
      </c>
      <c r="BK6" s="15" t="n">
        <v>83740.16</v>
      </c>
      <c r="BL6" s="15" t="n">
        <v>503704.26</v>
      </c>
      <c r="BM6" s="15" t="n">
        <v>329001.09</v>
      </c>
      <c r="BN6" s="15" t="n">
        <v>965622.16</v>
      </c>
      <c r="BO6" s="15" t="n">
        <v>3259575.28</v>
      </c>
      <c r="BP6" s="15" t="n">
        <v>2252947.69</v>
      </c>
      <c r="BQ6" s="15" t="n">
        <v>2519303.48</v>
      </c>
      <c r="BR6" s="15" t="n">
        <v>1295457.05</v>
      </c>
      <c r="BS6" s="15" t="n">
        <v>37185.66</v>
      </c>
      <c r="BT6" s="15" t="n">
        <v>353616.51</v>
      </c>
      <c r="BU6" s="15" t="n">
        <v>1970833.66</v>
      </c>
      <c r="BV6" s="15" t="n">
        <v>3334817.01</v>
      </c>
      <c r="BW6" s="15" t="n">
        <v>2190825.39</v>
      </c>
      <c r="BX6" s="15" t="n">
        <v>1566329.91</v>
      </c>
      <c r="BY6" s="15" t="n">
        <v>285646.52</v>
      </c>
      <c r="BZ6" s="15" t="n">
        <v>579756.24</v>
      </c>
      <c r="CA6" s="15" t="n">
        <v>879052.8100000001</v>
      </c>
      <c r="CB6" s="15" t="n">
        <v>4581678.7</v>
      </c>
      <c r="CC6" s="15" t="n">
        <v>2027792.95</v>
      </c>
      <c r="CD6" s="15" t="n">
        <v>439132.16</v>
      </c>
      <c r="CE6" s="15" t="n">
        <v>323962.13</v>
      </c>
      <c r="CF6" s="15" t="n">
        <v>150872.94</v>
      </c>
      <c r="CG6" s="15" t="n">
        <v>1050729.5</v>
      </c>
      <c r="CH6" s="15" t="n">
        <v>4632462.99</v>
      </c>
      <c r="CI6" s="15" t="n">
        <v>284884.76</v>
      </c>
      <c r="CJ6" s="15" t="n">
        <v>1386069.61</v>
      </c>
      <c r="CK6" s="15" t="n">
        <v>252527.31</v>
      </c>
      <c r="CL6" s="15" t="n">
        <v>-146182.08</v>
      </c>
      <c r="CM6" s="15" t="n">
        <v>2383433.13</v>
      </c>
      <c r="CN6" s="15" t="n">
        <v>4509664.74</v>
      </c>
      <c r="CO6" s="15" t="n">
        <v>1410716.15</v>
      </c>
      <c r="CP6" s="15" t="n">
        <v>119324.39</v>
      </c>
      <c r="CQ6" s="15" t="n">
        <v>143120.21</v>
      </c>
      <c r="CR6" s="15" t="n">
        <v>-141112.95</v>
      </c>
      <c r="CS6" s="15" t="n">
        <v>3165893.27</v>
      </c>
      <c r="CT6" s="15" t="n">
        <v>1964621.99</v>
      </c>
      <c r="CU6" s="15" t="n">
        <v>2123378.68</v>
      </c>
      <c r="CV6" s="15" t="n">
        <v>758856.54</v>
      </c>
      <c r="CW6" s="15" t="n">
        <v>325389.51</v>
      </c>
      <c r="CX6" s="15" t="n">
        <v>1486079.25</v>
      </c>
      <c r="CY6" s="15" t="n">
        <v>810896.95</v>
      </c>
      <c r="CZ6" s="15" t="n">
        <v>3097875.47</v>
      </c>
      <c r="DA6" s="15" t="n">
        <v>639412.67</v>
      </c>
      <c r="DB6" s="15" t="n">
        <v>1161703.45</v>
      </c>
      <c r="DC6" s="15" t="n">
        <v>209398.96</v>
      </c>
      <c r="DD6" s="15" t="n">
        <v>441864.62</v>
      </c>
      <c r="DE6" s="15" t="n">
        <v>3320991.87</v>
      </c>
      <c r="DF6" s="15" t="n">
        <v>2356998.21</v>
      </c>
      <c r="DG6" s="15" t="n">
        <v>74005.71000000001</v>
      </c>
      <c r="DH6" s="15" t="n">
        <v>1051291.32</v>
      </c>
      <c r="DI6" s="15" t="n">
        <v>164557.44</v>
      </c>
      <c r="DJ6" s="15" t="n">
        <v>-171826.39</v>
      </c>
      <c r="DK6" s="15" t="n">
        <v>2324709.81</v>
      </c>
      <c r="DL6" s="15" t="n">
        <v>1434152.92</v>
      </c>
      <c r="DM6" s="15" t="n">
        <v>2335591.53</v>
      </c>
      <c r="DN6" s="15" t="n">
        <v>1166835.25</v>
      </c>
      <c r="DO6" s="15" t="n">
        <v>458776.11</v>
      </c>
      <c r="DP6" s="15" t="n">
        <v>252238.19</v>
      </c>
    </row>
    <row r="7">
      <c r="A7" s="4" t="inlineStr">
        <is>
          <t>调味汁</t>
        </is>
      </c>
      <c r="B7" s="15" t="n">
        <v>620160.13</v>
      </c>
      <c r="C7" s="15" t="n">
        <v>2370397.19</v>
      </c>
      <c r="D7" s="15" t="n">
        <v>153568.6</v>
      </c>
      <c r="E7" s="15" t="n">
        <v>156922.56</v>
      </c>
      <c r="F7" s="15" t="n">
        <v>1258782.68</v>
      </c>
      <c r="G7" s="15" t="n">
        <v>3135725.51</v>
      </c>
      <c r="H7" s="15" t="n">
        <v>3005722.52</v>
      </c>
      <c r="I7" s="15" t="n">
        <v>825701.1</v>
      </c>
      <c r="J7" s="15" t="n">
        <v>402043.75</v>
      </c>
      <c r="K7" s="15" t="n">
        <v>146418.5</v>
      </c>
      <c r="L7" s="15" t="n">
        <v>793711.71</v>
      </c>
      <c r="M7" s="15" t="n">
        <v>529749.8100000001</v>
      </c>
      <c r="N7" s="15" t="n">
        <v>4792847.99</v>
      </c>
      <c r="O7" s="15" t="n">
        <v>374004.41</v>
      </c>
      <c r="P7" s="15" t="n">
        <v>1058651.55</v>
      </c>
      <c r="Q7" s="15" t="n">
        <v>44791.77</v>
      </c>
      <c r="R7" s="15" t="n">
        <v>727685.77</v>
      </c>
      <c r="S7" s="15" t="n">
        <v>2590268.48</v>
      </c>
      <c r="T7" s="15" t="n">
        <v>2136728.77</v>
      </c>
      <c r="U7" s="15" t="n">
        <v>2687332.23</v>
      </c>
      <c r="V7" s="15" t="n">
        <v>1252454.48</v>
      </c>
      <c r="W7" s="15" t="n">
        <v>65675.92</v>
      </c>
      <c r="X7" s="15" t="n">
        <v>1430954.86</v>
      </c>
      <c r="Y7" s="15" t="n">
        <v>3069630.45</v>
      </c>
      <c r="Z7" s="15" t="n">
        <v>4327032.59</v>
      </c>
      <c r="AA7" s="15" t="n">
        <v>1783497.55</v>
      </c>
      <c r="AB7" s="15" t="n">
        <v>752027.63</v>
      </c>
      <c r="AC7" s="15" t="n">
        <v>485854</v>
      </c>
      <c r="AD7" s="15" t="n">
        <v>345631.18</v>
      </c>
      <c r="AE7" s="15" t="n">
        <v>2152383.95</v>
      </c>
      <c r="AF7" s="15" t="n">
        <v>4003215.52</v>
      </c>
      <c r="AG7" s="15" t="n">
        <v>2669952.51</v>
      </c>
      <c r="AH7" s="15" t="n">
        <v>173576.52</v>
      </c>
      <c r="AI7" s="15" t="n">
        <v>53684.73</v>
      </c>
      <c r="AJ7" s="15" t="n">
        <v>1018287.26</v>
      </c>
      <c r="AK7" s="15" t="n">
        <v>227328.19</v>
      </c>
      <c r="AL7" s="15" t="n">
        <v>1024395.58</v>
      </c>
      <c r="AM7" s="15" t="n">
        <v>1406683.36</v>
      </c>
      <c r="AN7" s="15" t="n">
        <v>803330.76</v>
      </c>
      <c r="AO7" s="15" t="n">
        <v>325082.58</v>
      </c>
      <c r="AP7" s="15" t="n">
        <v>1280104.1</v>
      </c>
      <c r="AQ7" s="15" t="n">
        <v>3361495.07</v>
      </c>
      <c r="AR7" s="15" t="n">
        <v>1502832.52</v>
      </c>
      <c r="AS7" s="15" t="n">
        <v>2803082.14</v>
      </c>
      <c r="AT7" s="15" t="n">
        <v>1380489.93</v>
      </c>
      <c r="AU7" s="15" t="n">
        <v>198330.65</v>
      </c>
      <c r="AV7" s="15" t="n">
        <v>313209.49</v>
      </c>
      <c r="AW7" s="15" t="n">
        <v>3767965.29</v>
      </c>
      <c r="AX7" s="15" t="n">
        <v>4552098.26</v>
      </c>
      <c r="AY7" s="15" t="n">
        <v>894467.09</v>
      </c>
      <c r="AZ7" s="15" t="n">
        <v>1978502.59</v>
      </c>
      <c r="BA7" s="15" t="n">
        <v>11590.78</v>
      </c>
      <c r="BB7" s="15" t="n">
        <v>102376.8</v>
      </c>
      <c r="BC7" s="15" t="n">
        <v>563887.27</v>
      </c>
      <c r="BD7" s="15" t="n">
        <v>1229522.87</v>
      </c>
      <c r="BE7" s="15" t="n">
        <v>2144603.41</v>
      </c>
      <c r="BF7" s="15" t="n">
        <v>1590232.48</v>
      </c>
      <c r="BG7" s="15" t="n">
        <v>315261.93</v>
      </c>
      <c r="BH7" s="15" t="n">
        <v>982803.14</v>
      </c>
      <c r="BI7" s="15" t="n">
        <v>644817.21</v>
      </c>
      <c r="BJ7" s="15" t="n">
        <v>1324797</v>
      </c>
      <c r="BK7" s="15" t="n">
        <v>896402.91</v>
      </c>
      <c r="BL7" s="15" t="n">
        <v>990579.03</v>
      </c>
      <c r="BM7" s="15" t="n">
        <v>431447.27</v>
      </c>
      <c r="BN7" s="15" t="n">
        <v>1076273.68</v>
      </c>
      <c r="BO7" s="15" t="n">
        <v>1044790.68</v>
      </c>
      <c r="BP7" s="15" t="n">
        <v>1546008.79</v>
      </c>
      <c r="BQ7" s="15" t="n">
        <v>872012.8199999999</v>
      </c>
      <c r="BR7" s="15" t="n">
        <v>778389.29</v>
      </c>
      <c r="BS7" s="15" t="n">
        <v>40408.87</v>
      </c>
      <c r="BT7" s="15" t="n">
        <v>1417857.6</v>
      </c>
      <c r="BU7" s="15" t="n">
        <v>2526952.24</v>
      </c>
      <c r="BV7" s="15" t="n">
        <v>1768552.38</v>
      </c>
      <c r="BW7" s="15" t="n">
        <v>2782976.8</v>
      </c>
      <c r="BX7" s="15" t="n">
        <v>955123.16</v>
      </c>
      <c r="BY7" s="15" t="n">
        <v>34297.81</v>
      </c>
      <c r="BZ7" s="15" t="n">
        <v>925384.92</v>
      </c>
      <c r="CA7" s="15" t="n">
        <v>1715112.69</v>
      </c>
      <c r="CB7" s="15" t="n">
        <v>4000920.76</v>
      </c>
      <c r="CC7" s="15" t="n">
        <v>794515.9300000001</v>
      </c>
      <c r="CD7" s="15" t="n">
        <v>1149947.28</v>
      </c>
      <c r="CE7" s="15" t="n">
        <v>428084.17</v>
      </c>
      <c r="CF7" s="15" t="n">
        <v>-69114.03</v>
      </c>
      <c r="CG7" s="15" t="n">
        <v>1810667.78</v>
      </c>
      <c r="CH7" s="15" t="n">
        <v>4976541.99</v>
      </c>
      <c r="CI7" s="15" t="n">
        <v>1110962.91</v>
      </c>
      <c r="CJ7" s="15" t="n">
        <v>794542.16</v>
      </c>
      <c r="CK7" s="15" t="n">
        <v>175275.54</v>
      </c>
      <c r="CL7" s="15" t="n">
        <v>-73250.34</v>
      </c>
      <c r="CM7" s="15" t="n">
        <v>2559034.89</v>
      </c>
      <c r="CN7" s="15" t="n">
        <v>3716882.54</v>
      </c>
      <c r="CO7" s="15" t="n">
        <v>2236225.48</v>
      </c>
      <c r="CP7" s="15" t="n">
        <v>20901.03</v>
      </c>
      <c r="CQ7" s="15" t="n">
        <v>93523.92</v>
      </c>
      <c r="CR7" s="15" t="n">
        <v>294810.81</v>
      </c>
      <c r="CS7" s="15" t="n">
        <v>498240.72</v>
      </c>
      <c r="CT7" s="15" t="n">
        <v>1755974.07</v>
      </c>
      <c r="CU7" s="15" t="n">
        <v>258082.54</v>
      </c>
      <c r="CV7" s="15" t="n">
        <v>1038898.77</v>
      </c>
      <c r="CW7" s="15" t="n">
        <v>453668.57</v>
      </c>
      <c r="CX7" s="15" t="n">
        <v>373639.43</v>
      </c>
      <c r="CY7" s="15" t="n">
        <v>1072123.95</v>
      </c>
      <c r="CZ7" s="15" t="n">
        <v>4167005.32</v>
      </c>
      <c r="DA7" s="15" t="n">
        <v>1614617.86</v>
      </c>
      <c r="DB7" s="15" t="n">
        <v>1909453.25</v>
      </c>
      <c r="DC7" s="15" t="n">
        <v>174530.27</v>
      </c>
      <c r="DD7" s="15" t="n">
        <v>7138.91</v>
      </c>
      <c r="DE7" s="15" t="n">
        <v>935861.14</v>
      </c>
      <c r="DF7" s="15" t="n">
        <v>1065588.38</v>
      </c>
      <c r="DG7" s="15" t="n">
        <v>1212673.31</v>
      </c>
      <c r="DH7" s="15" t="n">
        <v>1467022.11</v>
      </c>
      <c r="DI7" s="15" t="n">
        <v>16043.19</v>
      </c>
      <c r="DJ7" s="15" t="n">
        <v>680410.62</v>
      </c>
      <c r="DK7" s="15" t="n">
        <v>3923653.71</v>
      </c>
      <c r="DL7" s="15" t="n">
        <v>3026683.14</v>
      </c>
      <c r="DM7" s="15" t="n">
        <v>2767808.46</v>
      </c>
      <c r="DN7" s="15" t="n">
        <v>670903.5600000001</v>
      </c>
      <c r="DO7" s="15" t="n">
        <v>221236.29</v>
      </c>
      <c r="DP7" s="15" t="n">
        <v>1090330.36</v>
      </c>
    </row>
    <row r="8">
      <c r="A8" s="4" t="inlineStr">
        <is>
          <t>复合调味粉</t>
        </is>
      </c>
      <c r="B8" s="15" t="n">
        <v>1665522.89</v>
      </c>
      <c r="C8" s="15" t="n">
        <v>402724.12</v>
      </c>
      <c r="D8" s="15" t="n">
        <v>1300658.09</v>
      </c>
      <c r="E8" s="15" t="n">
        <v>58462.91</v>
      </c>
      <c r="F8" s="15" t="n">
        <v>434457.56</v>
      </c>
      <c r="G8" s="15" t="n">
        <v>1935900.35</v>
      </c>
      <c r="H8" s="15" t="n">
        <v>935133.51</v>
      </c>
      <c r="I8" s="15" t="n">
        <v>235060.81</v>
      </c>
      <c r="J8" s="15" t="n">
        <v>671802.83</v>
      </c>
      <c r="K8" s="15" t="n">
        <v>371484.99</v>
      </c>
      <c r="L8" s="15" t="n">
        <v>316830.16</v>
      </c>
      <c r="M8" s="15" t="n">
        <v>778863.34</v>
      </c>
      <c r="N8" s="15" t="n">
        <v>519657.34</v>
      </c>
      <c r="O8" s="15" t="n">
        <v>1779595.22</v>
      </c>
      <c r="P8" s="15" t="n">
        <v>249963.58</v>
      </c>
      <c r="Q8" s="15" t="n">
        <v>345931.12</v>
      </c>
      <c r="R8" s="15" t="n">
        <v>905696.76</v>
      </c>
      <c r="S8" s="15" t="n">
        <v>707326.96</v>
      </c>
      <c r="T8" s="15" t="n">
        <v>2956194.46</v>
      </c>
      <c r="U8" s="15" t="n">
        <v>1846356.57</v>
      </c>
      <c r="V8" s="15" t="n">
        <v>1017478.8</v>
      </c>
      <c r="W8" s="15" t="n">
        <v>152194.65</v>
      </c>
      <c r="X8" s="15" t="n">
        <v>283214.29</v>
      </c>
      <c r="Y8" s="15" t="n">
        <v>3024232.23</v>
      </c>
      <c r="Z8" s="15" t="n">
        <v>1160355.64</v>
      </c>
      <c r="AA8" s="15" t="n">
        <v>1568894.46</v>
      </c>
      <c r="AB8" s="15" t="n">
        <v>736397.7</v>
      </c>
      <c r="AC8" s="15" t="n">
        <v>354603.46</v>
      </c>
      <c r="AD8" s="15" t="n">
        <v>1332176.84</v>
      </c>
      <c r="AE8" s="15" t="n">
        <v>2357837.13</v>
      </c>
      <c r="AF8" s="15" t="n">
        <v>2944390.02</v>
      </c>
      <c r="AG8" s="15" t="n">
        <v>896458.72</v>
      </c>
      <c r="AH8" s="15" t="n">
        <v>353448.71</v>
      </c>
      <c r="AI8" s="15" t="n">
        <v>167509.24</v>
      </c>
      <c r="AJ8" s="15" t="n">
        <v>-190273.32</v>
      </c>
      <c r="AK8" s="15" t="n">
        <v>553168.65</v>
      </c>
      <c r="AL8" s="15" t="n">
        <v>895220.74</v>
      </c>
      <c r="AM8" s="15" t="n">
        <v>2149171.02</v>
      </c>
      <c r="AN8" s="15" t="n">
        <v>233983.82</v>
      </c>
      <c r="AO8" s="15" t="n">
        <v>157965.68</v>
      </c>
      <c r="AP8" s="15" t="n">
        <v>-126970.59</v>
      </c>
      <c r="AQ8" s="15" t="n">
        <v>282433.21</v>
      </c>
      <c r="AR8" s="15" t="n">
        <v>4520639.42</v>
      </c>
      <c r="AS8" s="15" t="n">
        <v>1961010.23</v>
      </c>
      <c r="AT8" s="15" t="n">
        <v>1409644.96</v>
      </c>
      <c r="AU8" s="15" t="n">
        <v>223561.5</v>
      </c>
      <c r="AV8" s="15" t="n">
        <v>1465477.53</v>
      </c>
      <c r="AW8" s="15" t="n">
        <v>2092879.89</v>
      </c>
      <c r="AX8" s="15" t="n">
        <v>2650802.66</v>
      </c>
      <c r="AY8" s="15" t="n">
        <v>1245541.98</v>
      </c>
      <c r="AZ8" s="15" t="n">
        <v>1255997.81</v>
      </c>
      <c r="BA8" s="15" t="n">
        <v>276441.97</v>
      </c>
      <c r="BB8" s="15" t="n">
        <v>974753.9</v>
      </c>
      <c r="BC8" s="15" t="n">
        <v>655752.09</v>
      </c>
      <c r="BD8" s="15" t="n">
        <v>1014427.07</v>
      </c>
      <c r="BE8" s="15" t="n">
        <v>2409912.35</v>
      </c>
      <c r="BF8" s="15" t="n">
        <v>266756.02</v>
      </c>
      <c r="BG8" s="15" t="n">
        <v>334416.41</v>
      </c>
      <c r="BH8" s="15" t="n">
        <v>577005.62</v>
      </c>
      <c r="BI8" s="15" t="n">
        <v>2698657.08</v>
      </c>
      <c r="BJ8" s="15" t="n">
        <v>4752176.34</v>
      </c>
      <c r="BK8" s="15" t="n">
        <v>2857840.14</v>
      </c>
      <c r="BL8" s="15" t="n">
        <v>1828018.94</v>
      </c>
      <c r="BM8" s="15" t="n">
        <v>162963.89</v>
      </c>
      <c r="BN8" s="15" t="n">
        <v>264288.14</v>
      </c>
      <c r="BO8" s="15" t="n">
        <v>2585916.28</v>
      </c>
      <c r="BP8" s="15" t="n">
        <v>706395.05</v>
      </c>
      <c r="BQ8" s="15" t="n">
        <v>2732044.17</v>
      </c>
      <c r="BR8" s="15" t="n">
        <v>640442.55</v>
      </c>
      <c r="BS8" s="15" t="n">
        <v>399989.41</v>
      </c>
      <c r="BT8" s="15" t="n">
        <v>1022849.19</v>
      </c>
      <c r="BU8" s="15" t="n">
        <v>2274206.08</v>
      </c>
      <c r="BV8" s="15" t="n">
        <v>224638.44</v>
      </c>
      <c r="BW8" s="15" t="n">
        <v>339603.47</v>
      </c>
      <c r="BX8" s="15" t="n">
        <v>397562.43</v>
      </c>
      <c r="BY8" s="15" t="n">
        <v>263517.37</v>
      </c>
      <c r="BZ8" s="15" t="n">
        <v>1300537.25</v>
      </c>
      <c r="CA8" s="15" t="n">
        <v>933494.95</v>
      </c>
      <c r="CB8" s="15" t="n">
        <v>1860589.23</v>
      </c>
      <c r="CC8" s="15" t="n">
        <v>2496734.73</v>
      </c>
      <c r="CD8" s="15" t="n">
        <v>1076568.08</v>
      </c>
      <c r="CE8" s="15" t="n">
        <v>93704.45</v>
      </c>
      <c r="CF8" s="15" t="n">
        <v>1439895.41</v>
      </c>
      <c r="CG8" s="15" t="n">
        <v>1216093.33</v>
      </c>
      <c r="CH8" s="15" t="n">
        <v>2761407.19</v>
      </c>
      <c r="CI8" s="15" t="n">
        <v>2806213.34</v>
      </c>
      <c r="CJ8" s="15" t="n">
        <v>1946234.99</v>
      </c>
      <c r="CK8" s="15" t="n">
        <v>366360.37</v>
      </c>
      <c r="CL8" s="15" t="n">
        <v>50837.5</v>
      </c>
      <c r="CM8" s="15" t="n">
        <v>2927988.43</v>
      </c>
      <c r="CN8" s="15" t="n">
        <v>3700402.9</v>
      </c>
      <c r="CO8" s="15" t="n">
        <v>800286.1</v>
      </c>
      <c r="CP8" s="15" t="n">
        <v>364827.63</v>
      </c>
      <c r="CQ8" s="15" t="n">
        <v>202602.18</v>
      </c>
      <c r="CR8" s="15" t="n">
        <v>1217172.4</v>
      </c>
      <c r="CS8" s="15" t="n">
        <v>2548549.06</v>
      </c>
      <c r="CT8" s="15" t="n">
        <v>4995453.05</v>
      </c>
      <c r="CU8" s="15" t="n">
        <v>524809.27</v>
      </c>
      <c r="CV8" s="15" t="n">
        <v>1990082.28</v>
      </c>
      <c r="CW8" s="15" t="n">
        <v>163436.01</v>
      </c>
      <c r="CX8" s="15" t="n">
        <v>1393399.37</v>
      </c>
      <c r="CY8" s="15" t="n">
        <v>3872698.45</v>
      </c>
      <c r="CZ8" s="15" t="n">
        <v>4417630.12</v>
      </c>
      <c r="DA8" s="15" t="n">
        <v>527242.41</v>
      </c>
      <c r="DB8" s="15" t="n">
        <v>1083054.76</v>
      </c>
      <c r="DC8" s="15" t="n">
        <v>226095.59</v>
      </c>
      <c r="DD8" s="15" t="n">
        <v>-133097.25</v>
      </c>
      <c r="DE8" s="15" t="n">
        <v>1836899.1</v>
      </c>
      <c r="DF8" s="15" t="n">
        <v>1985839.27</v>
      </c>
      <c r="DG8" s="15" t="n">
        <v>974154.12</v>
      </c>
      <c r="DH8" s="15" t="n">
        <v>286538.79</v>
      </c>
      <c r="DI8" s="15" t="n">
        <v>460170.41</v>
      </c>
      <c r="DJ8" s="15" t="n">
        <v>136435.16</v>
      </c>
      <c r="DK8" s="15" t="n">
        <v>3971992.78</v>
      </c>
      <c r="DL8" s="15" t="n">
        <v>4674911.43</v>
      </c>
      <c r="DM8" s="15" t="n">
        <v>2002390.35</v>
      </c>
      <c r="DN8" s="15" t="n">
        <v>1507562.8</v>
      </c>
      <c r="DO8" s="15" t="n">
        <v>251811.71</v>
      </c>
      <c r="DP8" s="15" t="n">
        <v>1000334.65</v>
      </c>
    </row>
    <row r="9">
      <c r="A9" s="4" t="inlineStr">
        <is>
          <t>团餐</t>
        </is>
      </c>
      <c r="B9" s="15" t="n">
        <v>4508878.23</v>
      </c>
      <c r="C9" s="15" t="n">
        <v>2142485.16</v>
      </c>
      <c r="D9" s="15" t="n">
        <v>1821710.96</v>
      </c>
      <c r="E9" s="15" t="n">
        <v>158168.13</v>
      </c>
      <c r="F9" s="15" t="n">
        <v>1451279.86</v>
      </c>
      <c r="G9" s="15" t="n">
        <v>2827136.06</v>
      </c>
      <c r="H9" s="15" t="n">
        <v>4488881.88</v>
      </c>
      <c r="I9" s="15" t="n">
        <v>1527667.82</v>
      </c>
      <c r="J9" s="15" t="n">
        <v>1729250.98</v>
      </c>
      <c r="K9" s="15" t="n">
        <v>46768.99</v>
      </c>
      <c r="L9" s="15" t="n">
        <v>562996.24</v>
      </c>
      <c r="M9" s="15" t="n">
        <v>1405121.92</v>
      </c>
      <c r="N9" s="15" t="n">
        <v>3988109.37</v>
      </c>
      <c r="O9" s="15" t="n">
        <v>2537942.98</v>
      </c>
      <c r="P9" s="15" t="n">
        <v>122482.89</v>
      </c>
      <c r="Q9" s="15" t="n">
        <v>128139.97</v>
      </c>
      <c r="R9" s="15" t="n">
        <v>171726.98</v>
      </c>
      <c r="S9" s="15" t="n">
        <v>220318.57</v>
      </c>
      <c r="T9" s="15" t="n">
        <v>3977750.42</v>
      </c>
      <c r="U9" s="15" t="n">
        <v>2572152.21</v>
      </c>
      <c r="V9" s="15" t="n">
        <v>56966.68</v>
      </c>
      <c r="W9" s="15" t="n">
        <v>339874.98</v>
      </c>
      <c r="X9" s="15" t="n">
        <v>1166623.77</v>
      </c>
      <c r="Y9" s="15" t="n">
        <v>2425518.83</v>
      </c>
      <c r="Z9" s="15" t="n">
        <v>4328424.41</v>
      </c>
      <c r="AA9" s="15" t="n">
        <v>2901595.56</v>
      </c>
      <c r="AB9" s="15" t="n">
        <v>306388.94</v>
      </c>
      <c r="AC9" s="15" t="n">
        <v>401156.61</v>
      </c>
      <c r="AD9" s="15" t="n">
        <v>1167355.77</v>
      </c>
      <c r="AE9" s="15" t="n">
        <v>619271.14</v>
      </c>
      <c r="AF9" s="15" t="n">
        <v>1454895.61</v>
      </c>
      <c r="AG9" s="15" t="n">
        <v>1330846.09</v>
      </c>
      <c r="AH9" s="15" t="n">
        <v>592892.5699999999</v>
      </c>
      <c r="AI9" s="15" t="n">
        <v>41718.42</v>
      </c>
      <c r="AJ9" s="15" t="n">
        <v>1066400.38</v>
      </c>
      <c r="AK9" s="15" t="n">
        <v>2692391.74</v>
      </c>
      <c r="AL9" s="15" t="n">
        <v>2706062.7</v>
      </c>
      <c r="AM9" s="15" t="n">
        <v>2032480.93</v>
      </c>
      <c r="AN9" s="15" t="n">
        <v>1195185.06</v>
      </c>
      <c r="AO9" s="15" t="n">
        <v>247844.09</v>
      </c>
      <c r="AP9" s="15" t="n">
        <v>1234805.46</v>
      </c>
      <c r="AQ9" s="15" t="n">
        <v>3029626.5</v>
      </c>
      <c r="AR9" s="15" t="n">
        <v>4772162.2</v>
      </c>
      <c r="AS9" s="15" t="n">
        <v>2146157.76</v>
      </c>
      <c r="AT9" s="15" t="n">
        <v>483188.43</v>
      </c>
      <c r="AU9" s="15" t="n">
        <v>279944.89</v>
      </c>
      <c r="AV9" s="15" t="n">
        <v>988837.27</v>
      </c>
      <c r="AW9" s="15" t="n">
        <v>940559.34</v>
      </c>
      <c r="AX9" s="15" t="n">
        <v>3322065.1</v>
      </c>
      <c r="AY9" s="15" t="n">
        <v>2426517.33</v>
      </c>
      <c r="AZ9" s="15" t="n">
        <v>355133.78</v>
      </c>
      <c r="BA9" s="15" t="n">
        <v>464673.77</v>
      </c>
      <c r="BB9" s="15" t="n">
        <v>780148.91</v>
      </c>
      <c r="BC9" s="15" t="n">
        <v>3638715.78</v>
      </c>
      <c r="BD9" s="15" t="n">
        <v>3275710.58</v>
      </c>
      <c r="BE9" s="15" t="n">
        <v>2912524.27</v>
      </c>
      <c r="BF9" s="15" t="n">
        <v>1260585.47</v>
      </c>
      <c r="BG9" s="15" t="n">
        <v>390762.49</v>
      </c>
      <c r="BH9" s="15" t="n">
        <v>581014</v>
      </c>
      <c r="BI9" s="15" t="n">
        <v>2631567.03</v>
      </c>
      <c r="BJ9" s="15" t="n">
        <v>2628266.94</v>
      </c>
      <c r="BK9" s="15" t="n">
        <v>1465625.92</v>
      </c>
      <c r="BL9" s="15" t="n">
        <v>1967921.8</v>
      </c>
      <c r="BM9" s="15" t="n">
        <v>460120.92</v>
      </c>
      <c r="BN9" s="15" t="n">
        <v>266135.26</v>
      </c>
      <c r="BO9" s="15" t="n">
        <v>2630796.93</v>
      </c>
      <c r="BP9" s="15" t="n">
        <v>1238020.73</v>
      </c>
      <c r="BQ9" s="15" t="n">
        <v>2717134.09</v>
      </c>
      <c r="BR9" s="15" t="n">
        <v>924084.36</v>
      </c>
      <c r="BS9" s="15" t="n">
        <v>328714.98</v>
      </c>
      <c r="BT9" s="15" t="n">
        <v>-65575.49000000001</v>
      </c>
      <c r="BU9" s="15" t="n">
        <v>2487648.43</v>
      </c>
      <c r="BV9" s="15" t="n">
        <v>1899357.06</v>
      </c>
      <c r="BW9" s="15" t="n">
        <v>751678.12</v>
      </c>
      <c r="BX9" s="15" t="n">
        <v>1644824.92</v>
      </c>
      <c r="BY9" s="15" t="n">
        <v>365479.07</v>
      </c>
      <c r="BZ9" s="15" t="n">
        <v>958876.66</v>
      </c>
      <c r="CA9" s="15" t="n">
        <v>2405229.57</v>
      </c>
      <c r="CB9" s="15" t="n">
        <v>3404864.34</v>
      </c>
      <c r="CC9" s="15" t="n">
        <v>1973353.97</v>
      </c>
      <c r="CD9" s="15" t="n">
        <v>651122</v>
      </c>
      <c r="CE9" s="15" t="n">
        <v>163106.1</v>
      </c>
      <c r="CF9" s="15" t="n">
        <v>594884.75</v>
      </c>
      <c r="CG9" s="15" t="n">
        <v>303551.24</v>
      </c>
      <c r="CH9" s="15" t="n">
        <v>133499.08</v>
      </c>
      <c r="CI9" s="15" t="n">
        <v>1439691.84</v>
      </c>
      <c r="CJ9" s="15" t="n">
        <v>1712254.11</v>
      </c>
      <c r="CK9" s="15" t="n">
        <v>331166.28</v>
      </c>
      <c r="CL9" s="15" t="n">
        <v>642550.99</v>
      </c>
      <c r="CM9" s="15" t="n">
        <v>1549828.5</v>
      </c>
      <c r="CN9" s="15" t="n">
        <v>3643749.86</v>
      </c>
      <c r="CO9" s="15" t="n">
        <v>1681641.14</v>
      </c>
      <c r="CP9" s="15" t="n">
        <v>1553166.68</v>
      </c>
      <c r="CQ9" s="15" t="n">
        <v>155791.17</v>
      </c>
      <c r="CR9" s="15" t="n">
        <v>280339.47</v>
      </c>
      <c r="CS9" s="15" t="n">
        <v>2345245.21</v>
      </c>
      <c r="CT9" s="15" t="n">
        <v>3098584.25</v>
      </c>
      <c r="CU9" s="15" t="n">
        <v>2744053.52</v>
      </c>
      <c r="CV9" s="15" t="n">
        <v>411683.14</v>
      </c>
      <c r="CW9" s="15" t="n">
        <v>179786.52</v>
      </c>
      <c r="CX9" s="15" t="n">
        <v>442404.14</v>
      </c>
      <c r="CY9" s="15" t="n">
        <v>1711302.54</v>
      </c>
      <c r="CZ9" s="15" t="n">
        <v>4795139.57</v>
      </c>
      <c r="DA9" s="15" t="n">
        <v>428222.54</v>
      </c>
      <c r="DB9" s="15" t="n">
        <v>159971.59</v>
      </c>
      <c r="DC9" s="15" t="n">
        <v>277948.69</v>
      </c>
      <c r="DD9" s="15" t="n">
        <v>-180475.93</v>
      </c>
      <c r="DE9" s="15" t="n">
        <v>1355391.72</v>
      </c>
      <c r="DF9" s="15" t="n">
        <v>2936124.87</v>
      </c>
      <c r="DG9" s="15" t="n">
        <v>274500.39</v>
      </c>
      <c r="DH9" s="15" t="n">
        <v>1566661.86</v>
      </c>
      <c r="DI9" s="15" t="n">
        <v>136030.34</v>
      </c>
      <c r="DJ9" s="15" t="n">
        <v>275105.17</v>
      </c>
      <c r="DK9" s="15" t="n">
        <v>1487262.91</v>
      </c>
      <c r="DL9" s="15" t="n">
        <v>3766437.57</v>
      </c>
      <c r="DM9" s="15" t="n">
        <v>538877.04</v>
      </c>
      <c r="DN9" s="15" t="n">
        <v>754158.86</v>
      </c>
      <c r="DO9" s="15" t="n">
        <v>173077.34</v>
      </c>
      <c r="DP9" s="15" t="n">
        <v>-28603.24</v>
      </c>
    </row>
    <row r="10">
      <c r="A10" s="4" t="inlineStr">
        <is>
          <t>预制菜</t>
        </is>
      </c>
      <c r="B10" s="15" t="n">
        <v>4103945.32</v>
      </c>
      <c r="C10" s="15" t="n">
        <v>2483935.16</v>
      </c>
      <c r="D10" s="15" t="n">
        <v>1421804.43</v>
      </c>
      <c r="E10" s="15" t="n">
        <v>373823.05</v>
      </c>
      <c r="F10" s="15" t="n">
        <v>840967.27</v>
      </c>
      <c r="G10" s="15" t="n">
        <v>1455993.53</v>
      </c>
      <c r="H10" s="15" t="n">
        <v>571710.36</v>
      </c>
      <c r="I10" s="15" t="n">
        <v>1275603.34</v>
      </c>
      <c r="J10" s="15" t="n">
        <v>1325705.41</v>
      </c>
      <c r="K10" s="15" t="n">
        <v>183649.76</v>
      </c>
      <c r="L10" s="15" t="n">
        <v>1365222.25</v>
      </c>
      <c r="M10" s="15" t="n">
        <v>2839677.41</v>
      </c>
      <c r="N10" s="15" t="n">
        <v>4591982.56</v>
      </c>
      <c r="O10" s="15" t="n">
        <v>136174.49</v>
      </c>
      <c r="P10" s="15" t="n">
        <v>833227.61</v>
      </c>
      <c r="Q10" s="15" t="n">
        <v>161225</v>
      </c>
      <c r="R10" s="15" t="n">
        <v>-17667.09</v>
      </c>
      <c r="S10" s="15" t="n">
        <v>983138.66</v>
      </c>
      <c r="T10" s="15" t="n">
        <v>4316755.35</v>
      </c>
      <c r="U10" s="15" t="n">
        <v>2799180.13</v>
      </c>
      <c r="V10" s="15" t="n">
        <v>474169.24</v>
      </c>
      <c r="W10" s="15" t="n">
        <v>380591.81</v>
      </c>
      <c r="X10" s="15" t="n">
        <v>1048028.86</v>
      </c>
      <c r="Y10" s="15" t="n">
        <v>118480.38</v>
      </c>
      <c r="Z10" s="15" t="n">
        <v>4282160.17</v>
      </c>
      <c r="AA10" s="15" t="n">
        <v>2217885.56</v>
      </c>
      <c r="AB10" s="15" t="n">
        <v>518581.48</v>
      </c>
      <c r="AC10" s="15" t="n">
        <v>250705.79</v>
      </c>
      <c r="AD10" s="15" t="n">
        <v>644266.84</v>
      </c>
      <c r="AE10" s="15" t="n">
        <v>3692589.72</v>
      </c>
      <c r="AF10" s="15" t="n">
        <v>797576.39</v>
      </c>
      <c r="AG10" s="15" t="n">
        <v>757538.2</v>
      </c>
      <c r="AH10" s="15" t="n">
        <v>285930.22</v>
      </c>
      <c r="AI10" s="15" t="n">
        <v>434424.59</v>
      </c>
      <c r="AJ10" s="15" t="n">
        <v>627669.53</v>
      </c>
      <c r="AK10" s="15" t="n">
        <v>2049126.58</v>
      </c>
      <c r="AL10" s="15" t="n">
        <v>4068220.11</v>
      </c>
      <c r="AM10" s="15" t="n">
        <v>2613023.01</v>
      </c>
      <c r="AN10" s="15" t="n">
        <v>1916420.89</v>
      </c>
      <c r="AO10" s="15" t="n">
        <v>496592.98</v>
      </c>
      <c r="AP10" s="15" t="n">
        <v>137827.46</v>
      </c>
      <c r="AQ10" s="15" t="n">
        <v>3826908.94</v>
      </c>
      <c r="AR10" s="15" t="n">
        <v>3424305.57</v>
      </c>
      <c r="AS10" s="15" t="n">
        <v>696449.2</v>
      </c>
      <c r="AT10" s="15" t="n">
        <v>1654562.2</v>
      </c>
      <c r="AU10" s="15" t="n">
        <v>64898.07</v>
      </c>
      <c r="AV10" s="15" t="n">
        <v>677122.63</v>
      </c>
      <c r="AW10" s="15" t="n">
        <v>1810085.39</v>
      </c>
      <c r="AX10" s="15" t="n">
        <v>4445530.64</v>
      </c>
      <c r="AY10" s="15" t="n">
        <v>2627217.78</v>
      </c>
      <c r="AZ10" s="15" t="n">
        <v>1635695.22</v>
      </c>
      <c r="BA10" s="15" t="n">
        <v>330382.17</v>
      </c>
      <c r="BB10" s="15" t="n">
        <v>769344.66</v>
      </c>
      <c r="BC10" s="15" t="n">
        <v>981832.92</v>
      </c>
      <c r="BD10" s="15" t="n">
        <v>4728216.43</v>
      </c>
      <c r="BE10" s="15" t="n">
        <v>963189.87</v>
      </c>
      <c r="BF10" s="15" t="n">
        <v>897378.1800000001</v>
      </c>
      <c r="BG10" s="15" t="n">
        <v>344175.29</v>
      </c>
      <c r="BH10" s="15" t="n">
        <v>1073516.47</v>
      </c>
      <c r="BI10" s="15" t="n">
        <v>3519117.68</v>
      </c>
      <c r="BJ10" s="15" t="n">
        <v>4775666.99</v>
      </c>
      <c r="BK10" s="15" t="n">
        <v>412815.37</v>
      </c>
      <c r="BL10" s="15" t="n">
        <v>1808252.73</v>
      </c>
      <c r="BM10" s="15" t="n">
        <v>226205.55</v>
      </c>
      <c r="BN10" s="15" t="n">
        <v>339195.4</v>
      </c>
      <c r="BO10" s="15" t="n">
        <v>2358869.17</v>
      </c>
      <c r="BP10" s="15" t="n">
        <v>1296424.72</v>
      </c>
      <c r="BQ10" s="15" t="n">
        <v>2578489.88</v>
      </c>
      <c r="BR10" s="15" t="n">
        <v>1784472.6</v>
      </c>
      <c r="BS10" s="15" t="n">
        <v>116554.17</v>
      </c>
      <c r="BT10" s="15" t="n">
        <v>-50944.8</v>
      </c>
      <c r="BU10" s="15" t="n">
        <v>2456796.1</v>
      </c>
      <c r="BV10" s="15" t="n">
        <v>4774459.8</v>
      </c>
      <c r="BW10" s="15" t="n">
        <v>761500.26</v>
      </c>
      <c r="BX10" s="15" t="n">
        <v>1976288.96</v>
      </c>
      <c r="BY10" s="15" t="n">
        <v>449856.15</v>
      </c>
      <c r="BZ10" s="15" t="n">
        <v>1493729.72</v>
      </c>
      <c r="CA10" s="15" t="n">
        <v>2055164.9</v>
      </c>
      <c r="CB10" s="15" t="n">
        <v>893672.22</v>
      </c>
      <c r="CC10" s="15" t="n">
        <v>767769.16</v>
      </c>
      <c r="CD10" s="15" t="n">
        <v>1636494.32</v>
      </c>
      <c r="CE10" s="15" t="n">
        <v>368681.61</v>
      </c>
      <c r="CF10" s="15" t="n">
        <v>368359.73</v>
      </c>
      <c r="CG10" s="15" t="n">
        <v>3886641.67</v>
      </c>
      <c r="CH10" s="15" t="n">
        <v>4454238.69</v>
      </c>
      <c r="CI10" s="15" t="n">
        <v>2039596.44</v>
      </c>
      <c r="CJ10" s="15" t="n">
        <v>72166.94</v>
      </c>
      <c r="CK10" s="15" t="n">
        <v>125089.43</v>
      </c>
      <c r="CL10" s="15" t="n">
        <v>1377224.67</v>
      </c>
      <c r="CM10" s="15" t="n">
        <v>454457.15</v>
      </c>
      <c r="CN10" s="15" t="n">
        <v>4025715.84</v>
      </c>
      <c r="CO10" s="15" t="n">
        <v>775755.4399999999</v>
      </c>
      <c r="CP10" s="15" t="n">
        <v>846613.8100000001</v>
      </c>
      <c r="CQ10" s="15" t="n">
        <v>278099.41</v>
      </c>
      <c r="CR10" s="15" t="n">
        <v>432779.16</v>
      </c>
      <c r="CS10" s="15" t="n">
        <v>443303.78</v>
      </c>
      <c r="CT10" s="15" t="n">
        <v>283429.21</v>
      </c>
      <c r="CU10" s="15" t="n">
        <v>190925.22</v>
      </c>
      <c r="CV10" s="15" t="n">
        <v>154090.11</v>
      </c>
      <c r="CW10" s="15" t="n">
        <v>85002.31</v>
      </c>
      <c r="CX10" s="15" t="n">
        <v>-71135.35000000001</v>
      </c>
      <c r="CY10" s="15" t="n">
        <v>1071082.21</v>
      </c>
      <c r="CZ10" s="15" t="n">
        <v>2765469.49</v>
      </c>
      <c r="DA10" s="15" t="n">
        <v>1376353.73</v>
      </c>
      <c r="DB10" s="15" t="n">
        <v>286737.62</v>
      </c>
      <c r="DC10" s="15" t="n">
        <v>138277.42</v>
      </c>
      <c r="DD10" s="15" t="n">
        <v>518516.4</v>
      </c>
      <c r="DE10" s="15" t="n">
        <v>1744478.51</v>
      </c>
      <c r="DF10" s="15" t="n">
        <v>2795748.71</v>
      </c>
      <c r="DG10" s="15" t="n">
        <v>1626899.01</v>
      </c>
      <c r="DH10" s="15" t="n">
        <v>1290228.38</v>
      </c>
      <c r="DI10" s="15" t="n">
        <v>319844.57</v>
      </c>
      <c r="DJ10" s="15" t="n">
        <v>112318.5</v>
      </c>
      <c r="DK10" s="15" t="n">
        <v>331785.01</v>
      </c>
      <c r="DL10" s="15" t="n">
        <v>2882572.84</v>
      </c>
      <c r="DM10" s="15" t="n">
        <v>1747390.45</v>
      </c>
      <c r="DN10" s="15" t="n">
        <v>1726520.42</v>
      </c>
      <c r="DO10" s="15" t="n">
        <v>428477.8</v>
      </c>
      <c r="DP10" s="15" t="n">
        <v>156361.57</v>
      </c>
    </row>
    <row r="11">
      <c r="A11" s="4" t="inlineStr">
        <is>
          <t>其他产品A</t>
        </is>
      </c>
      <c r="B11" s="15" t="n">
        <v>728960.04</v>
      </c>
      <c r="C11" s="15" t="n">
        <v>120563.59</v>
      </c>
      <c r="D11" s="15" t="n">
        <v>391661.67</v>
      </c>
      <c r="E11" s="15" t="n">
        <v>162580.03</v>
      </c>
      <c r="F11" s="15" t="n">
        <v>642478.4300000001</v>
      </c>
      <c r="G11" s="15" t="n">
        <v>915137.01</v>
      </c>
      <c r="H11" s="15" t="n">
        <v>1104160.84</v>
      </c>
      <c r="I11" s="15" t="n">
        <v>957979.96</v>
      </c>
      <c r="J11" s="15" t="n">
        <v>226857.55</v>
      </c>
      <c r="K11" s="15" t="n">
        <v>211565.65</v>
      </c>
      <c r="L11" s="15" t="n">
        <v>-87216.28</v>
      </c>
      <c r="M11" s="15" t="n">
        <v>256339.14</v>
      </c>
      <c r="N11" s="15" t="n">
        <v>201972.37</v>
      </c>
      <c r="O11" s="15" t="n">
        <v>2539759.09</v>
      </c>
      <c r="P11" s="15" t="n">
        <v>23849.69</v>
      </c>
      <c r="Q11" s="15" t="n">
        <v>15873.59</v>
      </c>
      <c r="R11" s="15" t="n">
        <v>296903.11</v>
      </c>
      <c r="S11" s="15" t="n">
        <v>861168.53</v>
      </c>
      <c r="T11" s="15" t="n">
        <v>1248623.26</v>
      </c>
      <c r="U11" s="15" t="n">
        <v>1137177.51</v>
      </c>
      <c r="V11" s="15" t="n">
        <v>1920885</v>
      </c>
      <c r="W11" s="15" t="n">
        <v>233055.35</v>
      </c>
      <c r="X11" s="15" t="n">
        <v>315884.5</v>
      </c>
      <c r="Y11" s="15" t="n">
        <v>265514.49</v>
      </c>
      <c r="Z11" s="15" t="n">
        <v>2414555.78</v>
      </c>
      <c r="AA11" s="15" t="n">
        <v>2928768.19</v>
      </c>
      <c r="AB11" s="15" t="n">
        <v>310547.59</v>
      </c>
      <c r="AC11" s="15" t="n">
        <v>343670.3</v>
      </c>
      <c r="AD11" s="15" t="n">
        <v>954325.9399999999</v>
      </c>
      <c r="AE11" s="15" t="n">
        <v>2419440.37</v>
      </c>
      <c r="AF11" s="15" t="n">
        <v>1850969.49</v>
      </c>
      <c r="AG11" s="15" t="n">
        <v>2279760.44</v>
      </c>
      <c r="AH11" s="15" t="n">
        <v>1991143.87</v>
      </c>
      <c r="AI11" s="15" t="n">
        <v>237483.91</v>
      </c>
      <c r="AJ11" s="15" t="n">
        <v>916792.22</v>
      </c>
      <c r="AK11" s="15" t="n">
        <v>1997355.61</v>
      </c>
      <c r="AL11" s="15" t="n">
        <v>3995063.4</v>
      </c>
      <c r="AM11" s="15" t="n">
        <v>285660.18</v>
      </c>
      <c r="AN11" s="15" t="n">
        <v>1055014.54</v>
      </c>
      <c r="AO11" s="15" t="n">
        <v>384493.62</v>
      </c>
      <c r="AP11" s="15" t="n">
        <v>1315077.93</v>
      </c>
      <c r="AQ11" s="15" t="n">
        <v>2272464.9</v>
      </c>
      <c r="AR11" s="15" t="n">
        <v>2952068.33</v>
      </c>
      <c r="AS11" s="15" t="n">
        <v>1520642.32</v>
      </c>
      <c r="AT11" s="15" t="n">
        <v>1116377.23</v>
      </c>
      <c r="AU11" s="15" t="n">
        <v>426006.28</v>
      </c>
      <c r="AV11" s="15" t="n">
        <v>571723.9</v>
      </c>
      <c r="AW11" s="15" t="n">
        <v>1740195.75</v>
      </c>
      <c r="AX11" s="15" t="n">
        <v>3704194.77</v>
      </c>
      <c r="AY11" s="15" t="n">
        <v>2758404.63</v>
      </c>
      <c r="AZ11" s="15" t="n">
        <v>1732241.05</v>
      </c>
      <c r="BA11" s="15" t="n">
        <v>116691.41</v>
      </c>
      <c r="BB11" s="15" t="n">
        <v>616651.0699999999</v>
      </c>
      <c r="BC11" s="15" t="n">
        <v>2652624.57</v>
      </c>
      <c r="BD11" s="15" t="n">
        <v>731084.16</v>
      </c>
      <c r="BE11" s="15" t="n">
        <v>686464.45</v>
      </c>
      <c r="BF11" s="15" t="n">
        <v>1083348.69</v>
      </c>
      <c r="BG11" s="15" t="n">
        <v>271185.23</v>
      </c>
      <c r="BH11" s="15" t="n">
        <v>775393.25</v>
      </c>
      <c r="BI11" s="15" t="n">
        <v>2489718.51</v>
      </c>
      <c r="BJ11" s="15" t="n">
        <v>3251792.95</v>
      </c>
      <c r="BK11" s="15" t="n">
        <v>2411651.16</v>
      </c>
      <c r="BL11" s="15" t="n">
        <v>102605.09</v>
      </c>
      <c r="BM11" s="15" t="n">
        <v>258272.65</v>
      </c>
      <c r="BN11" s="15" t="n">
        <v>182201.93</v>
      </c>
      <c r="BO11" s="15" t="n">
        <v>1157650.11</v>
      </c>
      <c r="BP11" s="15" t="n">
        <v>672854.51</v>
      </c>
      <c r="BQ11" s="15" t="n">
        <v>803563.26</v>
      </c>
      <c r="BR11" s="15" t="n">
        <v>696333.52</v>
      </c>
      <c r="BS11" s="15" t="n">
        <v>255632.78</v>
      </c>
      <c r="BT11" s="15" t="n">
        <v>1379967.63</v>
      </c>
      <c r="BU11" s="15" t="n">
        <v>3249272.24</v>
      </c>
      <c r="BV11" s="15" t="n">
        <v>514022.24</v>
      </c>
      <c r="BW11" s="15" t="n">
        <v>2225440.95</v>
      </c>
      <c r="BX11" s="15" t="n">
        <v>923365.0600000001</v>
      </c>
      <c r="BY11" s="15" t="n">
        <v>364853.9</v>
      </c>
      <c r="BZ11" s="15" t="n">
        <v>276933.89</v>
      </c>
      <c r="CA11" s="15" t="n">
        <v>2191119.68</v>
      </c>
      <c r="CB11" s="15" t="n">
        <v>4504258.9</v>
      </c>
      <c r="CC11" s="15" t="n">
        <v>150025.95</v>
      </c>
      <c r="CD11" s="15" t="n">
        <v>1924443.99</v>
      </c>
      <c r="CE11" s="15" t="n">
        <v>293582.09</v>
      </c>
      <c r="CF11" s="15" t="n">
        <v>484657.54</v>
      </c>
      <c r="CG11" s="15" t="n">
        <v>1301857.81</v>
      </c>
      <c r="CH11" s="15" t="n">
        <v>3418945.38</v>
      </c>
      <c r="CI11" s="15" t="n">
        <v>789046.6899999999</v>
      </c>
      <c r="CJ11" s="15" t="n">
        <v>1274689.6</v>
      </c>
      <c r="CK11" s="15" t="n">
        <v>62402.25</v>
      </c>
      <c r="CL11" s="15" t="n">
        <v>1289833.71</v>
      </c>
      <c r="CM11" s="15" t="n">
        <v>3235042.66</v>
      </c>
      <c r="CN11" s="15" t="n">
        <v>2598993.98</v>
      </c>
      <c r="CO11" s="15" t="n">
        <v>1882260.29</v>
      </c>
      <c r="CP11" s="15" t="n">
        <v>1816201.87</v>
      </c>
      <c r="CQ11" s="15" t="n">
        <v>61961.1</v>
      </c>
      <c r="CR11" s="15" t="n">
        <v>1473580.99</v>
      </c>
      <c r="CS11" s="15" t="n">
        <v>2579235.45</v>
      </c>
      <c r="CT11" s="15" t="n">
        <v>1268287.28</v>
      </c>
      <c r="CU11" s="15" t="n">
        <v>1210415.01</v>
      </c>
      <c r="CV11" s="15" t="n">
        <v>297614.05</v>
      </c>
      <c r="CW11" s="15" t="n">
        <v>187231.58</v>
      </c>
      <c r="CX11" s="15" t="n">
        <v>274177.05</v>
      </c>
      <c r="CY11" s="15" t="n">
        <v>1278212.49</v>
      </c>
      <c r="CZ11" s="15" t="n">
        <v>1036946.05</v>
      </c>
      <c r="DA11" s="15" t="n">
        <v>752482.49</v>
      </c>
      <c r="DB11" s="15" t="n">
        <v>381746.54</v>
      </c>
      <c r="DC11" s="15" t="n">
        <v>49763.59</v>
      </c>
      <c r="DD11" s="15" t="n">
        <v>758019.38</v>
      </c>
      <c r="DE11" s="15" t="n">
        <v>1066517.09</v>
      </c>
      <c r="DF11" s="15" t="n">
        <v>4721461.11</v>
      </c>
      <c r="DG11" s="15" t="n">
        <v>730037.11</v>
      </c>
      <c r="DH11" s="15" t="n">
        <v>641746.5699999999</v>
      </c>
      <c r="DI11" s="15" t="n">
        <v>216033.52</v>
      </c>
      <c r="DJ11" s="15" t="n">
        <v>575347.24</v>
      </c>
      <c r="DK11" s="15" t="n">
        <v>629868.34</v>
      </c>
      <c r="DL11" s="15" t="n">
        <v>367259.32</v>
      </c>
      <c r="DM11" s="15" t="n">
        <v>1436686.85</v>
      </c>
      <c r="DN11" s="15" t="n">
        <v>1277077.21</v>
      </c>
      <c r="DO11" s="15" t="n">
        <v>386186.85</v>
      </c>
      <c r="DP11" s="15" t="n">
        <v>135273.7</v>
      </c>
    </row>
    <row r="12">
      <c r="A12" s="4" t="inlineStr">
        <is>
          <t>其他产品B</t>
        </is>
      </c>
      <c r="B12" s="15" t="n">
        <v>2838718.3</v>
      </c>
      <c r="C12" s="15" t="n">
        <v>880568.66</v>
      </c>
      <c r="D12" s="15" t="n">
        <v>129236.24</v>
      </c>
      <c r="E12" s="15" t="n">
        <v>448710.3</v>
      </c>
      <c r="F12" s="15" t="n">
        <v>410370.33</v>
      </c>
      <c r="G12" s="15" t="n">
        <v>2623613.08</v>
      </c>
      <c r="H12" s="15" t="n">
        <v>3623043.48</v>
      </c>
      <c r="I12" s="15" t="n">
        <v>2281939.18</v>
      </c>
      <c r="J12" s="15" t="n">
        <v>1354064.01</v>
      </c>
      <c r="K12" s="15" t="n">
        <v>140820.23</v>
      </c>
      <c r="L12" s="15" t="n">
        <v>1392848.88</v>
      </c>
      <c r="M12" s="15" t="n">
        <v>3409723.49</v>
      </c>
      <c r="N12" s="15" t="n">
        <v>2305860.39</v>
      </c>
      <c r="O12" s="15" t="n">
        <v>2820849.83</v>
      </c>
      <c r="P12" s="15" t="n">
        <v>1041974.2</v>
      </c>
      <c r="Q12" s="15" t="n">
        <v>300805.92</v>
      </c>
      <c r="R12" s="15" t="n">
        <v>502405.53</v>
      </c>
      <c r="S12" s="15" t="n">
        <v>1914497.64</v>
      </c>
      <c r="T12" s="15" t="n">
        <v>4841661.19</v>
      </c>
      <c r="U12" s="15" t="n">
        <v>2631110.31</v>
      </c>
      <c r="V12" s="15" t="n">
        <v>1085332.32</v>
      </c>
      <c r="W12" s="15" t="n">
        <v>403221.88</v>
      </c>
      <c r="X12" s="15" t="n">
        <v>1376118.69</v>
      </c>
      <c r="Y12" s="15" t="n">
        <v>725790.38</v>
      </c>
      <c r="Z12" s="15" t="n">
        <v>3607455.71</v>
      </c>
      <c r="AA12" s="15" t="n">
        <v>2205959.3</v>
      </c>
      <c r="AB12" s="15" t="n">
        <v>1950410.04</v>
      </c>
      <c r="AC12" s="15" t="n">
        <v>401537.99</v>
      </c>
      <c r="AD12" s="15" t="n">
        <v>1095886.21</v>
      </c>
      <c r="AE12" s="15" t="n">
        <v>202631.71</v>
      </c>
      <c r="AF12" s="15" t="n">
        <v>289625.96</v>
      </c>
      <c r="AG12" s="15" t="n">
        <v>2352100.46</v>
      </c>
      <c r="AH12" s="15" t="n">
        <v>1364689.93</v>
      </c>
      <c r="AI12" s="15" t="n">
        <v>14482.94</v>
      </c>
      <c r="AJ12" s="15" t="n">
        <v>271294.08</v>
      </c>
      <c r="AK12" s="15" t="n">
        <v>3094591.71</v>
      </c>
      <c r="AL12" s="15" t="n">
        <v>3130896.74</v>
      </c>
      <c r="AM12" s="15" t="n">
        <v>1513800.5</v>
      </c>
      <c r="AN12" s="15" t="n">
        <v>1940406.75</v>
      </c>
      <c r="AO12" s="15" t="n">
        <v>493711.69</v>
      </c>
      <c r="AP12" s="15" t="n">
        <v>1129894.93</v>
      </c>
      <c r="AQ12" s="15" t="n">
        <v>1236577.04</v>
      </c>
      <c r="AR12" s="15" t="n">
        <v>617685.0600000001</v>
      </c>
      <c r="AS12" s="15" t="n">
        <v>1364163.7</v>
      </c>
      <c r="AT12" s="15" t="n">
        <v>1343959.72</v>
      </c>
      <c r="AU12" s="15" t="n">
        <v>273333.28</v>
      </c>
      <c r="AV12" s="15" t="n">
        <v>-173438.97</v>
      </c>
      <c r="AW12" s="15" t="n">
        <v>3778855.96</v>
      </c>
      <c r="AX12" s="15" t="n">
        <v>564413.96</v>
      </c>
      <c r="AY12" s="15" t="n">
        <v>2669906.21</v>
      </c>
      <c r="AZ12" s="15" t="n">
        <v>1906077.32</v>
      </c>
      <c r="BA12" s="15" t="n">
        <v>492929.88</v>
      </c>
      <c r="BB12" s="15" t="n">
        <v>738318.01</v>
      </c>
      <c r="BC12" s="15" t="n">
        <v>1682711</v>
      </c>
      <c r="BD12" s="15" t="n">
        <v>500911.72</v>
      </c>
      <c r="BE12" s="15" t="n">
        <v>1290209.24</v>
      </c>
      <c r="BF12" s="15" t="n">
        <v>1903051.53</v>
      </c>
      <c r="BG12" s="15" t="n">
        <v>82978.09</v>
      </c>
      <c r="BH12" s="15" t="n">
        <v>536786.25</v>
      </c>
      <c r="BI12" s="15" t="n">
        <v>3096796.39</v>
      </c>
      <c r="BJ12" s="15" t="n">
        <v>1573033.16</v>
      </c>
      <c r="BK12" s="15" t="n">
        <v>2844817.77</v>
      </c>
      <c r="BL12" s="15" t="n">
        <v>1005178.92</v>
      </c>
      <c r="BM12" s="15" t="n">
        <v>350895.02</v>
      </c>
      <c r="BN12" s="15" t="n">
        <v>757016.63</v>
      </c>
      <c r="BO12" s="15" t="n">
        <v>1704558.08</v>
      </c>
      <c r="BP12" s="15" t="n">
        <v>502604.76</v>
      </c>
      <c r="BQ12" s="15" t="n">
        <v>2427300.91</v>
      </c>
      <c r="BR12" s="15" t="n">
        <v>1959730.9</v>
      </c>
      <c r="BS12" s="15" t="n">
        <v>256019.53</v>
      </c>
      <c r="BT12" s="15" t="n">
        <v>592542.0600000001</v>
      </c>
      <c r="BU12" s="15" t="n">
        <v>134016.58</v>
      </c>
      <c r="BV12" s="15" t="n">
        <v>1286718.76</v>
      </c>
      <c r="BW12" s="15" t="n">
        <v>1019320.92</v>
      </c>
      <c r="BX12" s="15" t="n">
        <v>1557585.03</v>
      </c>
      <c r="BY12" s="15" t="n">
        <v>349539.69</v>
      </c>
      <c r="BZ12" s="15" t="n">
        <v>921342.9</v>
      </c>
      <c r="CA12" s="15" t="n">
        <v>958585.14</v>
      </c>
      <c r="CB12" s="15" t="n">
        <v>3798115.89</v>
      </c>
      <c r="CC12" s="15" t="n">
        <v>1422927.63</v>
      </c>
      <c r="CD12" s="15" t="n">
        <v>286515.51</v>
      </c>
      <c r="CE12" s="15" t="n">
        <v>421652.65</v>
      </c>
      <c r="CF12" s="15" t="n">
        <v>920991.9399999999</v>
      </c>
      <c r="CG12" s="15" t="n">
        <v>3108897.03</v>
      </c>
      <c r="CH12" s="15" t="n">
        <v>2874843.96</v>
      </c>
      <c r="CI12" s="15" t="n">
        <v>1863879.32</v>
      </c>
      <c r="CJ12" s="15" t="n">
        <v>976111.52</v>
      </c>
      <c r="CK12" s="15" t="n">
        <v>447149.64</v>
      </c>
      <c r="CL12" s="15" t="n">
        <v>821222.7</v>
      </c>
      <c r="CM12" s="15" t="n">
        <v>3258629.14</v>
      </c>
      <c r="CN12" s="15" t="n">
        <v>393225.27</v>
      </c>
      <c r="CO12" s="15" t="n">
        <v>688541.5</v>
      </c>
      <c r="CP12" s="15" t="n">
        <v>1556081.52</v>
      </c>
      <c r="CQ12" s="15" t="n">
        <v>137783.21</v>
      </c>
      <c r="CR12" s="15" t="n">
        <v>1432860.73</v>
      </c>
      <c r="CS12" s="15" t="n">
        <v>2092631.46</v>
      </c>
      <c r="CT12" s="15" t="n">
        <v>595394.0699999999</v>
      </c>
      <c r="CU12" s="15" t="n">
        <v>1424270.17</v>
      </c>
      <c r="CV12" s="15" t="n">
        <v>1256168.75</v>
      </c>
      <c r="CW12" s="15" t="n">
        <v>440391.72</v>
      </c>
      <c r="CX12" s="15" t="n">
        <v>650358.95</v>
      </c>
      <c r="CY12" s="15" t="n">
        <v>2392366.55</v>
      </c>
      <c r="CZ12" s="15" t="n">
        <v>799387.66</v>
      </c>
      <c r="DA12" s="15" t="n">
        <v>1247593.32</v>
      </c>
      <c r="DB12" s="15" t="n">
        <v>1155748.54</v>
      </c>
      <c r="DC12" s="15" t="n">
        <v>148978.6</v>
      </c>
      <c r="DD12" s="15" t="n">
        <v>-162036.88</v>
      </c>
      <c r="DE12" s="15" t="n">
        <v>3431886.69</v>
      </c>
      <c r="DF12" s="15" t="n">
        <v>693938.6899999999</v>
      </c>
      <c r="DG12" s="15" t="n">
        <v>2791528.35</v>
      </c>
      <c r="DH12" s="15" t="n">
        <v>1366572.5</v>
      </c>
      <c r="DI12" s="15" t="n">
        <v>39002.05</v>
      </c>
      <c r="DJ12" s="15" t="n">
        <v>669817.89</v>
      </c>
      <c r="DK12" s="15" t="n">
        <v>3089790.91</v>
      </c>
      <c r="DL12" s="15" t="n">
        <v>1513220.44</v>
      </c>
      <c r="DM12" s="15" t="n">
        <v>459544.2</v>
      </c>
      <c r="DN12" s="15" t="n">
        <v>185800.93</v>
      </c>
      <c r="DO12" s="15" t="n">
        <v>139501.08</v>
      </c>
      <c r="DP12" s="15" t="n">
        <v>407364.28</v>
      </c>
    </row>
    <row r="13">
      <c r="A13" s="4" t="inlineStr">
        <is>
          <t>其他产品C</t>
        </is>
      </c>
      <c r="B13" s="15" t="n">
        <v>1956881.68</v>
      </c>
      <c r="C13" s="15" t="n">
        <v>1152461.58</v>
      </c>
      <c r="D13" s="15" t="n">
        <v>1030007.02</v>
      </c>
      <c r="E13" s="15" t="n">
        <v>71102.23</v>
      </c>
      <c r="F13" s="15" t="n">
        <v>588317.91</v>
      </c>
      <c r="G13" s="15" t="n">
        <v>2411135.28</v>
      </c>
      <c r="H13" s="15" t="n">
        <v>4497929.54</v>
      </c>
      <c r="I13" s="15" t="n">
        <v>1455410.86</v>
      </c>
      <c r="J13" s="15" t="n">
        <v>62716.42</v>
      </c>
      <c r="K13" s="15" t="n">
        <v>142901.34</v>
      </c>
      <c r="L13" s="15" t="n">
        <v>1335998.33</v>
      </c>
      <c r="M13" s="15" t="n">
        <v>1884353.1</v>
      </c>
      <c r="N13" s="15" t="n">
        <v>1069271.23</v>
      </c>
      <c r="O13" s="15" t="n">
        <v>2538055.12</v>
      </c>
      <c r="P13" s="15" t="n">
        <v>721117.46</v>
      </c>
      <c r="Q13" s="15" t="n">
        <v>196853.17</v>
      </c>
      <c r="R13" s="15" t="n">
        <v>960471.86</v>
      </c>
      <c r="S13" s="15" t="n">
        <v>1240390.72</v>
      </c>
      <c r="T13" s="15" t="n">
        <v>4865274</v>
      </c>
      <c r="U13" s="15" t="n">
        <v>2394206.07</v>
      </c>
      <c r="V13" s="15" t="n">
        <v>1568447.81</v>
      </c>
      <c r="W13" s="15" t="n">
        <v>171995.82</v>
      </c>
      <c r="X13" s="15" t="n">
        <v>445902.29</v>
      </c>
      <c r="Y13" s="15" t="n">
        <v>1315593.5</v>
      </c>
      <c r="Z13" s="15" t="n">
        <v>4389162.15</v>
      </c>
      <c r="AA13" s="15" t="n">
        <v>2034956.49</v>
      </c>
      <c r="AB13" s="15" t="n">
        <v>426899.59</v>
      </c>
      <c r="AC13" s="15" t="n">
        <v>45789.35</v>
      </c>
      <c r="AD13" s="15" t="n">
        <v>372147.11</v>
      </c>
      <c r="AE13" s="15" t="n">
        <v>508145.24</v>
      </c>
      <c r="AF13" s="15" t="n">
        <v>425661.19</v>
      </c>
      <c r="AG13" s="15" t="n">
        <v>1800105.54</v>
      </c>
      <c r="AH13" s="15" t="n">
        <v>1841911.12</v>
      </c>
      <c r="AI13" s="15" t="n">
        <v>23239.31</v>
      </c>
      <c r="AJ13" s="15" t="n">
        <v>33764.69</v>
      </c>
      <c r="AK13" s="15" t="n">
        <v>1566388.72</v>
      </c>
      <c r="AL13" s="15" t="n">
        <v>2495121.05</v>
      </c>
      <c r="AM13" s="15" t="n">
        <v>788668.96</v>
      </c>
      <c r="AN13" s="15" t="n">
        <v>815982.28</v>
      </c>
      <c r="AO13" s="15" t="n">
        <v>295698.22</v>
      </c>
      <c r="AP13" s="15" t="n">
        <v>-110311.27</v>
      </c>
      <c r="AQ13" s="15" t="n">
        <v>209550.43</v>
      </c>
      <c r="AR13" s="15" t="n">
        <v>4368601.94</v>
      </c>
      <c r="AS13" s="15" t="n">
        <v>579016.46</v>
      </c>
      <c r="AT13" s="15" t="n">
        <v>1955986.19</v>
      </c>
      <c r="AU13" s="15" t="n">
        <v>161553.07</v>
      </c>
      <c r="AV13" s="15" t="n">
        <v>78715.31</v>
      </c>
      <c r="AW13" s="15" t="n">
        <v>3469268.09</v>
      </c>
      <c r="AX13" s="15" t="n">
        <v>3942461.3</v>
      </c>
      <c r="AY13" s="15" t="n">
        <v>1346952.3</v>
      </c>
      <c r="AZ13" s="15" t="n">
        <v>1972939.08</v>
      </c>
      <c r="BA13" s="15" t="n">
        <v>129728.57</v>
      </c>
      <c r="BB13" s="15" t="n">
        <v>1082004.57</v>
      </c>
      <c r="BC13" s="15" t="n">
        <v>3279904.41</v>
      </c>
      <c r="BD13" s="15" t="n">
        <v>2846636.91</v>
      </c>
      <c r="BE13" s="15" t="n">
        <v>2029137.7</v>
      </c>
      <c r="BF13" s="15" t="n">
        <v>645606.59</v>
      </c>
      <c r="BG13" s="15" t="n">
        <v>217965.85</v>
      </c>
      <c r="BH13" s="15" t="n">
        <v>10279.06</v>
      </c>
      <c r="BI13" s="15" t="n">
        <v>1684680.13</v>
      </c>
      <c r="BJ13" s="15" t="n">
        <v>4820271.25</v>
      </c>
      <c r="BK13" s="15" t="n">
        <v>979250.08</v>
      </c>
      <c r="BL13" s="15" t="n">
        <v>1533606.05</v>
      </c>
      <c r="BM13" s="15" t="n">
        <v>289728.96</v>
      </c>
      <c r="BN13" s="15" t="n">
        <v>838886.41</v>
      </c>
      <c r="BO13" s="15" t="n">
        <v>1138927.94</v>
      </c>
      <c r="BP13" s="15" t="n">
        <v>794178.4300000001</v>
      </c>
      <c r="BQ13" s="15" t="n">
        <v>2388792.23</v>
      </c>
      <c r="BR13" s="15" t="n">
        <v>188836.84</v>
      </c>
      <c r="BS13" s="15" t="n">
        <v>144853.95</v>
      </c>
      <c r="BT13" s="15" t="n">
        <v>1205952.86</v>
      </c>
      <c r="BU13" s="15" t="n">
        <v>1313167.57</v>
      </c>
      <c r="BV13" s="15" t="n">
        <v>2249082.8</v>
      </c>
      <c r="BW13" s="15" t="n">
        <v>2335498.26</v>
      </c>
      <c r="BX13" s="15" t="n">
        <v>1758229.06</v>
      </c>
      <c r="BY13" s="15" t="n">
        <v>272304.41</v>
      </c>
      <c r="BZ13" s="15" t="n">
        <v>62180.43</v>
      </c>
      <c r="CA13" s="15" t="n">
        <v>2157473.63</v>
      </c>
      <c r="CB13" s="15" t="n">
        <v>3627199.58</v>
      </c>
      <c r="CC13" s="15" t="n">
        <v>1897106.14</v>
      </c>
      <c r="CD13" s="15" t="n">
        <v>138852.13</v>
      </c>
      <c r="CE13" s="15" t="n">
        <v>62168.53</v>
      </c>
      <c r="CF13" s="15" t="n">
        <v>1247574.45</v>
      </c>
      <c r="CG13" s="15" t="n">
        <v>2355675.68</v>
      </c>
      <c r="CH13" s="15" t="n">
        <v>4275285.35</v>
      </c>
      <c r="CI13" s="15" t="n">
        <v>974177.65</v>
      </c>
      <c r="CJ13" s="15" t="n">
        <v>82170.89999999999</v>
      </c>
      <c r="CK13" s="15" t="n">
        <v>401545.41</v>
      </c>
      <c r="CL13" s="15" t="n">
        <v>27062.9</v>
      </c>
      <c r="CM13" s="15" t="n">
        <v>1441562.72</v>
      </c>
      <c r="CN13" s="15" t="n">
        <v>1915146.78</v>
      </c>
      <c r="CO13" s="15" t="n">
        <v>736170.22</v>
      </c>
      <c r="CP13" s="15" t="n">
        <v>708669.58</v>
      </c>
      <c r="CQ13" s="15" t="n">
        <v>37422.1</v>
      </c>
      <c r="CR13" s="15" t="n">
        <v>150632.13</v>
      </c>
      <c r="CS13" s="15" t="n">
        <v>2705079.38</v>
      </c>
      <c r="CT13" s="15" t="n">
        <v>4671458.15</v>
      </c>
      <c r="CU13" s="15" t="n">
        <v>1039782.64</v>
      </c>
      <c r="CV13" s="15" t="n">
        <v>1296782.13</v>
      </c>
      <c r="CW13" s="15" t="n">
        <v>258911.87</v>
      </c>
      <c r="CX13" s="15" t="n">
        <v>-148558.29</v>
      </c>
      <c r="CY13" s="15" t="n">
        <v>189832.04</v>
      </c>
      <c r="CZ13" s="15" t="n">
        <v>4048738.61</v>
      </c>
      <c r="DA13" s="15" t="n">
        <v>989487.62</v>
      </c>
      <c r="DB13" s="15" t="n">
        <v>1748259.68</v>
      </c>
      <c r="DC13" s="15" t="n">
        <v>360875.01</v>
      </c>
      <c r="DD13" s="15" t="n">
        <v>664416.45</v>
      </c>
      <c r="DE13" s="15" t="n">
        <v>2376764.47</v>
      </c>
      <c r="DF13" s="15" t="n">
        <v>4424346.34</v>
      </c>
      <c r="DG13" s="15" t="n">
        <v>1913529.23</v>
      </c>
      <c r="DH13" s="15" t="n">
        <v>913108.45</v>
      </c>
      <c r="DI13" s="15" t="n">
        <v>113791.1</v>
      </c>
      <c r="DJ13" s="15" t="n">
        <v>240719.98</v>
      </c>
      <c r="DK13" s="15" t="n">
        <v>3176535.59</v>
      </c>
      <c r="DL13" s="15" t="n">
        <v>1543982.78</v>
      </c>
      <c r="DM13" s="15" t="n">
        <v>446638.92</v>
      </c>
      <c r="DN13" s="15" t="n">
        <v>378051.54</v>
      </c>
      <c r="DO13" s="15" t="n">
        <v>354834.65</v>
      </c>
      <c r="DP13" s="15" t="n">
        <v>604713.77</v>
      </c>
    </row>
    <row r="14">
      <c r="A14" s="4" t="inlineStr">
        <is>
          <t>中式汤底</t>
        </is>
      </c>
      <c r="B14" s="15" t="n">
        <v>2494419.16</v>
      </c>
      <c r="C14" s="15" t="n">
        <v>804149.3</v>
      </c>
      <c r="D14" s="15" t="n">
        <v>1561637.84</v>
      </c>
      <c r="E14" s="15" t="n">
        <v>144001.63</v>
      </c>
      <c r="F14" s="15" t="n">
        <v>463881.19</v>
      </c>
      <c r="G14" s="15" t="n">
        <v>3193748.82</v>
      </c>
      <c r="H14" s="15" t="n">
        <v>1301881.96</v>
      </c>
      <c r="I14" s="15" t="n">
        <v>959990.27</v>
      </c>
      <c r="J14" s="15" t="n">
        <v>578977.15</v>
      </c>
      <c r="K14" s="15" t="n">
        <v>35906.15</v>
      </c>
      <c r="L14" s="15" t="n">
        <v>539093.77</v>
      </c>
      <c r="M14" s="15" t="n">
        <v>1595205.84</v>
      </c>
      <c r="N14" s="15" t="n">
        <v>2707156.52</v>
      </c>
      <c r="O14" s="15" t="n">
        <v>1562440.32</v>
      </c>
      <c r="P14" s="15" t="n">
        <v>288719.14</v>
      </c>
      <c r="Q14" s="15" t="n">
        <v>155849.18</v>
      </c>
      <c r="R14" s="15" t="n">
        <v>538463.42</v>
      </c>
      <c r="S14" s="15" t="n">
        <v>3844305.72</v>
      </c>
      <c r="T14" s="15" t="n">
        <v>3390818.73</v>
      </c>
      <c r="U14" s="15" t="n">
        <v>1130614.06</v>
      </c>
      <c r="V14" s="15" t="n">
        <v>742712.63</v>
      </c>
      <c r="W14" s="15" t="n">
        <v>111867.42</v>
      </c>
      <c r="X14" s="15" t="n">
        <v>586482.95</v>
      </c>
      <c r="Y14" s="15" t="n">
        <v>973250.17</v>
      </c>
      <c r="Z14" s="15" t="n">
        <v>4441241.33</v>
      </c>
      <c r="AA14" s="15" t="n">
        <v>2992766.16</v>
      </c>
      <c r="AB14" s="15" t="n">
        <v>716239.75</v>
      </c>
      <c r="AC14" s="15" t="n">
        <v>329277.73</v>
      </c>
      <c r="AD14" s="15" t="n">
        <v>293430.98</v>
      </c>
      <c r="AE14" s="15" t="n">
        <v>3233492.22</v>
      </c>
      <c r="AF14" s="15" t="n">
        <v>201418.74</v>
      </c>
      <c r="AG14" s="15" t="n">
        <v>355986.98</v>
      </c>
      <c r="AH14" s="15" t="n">
        <v>260141.16</v>
      </c>
      <c r="AI14" s="15" t="n">
        <v>444116.96</v>
      </c>
      <c r="AJ14" s="15" t="n">
        <v>232078.29</v>
      </c>
      <c r="AK14" s="15" t="n">
        <v>1913730.79</v>
      </c>
      <c r="AL14" s="15" t="n">
        <v>4312570</v>
      </c>
      <c r="AM14" s="15" t="n">
        <v>804646.65</v>
      </c>
      <c r="AN14" s="15" t="n">
        <v>1955970.7</v>
      </c>
      <c r="AO14" s="15" t="n">
        <v>368258.09</v>
      </c>
      <c r="AP14" s="15" t="n">
        <v>825188.8199999999</v>
      </c>
      <c r="AQ14" s="15" t="n">
        <v>250611.82</v>
      </c>
      <c r="AR14" s="15" t="n">
        <v>3802763.79</v>
      </c>
      <c r="AS14" s="15" t="n">
        <v>237712.92</v>
      </c>
      <c r="AT14" s="15" t="n">
        <v>1671045.99</v>
      </c>
      <c r="AU14" s="15" t="n">
        <v>311103.19</v>
      </c>
      <c r="AV14" s="15" t="n">
        <v>1476589.25</v>
      </c>
      <c r="AW14" s="15" t="n">
        <v>952406.8</v>
      </c>
      <c r="AX14" s="15" t="n">
        <v>4227795.62</v>
      </c>
      <c r="AY14" s="15" t="n">
        <v>2244928.96</v>
      </c>
      <c r="AZ14" s="15" t="n">
        <v>948094.74</v>
      </c>
      <c r="BA14" s="15" t="n">
        <v>225776.51</v>
      </c>
      <c r="BB14" s="15" t="n">
        <v>43650.7</v>
      </c>
      <c r="BC14" s="15" t="n">
        <v>3812620.69</v>
      </c>
      <c r="BD14" s="15" t="n">
        <v>1866787.8</v>
      </c>
      <c r="BE14" s="15" t="n">
        <v>2817943.06</v>
      </c>
      <c r="BF14" s="15" t="n">
        <v>1592146.67</v>
      </c>
      <c r="BG14" s="15" t="n">
        <v>356264.17</v>
      </c>
      <c r="BH14" s="15" t="n">
        <v>304302.86</v>
      </c>
      <c r="BI14" s="15" t="n">
        <v>567550.75</v>
      </c>
      <c r="BJ14" s="15" t="n">
        <v>2031785.12</v>
      </c>
      <c r="BK14" s="15" t="n">
        <v>226908.79</v>
      </c>
      <c r="BL14" s="15" t="n">
        <v>280758.54</v>
      </c>
      <c r="BM14" s="15" t="n">
        <v>38771.54</v>
      </c>
      <c r="BN14" s="15" t="n">
        <v>1202894.27</v>
      </c>
      <c r="BO14" s="15" t="n">
        <v>3018115.95</v>
      </c>
      <c r="BP14" s="15" t="n">
        <v>4894794.27</v>
      </c>
      <c r="BQ14" s="15" t="n">
        <v>2344340.39</v>
      </c>
      <c r="BR14" s="15" t="n">
        <v>608350.91</v>
      </c>
      <c r="BS14" s="15" t="n">
        <v>340253.41</v>
      </c>
      <c r="BT14" s="15" t="n">
        <v>815727.37</v>
      </c>
      <c r="BU14" s="15" t="n">
        <v>3742934.23</v>
      </c>
      <c r="BV14" s="15" t="n">
        <v>1367417.66</v>
      </c>
      <c r="BW14" s="15" t="n">
        <v>846266.48</v>
      </c>
      <c r="BX14" s="15" t="n">
        <v>326018.54</v>
      </c>
      <c r="BY14" s="15" t="n">
        <v>282837.29</v>
      </c>
      <c r="BZ14" s="15" t="n">
        <v>407728.89</v>
      </c>
      <c r="CA14" s="15" t="n">
        <v>2767861.93</v>
      </c>
      <c r="CB14" s="15" t="n">
        <v>1289708.87</v>
      </c>
      <c r="CC14" s="15" t="n">
        <v>326967.8</v>
      </c>
      <c r="CD14" s="15" t="n">
        <v>1705303.38</v>
      </c>
      <c r="CE14" s="15" t="n">
        <v>299849.87</v>
      </c>
      <c r="CF14" s="15" t="n">
        <v>249812.06</v>
      </c>
      <c r="CG14" s="15" t="n">
        <v>1703426.72</v>
      </c>
      <c r="CH14" s="15" t="n">
        <v>1386560.82</v>
      </c>
      <c r="CI14" s="15" t="n">
        <v>2783780.82</v>
      </c>
      <c r="CJ14" s="15" t="n">
        <v>626462.53</v>
      </c>
      <c r="CK14" s="15" t="n">
        <v>352338.15</v>
      </c>
      <c r="CL14" s="15" t="n">
        <v>1322946.68</v>
      </c>
      <c r="CM14" s="15" t="n">
        <v>2868117.37</v>
      </c>
      <c r="CN14" s="15" t="n">
        <v>1834791.78</v>
      </c>
      <c r="CO14" s="15" t="n">
        <v>1401871.19</v>
      </c>
      <c r="CP14" s="15" t="n">
        <v>1024006.47</v>
      </c>
      <c r="CQ14" s="15" t="n">
        <v>66827.58</v>
      </c>
      <c r="CR14" s="15" t="n">
        <v>562663.11</v>
      </c>
      <c r="CS14" s="15" t="n">
        <v>836739.01</v>
      </c>
      <c r="CT14" s="15" t="n">
        <v>635053.63</v>
      </c>
      <c r="CU14" s="15" t="n">
        <v>2146313.83</v>
      </c>
      <c r="CV14" s="15" t="n">
        <v>590035.8</v>
      </c>
      <c r="CW14" s="15" t="n">
        <v>366661.3</v>
      </c>
      <c r="CX14" s="15" t="n">
        <v>919870.74</v>
      </c>
      <c r="CY14" s="15" t="n">
        <v>643411.5600000001</v>
      </c>
      <c r="CZ14" s="15" t="n">
        <v>3673802.7</v>
      </c>
      <c r="DA14" s="15" t="n">
        <v>1615505.88</v>
      </c>
      <c r="DB14" s="15" t="n">
        <v>282791.06</v>
      </c>
      <c r="DC14" s="15" t="n">
        <v>81082.22</v>
      </c>
      <c r="DD14" s="15" t="n">
        <v>960717.6899999999</v>
      </c>
      <c r="DE14" s="15" t="n">
        <v>3616761.18</v>
      </c>
      <c r="DF14" s="15" t="n">
        <v>890866.8199999999</v>
      </c>
      <c r="DG14" s="15" t="n">
        <v>1823121.84</v>
      </c>
      <c r="DH14" s="15" t="n">
        <v>433163.72</v>
      </c>
      <c r="DI14" s="15" t="n">
        <v>432623.53</v>
      </c>
      <c r="DJ14" s="15" t="n">
        <v>1354184.51</v>
      </c>
      <c r="DK14" s="15" t="n">
        <v>1945124.3</v>
      </c>
      <c r="DL14" s="15" t="n">
        <v>601574</v>
      </c>
      <c r="DM14" s="15" t="n">
        <v>1261445.71</v>
      </c>
      <c r="DN14" s="15" t="n">
        <v>1635088.53</v>
      </c>
      <c r="DO14" s="15" t="n">
        <v>358141.12</v>
      </c>
      <c r="DP14" s="15" t="n">
        <v>1102957.45</v>
      </c>
    </row>
    <row r="15">
      <c r="A15" s="4" t="inlineStr">
        <is>
          <t>酱料</t>
        </is>
      </c>
      <c r="B15" s="15" t="n">
        <v>1456187.18</v>
      </c>
      <c r="C15" s="15" t="n">
        <v>178878.69</v>
      </c>
      <c r="D15" s="15" t="n">
        <v>1462233.87</v>
      </c>
      <c r="E15" s="15" t="n">
        <v>200824.96</v>
      </c>
      <c r="F15" s="15" t="n">
        <v>928426.04</v>
      </c>
      <c r="G15" s="15" t="n">
        <v>469252.54</v>
      </c>
      <c r="H15" s="15" t="n">
        <v>900515.75</v>
      </c>
      <c r="I15" s="15" t="n">
        <v>1170652.98</v>
      </c>
      <c r="J15" s="15" t="n">
        <v>1019189.16</v>
      </c>
      <c r="K15" s="15" t="n">
        <v>478930.86</v>
      </c>
      <c r="L15" s="15" t="n">
        <v>1440200.65</v>
      </c>
      <c r="M15" s="15" t="n">
        <v>1452842.87</v>
      </c>
      <c r="N15" s="15" t="n">
        <v>4694844.22</v>
      </c>
      <c r="O15" s="15" t="n">
        <v>2139607.51</v>
      </c>
      <c r="P15" s="15" t="n">
        <v>1613220.83</v>
      </c>
      <c r="Q15" s="15" t="n">
        <v>270629.53</v>
      </c>
      <c r="R15" s="15" t="n">
        <v>825271.75</v>
      </c>
      <c r="S15" s="15" t="n">
        <v>228415.33</v>
      </c>
      <c r="T15" s="15" t="n">
        <v>3897230.11</v>
      </c>
      <c r="U15" s="15" t="n">
        <v>918343.6</v>
      </c>
      <c r="V15" s="15" t="n">
        <v>1280133.21</v>
      </c>
      <c r="W15" s="15" t="n">
        <v>297954.64</v>
      </c>
      <c r="X15" s="15" t="n">
        <v>88503.84</v>
      </c>
      <c r="Y15" s="15" t="n">
        <v>3789539.22</v>
      </c>
      <c r="Z15" s="15" t="n">
        <v>2676855.01</v>
      </c>
      <c r="AA15" s="15" t="n">
        <v>2171411.39</v>
      </c>
      <c r="AB15" s="15" t="n">
        <v>286967.08</v>
      </c>
      <c r="AC15" s="15" t="n">
        <v>392123.43</v>
      </c>
      <c r="AD15" s="15" t="n">
        <v>1329863.79</v>
      </c>
      <c r="AE15" s="15" t="n">
        <v>2002243.13</v>
      </c>
      <c r="AF15" s="15" t="n">
        <v>3993488.47</v>
      </c>
      <c r="AG15" s="15" t="n">
        <v>596727.5600000001</v>
      </c>
      <c r="AH15" s="15" t="n">
        <v>1257401.36</v>
      </c>
      <c r="AI15" s="15" t="n">
        <v>165989.33</v>
      </c>
      <c r="AJ15" s="15" t="n">
        <v>250491.11</v>
      </c>
      <c r="AK15" s="15" t="n">
        <v>3649762.36</v>
      </c>
      <c r="AL15" s="15" t="n">
        <v>1223260.11</v>
      </c>
      <c r="AM15" s="15" t="n">
        <v>1937928.33</v>
      </c>
      <c r="AN15" s="15" t="n">
        <v>1762885.65</v>
      </c>
      <c r="AO15" s="15" t="n">
        <v>104827.9</v>
      </c>
      <c r="AP15" s="15" t="n">
        <v>1138812.75</v>
      </c>
      <c r="AQ15" s="15" t="n">
        <v>2884570.16</v>
      </c>
      <c r="AR15" s="15" t="n">
        <v>2648145.13</v>
      </c>
      <c r="AS15" s="15" t="n">
        <v>694888.89</v>
      </c>
      <c r="AT15" s="15" t="n">
        <v>848096.62</v>
      </c>
      <c r="AU15" s="15" t="n">
        <v>375629.1</v>
      </c>
      <c r="AV15" s="15" t="n">
        <v>118081.72</v>
      </c>
      <c r="AW15" s="15" t="n">
        <v>3313497.49</v>
      </c>
      <c r="AX15" s="15" t="n">
        <v>1789091.64</v>
      </c>
      <c r="AY15" s="15" t="n">
        <v>180729.11</v>
      </c>
      <c r="AZ15" s="15" t="n">
        <v>293147.77</v>
      </c>
      <c r="BA15" s="15" t="n">
        <v>10693.44</v>
      </c>
      <c r="BB15" s="15" t="n">
        <v>549738.4399999999</v>
      </c>
      <c r="BC15" s="15" t="n">
        <v>727325.42</v>
      </c>
      <c r="BD15" s="15" t="n">
        <v>1361552.43</v>
      </c>
      <c r="BE15" s="15" t="n">
        <v>2688459.4</v>
      </c>
      <c r="BF15" s="15" t="n">
        <v>1260747.91</v>
      </c>
      <c r="BG15" s="15" t="n">
        <v>477342.07</v>
      </c>
      <c r="BH15" s="15" t="n">
        <v>984743.91</v>
      </c>
      <c r="BI15" s="15" t="n">
        <v>1590635.36</v>
      </c>
      <c r="BJ15" s="15" t="n">
        <v>4398321.49</v>
      </c>
      <c r="BK15" s="15" t="n">
        <v>2019459.86</v>
      </c>
      <c r="BL15" s="15" t="n">
        <v>777662.21</v>
      </c>
      <c r="BM15" s="15" t="n">
        <v>397136.17</v>
      </c>
      <c r="BN15" s="15" t="n">
        <v>1213236.81</v>
      </c>
      <c r="BO15" s="15" t="n">
        <v>928978.22</v>
      </c>
      <c r="BP15" s="15" t="n">
        <v>2533919.9</v>
      </c>
      <c r="BQ15" s="15" t="n">
        <v>1121905.08</v>
      </c>
      <c r="BR15" s="15" t="n">
        <v>725817.8100000001</v>
      </c>
      <c r="BS15" s="15" t="n">
        <v>131826.92</v>
      </c>
      <c r="BT15" s="15" t="n">
        <v>1448306.37</v>
      </c>
      <c r="BU15" s="15" t="n">
        <v>1475897.61</v>
      </c>
      <c r="BV15" s="15" t="n">
        <v>121076.95</v>
      </c>
      <c r="BW15" s="15" t="n">
        <v>1729316.64</v>
      </c>
      <c r="BX15" s="15" t="n">
        <v>405199.91</v>
      </c>
      <c r="BY15" s="15" t="n">
        <v>282495.75</v>
      </c>
      <c r="BZ15" s="15" t="n">
        <v>177368.26</v>
      </c>
      <c r="CA15" s="15" t="n">
        <v>2687841.43</v>
      </c>
      <c r="CB15" s="15" t="n">
        <v>2884888.18</v>
      </c>
      <c r="CC15" s="15" t="n">
        <v>1122372.77</v>
      </c>
      <c r="CD15" s="15" t="n">
        <v>963092.91</v>
      </c>
      <c r="CE15" s="15" t="n">
        <v>112700.32</v>
      </c>
      <c r="CF15" s="15" t="n">
        <v>195996</v>
      </c>
      <c r="CG15" s="15" t="n">
        <v>1841225.24</v>
      </c>
      <c r="CH15" s="15" t="n">
        <v>4165047.88</v>
      </c>
      <c r="CI15" s="15" t="n">
        <v>729541.8199999999</v>
      </c>
      <c r="CJ15" s="15" t="n">
        <v>1965162.77</v>
      </c>
      <c r="CK15" s="15" t="n">
        <v>310027.38</v>
      </c>
      <c r="CL15" s="15" t="n">
        <v>1481136.88</v>
      </c>
      <c r="CM15" s="15" t="n">
        <v>3565226.06</v>
      </c>
      <c r="CN15" s="15" t="n">
        <v>1448269.79</v>
      </c>
      <c r="CO15" s="15" t="n">
        <v>311766.83</v>
      </c>
      <c r="CP15" s="15" t="n">
        <v>636454.96</v>
      </c>
      <c r="CQ15" s="15" t="n">
        <v>176543.9</v>
      </c>
      <c r="CR15" s="15" t="n">
        <v>1319329.89</v>
      </c>
      <c r="CS15" s="15" t="n">
        <v>3087397.05</v>
      </c>
      <c r="CT15" s="15" t="n">
        <v>3453382.89</v>
      </c>
      <c r="CU15" s="15" t="n">
        <v>1394373.43</v>
      </c>
      <c r="CV15" s="15" t="n">
        <v>1826648.91</v>
      </c>
      <c r="CW15" s="15" t="n">
        <v>192827.96</v>
      </c>
      <c r="CX15" s="15" t="n">
        <v>886131.97</v>
      </c>
      <c r="CY15" s="15" t="n">
        <v>3588877.53</v>
      </c>
      <c r="CZ15" s="15" t="n">
        <v>231321.73</v>
      </c>
      <c r="DA15" s="15" t="n">
        <v>499170.22</v>
      </c>
      <c r="DB15" s="15" t="n">
        <v>1097339.12</v>
      </c>
      <c r="DC15" s="15" t="n">
        <v>19083.28</v>
      </c>
      <c r="DD15" s="15" t="n">
        <v>832742.4300000001</v>
      </c>
      <c r="DE15" s="15" t="n">
        <v>1930509.82</v>
      </c>
      <c r="DF15" s="15" t="n">
        <v>946825.46</v>
      </c>
      <c r="DG15" s="15" t="n">
        <v>1708678.64</v>
      </c>
      <c r="DH15" s="15" t="n">
        <v>1263946.18</v>
      </c>
      <c r="DI15" s="15" t="n">
        <v>51841.84</v>
      </c>
      <c r="DJ15" s="15" t="n">
        <v>66257.56</v>
      </c>
      <c r="DK15" s="15" t="n">
        <v>3032443.54</v>
      </c>
      <c r="DL15" s="15" t="n">
        <v>2659988.74</v>
      </c>
      <c r="DM15" s="15" t="n">
        <v>2545093.16</v>
      </c>
      <c r="DN15" s="15" t="n">
        <v>1951449.4</v>
      </c>
      <c r="DO15" s="15" t="n">
        <v>180113.1</v>
      </c>
      <c r="DP15" s="15" t="n">
        <v>217028.38</v>
      </c>
    </row>
    <row r="16">
      <c r="A16" s="4" t="inlineStr">
        <is>
          <t>川味底料</t>
        </is>
      </c>
      <c r="B16" s="15" t="n">
        <v>4980233.87</v>
      </c>
      <c r="C16" s="15" t="n">
        <v>2117048.3</v>
      </c>
      <c r="D16" s="15" t="n">
        <v>1149064.85</v>
      </c>
      <c r="E16" s="15" t="n">
        <v>388488.61</v>
      </c>
      <c r="F16" s="15" t="n">
        <v>23388.31</v>
      </c>
      <c r="G16" s="15" t="n">
        <v>902043.64</v>
      </c>
      <c r="H16" s="15" t="n">
        <v>4083012.76</v>
      </c>
      <c r="I16" s="15" t="n">
        <v>2443431.7</v>
      </c>
      <c r="J16" s="15" t="n">
        <v>1815727.31</v>
      </c>
      <c r="K16" s="15" t="n">
        <v>447898.35</v>
      </c>
      <c r="L16" s="15" t="n">
        <v>677360.4399999999</v>
      </c>
      <c r="M16" s="15" t="n">
        <v>1901070.15</v>
      </c>
      <c r="N16" s="15" t="n">
        <v>1818820.23</v>
      </c>
      <c r="O16" s="15" t="n">
        <v>1413117.43</v>
      </c>
      <c r="P16" s="15" t="n">
        <v>902049.92</v>
      </c>
      <c r="Q16" s="15" t="n">
        <v>314316.97</v>
      </c>
      <c r="R16" s="15" t="n">
        <v>136091.28</v>
      </c>
      <c r="S16" s="15" t="n">
        <v>850719.74</v>
      </c>
      <c r="T16" s="15" t="n">
        <v>4113351.6</v>
      </c>
      <c r="U16" s="15" t="n">
        <v>1679347.07</v>
      </c>
      <c r="V16" s="15" t="n">
        <v>1086089.3</v>
      </c>
      <c r="W16" s="15" t="n">
        <v>399239.2</v>
      </c>
      <c r="X16" s="15" t="n">
        <v>1268331.03</v>
      </c>
      <c r="Y16" s="15" t="n">
        <v>3553078.54</v>
      </c>
      <c r="Z16" s="15" t="n">
        <v>1486746.11</v>
      </c>
      <c r="AA16" s="15" t="n">
        <v>257090.52</v>
      </c>
      <c r="AB16" s="15" t="n">
        <v>685716.02</v>
      </c>
      <c r="AC16" s="15" t="n">
        <v>92957.00999999999</v>
      </c>
      <c r="AD16" s="15" t="n">
        <v>1152001.86</v>
      </c>
      <c r="AE16" s="15" t="n">
        <v>1176329.27</v>
      </c>
      <c r="AF16" s="15" t="n">
        <v>4739402.7</v>
      </c>
      <c r="AG16" s="15" t="n">
        <v>2802299.9</v>
      </c>
      <c r="AH16" s="15" t="n">
        <v>113217.07</v>
      </c>
      <c r="AI16" s="15" t="n">
        <v>261486.07</v>
      </c>
      <c r="AJ16" s="15" t="n">
        <v>728641.29</v>
      </c>
      <c r="AK16" s="15" t="n">
        <v>2015009.64</v>
      </c>
      <c r="AL16" s="15" t="n">
        <v>1812788.05</v>
      </c>
      <c r="AM16" s="15" t="n">
        <v>2119963.54</v>
      </c>
      <c r="AN16" s="15" t="n">
        <v>979496.6</v>
      </c>
      <c r="AO16" s="15" t="n">
        <v>176930.81</v>
      </c>
      <c r="AP16" s="15" t="n">
        <v>720056.58</v>
      </c>
      <c r="AQ16" s="15" t="n">
        <v>3802012.58</v>
      </c>
      <c r="AR16" s="15" t="n">
        <v>123941.43</v>
      </c>
      <c r="AS16" s="15" t="n">
        <v>1056011.81</v>
      </c>
      <c r="AT16" s="15" t="n">
        <v>1511052.63</v>
      </c>
      <c r="AU16" s="15" t="n">
        <v>158793.78</v>
      </c>
      <c r="AV16" s="15" t="n">
        <v>-126739.98</v>
      </c>
      <c r="AW16" s="15" t="n">
        <v>2504962.97</v>
      </c>
      <c r="AX16" s="15" t="n">
        <v>4552785.78</v>
      </c>
      <c r="AY16" s="15" t="n">
        <v>577368.02</v>
      </c>
      <c r="AZ16" s="15" t="n">
        <v>511253.14</v>
      </c>
      <c r="BA16" s="15" t="n">
        <v>212027.73</v>
      </c>
      <c r="BB16" s="15" t="n">
        <v>295155.09</v>
      </c>
      <c r="BC16" s="15" t="n">
        <v>1621916.72</v>
      </c>
      <c r="BD16" s="15" t="n">
        <v>2282033.85</v>
      </c>
      <c r="BE16" s="15" t="n">
        <v>1535012.79</v>
      </c>
      <c r="BF16" s="15" t="n">
        <v>1911761.29</v>
      </c>
      <c r="BG16" s="15" t="n">
        <v>61148.16</v>
      </c>
      <c r="BH16" s="15" t="n">
        <v>1349162.42</v>
      </c>
      <c r="BI16" s="15" t="n">
        <v>1209087.78</v>
      </c>
      <c r="BJ16" s="15" t="n">
        <v>3480013.59</v>
      </c>
      <c r="BK16" s="15" t="n">
        <v>175718.74</v>
      </c>
      <c r="BL16" s="15" t="n">
        <v>1590595.22</v>
      </c>
      <c r="BM16" s="15" t="n">
        <v>460240.51</v>
      </c>
      <c r="BN16" s="15" t="n">
        <v>907211.6800000001</v>
      </c>
      <c r="BO16" s="15" t="n">
        <v>1139929.68</v>
      </c>
      <c r="BP16" s="15" t="n">
        <v>3344436.89</v>
      </c>
      <c r="BQ16" s="15" t="n">
        <v>2745115.34</v>
      </c>
      <c r="BR16" s="15" t="n">
        <v>1370318.44</v>
      </c>
      <c r="BS16" s="15" t="n">
        <v>347499.65</v>
      </c>
      <c r="BT16" s="15" t="n">
        <v>1341330.4</v>
      </c>
      <c r="BU16" s="15" t="n">
        <v>653247.35</v>
      </c>
      <c r="BV16" s="15" t="n">
        <v>2486270.3</v>
      </c>
      <c r="BW16" s="15" t="n">
        <v>1195034.21</v>
      </c>
      <c r="BX16" s="15" t="n">
        <v>1331550.1</v>
      </c>
      <c r="BY16" s="15" t="n">
        <v>465242.78</v>
      </c>
      <c r="BZ16" s="15" t="n">
        <v>828116.04</v>
      </c>
      <c r="CA16" s="15" t="n">
        <v>868665.04</v>
      </c>
      <c r="CB16" s="15" t="n">
        <v>2912572.11</v>
      </c>
      <c r="CC16" s="15" t="n">
        <v>902413.85</v>
      </c>
      <c r="CD16" s="15" t="n">
        <v>862974.8100000001</v>
      </c>
      <c r="CE16" s="15" t="n">
        <v>440621.79</v>
      </c>
      <c r="CF16" s="15" t="n">
        <v>1410788.88</v>
      </c>
      <c r="CG16" s="15" t="n">
        <v>3028455.01</v>
      </c>
      <c r="CH16" s="15" t="n">
        <v>1950530.62</v>
      </c>
      <c r="CI16" s="15" t="n">
        <v>813844.4399999999</v>
      </c>
      <c r="CJ16" s="15" t="n">
        <v>86354.28999999999</v>
      </c>
      <c r="CK16" s="15" t="n">
        <v>282397.26</v>
      </c>
      <c r="CL16" s="15" t="n">
        <v>953933.49</v>
      </c>
      <c r="CM16" s="15" t="n">
        <v>2714301.41</v>
      </c>
      <c r="CN16" s="15" t="n">
        <v>3505381.77</v>
      </c>
      <c r="CO16" s="15" t="n">
        <v>1717101.08</v>
      </c>
      <c r="CP16" s="15" t="n">
        <v>1476836.17</v>
      </c>
      <c r="CQ16" s="15" t="n">
        <v>433795.62</v>
      </c>
      <c r="CR16" s="15" t="n">
        <v>984004.66</v>
      </c>
      <c r="CS16" s="15" t="n">
        <v>3356843.66</v>
      </c>
      <c r="CT16" s="15" t="n">
        <v>1863520.41</v>
      </c>
      <c r="CU16" s="15" t="n">
        <v>985116.48</v>
      </c>
      <c r="CV16" s="15" t="n">
        <v>556051.49</v>
      </c>
      <c r="CW16" s="15" t="n">
        <v>46934.4</v>
      </c>
      <c r="CX16" s="15" t="n">
        <v>1077445.44</v>
      </c>
      <c r="CY16" s="15" t="n">
        <v>294037.45</v>
      </c>
      <c r="CZ16" s="15" t="n">
        <v>3263584.12</v>
      </c>
      <c r="DA16" s="15" t="n">
        <v>2815486.24</v>
      </c>
      <c r="DB16" s="15" t="n">
        <v>926305.89</v>
      </c>
      <c r="DC16" s="15" t="n">
        <v>84105.74000000001</v>
      </c>
      <c r="DD16" s="15" t="n">
        <v>528945.49</v>
      </c>
      <c r="DE16" s="15" t="n">
        <v>3802500.59</v>
      </c>
      <c r="DF16" s="15" t="n">
        <v>2569618.2</v>
      </c>
      <c r="DG16" s="15" t="n">
        <v>1896953.88</v>
      </c>
      <c r="DH16" s="15" t="n">
        <v>1313175.15</v>
      </c>
      <c r="DI16" s="15" t="n">
        <v>230508.15</v>
      </c>
      <c r="DJ16" s="15" t="n">
        <v>838955.27</v>
      </c>
      <c r="DK16" s="15" t="n">
        <v>1322761.89</v>
      </c>
      <c r="DL16" s="15" t="n">
        <v>2327118.93</v>
      </c>
      <c r="DM16" s="15" t="n">
        <v>214011.6</v>
      </c>
      <c r="DN16" s="15" t="n">
        <v>1934690.26</v>
      </c>
      <c r="DO16" s="15" t="n">
        <v>146582.43</v>
      </c>
      <c r="DP16" s="15" t="n">
        <v>161693.89</v>
      </c>
    </row>
    <row r="17">
      <c r="A17" s="4" t="inlineStr">
        <is>
          <t>调味汁</t>
        </is>
      </c>
      <c r="B17" s="15" t="n">
        <v>4233200.58</v>
      </c>
      <c r="C17" s="15" t="n">
        <v>1327610.71</v>
      </c>
      <c r="D17" s="15" t="n">
        <v>546620.28</v>
      </c>
      <c r="E17" s="15" t="n">
        <v>341136.42</v>
      </c>
      <c r="F17" s="15" t="n">
        <v>815981.36</v>
      </c>
      <c r="G17" s="15" t="n">
        <v>3993502.05</v>
      </c>
      <c r="H17" s="15" t="n">
        <v>4638880.64</v>
      </c>
      <c r="I17" s="15" t="n">
        <v>820519.9</v>
      </c>
      <c r="J17" s="15" t="n">
        <v>508758.63</v>
      </c>
      <c r="K17" s="15" t="n">
        <v>468884.29</v>
      </c>
      <c r="L17" s="15" t="n">
        <v>729189.11</v>
      </c>
      <c r="M17" s="15" t="n">
        <v>1139996.27</v>
      </c>
      <c r="N17" s="15" t="n">
        <v>113440.48</v>
      </c>
      <c r="O17" s="15" t="n">
        <v>175475.95</v>
      </c>
      <c r="P17" s="15" t="n">
        <v>1263967.03</v>
      </c>
      <c r="Q17" s="15" t="n">
        <v>108443.96</v>
      </c>
      <c r="R17" s="15" t="n">
        <v>385752.97</v>
      </c>
      <c r="S17" s="15" t="n">
        <v>3223058.9</v>
      </c>
      <c r="T17" s="15" t="n">
        <v>4206213.74</v>
      </c>
      <c r="U17" s="15" t="n">
        <v>1157413.52</v>
      </c>
      <c r="V17" s="15" t="n">
        <v>1577009</v>
      </c>
      <c r="W17" s="15" t="n">
        <v>97432.78</v>
      </c>
      <c r="X17" s="15" t="n">
        <v>534586.14</v>
      </c>
      <c r="Y17" s="15" t="n">
        <v>2813189.28</v>
      </c>
      <c r="Z17" s="15" t="n">
        <v>2988495.37</v>
      </c>
      <c r="AA17" s="15" t="n">
        <v>2285143.88</v>
      </c>
      <c r="AB17" s="15" t="n">
        <v>1670685.12</v>
      </c>
      <c r="AC17" s="15" t="n">
        <v>388993.22</v>
      </c>
      <c r="AD17" s="15" t="n">
        <v>1398805.89</v>
      </c>
      <c r="AE17" s="15" t="n">
        <v>944657.72</v>
      </c>
      <c r="AF17" s="15" t="n">
        <v>4848236.38</v>
      </c>
      <c r="AG17" s="15" t="n">
        <v>2192277.21</v>
      </c>
      <c r="AH17" s="15" t="n">
        <v>949853.45</v>
      </c>
      <c r="AI17" s="15" t="n">
        <v>112087.97</v>
      </c>
      <c r="AJ17" s="15" t="n">
        <v>381892.17</v>
      </c>
      <c r="AK17" s="15" t="n">
        <v>2025560.33</v>
      </c>
      <c r="AL17" s="15" t="n">
        <v>790818.39</v>
      </c>
      <c r="AM17" s="15" t="n">
        <v>1204812.99</v>
      </c>
      <c r="AN17" s="15" t="n">
        <v>977859.1800000001</v>
      </c>
      <c r="AO17" s="15" t="n">
        <v>100449.72</v>
      </c>
      <c r="AP17" s="15" t="n">
        <v>-76978.85000000001</v>
      </c>
      <c r="AQ17" s="15" t="n">
        <v>3422329.08</v>
      </c>
      <c r="AR17" s="15" t="n">
        <v>123812.35</v>
      </c>
      <c r="AS17" s="15" t="n">
        <v>1684545.85</v>
      </c>
      <c r="AT17" s="15" t="n">
        <v>695998.6899999999</v>
      </c>
      <c r="AU17" s="15" t="n">
        <v>333268.55</v>
      </c>
      <c r="AV17" s="15" t="n">
        <v>1266288.62</v>
      </c>
      <c r="AW17" s="15" t="n">
        <v>1447791.52</v>
      </c>
      <c r="AX17" s="15" t="n">
        <v>2976191.13</v>
      </c>
      <c r="AY17" s="15" t="n">
        <v>1140185.94</v>
      </c>
      <c r="AZ17" s="15" t="n">
        <v>300885.78</v>
      </c>
      <c r="BA17" s="15" t="n">
        <v>159417.97</v>
      </c>
      <c r="BB17" s="15" t="n">
        <v>378712.68</v>
      </c>
      <c r="BC17" s="15" t="n">
        <v>1602371.07</v>
      </c>
      <c r="BD17" s="15" t="n">
        <v>196632.69</v>
      </c>
      <c r="BE17" s="15" t="n">
        <v>1766181.4</v>
      </c>
      <c r="BF17" s="15" t="n">
        <v>1573271.25</v>
      </c>
      <c r="BG17" s="15" t="n">
        <v>428496.5</v>
      </c>
      <c r="BH17" s="15" t="n">
        <v>1288284.91</v>
      </c>
      <c r="BI17" s="15" t="n">
        <v>1387886.07</v>
      </c>
      <c r="BJ17" s="15" t="n">
        <v>2506416.34</v>
      </c>
      <c r="BK17" s="15" t="n">
        <v>1640815.83</v>
      </c>
      <c r="BL17" s="15" t="n">
        <v>826383.46</v>
      </c>
      <c r="BM17" s="15" t="n">
        <v>306816.98</v>
      </c>
      <c r="BN17" s="15" t="n">
        <v>986231.91</v>
      </c>
      <c r="BO17" s="15" t="n">
        <v>885714.27</v>
      </c>
      <c r="BP17" s="15" t="n">
        <v>1090704.7</v>
      </c>
      <c r="BQ17" s="15" t="n">
        <v>2735520.6</v>
      </c>
      <c r="BR17" s="15" t="n">
        <v>164886.1</v>
      </c>
      <c r="BS17" s="15" t="n">
        <v>456005.47</v>
      </c>
      <c r="BT17" s="15" t="n">
        <v>218012.68</v>
      </c>
      <c r="BU17" s="15" t="n">
        <v>2576540.48</v>
      </c>
      <c r="BV17" s="15" t="n">
        <v>1758051.26</v>
      </c>
      <c r="BW17" s="15" t="n">
        <v>615801.54</v>
      </c>
      <c r="BX17" s="15" t="n">
        <v>1184847.47</v>
      </c>
      <c r="BY17" s="15" t="n">
        <v>168356.88</v>
      </c>
      <c r="BZ17" s="15" t="n">
        <v>1044869.73</v>
      </c>
      <c r="CA17" s="15" t="n">
        <v>2181533.62</v>
      </c>
      <c r="CB17" s="15" t="n">
        <v>3121009.01</v>
      </c>
      <c r="CC17" s="15" t="n">
        <v>2058181.53</v>
      </c>
      <c r="CD17" s="15" t="n">
        <v>1995971.54</v>
      </c>
      <c r="CE17" s="15" t="n">
        <v>227466.13</v>
      </c>
      <c r="CF17" s="15" t="n">
        <v>1024216.36</v>
      </c>
      <c r="CG17" s="15" t="n">
        <v>1809467.47</v>
      </c>
      <c r="CH17" s="15" t="n">
        <v>4829866.03</v>
      </c>
      <c r="CI17" s="15" t="n">
        <v>2224919.08</v>
      </c>
      <c r="CJ17" s="15" t="n">
        <v>1606510.91</v>
      </c>
      <c r="CK17" s="15" t="n">
        <v>218833.2</v>
      </c>
      <c r="CL17" s="15" t="n">
        <v>-157680.22</v>
      </c>
      <c r="CM17" s="15" t="n">
        <v>1147634.57</v>
      </c>
      <c r="CN17" s="15" t="n">
        <v>1948903.38</v>
      </c>
      <c r="CO17" s="15" t="n">
        <v>2504802.09</v>
      </c>
      <c r="CP17" s="15" t="n">
        <v>1578615.34</v>
      </c>
      <c r="CQ17" s="15" t="n">
        <v>131285.07</v>
      </c>
      <c r="CR17" s="15" t="n">
        <v>556737.53</v>
      </c>
      <c r="CS17" s="15" t="n">
        <v>3972033.97</v>
      </c>
      <c r="CT17" s="15" t="n">
        <v>3941276.96</v>
      </c>
      <c r="CU17" s="15" t="n">
        <v>2215771.59</v>
      </c>
      <c r="CV17" s="15" t="n">
        <v>177102.84</v>
      </c>
      <c r="CW17" s="15" t="n">
        <v>435165.43</v>
      </c>
      <c r="CX17" s="15" t="n">
        <v>629941.47</v>
      </c>
      <c r="CY17" s="15" t="n">
        <v>1290778.85</v>
      </c>
      <c r="CZ17" s="15" t="n">
        <v>4755294.83</v>
      </c>
      <c r="DA17" s="15" t="n">
        <v>639107.25</v>
      </c>
      <c r="DB17" s="15" t="n">
        <v>1128442.3</v>
      </c>
      <c r="DC17" s="15" t="n">
        <v>50399.6</v>
      </c>
      <c r="DD17" s="15" t="n">
        <v>1037954.93</v>
      </c>
      <c r="DE17" s="15" t="n">
        <v>3317628.16</v>
      </c>
      <c r="DF17" s="15" t="n">
        <v>4525797.75</v>
      </c>
      <c r="DG17" s="15" t="n">
        <v>760783.04</v>
      </c>
      <c r="DH17" s="15" t="n">
        <v>1822641.82</v>
      </c>
      <c r="DI17" s="15" t="n">
        <v>234631.5</v>
      </c>
      <c r="DJ17" s="15" t="n">
        <v>116979.53</v>
      </c>
      <c r="DK17" s="15" t="n">
        <v>390996.22</v>
      </c>
      <c r="DL17" s="15" t="n">
        <v>1853158.22</v>
      </c>
      <c r="DM17" s="15" t="n">
        <v>1465347.55</v>
      </c>
      <c r="DN17" s="15" t="n">
        <v>989789.66</v>
      </c>
      <c r="DO17" s="15" t="n">
        <v>157514.88</v>
      </c>
      <c r="DP17" s="15" t="n">
        <v>-189440.78</v>
      </c>
    </row>
    <row r="18">
      <c r="A18" s="4" t="inlineStr">
        <is>
          <t>复合调味粉</t>
        </is>
      </c>
      <c r="B18" s="15" t="n">
        <v>1692668.8</v>
      </c>
      <c r="C18" s="15" t="n">
        <v>2918372.8</v>
      </c>
      <c r="D18" s="15" t="n">
        <v>1670013.3</v>
      </c>
      <c r="E18" s="15" t="n">
        <v>224192.1</v>
      </c>
      <c r="F18" s="15" t="n">
        <v>7296.46</v>
      </c>
      <c r="G18" s="15" t="n">
        <v>665023.65</v>
      </c>
      <c r="H18" s="15" t="n">
        <v>3825533.38</v>
      </c>
      <c r="I18" s="15" t="n">
        <v>2189833.46</v>
      </c>
      <c r="J18" s="15" t="n">
        <v>629060.23</v>
      </c>
      <c r="K18" s="15" t="n">
        <v>144286.35</v>
      </c>
      <c r="L18" s="15" t="n">
        <v>631355.8100000001</v>
      </c>
      <c r="M18" s="15" t="n">
        <v>1497266.87</v>
      </c>
      <c r="N18" s="15" t="n">
        <v>1245946.26</v>
      </c>
      <c r="O18" s="15" t="n">
        <v>246748.32</v>
      </c>
      <c r="P18" s="15" t="n">
        <v>235477.58</v>
      </c>
      <c r="Q18" s="15" t="n">
        <v>369666.45</v>
      </c>
      <c r="R18" s="15" t="n">
        <v>655292.4399999999</v>
      </c>
      <c r="S18" s="15" t="n">
        <v>1922893.7</v>
      </c>
      <c r="T18" s="15" t="n">
        <v>2149497.89</v>
      </c>
      <c r="U18" s="15" t="n">
        <v>2143877.99</v>
      </c>
      <c r="V18" s="15" t="n">
        <v>1378377.78</v>
      </c>
      <c r="W18" s="15" t="n">
        <v>94292.34</v>
      </c>
      <c r="X18" s="15" t="n">
        <v>876087.92</v>
      </c>
      <c r="Y18" s="15" t="n">
        <v>614503.62</v>
      </c>
      <c r="Z18" s="15" t="n">
        <v>3597409.82</v>
      </c>
      <c r="AA18" s="15" t="n">
        <v>1754150.93</v>
      </c>
      <c r="AB18" s="15" t="n">
        <v>1178757.77</v>
      </c>
      <c r="AC18" s="15" t="n">
        <v>402492.3</v>
      </c>
      <c r="AD18" s="15" t="n">
        <v>1324991.08</v>
      </c>
      <c r="AE18" s="15" t="n">
        <v>3283377.29</v>
      </c>
      <c r="AF18" s="15" t="n">
        <v>880153.8100000001</v>
      </c>
      <c r="AG18" s="15" t="n">
        <v>983287.1800000001</v>
      </c>
      <c r="AH18" s="15" t="n">
        <v>1575251.34</v>
      </c>
      <c r="AI18" s="15" t="n">
        <v>17006.27</v>
      </c>
      <c r="AJ18" s="15" t="n">
        <v>987750.1899999999</v>
      </c>
      <c r="AK18" s="15" t="n">
        <v>561860.6</v>
      </c>
      <c r="AL18" s="15" t="n">
        <v>4319711.9</v>
      </c>
      <c r="AM18" s="15" t="n">
        <v>467519.87</v>
      </c>
      <c r="AN18" s="15" t="n">
        <v>1398159.4</v>
      </c>
      <c r="AO18" s="15" t="n">
        <v>151839.48</v>
      </c>
      <c r="AP18" s="15" t="n">
        <v>264277.43</v>
      </c>
      <c r="AQ18" s="15" t="n">
        <v>2084908.77</v>
      </c>
      <c r="AR18" s="15" t="n">
        <v>4622678.13</v>
      </c>
      <c r="AS18" s="15" t="n">
        <v>1092252.88</v>
      </c>
      <c r="AT18" s="15" t="n">
        <v>917691.0600000001</v>
      </c>
      <c r="AU18" s="15" t="n">
        <v>399583.64</v>
      </c>
      <c r="AV18" s="15" t="n">
        <v>-79178.98</v>
      </c>
      <c r="AW18" s="15" t="n">
        <v>3333787.11</v>
      </c>
      <c r="AX18" s="15" t="n">
        <v>3367093.66</v>
      </c>
      <c r="AY18" s="15" t="n">
        <v>384761.17</v>
      </c>
      <c r="AZ18" s="15" t="n">
        <v>1902217.68</v>
      </c>
      <c r="BA18" s="15" t="n">
        <v>328452.72</v>
      </c>
      <c r="BB18" s="15" t="n">
        <v>445779.87</v>
      </c>
      <c r="BC18" s="15" t="n">
        <v>107700</v>
      </c>
      <c r="BD18" s="15" t="n">
        <v>1646688.56</v>
      </c>
      <c r="BE18" s="15" t="n">
        <v>1671285.42</v>
      </c>
      <c r="BF18" s="15" t="n">
        <v>1678893.42</v>
      </c>
      <c r="BG18" s="15" t="n">
        <v>292597.83</v>
      </c>
      <c r="BH18" s="15" t="n">
        <v>1316303.24</v>
      </c>
      <c r="BI18" s="15" t="n">
        <v>1655327.99</v>
      </c>
      <c r="BJ18" s="15" t="n">
        <v>4112084.3</v>
      </c>
      <c r="BK18" s="15" t="n">
        <v>971743.0600000001</v>
      </c>
      <c r="BL18" s="15" t="n">
        <v>891538.95</v>
      </c>
      <c r="BM18" s="15" t="n">
        <v>206329.09</v>
      </c>
      <c r="BN18" s="15" t="n">
        <v>1365062.77</v>
      </c>
      <c r="BO18" s="15" t="n">
        <v>3291411.87</v>
      </c>
      <c r="BP18" s="15" t="n">
        <v>4735940.93</v>
      </c>
      <c r="BQ18" s="15" t="n">
        <v>2270396.26</v>
      </c>
      <c r="BR18" s="15" t="n">
        <v>811007.13</v>
      </c>
      <c r="BS18" s="15" t="n">
        <v>192496.95</v>
      </c>
      <c r="BT18" s="15" t="n">
        <v>605518.0600000001</v>
      </c>
      <c r="BU18" s="15" t="n">
        <v>1777452.53</v>
      </c>
      <c r="BV18" s="15" t="n">
        <v>2064266.48</v>
      </c>
      <c r="BW18" s="15" t="n">
        <v>800021.25</v>
      </c>
      <c r="BX18" s="15" t="n">
        <v>1945875.99</v>
      </c>
      <c r="BY18" s="15" t="n">
        <v>32965.78</v>
      </c>
      <c r="BZ18" s="15" t="n">
        <v>399740.63</v>
      </c>
      <c r="CA18" s="15" t="n">
        <v>113008.95</v>
      </c>
      <c r="CB18" s="15" t="n">
        <v>3388949.94</v>
      </c>
      <c r="CC18" s="15" t="n">
        <v>2789277.27</v>
      </c>
      <c r="CD18" s="15" t="n">
        <v>1702739.05</v>
      </c>
      <c r="CE18" s="15" t="n">
        <v>78442.38</v>
      </c>
      <c r="CF18" s="15" t="n">
        <v>540843.5699999999</v>
      </c>
      <c r="CG18" s="15" t="n">
        <v>1371766.51</v>
      </c>
      <c r="CH18" s="15" t="n">
        <v>1671210.86</v>
      </c>
      <c r="CI18" s="15" t="n">
        <v>604033.61</v>
      </c>
      <c r="CJ18" s="15" t="n">
        <v>992202.66</v>
      </c>
      <c r="CK18" s="15" t="n">
        <v>40391.3</v>
      </c>
      <c r="CL18" s="15" t="n">
        <v>774484.76</v>
      </c>
      <c r="CM18" s="15" t="n">
        <v>2186162.41</v>
      </c>
      <c r="CN18" s="15" t="n">
        <v>2526028.75</v>
      </c>
      <c r="CO18" s="15" t="n">
        <v>455017.8</v>
      </c>
      <c r="CP18" s="15" t="n">
        <v>1125457.12</v>
      </c>
      <c r="CQ18" s="15" t="n">
        <v>248948.78</v>
      </c>
      <c r="CR18" s="15" t="n">
        <v>44105.18</v>
      </c>
      <c r="CS18" s="15" t="n">
        <v>1493523.86</v>
      </c>
      <c r="CT18" s="15" t="n">
        <v>3727963.05</v>
      </c>
      <c r="CU18" s="15" t="n">
        <v>476724.98</v>
      </c>
      <c r="CV18" s="15" t="n">
        <v>29794.84</v>
      </c>
      <c r="CW18" s="15" t="n">
        <v>47732.44</v>
      </c>
      <c r="CX18" s="15" t="n">
        <v>989713.6800000001</v>
      </c>
      <c r="CY18" s="15" t="n">
        <v>1498316.27</v>
      </c>
      <c r="CZ18" s="15" t="n">
        <v>298902.27</v>
      </c>
      <c r="DA18" s="15" t="n">
        <v>2677808.87</v>
      </c>
      <c r="DB18" s="15" t="n">
        <v>356932.07</v>
      </c>
      <c r="DC18" s="15" t="n">
        <v>415165.99</v>
      </c>
      <c r="DD18" s="15" t="n">
        <v>594602.4399999999</v>
      </c>
      <c r="DE18" s="15" t="n">
        <v>2743399.2</v>
      </c>
      <c r="DF18" s="15" t="n">
        <v>3262238.39</v>
      </c>
      <c r="DG18" s="15" t="n">
        <v>1329475.98</v>
      </c>
      <c r="DH18" s="15" t="n">
        <v>1377430.79</v>
      </c>
      <c r="DI18" s="15" t="n">
        <v>27003.51</v>
      </c>
      <c r="DJ18" s="15" t="n">
        <v>445836.03</v>
      </c>
      <c r="DK18" s="15" t="n">
        <v>1957494.58</v>
      </c>
      <c r="DL18" s="15" t="n">
        <v>1595920.68</v>
      </c>
      <c r="DM18" s="15" t="n">
        <v>2590870.65</v>
      </c>
      <c r="DN18" s="15" t="n">
        <v>874948.74</v>
      </c>
      <c r="DO18" s="15" t="n">
        <v>296236.56</v>
      </c>
      <c r="DP18" s="15" t="n">
        <v>217781.72</v>
      </c>
    </row>
    <row r="19">
      <c r="A19" s="4" t="inlineStr">
        <is>
          <t>团餐</t>
        </is>
      </c>
      <c r="B19" s="15" t="n">
        <v>4020491.96</v>
      </c>
      <c r="C19" s="15" t="n">
        <v>317897.09</v>
      </c>
      <c r="D19" s="15" t="n">
        <v>509399.98</v>
      </c>
      <c r="E19" s="15" t="n">
        <v>105050.52</v>
      </c>
      <c r="F19" s="15" t="n">
        <v>724775.87</v>
      </c>
      <c r="G19" s="15" t="n">
        <v>824480.47</v>
      </c>
      <c r="H19" s="15" t="n">
        <v>2876685.92</v>
      </c>
      <c r="I19" s="15" t="n">
        <v>2699400.46</v>
      </c>
      <c r="J19" s="15" t="n">
        <v>498792.59</v>
      </c>
      <c r="K19" s="15" t="n">
        <v>19710.92</v>
      </c>
      <c r="L19" s="15" t="n">
        <v>-65734.08</v>
      </c>
      <c r="M19" s="15" t="n">
        <v>3693378.09</v>
      </c>
      <c r="N19" s="15" t="n">
        <v>4024759.69</v>
      </c>
      <c r="O19" s="15" t="n">
        <v>1554432.08</v>
      </c>
      <c r="P19" s="15" t="n">
        <v>1343796.14</v>
      </c>
      <c r="Q19" s="15" t="n">
        <v>206237</v>
      </c>
      <c r="R19" s="15" t="n">
        <v>227706.31</v>
      </c>
      <c r="S19" s="15" t="n">
        <v>2164566.12</v>
      </c>
      <c r="T19" s="15" t="n">
        <v>1781376.92</v>
      </c>
      <c r="U19" s="15" t="n">
        <v>1524568.84</v>
      </c>
      <c r="V19" s="15" t="n">
        <v>755630.74</v>
      </c>
      <c r="W19" s="15" t="n">
        <v>351299.48</v>
      </c>
      <c r="X19" s="15" t="n">
        <v>404314.56</v>
      </c>
      <c r="Y19" s="15" t="n">
        <v>2312491.67</v>
      </c>
      <c r="Z19" s="15" t="n">
        <v>611275.7</v>
      </c>
      <c r="AA19" s="15" t="n">
        <v>279970.01</v>
      </c>
      <c r="AB19" s="15" t="n">
        <v>401857.51</v>
      </c>
      <c r="AC19" s="15" t="n">
        <v>308220.27</v>
      </c>
      <c r="AD19" s="15" t="n">
        <v>1391884.49</v>
      </c>
      <c r="AE19" s="15" t="n">
        <v>1438053.06</v>
      </c>
      <c r="AF19" s="15" t="n">
        <v>3566805.54</v>
      </c>
      <c r="AG19" s="15" t="n">
        <v>1598450.4</v>
      </c>
      <c r="AH19" s="15" t="n">
        <v>648414.86</v>
      </c>
      <c r="AI19" s="15" t="n">
        <v>469355.08</v>
      </c>
      <c r="AJ19" s="15" t="n">
        <v>1427998.01</v>
      </c>
      <c r="AK19" s="15" t="n">
        <v>3528403.97</v>
      </c>
      <c r="AL19" s="15" t="n">
        <v>1078622.45</v>
      </c>
      <c r="AM19" s="15" t="n">
        <v>1534912.99</v>
      </c>
      <c r="AN19" s="15" t="n">
        <v>1430985.96</v>
      </c>
      <c r="AO19" s="15" t="n">
        <v>53606.22</v>
      </c>
      <c r="AP19" s="15" t="n">
        <v>210611.02</v>
      </c>
      <c r="AQ19" s="15" t="n">
        <v>1448462.22</v>
      </c>
      <c r="AR19" s="15" t="n">
        <v>2047341.85</v>
      </c>
      <c r="AS19" s="15" t="n">
        <v>1307189.04</v>
      </c>
      <c r="AT19" s="15" t="n">
        <v>1242903.57</v>
      </c>
      <c r="AU19" s="15" t="n">
        <v>486954.63</v>
      </c>
      <c r="AV19" s="15" t="n">
        <v>220652.81</v>
      </c>
      <c r="AW19" s="15" t="n">
        <v>3949071.18</v>
      </c>
      <c r="AX19" s="15" t="n">
        <v>4058638.53</v>
      </c>
      <c r="AY19" s="15" t="n">
        <v>1655270.84</v>
      </c>
      <c r="AZ19" s="15" t="n">
        <v>1615115.47</v>
      </c>
      <c r="BA19" s="15" t="n">
        <v>184146.6</v>
      </c>
      <c r="BB19" s="15" t="n">
        <v>1304883.71</v>
      </c>
      <c r="BC19" s="15" t="n">
        <v>2185816.99</v>
      </c>
      <c r="BD19" s="15" t="n">
        <v>3355043.11</v>
      </c>
      <c r="BE19" s="15" t="n">
        <v>260777.74</v>
      </c>
      <c r="BF19" s="15" t="n">
        <v>1313586.13</v>
      </c>
      <c r="BG19" s="15" t="n">
        <v>462477.59</v>
      </c>
      <c r="BH19" s="15" t="n">
        <v>355935.29</v>
      </c>
      <c r="BI19" s="15" t="n">
        <v>2755465.57</v>
      </c>
      <c r="BJ19" s="15" t="n">
        <v>4529393.58</v>
      </c>
      <c r="BK19" s="15" t="n">
        <v>2095951.76</v>
      </c>
      <c r="BL19" s="15" t="n">
        <v>1208011.53</v>
      </c>
      <c r="BM19" s="15" t="n">
        <v>377486.35</v>
      </c>
      <c r="BN19" s="15" t="n">
        <v>1488416.18</v>
      </c>
      <c r="BO19" s="15" t="n">
        <v>3117660.85</v>
      </c>
      <c r="BP19" s="15" t="n">
        <v>4589023.77</v>
      </c>
      <c r="BQ19" s="15" t="n">
        <v>1330565.05</v>
      </c>
      <c r="BR19" s="15" t="n">
        <v>542199.23</v>
      </c>
      <c r="BS19" s="15" t="n">
        <v>218038.43</v>
      </c>
      <c r="BT19" s="15" t="n">
        <v>824687.41</v>
      </c>
      <c r="BU19" s="15" t="n">
        <v>2564576.77</v>
      </c>
      <c r="BV19" s="15" t="n">
        <v>2162435.12</v>
      </c>
      <c r="BW19" s="15" t="n">
        <v>2849995.02</v>
      </c>
      <c r="BX19" s="15" t="n">
        <v>1191984.11</v>
      </c>
      <c r="BY19" s="15" t="n">
        <v>202733.84</v>
      </c>
      <c r="BZ19" s="15" t="n">
        <v>1305053.04</v>
      </c>
      <c r="CA19" s="15" t="n">
        <v>3748567.13</v>
      </c>
      <c r="CB19" s="15" t="n">
        <v>1491390.53</v>
      </c>
      <c r="CC19" s="15" t="n">
        <v>1328945.73</v>
      </c>
      <c r="CD19" s="15" t="n">
        <v>1722811.63</v>
      </c>
      <c r="CE19" s="15" t="n">
        <v>419889.87</v>
      </c>
      <c r="CF19" s="15" t="n">
        <v>624918.85</v>
      </c>
      <c r="CG19" s="15" t="n">
        <v>2392230.53</v>
      </c>
      <c r="CH19" s="15" t="n">
        <v>1037072.61</v>
      </c>
      <c r="CI19" s="15" t="n">
        <v>1475276.25</v>
      </c>
      <c r="CJ19" s="15" t="n">
        <v>1459233.93</v>
      </c>
      <c r="CK19" s="15" t="n">
        <v>307039.4</v>
      </c>
      <c r="CL19" s="15" t="n">
        <v>1477225.59</v>
      </c>
      <c r="CM19" s="15" t="n">
        <v>434586.97</v>
      </c>
      <c r="CN19" s="15" t="n">
        <v>4400856.07</v>
      </c>
      <c r="CO19" s="15" t="n">
        <v>445481.57</v>
      </c>
      <c r="CP19" s="15" t="n">
        <v>1976337.46</v>
      </c>
      <c r="CQ19" s="15" t="n">
        <v>410204.88</v>
      </c>
      <c r="CR19" s="15" t="n">
        <v>640570.4399999999</v>
      </c>
      <c r="CS19" s="15" t="n">
        <v>382147</v>
      </c>
      <c r="CT19" s="15" t="n">
        <v>3819110.39</v>
      </c>
      <c r="CU19" s="15" t="n">
        <v>2058245.41</v>
      </c>
      <c r="CV19" s="15" t="n">
        <v>1993679.92</v>
      </c>
      <c r="CW19" s="15" t="n">
        <v>163275.94</v>
      </c>
      <c r="CX19" s="15" t="n">
        <v>1024506.58</v>
      </c>
      <c r="CY19" s="15" t="n">
        <v>2730300.67</v>
      </c>
      <c r="CZ19" s="15" t="n">
        <v>723313.4399999999</v>
      </c>
      <c r="DA19" s="15" t="n">
        <v>86543.41</v>
      </c>
      <c r="DB19" s="15" t="n">
        <v>1089252.46</v>
      </c>
      <c r="DC19" s="15" t="n">
        <v>333600.28</v>
      </c>
      <c r="DD19" s="15" t="n">
        <v>70037.25</v>
      </c>
      <c r="DE19" s="15" t="n">
        <v>3667219.31</v>
      </c>
      <c r="DF19" s="15" t="n">
        <v>708580.14</v>
      </c>
      <c r="DG19" s="15" t="n">
        <v>2589739.05</v>
      </c>
      <c r="DH19" s="15" t="n">
        <v>743354.39</v>
      </c>
      <c r="DI19" s="15" t="n">
        <v>46863.44</v>
      </c>
      <c r="DJ19" s="15" t="n">
        <v>-129508.35</v>
      </c>
      <c r="DK19" s="15" t="n">
        <v>1154143.57</v>
      </c>
      <c r="DL19" s="15" t="n">
        <v>1824030.18</v>
      </c>
      <c r="DM19" s="15" t="n">
        <v>2401738.59</v>
      </c>
      <c r="DN19" s="15" t="n">
        <v>359613.3</v>
      </c>
      <c r="DO19" s="15" t="n">
        <v>159325.53</v>
      </c>
      <c r="DP19" s="15" t="n">
        <v>1476579.48</v>
      </c>
    </row>
    <row r="20">
      <c r="A20" s="4" t="inlineStr">
        <is>
          <t>预制菜</t>
        </is>
      </c>
      <c r="B20" s="15" t="n">
        <v>1426243.5</v>
      </c>
      <c r="C20" s="15" t="n">
        <v>2084566.2</v>
      </c>
      <c r="D20" s="15" t="n">
        <v>317998.63</v>
      </c>
      <c r="E20" s="15" t="n">
        <v>55986.74</v>
      </c>
      <c r="F20" s="15" t="n">
        <v>372188.89</v>
      </c>
      <c r="G20" s="15" t="n">
        <v>1679494.53</v>
      </c>
      <c r="H20" s="15" t="n">
        <v>3197631.42</v>
      </c>
      <c r="I20" s="15" t="n">
        <v>753315.88</v>
      </c>
      <c r="J20" s="15" t="n">
        <v>440032.42</v>
      </c>
      <c r="K20" s="15" t="n">
        <v>342275.55</v>
      </c>
      <c r="L20" s="15" t="n">
        <v>-138001.76</v>
      </c>
      <c r="M20" s="15" t="n">
        <v>690182.78</v>
      </c>
      <c r="N20" s="15" t="n">
        <v>1024191.85</v>
      </c>
      <c r="O20" s="15" t="n">
        <v>446541.07</v>
      </c>
      <c r="P20" s="15" t="n">
        <v>273888.94</v>
      </c>
      <c r="Q20" s="15" t="n">
        <v>127885.35</v>
      </c>
      <c r="R20" s="15" t="n">
        <v>715381.99</v>
      </c>
      <c r="S20" s="15" t="n">
        <v>3821285.35</v>
      </c>
      <c r="T20" s="15" t="n">
        <v>171018.14</v>
      </c>
      <c r="U20" s="15" t="n">
        <v>217743.5</v>
      </c>
      <c r="V20" s="15" t="n">
        <v>999141.67</v>
      </c>
      <c r="W20" s="15" t="n">
        <v>163550.93</v>
      </c>
      <c r="X20" s="15" t="n">
        <v>1253715.89</v>
      </c>
      <c r="Y20" s="15" t="n">
        <v>3046332.77</v>
      </c>
      <c r="Z20" s="15" t="n">
        <v>4207102.34</v>
      </c>
      <c r="AA20" s="15" t="n">
        <v>252704.55</v>
      </c>
      <c r="AB20" s="15" t="n">
        <v>561835.74</v>
      </c>
      <c r="AC20" s="15" t="n">
        <v>88216.23</v>
      </c>
      <c r="AD20" s="15" t="n">
        <v>39943.66</v>
      </c>
      <c r="AE20" s="15" t="n">
        <v>1189683.21</v>
      </c>
      <c r="AF20" s="15" t="n">
        <v>1557876.36</v>
      </c>
      <c r="AG20" s="15" t="n">
        <v>2273889.19</v>
      </c>
      <c r="AH20" s="15" t="n">
        <v>706119.87</v>
      </c>
      <c r="AI20" s="15" t="n">
        <v>249050.99</v>
      </c>
      <c r="AJ20" s="15" t="n">
        <v>427423.37</v>
      </c>
      <c r="AK20" s="15" t="n">
        <v>3059070.2</v>
      </c>
      <c r="AL20" s="15" t="n">
        <v>3753586.02</v>
      </c>
      <c r="AM20" s="15" t="n">
        <v>684333.1899999999</v>
      </c>
      <c r="AN20" s="15" t="n">
        <v>1736896.58</v>
      </c>
      <c r="AO20" s="15" t="n">
        <v>471413.88</v>
      </c>
      <c r="AP20" s="15" t="n">
        <v>676335.35</v>
      </c>
      <c r="AQ20" s="15" t="n">
        <v>3431477.19</v>
      </c>
      <c r="AR20" s="15" t="n">
        <v>3234290.05</v>
      </c>
      <c r="AS20" s="15" t="n">
        <v>2652994.3</v>
      </c>
      <c r="AT20" s="15" t="n">
        <v>1224040.81</v>
      </c>
      <c r="AU20" s="15" t="n">
        <v>238159</v>
      </c>
      <c r="AV20" s="15" t="n">
        <v>37513.59</v>
      </c>
      <c r="AW20" s="15" t="n">
        <v>1137732.65</v>
      </c>
      <c r="AX20" s="15" t="n">
        <v>1581171.57</v>
      </c>
      <c r="AY20" s="15" t="n">
        <v>2375940.4</v>
      </c>
      <c r="AZ20" s="15" t="n">
        <v>190357.2</v>
      </c>
      <c r="BA20" s="15" t="n">
        <v>454576.36</v>
      </c>
      <c r="BB20" s="15" t="n">
        <v>-179558.12</v>
      </c>
      <c r="BC20" s="15" t="n">
        <v>1978128.58</v>
      </c>
      <c r="BD20" s="15" t="n">
        <v>3379445.66</v>
      </c>
      <c r="BE20" s="15" t="n">
        <v>571237.33</v>
      </c>
      <c r="BF20" s="15" t="n">
        <v>1361803.18</v>
      </c>
      <c r="BG20" s="15" t="n">
        <v>354276.1</v>
      </c>
      <c r="BH20" s="15" t="n">
        <v>210594.47</v>
      </c>
      <c r="BI20" s="15" t="n">
        <v>3720174.41</v>
      </c>
      <c r="BJ20" s="15" t="n">
        <v>3806805.37</v>
      </c>
      <c r="BK20" s="15" t="n">
        <v>1497551.69</v>
      </c>
      <c r="BL20" s="15" t="n">
        <v>1266607.57</v>
      </c>
      <c r="BM20" s="15" t="n">
        <v>118099.73</v>
      </c>
      <c r="BN20" s="15" t="n">
        <v>541480.79</v>
      </c>
      <c r="BO20" s="15" t="n">
        <v>1425138.36</v>
      </c>
      <c r="BP20" s="15" t="n">
        <v>2260096.51</v>
      </c>
      <c r="BQ20" s="15" t="n">
        <v>250722.47</v>
      </c>
      <c r="BR20" s="15" t="n">
        <v>272002.11</v>
      </c>
      <c r="BS20" s="15" t="n">
        <v>184914.25</v>
      </c>
      <c r="BT20" s="15" t="n">
        <v>1409923.13</v>
      </c>
      <c r="BU20" s="15" t="n">
        <v>1403208.68</v>
      </c>
      <c r="BV20" s="15" t="n">
        <v>1618924.75</v>
      </c>
      <c r="BW20" s="15" t="n">
        <v>2784651.61</v>
      </c>
      <c r="BX20" s="15" t="n">
        <v>590439.09</v>
      </c>
      <c r="BY20" s="15" t="n">
        <v>469428.61</v>
      </c>
      <c r="BZ20" s="15" t="n">
        <v>105531.61</v>
      </c>
      <c r="CA20" s="15" t="n">
        <v>1607364.85</v>
      </c>
      <c r="CB20" s="15" t="n">
        <v>2197154.35</v>
      </c>
      <c r="CC20" s="15" t="n">
        <v>1058381.78</v>
      </c>
      <c r="CD20" s="15" t="n">
        <v>1373015.77</v>
      </c>
      <c r="CE20" s="15" t="n">
        <v>294247.89</v>
      </c>
      <c r="CF20" s="15" t="n">
        <v>1157683.16</v>
      </c>
      <c r="CG20" s="15" t="n">
        <v>2342234.95</v>
      </c>
      <c r="CH20" s="15" t="n">
        <v>4362812.6</v>
      </c>
      <c r="CI20" s="15" t="n">
        <v>1845216.43</v>
      </c>
      <c r="CJ20" s="15" t="n">
        <v>374879.55</v>
      </c>
      <c r="CK20" s="15" t="n">
        <v>356823.35</v>
      </c>
      <c r="CL20" s="15" t="n">
        <v>1214856.91</v>
      </c>
      <c r="CM20" s="15" t="n">
        <v>3849940.64</v>
      </c>
      <c r="CN20" s="15" t="n">
        <v>1794154.21</v>
      </c>
      <c r="CO20" s="15" t="n">
        <v>2805188.16</v>
      </c>
      <c r="CP20" s="15" t="n">
        <v>214479.42</v>
      </c>
      <c r="CQ20" s="15" t="n">
        <v>443504.1</v>
      </c>
      <c r="CR20" s="15" t="n">
        <v>1211861.07</v>
      </c>
      <c r="CS20" s="15" t="n">
        <v>952527.0600000001</v>
      </c>
      <c r="CT20" s="15" t="n">
        <v>1322848.5</v>
      </c>
      <c r="CU20" s="15" t="n">
        <v>208585.2</v>
      </c>
      <c r="CV20" s="15" t="n">
        <v>332043.05</v>
      </c>
      <c r="CW20" s="15" t="n">
        <v>313177.75</v>
      </c>
      <c r="CX20" s="15" t="n">
        <v>1059453.19</v>
      </c>
      <c r="CY20" s="15" t="n">
        <v>3891936.83</v>
      </c>
      <c r="CZ20" s="15" t="n">
        <v>3255766.92</v>
      </c>
      <c r="DA20" s="15" t="n">
        <v>1031853.55</v>
      </c>
      <c r="DB20" s="15" t="n">
        <v>378252.43</v>
      </c>
      <c r="DC20" s="15" t="n">
        <v>151130.53</v>
      </c>
      <c r="DD20" s="15" t="n">
        <v>558987.3</v>
      </c>
      <c r="DE20" s="15" t="n">
        <v>820659.77</v>
      </c>
      <c r="DF20" s="15" t="n">
        <v>3553793.78</v>
      </c>
      <c r="DG20" s="15" t="n">
        <v>2506766.69</v>
      </c>
      <c r="DH20" s="15" t="n">
        <v>158344.12</v>
      </c>
      <c r="DI20" s="15" t="n">
        <v>74482.75999999999</v>
      </c>
      <c r="DJ20" s="15" t="n">
        <v>1270276.03</v>
      </c>
      <c r="DK20" s="15" t="n">
        <v>3469036.18</v>
      </c>
      <c r="DL20" s="15" t="n">
        <v>1183131.74</v>
      </c>
      <c r="DM20" s="15" t="n">
        <v>2761738.93</v>
      </c>
      <c r="DN20" s="15" t="n">
        <v>1383538.69</v>
      </c>
      <c r="DO20" s="15" t="n">
        <v>63724.7</v>
      </c>
      <c r="DP20" s="15" t="n">
        <v>1476874.88</v>
      </c>
    </row>
    <row r="21">
      <c r="A21" s="4" t="inlineStr">
        <is>
          <t>其他产品A</t>
        </is>
      </c>
      <c r="B21" s="15" t="n">
        <v>1798523.27</v>
      </c>
      <c r="C21" s="15" t="n">
        <v>772715.98</v>
      </c>
      <c r="D21" s="15" t="n">
        <v>1399698.71</v>
      </c>
      <c r="E21" s="15" t="n">
        <v>187689.48</v>
      </c>
      <c r="F21" s="15" t="n">
        <v>585331.1899999999</v>
      </c>
      <c r="G21" s="15" t="n">
        <v>3686736.29</v>
      </c>
      <c r="H21" s="15" t="n">
        <v>4749781.48</v>
      </c>
      <c r="I21" s="15" t="n">
        <v>2418001.1</v>
      </c>
      <c r="J21" s="15" t="n">
        <v>186866.06</v>
      </c>
      <c r="K21" s="15" t="n">
        <v>372303.74</v>
      </c>
      <c r="L21" s="15" t="n">
        <v>516418.1</v>
      </c>
      <c r="M21" s="15" t="n">
        <v>2719494.73</v>
      </c>
      <c r="N21" s="15" t="n">
        <v>4916818.38</v>
      </c>
      <c r="O21" s="15" t="n">
        <v>158773.51</v>
      </c>
      <c r="P21" s="15" t="n">
        <v>1853755.21</v>
      </c>
      <c r="Q21" s="15" t="n">
        <v>201882.18</v>
      </c>
      <c r="R21" s="15" t="n">
        <v>910855.86</v>
      </c>
      <c r="S21" s="15" t="n">
        <v>2718060.39</v>
      </c>
      <c r="T21" s="15" t="n">
        <v>3030395.96</v>
      </c>
      <c r="U21" s="15" t="n">
        <v>194822.97</v>
      </c>
      <c r="V21" s="15" t="n">
        <v>1439940.01</v>
      </c>
      <c r="W21" s="15" t="n">
        <v>418738.51</v>
      </c>
      <c r="X21" s="15" t="n">
        <v>122302.59</v>
      </c>
      <c r="Y21" s="15" t="n">
        <v>1064647.47</v>
      </c>
      <c r="Z21" s="15" t="n">
        <v>1156393.75</v>
      </c>
      <c r="AA21" s="15" t="n">
        <v>845114.27</v>
      </c>
      <c r="AB21" s="15" t="n">
        <v>516940.55</v>
      </c>
      <c r="AC21" s="15" t="n">
        <v>413618.96</v>
      </c>
      <c r="AD21" s="15" t="n">
        <v>1072872.8</v>
      </c>
      <c r="AE21" s="15" t="n">
        <v>2288634.39</v>
      </c>
      <c r="AF21" s="15" t="n">
        <v>3992472.36</v>
      </c>
      <c r="AG21" s="15" t="n">
        <v>1789424.06</v>
      </c>
      <c r="AH21" s="15" t="n">
        <v>520707.52</v>
      </c>
      <c r="AI21" s="15" t="n">
        <v>86591.96000000001</v>
      </c>
      <c r="AJ21" s="15" t="n">
        <v>1092250.59</v>
      </c>
      <c r="AK21" s="15" t="n">
        <v>3699228.07</v>
      </c>
      <c r="AL21" s="15" t="n">
        <v>136531.96</v>
      </c>
      <c r="AM21" s="15" t="n">
        <v>225740.73</v>
      </c>
      <c r="AN21" s="15" t="n">
        <v>1265917.65</v>
      </c>
      <c r="AO21" s="15" t="n">
        <v>90923.5</v>
      </c>
      <c r="AP21" s="15" t="n">
        <v>1311624.45</v>
      </c>
      <c r="AQ21" s="15" t="n">
        <v>1810431.88</v>
      </c>
      <c r="AR21" s="15" t="n">
        <v>3617235.31</v>
      </c>
      <c r="AS21" s="15" t="n">
        <v>762590.92</v>
      </c>
      <c r="AT21" s="15" t="n">
        <v>331276.91</v>
      </c>
      <c r="AU21" s="15" t="n">
        <v>259220.05</v>
      </c>
      <c r="AV21" s="15" t="n">
        <v>1240203.45</v>
      </c>
      <c r="AW21" s="15" t="n">
        <v>2068502.05</v>
      </c>
      <c r="AX21" s="15" t="n">
        <v>4424258.1</v>
      </c>
      <c r="AY21" s="15" t="n">
        <v>1371349.84</v>
      </c>
      <c r="AZ21" s="15" t="n">
        <v>1099826.85</v>
      </c>
      <c r="BA21" s="15" t="n">
        <v>337640.59</v>
      </c>
      <c r="BB21" s="15" t="n">
        <v>-19079.93</v>
      </c>
      <c r="BC21" s="15" t="n">
        <v>2438212.44</v>
      </c>
      <c r="BD21" s="15" t="n">
        <v>1169666.54</v>
      </c>
      <c r="BE21" s="15" t="n">
        <v>1648796.65</v>
      </c>
      <c r="BF21" s="15" t="n">
        <v>756823.33</v>
      </c>
      <c r="BG21" s="15" t="n">
        <v>29351.22</v>
      </c>
      <c r="BH21" s="15" t="n">
        <v>-125883.5</v>
      </c>
      <c r="BI21" s="15" t="n">
        <v>250078.86</v>
      </c>
      <c r="BJ21" s="15" t="n">
        <v>393985.69</v>
      </c>
      <c r="BK21" s="15" t="n">
        <v>1303607.1</v>
      </c>
      <c r="BL21" s="15" t="n">
        <v>1275589.84</v>
      </c>
      <c r="BM21" s="15" t="n">
        <v>78850.21000000001</v>
      </c>
      <c r="BN21" s="15" t="n">
        <v>674614.24</v>
      </c>
      <c r="BO21" s="15" t="n">
        <v>3453029.84</v>
      </c>
      <c r="BP21" s="15" t="n">
        <v>3262404.77</v>
      </c>
      <c r="BQ21" s="15" t="n">
        <v>1458982.38</v>
      </c>
      <c r="BR21" s="15" t="n">
        <v>902969.9399999999</v>
      </c>
      <c r="BS21" s="15" t="n">
        <v>172045.75</v>
      </c>
      <c r="BT21" s="15" t="n">
        <v>484228.29</v>
      </c>
      <c r="BU21" s="15" t="n">
        <v>2241993.07</v>
      </c>
      <c r="BV21" s="15" t="n">
        <v>690918.08</v>
      </c>
      <c r="BW21" s="15" t="n">
        <v>547153.6</v>
      </c>
      <c r="BX21" s="15" t="n">
        <v>1322978.73</v>
      </c>
      <c r="BY21" s="15" t="n">
        <v>482324.23</v>
      </c>
      <c r="BZ21" s="15" t="n">
        <v>912178.28</v>
      </c>
      <c r="CA21" s="15" t="n">
        <v>1026010.56</v>
      </c>
      <c r="CB21" s="15" t="n">
        <v>1443666.7</v>
      </c>
      <c r="CC21" s="15" t="n">
        <v>1298202.7</v>
      </c>
      <c r="CD21" s="15" t="n">
        <v>448864.29</v>
      </c>
      <c r="CE21" s="15" t="n">
        <v>100067.15</v>
      </c>
      <c r="CF21" s="15" t="n">
        <v>287971.5</v>
      </c>
      <c r="CG21" s="15" t="n">
        <v>1563880.99</v>
      </c>
      <c r="CH21" s="15" t="n">
        <v>3277685.42</v>
      </c>
      <c r="CI21" s="15" t="n">
        <v>2918086.58</v>
      </c>
      <c r="CJ21" s="15" t="n">
        <v>1346902.55</v>
      </c>
      <c r="CK21" s="15" t="n">
        <v>429278.63</v>
      </c>
      <c r="CL21" s="15" t="n">
        <v>698215.29</v>
      </c>
      <c r="CM21" s="15" t="n">
        <v>3758035.87</v>
      </c>
      <c r="CN21" s="15" t="n">
        <v>3879000.63</v>
      </c>
      <c r="CO21" s="15" t="n">
        <v>1042503.22</v>
      </c>
      <c r="CP21" s="15" t="n">
        <v>1502157.68</v>
      </c>
      <c r="CQ21" s="15" t="n">
        <v>370075</v>
      </c>
      <c r="CR21" s="15" t="n">
        <v>365924.76</v>
      </c>
      <c r="CS21" s="15" t="n">
        <v>1904914.41</v>
      </c>
      <c r="CT21" s="15" t="n">
        <v>2525893.69</v>
      </c>
      <c r="CU21" s="15" t="n">
        <v>981931.5699999999</v>
      </c>
      <c r="CV21" s="15" t="n">
        <v>1976460.42</v>
      </c>
      <c r="CW21" s="15" t="n">
        <v>43312.67</v>
      </c>
      <c r="CX21" s="15" t="n">
        <v>1481869.63</v>
      </c>
      <c r="CY21" s="15" t="n">
        <v>1516487.52</v>
      </c>
      <c r="CZ21" s="15" t="n">
        <v>3959279.29</v>
      </c>
      <c r="DA21" s="15" t="n">
        <v>2538801.19</v>
      </c>
      <c r="DB21" s="15" t="n">
        <v>1009401.11</v>
      </c>
      <c r="DC21" s="15" t="n">
        <v>288751.88</v>
      </c>
      <c r="DD21" s="15" t="n">
        <v>457228.14</v>
      </c>
      <c r="DE21" s="15" t="n">
        <v>2838251.73</v>
      </c>
      <c r="DF21" s="15" t="n">
        <v>2874967.07</v>
      </c>
      <c r="DG21" s="15" t="n">
        <v>2744570.23</v>
      </c>
      <c r="DH21" s="15" t="n">
        <v>828608.4399999999</v>
      </c>
      <c r="DI21" s="15" t="n">
        <v>396643.89</v>
      </c>
      <c r="DJ21" s="15" t="n">
        <v>-178568.01</v>
      </c>
      <c r="DK21" s="15" t="n">
        <v>3159712.95</v>
      </c>
      <c r="DL21" s="15" t="n">
        <v>3238771.6</v>
      </c>
      <c r="DM21" s="15" t="n">
        <v>2321242.87</v>
      </c>
      <c r="DN21" s="15" t="n">
        <v>1858113.93</v>
      </c>
      <c r="DO21" s="15" t="n">
        <v>355616.16</v>
      </c>
      <c r="DP21" s="15" t="n">
        <v>561095.64</v>
      </c>
    </row>
    <row r="22">
      <c r="A22" s="4" t="inlineStr">
        <is>
          <t>其他产品B</t>
        </is>
      </c>
      <c r="B22" s="15" t="n">
        <v>1642405.96</v>
      </c>
      <c r="C22" s="15" t="n">
        <v>596074.63</v>
      </c>
      <c r="D22" s="15" t="n">
        <v>1689154.92</v>
      </c>
      <c r="E22" s="15" t="n">
        <v>371014.09</v>
      </c>
      <c r="F22" s="15" t="n">
        <v>676923.04</v>
      </c>
      <c r="G22" s="15" t="n">
        <v>2578716.28</v>
      </c>
      <c r="H22" s="15" t="n">
        <v>532550.9300000001</v>
      </c>
      <c r="I22" s="15" t="n">
        <v>1718023.74</v>
      </c>
      <c r="J22" s="15" t="n">
        <v>384342.94</v>
      </c>
      <c r="K22" s="15" t="n">
        <v>444777.85</v>
      </c>
      <c r="L22" s="15" t="n">
        <v>354315.08</v>
      </c>
      <c r="M22" s="15" t="n">
        <v>2950822.55</v>
      </c>
      <c r="N22" s="15" t="n">
        <v>1758706.2</v>
      </c>
      <c r="O22" s="15" t="n">
        <v>1471074.04</v>
      </c>
      <c r="P22" s="15" t="n">
        <v>1183989.46</v>
      </c>
      <c r="Q22" s="15" t="n">
        <v>190450.41</v>
      </c>
      <c r="R22" s="15" t="n">
        <v>1024581.83</v>
      </c>
      <c r="S22" s="15" t="n">
        <v>1856383.84</v>
      </c>
      <c r="T22" s="15" t="n">
        <v>739262.6</v>
      </c>
      <c r="U22" s="15" t="n">
        <v>1484938.32</v>
      </c>
      <c r="V22" s="15" t="n">
        <v>838161.16</v>
      </c>
      <c r="W22" s="15" t="n">
        <v>143777.74</v>
      </c>
      <c r="X22" s="15" t="n">
        <v>284058.32</v>
      </c>
      <c r="Y22" s="15" t="n">
        <v>3747997.92</v>
      </c>
      <c r="Z22" s="15" t="n">
        <v>1603736.24</v>
      </c>
      <c r="AA22" s="15" t="n">
        <v>228807.88</v>
      </c>
      <c r="AB22" s="15" t="n">
        <v>1245278.62</v>
      </c>
      <c r="AC22" s="15" t="n">
        <v>241213.39</v>
      </c>
      <c r="AD22" s="15" t="n">
        <v>726709.5600000001</v>
      </c>
      <c r="AE22" s="15" t="n">
        <v>945062.61</v>
      </c>
      <c r="AF22" s="15" t="n">
        <v>2484779.95</v>
      </c>
      <c r="AG22" s="15" t="n">
        <v>586077.28</v>
      </c>
      <c r="AH22" s="15" t="n">
        <v>1127938.19</v>
      </c>
      <c r="AI22" s="15" t="n">
        <v>69711.28</v>
      </c>
      <c r="AJ22" s="15" t="n">
        <v>853887.1899999999</v>
      </c>
      <c r="AK22" s="15" t="n">
        <v>865239.04</v>
      </c>
      <c r="AL22" s="15" t="n">
        <v>3228033.76</v>
      </c>
      <c r="AM22" s="15" t="n">
        <v>496898.37</v>
      </c>
      <c r="AN22" s="15" t="n">
        <v>1787134.11</v>
      </c>
      <c r="AO22" s="15" t="n">
        <v>338874.89</v>
      </c>
      <c r="AP22" s="15" t="n">
        <v>830388.39</v>
      </c>
      <c r="AQ22" s="15" t="n">
        <v>731486.72</v>
      </c>
      <c r="AR22" s="15" t="n">
        <v>3226010.7</v>
      </c>
      <c r="AS22" s="15" t="n">
        <v>156835.74</v>
      </c>
      <c r="AT22" s="15" t="n">
        <v>1438272.32</v>
      </c>
      <c r="AU22" s="15" t="n">
        <v>340116.94</v>
      </c>
      <c r="AV22" s="15" t="n">
        <v>1405125.03</v>
      </c>
      <c r="AW22" s="15" t="n">
        <v>1277998.96</v>
      </c>
      <c r="AX22" s="15" t="n">
        <v>2031203</v>
      </c>
      <c r="AY22" s="15" t="n">
        <v>451274.61</v>
      </c>
      <c r="AZ22" s="15" t="n">
        <v>535393.77</v>
      </c>
      <c r="BA22" s="15" t="n">
        <v>235823.99</v>
      </c>
      <c r="BB22" s="15" t="n">
        <v>535280.4300000001</v>
      </c>
      <c r="BC22" s="15" t="n">
        <v>2613932.43</v>
      </c>
      <c r="BD22" s="15" t="n">
        <v>2999074.16</v>
      </c>
      <c r="BE22" s="15" t="n">
        <v>1025559.11</v>
      </c>
      <c r="BF22" s="15" t="n">
        <v>1214845.56</v>
      </c>
      <c r="BG22" s="15" t="n">
        <v>461362.42</v>
      </c>
      <c r="BH22" s="15" t="n">
        <v>595324.12</v>
      </c>
      <c r="BI22" s="15" t="n">
        <v>3740620.76</v>
      </c>
      <c r="BJ22" s="15" t="n">
        <v>3330231.17</v>
      </c>
      <c r="BK22" s="15" t="n">
        <v>1989436.82</v>
      </c>
      <c r="BL22" s="15" t="n">
        <v>1508018.18</v>
      </c>
      <c r="BM22" s="15" t="n">
        <v>207408.47</v>
      </c>
      <c r="BN22" s="15" t="n">
        <v>967964.7</v>
      </c>
      <c r="BO22" s="15" t="n">
        <v>174265.16</v>
      </c>
      <c r="BP22" s="15" t="n">
        <v>4759331.74</v>
      </c>
      <c r="BQ22" s="15" t="n">
        <v>1348606.98</v>
      </c>
      <c r="BR22" s="15" t="n">
        <v>328541.52</v>
      </c>
      <c r="BS22" s="15" t="n">
        <v>158689.66</v>
      </c>
      <c r="BT22" s="15" t="n">
        <v>532600.74</v>
      </c>
      <c r="BU22" s="15" t="n">
        <v>1617157.27</v>
      </c>
      <c r="BV22" s="15" t="n">
        <v>3077074.47</v>
      </c>
      <c r="BW22" s="15" t="n">
        <v>2082229.02</v>
      </c>
      <c r="BX22" s="15" t="n">
        <v>459522.42</v>
      </c>
      <c r="BY22" s="15" t="n">
        <v>465349.6</v>
      </c>
      <c r="BZ22" s="15" t="n">
        <v>1193287.67</v>
      </c>
      <c r="CA22" s="15" t="n">
        <v>2745628.56</v>
      </c>
      <c r="CB22" s="15" t="n">
        <v>2868830.88</v>
      </c>
      <c r="CC22" s="15" t="n">
        <v>969332.49</v>
      </c>
      <c r="CD22" s="15" t="n">
        <v>1045720.18</v>
      </c>
      <c r="CE22" s="15" t="n">
        <v>257723.91</v>
      </c>
      <c r="CF22" s="15" t="n">
        <v>1293953.89</v>
      </c>
      <c r="CG22" s="15" t="n">
        <v>2994140.16</v>
      </c>
      <c r="CH22" s="15" t="n">
        <v>4536567.14</v>
      </c>
      <c r="CI22" s="15" t="n">
        <v>108215.91</v>
      </c>
      <c r="CJ22" s="15" t="n">
        <v>667418.9300000001</v>
      </c>
      <c r="CK22" s="15" t="n">
        <v>293847.88</v>
      </c>
      <c r="CL22" s="15" t="n">
        <v>368136.39</v>
      </c>
      <c r="CM22" s="15" t="n">
        <v>2562189.68</v>
      </c>
      <c r="CN22" s="15" t="n">
        <v>909320.0600000001</v>
      </c>
      <c r="CO22" s="15" t="n">
        <v>1461568.97</v>
      </c>
      <c r="CP22" s="15" t="n">
        <v>385036.99</v>
      </c>
      <c r="CQ22" s="15" t="n">
        <v>196358.15</v>
      </c>
      <c r="CR22" s="15" t="n">
        <v>1076328.03</v>
      </c>
      <c r="CS22" s="15" t="n">
        <v>653663.98</v>
      </c>
      <c r="CT22" s="15" t="n">
        <v>4055250.79</v>
      </c>
      <c r="CU22" s="15" t="n">
        <v>2347500.51</v>
      </c>
      <c r="CV22" s="15" t="n">
        <v>668240.96</v>
      </c>
      <c r="CW22" s="15" t="n">
        <v>369860.21</v>
      </c>
      <c r="CX22" s="15" t="n">
        <v>70027.34</v>
      </c>
      <c r="CY22" s="15" t="n">
        <v>1040586.61</v>
      </c>
      <c r="CZ22" s="15" t="n">
        <v>4732848.2</v>
      </c>
      <c r="DA22" s="15" t="n">
        <v>2170449.8</v>
      </c>
      <c r="DB22" s="15" t="n">
        <v>1766298.96</v>
      </c>
      <c r="DC22" s="15" t="n">
        <v>461687.84</v>
      </c>
      <c r="DD22" s="15" t="n">
        <v>1194064</v>
      </c>
      <c r="DE22" s="15" t="n">
        <v>2454494.88</v>
      </c>
      <c r="DF22" s="15" t="n">
        <v>911669.8100000001</v>
      </c>
      <c r="DG22" s="15" t="n">
        <v>2885173.18</v>
      </c>
      <c r="DH22" s="15" t="n">
        <v>1460758.06</v>
      </c>
      <c r="DI22" s="15" t="n">
        <v>142536.14</v>
      </c>
      <c r="DJ22" s="15" t="n">
        <v>100620.74</v>
      </c>
      <c r="DK22" s="15" t="n">
        <v>3141352.86</v>
      </c>
      <c r="DL22" s="15" t="n">
        <v>3431692.03</v>
      </c>
      <c r="DM22" s="15" t="n">
        <v>804747.02</v>
      </c>
      <c r="DN22" s="15" t="n">
        <v>517783.01</v>
      </c>
      <c r="DO22" s="15" t="n">
        <v>440122.85</v>
      </c>
      <c r="DP22" s="15" t="n">
        <v>531720.15</v>
      </c>
    </row>
    <row r="23">
      <c r="A23" s="4" t="inlineStr">
        <is>
          <t>其他产品C</t>
        </is>
      </c>
      <c r="B23" s="15" t="n">
        <v>2049012.16</v>
      </c>
      <c r="C23" s="15" t="n">
        <v>195160.18</v>
      </c>
      <c r="D23" s="15" t="n">
        <v>218257.6</v>
      </c>
      <c r="E23" s="15" t="n">
        <v>478642.87</v>
      </c>
      <c r="F23" s="15" t="n">
        <v>819142.0699999999</v>
      </c>
      <c r="G23" s="15" t="n">
        <v>2995093.13</v>
      </c>
      <c r="H23" s="15" t="n">
        <v>525977.24</v>
      </c>
      <c r="I23" s="15" t="n">
        <v>201699.91</v>
      </c>
      <c r="J23" s="15" t="n">
        <v>769288.23</v>
      </c>
      <c r="K23" s="15" t="n">
        <v>261468.94</v>
      </c>
      <c r="L23" s="15" t="n">
        <v>86970.83</v>
      </c>
      <c r="M23" s="15" t="n">
        <v>3269921.57</v>
      </c>
      <c r="N23" s="15" t="n">
        <v>1991955.53</v>
      </c>
      <c r="O23" s="15" t="n">
        <v>2232139.63</v>
      </c>
      <c r="P23" s="15" t="n">
        <v>1049507.82</v>
      </c>
      <c r="Q23" s="15" t="n">
        <v>265671</v>
      </c>
      <c r="R23" s="15" t="n">
        <v>600488.04</v>
      </c>
      <c r="S23" s="15" t="n">
        <v>3920985.36</v>
      </c>
      <c r="T23" s="15" t="n">
        <v>4838148.46</v>
      </c>
      <c r="U23" s="15" t="n">
        <v>859207.08</v>
      </c>
      <c r="V23" s="15" t="n">
        <v>516148.71</v>
      </c>
      <c r="W23" s="15" t="n">
        <v>448125.42</v>
      </c>
      <c r="X23" s="15" t="n">
        <v>233196.82</v>
      </c>
      <c r="Y23" s="15" t="n">
        <v>154504.85</v>
      </c>
      <c r="Z23" s="15" t="n">
        <v>1304466.74</v>
      </c>
      <c r="AA23" s="15" t="n">
        <v>2809314.51</v>
      </c>
      <c r="AB23" s="15" t="n">
        <v>1523288.28</v>
      </c>
      <c r="AC23" s="15" t="n">
        <v>341159.42</v>
      </c>
      <c r="AD23" s="15" t="n">
        <v>858595.9</v>
      </c>
      <c r="AE23" s="15" t="n">
        <v>406868.21</v>
      </c>
      <c r="AF23" s="15" t="n">
        <v>4789674.31</v>
      </c>
      <c r="AG23" s="15" t="n">
        <v>1887454.52</v>
      </c>
      <c r="AH23" s="15" t="n">
        <v>661538.6</v>
      </c>
      <c r="AI23" s="15" t="n">
        <v>402001.01</v>
      </c>
      <c r="AJ23" s="15" t="n">
        <v>190231.47</v>
      </c>
      <c r="AK23" s="15" t="n">
        <v>1254807.07</v>
      </c>
      <c r="AL23" s="15" t="n">
        <v>330544.88</v>
      </c>
      <c r="AM23" s="15" t="n">
        <v>1710651.91</v>
      </c>
      <c r="AN23" s="15" t="n">
        <v>1089660.03</v>
      </c>
      <c r="AO23" s="15" t="n">
        <v>350747.59</v>
      </c>
      <c r="AP23" s="15" t="n">
        <v>200070.06</v>
      </c>
      <c r="AQ23" s="15" t="n">
        <v>477867.53</v>
      </c>
      <c r="AR23" s="15" t="n">
        <v>1313112.41</v>
      </c>
      <c r="AS23" s="15" t="n">
        <v>141318.36</v>
      </c>
      <c r="AT23" s="15" t="n">
        <v>802183.22</v>
      </c>
      <c r="AU23" s="15" t="n">
        <v>373188.78</v>
      </c>
      <c r="AV23" s="15" t="n">
        <v>255353.79</v>
      </c>
      <c r="AW23" s="15" t="n">
        <v>1729645.89</v>
      </c>
      <c r="AX23" s="15" t="n">
        <v>433773.37</v>
      </c>
      <c r="AY23" s="15" t="n">
        <v>457546.81</v>
      </c>
      <c r="AZ23" s="15" t="n">
        <v>1668506.13</v>
      </c>
      <c r="BA23" s="15" t="n">
        <v>460031.44</v>
      </c>
      <c r="BB23" s="15" t="n">
        <v>639731.3</v>
      </c>
      <c r="BC23" s="15" t="n">
        <v>2015832.53</v>
      </c>
      <c r="BD23" s="15" t="n">
        <v>4850274.31</v>
      </c>
      <c r="BE23" s="15" t="n">
        <v>788244.6899999999</v>
      </c>
      <c r="BF23" s="15" t="n">
        <v>1940068.41</v>
      </c>
      <c r="BG23" s="15" t="n">
        <v>280006.83</v>
      </c>
      <c r="BH23" s="15" t="n">
        <v>-195990.54</v>
      </c>
      <c r="BI23" s="15" t="n">
        <v>3121510.84</v>
      </c>
      <c r="BJ23" s="15" t="n">
        <v>4395623.04</v>
      </c>
      <c r="BK23" s="15" t="n">
        <v>530232.33</v>
      </c>
      <c r="BL23" s="15" t="n">
        <v>1603601.11</v>
      </c>
      <c r="BM23" s="15" t="n">
        <v>47621.65</v>
      </c>
      <c r="BN23" s="15" t="n">
        <v>165604.19</v>
      </c>
      <c r="BO23" s="15" t="n">
        <v>2044602.93</v>
      </c>
      <c r="BP23" s="15" t="n">
        <v>1898611.41</v>
      </c>
      <c r="BQ23" s="15" t="n">
        <v>151373.4</v>
      </c>
      <c r="BR23" s="15" t="n">
        <v>1261822.26</v>
      </c>
      <c r="BS23" s="15" t="n">
        <v>127825.53</v>
      </c>
      <c r="BT23" s="15" t="n">
        <v>-31009.51</v>
      </c>
      <c r="BU23" s="15" t="n">
        <v>675457.8199999999</v>
      </c>
      <c r="BV23" s="15" t="n">
        <v>458661.21</v>
      </c>
      <c r="BW23" s="15" t="n">
        <v>632851.33</v>
      </c>
      <c r="BX23" s="15" t="n">
        <v>1631103.57</v>
      </c>
      <c r="BY23" s="15" t="n">
        <v>203539.21</v>
      </c>
      <c r="BZ23" s="15" t="n">
        <v>1091762.56</v>
      </c>
      <c r="CA23" s="15" t="n">
        <v>930055.54</v>
      </c>
      <c r="CB23" s="15" t="n">
        <v>426182.89</v>
      </c>
      <c r="CC23" s="15" t="n">
        <v>2317988.56</v>
      </c>
      <c r="CD23" s="15" t="n">
        <v>1195421.21</v>
      </c>
      <c r="CE23" s="15" t="n">
        <v>96942.25</v>
      </c>
      <c r="CF23" s="15" t="n">
        <v>85534.62</v>
      </c>
      <c r="CG23" s="15" t="n">
        <v>258366.09</v>
      </c>
      <c r="CH23" s="15" t="n">
        <v>1297590.75</v>
      </c>
      <c r="CI23" s="15" t="n">
        <v>1674836.56</v>
      </c>
      <c r="CJ23" s="15" t="n">
        <v>1831975.75</v>
      </c>
      <c r="CK23" s="15" t="n">
        <v>247114.2</v>
      </c>
      <c r="CL23" s="15" t="n">
        <v>-140560.65</v>
      </c>
      <c r="CM23" s="15" t="n">
        <v>520595.87</v>
      </c>
      <c r="CN23" s="15" t="n">
        <v>3149883.19</v>
      </c>
      <c r="CO23" s="15" t="n">
        <v>1836921.88</v>
      </c>
      <c r="CP23" s="15" t="n">
        <v>1797180.22</v>
      </c>
      <c r="CQ23" s="15" t="n">
        <v>474804.35</v>
      </c>
      <c r="CR23" s="15" t="n">
        <v>-33938.55</v>
      </c>
      <c r="CS23" s="15" t="n">
        <v>3111270.39</v>
      </c>
      <c r="CT23" s="15" t="n">
        <v>2481193.47</v>
      </c>
      <c r="CU23" s="15" t="n">
        <v>1001388.35</v>
      </c>
      <c r="CV23" s="15" t="n">
        <v>1810016.44</v>
      </c>
      <c r="CW23" s="15" t="n">
        <v>351769.07</v>
      </c>
      <c r="CX23" s="15" t="n">
        <v>-176639.9</v>
      </c>
      <c r="CY23" s="15" t="n">
        <v>2820692.49</v>
      </c>
      <c r="CZ23" s="15" t="n">
        <v>3482281.2</v>
      </c>
      <c r="DA23" s="15" t="n">
        <v>1989105.48</v>
      </c>
      <c r="DB23" s="15" t="n">
        <v>1284931.42</v>
      </c>
      <c r="DC23" s="15" t="n">
        <v>378390.02</v>
      </c>
      <c r="DD23" s="15" t="n">
        <v>-65389.79</v>
      </c>
      <c r="DE23" s="15" t="n">
        <v>1894621.13</v>
      </c>
      <c r="DF23" s="15" t="n">
        <v>4357215.37</v>
      </c>
      <c r="DG23" s="15" t="n">
        <v>2538111.96</v>
      </c>
      <c r="DH23" s="15" t="n">
        <v>1769478.1</v>
      </c>
      <c r="DI23" s="15" t="n">
        <v>412206.08</v>
      </c>
      <c r="DJ23" s="15" t="n">
        <v>96078.58</v>
      </c>
      <c r="DK23" s="15" t="n">
        <v>1232581.52</v>
      </c>
      <c r="DL23" s="15" t="n">
        <v>1613646.41</v>
      </c>
      <c r="DM23" s="15" t="n">
        <v>761066.46</v>
      </c>
      <c r="DN23" s="15" t="n">
        <v>1982551.77</v>
      </c>
      <c r="DO23" s="15" t="n">
        <v>394237.41</v>
      </c>
      <c r="DP23" s="15" t="n">
        <v>667532.11</v>
      </c>
    </row>
    <row r="24">
      <c r="A24" s="4" t="inlineStr">
        <is>
          <t>中式汤底</t>
        </is>
      </c>
      <c r="B24" s="15" t="n">
        <v>3912774.93</v>
      </c>
      <c r="C24" s="15" t="n">
        <v>394373.61</v>
      </c>
      <c r="D24" s="15" t="n">
        <v>1828027.84</v>
      </c>
      <c r="E24" s="15" t="n">
        <v>163181.92</v>
      </c>
      <c r="F24" s="15" t="n">
        <v>1021930.55</v>
      </c>
      <c r="G24" s="15" t="n">
        <v>1273424.23</v>
      </c>
      <c r="H24" s="15" t="n">
        <v>3132151.65</v>
      </c>
      <c r="I24" s="15" t="n">
        <v>393885.73</v>
      </c>
      <c r="J24" s="15" t="n">
        <v>1953210.01</v>
      </c>
      <c r="K24" s="15" t="n">
        <v>38705.37</v>
      </c>
      <c r="L24" s="15" t="n">
        <v>1016403.43</v>
      </c>
      <c r="M24" s="15" t="n">
        <v>2245602.29</v>
      </c>
      <c r="N24" s="15" t="n">
        <v>152894.58</v>
      </c>
      <c r="O24" s="15" t="n">
        <v>1478940.13</v>
      </c>
      <c r="P24" s="15" t="n">
        <v>1075416.61</v>
      </c>
      <c r="Q24" s="15" t="n">
        <v>101324</v>
      </c>
      <c r="R24" s="15" t="n">
        <v>-143596.13</v>
      </c>
      <c r="S24" s="15" t="n">
        <v>1077701.05</v>
      </c>
      <c r="T24" s="15" t="n">
        <v>328276.46</v>
      </c>
      <c r="U24" s="15" t="n">
        <v>758001.4300000001</v>
      </c>
      <c r="V24" s="15" t="n">
        <v>1982702.1</v>
      </c>
      <c r="W24" s="15" t="n">
        <v>362306.67</v>
      </c>
      <c r="X24" s="15" t="n">
        <v>-183560.53</v>
      </c>
      <c r="Y24" s="15" t="n">
        <v>3488714.92</v>
      </c>
      <c r="Z24" s="15" t="n">
        <v>4672150.82</v>
      </c>
      <c r="AA24" s="15" t="n">
        <v>654190.09</v>
      </c>
      <c r="AB24" s="15" t="n">
        <v>1261656.94</v>
      </c>
      <c r="AC24" s="15" t="n">
        <v>288271.78</v>
      </c>
      <c r="AD24" s="15" t="n">
        <v>-6145.45</v>
      </c>
      <c r="AE24" s="15" t="n">
        <v>3362512.11</v>
      </c>
      <c r="AF24" s="15" t="n">
        <v>921883.08</v>
      </c>
      <c r="AG24" s="15" t="n">
        <v>1178492.25</v>
      </c>
      <c r="AH24" s="15" t="n">
        <v>1368901.21</v>
      </c>
      <c r="AI24" s="15" t="n">
        <v>22253.51</v>
      </c>
      <c r="AJ24" s="15" t="n">
        <v>1263905.73</v>
      </c>
      <c r="AK24" s="15" t="n">
        <v>3492103.73</v>
      </c>
      <c r="AL24" s="15" t="n">
        <v>1152005.36</v>
      </c>
      <c r="AM24" s="15" t="n">
        <v>839977.96</v>
      </c>
      <c r="AN24" s="15" t="n">
        <v>170638.09</v>
      </c>
      <c r="AO24" s="15" t="n">
        <v>124383.79</v>
      </c>
      <c r="AP24" s="15" t="n">
        <v>961509.84</v>
      </c>
      <c r="AQ24" s="15" t="n">
        <v>3036192.41</v>
      </c>
      <c r="AR24" s="15" t="n">
        <v>1015821</v>
      </c>
      <c r="AS24" s="15" t="n">
        <v>1385552.55</v>
      </c>
      <c r="AT24" s="15" t="n">
        <v>337151.1</v>
      </c>
      <c r="AU24" s="15" t="n">
        <v>82302.16</v>
      </c>
      <c r="AV24" s="15" t="n">
        <v>1277206.94</v>
      </c>
      <c r="AW24" s="15" t="n">
        <v>3545498.71</v>
      </c>
      <c r="AX24" s="15" t="n">
        <v>532463.36</v>
      </c>
      <c r="AY24" s="15" t="n">
        <v>388407.28</v>
      </c>
      <c r="AZ24" s="15" t="n">
        <v>884572.86</v>
      </c>
      <c r="BA24" s="15" t="n">
        <v>286359.76</v>
      </c>
      <c r="BB24" s="15" t="n">
        <v>1033429.3</v>
      </c>
      <c r="BC24" s="15" t="n">
        <v>729247.29</v>
      </c>
      <c r="BD24" s="15" t="n">
        <v>4777384.39</v>
      </c>
      <c r="BE24" s="15" t="n">
        <v>2250631.35</v>
      </c>
      <c r="BF24" s="15" t="n">
        <v>351581.29</v>
      </c>
      <c r="BG24" s="15" t="n">
        <v>199277.14</v>
      </c>
      <c r="BH24" s="15" t="n">
        <v>955376.53</v>
      </c>
      <c r="BI24" s="15" t="n">
        <v>477934.68</v>
      </c>
      <c r="BJ24" s="15" t="n">
        <v>3811543.15</v>
      </c>
      <c r="BK24" s="15" t="n">
        <v>1238620.55</v>
      </c>
      <c r="BL24" s="15" t="n">
        <v>1020962.6</v>
      </c>
      <c r="BM24" s="15" t="n">
        <v>65340.49</v>
      </c>
      <c r="BN24" s="15" t="n">
        <v>536110.86</v>
      </c>
      <c r="BO24" s="15" t="n">
        <v>3698188.35</v>
      </c>
      <c r="BP24" s="15" t="n">
        <v>3993860.91</v>
      </c>
      <c r="BQ24" s="15" t="n">
        <v>2241392.74</v>
      </c>
      <c r="BR24" s="15" t="n">
        <v>834640.3199999999</v>
      </c>
      <c r="BS24" s="15" t="n">
        <v>76492.7</v>
      </c>
      <c r="BT24" s="15" t="n">
        <v>816264.6800000001</v>
      </c>
      <c r="BU24" s="15" t="n">
        <v>783712.09</v>
      </c>
      <c r="BV24" s="15" t="n">
        <v>569668.36</v>
      </c>
      <c r="BW24" s="15" t="n">
        <v>615077.99</v>
      </c>
      <c r="BX24" s="15" t="n">
        <v>806014.37</v>
      </c>
      <c r="BY24" s="15" t="n">
        <v>135728.88</v>
      </c>
      <c r="BZ24" s="15" t="n">
        <v>87784.57000000001</v>
      </c>
      <c r="CA24" s="15" t="n">
        <v>1814300.04</v>
      </c>
      <c r="CB24" s="15" t="n">
        <v>3920596.86</v>
      </c>
      <c r="CC24" s="15" t="n">
        <v>561658.34</v>
      </c>
      <c r="CD24" s="15" t="n">
        <v>100775.83</v>
      </c>
      <c r="CE24" s="15" t="n">
        <v>290952.43</v>
      </c>
      <c r="CF24" s="15" t="n">
        <v>-57762.09</v>
      </c>
      <c r="CG24" s="15" t="n">
        <v>2768216.31</v>
      </c>
      <c r="CH24" s="15" t="n">
        <v>4662239.2</v>
      </c>
      <c r="CI24" s="15" t="n">
        <v>1053745.46</v>
      </c>
      <c r="CJ24" s="15" t="n">
        <v>1288618.62</v>
      </c>
      <c r="CK24" s="15" t="n">
        <v>21346.42</v>
      </c>
      <c r="CL24" s="15" t="n">
        <v>1407220.51</v>
      </c>
      <c r="CM24" s="15" t="n">
        <v>126748.48</v>
      </c>
      <c r="CN24" s="15" t="n">
        <v>3980510.3</v>
      </c>
      <c r="CO24" s="15" t="n">
        <v>288154.82</v>
      </c>
      <c r="CP24" s="15" t="n">
        <v>1053373.64</v>
      </c>
      <c r="CQ24" s="15" t="n">
        <v>391860.1</v>
      </c>
      <c r="CR24" s="15" t="n">
        <v>-96897.34</v>
      </c>
      <c r="CS24" s="15" t="n">
        <v>1423452.8</v>
      </c>
      <c r="CT24" s="15" t="n">
        <v>2292057.7</v>
      </c>
      <c r="CU24" s="15" t="n">
        <v>2398374.7</v>
      </c>
      <c r="CV24" s="15" t="n">
        <v>25205.01</v>
      </c>
      <c r="CW24" s="15" t="n">
        <v>137134.33</v>
      </c>
      <c r="CX24" s="15" t="n">
        <v>343847.04</v>
      </c>
      <c r="CY24" s="15" t="n">
        <v>2227174.21</v>
      </c>
      <c r="CZ24" s="15" t="n">
        <v>2123016.14</v>
      </c>
      <c r="DA24" s="15" t="n">
        <v>1498801.6</v>
      </c>
      <c r="DB24" s="15" t="n">
        <v>143323.8</v>
      </c>
      <c r="DC24" s="15" t="n">
        <v>393017.87</v>
      </c>
      <c r="DD24" s="15" t="n">
        <v>657152.97</v>
      </c>
      <c r="DE24" s="15" t="n">
        <v>1789762.6</v>
      </c>
      <c r="DF24" s="15" t="n">
        <v>3088861.03</v>
      </c>
      <c r="DG24" s="15" t="n">
        <v>205562.47</v>
      </c>
      <c r="DH24" s="15" t="n">
        <v>33735.94</v>
      </c>
      <c r="DI24" s="15" t="n">
        <v>330974.94</v>
      </c>
      <c r="DJ24" s="15" t="n">
        <v>186277.08</v>
      </c>
      <c r="DK24" s="15" t="n">
        <v>172890.14</v>
      </c>
      <c r="DL24" s="15" t="n">
        <v>2302579.78</v>
      </c>
      <c r="DM24" s="15" t="n">
        <v>861448.95</v>
      </c>
      <c r="DN24" s="15" t="n">
        <v>602348.46</v>
      </c>
      <c r="DO24" s="15" t="n">
        <v>29765.38</v>
      </c>
      <c r="DP24" s="15" t="n">
        <v>1387398.67</v>
      </c>
    </row>
    <row r="25">
      <c r="A25" s="4" t="inlineStr">
        <is>
          <t>酱料</t>
        </is>
      </c>
      <c r="B25" s="15" t="n">
        <v>1238234.04</v>
      </c>
      <c r="C25" s="15" t="n">
        <v>1023358.86</v>
      </c>
      <c r="D25" s="15" t="n">
        <v>1793680.11</v>
      </c>
      <c r="E25" s="15" t="n">
        <v>51263.26</v>
      </c>
      <c r="F25" s="15" t="n">
        <v>1334708.99</v>
      </c>
      <c r="G25" s="15" t="n">
        <v>1812114.59</v>
      </c>
      <c r="H25" s="15" t="n">
        <v>2327355.87</v>
      </c>
      <c r="I25" s="15" t="n">
        <v>1809132.38</v>
      </c>
      <c r="J25" s="15" t="n">
        <v>896527.96</v>
      </c>
      <c r="K25" s="15" t="n">
        <v>465625.21</v>
      </c>
      <c r="L25" s="15" t="n">
        <v>33827.12</v>
      </c>
      <c r="M25" s="15" t="n">
        <v>814601.09</v>
      </c>
      <c r="N25" s="15" t="n">
        <v>226413.78</v>
      </c>
      <c r="O25" s="15" t="n">
        <v>2549447.4</v>
      </c>
      <c r="P25" s="15" t="n">
        <v>1103344.12</v>
      </c>
      <c r="Q25" s="15" t="n">
        <v>125766.49</v>
      </c>
      <c r="R25" s="15" t="n">
        <v>-181500.31</v>
      </c>
      <c r="S25" s="15" t="n">
        <v>503124.96</v>
      </c>
      <c r="T25" s="15" t="n">
        <v>3781891.77</v>
      </c>
      <c r="U25" s="15" t="n">
        <v>245840.14</v>
      </c>
      <c r="V25" s="15" t="n">
        <v>402689.5</v>
      </c>
      <c r="W25" s="15" t="n">
        <v>23567.31</v>
      </c>
      <c r="X25" s="15" t="n">
        <v>1322164.96</v>
      </c>
      <c r="Y25" s="15" t="n">
        <v>3411340.98</v>
      </c>
      <c r="Z25" s="15" t="n">
        <v>2717401.07</v>
      </c>
      <c r="AA25" s="15" t="n">
        <v>274608.23</v>
      </c>
      <c r="AB25" s="15" t="n">
        <v>1243542.93</v>
      </c>
      <c r="AC25" s="15" t="n">
        <v>29374.73</v>
      </c>
      <c r="AD25" s="15" t="n">
        <v>-149900.65</v>
      </c>
      <c r="AE25" s="15" t="n">
        <v>1267167.53</v>
      </c>
      <c r="AF25" s="15" t="n">
        <v>2066025.77</v>
      </c>
      <c r="AG25" s="15" t="n">
        <v>248794.92</v>
      </c>
      <c r="AH25" s="15" t="n">
        <v>1355327.97</v>
      </c>
      <c r="AI25" s="15" t="n">
        <v>322638.05</v>
      </c>
      <c r="AJ25" s="15" t="n">
        <v>1214266.18</v>
      </c>
      <c r="AK25" s="15" t="n">
        <v>3434975.09</v>
      </c>
      <c r="AL25" s="15" t="n">
        <v>2425631.46</v>
      </c>
      <c r="AM25" s="15" t="n">
        <v>288261.3</v>
      </c>
      <c r="AN25" s="15" t="n">
        <v>195656.65</v>
      </c>
      <c r="AO25" s="15" t="n">
        <v>34021.69</v>
      </c>
      <c r="AP25" s="15" t="n">
        <v>467890.9</v>
      </c>
      <c r="AQ25" s="15" t="n">
        <v>2199815.06</v>
      </c>
      <c r="AR25" s="15" t="n">
        <v>4701885.73</v>
      </c>
      <c r="AS25" s="15" t="n">
        <v>2581953.54</v>
      </c>
      <c r="AT25" s="15" t="n">
        <v>1142145.85</v>
      </c>
      <c r="AU25" s="15" t="n">
        <v>457056</v>
      </c>
      <c r="AV25" s="15" t="n">
        <v>745456.11</v>
      </c>
      <c r="AW25" s="15" t="n">
        <v>3812343.96</v>
      </c>
      <c r="AX25" s="15" t="n">
        <v>3190700.87</v>
      </c>
      <c r="AY25" s="15" t="n">
        <v>323320.69</v>
      </c>
      <c r="AZ25" s="15" t="n">
        <v>1790583.79</v>
      </c>
      <c r="BA25" s="15" t="n">
        <v>394859.87</v>
      </c>
      <c r="BB25" s="15" t="n">
        <v>232847.93</v>
      </c>
      <c r="BC25" s="15" t="n">
        <v>299561.08</v>
      </c>
      <c r="BD25" s="15" t="n">
        <v>3717552.85</v>
      </c>
      <c r="BE25" s="15" t="n">
        <v>1836245</v>
      </c>
      <c r="BF25" s="15" t="n">
        <v>629653.05</v>
      </c>
      <c r="BG25" s="15" t="n">
        <v>155903.67</v>
      </c>
      <c r="BH25" s="15" t="n">
        <v>964057.99</v>
      </c>
      <c r="BI25" s="15" t="n">
        <v>3764931.95</v>
      </c>
      <c r="BJ25" s="15" t="n">
        <v>2757802.76</v>
      </c>
      <c r="BK25" s="15" t="n">
        <v>1993473.8</v>
      </c>
      <c r="BL25" s="15" t="n">
        <v>258531.26</v>
      </c>
      <c r="BM25" s="15" t="n">
        <v>40596</v>
      </c>
      <c r="BN25" s="15" t="n">
        <v>11304.97</v>
      </c>
      <c r="BO25" s="15" t="n">
        <v>3987433.9</v>
      </c>
      <c r="BP25" s="15" t="n">
        <v>4749271.27</v>
      </c>
      <c r="BQ25" s="15" t="n">
        <v>866661.7</v>
      </c>
      <c r="BR25" s="15" t="n">
        <v>1819395.59</v>
      </c>
      <c r="BS25" s="15" t="n">
        <v>352363.49</v>
      </c>
      <c r="BT25" s="15" t="n">
        <v>649740.85</v>
      </c>
      <c r="BU25" s="15" t="n">
        <v>2805194.22</v>
      </c>
      <c r="BV25" s="15" t="n">
        <v>2377138.29</v>
      </c>
      <c r="BW25" s="15" t="n">
        <v>1283313.11</v>
      </c>
      <c r="BX25" s="15" t="n">
        <v>161028.82</v>
      </c>
      <c r="BY25" s="15" t="n">
        <v>431650.74</v>
      </c>
      <c r="BZ25" s="15" t="n">
        <v>19718.72</v>
      </c>
      <c r="CA25" s="15" t="n">
        <v>2292817.83</v>
      </c>
      <c r="CB25" s="15" t="n">
        <v>3715188.14</v>
      </c>
      <c r="CC25" s="15" t="n">
        <v>343513.86</v>
      </c>
      <c r="CD25" s="15" t="n">
        <v>97240.86</v>
      </c>
      <c r="CE25" s="15" t="n">
        <v>85106.49000000001</v>
      </c>
      <c r="CF25" s="15" t="n">
        <v>-39252.43</v>
      </c>
      <c r="CG25" s="15" t="n">
        <v>1734889.11</v>
      </c>
      <c r="CH25" s="15" t="n">
        <v>1722420.24</v>
      </c>
      <c r="CI25" s="15" t="n">
        <v>2800039.05</v>
      </c>
      <c r="CJ25" s="15" t="n">
        <v>976678.52</v>
      </c>
      <c r="CK25" s="15" t="n">
        <v>474338.62</v>
      </c>
      <c r="CL25" s="15" t="n">
        <v>1089250.06</v>
      </c>
      <c r="CM25" s="15" t="n">
        <v>237278.05</v>
      </c>
      <c r="CN25" s="15" t="n">
        <v>4433119.22</v>
      </c>
      <c r="CO25" s="15" t="n">
        <v>2016513.16</v>
      </c>
      <c r="CP25" s="15" t="n">
        <v>1119135.27</v>
      </c>
      <c r="CQ25" s="15" t="n">
        <v>133275.45</v>
      </c>
      <c r="CR25" s="15" t="n">
        <v>1474799.09</v>
      </c>
      <c r="CS25" s="15" t="n">
        <v>3832428.24</v>
      </c>
      <c r="CT25" s="15" t="n">
        <v>1596135.06</v>
      </c>
      <c r="CU25" s="15" t="n">
        <v>1544116.64</v>
      </c>
      <c r="CV25" s="15" t="n">
        <v>341082.31</v>
      </c>
      <c r="CW25" s="15" t="n">
        <v>235619.92</v>
      </c>
      <c r="CX25" s="15" t="n">
        <v>31174.3</v>
      </c>
      <c r="CY25" s="15" t="n">
        <v>3459187.95</v>
      </c>
      <c r="CZ25" s="15" t="n">
        <v>3669788.81</v>
      </c>
      <c r="DA25" s="15" t="n">
        <v>234396.99</v>
      </c>
      <c r="DB25" s="15" t="n">
        <v>1836464.15</v>
      </c>
      <c r="DC25" s="15" t="n">
        <v>321694.38</v>
      </c>
      <c r="DD25" s="15" t="n">
        <v>895365.85</v>
      </c>
      <c r="DE25" s="15" t="n">
        <v>795737.72</v>
      </c>
      <c r="DF25" s="15" t="n">
        <v>1412087.77</v>
      </c>
      <c r="DG25" s="15" t="n">
        <v>1718243.65</v>
      </c>
      <c r="DH25" s="15" t="n">
        <v>959116.66</v>
      </c>
      <c r="DI25" s="15" t="n">
        <v>125503.01</v>
      </c>
      <c r="DJ25" s="15" t="n">
        <v>1004881.06</v>
      </c>
      <c r="DK25" s="15" t="n">
        <v>2035495.46</v>
      </c>
      <c r="DL25" s="15" t="n">
        <v>4894503.48</v>
      </c>
      <c r="DM25" s="15" t="n">
        <v>2874511.29</v>
      </c>
      <c r="DN25" s="15" t="n">
        <v>1246410.33</v>
      </c>
      <c r="DO25" s="15" t="n">
        <v>439439.68</v>
      </c>
      <c r="DP25" s="15" t="n">
        <v>123296.46</v>
      </c>
    </row>
    <row r="26">
      <c r="A26" s="4" t="inlineStr">
        <is>
          <t>川味底料</t>
        </is>
      </c>
      <c r="B26" s="15" t="n">
        <v>3180240.87</v>
      </c>
      <c r="C26" s="15" t="n">
        <v>1057983.83</v>
      </c>
      <c r="D26" s="15" t="n">
        <v>955743.6</v>
      </c>
      <c r="E26" s="15" t="n">
        <v>345386.2</v>
      </c>
      <c r="F26" s="15" t="n">
        <v>-172976.33</v>
      </c>
      <c r="G26" s="15" t="n">
        <v>2824108.74</v>
      </c>
      <c r="H26" s="15" t="n">
        <v>1349186.7</v>
      </c>
      <c r="I26" s="15" t="n">
        <v>2689182.65</v>
      </c>
      <c r="J26" s="15" t="n">
        <v>1232565.65</v>
      </c>
      <c r="K26" s="15" t="n">
        <v>291909.84</v>
      </c>
      <c r="L26" s="15" t="n">
        <v>481502.62</v>
      </c>
      <c r="M26" s="15" t="n">
        <v>1740856.91</v>
      </c>
      <c r="N26" s="15" t="n">
        <v>3597950.26</v>
      </c>
      <c r="O26" s="15" t="n">
        <v>2411735.63</v>
      </c>
      <c r="P26" s="15" t="n">
        <v>630502.9</v>
      </c>
      <c r="Q26" s="15" t="n">
        <v>198220.87</v>
      </c>
      <c r="R26" s="15" t="n">
        <v>707316.29</v>
      </c>
      <c r="S26" s="15" t="n">
        <v>1124943.17</v>
      </c>
      <c r="T26" s="15" t="n">
        <v>3418912.65</v>
      </c>
      <c r="U26" s="15" t="n">
        <v>790478.14</v>
      </c>
      <c r="V26" s="15" t="n">
        <v>1123328.78</v>
      </c>
      <c r="W26" s="15" t="n">
        <v>166356.61</v>
      </c>
      <c r="X26" s="15" t="n">
        <v>1089952.77</v>
      </c>
      <c r="Y26" s="15" t="n">
        <v>3200572.35</v>
      </c>
      <c r="Z26" s="15" t="n">
        <v>1799336.54</v>
      </c>
      <c r="AA26" s="15" t="n">
        <v>2147731.38</v>
      </c>
      <c r="AB26" s="15" t="n">
        <v>1213564.81</v>
      </c>
      <c r="AC26" s="15" t="n">
        <v>281006.1</v>
      </c>
      <c r="AD26" s="15" t="n">
        <v>739856.9399999999</v>
      </c>
      <c r="AE26" s="15" t="n">
        <v>2673132.7</v>
      </c>
      <c r="AF26" s="15" t="n">
        <v>2085779.76</v>
      </c>
      <c r="AG26" s="15" t="n">
        <v>2379760.05</v>
      </c>
      <c r="AH26" s="15" t="n">
        <v>327931.38</v>
      </c>
      <c r="AI26" s="15" t="n">
        <v>131974.91</v>
      </c>
      <c r="AJ26" s="15" t="n">
        <v>1454626.24</v>
      </c>
      <c r="AK26" s="15" t="n">
        <v>3476761.75</v>
      </c>
      <c r="AL26" s="15" t="n">
        <v>4169135.93</v>
      </c>
      <c r="AM26" s="15" t="n">
        <v>2579249.53</v>
      </c>
      <c r="AN26" s="15" t="n">
        <v>1792009.19</v>
      </c>
      <c r="AO26" s="15" t="n">
        <v>470147.55</v>
      </c>
      <c r="AP26" s="15" t="n">
        <v>872306.8199999999</v>
      </c>
      <c r="AQ26" s="15" t="n">
        <v>301561.96</v>
      </c>
      <c r="AR26" s="15" t="n">
        <v>611366.42</v>
      </c>
      <c r="AS26" s="15" t="n">
        <v>1306932.72</v>
      </c>
      <c r="AT26" s="15" t="n">
        <v>506769.57</v>
      </c>
      <c r="AU26" s="15" t="n">
        <v>391976.77</v>
      </c>
      <c r="AV26" s="15" t="n">
        <v>-1625.46</v>
      </c>
      <c r="AW26" s="15" t="n">
        <v>2789333.53</v>
      </c>
      <c r="AX26" s="15" t="n">
        <v>752643.48</v>
      </c>
      <c r="AY26" s="15" t="n">
        <v>1160733.24</v>
      </c>
      <c r="AZ26" s="15" t="n">
        <v>1385632.6</v>
      </c>
      <c r="BA26" s="15" t="n">
        <v>135158.72</v>
      </c>
      <c r="BB26" s="15" t="n">
        <v>971359.86</v>
      </c>
      <c r="BC26" s="15" t="n">
        <v>1426004.79</v>
      </c>
      <c r="BD26" s="15" t="n">
        <v>4864231.96</v>
      </c>
      <c r="BE26" s="15" t="n">
        <v>1281870.89</v>
      </c>
      <c r="BF26" s="15" t="n">
        <v>814280.05</v>
      </c>
      <c r="BG26" s="15" t="n">
        <v>401858.38</v>
      </c>
      <c r="BH26" s="15" t="n">
        <v>697904.4</v>
      </c>
      <c r="BI26" s="15" t="n">
        <v>1724793.2</v>
      </c>
      <c r="BJ26" s="15" t="n">
        <v>4445781.64</v>
      </c>
      <c r="BK26" s="15" t="n">
        <v>633177.3199999999</v>
      </c>
      <c r="BL26" s="15" t="n">
        <v>929552.77</v>
      </c>
      <c r="BM26" s="15" t="n">
        <v>148823.06</v>
      </c>
      <c r="BN26" s="15" t="n">
        <v>252785.66</v>
      </c>
      <c r="BO26" s="15" t="n">
        <v>1503233.53</v>
      </c>
      <c r="BP26" s="15" t="n">
        <v>3611348.62</v>
      </c>
      <c r="BQ26" s="15" t="n">
        <v>2236177.78</v>
      </c>
      <c r="BR26" s="15" t="n">
        <v>1770376.97</v>
      </c>
      <c r="BS26" s="15" t="n">
        <v>472214.81</v>
      </c>
      <c r="BT26" s="15" t="n">
        <v>145755.81</v>
      </c>
      <c r="BU26" s="15" t="n">
        <v>3495350.2</v>
      </c>
      <c r="BV26" s="15" t="n">
        <v>4676675.1</v>
      </c>
      <c r="BW26" s="15" t="n">
        <v>307115</v>
      </c>
      <c r="BX26" s="15" t="n">
        <v>228400.75</v>
      </c>
      <c r="BY26" s="15" t="n">
        <v>176371.64</v>
      </c>
      <c r="BZ26" s="15" t="n">
        <v>1311994.57</v>
      </c>
      <c r="CA26" s="15" t="n">
        <v>1118708.54</v>
      </c>
      <c r="CB26" s="15" t="n">
        <v>4958970.79</v>
      </c>
      <c r="CC26" s="15" t="n">
        <v>1037402.49</v>
      </c>
      <c r="CD26" s="15" t="n">
        <v>1290259.13</v>
      </c>
      <c r="CE26" s="15" t="n">
        <v>91683.28</v>
      </c>
      <c r="CF26" s="15" t="n">
        <v>1182017.04</v>
      </c>
      <c r="CG26" s="15" t="n">
        <v>2556563.71</v>
      </c>
      <c r="CH26" s="15" t="n">
        <v>2704245.16</v>
      </c>
      <c r="CI26" s="15" t="n">
        <v>939890.9</v>
      </c>
      <c r="CJ26" s="15" t="n">
        <v>1715461.05</v>
      </c>
      <c r="CK26" s="15" t="n">
        <v>386454.95</v>
      </c>
      <c r="CL26" s="15" t="n">
        <v>443561.2</v>
      </c>
      <c r="CM26" s="15" t="n">
        <v>2062215.03</v>
      </c>
      <c r="CN26" s="15" t="n">
        <v>4506233.82</v>
      </c>
      <c r="CO26" s="15" t="n">
        <v>279307.39</v>
      </c>
      <c r="CP26" s="15" t="n">
        <v>1255600.07</v>
      </c>
      <c r="CQ26" s="15" t="n">
        <v>70278.03</v>
      </c>
      <c r="CR26" s="15" t="n">
        <v>1346745.02</v>
      </c>
      <c r="CS26" s="15" t="n">
        <v>1150594.09</v>
      </c>
      <c r="CT26" s="15" t="n">
        <v>2506484.1</v>
      </c>
      <c r="CU26" s="15" t="n">
        <v>1854725.28</v>
      </c>
      <c r="CV26" s="15" t="n">
        <v>1806109.4</v>
      </c>
      <c r="CW26" s="15" t="n">
        <v>333707.49</v>
      </c>
      <c r="CX26" s="15" t="n">
        <v>290064.75</v>
      </c>
      <c r="CY26" s="15" t="n">
        <v>2379612.52</v>
      </c>
      <c r="CZ26" s="15" t="n">
        <v>4404366.86</v>
      </c>
      <c r="DA26" s="15" t="n">
        <v>2972649.75</v>
      </c>
      <c r="DB26" s="15" t="n">
        <v>363588.29</v>
      </c>
      <c r="DC26" s="15" t="n">
        <v>226054.29</v>
      </c>
      <c r="DD26" s="15" t="n">
        <v>147305.66</v>
      </c>
      <c r="DE26" s="15" t="n">
        <v>920478.08</v>
      </c>
      <c r="DF26" s="15" t="n">
        <v>4546333.39</v>
      </c>
      <c r="DG26" s="15" t="n">
        <v>1877864.06</v>
      </c>
      <c r="DH26" s="15" t="n">
        <v>1766661.82</v>
      </c>
      <c r="DI26" s="15" t="n">
        <v>193582.02</v>
      </c>
      <c r="DJ26" s="15" t="n">
        <v>896750.36</v>
      </c>
      <c r="DK26" s="15" t="n">
        <v>3262969.99</v>
      </c>
      <c r="DL26" s="15" t="n">
        <v>1864654.66</v>
      </c>
      <c r="DM26" s="15" t="n">
        <v>2570957.39</v>
      </c>
      <c r="DN26" s="15" t="n">
        <v>141087.48</v>
      </c>
      <c r="DO26" s="15" t="n">
        <v>164881.36</v>
      </c>
      <c r="DP26" s="15" t="n">
        <v>2689.93</v>
      </c>
    </row>
    <row r="27">
      <c r="A27" s="4" t="inlineStr">
        <is>
          <t>调味汁</t>
        </is>
      </c>
      <c r="B27" s="15" t="n">
        <v>1906061.23</v>
      </c>
      <c r="C27" s="15" t="n">
        <v>2834977.11</v>
      </c>
      <c r="D27" s="15" t="n">
        <v>169082.92</v>
      </c>
      <c r="E27" s="15" t="n">
        <v>269225.8</v>
      </c>
      <c r="F27" s="15" t="n">
        <v>1256274.63</v>
      </c>
      <c r="G27" s="15" t="n">
        <v>1962019.47</v>
      </c>
      <c r="H27" s="15" t="n">
        <v>2887296.39</v>
      </c>
      <c r="I27" s="15" t="n">
        <v>2757159.94</v>
      </c>
      <c r="J27" s="15" t="n">
        <v>1797415.95</v>
      </c>
      <c r="K27" s="15" t="n">
        <v>33871.17</v>
      </c>
      <c r="L27" s="15" t="n">
        <v>1428363.08</v>
      </c>
      <c r="M27" s="15" t="n">
        <v>3266046.75</v>
      </c>
      <c r="N27" s="15" t="n">
        <v>2832755.09</v>
      </c>
      <c r="O27" s="15" t="n">
        <v>824621.65</v>
      </c>
      <c r="P27" s="15" t="n">
        <v>1485497.47</v>
      </c>
      <c r="Q27" s="15" t="n">
        <v>498844.66</v>
      </c>
      <c r="R27" s="15" t="n">
        <v>-156291.18</v>
      </c>
      <c r="S27" s="15" t="n">
        <v>2052434.78</v>
      </c>
      <c r="T27" s="15" t="n">
        <v>787538.78</v>
      </c>
      <c r="U27" s="15" t="n">
        <v>1249235.76</v>
      </c>
      <c r="V27" s="15" t="n">
        <v>613722.9300000001</v>
      </c>
      <c r="W27" s="15" t="n">
        <v>475569.54</v>
      </c>
      <c r="X27" s="15" t="n">
        <v>1062736.95</v>
      </c>
      <c r="Y27" s="15" t="n">
        <v>2177484.85</v>
      </c>
      <c r="Z27" s="15" t="n">
        <v>3434716.98</v>
      </c>
      <c r="AA27" s="15" t="n">
        <v>2936728.22</v>
      </c>
      <c r="AB27" s="15" t="n">
        <v>1880744.13</v>
      </c>
      <c r="AC27" s="15" t="n">
        <v>161183.87</v>
      </c>
      <c r="AD27" s="15" t="n">
        <v>1066121.14</v>
      </c>
      <c r="AE27" s="15" t="n">
        <v>3952121.24</v>
      </c>
      <c r="AF27" s="15" t="n">
        <v>3214877.44</v>
      </c>
      <c r="AG27" s="15" t="n">
        <v>2767493.55</v>
      </c>
      <c r="AH27" s="15" t="n">
        <v>1271170.62</v>
      </c>
      <c r="AI27" s="15" t="n">
        <v>16490.68</v>
      </c>
      <c r="AJ27" s="15" t="n">
        <v>515221.22</v>
      </c>
      <c r="AK27" s="15" t="n">
        <v>2994308.31</v>
      </c>
      <c r="AL27" s="15" t="n">
        <v>2007356.71</v>
      </c>
      <c r="AM27" s="15" t="n">
        <v>2192657.78</v>
      </c>
      <c r="AN27" s="15" t="n">
        <v>767687.37</v>
      </c>
      <c r="AO27" s="15" t="n">
        <v>433810.25</v>
      </c>
      <c r="AP27" s="15" t="n">
        <v>865314.45</v>
      </c>
      <c r="AQ27" s="15" t="n">
        <v>1029994.63</v>
      </c>
      <c r="AR27" s="15" t="n">
        <v>2284782.15</v>
      </c>
      <c r="AS27" s="15" t="n">
        <v>969963.88</v>
      </c>
      <c r="AT27" s="15" t="n">
        <v>222830.9</v>
      </c>
      <c r="AU27" s="15" t="n">
        <v>407904.85</v>
      </c>
      <c r="AV27" s="15" t="n">
        <v>1158265.39</v>
      </c>
      <c r="AW27" s="15" t="n">
        <v>3199541.09</v>
      </c>
      <c r="AX27" s="15" t="n">
        <v>2642476.34</v>
      </c>
      <c r="AY27" s="15" t="n">
        <v>1503788.45</v>
      </c>
      <c r="AZ27" s="15" t="n">
        <v>1912389.24</v>
      </c>
      <c r="BA27" s="15" t="n">
        <v>318124.73</v>
      </c>
      <c r="BB27" s="15" t="n">
        <v>455787.73</v>
      </c>
      <c r="BC27" s="15" t="n">
        <v>115100.52</v>
      </c>
      <c r="BD27" s="15" t="n">
        <v>479880.26</v>
      </c>
      <c r="BE27" s="15" t="n">
        <v>2331865.2</v>
      </c>
      <c r="BF27" s="15" t="n">
        <v>886785.95</v>
      </c>
      <c r="BG27" s="15" t="n">
        <v>181498.17</v>
      </c>
      <c r="BH27" s="15" t="n">
        <v>-184719.18</v>
      </c>
      <c r="BI27" s="15" t="n">
        <v>501325.91</v>
      </c>
      <c r="BJ27" s="15" t="n">
        <v>906980.7</v>
      </c>
      <c r="BK27" s="15" t="n">
        <v>66542.85000000001</v>
      </c>
      <c r="BL27" s="15" t="n">
        <v>1459751.45</v>
      </c>
      <c r="BM27" s="15" t="n">
        <v>103595.3</v>
      </c>
      <c r="BN27" s="15" t="n">
        <v>506035.3</v>
      </c>
      <c r="BO27" s="15" t="n">
        <v>86459.08</v>
      </c>
      <c r="BP27" s="15" t="n">
        <v>1346165.09</v>
      </c>
      <c r="BQ27" s="15" t="n">
        <v>214947.46</v>
      </c>
      <c r="BR27" s="15" t="n">
        <v>1822521.67</v>
      </c>
      <c r="BS27" s="15" t="n">
        <v>245492.91</v>
      </c>
      <c r="BT27" s="15" t="n">
        <v>748467.13</v>
      </c>
      <c r="BU27" s="15" t="n">
        <v>3260512.65</v>
      </c>
      <c r="BV27" s="15" t="n">
        <v>2751554.31</v>
      </c>
      <c r="BW27" s="15" t="n">
        <v>2380255.51</v>
      </c>
      <c r="BX27" s="15" t="n">
        <v>1925235.53</v>
      </c>
      <c r="BY27" s="15" t="n">
        <v>260604.35</v>
      </c>
      <c r="BZ27" s="15" t="n">
        <v>185620.63</v>
      </c>
      <c r="CA27" s="15" t="n">
        <v>603963.89</v>
      </c>
      <c r="CB27" s="15" t="n">
        <v>4634965.8</v>
      </c>
      <c r="CC27" s="15" t="n">
        <v>236629.08</v>
      </c>
      <c r="CD27" s="15" t="n">
        <v>794399.1899999999</v>
      </c>
      <c r="CE27" s="15" t="n">
        <v>49174.7</v>
      </c>
      <c r="CF27" s="15" t="n">
        <v>1070805.83</v>
      </c>
      <c r="CG27" s="15" t="n">
        <v>2499029.13</v>
      </c>
      <c r="CH27" s="15" t="n">
        <v>1547248.27</v>
      </c>
      <c r="CI27" s="15" t="n">
        <v>1153461.44</v>
      </c>
      <c r="CJ27" s="15" t="n">
        <v>1703924.59</v>
      </c>
      <c r="CK27" s="15" t="n">
        <v>313053.83</v>
      </c>
      <c r="CL27" s="15" t="n">
        <v>1096861.88</v>
      </c>
      <c r="CM27" s="15" t="n">
        <v>2502115.03</v>
      </c>
      <c r="CN27" s="15" t="n">
        <v>4090628.49</v>
      </c>
      <c r="CO27" s="15" t="n">
        <v>2272209.04</v>
      </c>
      <c r="CP27" s="15" t="n">
        <v>916264.0699999999</v>
      </c>
      <c r="CQ27" s="15" t="n">
        <v>438797.22</v>
      </c>
      <c r="CR27" s="15" t="n">
        <v>78675.34</v>
      </c>
      <c r="CS27" s="15" t="n">
        <v>3731225.92</v>
      </c>
      <c r="CT27" s="15" t="n">
        <v>3271923.4</v>
      </c>
      <c r="CU27" s="15" t="n">
        <v>900597.71</v>
      </c>
      <c r="CV27" s="15" t="n">
        <v>570963.84</v>
      </c>
      <c r="CW27" s="15" t="n">
        <v>142146.36</v>
      </c>
      <c r="CX27" s="15" t="n">
        <v>237559.95</v>
      </c>
      <c r="CY27" s="15" t="n">
        <v>134254.68</v>
      </c>
      <c r="CZ27" s="15" t="n">
        <v>2430859.61</v>
      </c>
      <c r="DA27" s="15" t="n">
        <v>2536034.2</v>
      </c>
      <c r="DB27" s="15" t="n">
        <v>355768.21</v>
      </c>
      <c r="DC27" s="15" t="n">
        <v>355722.72</v>
      </c>
      <c r="DD27" s="15" t="n">
        <v>706542.27</v>
      </c>
      <c r="DE27" s="15" t="n">
        <v>1738701.02</v>
      </c>
      <c r="DF27" s="15" t="n">
        <v>3620174.17</v>
      </c>
      <c r="DG27" s="15" t="n">
        <v>1100656.58</v>
      </c>
      <c r="DH27" s="15" t="n">
        <v>749063.85</v>
      </c>
      <c r="DI27" s="15" t="n">
        <v>264221.33</v>
      </c>
      <c r="DJ27" s="15" t="n">
        <v>1375231.82</v>
      </c>
      <c r="DK27" s="15" t="n">
        <v>1342465.04</v>
      </c>
      <c r="DL27" s="15" t="n">
        <v>3034974.11</v>
      </c>
      <c r="DM27" s="15" t="n">
        <v>2609392.65</v>
      </c>
      <c r="DN27" s="15" t="n">
        <v>561055.91</v>
      </c>
      <c r="DO27" s="15" t="n">
        <v>487890.13</v>
      </c>
      <c r="DP27" s="15" t="n">
        <v>921486.77</v>
      </c>
    </row>
    <row r="28">
      <c r="A28" s="4" t="inlineStr">
        <is>
          <t>复合调味粉</t>
        </is>
      </c>
      <c r="B28" s="15" t="n">
        <v>3517892.82</v>
      </c>
      <c r="C28" s="15" t="n">
        <v>687219.84</v>
      </c>
      <c r="D28" s="15" t="n">
        <v>1511972.96</v>
      </c>
      <c r="E28" s="15" t="n">
        <v>249991.06</v>
      </c>
      <c r="F28" s="15" t="n">
        <v>1100308.28</v>
      </c>
      <c r="G28" s="15" t="n">
        <v>2055064.63</v>
      </c>
      <c r="H28" s="15" t="n">
        <v>3005863.65</v>
      </c>
      <c r="I28" s="15" t="n">
        <v>144421.41</v>
      </c>
      <c r="J28" s="15" t="n">
        <v>642495.37</v>
      </c>
      <c r="K28" s="15" t="n">
        <v>244151.62</v>
      </c>
      <c r="L28" s="15" t="n">
        <v>597689.1</v>
      </c>
      <c r="M28" s="15" t="n">
        <v>3297514.93</v>
      </c>
      <c r="N28" s="15" t="n">
        <v>3242430.7</v>
      </c>
      <c r="O28" s="15" t="n">
        <v>2554935.87</v>
      </c>
      <c r="P28" s="15" t="n">
        <v>433771.56</v>
      </c>
      <c r="Q28" s="15" t="n">
        <v>227353.27</v>
      </c>
      <c r="R28" s="15" t="n">
        <v>-173022.57</v>
      </c>
      <c r="S28" s="15" t="n">
        <v>1302581.24</v>
      </c>
      <c r="T28" s="15" t="n">
        <v>3166099.9</v>
      </c>
      <c r="U28" s="15" t="n">
        <v>178661.9</v>
      </c>
      <c r="V28" s="15" t="n">
        <v>1181527.55</v>
      </c>
      <c r="W28" s="15" t="n">
        <v>306569.65</v>
      </c>
      <c r="X28" s="15" t="n">
        <v>1040597.59</v>
      </c>
      <c r="Y28" s="15" t="n">
        <v>2179102.78</v>
      </c>
      <c r="Z28" s="15" t="n">
        <v>1650649.17</v>
      </c>
      <c r="AA28" s="15" t="n">
        <v>2329329.4</v>
      </c>
      <c r="AB28" s="15" t="n">
        <v>1638269.69</v>
      </c>
      <c r="AC28" s="15" t="n">
        <v>122643.87</v>
      </c>
      <c r="AD28" s="15" t="n">
        <v>-105352.82</v>
      </c>
      <c r="AE28" s="15" t="n">
        <v>1006617.13</v>
      </c>
      <c r="AF28" s="15" t="n">
        <v>4868114.16</v>
      </c>
      <c r="AG28" s="15" t="n">
        <v>1334932.95</v>
      </c>
      <c r="AH28" s="15" t="n">
        <v>70324.95</v>
      </c>
      <c r="AI28" s="15" t="n">
        <v>75350.25999999999</v>
      </c>
      <c r="AJ28" s="15" t="n">
        <v>404459.93</v>
      </c>
      <c r="AK28" s="15" t="n">
        <v>2242031.57</v>
      </c>
      <c r="AL28" s="15" t="n">
        <v>2108092.82</v>
      </c>
      <c r="AM28" s="15" t="n">
        <v>1920211.46</v>
      </c>
      <c r="AN28" s="15" t="n">
        <v>778472.35</v>
      </c>
      <c r="AO28" s="15" t="n">
        <v>361176.77</v>
      </c>
      <c r="AP28" s="15" t="n">
        <v>1252810.95</v>
      </c>
      <c r="AQ28" s="15" t="n">
        <v>1723043.66</v>
      </c>
      <c r="AR28" s="15" t="n">
        <v>1850409.12</v>
      </c>
      <c r="AS28" s="15" t="n">
        <v>2048948.96</v>
      </c>
      <c r="AT28" s="15" t="n">
        <v>1816259.42</v>
      </c>
      <c r="AU28" s="15" t="n">
        <v>202469.94</v>
      </c>
      <c r="AV28" s="15" t="n">
        <v>1341482.42</v>
      </c>
      <c r="AW28" s="15" t="n">
        <v>1360481.23</v>
      </c>
      <c r="AX28" s="15" t="n">
        <v>501249.25</v>
      </c>
      <c r="AY28" s="15" t="n">
        <v>563954.59</v>
      </c>
      <c r="AZ28" s="15" t="n">
        <v>132742.11</v>
      </c>
      <c r="BA28" s="15" t="n">
        <v>255200.27</v>
      </c>
      <c r="BB28" s="15" t="n">
        <v>20202.04</v>
      </c>
      <c r="BC28" s="15" t="n">
        <v>727562.8</v>
      </c>
      <c r="BD28" s="15" t="n">
        <v>770211.98</v>
      </c>
      <c r="BE28" s="15" t="n">
        <v>973756.34</v>
      </c>
      <c r="BF28" s="15" t="n">
        <v>1317692.52</v>
      </c>
      <c r="BG28" s="15" t="n">
        <v>458289.39</v>
      </c>
      <c r="BH28" s="15" t="n">
        <v>694874.84</v>
      </c>
      <c r="BI28" s="15" t="n">
        <v>3515680.59</v>
      </c>
      <c r="BJ28" s="15" t="n">
        <v>740213.25</v>
      </c>
      <c r="BK28" s="15" t="n">
        <v>875623.76</v>
      </c>
      <c r="BL28" s="15" t="n">
        <v>1173207.08</v>
      </c>
      <c r="BM28" s="15" t="n">
        <v>39833.8</v>
      </c>
      <c r="BN28" s="15" t="n">
        <v>393367.79</v>
      </c>
      <c r="BO28" s="15" t="n">
        <v>3161817.81</v>
      </c>
      <c r="BP28" s="15" t="n">
        <v>3202692.19</v>
      </c>
      <c r="BQ28" s="15" t="n">
        <v>1005651.95</v>
      </c>
      <c r="BR28" s="15" t="n">
        <v>759532.03</v>
      </c>
      <c r="BS28" s="15" t="n">
        <v>174819.41</v>
      </c>
      <c r="BT28" s="15" t="n">
        <v>1161875.4</v>
      </c>
      <c r="BU28" s="15" t="n">
        <v>2592366.27</v>
      </c>
      <c r="BV28" s="15" t="n">
        <v>2406084.53</v>
      </c>
      <c r="BW28" s="15" t="n">
        <v>1392280.98</v>
      </c>
      <c r="BX28" s="15" t="n">
        <v>1465194.32</v>
      </c>
      <c r="BY28" s="15" t="n">
        <v>299447.76</v>
      </c>
      <c r="BZ28" s="15" t="n">
        <v>-135285.51</v>
      </c>
      <c r="CA28" s="15" t="n">
        <v>1833267.98</v>
      </c>
      <c r="CB28" s="15" t="n">
        <v>4483096.25</v>
      </c>
      <c r="CC28" s="15" t="n">
        <v>2768175.36</v>
      </c>
      <c r="CD28" s="15" t="n">
        <v>1854541.69</v>
      </c>
      <c r="CE28" s="15" t="n">
        <v>388986.13</v>
      </c>
      <c r="CF28" s="15" t="n">
        <v>348664.47</v>
      </c>
      <c r="CG28" s="15" t="n">
        <v>3592521.61</v>
      </c>
      <c r="CH28" s="15" t="n">
        <v>2480619.46</v>
      </c>
      <c r="CI28" s="15" t="n">
        <v>2587559.39</v>
      </c>
      <c r="CJ28" s="15" t="n">
        <v>1129059.03</v>
      </c>
      <c r="CK28" s="15" t="n">
        <v>377247.42</v>
      </c>
      <c r="CL28" s="15" t="n">
        <v>1035469.89</v>
      </c>
      <c r="CM28" s="15" t="n">
        <v>2931488.04</v>
      </c>
      <c r="CN28" s="15" t="n">
        <v>3774568.92</v>
      </c>
      <c r="CO28" s="15" t="n">
        <v>1030958.56</v>
      </c>
      <c r="CP28" s="15" t="n">
        <v>357517.49</v>
      </c>
      <c r="CQ28" s="15" t="n">
        <v>472152.07</v>
      </c>
      <c r="CR28" s="15" t="n">
        <v>1394959.3</v>
      </c>
      <c r="CS28" s="15" t="n">
        <v>2998323.61</v>
      </c>
      <c r="CT28" s="15" t="n">
        <v>4164303.82</v>
      </c>
      <c r="CU28" s="15" t="n">
        <v>1292767.57</v>
      </c>
      <c r="CV28" s="15" t="n">
        <v>1590356.6</v>
      </c>
      <c r="CW28" s="15" t="n">
        <v>424393.99</v>
      </c>
      <c r="CX28" s="15" t="n">
        <v>-112656.59</v>
      </c>
      <c r="CY28" s="15" t="n">
        <v>2665912.79</v>
      </c>
      <c r="CZ28" s="15" t="n">
        <v>4046630.06</v>
      </c>
      <c r="DA28" s="15" t="n">
        <v>2332203.34</v>
      </c>
      <c r="DB28" s="15" t="n">
        <v>1707158.27</v>
      </c>
      <c r="DC28" s="15" t="n">
        <v>427439.79</v>
      </c>
      <c r="DD28" s="15" t="n">
        <v>801280.4300000001</v>
      </c>
      <c r="DE28" s="15" t="n">
        <v>2567381.81</v>
      </c>
      <c r="DF28" s="15" t="n">
        <v>958263.6800000001</v>
      </c>
      <c r="DG28" s="15" t="n">
        <v>864828.0600000001</v>
      </c>
      <c r="DH28" s="15" t="n">
        <v>1377591.92</v>
      </c>
      <c r="DI28" s="15" t="n">
        <v>425277.61</v>
      </c>
      <c r="DJ28" s="15" t="n">
        <v>527778.04</v>
      </c>
      <c r="DK28" s="15" t="n">
        <v>3519291.37</v>
      </c>
      <c r="DL28" s="15" t="n">
        <v>1124225.32</v>
      </c>
      <c r="DM28" s="15" t="n">
        <v>1895068.89</v>
      </c>
      <c r="DN28" s="15" t="n">
        <v>1002775.02</v>
      </c>
      <c r="DO28" s="15" t="n">
        <v>342535.36</v>
      </c>
      <c r="DP28" s="15" t="n">
        <v>794161.29</v>
      </c>
    </row>
    <row r="29">
      <c r="A29" s="4" t="inlineStr">
        <is>
          <t>团餐</t>
        </is>
      </c>
      <c r="B29" s="15" t="n">
        <v>4684293.83</v>
      </c>
      <c r="C29" s="15" t="n">
        <v>1872688.12</v>
      </c>
      <c r="D29" s="15" t="n">
        <v>301574.1</v>
      </c>
      <c r="E29" s="15" t="n">
        <v>411767</v>
      </c>
      <c r="F29" s="15" t="n">
        <v>930114.86</v>
      </c>
      <c r="G29" s="15" t="n">
        <v>1410522.81</v>
      </c>
      <c r="H29" s="15" t="n">
        <v>286432.44</v>
      </c>
      <c r="I29" s="15" t="n">
        <v>62709.02</v>
      </c>
      <c r="J29" s="15" t="n">
        <v>1129335.88</v>
      </c>
      <c r="K29" s="15" t="n">
        <v>382207.99</v>
      </c>
      <c r="L29" s="15" t="n">
        <v>382230.73</v>
      </c>
      <c r="M29" s="15" t="n">
        <v>2880834.81</v>
      </c>
      <c r="N29" s="15" t="n">
        <v>4712589.73</v>
      </c>
      <c r="O29" s="15" t="n">
        <v>891633.47</v>
      </c>
      <c r="P29" s="15" t="n">
        <v>841404.33</v>
      </c>
      <c r="Q29" s="15" t="n">
        <v>372499.89</v>
      </c>
      <c r="R29" s="15" t="n">
        <v>598635.46</v>
      </c>
      <c r="S29" s="15" t="n">
        <v>1335041.09</v>
      </c>
      <c r="T29" s="15" t="n">
        <v>4202067.3</v>
      </c>
      <c r="U29" s="15" t="n">
        <v>1657471.86</v>
      </c>
      <c r="V29" s="15" t="n">
        <v>156997.47</v>
      </c>
      <c r="W29" s="15" t="n">
        <v>496663.34</v>
      </c>
      <c r="X29" s="15" t="n">
        <v>948715.38</v>
      </c>
      <c r="Y29" s="15" t="n">
        <v>2464425.48</v>
      </c>
      <c r="Z29" s="15" t="n">
        <v>2462164.37</v>
      </c>
      <c r="AA29" s="15" t="n">
        <v>2133972.6</v>
      </c>
      <c r="AB29" s="15" t="n">
        <v>680744.64</v>
      </c>
      <c r="AC29" s="15" t="n">
        <v>311363.24</v>
      </c>
      <c r="AD29" s="15" t="n">
        <v>509292.02</v>
      </c>
      <c r="AE29" s="15" t="n">
        <v>1304188.24</v>
      </c>
      <c r="AF29" s="15" t="n">
        <v>3642779.15</v>
      </c>
      <c r="AG29" s="15" t="n">
        <v>2258641.05</v>
      </c>
      <c r="AH29" s="15" t="n">
        <v>63095.8</v>
      </c>
      <c r="AI29" s="15" t="n">
        <v>39179.89</v>
      </c>
      <c r="AJ29" s="15" t="n">
        <v>402084.07</v>
      </c>
      <c r="AK29" s="15" t="n">
        <v>167894.28</v>
      </c>
      <c r="AL29" s="15" t="n">
        <v>3973957.1</v>
      </c>
      <c r="AM29" s="15" t="n">
        <v>661209.76</v>
      </c>
      <c r="AN29" s="15" t="n">
        <v>1772585.04</v>
      </c>
      <c r="AO29" s="15" t="n">
        <v>47352.5</v>
      </c>
      <c r="AP29" s="15" t="n">
        <v>696257.12</v>
      </c>
      <c r="AQ29" s="15" t="n">
        <v>2032865.86</v>
      </c>
      <c r="AR29" s="15" t="n">
        <v>2530528.73</v>
      </c>
      <c r="AS29" s="15" t="n">
        <v>1379541.28</v>
      </c>
      <c r="AT29" s="15" t="n">
        <v>1052133.25</v>
      </c>
      <c r="AU29" s="15" t="n">
        <v>328846.43</v>
      </c>
      <c r="AV29" s="15" t="n">
        <v>1333287.91</v>
      </c>
      <c r="AW29" s="15" t="n">
        <v>3986672.11</v>
      </c>
      <c r="AX29" s="15" t="n">
        <v>4476197.3</v>
      </c>
      <c r="AY29" s="15" t="n">
        <v>614465.89</v>
      </c>
      <c r="AZ29" s="15" t="n">
        <v>452653.87</v>
      </c>
      <c r="BA29" s="15" t="n">
        <v>258718.5</v>
      </c>
      <c r="BB29" s="15" t="n">
        <v>287654.18</v>
      </c>
      <c r="BC29" s="15" t="n">
        <v>2870641.7</v>
      </c>
      <c r="BD29" s="15" t="n">
        <v>3103558.27</v>
      </c>
      <c r="BE29" s="15" t="n">
        <v>1474031.59</v>
      </c>
      <c r="BF29" s="15" t="n">
        <v>1612807.67</v>
      </c>
      <c r="BG29" s="15" t="n">
        <v>404645.93</v>
      </c>
      <c r="BH29" s="15" t="n">
        <v>-117941.5</v>
      </c>
      <c r="BI29" s="15" t="n">
        <v>1041218.73</v>
      </c>
      <c r="BJ29" s="15" t="n">
        <v>4928537.06</v>
      </c>
      <c r="BK29" s="15" t="n">
        <v>2229676.16</v>
      </c>
      <c r="BL29" s="15" t="n">
        <v>1361202.11</v>
      </c>
      <c r="BM29" s="15" t="n">
        <v>39966.1</v>
      </c>
      <c r="BN29" s="15" t="n">
        <v>1185843.25</v>
      </c>
      <c r="BO29" s="15" t="n">
        <v>1224151.84</v>
      </c>
      <c r="BP29" s="15" t="n">
        <v>525502.3100000001</v>
      </c>
      <c r="BQ29" s="15" t="n">
        <v>1971308.75</v>
      </c>
      <c r="BR29" s="15" t="n">
        <v>514606.01</v>
      </c>
      <c r="BS29" s="15" t="n">
        <v>329818.85</v>
      </c>
      <c r="BT29" s="15" t="n">
        <v>1270532.28</v>
      </c>
      <c r="BU29" s="15" t="n">
        <v>292548.43</v>
      </c>
      <c r="BV29" s="15" t="n">
        <v>985598.38</v>
      </c>
      <c r="BW29" s="15" t="n">
        <v>106725.69</v>
      </c>
      <c r="BX29" s="15" t="n">
        <v>1217685.36</v>
      </c>
      <c r="BY29" s="15" t="n">
        <v>107616.1</v>
      </c>
      <c r="BZ29" s="15" t="n">
        <v>178280.8</v>
      </c>
      <c r="CA29" s="15" t="n">
        <v>3649528.85</v>
      </c>
      <c r="CB29" s="15" t="n">
        <v>2747407.81</v>
      </c>
      <c r="CC29" s="15" t="n">
        <v>2209614.04</v>
      </c>
      <c r="CD29" s="15" t="n">
        <v>1374623.89</v>
      </c>
      <c r="CE29" s="15" t="n">
        <v>42738.9</v>
      </c>
      <c r="CF29" s="15" t="n">
        <v>786598.1800000001</v>
      </c>
      <c r="CG29" s="15" t="n">
        <v>3724814.83</v>
      </c>
      <c r="CH29" s="15" t="n">
        <v>2479062.14</v>
      </c>
      <c r="CI29" s="15" t="n">
        <v>2930736.19</v>
      </c>
      <c r="CJ29" s="15" t="n">
        <v>1864967.44</v>
      </c>
      <c r="CK29" s="15" t="n">
        <v>254348.66</v>
      </c>
      <c r="CL29" s="15" t="n">
        <v>578064.89</v>
      </c>
      <c r="CM29" s="15" t="n">
        <v>1898006.9</v>
      </c>
      <c r="CN29" s="15" t="n">
        <v>1276823.69</v>
      </c>
      <c r="CO29" s="15" t="n">
        <v>1283151.11</v>
      </c>
      <c r="CP29" s="15" t="n">
        <v>1535184.46</v>
      </c>
      <c r="CQ29" s="15" t="n">
        <v>233508.72</v>
      </c>
      <c r="CR29" s="15" t="n">
        <v>328958.26</v>
      </c>
      <c r="CS29" s="15" t="n">
        <v>1446488.15</v>
      </c>
      <c r="CT29" s="15" t="n">
        <v>1721038.51</v>
      </c>
      <c r="CU29" s="15" t="n">
        <v>2663738.17</v>
      </c>
      <c r="CV29" s="15" t="n">
        <v>431894.09</v>
      </c>
      <c r="CW29" s="15" t="n">
        <v>450762.03</v>
      </c>
      <c r="CX29" s="15" t="n">
        <v>657249.24</v>
      </c>
      <c r="CY29" s="15" t="n">
        <v>2484451.92</v>
      </c>
      <c r="CZ29" s="15" t="n">
        <v>4049020.94</v>
      </c>
      <c r="DA29" s="15" t="n">
        <v>2105680.7</v>
      </c>
      <c r="DB29" s="15" t="n">
        <v>420043.87</v>
      </c>
      <c r="DC29" s="15" t="n">
        <v>388043.79</v>
      </c>
      <c r="DD29" s="15" t="n">
        <v>1027258.57</v>
      </c>
      <c r="DE29" s="15" t="n">
        <v>502884.41</v>
      </c>
      <c r="DF29" s="15" t="n">
        <v>347557.33</v>
      </c>
      <c r="DG29" s="15" t="n">
        <v>1182546.96</v>
      </c>
      <c r="DH29" s="15" t="n">
        <v>424551.16</v>
      </c>
      <c r="DI29" s="15" t="n">
        <v>164415.73</v>
      </c>
      <c r="DJ29" s="15" t="n">
        <v>149220.01</v>
      </c>
      <c r="DK29" s="15" t="n">
        <v>3304534.2</v>
      </c>
      <c r="DL29" s="15" t="n">
        <v>2733045.5</v>
      </c>
      <c r="DM29" s="15" t="n">
        <v>2210855.48</v>
      </c>
      <c r="DN29" s="15" t="n">
        <v>287882.38</v>
      </c>
      <c r="DO29" s="15" t="n">
        <v>348662.27</v>
      </c>
      <c r="DP29" s="15" t="n">
        <v>120606.84</v>
      </c>
    </row>
    <row r="30">
      <c r="A30" s="4" t="inlineStr">
        <is>
          <t>预制菜</t>
        </is>
      </c>
      <c r="B30" s="15" t="n">
        <v>4736363.6</v>
      </c>
      <c r="C30" s="15" t="n">
        <v>301800.28</v>
      </c>
      <c r="D30" s="15" t="n">
        <v>743142.42</v>
      </c>
      <c r="E30" s="15" t="n">
        <v>375151.45</v>
      </c>
      <c r="F30" s="15" t="n">
        <v>-81283.85000000001</v>
      </c>
      <c r="G30" s="15" t="n">
        <v>3897314.46</v>
      </c>
      <c r="H30" s="15" t="n">
        <v>2648105.43</v>
      </c>
      <c r="I30" s="15" t="n">
        <v>1048901.86</v>
      </c>
      <c r="J30" s="15" t="n">
        <v>1575222.47</v>
      </c>
      <c r="K30" s="15" t="n">
        <v>237609.93</v>
      </c>
      <c r="L30" s="15" t="n">
        <v>43535.49</v>
      </c>
      <c r="M30" s="15" t="n">
        <v>1061564.32</v>
      </c>
      <c r="N30" s="15" t="n">
        <v>2217606.81</v>
      </c>
      <c r="O30" s="15" t="n">
        <v>2412825.25</v>
      </c>
      <c r="P30" s="15" t="n">
        <v>856720.67</v>
      </c>
      <c r="Q30" s="15" t="n">
        <v>198898.53</v>
      </c>
      <c r="R30" s="15" t="n">
        <v>278449.41</v>
      </c>
      <c r="S30" s="15" t="n">
        <v>496004.59</v>
      </c>
      <c r="T30" s="15" t="n">
        <v>3197985.88</v>
      </c>
      <c r="U30" s="15" t="n">
        <v>422490.43</v>
      </c>
      <c r="V30" s="15" t="n">
        <v>1653299.74</v>
      </c>
      <c r="W30" s="15" t="n">
        <v>159797.73</v>
      </c>
      <c r="X30" s="15" t="n">
        <v>661976.46</v>
      </c>
      <c r="Y30" s="15" t="n">
        <v>1792959.39</v>
      </c>
      <c r="Z30" s="15" t="n">
        <v>626075.89</v>
      </c>
      <c r="AA30" s="15" t="n">
        <v>2812607.75</v>
      </c>
      <c r="AB30" s="15" t="n">
        <v>1957588.48</v>
      </c>
      <c r="AC30" s="15" t="n">
        <v>480000.01</v>
      </c>
      <c r="AD30" s="15" t="n">
        <v>756228.02</v>
      </c>
      <c r="AE30" s="15" t="n">
        <v>1039159.07</v>
      </c>
      <c r="AF30" s="15" t="n">
        <v>4944854.07</v>
      </c>
      <c r="AG30" s="15" t="n">
        <v>2003053.46</v>
      </c>
      <c r="AH30" s="15" t="n">
        <v>917268.51</v>
      </c>
      <c r="AI30" s="15" t="n">
        <v>440587.63</v>
      </c>
      <c r="AJ30" s="15" t="n">
        <v>1315512.02</v>
      </c>
      <c r="AK30" s="15" t="n">
        <v>1858157.82</v>
      </c>
      <c r="AL30" s="15" t="n">
        <v>367205.71</v>
      </c>
      <c r="AM30" s="15" t="n">
        <v>1774408.96</v>
      </c>
      <c r="AN30" s="15" t="n">
        <v>126286.59</v>
      </c>
      <c r="AO30" s="15" t="n">
        <v>287724.93</v>
      </c>
      <c r="AP30" s="15" t="n">
        <v>1202589.95</v>
      </c>
      <c r="AQ30" s="15" t="n">
        <v>3679448.63</v>
      </c>
      <c r="AR30" s="15" t="n">
        <v>1789895.39</v>
      </c>
      <c r="AS30" s="15" t="n">
        <v>2020087.06</v>
      </c>
      <c r="AT30" s="15" t="n">
        <v>332212.58</v>
      </c>
      <c r="AU30" s="15" t="n">
        <v>372858.23</v>
      </c>
      <c r="AV30" s="15" t="n">
        <v>1117471.57</v>
      </c>
      <c r="AW30" s="15" t="n">
        <v>1495999.83</v>
      </c>
      <c r="AX30" s="15" t="n">
        <v>3138019.49</v>
      </c>
      <c r="AY30" s="15" t="n">
        <v>1394614.88</v>
      </c>
      <c r="AZ30" s="15" t="n">
        <v>1541452.59</v>
      </c>
      <c r="BA30" s="15" t="n">
        <v>88795.92999999999</v>
      </c>
      <c r="BB30" s="15" t="n">
        <v>728536.5699999999</v>
      </c>
      <c r="BC30" s="15" t="n">
        <v>2185090.74</v>
      </c>
      <c r="BD30" s="15" t="n">
        <v>2700536.63</v>
      </c>
      <c r="BE30" s="15" t="n">
        <v>2313540.93</v>
      </c>
      <c r="BF30" s="15" t="n">
        <v>1213120.27</v>
      </c>
      <c r="BG30" s="15" t="n">
        <v>51469.85</v>
      </c>
      <c r="BH30" s="15" t="n">
        <v>938824.78</v>
      </c>
      <c r="BI30" s="15" t="n">
        <v>3322816.76</v>
      </c>
      <c r="BJ30" s="15" t="n">
        <v>2988396.9</v>
      </c>
      <c r="BK30" s="15" t="n">
        <v>2884935.11</v>
      </c>
      <c r="BL30" s="15" t="n">
        <v>1663699.65</v>
      </c>
      <c r="BM30" s="15" t="n">
        <v>185535.88</v>
      </c>
      <c r="BN30" s="15" t="n">
        <v>-59664.75</v>
      </c>
      <c r="BO30" s="15" t="n">
        <v>2740497.45</v>
      </c>
      <c r="BP30" s="15" t="n">
        <v>1735686.12</v>
      </c>
      <c r="BQ30" s="15" t="n">
        <v>1772189.5</v>
      </c>
      <c r="BR30" s="15" t="n">
        <v>1503297.39</v>
      </c>
      <c r="BS30" s="15" t="n">
        <v>353191.56</v>
      </c>
      <c r="BT30" s="15" t="n">
        <v>269707.47</v>
      </c>
      <c r="BU30" s="15" t="n">
        <v>3357946.69</v>
      </c>
      <c r="BV30" s="15" t="n">
        <v>2028560.3</v>
      </c>
      <c r="BW30" s="15" t="n">
        <v>2999332.79</v>
      </c>
      <c r="BX30" s="15" t="n">
        <v>1996904.83</v>
      </c>
      <c r="BY30" s="15" t="n">
        <v>221953.9</v>
      </c>
      <c r="BZ30" s="15" t="n">
        <v>1104673.94</v>
      </c>
      <c r="CA30" s="15" t="n">
        <v>645968.1899999999</v>
      </c>
      <c r="CB30" s="15" t="n">
        <v>4140865.43</v>
      </c>
      <c r="CC30" s="15" t="n">
        <v>77360.84</v>
      </c>
      <c r="CD30" s="15" t="n">
        <v>530498.52</v>
      </c>
      <c r="CE30" s="15" t="n">
        <v>484582.03</v>
      </c>
      <c r="CF30" s="15" t="n">
        <v>88787.53</v>
      </c>
      <c r="CG30" s="15" t="n">
        <v>3502247.78</v>
      </c>
      <c r="CH30" s="15" t="n">
        <v>4893636.8</v>
      </c>
      <c r="CI30" s="15" t="n">
        <v>2643840</v>
      </c>
      <c r="CJ30" s="15" t="n">
        <v>1480079.5</v>
      </c>
      <c r="CK30" s="15" t="n">
        <v>194083.63</v>
      </c>
      <c r="CL30" s="15" t="n">
        <v>715186.41</v>
      </c>
      <c r="CM30" s="15" t="n">
        <v>1374516.2</v>
      </c>
      <c r="CN30" s="15" t="n">
        <v>2519181.46</v>
      </c>
      <c r="CO30" s="15" t="n">
        <v>87446.31</v>
      </c>
      <c r="CP30" s="15" t="n">
        <v>156870.45</v>
      </c>
      <c r="CQ30" s="15" t="n">
        <v>298082</v>
      </c>
      <c r="CR30" s="15" t="n">
        <v>1095557.17</v>
      </c>
      <c r="CS30" s="15" t="n">
        <v>2428535.9</v>
      </c>
      <c r="CT30" s="15" t="n">
        <v>1798584.47</v>
      </c>
      <c r="CU30" s="15" t="n">
        <v>192452.68</v>
      </c>
      <c r="CV30" s="15" t="n">
        <v>1788714.78</v>
      </c>
      <c r="CW30" s="15" t="n">
        <v>157617.97</v>
      </c>
      <c r="CX30" s="15" t="n">
        <v>567425.74</v>
      </c>
      <c r="CY30" s="15" t="n">
        <v>250472.91</v>
      </c>
      <c r="CZ30" s="15" t="n">
        <v>4673260.65</v>
      </c>
      <c r="DA30" s="15" t="n">
        <v>2056465.96</v>
      </c>
      <c r="DB30" s="15" t="n">
        <v>472449.69</v>
      </c>
      <c r="DC30" s="15" t="n">
        <v>250145.35</v>
      </c>
      <c r="DD30" s="15" t="n">
        <v>1089909.69</v>
      </c>
      <c r="DE30" s="15" t="n">
        <v>3815976.67</v>
      </c>
      <c r="DF30" s="15" t="n">
        <v>4528118.47</v>
      </c>
      <c r="DG30" s="15" t="n">
        <v>2244136.97</v>
      </c>
      <c r="DH30" s="15" t="n">
        <v>1817021.59</v>
      </c>
      <c r="DI30" s="15" t="n">
        <v>351862.61</v>
      </c>
      <c r="DJ30" s="15" t="n">
        <v>-102597.23</v>
      </c>
      <c r="DK30" s="15" t="n">
        <v>2789473.79</v>
      </c>
      <c r="DL30" s="15" t="n">
        <v>3363553.63</v>
      </c>
      <c r="DM30" s="15" t="n">
        <v>1416593.06</v>
      </c>
      <c r="DN30" s="15" t="n">
        <v>1802611.82</v>
      </c>
      <c r="DO30" s="15" t="n">
        <v>25901.45</v>
      </c>
      <c r="DP30" s="15" t="n">
        <v>879917.74</v>
      </c>
    </row>
    <row r="31">
      <c r="A31" s="4" t="inlineStr">
        <is>
          <t>其他产品A</t>
        </is>
      </c>
      <c r="B31" s="15" t="n">
        <v>1282436.06</v>
      </c>
      <c r="C31" s="15" t="n">
        <v>2121097.2</v>
      </c>
      <c r="D31" s="15" t="n">
        <v>858248.1800000001</v>
      </c>
      <c r="E31" s="15" t="n">
        <v>339731.2</v>
      </c>
      <c r="F31" s="15" t="n">
        <v>-20062.01</v>
      </c>
      <c r="G31" s="15" t="n">
        <v>463156.99</v>
      </c>
      <c r="H31" s="15" t="n">
        <v>3351750.84</v>
      </c>
      <c r="I31" s="15" t="n">
        <v>96975.95</v>
      </c>
      <c r="J31" s="15" t="n">
        <v>984908.02</v>
      </c>
      <c r="K31" s="15" t="n">
        <v>312860.61</v>
      </c>
      <c r="L31" s="15" t="n">
        <v>1163215.57</v>
      </c>
      <c r="M31" s="15" t="n">
        <v>3003363.2</v>
      </c>
      <c r="N31" s="15" t="n">
        <v>1988171.79</v>
      </c>
      <c r="O31" s="15" t="n">
        <v>848492.09</v>
      </c>
      <c r="P31" s="15" t="n">
        <v>973234.3</v>
      </c>
      <c r="Q31" s="15" t="n">
        <v>423085.53</v>
      </c>
      <c r="R31" s="15" t="n">
        <v>629252.74</v>
      </c>
      <c r="S31" s="15" t="n">
        <v>1211238.61</v>
      </c>
      <c r="T31" s="15" t="n">
        <v>977992.89</v>
      </c>
      <c r="U31" s="15" t="n">
        <v>1538343.52</v>
      </c>
      <c r="V31" s="15" t="n">
        <v>1844746.9</v>
      </c>
      <c r="W31" s="15" t="n">
        <v>438247.08</v>
      </c>
      <c r="X31" s="15" t="n">
        <v>1277646.84</v>
      </c>
      <c r="Y31" s="15" t="n">
        <v>3060300.38</v>
      </c>
      <c r="Z31" s="15" t="n">
        <v>3796771.43</v>
      </c>
      <c r="AA31" s="15" t="n">
        <v>1500264.51</v>
      </c>
      <c r="AB31" s="15" t="n">
        <v>1800243.83</v>
      </c>
      <c r="AC31" s="15" t="n">
        <v>175840.64</v>
      </c>
      <c r="AD31" s="15" t="n">
        <v>-46473.41</v>
      </c>
      <c r="AE31" s="15" t="n">
        <v>1471822.94</v>
      </c>
      <c r="AF31" s="15" t="n">
        <v>355923.95</v>
      </c>
      <c r="AG31" s="15" t="n">
        <v>2727372.79</v>
      </c>
      <c r="AH31" s="15" t="n">
        <v>794697.8100000001</v>
      </c>
      <c r="AI31" s="15" t="n">
        <v>468413.09</v>
      </c>
      <c r="AJ31" s="15" t="n">
        <v>-80598.17</v>
      </c>
      <c r="AK31" s="15" t="n">
        <v>1485609.56</v>
      </c>
      <c r="AL31" s="15" t="n">
        <v>2393670.53</v>
      </c>
      <c r="AM31" s="15" t="n">
        <v>2096151.87</v>
      </c>
      <c r="AN31" s="15" t="n">
        <v>742315.22</v>
      </c>
      <c r="AO31" s="15" t="n">
        <v>213781.14</v>
      </c>
      <c r="AP31" s="15" t="n">
        <v>507880.17</v>
      </c>
      <c r="AQ31" s="15" t="n">
        <v>3449648.4</v>
      </c>
      <c r="AR31" s="15" t="n">
        <v>2131456.67</v>
      </c>
      <c r="AS31" s="15" t="n">
        <v>2958145.24</v>
      </c>
      <c r="AT31" s="15" t="n">
        <v>1785143.33</v>
      </c>
      <c r="AU31" s="15" t="n">
        <v>490373.29</v>
      </c>
      <c r="AV31" s="15" t="n">
        <v>761644.37</v>
      </c>
      <c r="AW31" s="15" t="n">
        <v>1728664.95</v>
      </c>
      <c r="AX31" s="15" t="n">
        <v>3756717.65</v>
      </c>
      <c r="AY31" s="15" t="n">
        <v>1200748.32</v>
      </c>
      <c r="AZ31" s="15" t="n">
        <v>826517.71</v>
      </c>
      <c r="BA31" s="15" t="n">
        <v>16933.99</v>
      </c>
      <c r="BB31" s="15" t="n">
        <v>766746.25</v>
      </c>
      <c r="BC31" s="15" t="n">
        <v>1532343.65</v>
      </c>
      <c r="BD31" s="15" t="n">
        <v>685150.9</v>
      </c>
      <c r="BE31" s="15" t="n">
        <v>1275162.74</v>
      </c>
      <c r="BF31" s="15" t="n">
        <v>1729964.88</v>
      </c>
      <c r="BG31" s="15" t="n">
        <v>45158.14</v>
      </c>
      <c r="BH31" s="15" t="n">
        <v>151985.35</v>
      </c>
      <c r="BI31" s="15" t="n">
        <v>1390147.14</v>
      </c>
      <c r="BJ31" s="15" t="n">
        <v>4922362.31</v>
      </c>
      <c r="BK31" s="15" t="n">
        <v>610854.73</v>
      </c>
      <c r="BL31" s="15" t="n">
        <v>536382.22</v>
      </c>
      <c r="BM31" s="15" t="n">
        <v>192010.57</v>
      </c>
      <c r="BN31" s="15" t="n">
        <v>-73112.53</v>
      </c>
      <c r="BO31" s="15" t="n">
        <v>662475.52</v>
      </c>
      <c r="BP31" s="15" t="n">
        <v>2035139.92</v>
      </c>
      <c r="BQ31" s="15" t="n">
        <v>1248027.13</v>
      </c>
      <c r="BR31" s="15" t="n">
        <v>1195048.64</v>
      </c>
      <c r="BS31" s="15" t="n">
        <v>49946.85</v>
      </c>
      <c r="BT31" s="15" t="n">
        <v>47051.38</v>
      </c>
      <c r="BU31" s="15" t="n">
        <v>2859369.06</v>
      </c>
      <c r="BV31" s="15" t="n">
        <v>4527349.71</v>
      </c>
      <c r="BW31" s="15" t="n">
        <v>1386085.5</v>
      </c>
      <c r="BX31" s="15" t="n">
        <v>1483369.88</v>
      </c>
      <c r="BY31" s="15" t="n">
        <v>162826.13</v>
      </c>
      <c r="BZ31" s="15" t="n">
        <v>1227161.21</v>
      </c>
      <c r="CA31" s="15" t="n">
        <v>2822897.94</v>
      </c>
      <c r="CB31" s="15" t="n">
        <v>2000380.4</v>
      </c>
      <c r="CC31" s="15" t="n">
        <v>1489087.19</v>
      </c>
      <c r="CD31" s="15" t="n">
        <v>622261.62</v>
      </c>
      <c r="CE31" s="15" t="n">
        <v>246050.1</v>
      </c>
      <c r="CF31" s="15" t="n">
        <v>1081229.27</v>
      </c>
      <c r="CG31" s="15" t="n">
        <v>2069273.64</v>
      </c>
      <c r="CH31" s="15" t="n">
        <v>3071932.87</v>
      </c>
      <c r="CI31" s="15" t="n">
        <v>1260556.37</v>
      </c>
      <c r="CJ31" s="15" t="n">
        <v>412429.91</v>
      </c>
      <c r="CK31" s="15" t="n">
        <v>290110.22</v>
      </c>
      <c r="CL31" s="15" t="n">
        <v>1380514.17</v>
      </c>
      <c r="CM31" s="15" t="n">
        <v>309144.13</v>
      </c>
      <c r="CN31" s="15" t="n">
        <v>893978.03</v>
      </c>
      <c r="CO31" s="15" t="n">
        <v>1903304.95</v>
      </c>
      <c r="CP31" s="15" t="n">
        <v>534544.13</v>
      </c>
      <c r="CQ31" s="15" t="n">
        <v>110384.19</v>
      </c>
      <c r="CR31" s="15" t="n">
        <v>770195.98</v>
      </c>
      <c r="CS31" s="15" t="n">
        <v>3336650.3</v>
      </c>
      <c r="CT31" s="15" t="n">
        <v>997691.99</v>
      </c>
      <c r="CU31" s="15" t="n">
        <v>2300038.25</v>
      </c>
      <c r="CV31" s="15" t="n">
        <v>1631133.14</v>
      </c>
      <c r="CW31" s="15" t="n">
        <v>368569.6</v>
      </c>
      <c r="CX31" s="15" t="n">
        <v>517325.66</v>
      </c>
      <c r="CY31" s="15" t="n">
        <v>601936.72</v>
      </c>
      <c r="CZ31" s="15" t="n">
        <v>121189.52</v>
      </c>
      <c r="DA31" s="15" t="n">
        <v>414274.07</v>
      </c>
      <c r="DB31" s="15" t="n">
        <v>975700.16</v>
      </c>
      <c r="DC31" s="15" t="n">
        <v>208629.59</v>
      </c>
      <c r="DD31" s="15" t="n">
        <v>1358414.36</v>
      </c>
      <c r="DE31" s="15" t="n">
        <v>3083312.05</v>
      </c>
      <c r="DF31" s="15" t="n">
        <v>641921.66</v>
      </c>
      <c r="DG31" s="15" t="n">
        <v>1207932.12</v>
      </c>
      <c r="DH31" s="15" t="n">
        <v>1946592.65</v>
      </c>
      <c r="DI31" s="15" t="n">
        <v>379041.44</v>
      </c>
      <c r="DJ31" s="15" t="n">
        <v>-46189.44</v>
      </c>
      <c r="DK31" s="15" t="n">
        <v>3315941.72</v>
      </c>
      <c r="DL31" s="15" t="n">
        <v>4325067.37</v>
      </c>
      <c r="DM31" s="15" t="n">
        <v>776527.99</v>
      </c>
      <c r="DN31" s="15" t="n">
        <v>1992466.66</v>
      </c>
      <c r="DO31" s="15" t="n">
        <v>329276.94</v>
      </c>
      <c r="DP31" s="15" t="n">
        <v>1222653.26</v>
      </c>
    </row>
    <row r="32">
      <c r="A32" s="4" t="inlineStr">
        <is>
          <t>其他产品B</t>
        </is>
      </c>
      <c r="B32" s="15" t="n">
        <v>1877821.71</v>
      </c>
      <c r="C32" s="15" t="n">
        <v>1076941.62</v>
      </c>
      <c r="D32" s="15" t="n">
        <v>1628361.77</v>
      </c>
      <c r="E32" s="15" t="n">
        <v>12171.19</v>
      </c>
      <c r="F32" s="15" t="n">
        <v>1139798.58</v>
      </c>
      <c r="G32" s="15" t="n">
        <v>761204.91</v>
      </c>
      <c r="H32" s="15" t="n">
        <v>159147.18</v>
      </c>
      <c r="I32" s="15" t="n">
        <v>614375.59</v>
      </c>
      <c r="J32" s="15" t="n">
        <v>846013.9</v>
      </c>
      <c r="K32" s="15" t="n">
        <v>110981.7</v>
      </c>
      <c r="L32" s="15" t="n">
        <v>1052742.67</v>
      </c>
      <c r="M32" s="15" t="n">
        <v>2002101.83</v>
      </c>
      <c r="N32" s="15" t="n">
        <v>1931195.91</v>
      </c>
      <c r="O32" s="15" t="n">
        <v>1883804.71</v>
      </c>
      <c r="P32" s="15" t="n">
        <v>592875.95</v>
      </c>
      <c r="Q32" s="15" t="n">
        <v>385512.06</v>
      </c>
      <c r="R32" s="15" t="n">
        <v>685423.39</v>
      </c>
      <c r="S32" s="15" t="n">
        <v>3217519.68</v>
      </c>
      <c r="T32" s="15" t="n">
        <v>109149.15</v>
      </c>
      <c r="U32" s="15" t="n">
        <v>936027.74</v>
      </c>
      <c r="V32" s="15" t="n">
        <v>36631.63</v>
      </c>
      <c r="W32" s="15" t="n">
        <v>487428.03</v>
      </c>
      <c r="X32" s="15" t="n">
        <v>-139930.96</v>
      </c>
      <c r="Y32" s="15" t="n">
        <v>3432168.33</v>
      </c>
      <c r="Z32" s="15" t="n">
        <v>880801.58</v>
      </c>
      <c r="AA32" s="15" t="n">
        <v>657523.89</v>
      </c>
      <c r="AB32" s="15" t="n">
        <v>451643.14</v>
      </c>
      <c r="AC32" s="15" t="n">
        <v>72455.88</v>
      </c>
      <c r="AD32" s="15" t="n">
        <v>1103882.04</v>
      </c>
      <c r="AE32" s="15" t="n">
        <v>762529.6899999999</v>
      </c>
      <c r="AF32" s="15" t="n">
        <v>2277997.25</v>
      </c>
      <c r="AG32" s="15" t="n">
        <v>2602727.73</v>
      </c>
      <c r="AH32" s="15" t="n">
        <v>1974177.49</v>
      </c>
      <c r="AI32" s="15" t="n">
        <v>111439.17</v>
      </c>
      <c r="AJ32" s="15" t="n">
        <v>1149465.27</v>
      </c>
      <c r="AK32" s="15" t="n">
        <v>579112.99</v>
      </c>
      <c r="AL32" s="15" t="n">
        <v>3650674.81</v>
      </c>
      <c r="AM32" s="15" t="n">
        <v>2373916.8</v>
      </c>
      <c r="AN32" s="15" t="n">
        <v>1681324.48</v>
      </c>
      <c r="AO32" s="15" t="n">
        <v>49623.16</v>
      </c>
      <c r="AP32" s="15" t="n">
        <v>746541.88</v>
      </c>
      <c r="AQ32" s="15" t="n">
        <v>2786767.38</v>
      </c>
      <c r="AR32" s="15" t="n">
        <v>841109.73</v>
      </c>
      <c r="AS32" s="15" t="n">
        <v>2898104.78</v>
      </c>
      <c r="AT32" s="15" t="n">
        <v>1672913.13</v>
      </c>
      <c r="AU32" s="15" t="n">
        <v>274620.96</v>
      </c>
      <c r="AV32" s="15" t="n">
        <v>967444.96</v>
      </c>
      <c r="AW32" s="15" t="n">
        <v>1762728.52</v>
      </c>
      <c r="AX32" s="15" t="n">
        <v>4138962.14</v>
      </c>
      <c r="AY32" s="15" t="n">
        <v>2128491.77</v>
      </c>
      <c r="AZ32" s="15" t="n">
        <v>1173729.45</v>
      </c>
      <c r="BA32" s="15" t="n">
        <v>257732.13</v>
      </c>
      <c r="BB32" s="15" t="n">
        <v>1474445.92</v>
      </c>
      <c r="BC32" s="15" t="n">
        <v>3869007.64</v>
      </c>
      <c r="BD32" s="15" t="n">
        <v>3340450.08</v>
      </c>
      <c r="BE32" s="15" t="n">
        <v>1712815.03</v>
      </c>
      <c r="BF32" s="15" t="n">
        <v>415744.04</v>
      </c>
      <c r="BG32" s="15" t="n">
        <v>328224.56</v>
      </c>
      <c r="BH32" s="15" t="n">
        <v>929863.91</v>
      </c>
      <c r="BI32" s="15" t="n">
        <v>331173.82</v>
      </c>
      <c r="BJ32" s="15" t="n">
        <v>604576.17</v>
      </c>
      <c r="BK32" s="15" t="n">
        <v>1988232.12</v>
      </c>
      <c r="BL32" s="15" t="n">
        <v>343886.83</v>
      </c>
      <c r="BM32" s="15" t="n">
        <v>383433.2</v>
      </c>
      <c r="BN32" s="15" t="n">
        <v>593275.65</v>
      </c>
      <c r="BO32" s="15" t="n">
        <v>3197061.61</v>
      </c>
      <c r="BP32" s="15" t="n">
        <v>247098.1</v>
      </c>
      <c r="BQ32" s="15" t="n">
        <v>2821414.41</v>
      </c>
      <c r="BR32" s="15" t="n">
        <v>1282344.78</v>
      </c>
      <c r="BS32" s="15" t="n">
        <v>217710.39</v>
      </c>
      <c r="BT32" s="15" t="n">
        <v>468514.72</v>
      </c>
      <c r="BU32" s="15" t="n">
        <v>1617748.97</v>
      </c>
      <c r="BV32" s="15" t="n">
        <v>3628205.9</v>
      </c>
      <c r="BW32" s="15" t="n">
        <v>1873029.08</v>
      </c>
      <c r="BX32" s="15" t="n">
        <v>970719.53</v>
      </c>
      <c r="BY32" s="15" t="n">
        <v>258487.94</v>
      </c>
      <c r="BZ32" s="15" t="n">
        <v>905074.83</v>
      </c>
      <c r="CA32" s="15" t="n">
        <v>700792.37</v>
      </c>
      <c r="CB32" s="15" t="n">
        <v>4763119.39</v>
      </c>
      <c r="CC32" s="15" t="n">
        <v>1019525.56</v>
      </c>
      <c r="CD32" s="15" t="n">
        <v>1040534.73</v>
      </c>
      <c r="CE32" s="15" t="n">
        <v>174780.78</v>
      </c>
      <c r="CF32" s="15" t="n">
        <v>127240.95</v>
      </c>
      <c r="CG32" s="15" t="n">
        <v>3910536.76</v>
      </c>
      <c r="CH32" s="15" t="n">
        <v>2507544.5</v>
      </c>
      <c r="CI32" s="15" t="n">
        <v>204790.19</v>
      </c>
      <c r="CJ32" s="15" t="n">
        <v>362604.49</v>
      </c>
      <c r="CK32" s="15" t="n">
        <v>335370.3</v>
      </c>
      <c r="CL32" s="15" t="n">
        <v>272734.88</v>
      </c>
      <c r="CM32" s="15" t="n">
        <v>3973243.58</v>
      </c>
      <c r="CN32" s="15" t="n">
        <v>4179754.56</v>
      </c>
      <c r="CO32" s="15" t="n">
        <v>1502269.53</v>
      </c>
      <c r="CP32" s="15" t="n">
        <v>453041.14</v>
      </c>
      <c r="CQ32" s="15" t="n">
        <v>320141.49</v>
      </c>
      <c r="CR32" s="15" t="n">
        <v>136490.15</v>
      </c>
      <c r="CS32" s="15" t="n">
        <v>2989683.01</v>
      </c>
      <c r="CT32" s="15" t="n">
        <v>3334736.72</v>
      </c>
      <c r="CU32" s="15" t="n">
        <v>516583.19</v>
      </c>
      <c r="CV32" s="15" t="n">
        <v>516848.34</v>
      </c>
      <c r="CW32" s="15" t="n">
        <v>178045.45</v>
      </c>
      <c r="CX32" s="15" t="n">
        <v>1237220.95</v>
      </c>
      <c r="CY32" s="15" t="n">
        <v>1836997.86</v>
      </c>
      <c r="CZ32" s="15" t="n">
        <v>3474447.75</v>
      </c>
      <c r="DA32" s="15" t="n">
        <v>1278779.68</v>
      </c>
      <c r="DB32" s="15" t="n">
        <v>1664325.33</v>
      </c>
      <c r="DC32" s="15" t="n">
        <v>295203.26</v>
      </c>
      <c r="DD32" s="15" t="n">
        <v>381916.11</v>
      </c>
      <c r="DE32" s="15" t="n">
        <v>3268102.96</v>
      </c>
      <c r="DF32" s="15" t="n">
        <v>4158832.45</v>
      </c>
      <c r="DG32" s="15" t="n">
        <v>2210849.84</v>
      </c>
      <c r="DH32" s="15" t="n">
        <v>127938.92</v>
      </c>
      <c r="DI32" s="15" t="n">
        <v>207376.09</v>
      </c>
      <c r="DJ32" s="15" t="n">
        <v>573117.17</v>
      </c>
      <c r="DK32" s="15" t="n">
        <v>321423.53</v>
      </c>
      <c r="DL32" s="15" t="n">
        <v>3969463.24</v>
      </c>
      <c r="DM32" s="15" t="n">
        <v>429856.9</v>
      </c>
      <c r="DN32" s="15" t="n">
        <v>1719084.59</v>
      </c>
      <c r="DO32" s="15" t="n">
        <v>205028.32</v>
      </c>
      <c r="DP32" s="15" t="n">
        <v>57996.65</v>
      </c>
    </row>
    <row r="33">
      <c r="A33" s="4" t="inlineStr">
        <is>
          <t>其他产品C</t>
        </is>
      </c>
      <c r="B33" s="15" t="n">
        <v>4261154.78</v>
      </c>
      <c r="C33" s="15" t="n">
        <v>1890400.84</v>
      </c>
      <c r="D33" s="15" t="n">
        <v>1595056.7</v>
      </c>
      <c r="E33" s="15" t="n">
        <v>305779.9</v>
      </c>
      <c r="F33" s="15" t="n">
        <v>650845.5</v>
      </c>
      <c r="G33" s="15" t="n">
        <v>707096.41</v>
      </c>
      <c r="H33" s="15" t="n">
        <v>3643816.67</v>
      </c>
      <c r="I33" s="15" t="n">
        <v>2871228.79</v>
      </c>
      <c r="J33" s="15" t="n">
        <v>491158.54</v>
      </c>
      <c r="K33" s="15" t="n">
        <v>256364.62</v>
      </c>
      <c r="L33" s="15" t="n">
        <v>87722.12</v>
      </c>
      <c r="M33" s="15" t="n">
        <v>95592.7</v>
      </c>
      <c r="N33" s="15" t="n">
        <v>3593905.9</v>
      </c>
      <c r="O33" s="15" t="n">
        <v>1024338.03</v>
      </c>
      <c r="P33" s="15" t="n">
        <v>567543.49</v>
      </c>
      <c r="Q33" s="15" t="n">
        <v>238734.46</v>
      </c>
      <c r="R33" s="15" t="n">
        <v>644307.95</v>
      </c>
      <c r="S33" s="15" t="n">
        <v>1131527.27</v>
      </c>
      <c r="T33" s="15" t="n">
        <v>537342.8199999999</v>
      </c>
      <c r="U33" s="15" t="n">
        <v>1235878.66</v>
      </c>
      <c r="V33" s="15" t="n">
        <v>188098.52</v>
      </c>
      <c r="W33" s="15" t="n">
        <v>429988.02</v>
      </c>
      <c r="X33" s="15" t="n">
        <v>548787.89</v>
      </c>
      <c r="Y33" s="15" t="n">
        <v>3369448.34</v>
      </c>
      <c r="Z33" s="15" t="n">
        <v>774563.79</v>
      </c>
      <c r="AA33" s="15" t="n">
        <v>2712544.64</v>
      </c>
      <c r="AB33" s="15" t="n">
        <v>349716.49</v>
      </c>
      <c r="AC33" s="15" t="n">
        <v>75600.05</v>
      </c>
      <c r="AD33" s="15" t="n">
        <v>1409358.12</v>
      </c>
      <c r="AE33" s="15" t="n">
        <v>3023425.47</v>
      </c>
      <c r="AF33" s="15" t="n">
        <v>631752.09</v>
      </c>
      <c r="AG33" s="15" t="n">
        <v>1728440.69</v>
      </c>
      <c r="AH33" s="15" t="n">
        <v>669023.25</v>
      </c>
      <c r="AI33" s="15" t="n">
        <v>141757.86</v>
      </c>
      <c r="AJ33" s="15" t="n">
        <v>1379240.16</v>
      </c>
      <c r="AK33" s="15" t="n">
        <v>2692326.75</v>
      </c>
      <c r="AL33" s="15" t="n">
        <v>216119.91</v>
      </c>
      <c r="AM33" s="15" t="n">
        <v>2580808.94</v>
      </c>
      <c r="AN33" s="15" t="n">
        <v>279459.68</v>
      </c>
      <c r="AO33" s="15" t="n">
        <v>159411.41</v>
      </c>
      <c r="AP33" s="15" t="n">
        <v>1254948.02</v>
      </c>
      <c r="AQ33" s="15" t="n">
        <v>2355172.74</v>
      </c>
      <c r="AR33" s="15" t="n">
        <v>1552862.74</v>
      </c>
      <c r="AS33" s="15" t="n">
        <v>2032454.72</v>
      </c>
      <c r="AT33" s="15" t="n">
        <v>1494467.88</v>
      </c>
      <c r="AU33" s="15" t="n">
        <v>135452.35</v>
      </c>
      <c r="AV33" s="15" t="n">
        <v>1259236.55</v>
      </c>
      <c r="AW33" s="15" t="n">
        <v>1875432.05</v>
      </c>
      <c r="AX33" s="15" t="n">
        <v>4184913.25</v>
      </c>
      <c r="AY33" s="15" t="n">
        <v>2961051.4</v>
      </c>
      <c r="AZ33" s="15" t="n">
        <v>1729613.61</v>
      </c>
      <c r="BA33" s="15" t="n">
        <v>47643.87</v>
      </c>
      <c r="BB33" s="15" t="n">
        <v>1298398.03</v>
      </c>
      <c r="BC33" s="15" t="n">
        <v>3680743.29</v>
      </c>
      <c r="BD33" s="15" t="n">
        <v>2726673.14</v>
      </c>
      <c r="BE33" s="15" t="n">
        <v>1344572.37</v>
      </c>
      <c r="BF33" s="15" t="n">
        <v>1258161.2</v>
      </c>
      <c r="BG33" s="15" t="n">
        <v>18063.33</v>
      </c>
      <c r="BH33" s="15" t="n">
        <v>1052561.63</v>
      </c>
      <c r="BI33" s="15" t="n">
        <v>3535837.74</v>
      </c>
      <c r="BJ33" s="15" t="n">
        <v>266415.12</v>
      </c>
      <c r="BK33" s="15" t="n">
        <v>2690691.01</v>
      </c>
      <c r="BL33" s="15" t="n">
        <v>1704614.27</v>
      </c>
      <c r="BM33" s="15" t="n">
        <v>351745.39</v>
      </c>
      <c r="BN33" s="15" t="n">
        <v>810374.4399999999</v>
      </c>
      <c r="BO33" s="15" t="n">
        <v>2903430.75</v>
      </c>
      <c r="BP33" s="15" t="n">
        <v>3749590.05</v>
      </c>
      <c r="BQ33" s="15" t="n">
        <v>1575770.88</v>
      </c>
      <c r="BR33" s="15" t="n">
        <v>300461.2</v>
      </c>
      <c r="BS33" s="15" t="n">
        <v>112060.66</v>
      </c>
      <c r="BT33" s="15" t="n">
        <v>984842.16</v>
      </c>
      <c r="BU33" s="15" t="n">
        <v>3894057.96</v>
      </c>
      <c r="BV33" s="15" t="n">
        <v>3943088.35</v>
      </c>
      <c r="BW33" s="15" t="n">
        <v>1131905.19</v>
      </c>
      <c r="BX33" s="15" t="n">
        <v>1872923.36</v>
      </c>
      <c r="BY33" s="15" t="n">
        <v>299664.84</v>
      </c>
      <c r="BZ33" s="15" t="n">
        <v>120057.96</v>
      </c>
      <c r="CA33" s="15" t="n">
        <v>3243700.8</v>
      </c>
      <c r="CB33" s="15" t="n">
        <v>4626044.02</v>
      </c>
      <c r="CC33" s="15" t="n">
        <v>1762769.93</v>
      </c>
      <c r="CD33" s="15" t="n">
        <v>583858.42</v>
      </c>
      <c r="CE33" s="15" t="n">
        <v>85574.8</v>
      </c>
      <c r="CF33" s="15" t="n">
        <v>581446.8100000001</v>
      </c>
      <c r="CG33" s="15" t="n">
        <v>1707068.03</v>
      </c>
      <c r="CH33" s="15" t="n">
        <v>619771.23</v>
      </c>
      <c r="CI33" s="15" t="n">
        <v>2338503.57</v>
      </c>
      <c r="CJ33" s="15" t="n">
        <v>1349282.39</v>
      </c>
      <c r="CK33" s="15" t="n">
        <v>210783.67</v>
      </c>
      <c r="CL33" s="15" t="n">
        <v>999304.51</v>
      </c>
      <c r="CM33" s="15" t="n">
        <v>2011472.55</v>
      </c>
      <c r="CN33" s="15" t="n">
        <v>303781.93</v>
      </c>
      <c r="CO33" s="15" t="n">
        <v>2811999.69</v>
      </c>
      <c r="CP33" s="15" t="n">
        <v>288908.05</v>
      </c>
      <c r="CQ33" s="15" t="n">
        <v>337781.22</v>
      </c>
      <c r="CR33" s="15" t="n">
        <v>-150584.77</v>
      </c>
      <c r="CS33" s="15" t="n">
        <v>3443031.79</v>
      </c>
      <c r="CT33" s="15" t="n">
        <v>1195123.85</v>
      </c>
      <c r="CU33" s="15" t="n">
        <v>1923626.77</v>
      </c>
      <c r="CV33" s="15" t="n">
        <v>445034.94</v>
      </c>
      <c r="CW33" s="15" t="n">
        <v>470511.08</v>
      </c>
      <c r="CX33" s="15" t="n">
        <v>-29663.61</v>
      </c>
      <c r="CY33" s="15" t="n">
        <v>341430.49</v>
      </c>
      <c r="CZ33" s="15" t="n">
        <v>155892.15</v>
      </c>
      <c r="DA33" s="15" t="n">
        <v>2744091.88</v>
      </c>
      <c r="DB33" s="15" t="n">
        <v>1243254.81</v>
      </c>
      <c r="DC33" s="15" t="n">
        <v>204048.83</v>
      </c>
      <c r="DD33" s="15" t="n">
        <v>610450.8</v>
      </c>
      <c r="DE33" s="15" t="n">
        <v>3915726.29</v>
      </c>
      <c r="DF33" s="15" t="n">
        <v>2270089.39</v>
      </c>
      <c r="DG33" s="15" t="n">
        <v>2836118.82</v>
      </c>
      <c r="DH33" s="15" t="n">
        <v>414695.34</v>
      </c>
      <c r="DI33" s="15" t="n">
        <v>227461.15</v>
      </c>
      <c r="DJ33" s="15" t="n">
        <v>301904.75</v>
      </c>
      <c r="DK33" s="15" t="n">
        <v>1060865.6</v>
      </c>
      <c r="DL33" s="15" t="n">
        <v>1196565.07</v>
      </c>
      <c r="DM33" s="15" t="n">
        <v>2693702.77</v>
      </c>
      <c r="DN33" s="15" t="n">
        <v>735962.53</v>
      </c>
      <c r="DO33" s="15" t="n">
        <v>246676.43</v>
      </c>
      <c r="DP33" s="15" t="n">
        <v>582001.0699999999</v>
      </c>
    </row>
    <row r="34">
      <c r="A34" s="4" t="inlineStr">
        <is>
          <t>中式汤底</t>
        </is>
      </c>
      <c r="B34" s="15" t="n">
        <v>593138.24</v>
      </c>
      <c r="C34" s="15" t="n">
        <v>1909044.08</v>
      </c>
      <c r="D34" s="15" t="n">
        <v>24970.52</v>
      </c>
      <c r="E34" s="15" t="n">
        <v>208759.62</v>
      </c>
      <c r="F34" s="15" t="n">
        <v>1257096.06</v>
      </c>
      <c r="G34" s="15" t="n">
        <v>2002303.8</v>
      </c>
      <c r="H34" s="15" t="n">
        <v>1506311.64</v>
      </c>
      <c r="I34" s="15" t="n">
        <v>2594233.68</v>
      </c>
      <c r="J34" s="15" t="n">
        <v>403697.68</v>
      </c>
      <c r="K34" s="15" t="n">
        <v>209938.81</v>
      </c>
      <c r="L34" s="15" t="n">
        <v>613137.55</v>
      </c>
      <c r="M34" s="15" t="n">
        <v>1325175.29</v>
      </c>
      <c r="N34" s="15" t="n">
        <v>2016358.03</v>
      </c>
      <c r="O34" s="15" t="n">
        <v>1384738.66</v>
      </c>
      <c r="P34" s="15" t="n">
        <v>1210052.56</v>
      </c>
      <c r="Q34" s="15" t="n">
        <v>47188.38</v>
      </c>
      <c r="R34" s="15" t="n">
        <v>227137.89</v>
      </c>
      <c r="S34" s="15" t="n">
        <v>2420209.93</v>
      </c>
      <c r="T34" s="15" t="n">
        <v>2992683.54</v>
      </c>
      <c r="U34" s="15" t="n">
        <v>2243524.3</v>
      </c>
      <c r="V34" s="15" t="n">
        <v>696604.26</v>
      </c>
      <c r="W34" s="15" t="n">
        <v>493989.37</v>
      </c>
      <c r="X34" s="15" t="n">
        <v>1320251.45</v>
      </c>
      <c r="Y34" s="15" t="n">
        <v>2642905.55</v>
      </c>
      <c r="Z34" s="15" t="n">
        <v>2526255.8</v>
      </c>
      <c r="AA34" s="15" t="n">
        <v>2902746.87</v>
      </c>
      <c r="AB34" s="15" t="n">
        <v>1442989.87</v>
      </c>
      <c r="AC34" s="15" t="n">
        <v>34538.34</v>
      </c>
      <c r="AD34" s="15" t="n">
        <v>401437.61</v>
      </c>
      <c r="AE34" s="15" t="n">
        <v>3874977.06</v>
      </c>
      <c r="AF34" s="15" t="n">
        <v>2200899.63</v>
      </c>
      <c r="AG34" s="15" t="n">
        <v>426065.13</v>
      </c>
      <c r="AH34" s="15" t="n">
        <v>1702673.08</v>
      </c>
      <c r="AI34" s="15" t="n">
        <v>171952.77</v>
      </c>
      <c r="AJ34" s="15" t="n">
        <v>1467734.74</v>
      </c>
      <c r="AK34" s="15" t="n">
        <v>615465.85</v>
      </c>
      <c r="AL34" s="15" t="n">
        <v>2990004.99</v>
      </c>
      <c r="AM34" s="15" t="n">
        <v>577726.34</v>
      </c>
      <c r="AN34" s="15" t="n">
        <v>1681458.04</v>
      </c>
      <c r="AO34" s="15" t="n">
        <v>215590.84</v>
      </c>
      <c r="AP34" s="15" t="n">
        <v>337602.2</v>
      </c>
      <c r="AQ34" s="15" t="n">
        <v>3938999.93</v>
      </c>
      <c r="AR34" s="15" t="n">
        <v>3909039.92</v>
      </c>
      <c r="AS34" s="15" t="n">
        <v>2690083.38</v>
      </c>
      <c r="AT34" s="15" t="n">
        <v>1379112.96</v>
      </c>
      <c r="AU34" s="15" t="n">
        <v>286139.81</v>
      </c>
      <c r="AV34" s="15" t="n">
        <v>676657.01</v>
      </c>
      <c r="AW34" s="15" t="n">
        <v>1278951.77</v>
      </c>
      <c r="AX34" s="15" t="n">
        <v>4262138.82</v>
      </c>
      <c r="AY34" s="15" t="n">
        <v>2351966.69</v>
      </c>
      <c r="AZ34" s="15" t="n">
        <v>784488.67</v>
      </c>
      <c r="BA34" s="15" t="n">
        <v>417671.58</v>
      </c>
      <c r="BB34" s="15" t="n">
        <v>834273.9300000001</v>
      </c>
      <c r="BC34" s="15" t="n">
        <v>1910035.37</v>
      </c>
      <c r="BD34" s="15" t="n">
        <v>3693246.45</v>
      </c>
      <c r="BE34" s="15" t="n">
        <v>180202.8</v>
      </c>
      <c r="BF34" s="15" t="n">
        <v>159272.34</v>
      </c>
      <c r="BG34" s="15" t="n">
        <v>294154.42</v>
      </c>
      <c r="BH34" s="15" t="n">
        <v>-105487.49</v>
      </c>
      <c r="BI34" s="15" t="n">
        <v>3564763.31</v>
      </c>
      <c r="BJ34" s="15" t="n">
        <v>271118.53</v>
      </c>
      <c r="BK34" s="15" t="n">
        <v>676326.6</v>
      </c>
      <c r="BL34" s="15" t="n">
        <v>1022806.47</v>
      </c>
      <c r="BM34" s="15" t="n">
        <v>166910.74</v>
      </c>
      <c r="BN34" s="15" t="n">
        <v>467230.08</v>
      </c>
      <c r="BO34" s="15" t="n">
        <v>3677285.25</v>
      </c>
      <c r="BP34" s="15" t="n">
        <v>3574560.33</v>
      </c>
      <c r="BQ34" s="15" t="n">
        <v>1914564.17</v>
      </c>
      <c r="BR34" s="15" t="n">
        <v>1462358.95</v>
      </c>
      <c r="BS34" s="15" t="n">
        <v>148698.05</v>
      </c>
      <c r="BT34" s="15" t="n">
        <v>1235733.89</v>
      </c>
      <c r="BU34" s="15" t="n">
        <v>3032690.9</v>
      </c>
      <c r="BV34" s="15" t="n">
        <v>1236687.88</v>
      </c>
      <c r="BW34" s="15" t="n">
        <v>1746788.25</v>
      </c>
      <c r="BX34" s="15" t="n">
        <v>1939445.2</v>
      </c>
      <c r="BY34" s="15" t="n">
        <v>281691.4</v>
      </c>
      <c r="BZ34" s="15" t="n">
        <v>269700.49</v>
      </c>
      <c r="CA34" s="15" t="n">
        <v>905817.97</v>
      </c>
      <c r="CB34" s="15" t="n">
        <v>2914447.72</v>
      </c>
      <c r="CC34" s="15" t="n">
        <v>994793.2</v>
      </c>
      <c r="CD34" s="15" t="n">
        <v>1158975.93</v>
      </c>
      <c r="CE34" s="15" t="n">
        <v>253927.31</v>
      </c>
      <c r="CF34" s="15" t="n">
        <v>690248.85</v>
      </c>
      <c r="CG34" s="15" t="n">
        <v>642330.16</v>
      </c>
      <c r="CH34" s="15" t="n">
        <v>1085526.42</v>
      </c>
      <c r="CI34" s="15" t="n">
        <v>99020.66</v>
      </c>
      <c r="CJ34" s="15" t="n">
        <v>601710.23</v>
      </c>
      <c r="CK34" s="15" t="n">
        <v>466932.17</v>
      </c>
      <c r="CL34" s="15" t="n">
        <v>720658.9300000001</v>
      </c>
      <c r="CM34" s="15" t="n">
        <v>1072226.91</v>
      </c>
      <c r="CN34" s="15" t="n">
        <v>3985456.87</v>
      </c>
      <c r="CO34" s="15" t="n">
        <v>574921.64</v>
      </c>
      <c r="CP34" s="15" t="n">
        <v>1267912.26</v>
      </c>
      <c r="CQ34" s="15" t="n">
        <v>60746.66</v>
      </c>
      <c r="CR34" s="15" t="n">
        <v>1443007.59</v>
      </c>
      <c r="CS34" s="15" t="n">
        <v>2365064.44</v>
      </c>
      <c r="CT34" s="15" t="n">
        <v>305063.08</v>
      </c>
      <c r="CU34" s="15" t="n">
        <v>2281746.57</v>
      </c>
      <c r="CV34" s="15" t="n">
        <v>1210304.15</v>
      </c>
      <c r="CW34" s="15" t="n">
        <v>431311.25</v>
      </c>
      <c r="CX34" s="15" t="n">
        <v>-175519.16</v>
      </c>
      <c r="CY34" s="15" t="n">
        <v>1231722.89</v>
      </c>
      <c r="CZ34" s="15" t="n">
        <v>3342974.47</v>
      </c>
      <c r="DA34" s="15" t="n">
        <v>891100.16</v>
      </c>
      <c r="DB34" s="15" t="n">
        <v>1654869.32</v>
      </c>
      <c r="DC34" s="15" t="n">
        <v>163621.64</v>
      </c>
      <c r="DD34" s="15" t="n">
        <v>562417.24</v>
      </c>
      <c r="DE34" s="15" t="n">
        <v>2529433.19</v>
      </c>
      <c r="DF34" s="15" t="n">
        <v>4120132.12</v>
      </c>
      <c r="DG34" s="15" t="n">
        <v>166873.17</v>
      </c>
      <c r="DH34" s="15" t="n">
        <v>1372817.98</v>
      </c>
      <c r="DI34" s="15" t="n">
        <v>382562.99</v>
      </c>
      <c r="DJ34" s="15" t="n">
        <v>37187.6</v>
      </c>
      <c r="DK34" s="15" t="n">
        <v>2266662.53</v>
      </c>
      <c r="DL34" s="15" t="n">
        <v>3577581.69</v>
      </c>
      <c r="DM34" s="15" t="n">
        <v>2057381.19</v>
      </c>
      <c r="DN34" s="15" t="n">
        <v>1974768.48</v>
      </c>
      <c r="DO34" s="15" t="n">
        <v>200702.56</v>
      </c>
      <c r="DP34" s="15" t="n">
        <v>531350.11</v>
      </c>
    </row>
    <row r="35">
      <c r="A35" s="4" t="inlineStr">
        <is>
          <t>酱料</t>
        </is>
      </c>
      <c r="B35" s="15" t="n">
        <v>4969347.89</v>
      </c>
      <c r="C35" s="15" t="n">
        <v>1198493.04</v>
      </c>
      <c r="D35" s="15" t="n">
        <v>347330.95</v>
      </c>
      <c r="E35" s="15" t="n">
        <v>366677.3</v>
      </c>
      <c r="F35" s="15" t="n">
        <v>781305.64</v>
      </c>
      <c r="G35" s="15" t="n">
        <v>1335110.41</v>
      </c>
      <c r="H35" s="15" t="n">
        <v>4977232.13</v>
      </c>
      <c r="I35" s="15" t="n">
        <v>268838.99</v>
      </c>
      <c r="J35" s="15" t="n">
        <v>419984.78</v>
      </c>
      <c r="K35" s="15" t="n">
        <v>475003.74</v>
      </c>
      <c r="L35" s="15" t="n">
        <v>326562.01</v>
      </c>
      <c r="M35" s="15" t="n">
        <v>2618849.53</v>
      </c>
      <c r="N35" s="15" t="n">
        <v>2864457.61</v>
      </c>
      <c r="O35" s="15" t="n">
        <v>2465232.17</v>
      </c>
      <c r="P35" s="15" t="n">
        <v>951361.53</v>
      </c>
      <c r="Q35" s="15" t="n">
        <v>116755.06</v>
      </c>
      <c r="R35" s="15" t="n">
        <v>583930.35</v>
      </c>
      <c r="S35" s="15" t="n">
        <v>1217570.62</v>
      </c>
      <c r="T35" s="15" t="n">
        <v>3528635.19</v>
      </c>
      <c r="U35" s="15" t="n">
        <v>631607.71</v>
      </c>
      <c r="V35" s="15" t="n">
        <v>1065533.89</v>
      </c>
      <c r="W35" s="15" t="n">
        <v>260161.39</v>
      </c>
      <c r="X35" s="15" t="n">
        <v>492693.97</v>
      </c>
      <c r="Y35" s="15" t="n">
        <v>711433.4</v>
      </c>
      <c r="Z35" s="15" t="n">
        <v>3805514.34</v>
      </c>
      <c r="AA35" s="15" t="n">
        <v>2013657.34</v>
      </c>
      <c r="AB35" s="15" t="n">
        <v>1274605.29</v>
      </c>
      <c r="AC35" s="15" t="n">
        <v>437572.84</v>
      </c>
      <c r="AD35" s="15" t="n">
        <v>1192206.26</v>
      </c>
      <c r="AE35" s="15" t="n">
        <v>2846124.35</v>
      </c>
      <c r="AF35" s="15" t="n">
        <v>983766.59</v>
      </c>
      <c r="AG35" s="15" t="n">
        <v>2271205.02</v>
      </c>
      <c r="AH35" s="15" t="n">
        <v>499864.58</v>
      </c>
      <c r="AI35" s="15" t="n">
        <v>91753.62</v>
      </c>
      <c r="AJ35" s="15" t="n">
        <v>-192494.75</v>
      </c>
      <c r="AK35" s="15" t="n">
        <v>559840.78</v>
      </c>
      <c r="AL35" s="15" t="n">
        <v>4673683.69</v>
      </c>
      <c r="AM35" s="15" t="n">
        <v>1704166.91</v>
      </c>
      <c r="AN35" s="15" t="n">
        <v>1110844.19</v>
      </c>
      <c r="AO35" s="15" t="n">
        <v>67437.67999999999</v>
      </c>
      <c r="AP35" s="15" t="n">
        <v>179547.03</v>
      </c>
      <c r="AQ35" s="15" t="n">
        <v>3479118.1</v>
      </c>
      <c r="AR35" s="15" t="n">
        <v>480627.28</v>
      </c>
      <c r="AS35" s="15" t="n">
        <v>1441517.68</v>
      </c>
      <c r="AT35" s="15" t="n">
        <v>841623.49</v>
      </c>
      <c r="AU35" s="15" t="n">
        <v>177148.9</v>
      </c>
      <c r="AV35" s="15" t="n">
        <v>1209654.18</v>
      </c>
      <c r="AW35" s="15" t="n">
        <v>1671487.44</v>
      </c>
      <c r="AX35" s="15" t="n">
        <v>2316365.98</v>
      </c>
      <c r="AY35" s="15" t="n">
        <v>270139.25</v>
      </c>
      <c r="AZ35" s="15" t="n">
        <v>290458.52</v>
      </c>
      <c r="BA35" s="15" t="n">
        <v>355129.25</v>
      </c>
      <c r="BB35" s="15" t="n">
        <v>1285551.34</v>
      </c>
      <c r="BC35" s="15" t="n">
        <v>2686380.26</v>
      </c>
      <c r="BD35" s="15" t="n">
        <v>2808091.57</v>
      </c>
      <c r="BE35" s="15" t="n">
        <v>456234.81</v>
      </c>
      <c r="BF35" s="15" t="n">
        <v>86071.5</v>
      </c>
      <c r="BG35" s="15" t="n">
        <v>121557.73</v>
      </c>
      <c r="BH35" s="15" t="n">
        <v>1367174.52</v>
      </c>
      <c r="BI35" s="15" t="n">
        <v>2160211.07</v>
      </c>
      <c r="BJ35" s="15" t="n">
        <v>4914572.99</v>
      </c>
      <c r="BK35" s="15" t="n">
        <v>1365098.31</v>
      </c>
      <c r="BL35" s="15" t="n">
        <v>1611577.68</v>
      </c>
      <c r="BM35" s="15" t="n">
        <v>142209.87</v>
      </c>
      <c r="BN35" s="15" t="n">
        <v>407786.89</v>
      </c>
      <c r="BO35" s="15" t="n">
        <v>2527043.35</v>
      </c>
      <c r="BP35" s="15" t="n">
        <v>4549917.57</v>
      </c>
      <c r="BQ35" s="15" t="n">
        <v>760387.64</v>
      </c>
      <c r="BR35" s="15" t="n">
        <v>1675202.01</v>
      </c>
      <c r="BS35" s="15" t="n">
        <v>112514.96</v>
      </c>
      <c r="BT35" s="15" t="n">
        <v>-177968.73</v>
      </c>
      <c r="BU35" s="15" t="n">
        <v>1796592.25</v>
      </c>
      <c r="BV35" s="15" t="n">
        <v>2696335.73</v>
      </c>
      <c r="BW35" s="15" t="n">
        <v>385646.8</v>
      </c>
      <c r="BX35" s="15" t="n">
        <v>1746388.99</v>
      </c>
      <c r="BY35" s="15" t="n">
        <v>93176.36</v>
      </c>
      <c r="BZ35" s="15" t="n">
        <v>1091358.74</v>
      </c>
      <c r="CA35" s="15" t="n">
        <v>1930823.72</v>
      </c>
      <c r="CB35" s="15" t="n">
        <v>4651195.88</v>
      </c>
      <c r="CC35" s="15" t="n">
        <v>1171334.9</v>
      </c>
      <c r="CD35" s="15" t="n">
        <v>696375.26</v>
      </c>
      <c r="CE35" s="15" t="n">
        <v>441417.86</v>
      </c>
      <c r="CF35" s="15" t="n">
        <v>-90954.60000000001</v>
      </c>
      <c r="CG35" s="15" t="n">
        <v>3699840.1</v>
      </c>
      <c r="CH35" s="15" t="n">
        <v>1480839.16</v>
      </c>
      <c r="CI35" s="15" t="n">
        <v>2534091.21</v>
      </c>
      <c r="CJ35" s="15" t="n">
        <v>963717.25</v>
      </c>
      <c r="CK35" s="15" t="n">
        <v>136794.18</v>
      </c>
      <c r="CL35" s="15" t="n">
        <v>417930.19</v>
      </c>
      <c r="CM35" s="15" t="n">
        <v>2801985.39</v>
      </c>
      <c r="CN35" s="15" t="n">
        <v>1614957.14</v>
      </c>
      <c r="CO35" s="15" t="n">
        <v>732905.6</v>
      </c>
      <c r="CP35" s="15" t="n">
        <v>725670.37</v>
      </c>
      <c r="CQ35" s="15" t="n">
        <v>97072.06</v>
      </c>
      <c r="CR35" s="15" t="n">
        <v>553784.13</v>
      </c>
      <c r="CS35" s="15" t="n">
        <v>1257757.62</v>
      </c>
      <c r="CT35" s="15" t="n">
        <v>4053133.97</v>
      </c>
      <c r="CU35" s="15" t="n">
        <v>2053093.07</v>
      </c>
      <c r="CV35" s="15" t="n">
        <v>1899286.53</v>
      </c>
      <c r="CW35" s="15" t="n">
        <v>263921.92</v>
      </c>
      <c r="CX35" s="15" t="n">
        <v>48568.18</v>
      </c>
      <c r="CY35" s="15" t="n">
        <v>3435791.01</v>
      </c>
      <c r="CZ35" s="15" t="n">
        <v>783530.05</v>
      </c>
      <c r="DA35" s="15" t="n">
        <v>1292627.25</v>
      </c>
      <c r="DB35" s="15" t="n">
        <v>1690394.79</v>
      </c>
      <c r="DC35" s="15" t="n">
        <v>305736.42</v>
      </c>
      <c r="DD35" s="15" t="n">
        <v>1444140.12</v>
      </c>
      <c r="DE35" s="15" t="n">
        <v>2852208.93</v>
      </c>
      <c r="DF35" s="15" t="n">
        <v>4100222.71</v>
      </c>
      <c r="DG35" s="15" t="n">
        <v>1133982.94</v>
      </c>
      <c r="DH35" s="15" t="n">
        <v>226372.32</v>
      </c>
      <c r="DI35" s="15" t="n">
        <v>463490.97</v>
      </c>
      <c r="DJ35" s="15" t="n">
        <v>1192188.8</v>
      </c>
      <c r="DK35" s="15" t="n">
        <v>1313523.35</v>
      </c>
      <c r="DL35" s="15" t="n">
        <v>2220625</v>
      </c>
      <c r="DM35" s="15" t="n">
        <v>2685874.9</v>
      </c>
      <c r="DN35" s="15" t="n">
        <v>1578945.99</v>
      </c>
      <c r="DO35" s="15" t="n">
        <v>276288.59</v>
      </c>
      <c r="DP35" s="15" t="n">
        <v>385342.09</v>
      </c>
    </row>
    <row r="36">
      <c r="A36" s="4" t="inlineStr">
        <is>
          <t>川味底料</t>
        </is>
      </c>
      <c r="B36" s="15" t="n">
        <v>1666858.2</v>
      </c>
      <c r="C36" s="15" t="n">
        <v>1317805.39</v>
      </c>
      <c r="D36" s="15" t="n">
        <v>1477336.58</v>
      </c>
      <c r="E36" s="15" t="n">
        <v>252278.26</v>
      </c>
      <c r="F36" s="15" t="n">
        <v>-136968.73</v>
      </c>
      <c r="G36" s="15" t="n">
        <v>1523615.75</v>
      </c>
      <c r="H36" s="15" t="n">
        <v>3338991.9</v>
      </c>
      <c r="I36" s="15" t="n">
        <v>2267664.57</v>
      </c>
      <c r="J36" s="15" t="n">
        <v>1695913.03</v>
      </c>
      <c r="K36" s="15" t="n">
        <v>270708.22</v>
      </c>
      <c r="L36" s="15" t="n">
        <v>1449943.67</v>
      </c>
      <c r="M36" s="15" t="n">
        <v>2214816.86</v>
      </c>
      <c r="N36" s="15" t="n">
        <v>2569623.8</v>
      </c>
      <c r="O36" s="15" t="n">
        <v>675984.85</v>
      </c>
      <c r="P36" s="15" t="n">
        <v>154067.59</v>
      </c>
      <c r="Q36" s="15" t="n">
        <v>295617.4</v>
      </c>
      <c r="R36" s="15" t="n">
        <v>240600.7</v>
      </c>
      <c r="S36" s="15" t="n">
        <v>1348554.84</v>
      </c>
      <c r="T36" s="15" t="n">
        <v>396608.87</v>
      </c>
      <c r="U36" s="15" t="n">
        <v>2292642.37</v>
      </c>
      <c r="V36" s="15" t="n">
        <v>653675.79</v>
      </c>
      <c r="W36" s="15" t="n">
        <v>477004.77</v>
      </c>
      <c r="X36" s="15" t="n">
        <v>-112244.91</v>
      </c>
      <c r="Y36" s="15" t="n">
        <v>3693220.33</v>
      </c>
      <c r="Z36" s="15" t="n">
        <v>1566056.62</v>
      </c>
      <c r="AA36" s="15" t="n">
        <v>2251904.16</v>
      </c>
      <c r="AB36" s="15" t="n">
        <v>701323.09</v>
      </c>
      <c r="AC36" s="15" t="n">
        <v>109347.76</v>
      </c>
      <c r="AD36" s="15" t="n">
        <v>209776.31</v>
      </c>
      <c r="AE36" s="15" t="n">
        <v>889749.48</v>
      </c>
      <c r="AF36" s="15" t="n">
        <v>2748352.62</v>
      </c>
      <c r="AG36" s="15" t="n">
        <v>503145.83</v>
      </c>
      <c r="AH36" s="15" t="n">
        <v>615293.5600000001</v>
      </c>
      <c r="AI36" s="15" t="n">
        <v>486068.7</v>
      </c>
      <c r="AJ36" s="15" t="n">
        <v>411261.38</v>
      </c>
      <c r="AK36" s="15" t="n">
        <v>1173274.08</v>
      </c>
      <c r="AL36" s="15" t="n">
        <v>1673014.26</v>
      </c>
      <c r="AM36" s="15" t="n">
        <v>217573.82</v>
      </c>
      <c r="AN36" s="15" t="n">
        <v>172718.05</v>
      </c>
      <c r="AO36" s="15" t="n">
        <v>433151.96</v>
      </c>
      <c r="AP36" s="15" t="n">
        <v>1285442.53</v>
      </c>
      <c r="AQ36" s="15" t="n">
        <v>2912072.08</v>
      </c>
      <c r="AR36" s="15" t="n">
        <v>4280826.65</v>
      </c>
      <c r="AS36" s="15" t="n">
        <v>2819387.32</v>
      </c>
      <c r="AT36" s="15" t="n">
        <v>1283176.53</v>
      </c>
      <c r="AU36" s="15" t="n">
        <v>207189.97</v>
      </c>
      <c r="AV36" s="15" t="n">
        <v>710204.61</v>
      </c>
      <c r="AW36" s="15" t="n">
        <v>109620.53</v>
      </c>
      <c r="AX36" s="15" t="n">
        <v>3235197.42</v>
      </c>
      <c r="AY36" s="15" t="n">
        <v>2424049.03</v>
      </c>
      <c r="AZ36" s="15" t="n">
        <v>1923798.28</v>
      </c>
      <c r="BA36" s="15" t="n">
        <v>497731.41</v>
      </c>
      <c r="BB36" s="15" t="n">
        <v>1056275.54</v>
      </c>
      <c r="BC36" s="15" t="n">
        <v>3639348.18</v>
      </c>
      <c r="BD36" s="15" t="n">
        <v>2373537.58</v>
      </c>
      <c r="BE36" s="15" t="n">
        <v>1169956.04</v>
      </c>
      <c r="BF36" s="15" t="n">
        <v>1336883.26</v>
      </c>
      <c r="BG36" s="15" t="n">
        <v>376246.12</v>
      </c>
      <c r="BH36" s="15" t="n">
        <v>462462.31</v>
      </c>
      <c r="BI36" s="15" t="n">
        <v>709962.75</v>
      </c>
      <c r="BJ36" s="15" t="n">
        <v>4655397.26</v>
      </c>
      <c r="BK36" s="15" t="n">
        <v>1563071.77</v>
      </c>
      <c r="BL36" s="15" t="n">
        <v>1271235.7</v>
      </c>
      <c r="BM36" s="15" t="n">
        <v>294202.75</v>
      </c>
      <c r="BN36" s="15" t="n">
        <v>586578.17</v>
      </c>
      <c r="BO36" s="15" t="n">
        <v>2964479.2</v>
      </c>
      <c r="BP36" s="15" t="n">
        <v>2458867.45</v>
      </c>
      <c r="BQ36" s="15" t="n">
        <v>2186616.83</v>
      </c>
      <c r="BR36" s="15" t="n">
        <v>376129.22</v>
      </c>
      <c r="BS36" s="15" t="n">
        <v>447211.02</v>
      </c>
      <c r="BT36" s="15" t="n">
        <v>166519.9</v>
      </c>
      <c r="BU36" s="15" t="n">
        <v>1920020.3</v>
      </c>
      <c r="BV36" s="15" t="n">
        <v>1124677.06</v>
      </c>
      <c r="BW36" s="15" t="n">
        <v>1696137.16</v>
      </c>
      <c r="BX36" s="15" t="n">
        <v>1309875.96</v>
      </c>
      <c r="BY36" s="15" t="n">
        <v>146763.51</v>
      </c>
      <c r="BZ36" s="15" t="n">
        <v>752452.85</v>
      </c>
      <c r="CA36" s="15" t="n">
        <v>1820089.61</v>
      </c>
      <c r="CB36" s="15" t="n">
        <v>4364278.63</v>
      </c>
      <c r="CC36" s="15" t="n">
        <v>605137.26</v>
      </c>
      <c r="CD36" s="15" t="n">
        <v>1062686.67</v>
      </c>
      <c r="CE36" s="15" t="n">
        <v>289690.83</v>
      </c>
      <c r="CF36" s="15" t="n">
        <v>1275284.25</v>
      </c>
      <c r="CG36" s="15" t="n">
        <v>3678586.13</v>
      </c>
      <c r="CH36" s="15" t="n">
        <v>4002974.9</v>
      </c>
      <c r="CI36" s="15" t="n">
        <v>515750.02</v>
      </c>
      <c r="CJ36" s="15" t="n">
        <v>1453329.94</v>
      </c>
      <c r="CK36" s="15" t="n">
        <v>476197.01</v>
      </c>
      <c r="CL36" s="15" t="n">
        <v>-46530.11</v>
      </c>
      <c r="CM36" s="15" t="n">
        <v>3193207.43</v>
      </c>
      <c r="CN36" s="15" t="n">
        <v>4818758.42</v>
      </c>
      <c r="CO36" s="15" t="n">
        <v>2803488.01</v>
      </c>
      <c r="CP36" s="15" t="n">
        <v>1409361.63</v>
      </c>
      <c r="CQ36" s="15" t="n">
        <v>78353.98</v>
      </c>
      <c r="CR36" s="15" t="n">
        <v>1081235.35</v>
      </c>
      <c r="CS36" s="15" t="n">
        <v>83827.39</v>
      </c>
      <c r="CT36" s="15" t="n">
        <v>4701281.71</v>
      </c>
      <c r="CU36" s="15" t="n">
        <v>2996635.24</v>
      </c>
      <c r="CV36" s="15" t="n">
        <v>795679.98</v>
      </c>
      <c r="CW36" s="15" t="n">
        <v>180773.61</v>
      </c>
      <c r="CX36" s="15" t="n">
        <v>964845.29</v>
      </c>
      <c r="CY36" s="15" t="n">
        <v>1062766.94</v>
      </c>
      <c r="CZ36" s="15" t="n">
        <v>3688488.35</v>
      </c>
      <c r="DA36" s="15" t="n">
        <v>2739621.85</v>
      </c>
      <c r="DB36" s="15" t="n">
        <v>733850.95</v>
      </c>
      <c r="DC36" s="15" t="n">
        <v>177445.73</v>
      </c>
      <c r="DD36" s="15" t="n">
        <v>272948.1</v>
      </c>
      <c r="DE36" s="15" t="n">
        <v>3385784.73</v>
      </c>
      <c r="DF36" s="15" t="n">
        <v>3103289.1</v>
      </c>
      <c r="DG36" s="15" t="n">
        <v>995794.92</v>
      </c>
      <c r="DH36" s="15" t="n">
        <v>1797131.13</v>
      </c>
      <c r="DI36" s="15" t="n">
        <v>445030.32</v>
      </c>
      <c r="DJ36" s="15" t="n">
        <v>1357774.33</v>
      </c>
      <c r="DK36" s="15" t="n">
        <v>415309.73</v>
      </c>
      <c r="DL36" s="15" t="n">
        <v>3852530.72</v>
      </c>
      <c r="DM36" s="15" t="n">
        <v>210427.92</v>
      </c>
      <c r="DN36" s="15" t="n">
        <v>479839.97</v>
      </c>
      <c r="DO36" s="15" t="n">
        <v>207145.16</v>
      </c>
      <c r="DP36" s="15" t="n">
        <v>-152416.87</v>
      </c>
    </row>
    <row r="37">
      <c r="A37" s="4" t="inlineStr">
        <is>
          <t>调味汁</t>
        </is>
      </c>
      <c r="B37" s="15" t="n">
        <v>4532436.8</v>
      </c>
      <c r="C37" s="15" t="n">
        <v>526029.3100000001</v>
      </c>
      <c r="D37" s="15" t="n">
        <v>318311.91</v>
      </c>
      <c r="E37" s="15" t="n">
        <v>242673.29</v>
      </c>
      <c r="F37" s="15" t="n">
        <v>354851.92</v>
      </c>
      <c r="G37" s="15" t="n">
        <v>1266837.21</v>
      </c>
      <c r="H37" s="15" t="n">
        <v>3100628.77</v>
      </c>
      <c r="I37" s="15" t="n">
        <v>966553.98</v>
      </c>
      <c r="J37" s="15" t="n">
        <v>904618.84</v>
      </c>
      <c r="K37" s="15" t="n">
        <v>408528.85</v>
      </c>
      <c r="L37" s="15" t="n">
        <v>729328.0600000001</v>
      </c>
      <c r="M37" s="15" t="n">
        <v>1570789.1</v>
      </c>
      <c r="N37" s="15" t="n">
        <v>2270841.31</v>
      </c>
      <c r="O37" s="15" t="n">
        <v>1314299.05</v>
      </c>
      <c r="P37" s="15" t="n">
        <v>1590547.44</v>
      </c>
      <c r="Q37" s="15" t="n">
        <v>296264.52</v>
      </c>
      <c r="R37" s="15" t="n">
        <v>542366.65</v>
      </c>
      <c r="S37" s="15" t="n">
        <v>625984.34</v>
      </c>
      <c r="T37" s="15" t="n">
        <v>1054024.87</v>
      </c>
      <c r="U37" s="15" t="n">
        <v>2351614.38</v>
      </c>
      <c r="V37" s="15" t="n">
        <v>1591637.26</v>
      </c>
      <c r="W37" s="15" t="n">
        <v>39244.46</v>
      </c>
      <c r="X37" s="15" t="n">
        <v>510304.67</v>
      </c>
      <c r="Y37" s="15" t="n">
        <v>3413701.35</v>
      </c>
      <c r="Z37" s="15" t="n">
        <v>2098136.78</v>
      </c>
      <c r="AA37" s="15" t="n">
        <v>1636565.62</v>
      </c>
      <c r="AB37" s="15" t="n">
        <v>784150.63</v>
      </c>
      <c r="AC37" s="15" t="n">
        <v>480603.65</v>
      </c>
      <c r="AD37" s="15" t="n">
        <v>157555.98</v>
      </c>
      <c r="AE37" s="15" t="n">
        <v>1797955.48</v>
      </c>
      <c r="AF37" s="15" t="n">
        <v>347640.44</v>
      </c>
      <c r="AG37" s="15" t="n">
        <v>2059445.06</v>
      </c>
      <c r="AH37" s="15" t="n">
        <v>1651530.98</v>
      </c>
      <c r="AI37" s="15" t="n">
        <v>472146.37</v>
      </c>
      <c r="AJ37" s="15" t="n">
        <v>97226.25999999999</v>
      </c>
      <c r="AK37" s="15" t="n">
        <v>159516.09</v>
      </c>
      <c r="AL37" s="15" t="n">
        <v>932992.5600000001</v>
      </c>
      <c r="AM37" s="15" t="n">
        <v>1122811.79</v>
      </c>
      <c r="AN37" s="15" t="n">
        <v>889937.13</v>
      </c>
      <c r="AO37" s="15" t="n">
        <v>265125.98</v>
      </c>
      <c r="AP37" s="15" t="n">
        <v>1145421.33</v>
      </c>
      <c r="AQ37" s="15" t="n">
        <v>2588292.17</v>
      </c>
      <c r="AR37" s="15" t="n">
        <v>2035795.27</v>
      </c>
      <c r="AS37" s="15" t="n">
        <v>2802751.27</v>
      </c>
      <c r="AT37" s="15" t="n">
        <v>1335471.74</v>
      </c>
      <c r="AU37" s="15" t="n">
        <v>202536.5</v>
      </c>
      <c r="AV37" s="15" t="n">
        <v>-67342.00999999999</v>
      </c>
      <c r="AW37" s="15" t="n">
        <v>873240.97</v>
      </c>
      <c r="AX37" s="15" t="n">
        <v>180586.64</v>
      </c>
      <c r="AY37" s="15" t="n">
        <v>1689080.95</v>
      </c>
      <c r="AZ37" s="15" t="n">
        <v>787140.91</v>
      </c>
      <c r="BA37" s="15" t="n">
        <v>60532.62</v>
      </c>
      <c r="BB37" s="15" t="n">
        <v>68085.55</v>
      </c>
      <c r="BC37" s="15" t="n">
        <v>1624995.61</v>
      </c>
      <c r="BD37" s="15" t="n">
        <v>4471587.47</v>
      </c>
      <c r="BE37" s="15" t="n">
        <v>1571599.57</v>
      </c>
      <c r="BF37" s="15" t="n">
        <v>48277.37</v>
      </c>
      <c r="BG37" s="15" t="n">
        <v>472894.23</v>
      </c>
      <c r="BH37" s="15" t="n">
        <v>991697.84</v>
      </c>
      <c r="BI37" s="15" t="n">
        <v>1668484.5</v>
      </c>
      <c r="BJ37" s="15" t="n">
        <v>3082458.96</v>
      </c>
      <c r="BK37" s="15" t="n">
        <v>1575766.03</v>
      </c>
      <c r="BL37" s="15" t="n">
        <v>1623683.7</v>
      </c>
      <c r="BM37" s="15" t="n">
        <v>393615.84</v>
      </c>
      <c r="BN37" s="15" t="n">
        <v>934733.52</v>
      </c>
      <c r="BO37" s="15" t="n">
        <v>1182647.77</v>
      </c>
      <c r="BP37" s="15" t="n">
        <v>495606.95</v>
      </c>
      <c r="BQ37" s="15" t="n">
        <v>325496.36</v>
      </c>
      <c r="BR37" s="15" t="n">
        <v>1617888.54</v>
      </c>
      <c r="BS37" s="15" t="n">
        <v>127375.72</v>
      </c>
      <c r="BT37" s="15" t="n">
        <v>1250496.92</v>
      </c>
      <c r="BU37" s="15" t="n">
        <v>2852868.49</v>
      </c>
      <c r="BV37" s="15" t="n">
        <v>4306393.37</v>
      </c>
      <c r="BW37" s="15" t="n">
        <v>2058647.72</v>
      </c>
      <c r="BX37" s="15" t="n">
        <v>472901.3</v>
      </c>
      <c r="BY37" s="15" t="n">
        <v>56558.47</v>
      </c>
      <c r="BZ37" s="15" t="n">
        <v>1012660.34</v>
      </c>
      <c r="CA37" s="15" t="n">
        <v>2783520.58</v>
      </c>
      <c r="CB37" s="15" t="n">
        <v>2002126.97</v>
      </c>
      <c r="CC37" s="15" t="n">
        <v>750513.35</v>
      </c>
      <c r="CD37" s="15" t="n">
        <v>763183.98</v>
      </c>
      <c r="CE37" s="15" t="n">
        <v>97672.61</v>
      </c>
      <c r="CF37" s="15" t="n">
        <v>1077953.99</v>
      </c>
      <c r="CG37" s="15" t="n">
        <v>643215.0699999999</v>
      </c>
      <c r="CH37" s="15" t="n">
        <v>1443195.55</v>
      </c>
      <c r="CI37" s="15" t="n">
        <v>2521032.14</v>
      </c>
      <c r="CJ37" s="15" t="n">
        <v>625933.5699999999</v>
      </c>
      <c r="CK37" s="15" t="n">
        <v>152151.1</v>
      </c>
      <c r="CL37" s="15" t="n">
        <v>-195477.07</v>
      </c>
      <c r="CM37" s="15" t="n">
        <v>2571791.01</v>
      </c>
      <c r="CN37" s="15" t="n">
        <v>2323202.56</v>
      </c>
      <c r="CO37" s="15" t="n">
        <v>2746537</v>
      </c>
      <c r="CP37" s="15" t="n">
        <v>1710002.38</v>
      </c>
      <c r="CQ37" s="15" t="n">
        <v>195397.61</v>
      </c>
      <c r="CR37" s="15" t="n">
        <v>76830.24000000001</v>
      </c>
      <c r="CS37" s="15" t="n">
        <v>2333753.78</v>
      </c>
      <c r="CT37" s="15" t="n">
        <v>472167.5</v>
      </c>
      <c r="CU37" s="15" t="n">
        <v>2522352.14</v>
      </c>
      <c r="CV37" s="15" t="n">
        <v>1275032.61</v>
      </c>
      <c r="CW37" s="15" t="n">
        <v>260610.56</v>
      </c>
      <c r="CX37" s="15" t="n">
        <v>695982.79</v>
      </c>
      <c r="CY37" s="15" t="n">
        <v>392811.37</v>
      </c>
      <c r="CZ37" s="15" t="n">
        <v>1974983.76</v>
      </c>
      <c r="DA37" s="15" t="n">
        <v>2948341.2</v>
      </c>
      <c r="DB37" s="15" t="n">
        <v>840852.6</v>
      </c>
      <c r="DC37" s="15" t="n">
        <v>31442.14</v>
      </c>
      <c r="DD37" s="15" t="n">
        <v>921701.39</v>
      </c>
      <c r="DE37" s="15" t="n">
        <v>315726.02</v>
      </c>
      <c r="DF37" s="15" t="n">
        <v>4344894.81</v>
      </c>
      <c r="DG37" s="15" t="n">
        <v>2679569.93</v>
      </c>
      <c r="DH37" s="15" t="n">
        <v>606464.6</v>
      </c>
      <c r="DI37" s="15" t="n">
        <v>299657.53</v>
      </c>
      <c r="DJ37" s="15" t="n">
        <v>883141.89</v>
      </c>
      <c r="DK37" s="15" t="n">
        <v>1813414.42</v>
      </c>
      <c r="DL37" s="15" t="n">
        <v>3101167.54</v>
      </c>
      <c r="DM37" s="15" t="n">
        <v>1046371.35</v>
      </c>
      <c r="DN37" s="15" t="n">
        <v>1032002.47</v>
      </c>
      <c r="DO37" s="15" t="n">
        <v>320759.27</v>
      </c>
      <c r="DP37" s="15" t="n">
        <v>-19881.09</v>
      </c>
    </row>
    <row r="38">
      <c r="A38" s="4" t="inlineStr">
        <is>
          <t>复合调味粉</t>
        </is>
      </c>
      <c r="B38" s="15" t="n">
        <v>4131849.72</v>
      </c>
      <c r="C38" s="15" t="n">
        <v>1176420.53</v>
      </c>
      <c r="D38" s="15" t="n">
        <v>1644882.51</v>
      </c>
      <c r="E38" s="15" t="n">
        <v>451747.08</v>
      </c>
      <c r="F38" s="15" t="n">
        <v>271675.67</v>
      </c>
      <c r="G38" s="15" t="n">
        <v>3860462.99</v>
      </c>
      <c r="H38" s="15" t="n">
        <v>2140424.6</v>
      </c>
      <c r="I38" s="15" t="n">
        <v>1901870.28</v>
      </c>
      <c r="J38" s="15" t="n">
        <v>1100464.07</v>
      </c>
      <c r="K38" s="15" t="n">
        <v>151066.22</v>
      </c>
      <c r="L38" s="15" t="n">
        <v>1477477.07</v>
      </c>
      <c r="M38" s="15" t="n">
        <v>3504670.29</v>
      </c>
      <c r="N38" s="15" t="n">
        <v>1182159.47</v>
      </c>
      <c r="O38" s="15" t="n">
        <v>2493470.28</v>
      </c>
      <c r="P38" s="15" t="n">
        <v>1820171.7</v>
      </c>
      <c r="Q38" s="15" t="n">
        <v>220981</v>
      </c>
      <c r="R38" s="15" t="n">
        <v>-104836.84</v>
      </c>
      <c r="S38" s="15" t="n">
        <v>776583.58</v>
      </c>
      <c r="T38" s="15" t="n">
        <v>3448144.33</v>
      </c>
      <c r="U38" s="15" t="n">
        <v>509456.31</v>
      </c>
      <c r="V38" s="15" t="n">
        <v>438689.52</v>
      </c>
      <c r="W38" s="15" t="n">
        <v>267167.6</v>
      </c>
      <c r="X38" s="15" t="n">
        <v>131571.66</v>
      </c>
      <c r="Y38" s="15" t="n">
        <v>1123020.89</v>
      </c>
      <c r="Z38" s="15" t="n">
        <v>1345794.94</v>
      </c>
      <c r="AA38" s="15" t="n">
        <v>2516248.17</v>
      </c>
      <c r="AB38" s="15" t="n">
        <v>932611.74</v>
      </c>
      <c r="AC38" s="15" t="n">
        <v>402123.91</v>
      </c>
      <c r="AD38" s="15" t="n">
        <v>891806.47</v>
      </c>
      <c r="AE38" s="15" t="n">
        <v>140021.78</v>
      </c>
      <c r="AF38" s="15" t="n">
        <v>2373868.26</v>
      </c>
      <c r="AG38" s="15" t="n">
        <v>564317.03</v>
      </c>
      <c r="AH38" s="15" t="n">
        <v>1041303.36</v>
      </c>
      <c r="AI38" s="15" t="n">
        <v>21749.33</v>
      </c>
      <c r="AJ38" s="15" t="n">
        <v>214600.9</v>
      </c>
      <c r="AK38" s="15" t="n">
        <v>2662416.29</v>
      </c>
      <c r="AL38" s="15" t="n">
        <v>4953300.78</v>
      </c>
      <c r="AM38" s="15" t="n">
        <v>1937760.3</v>
      </c>
      <c r="AN38" s="15" t="n">
        <v>1503077.57</v>
      </c>
      <c r="AO38" s="15" t="n">
        <v>421861.43</v>
      </c>
      <c r="AP38" s="15" t="n">
        <v>537325.88</v>
      </c>
      <c r="AQ38" s="15" t="n">
        <v>449600.81</v>
      </c>
      <c r="AR38" s="15" t="n">
        <v>2750352.55</v>
      </c>
      <c r="AS38" s="15" t="n">
        <v>747915.8100000001</v>
      </c>
      <c r="AT38" s="15" t="n">
        <v>460303.14</v>
      </c>
      <c r="AU38" s="15" t="n">
        <v>107608.24</v>
      </c>
      <c r="AV38" s="15" t="n">
        <v>7499.98</v>
      </c>
      <c r="AW38" s="15" t="n">
        <v>3074720.65</v>
      </c>
      <c r="AX38" s="15" t="n">
        <v>1348149.79</v>
      </c>
      <c r="AY38" s="15" t="n">
        <v>1750238.35</v>
      </c>
      <c r="AZ38" s="15" t="n">
        <v>647242.99</v>
      </c>
      <c r="BA38" s="15" t="n">
        <v>135179.17</v>
      </c>
      <c r="BB38" s="15" t="n">
        <v>1177643.15</v>
      </c>
      <c r="BC38" s="15" t="n">
        <v>749162</v>
      </c>
      <c r="BD38" s="15" t="n">
        <v>4603639.94</v>
      </c>
      <c r="BE38" s="15" t="n">
        <v>2607116.66</v>
      </c>
      <c r="BF38" s="15" t="n">
        <v>1396100.59</v>
      </c>
      <c r="BG38" s="15" t="n">
        <v>153426.33</v>
      </c>
      <c r="BH38" s="15" t="n">
        <v>1089342.64</v>
      </c>
      <c r="BI38" s="15" t="n">
        <v>776870.66</v>
      </c>
      <c r="BJ38" s="15" t="n">
        <v>128354.07</v>
      </c>
      <c r="BK38" s="15" t="n">
        <v>2362028.2</v>
      </c>
      <c r="BL38" s="15" t="n">
        <v>1025137.7</v>
      </c>
      <c r="BM38" s="15" t="n">
        <v>339022.07</v>
      </c>
      <c r="BN38" s="15" t="n">
        <v>733086.1899999999</v>
      </c>
      <c r="BO38" s="15" t="n">
        <v>1477628.62</v>
      </c>
      <c r="BP38" s="15" t="n">
        <v>3302519.75</v>
      </c>
      <c r="BQ38" s="15" t="n">
        <v>199822.47</v>
      </c>
      <c r="BR38" s="15" t="n">
        <v>1181289.55</v>
      </c>
      <c r="BS38" s="15" t="n">
        <v>499709.85</v>
      </c>
      <c r="BT38" s="15" t="n">
        <v>402165.74</v>
      </c>
      <c r="BU38" s="15" t="n">
        <v>513797.63</v>
      </c>
      <c r="BV38" s="15" t="n">
        <v>2258388.33</v>
      </c>
      <c r="BW38" s="15" t="n">
        <v>1213879.5</v>
      </c>
      <c r="BX38" s="15" t="n">
        <v>27099.15</v>
      </c>
      <c r="BY38" s="15" t="n">
        <v>486372.77</v>
      </c>
      <c r="BZ38" s="15" t="n">
        <v>68468.58</v>
      </c>
      <c r="CA38" s="15" t="n">
        <v>2460527.13</v>
      </c>
      <c r="CB38" s="15" t="n">
        <v>914598.3100000001</v>
      </c>
      <c r="CC38" s="15" t="n">
        <v>2896689.98</v>
      </c>
      <c r="CD38" s="15" t="n">
        <v>1705054.32</v>
      </c>
      <c r="CE38" s="15" t="n">
        <v>382029.34</v>
      </c>
      <c r="CF38" s="15" t="n">
        <v>611285.01</v>
      </c>
      <c r="CG38" s="15" t="n">
        <v>973654.36</v>
      </c>
      <c r="CH38" s="15" t="n">
        <v>3591031.46</v>
      </c>
      <c r="CI38" s="15" t="n">
        <v>878958.98</v>
      </c>
      <c r="CJ38" s="15" t="n">
        <v>1837716.67</v>
      </c>
      <c r="CK38" s="15" t="n">
        <v>41044.11</v>
      </c>
      <c r="CL38" s="15" t="n">
        <v>1308581.9</v>
      </c>
      <c r="CM38" s="15" t="n">
        <v>1237757.76</v>
      </c>
      <c r="CN38" s="15" t="n">
        <v>365467.06</v>
      </c>
      <c r="CO38" s="15" t="n">
        <v>2465907.1</v>
      </c>
      <c r="CP38" s="15" t="n">
        <v>1382238.39</v>
      </c>
      <c r="CQ38" s="15" t="n">
        <v>92695.19</v>
      </c>
      <c r="CR38" s="15" t="n">
        <v>-122093.27</v>
      </c>
      <c r="CS38" s="15" t="n">
        <v>3042211.64</v>
      </c>
      <c r="CT38" s="15" t="n">
        <v>2483085.25</v>
      </c>
      <c r="CU38" s="15" t="n">
        <v>1825041.01</v>
      </c>
      <c r="CV38" s="15" t="n">
        <v>1631885.96</v>
      </c>
      <c r="CW38" s="15" t="n">
        <v>396280.31</v>
      </c>
      <c r="CX38" s="15" t="n">
        <v>207504.54</v>
      </c>
      <c r="CY38" s="15" t="n">
        <v>982986.92</v>
      </c>
      <c r="CZ38" s="15" t="n">
        <v>4805385.78</v>
      </c>
      <c r="DA38" s="15" t="n">
        <v>929322.16</v>
      </c>
      <c r="DB38" s="15" t="n">
        <v>1522191.61</v>
      </c>
      <c r="DC38" s="15" t="n">
        <v>466492.69</v>
      </c>
      <c r="DD38" s="15" t="n">
        <v>1453948.36</v>
      </c>
      <c r="DE38" s="15" t="n">
        <v>2742347.76</v>
      </c>
      <c r="DF38" s="15" t="n">
        <v>1236645.81</v>
      </c>
      <c r="DG38" s="15" t="n">
        <v>1948534.01</v>
      </c>
      <c r="DH38" s="15" t="n">
        <v>722464.5699999999</v>
      </c>
      <c r="DI38" s="15" t="n">
        <v>113138.49</v>
      </c>
      <c r="DJ38" s="15" t="n">
        <v>792854.39</v>
      </c>
      <c r="DK38" s="15" t="n">
        <v>1122787.31</v>
      </c>
      <c r="DL38" s="15" t="n">
        <v>4230586.02</v>
      </c>
      <c r="DM38" s="15" t="n">
        <v>1712698.35</v>
      </c>
      <c r="DN38" s="15" t="n">
        <v>725597.5699999999</v>
      </c>
      <c r="DO38" s="15" t="n">
        <v>267027.1</v>
      </c>
      <c r="DP38" s="15" t="n">
        <v>124831.44</v>
      </c>
    </row>
    <row r="39">
      <c r="A39" s="4" t="inlineStr">
        <is>
          <t>团餐</t>
        </is>
      </c>
      <c r="B39" s="15" t="n">
        <v>4928164.87</v>
      </c>
      <c r="C39" s="15" t="n">
        <v>1596846.36</v>
      </c>
      <c r="D39" s="15" t="n">
        <v>1288320.08</v>
      </c>
      <c r="E39" s="15" t="n">
        <v>412354.21</v>
      </c>
      <c r="F39" s="15" t="n">
        <v>288719.78</v>
      </c>
      <c r="G39" s="15" t="n">
        <v>1692941.61</v>
      </c>
      <c r="H39" s="15" t="n">
        <v>1304380.76</v>
      </c>
      <c r="I39" s="15" t="n">
        <v>436442.48</v>
      </c>
      <c r="J39" s="15" t="n">
        <v>1304722.04</v>
      </c>
      <c r="K39" s="15" t="n">
        <v>262517.74</v>
      </c>
      <c r="L39" s="15" t="n">
        <v>1180635.03</v>
      </c>
      <c r="M39" s="15" t="n">
        <v>1384183.73</v>
      </c>
      <c r="N39" s="15" t="n">
        <v>380408.02</v>
      </c>
      <c r="O39" s="15" t="n">
        <v>2499828.58</v>
      </c>
      <c r="P39" s="15" t="n">
        <v>1875960.6</v>
      </c>
      <c r="Q39" s="15" t="n">
        <v>260467.2</v>
      </c>
      <c r="R39" s="15" t="n">
        <v>642481.76</v>
      </c>
      <c r="S39" s="15" t="n">
        <v>494765.93</v>
      </c>
      <c r="T39" s="15" t="n">
        <v>2964301.65</v>
      </c>
      <c r="U39" s="15" t="n">
        <v>2518627.14</v>
      </c>
      <c r="V39" s="15" t="n">
        <v>253478.52</v>
      </c>
      <c r="W39" s="15" t="n">
        <v>71376.09</v>
      </c>
      <c r="X39" s="15" t="n">
        <v>159386.24</v>
      </c>
      <c r="Y39" s="15" t="n">
        <v>1993848.34</v>
      </c>
      <c r="Z39" s="15" t="n">
        <v>613386.0600000001</v>
      </c>
      <c r="AA39" s="15" t="n">
        <v>1866009.66</v>
      </c>
      <c r="AB39" s="15" t="n">
        <v>976938.96</v>
      </c>
      <c r="AC39" s="15" t="n">
        <v>151580.75</v>
      </c>
      <c r="AD39" s="15" t="n">
        <v>599884.48</v>
      </c>
      <c r="AE39" s="15" t="n">
        <v>2788220.08</v>
      </c>
      <c r="AF39" s="15" t="n">
        <v>2883200.42</v>
      </c>
      <c r="AG39" s="15" t="n">
        <v>2093936.13</v>
      </c>
      <c r="AH39" s="15" t="n">
        <v>953897.74</v>
      </c>
      <c r="AI39" s="15" t="n">
        <v>247368.3</v>
      </c>
      <c r="AJ39" s="15" t="n">
        <v>227421.47</v>
      </c>
      <c r="AK39" s="15" t="n">
        <v>2879885.58</v>
      </c>
      <c r="AL39" s="15" t="n">
        <v>244857.15</v>
      </c>
      <c r="AM39" s="15" t="n">
        <v>2147474.18</v>
      </c>
      <c r="AN39" s="15" t="n">
        <v>725958.6800000001</v>
      </c>
      <c r="AO39" s="15" t="n">
        <v>268657.92</v>
      </c>
      <c r="AP39" s="15" t="n">
        <v>1312429.62</v>
      </c>
      <c r="AQ39" s="15" t="n">
        <v>2776198.98</v>
      </c>
      <c r="AR39" s="15" t="n">
        <v>4585247.81</v>
      </c>
      <c r="AS39" s="15" t="n">
        <v>1618074.39</v>
      </c>
      <c r="AT39" s="15" t="n">
        <v>672516.74</v>
      </c>
      <c r="AU39" s="15" t="n">
        <v>467381.39</v>
      </c>
      <c r="AV39" s="15" t="n">
        <v>1082330.52</v>
      </c>
      <c r="AW39" s="15" t="n">
        <v>1957142.3</v>
      </c>
      <c r="AX39" s="15" t="n">
        <v>3925591.8</v>
      </c>
      <c r="AY39" s="15" t="n">
        <v>1820694</v>
      </c>
      <c r="AZ39" s="15" t="n">
        <v>821625.4</v>
      </c>
      <c r="BA39" s="15" t="n">
        <v>473358.09</v>
      </c>
      <c r="BB39" s="15" t="n">
        <v>552221.66</v>
      </c>
      <c r="BC39" s="15" t="n">
        <v>938957.96</v>
      </c>
      <c r="BD39" s="15" t="n">
        <v>1954383.23</v>
      </c>
      <c r="BE39" s="15" t="n">
        <v>230669.86</v>
      </c>
      <c r="BF39" s="15" t="n">
        <v>598525.25</v>
      </c>
      <c r="BG39" s="15" t="n">
        <v>442006.56</v>
      </c>
      <c r="BH39" s="15" t="n">
        <v>598937.86</v>
      </c>
      <c r="BI39" s="15" t="n">
        <v>485864.7</v>
      </c>
      <c r="BJ39" s="15" t="n">
        <v>132732.19</v>
      </c>
      <c r="BK39" s="15" t="n">
        <v>370533.95</v>
      </c>
      <c r="BL39" s="15" t="n">
        <v>23112.78</v>
      </c>
      <c r="BM39" s="15" t="n">
        <v>223814.65</v>
      </c>
      <c r="BN39" s="15" t="n">
        <v>810160.5</v>
      </c>
      <c r="BO39" s="15" t="n">
        <v>2044197.08</v>
      </c>
      <c r="BP39" s="15" t="n">
        <v>853867.3</v>
      </c>
      <c r="BQ39" s="15" t="n">
        <v>2530170.32</v>
      </c>
      <c r="BR39" s="15" t="n">
        <v>282862.31</v>
      </c>
      <c r="BS39" s="15" t="n">
        <v>271404.42</v>
      </c>
      <c r="BT39" s="15" t="n">
        <v>1404998.86</v>
      </c>
      <c r="BU39" s="15" t="n">
        <v>2530587.55</v>
      </c>
      <c r="BV39" s="15" t="n">
        <v>123260.98</v>
      </c>
      <c r="BW39" s="15" t="n">
        <v>694878.37</v>
      </c>
      <c r="BX39" s="15" t="n">
        <v>509191.96</v>
      </c>
      <c r="BY39" s="15" t="n">
        <v>188857.66</v>
      </c>
      <c r="BZ39" s="15" t="n">
        <v>483661.47</v>
      </c>
      <c r="CA39" s="15" t="n">
        <v>615990.87</v>
      </c>
      <c r="CB39" s="15" t="n">
        <v>3077732.03</v>
      </c>
      <c r="CC39" s="15" t="n">
        <v>2143141.69</v>
      </c>
      <c r="CD39" s="15" t="n">
        <v>976639.36</v>
      </c>
      <c r="CE39" s="15" t="n">
        <v>226166.88</v>
      </c>
      <c r="CF39" s="15" t="n">
        <v>25077.69</v>
      </c>
      <c r="CG39" s="15" t="n">
        <v>3678682.17</v>
      </c>
      <c r="CH39" s="15" t="n">
        <v>2151804.9</v>
      </c>
      <c r="CI39" s="15" t="n">
        <v>911627.12</v>
      </c>
      <c r="CJ39" s="15" t="n">
        <v>1126660.72</v>
      </c>
      <c r="CK39" s="15" t="n">
        <v>35146.67</v>
      </c>
      <c r="CL39" s="15" t="n">
        <v>932946.96</v>
      </c>
      <c r="CM39" s="15" t="n">
        <v>466696.8</v>
      </c>
      <c r="CN39" s="15" t="n">
        <v>1061863</v>
      </c>
      <c r="CO39" s="15" t="n">
        <v>1441448.28</v>
      </c>
      <c r="CP39" s="15" t="n">
        <v>157605.11</v>
      </c>
      <c r="CQ39" s="15" t="n">
        <v>164398.47</v>
      </c>
      <c r="CR39" s="15" t="n">
        <v>244762.22</v>
      </c>
      <c r="CS39" s="15" t="n">
        <v>2618299.41</v>
      </c>
      <c r="CT39" s="15" t="n">
        <v>428573.86</v>
      </c>
      <c r="CU39" s="15" t="n">
        <v>1054610.91</v>
      </c>
      <c r="CV39" s="15" t="n">
        <v>985219.74</v>
      </c>
      <c r="CW39" s="15" t="n">
        <v>444338.97</v>
      </c>
      <c r="CX39" s="15" t="n">
        <v>66444.46000000001</v>
      </c>
      <c r="CY39" s="15" t="n">
        <v>3333459.27</v>
      </c>
      <c r="CZ39" s="15" t="n">
        <v>4739378.33</v>
      </c>
      <c r="DA39" s="15" t="n">
        <v>736310.17</v>
      </c>
      <c r="DB39" s="15" t="n">
        <v>1234287.38</v>
      </c>
      <c r="DC39" s="15" t="n">
        <v>15597.79</v>
      </c>
      <c r="DD39" s="15" t="n">
        <v>1425741.38</v>
      </c>
      <c r="DE39" s="15" t="n">
        <v>3070461.99</v>
      </c>
      <c r="DF39" s="15" t="n">
        <v>1853691.36</v>
      </c>
      <c r="DG39" s="15" t="n">
        <v>1822281.83</v>
      </c>
      <c r="DH39" s="15" t="n">
        <v>288585.58</v>
      </c>
      <c r="DI39" s="15" t="n">
        <v>352111.55</v>
      </c>
      <c r="DJ39" s="15" t="n">
        <v>1243749.53</v>
      </c>
      <c r="DK39" s="15" t="n">
        <v>243725.4</v>
      </c>
      <c r="DL39" s="15" t="n">
        <v>3301970.65</v>
      </c>
      <c r="DM39" s="15" t="n">
        <v>2946152.67</v>
      </c>
      <c r="DN39" s="15" t="n">
        <v>392647.92</v>
      </c>
      <c r="DO39" s="15" t="n">
        <v>304043.16</v>
      </c>
      <c r="DP39" s="15" t="n">
        <v>750051.85</v>
      </c>
    </row>
    <row r="40">
      <c r="A40" s="4" t="inlineStr">
        <is>
          <t>预制菜</t>
        </is>
      </c>
      <c r="B40" s="15" t="n">
        <v>2393144.44</v>
      </c>
      <c r="C40" s="15" t="n">
        <v>756015.04</v>
      </c>
      <c r="D40" s="15" t="n">
        <v>1415535.78</v>
      </c>
      <c r="E40" s="15" t="n">
        <v>24795.64</v>
      </c>
      <c r="F40" s="15" t="n">
        <v>-57051.71</v>
      </c>
      <c r="G40" s="15" t="n">
        <v>2508053.03</v>
      </c>
      <c r="H40" s="15" t="n">
        <v>3051811.85</v>
      </c>
      <c r="I40" s="15" t="n">
        <v>2517156.49</v>
      </c>
      <c r="J40" s="15" t="n">
        <v>623069.14</v>
      </c>
      <c r="K40" s="15" t="n">
        <v>489354.46</v>
      </c>
      <c r="L40" s="15" t="n">
        <v>262968.81</v>
      </c>
      <c r="M40" s="15" t="n">
        <v>1998621.02</v>
      </c>
      <c r="N40" s="15" t="n">
        <v>3392615</v>
      </c>
      <c r="O40" s="15" t="n">
        <v>1983358.14</v>
      </c>
      <c r="P40" s="15" t="n">
        <v>1715303.36</v>
      </c>
      <c r="Q40" s="15" t="n">
        <v>28101.07</v>
      </c>
      <c r="R40" s="15" t="n">
        <v>1093446.86</v>
      </c>
      <c r="S40" s="15" t="n">
        <v>3814836.2</v>
      </c>
      <c r="T40" s="15" t="n">
        <v>295270.77</v>
      </c>
      <c r="U40" s="15" t="n">
        <v>2949815.71</v>
      </c>
      <c r="V40" s="15" t="n">
        <v>928465.53</v>
      </c>
      <c r="W40" s="15" t="n">
        <v>43247.55</v>
      </c>
      <c r="X40" s="15" t="n">
        <v>327051.23</v>
      </c>
      <c r="Y40" s="15" t="n">
        <v>3305691.9</v>
      </c>
      <c r="Z40" s="15" t="n">
        <v>2007860.04</v>
      </c>
      <c r="AA40" s="15" t="n">
        <v>2588951.68</v>
      </c>
      <c r="AB40" s="15" t="n">
        <v>1158429</v>
      </c>
      <c r="AC40" s="15" t="n">
        <v>473445.89</v>
      </c>
      <c r="AD40" s="15" t="n">
        <v>196124.43</v>
      </c>
      <c r="AE40" s="15" t="n">
        <v>1588988.48</v>
      </c>
      <c r="AF40" s="15" t="n">
        <v>3920996.62</v>
      </c>
      <c r="AG40" s="15" t="n">
        <v>152078.07</v>
      </c>
      <c r="AH40" s="15" t="n">
        <v>417129.84</v>
      </c>
      <c r="AI40" s="15" t="n">
        <v>346712.05</v>
      </c>
      <c r="AJ40" s="15" t="n">
        <v>-163897.14</v>
      </c>
      <c r="AK40" s="15" t="n">
        <v>1922956.56</v>
      </c>
      <c r="AL40" s="15" t="n">
        <v>4551766.02</v>
      </c>
      <c r="AM40" s="15" t="n">
        <v>1240309.54</v>
      </c>
      <c r="AN40" s="15" t="n">
        <v>1809797.97</v>
      </c>
      <c r="AO40" s="15" t="n">
        <v>367357.56</v>
      </c>
      <c r="AP40" s="15" t="n">
        <v>-35829.29</v>
      </c>
      <c r="AQ40" s="15" t="n">
        <v>280619.53</v>
      </c>
      <c r="AR40" s="15" t="n">
        <v>4339665.33</v>
      </c>
      <c r="AS40" s="15" t="n">
        <v>119324.92</v>
      </c>
      <c r="AT40" s="15" t="n">
        <v>1624508.83</v>
      </c>
      <c r="AU40" s="15" t="n">
        <v>355823.22</v>
      </c>
      <c r="AV40" s="15" t="n">
        <v>644751.8100000001</v>
      </c>
      <c r="AW40" s="15" t="n">
        <v>3543934.17</v>
      </c>
      <c r="AX40" s="15" t="n">
        <v>2203641.56</v>
      </c>
      <c r="AY40" s="15" t="n">
        <v>1939033.98</v>
      </c>
      <c r="AZ40" s="15" t="n">
        <v>1783006.12</v>
      </c>
      <c r="BA40" s="15" t="n">
        <v>25531.53</v>
      </c>
      <c r="BB40" s="15" t="n">
        <v>1254328</v>
      </c>
      <c r="BC40" s="15" t="n">
        <v>3654677.7</v>
      </c>
      <c r="BD40" s="15" t="n">
        <v>4045072.48</v>
      </c>
      <c r="BE40" s="15" t="n">
        <v>2699657.39</v>
      </c>
      <c r="BF40" s="15" t="n">
        <v>1015662.55</v>
      </c>
      <c r="BG40" s="15" t="n">
        <v>398565.97</v>
      </c>
      <c r="BH40" s="15" t="n">
        <v>575736.21</v>
      </c>
      <c r="BI40" s="15" t="n">
        <v>1859379.36</v>
      </c>
      <c r="BJ40" s="15" t="n">
        <v>434936.79</v>
      </c>
      <c r="BK40" s="15" t="n">
        <v>2173592.19</v>
      </c>
      <c r="BL40" s="15" t="n">
        <v>1906717.39</v>
      </c>
      <c r="BM40" s="15" t="n">
        <v>292324.98</v>
      </c>
      <c r="BN40" s="15" t="n">
        <v>-28524.99</v>
      </c>
      <c r="BO40" s="15" t="n">
        <v>1335476.76</v>
      </c>
      <c r="BP40" s="15" t="n">
        <v>2366709.93</v>
      </c>
      <c r="BQ40" s="15" t="n">
        <v>740901.74</v>
      </c>
      <c r="BR40" s="15" t="n">
        <v>509549.14</v>
      </c>
      <c r="BS40" s="15" t="n">
        <v>383966.78</v>
      </c>
      <c r="BT40" s="15" t="n">
        <v>1815.04</v>
      </c>
      <c r="BU40" s="15" t="n">
        <v>1113665.96</v>
      </c>
      <c r="BV40" s="15" t="n">
        <v>4309156.55</v>
      </c>
      <c r="BW40" s="15" t="n">
        <v>1352581.91</v>
      </c>
      <c r="BX40" s="15" t="n">
        <v>1120744.77</v>
      </c>
      <c r="BY40" s="15" t="n">
        <v>359799.41</v>
      </c>
      <c r="BZ40" s="15" t="n">
        <v>563731.4</v>
      </c>
      <c r="CA40" s="15" t="n">
        <v>3658607.55</v>
      </c>
      <c r="CB40" s="15" t="n">
        <v>4710357.28</v>
      </c>
      <c r="CC40" s="15" t="n">
        <v>1192003.28</v>
      </c>
      <c r="CD40" s="15" t="n">
        <v>1622249.44</v>
      </c>
      <c r="CE40" s="15" t="n">
        <v>350177.09</v>
      </c>
      <c r="CF40" s="15" t="n">
        <v>733668.4300000001</v>
      </c>
      <c r="CG40" s="15" t="n">
        <v>341369.37</v>
      </c>
      <c r="CH40" s="15" t="n">
        <v>4847115.26</v>
      </c>
      <c r="CI40" s="15" t="n">
        <v>2532588.57</v>
      </c>
      <c r="CJ40" s="15" t="n">
        <v>1181956.16</v>
      </c>
      <c r="CK40" s="15" t="n">
        <v>67657.5</v>
      </c>
      <c r="CL40" s="15" t="n">
        <v>1244143.51</v>
      </c>
      <c r="CM40" s="15" t="n">
        <v>3051908.4</v>
      </c>
      <c r="CN40" s="15" t="n">
        <v>3156584.29</v>
      </c>
      <c r="CO40" s="15" t="n">
        <v>2552724.01</v>
      </c>
      <c r="CP40" s="15" t="n">
        <v>1027604.54</v>
      </c>
      <c r="CQ40" s="15" t="n">
        <v>456780.14</v>
      </c>
      <c r="CR40" s="15" t="n">
        <v>79828.31</v>
      </c>
      <c r="CS40" s="15" t="n">
        <v>2343612.03</v>
      </c>
      <c r="CT40" s="15" t="n">
        <v>3401474.64</v>
      </c>
      <c r="CU40" s="15" t="n">
        <v>248105.04</v>
      </c>
      <c r="CV40" s="15" t="n">
        <v>1760787.73</v>
      </c>
      <c r="CW40" s="15" t="n">
        <v>22658.17</v>
      </c>
      <c r="CX40" s="15" t="n">
        <v>700707.9399999999</v>
      </c>
      <c r="CY40" s="15" t="n">
        <v>471688.69</v>
      </c>
      <c r="CZ40" s="15" t="n">
        <v>3508873.49</v>
      </c>
      <c r="DA40" s="15" t="n">
        <v>2051518.48</v>
      </c>
      <c r="DB40" s="15" t="n">
        <v>1129313.49</v>
      </c>
      <c r="DC40" s="15" t="n">
        <v>174019.93</v>
      </c>
      <c r="DD40" s="15" t="n">
        <v>425446.77</v>
      </c>
      <c r="DE40" s="15" t="n">
        <v>1903581.42</v>
      </c>
      <c r="DF40" s="15" t="n">
        <v>1211857.66</v>
      </c>
      <c r="DG40" s="15" t="n">
        <v>2136102.36</v>
      </c>
      <c r="DH40" s="15" t="n">
        <v>570638.59</v>
      </c>
      <c r="DI40" s="15" t="n">
        <v>233309.23</v>
      </c>
      <c r="DJ40" s="15" t="n">
        <v>507756.27</v>
      </c>
      <c r="DK40" s="15" t="n">
        <v>565996.21</v>
      </c>
      <c r="DL40" s="15" t="n">
        <v>1672238.1</v>
      </c>
      <c r="DM40" s="15" t="n">
        <v>1722527.18</v>
      </c>
      <c r="DN40" s="15" t="n">
        <v>1942466.79</v>
      </c>
      <c r="DO40" s="15" t="n">
        <v>20681.3</v>
      </c>
      <c r="DP40" s="15" t="n">
        <v>1196686.75</v>
      </c>
    </row>
    <row r="41">
      <c r="A41" s="4" t="inlineStr">
        <is>
          <t>其他产品A</t>
        </is>
      </c>
      <c r="B41" s="15" t="n">
        <v>2232515.18</v>
      </c>
      <c r="C41" s="15" t="n">
        <v>1889425.51</v>
      </c>
      <c r="D41" s="15" t="n">
        <v>525793.4300000001</v>
      </c>
      <c r="E41" s="15" t="n">
        <v>278243.93</v>
      </c>
      <c r="F41" s="15" t="n">
        <v>1367342.21</v>
      </c>
      <c r="G41" s="15" t="n">
        <v>454274.14</v>
      </c>
      <c r="H41" s="15" t="n">
        <v>3773698.4</v>
      </c>
      <c r="I41" s="15" t="n">
        <v>66663.63</v>
      </c>
      <c r="J41" s="15" t="n">
        <v>137037.47</v>
      </c>
      <c r="K41" s="15" t="n">
        <v>369775.11</v>
      </c>
      <c r="L41" s="15" t="n">
        <v>-138444.28</v>
      </c>
      <c r="M41" s="15" t="n">
        <v>1822685.81</v>
      </c>
      <c r="N41" s="15" t="n">
        <v>2110457.63</v>
      </c>
      <c r="O41" s="15" t="n">
        <v>498051.71</v>
      </c>
      <c r="P41" s="15" t="n">
        <v>1552966.3</v>
      </c>
      <c r="Q41" s="15" t="n">
        <v>497477.99</v>
      </c>
      <c r="R41" s="15" t="n">
        <v>-113442.55</v>
      </c>
      <c r="S41" s="15" t="n">
        <v>1737410.26</v>
      </c>
      <c r="T41" s="15" t="n">
        <v>4848057.44</v>
      </c>
      <c r="U41" s="15" t="n">
        <v>178629.66</v>
      </c>
      <c r="V41" s="15" t="n">
        <v>1542087.48</v>
      </c>
      <c r="W41" s="15" t="n">
        <v>307560.91</v>
      </c>
      <c r="X41" s="15" t="n">
        <v>70141.75</v>
      </c>
      <c r="Y41" s="15" t="n">
        <v>1691606.47</v>
      </c>
      <c r="Z41" s="15" t="n">
        <v>3728863</v>
      </c>
      <c r="AA41" s="15" t="n">
        <v>578807</v>
      </c>
      <c r="AB41" s="15" t="n">
        <v>1132395.88</v>
      </c>
      <c r="AC41" s="15" t="n">
        <v>334244.33</v>
      </c>
      <c r="AD41" s="15" t="n">
        <v>361322.56</v>
      </c>
      <c r="AE41" s="15" t="n">
        <v>3184754.74</v>
      </c>
      <c r="AF41" s="15" t="n">
        <v>853957.15</v>
      </c>
      <c r="AG41" s="15" t="n">
        <v>2776357.24</v>
      </c>
      <c r="AH41" s="15" t="n">
        <v>1490428.58</v>
      </c>
      <c r="AI41" s="15" t="n">
        <v>136725.33</v>
      </c>
      <c r="AJ41" s="15" t="n">
        <v>800773.63</v>
      </c>
      <c r="AK41" s="15" t="n">
        <v>1982859.63</v>
      </c>
      <c r="AL41" s="15" t="n">
        <v>4131882.94</v>
      </c>
      <c r="AM41" s="15" t="n">
        <v>1821671.08</v>
      </c>
      <c r="AN41" s="15" t="n">
        <v>1794336.36</v>
      </c>
      <c r="AO41" s="15" t="n">
        <v>193668.64</v>
      </c>
      <c r="AP41" s="15" t="n">
        <v>1154835.82</v>
      </c>
      <c r="AQ41" s="15" t="n">
        <v>2596939.99</v>
      </c>
      <c r="AR41" s="15" t="n">
        <v>3023133.4</v>
      </c>
      <c r="AS41" s="15" t="n">
        <v>2087581.12</v>
      </c>
      <c r="AT41" s="15" t="n">
        <v>1628646.64</v>
      </c>
      <c r="AU41" s="15" t="n">
        <v>209854.07</v>
      </c>
      <c r="AV41" s="15" t="n">
        <v>1200816.61</v>
      </c>
      <c r="AW41" s="15" t="n">
        <v>1341075.15</v>
      </c>
      <c r="AX41" s="15" t="n">
        <v>1451710.5</v>
      </c>
      <c r="AY41" s="15" t="n">
        <v>2214326.26</v>
      </c>
      <c r="AZ41" s="15" t="n">
        <v>745125.9300000001</v>
      </c>
      <c r="BA41" s="15" t="n">
        <v>451654.63</v>
      </c>
      <c r="BB41" s="15" t="n">
        <v>584451.1800000001</v>
      </c>
      <c r="BC41" s="15" t="n">
        <v>2276345.5</v>
      </c>
      <c r="BD41" s="15" t="n">
        <v>4894033.64</v>
      </c>
      <c r="BE41" s="15" t="n">
        <v>2020968.55</v>
      </c>
      <c r="BF41" s="15" t="n">
        <v>1459536.61</v>
      </c>
      <c r="BG41" s="15" t="n">
        <v>477827.32</v>
      </c>
      <c r="BH41" s="15" t="n">
        <v>623335.42</v>
      </c>
      <c r="BI41" s="15" t="n">
        <v>342353.05</v>
      </c>
      <c r="BJ41" s="15" t="n">
        <v>393207.27</v>
      </c>
      <c r="BK41" s="15" t="n">
        <v>2120503.64</v>
      </c>
      <c r="BL41" s="15" t="n">
        <v>391278.18</v>
      </c>
      <c r="BM41" s="15" t="n">
        <v>297614.91</v>
      </c>
      <c r="BN41" s="15" t="n">
        <v>982958.52</v>
      </c>
      <c r="BO41" s="15" t="n">
        <v>1470056.43</v>
      </c>
      <c r="BP41" s="15" t="n">
        <v>3598340.46</v>
      </c>
      <c r="BQ41" s="15" t="n">
        <v>222121.59</v>
      </c>
      <c r="BR41" s="15" t="n">
        <v>871725.28</v>
      </c>
      <c r="BS41" s="15" t="n">
        <v>405226.34</v>
      </c>
      <c r="BT41" s="15" t="n">
        <v>581304.0699999999</v>
      </c>
      <c r="BU41" s="15" t="n">
        <v>2268321.56</v>
      </c>
      <c r="BV41" s="15" t="n">
        <v>1055693.67</v>
      </c>
      <c r="BW41" s="15" t="n">
        <v>1239828.26</v>
      </c>
      <c r="BX41" s="15" t="n">
        <v>1540344.3</v>
      </c>
      <c r="BY41" s="15" t="n">
        <v>62340.98</v>
      </c>
      <c r="BZ41" s="15" t="n">
        <v>292108.81</v>
      </c>
      <c r="CA41" s="15" t="n">
        <v>959644.86</v>
      </c>
      <c r="CB41" s="15" t="n">
        <v>198100.93</v>
      </c>
      <c r="CC41" s="15" t="n">
        <v>240126.52</v>
      </c>
      <c r="CD41" s="15" t="n">
        <v>1850954.46</v>
      </c>
      <c r="CE41" s="15" t="n">
        <v>181595.19</v>
      </c>
      <c r="CF41" s="15" t="n">
        <v>1421954.88</v>
      </c>
      <c r="CG41" s="15" t="n">
        <v>310779.82</v>
      </c>
      <c r="CH41" s="15" t="n">
        <v>1538233.97</v>
      </c>
      <c r="CI41" s="15" t="n">
        <v>650875.77</v>
      </c>
      <c r="CJ41" s="15" t="n">
        <v>217213.17</v>
      </c>
      <c r="CK41" s="15" t="n">
        <v>344217.9</v>
      </c>
      <c r="CL41" s="15" t="n">
        <v>1239428.11</v>
      </c>
      <c r="CM41" s="15" t="n">
        <v>1902205.03</v>
      </c>
      <c r="CN41" s="15" t="n">
        <v>823531.33</v>
      </c>
      <c r="CO41" s="15" t="n">
        <v>2342648.37</v>
      </c>
      <c r="CP41" s="15" t="n">
        <v>21183.6</v>
      </c>
      <c r="CQ41" s="15" t="n">
        <v>64144.6</v>
      </c>
      <c r="CR41" s="15" t="n">
        <v>64774.21</v>
      </c>
      <c r="CS41" s="15" t="n">
        <v>1835691.72</v>
      </c>
      <c r="CT41" s="15" t="n">
        <v>4965122</v>
      </c>
      <c r="CU41" s="15" t="n">
        <v>2220846.85</v>
      </c>
      <c r="CV41" s="15" t="n">
        <v>948052.02</v>
      </c>
      <c r="CW41" s="15" t="n">
        <v>225148.49</v>
      </c>
      <c r="CX41" s="15" t="n">
        <v>162084.34</v>
      </c>
      <c r="CY41" s="15" t="n">
        <v>3833341.26</v>
      </c>
      <c r="CZ41" s="15" t="n">
        <v>145425.92</v>
      </c>
      <c r="DA41" s="15" t="n">
        <v>2627637.08</v>
      </c>
      <c r="DB41" s="15" t="n">
        <v>1526929.86</v>
      </c>
      <c r="DC41" s="15" t="n">
        <v>97439.47</v>
      </c>
      <c r="DD41" s="15" t="n">
        <v>983711.12</v>
      </c>
      <c r="DE41" s="15" t="n">
        <v>696553.91</v>
      </c>
      <c r="DF41" s="15" t="n">
        <v>3631430.44</v>
      </c>
      <c r="DG41" s="15" t="n">
        <v>2755315.97</v>
      </c>
      <c r="DH41" s="15" t="n">
        <v>1381357.19</v>
      </c>
      <c r="DI41" s="15" t="n">
        <v>113223.02</v>
      </c>
      <c r="DJ41" s="15" t="n">
        <v>731188.66</v>
      </c>
      <c r="DK41" s="15" t="n">
        <v>474711.76</v>
      </c>
      <c r="DL41" s="15" t="n">
        <v>4551391.19</v>
      </c>
      <c r="DM41" s="15" t="n">
        <v>1257174.76</v>
      </c>
      <c r="DN41" s="15" t="n">
        <v>807325.77</v>
      </c>
      <c r="DO41" s="15" t="n">
        <v>467132.06</v>
      </c>
      <c r="DP41" s="15" t="n">
        <v>85515.00999999999</v>
      </c>
    </row>
    <row r="42">
      <c r="A42" s="4" t="inlineStr">
        <is>
          <t>其他产品B</t>
        </is>
      </c>
      <c r="B42" s="15" t="n">
        <v>4430753.12</v>
      </c>
      <c r="C42" s="15" t="n">
        <v>161858.01</v>
      </c>
      <c r="D42" s="15" t="n">
        <v>1481720.29</v>
      </c>
      <c r="E42" s="15" t="n">
        <v>162885.29</v>
      </c>
      <c r="F42" s="15" t="n">
        <v>1416283.51</v>
      </c>
      <c r="G42" s="15" t="n">
        <v>1633365.57</v>
      </c>
      <c r="H42" s="15" t="n">
        <v>4921693.41</v>
      </c>
      <c r="I42" s="15" t="n">
        <v>742475.61</v>
      </c>
      <c r="J42" s="15" t="n">
        <v>152155.97</v>
      </c>
      <c r="K42" s="15" t="n">
        <v>260034.8</v>
      </c>
      <c r="L42" s="15" t="n">
        <v>1492539.42</v>
      </c>
      <c r="M42" s="15" t="n">
        <v>1149019.88</v>
      </c>
      <c r="N42" s="15" t="n">
        <v>2464211.86</v>
      </c>
      <c r="O42" s="15" t="n">
        <v>1046262.57</v>
      </c>
      <c r="P42" s="15" t="n">
        <v>127274.31</v>
      </c>
      <c r="Q42" s="15" t="n">
        <v>148552.28</v>
      </c>
      <c r="R42" s="15" t="n">
        <v>1171728.1</v>
      </c>
      <c r="S42" s="15" t="n">
        <v>3956211.09</v>
      </c>
      <c r="T42" s="15" t="n">
        <v>2610626.94</v>
      </c>
      <c r="U42" s="15" t="n">
        <v>2944383.24</v>
      </c>
      <c r="V42" s="15" t="n">
        <v>108710.34</v>
      </c>
      <c r="W42" s="15" t="n">
        <v>110040.55</v>
      </c>
      <c r="X42" s="15" t="n">
        <v>854602.55</v>
      </c>
      <c r="Y42" s="15" t="n">
        <v>1611861.31</v>
      </c>
      <c r="Z42" s="15" t="n">
        <v>4549432.16</v>
      </c>
      <c r="AA42" s="15" t="n">
        <v>1001601.05</v>
      </c>
      <c r="AB42" s="15" t="n">
        <v>1595167.57</v>
      </c>
      <c r="AC42" s="15" t="n">
        <v>181951.35</v>
      </c>
      <c r="AD42" s="15" t="n">
        <v>927310.09</v>
      </c>
      <c r="AE42" s="15" t="n">
        <v>804350.24</v>
      </c>
      <c r="AF42" s="15" t="n">
        <v>4560403.05</v>
      </c>
      <c r="AG42" s="15" t="n">
        <v>758420.96</v>
      </c>
      <c r="AH42" s="15" t="n">
        <v>78433.19</v>
      </c>
      <c r="AI42" s="15" t="n">
        <v>315678.02</v>
      </c>
      <c r="AJ42" s="15" t="n">
        <v>1484186.01</v>
      </c>
      <c r="AK42" s="15" t="n">
        <v>967625.52</v>
      </c>
      <c r="AL42" s="15" t="n">
        <v>4339173.62</v>
      </c>
      <c r="AM42" s="15" t="n">
        <v>514903.04</v>
      </c>
      <c r="AN42" s="15" t="n">
        <v>1546187.38</v>
      </c>
      <c r="AO42" s="15" t="n">
        <v>37157.2</v>
      </c>
      <c r="AP42" s="15" t="n">
        <v>1183699.7</v>
      </c>
      <c r="AQ42" s="15" t="n">
        <v>1773281.79</v>
      </c>
      <c r="AR42" s="15" t="n">
        <v>2251357.67</v>
      </c>
      <c r="AS42" s="15" t="n">
        <v>1253478</v>
      </c>
      <c r="AT42" s="15" t="n">
        <v>659483.84</v>
      </c>
      <c r="AU42" s="15" t="n">
        <v>331432.24</v>
      </c>
      <c r="AV42" s="15" t="n">
        <v>351347.12</v>
      </c>
      <c r="AW42" s="15" t="n">
        <v>2964663.41</v>
      </c>
      <c r="AX42" s="15" t="n">
        <v>975923.83</v>
      </c>
      <c r="AY42" s="15" t="n">
        <v>520910.36</v>
      </c>
      <c r="AZ42" s="15" t="n">
        <v>1943836.92</v>
      </c>
      <c r="BA42" s="15" t="n">
        <v>65820.47</v>
      </c>
      <c r="BB42" s="15" t="n">
        <v>1266139.54</v>
      </c>
      <c r="BC42" s="15" t="n">
        <v>3913120.17</v>
      </c>
      <c r="BD42" s="15" t="n">
        <v>1459950.75</v>
      </c>
      <c r="BE42" s="15" t="n">
        <v>1044723.72</v>
      </c>
      <c r="BF42" s="15" t="n">
        <v>1408524.96</v>
      </c>
      <c r="BG42" s="15" t="n">
        <v>473073.31</v>
      </c>
      <c r="BH42" s="15" t="n">
        <v>650984.4399999999</v>
      </c>
      <c r="BI42" s="15" t="n">
        <v>1782597.06</v>
      </c>
      <c r="BJ42" s="15" t="n">
        <v>459065.3</v>
      </c>
      <c r="BK42" s="15" t="n">
        <v>1677440.16</v>
      </c>
      <c r="BL42" s="15" t="n">
        <v>43812.59</v>
      </c>
      <c r="BM42" s="15" t="n">
        <v>281470.06</v>
      </c>
      <c r="BN42" s="15" t="n">
        <v>-84770.7</v>
      </c>
      <c r="BO42" s="15" t="n">
        <v>3905911.05</v>
      </c>
      <c r="BP42" s="15" t="n">
        <v>2644539.95</v>
      </c>
      <c r="BQ42" s="15" t="n">
        <v>2863499.69</v>
      </c>
      <c r="BR42" s="15" t="n">
        <v>917106.35</v>
      </c>
      <c r="BS42" s="15" t="n">
        <v>101527.55</v>
      </c>
      <c r="BT42" s="15" t="n">
        <v>180082.63</v>
      </c>
      <c r="BU42" s="15" t="n">
        <v>3121004.99</v>
      </c>
      <c r="BV42" s="15" t="n">
        <v>2273550.47</v>
      </c>
      <c r="BW42" s="15" t="n">
        <v>1700291.24</v>
      </c>
      <c r="BX42" s="15" t="n">
        <v>1872038.51</v>
      </c>
      <c r="BY42" s="15" t="n">
        <v>330223.78</v>
      </c>
      <c r="BZ42" s="15" t="n">
        <v>454244.17</v>
      </c>
      <c r="CA42" s="15" t="n">
        <v>1479040.59</v>
      </c>
      <c r="CB42" s="15" t="n">
        <v>4177578.19</v>
      </c>
      <c r="CC42" s="15" t="n">
        <v>452146.31</v>
      </c>
      <c r="CD42" s="15" t="n">
        <v>238222.8</v>
      </c>
      <c r="CE42" s="15" t="n">
        <v>68379.85000000001</v>
      </c>
      <c r="CF42" s="15" t="n">
        <v>548794.6899999999</v>
      </c>
      <c r="CG42" s="15" t="n">
        <v>3972180.96</v>
      </c>
      <c r="CH42" s="15" t="n">
        <v>1804124.97</v>
      </c>
      <c r="CI42" s="15" t="n">
        <v>1134265.8</v>
      </c>
      <c r="CJ42" s="15" t="n">
        <v>1005497.39</v>
      </c>
      <c r="CK42" s="15" t="n">
        <v>188443.35</v>
      </c>
      <c r="CL42" s="15" t="n">
        <v>1426797.88</v>
      </c>
      <c r="CM42" s="15" t="n">
        <v>2521746.33</v>
      </c>
      <c r="CN42" s="15" t="n">
        <v>1930059.67</v>
      </c>
      <c r="CO42" s="15" t="n">
        <v>1712659.79</v>
      </c>
      <c r="CP42" s="15" t="n">
        <v>1072573.18</v>
      </c>
      <c r="CQ42" s="15" t="n">
        <v>445846.99</v>
      </c>
      <c r="CR42" s="15" t="n">
        <v>253792.08</v>
      </c>
      <c r="CS42" s="15" t="n">
        <v>443030.68</v>
      </c>
      <c r="CT42" s="15" t="n">
        <v>3884956.96</v>
      </c>
      <c r="CU42" s="15" t="n">
        <v>1070398.11</v>
      </c>
      <c r="CV42" s="15" t="n">
        <v>1353787.83</v>
      </c>
      <c r="CW42" s="15" t="n">
        <v>295444.08</v>
      </c>
      <c r="CX42" s="15" t="n">
        <v>1246471.41</v>
      </c>
      <c r="CY42" s="15" t="n">
        <v>2818741.88</v>
      </c>
      <c r="CZ42" s="15" t="n">
        <v>2987700.31</v>
      </c>
      <c r="DA42" s="15" t="n">
        <v>1988053.12</v>
      </c>
      <c r="DB42" s="15" t="n">
        <v>1866899.47</v>
      </c>
      <c r="DC42" s="15" t="n">
        <v>165802.23</v>
      </c>
      <c r="DD42" s="15" t="n">
        <v>475148.51</v>
      </c>
      <c r="DE42" s="15" t="n">
        <v>669838.9300000001</v>
      </c>
      <c r="DF42" s="15" t="n">
        <v>2055923.24</v>
      </c>
      <c r="DG42" s="15" t="n">
        <v>982106.12</v>
      </c>
      <c r="DH42" s="15" t="n">
        <v>69412.17999999999</v>
      </c>
      <c r="DI42" s="15" t="n">
        <v>197609.08</v>
      </c>
      <c r="DJ42" s="15" t="n">
        <v>118046.7</v>
      </c>
      <c r="DK42" s="15" t="n">
        <v>2688807.32</v>
      </c>
      <c r="DL42" s="15" t="n">
        <v>408252.18</v>
      </c>
      <c r="DM42" s="15" t="n">
        <v>316933.94</v>
      </c>
      <c r="DN42" s="15" t="n">
        <v>1604670.15</v>
      </c>
      <c r="DO42" s="15" t="n">
        <v>476223.23</v>
      </c>
      <c r="DP42" s="15" t="n">
        <v>1283344.67</v>
      </c>
    </row>
    <row r="43">
      <c r="A43" s="4" t="inlineStr">
        <is>
          <t>其他产品C</t>
        </is>
      </c>
      <c r="B43" s="15" t="n">
        <v>2289006.06</v>
      </c>
      <c r="C43" s="15" t="n">
        <v>2859237.49</v>
      </c>
      <c r="D43" s="15" t="n">
        <v>169601.41</v>
      </c>
      <c r="E43" s="15" t="n">
        <v>296664.81</v>
      </c>
      <c r="F43" s="15" t="n">
        <v>606857.37</v>
      </c>
      <c r="G43" s="15" t="n">
        <v>2122248.74</v>
      </c>
      <c r="H43" s="15" t="n">
        <v>2981011.81</v>
      </c>
      <c r="I43" s="15" t="n">
        <v>700566.01</v>
      </c>
      <c r="J43" s="15" t="n">
        <v>1673519.68</v>
      </c>
      <c r="K43" s="15" t="n">
        <v>94602.55</v>
      </c>
      <c r="L43" s="15" t="n">
        <v>1164446.02</v>
      </c>
      <c r="M43" s="15" t="n">
        <v>1127103.28</v>
      </c>
      <c r="N43" s="15" t="n">
        <v>4354679.35</v>
      </c>
      <c r="O43" s="15" t="n">
        <v>2433270.03</v>
      </c>
      <c r="P43" s="15" t="n">
        <v>681776.8199999999</v>
      </c>
      <c r="Q43" s="15" t="n">
        <v>326719.19</v>
      </c>
      <c r="R43" s="15" t="n">
        <v>937364.46</v>
      </c>
      <c r="S43" s="15" t="n">
        <v>2527696.35</v>
      </c>
      <c r="T43" s="15" t="n">
        <v>2513313.87</v>
      </c>
      <c r="U43" s="15" t="n">
        <v>2081890.19</v>
      </c>
      <c r="V43" s="15" t="n">
        <v>241757.03</v>
      </c>
      <c r="W43" s="15" t="n">
        <v>469579.55</v>
      </c>
      <c r="X43" s="15" t="n">
        <v>508690.68</v>
      </c>
      <c r="Y43" s="15" t="n">
        <v>429584.24</v>
      </c>
      <c r="Z43" s="15" t="n">
        <v>1458435.14</v>
      </c>
      <c r="AA43" s="15" t="n">
        <v>1167518.61</v>
      </c>
      <c r="AB43" s="15" t="n">
        <v>653290.37</v>
      </c>
      <c r="AC43" s="15" t="n">
        <v>469869.13</v>
      </c>
      <c r="AD43" s="15" t="n">
        <v>1167704.78</v>
      </c>
      <c r="AE43" s="15" t="n">
        <v>1771600.04</v>
      </c>
      <c r="AF43" s="15" t="n">
        <v>1743392.84</v>
      </c>
      <c r="AG43" s="15" t="n">
        <v>504435.07</v>
      </c>
      <c r="AH43" s="15" t="n">
        <v>299452.01</v>
      </c>
      <c r="AI43" s="15" t="n">
        <v>424957.89</v>
      </c>
      <c r="AJ43" s="15" t="n">
        <v>1144471.09</v>
      </c>
      <c r="AK43" s="15" t="n">
        <v>3619554.69</v>
      </c>
      <c r="AL43" s="15" t="n">
        <v>3891524.37</v>
      </c>
      <c r="AM43" s="15" t="n">
        <v>175030.79</v>
      </c>
      <c r="AN43" s="15" t="n">
        <v>1359485.72</v>
      </c>
      <c r="AO43" s="15" t="n">
        <v>56442.42</v>
      </c>
      <c r="AP43" s="15" t="n">
        <v>1482258.84</v>
      </c>
      <c r="AQ43" s="15" t="n">
        <v>500267.54</v>
      </c>
      <c r="AR43" s="15" t="n">
        <v>2687324.87</v>
      </c>
      <c r="AS43" s="15" t="n">
        <v>377933</v>
      </c>
      <c r="AT43" s="15" t="n">
        <v>1174060.52</v>
      </c>
      <c r="AU43" s="15" t="n">
        <v>226936.97</v>
      </c>
      <c r="AV43" s="15" t="n">
        <v>846220.03</v>
      </c>
      <c r="AW43" s="15" t="n">
        <v>2178156.79</v>
      </c>
      <c r="AX43" s="15" t="n">
        <v>313445.08</v>
      </c>
      <c r="AY43" s="15" t="n">
        <v>2529808.99</v>
      </c>
      <c r="AZ43" s="15" t="n">
        <v>1210159.69</v>
      </c>
      <c r="BA43" s="15" t="n">
        <v>484044.41</v>
      </c>
      <c r="BB43" s="15" t="n">
        <v>226819.5</v>
      </c>
      <c r="BC43" s="15" t="n">
        <v>1833954.07</v>
      </c>
      <c r="BD43" s="15" t="n">
        <v>3975543.5</v>
      </c>
      <c r="BE43" s="15" t="n">
        <v>947999.86</v>
      </c>
      <c r="BF43" s="15" t="n">
        <v>1338732.06</v>
      </c>
      <c r="BG43" s="15" t="n">
        <v>459483.95</v>
      </c>
      <c r="BH43" s="15" t="n">
        <v>901398.83</v>
      </c>
      <c r="BI43" s="15" t="n">
        <v>3289461.88</v>
      </c>
      <c r="BJ43" s="15" t="n">
        <v>4420356.12</v>
      </c>
      <c r="BK43" s="15" t="n">
        <v>2439922.17</v>
      </c>
      <c r="BL43" s="15" t="n">
        <v>1790598.3</v>
      </c>
      <c r="BM43" s="15" t="n">
        <v>262509.95</v>
      </c>
      <c r="BN43" s="15" t="n">
        <v>628807</v>
      </c>
      <c r="BO43" s="15" t="n">
        <v>3709734.79</v>
      </c>
      <c r="BP43" s="15" t="n">
        <v>1323721.35</v>
      </c>
      <c r="BQ43" s="15" t="n">
        <v>2199814.9</v>
      </c>
      <c r="BR43" s="15" t="n">
        <v>1051967.37</v>
      </c>
      <c r="BS43" s="15" t="n">
        <v>18877.49</v>
      </c>
      <c r="BT43" s="15" t="n">
        <v>675474.6</v>
      </c>
      <c r="BU43" s="15" t="n">
        <v>3241199.76</v>
      </c>
      <c r="BV43" s="15" t="n">
        <v>3079324.25</v>
      </c>
      <c r="BW43" s="15" t="n">
        <v>95041.67</v>
      </c>
      <c r="BX43" s="15" t="n">
        <v>1708472.12</v>
      </c>
      <c r="BY43" s="15" t="n">
        <v>455448.44</v>
      </c>
      <c r="BZ43" s="15" t="n">
        <v>663375.54</v>
      </c>
      <c r="CA43" s="15" t="n">
        <v>2222303.65</v>
      </c>
      <c r="CB43" s="15" t="n">
        <v>1412076.47</v>
      </c>
      <c r="CC43" s="15" t="n">
        <v>626215.21</v>
      </c>
      <c r="CD43" s="15" t="n">
        <v>579586.91</v>
      </c>
      <c r="CE43" s="15" t="n">
        <v>421283.15</v>
      </c>
      <c r="CF43" s="15" t="n">
        <v>377857.64</v>
      </c>
      <c r="CG43" s="15" t="n">
        <v>210658.85</v>
      </c>
      <c r="CH43" s="15" t="n">
        <v>4210359.33</v>
      </c>
      <c r="CI43" s="15" t="n">
        <v>390179.45</v>
      </c>
      <c r="CJ43" s="15" t="n">
        <v>1448990.95</v>
      </c>
      <c r="CK43" s="15" t="n">
        <v>33630.09</v>
      </c>
      <c r="CL43" s="15" t="n">
        <v>440313.36</v>
      </c>
      <c r="CM43" s="15" t="n">
        <v>3799577.59</v>
      </c>
      <c r="CN43" s="15" t="n">
        <v>1184645.02</v>
      </c>
      <c r="CO43" s="15" t="n">
        <v>2874156.77</v>
      </c>
      <c r="CP43" s="15" t="n">
        <v>1046062.17</v>
      </c>
      <c r="CQ43" s="15" t="n">
        <v>413564.91</v>
      </c>
      <c r="CR43" s="15" t="n">
        <v>534598.8199999999</v>
      </c>
      <c r="CS43" s="15" t="n">
        <v>3223888.53</v>
      </c>
      <c r="CT43" s="15" t="n">
        <v>2992464.86</v>
      </c>
      <c r="CU43" s="15" t="n">
        <v>1926205.2</v>
      </c>
      <c r="CV43" s="15" t="n">
        <v>1923632.39</v>
      </c>
      <c r="CW43" s="15" t="n">
        <v>391167.75</v>
      </c>
      <c r="CX43" s="15" t="n">
        <v>1499405.07</v>
      </c>
      <c r="CY43" s="15" t="n">
        <v>461076.32</v>
      </c>
      <c r="CZ43" s="15" t="n">
        <v>3538111.16</v>
      </c>
      <c r="DA43" s="15" t="n">
        <v>1731083.2</v>
      </c>
      <c r="DB43" s="15" t="n">
        <v>847678.97</v>
      </c>
      <c r="DC43" s="15" t="n">
        <v>445957.08</v>
      </c>
      <c r="DD43" s="15" t="n">
        <v>1433363.33</v>
      </c>
      <c r="DE43" s="15" t="n">
        <v>374338.46</v>
      </c>
      <c r="DF43" s="15" t="n">
        <v>4571691.57</v>
      </c>
      <c r="DG43" s="15" t="n">
        <v>2647488.08</v>
      </c>
      <c r="DH43" s="15" t="n">
        <v>1813320.92</v>
      </c>
      <c r="DI43" s="15" t="n">
        <v>481767.92</v>
      </c>
      <c r="DJ43" s="15" t="n">
        <v>1210082.1</v>
      </c>
      <c r="DK43" s="15" t="n">
        <v>3121056.47</v>
      </c>
      <c r="DL43" s="15" t="n">
        <v>806514.62</v>
      </c>
      <c r="DM43" s="15" t="n">
        <v>397370.43</v>
      </c>
      <c r="DN43" s="15" t="n">
        <v>1417192.38</v>
      </c>
      <c r="DO43" s="15" t="n">
        <v>364802.86</v>
      </c>
      <c r="DP43" s="15" t="n">
        <v>389417.86</v>
      </c>
    </row>
    <row r="44">
      <c r="A44" s="4" t="inlineStr">
        <is>
          <t>中式汤底</t>
        </is>
      </c>
      <c r="B44" s="15" t="n">
        <v>2666058.62</v>
      </c>
      <c r="C44" s="15" t="n">
        <v>619029.11</v>
      </c>
      <c r="D44" s="15" t="n">
        <v>1559104.91</v>
      </c>
      <c r="E44" s="15" t="n">
        <v>35271.52</v>
      </c>
      <c r="F44" s="15" t="n">
        <v>1191018.88</v>
      </c>
      <c r="G44" s="15" t="n">
        <v>1128506.52</v>
      </c>
      <c r="H44" s="15" t="n">
        <v>2595316.49</v>
      </c>
      <c r="I44" s="15" t="n">
        <v>1706398.6</v>
      </c>
      <c r="J44" s="15" t="n">
        <v>1681607.31</v>
      </c>
      <c r="K44" s="15" t="n">
        <v>296546.09</v>
      </c>
      <c r="L44" s="15" t="n">
        <v>973411.95</v>
      </c>
      <c r="M44" s="15" t="n">
        <v>1338444.12</v>
      </c>
      <c r="N44" s="15" t="n">
        <v>466773.25</v>
      </c>
      <c r="O44" s="15" t="n">
        <v>566159.74</v>
      </c>
      <c r="P44" s="15" t="n">
        <v>28909.75</v>
      </c>
      <c r="Q44" s="15" t="n">
        <v>293575.19</v>
      </c>
      <c r="R44" s="15" t="n">
        <v>-199171.02</v>
      </c>
      <c r="S44" s="15" t="n">
        <v>958440.38</v>
      </c>
      <c r="T44" s="15" t="n">
        <v>3647569.22</v>
      </c>
      <c r="U44" s="15" t="n">
        <v>823566.73</v>
      </c>
      <c r="V44" s="15" t="n">
        <v>876816.29</v>
      </c>
      <c r="W44" s="15" t="n">
        <v>214453.99</v>
      </c>
      <c r="X44" s="15" t="n">
        <v>967642.4</v>
      </c>
      <c r="Y44" s="15" t="n">
        <v>2022110.15</v>
      </c>
      <c r="Z44" s="15" t="n">
        <v>4517382.09</v>
      </c>
      <c r="AA44" s="15" t="n">
        <v>412750.77</v>
      </c>
      <c r="AB44" s="15" t="n">
        <v>850748.1</v>
      </c>
      <c r="AC44" s="15" t="n">
        <v>183667.19</v>
      </c>
      <c r="AD44" s="15" t="n">
        <v>1246055.39</v>
      </c>
      <c r="AE44" s="15" t="n">
        <v>3682547.36</v>
      </c>
      <c r="AF44" s="15" t="n">
        <v>3195420.22</v>
      </c>
      <c r="AG44" s="15" t="n">
        <v>680580.41</v>
      </c>
      <c r="AH44" s="15" t="n">
        <v>585110.89</v>
      </c>
      <c r="AI44" s="15" t="n">
        <v>291602.74</v>
      </c>
      <c r="AJ44" s="15" t="n">
        <v>387118.11</v>
      </c>
      <c r="AK44" s="15" t="n">
        <v>304774.22</v>
      </c>
      <c r="AL44" s="15" t="n">
        <v>1252092.37</v>
      </c>
      <c r="AM44" s="15" t="n">
        <v>1533849.7</v>
      </c>
      <c r="AN44" s="15" t="n">
        <v>1357316.2</v>
      </c>
      <c r="AO44" s="15" t="n">
        <v>204085.54</v>
      </c>
      <c r="AP44" s="15" t="n">
        <v>903716.96</v>
      </c>
      <c r="AQ44" s="15" t="n">
        <v>1639907.59</v>
      </c>
      <c r="AR44" s="15" t="n">
        <v>1823377.1</v>
      </c>
      <c r="AS44" s="15" t="n">
        <v>1613387.81</v>
      </c>
      <c r="AT44" s="15" t="n">
        <v>305452.6</v>
      </c>
      <c r="AU44" s="15" t="n">
        <v>364813.9</v>
      </c>
      <c r="AV44" s="15" t="n">
        <v>1384520.63</v>
      </c>
      <c r="AW44" s="15" t="n">
        <v>3519830.46</v>
      </c>
      <c r="AX44" s="15" t="n">
        <v>1031148.28</v>
      </c>
      <c r="AY44" s="15" t="n">
        <v>2669801.27</v>
      </c>
      <c r="AZ44" s="15" t="n">
        <v>1542349.35</v>
      </c>
      <c r="BA44" s="15" t="n">
        <v>425039.74</v>
      </c>
      <c r="BB44" s="15" t="n">
        <v>-160956.22</v>
      </c>
      <c r="BC44" s="15" t="n">
        <v>3985007.78</v>
      </c>
      <c r="BD44" s="15" t="n">
        <v>4966766.15</v>
      </c>
      <c r="BE44" s="15" t="n">
        <v>2686435.95</v>
      </c>
      <c r="BF44" s="15" t="n">
        <v>1958391.92</v>
      </c>
      <c r="BG44" s="15" t="n">
        <v>280766.15</v>
      </c>
      <c r="BH44" s="15" t="n">
        <v>631635.6899999999</v>
      </c>
      <c r="BI44" s="15" t="n">
        <v>1078318.73</v>
      </c>
      <c r="BJ44" s="15" t="n">
        <v>4592584.87</v>
      </c>
      <c r="BK44" s="15" t="n">
        <v>1274869.37</v>
      </c>
      <c r="BL44" s="15" t="n">
        <v>1787348.8</v>
      </c>
      <c r="BM44" s="15" t="n">
        <v>338055.62</v>
      </c>
      <c r="BN44" s="15" t="n">
        <v>766467.72</v>
      </c>
      <c r="BO44" s="15" t="n">
        <v>3273793.54</v>
      </c>
      <c r="BP44" s="15" t="n">
        <v>4668939.55</v>
      </c>
      <c r="BQ44" s="15" t="n">
        <v>1127333.84</v>
      </c>
      <c r="BR44" s="15" t="n">
        <v>517564.95</v>
      </c>
      <c r="BS44" s="15" t="n">
        <v>276603.13</v>
      </c>
      <c r="BT44" s="15" t="n">
        <v>1569.04</v>
      </c>
      <c r="BU44" s="15" t="n">
        <v>3003812.07</v>
      </c>
      <c r="BV44" s="15" t="n">
        <v>3470363.51</v>
      </c>
      <c r="BW44" s="15" t="n">
        <v>2574407.15</v>
      </c>
      <c r="BX44" s="15" t="n">
        <v>416153.66</v>
      </c>
      <c r="BY44" s="15" t="n">
        <v>130246.08</v>
      </c>
      <c r="BZ44" s="15" t="n">
        <v>1303670.88</v>
      </c>
      <c r="CA44" s="15" t="n">
        <v>221656.15</v>
      </c>
      <c r="CB44" s="15" t="n">
        <v>1174314.1</v>
      </c>
      <c r="CC44" s="15" t="n">
        <v>857608.05</v>
      </c>
      <c r="CD44" s="15" t="n">
        <v>1634846.35</v>
      </c>
      <c r="CE44" s="15" t="n">
        <v>146834.27</v>
      </c>
      <c r="CF44" s="15" t="n">
        <v>39288.86</v>
      </c>
      <c r="CG44" s="15" t="n">
        <v>2585140.59</v>
      </c>
      <c r="CH44" s="15" t="n">
        <v>2623295.07</v>
      </c>
      <c r="CI44" s="15" t="n">
        <v>1097438.59</v>
      </c>
      <c r="CJ44" s="15" t="n">
        <v>1100536.86</v>
      </c>
      <c r="CK44" s="15" t="n">
        <v>259873.62</v>
      </c>
      <c r="CL44" s="15" t="n">
        <v>802169.01</v>
      </c>
      <c r="CM44" s="15" t="n">
        <v>139496.38</v>
      </c>
      <c r="CN44" s="15" t="n">
        <v>3098371.5</v>
      </c>
      <c r="CO44" s="15" t="n">
        <v>1156296.18</v>
      </c>
      <c r="CP44" s="15" t="n">
        <v>1234184.94</v>
      </c>
      <c r="CQ44" s="15" t="n">
        <v>97112.16</v>
      </c>
      <c r="CR44" s="15" t="n">
        <v>929316.87</v>
      </c>
      <c r="CS44" s="15" t="n">
        <v>2423776.64</v>
      </c>
      <c r="CT44" s="15" t="n">
        <v>4070153.15</v>
      </c>
      <c r="CU44" s="15" t="n">
        <v>2858505.13</v>
      </c>
      <c r="CV44" s="15" t="n">
        <v>882470.33</v>
      </c>
      <c r="CW44" s="15" t="n">
        <v>89983.96000000001</v>
      </c>
      <c r="CX44" s="15" t="n">
        <v>207987.56</v>
      </c>
      <c r="CY44" s="15" t="n">
        <v>2192380.19</v>
      </c>
      <c r="CZ44" s="15" t="n">
        <v>506247.61</v>
      </c>
      <c r="DA44" s="15" t="n">
        <v>571610.5699999999</v>
      </c>
      <c r="DB44" s="15" t="n">
        <v>694103.27</v>
      </c>
      <c r="DC44" s="15" t="n">
        <v>453829.71</v>
      </c>
      <c r="DD44" s="15" t="n">
        <v>8701.950000000001</v>
      </c>
      <c r="DE44" s="15" t="n">
        <v>886972.46</v>
      </c>
      <c r="DF44" s="15" t="n">
        <v>3723696.68</v>
      </c>
      <c r="DG44" s="15" t="n">
        <v>2128929.75</v>
      </c>
      <c r="DH44" s="15" t="n">
        <v>1998919.69</v>
      </c>
      <c r="DI44" s="15" t="n">
        <v>482973.45</v>
      </c>
      <c r="DJ44" s="15" t="n">
        <v>879127.24</v>
      </c>
      <c r="DK44" s="15" t="n">
        <v>1923574</v>
      </c>
      <c r="DL44" s="15" t="n">
        <v>2849016.07</v>
      </c>
      <c r="DM44" s="15" t="n">
        <v>2260292.98</v>
      </c>
      <c r="DN44" s="15" t="n">
        <v>1902910.87</v>
      </c>
      <c r="DO44" s="15" t="n">
        <v>88889.61</v>
      </c>
      <c r="DP44" s="15" t="n">
        <v>1435230.28</v>
      </c>
    </row>
    <row r="45">
      <c r="A45" s="4" t="inlineStr">
        <is>
          <t>酱料</t>
        </is>
      </c>
      <c r="B45" s="15" t="n">
        <v>4648731.7</v>
      </c>
      <c r="C45" s="15" t="n">
        <v>2559584.88</v>
      </c>
      <c r="D45" s="15" t="n">
        <v>285718.71</v>
      </c>
      <c r="E45" s="15" t="n">
        <v>261821.72</v>
      </c>
      <c r="F45" s="15" t="n">
        <v>-50518.14</v>
      </c>
      <c r="G45" s="15" t="n">
        <v>1861052.96</v>
      </c>
      <c r="H45" s="15" t="n">
        <v>495261.99</v>
      </c>
      <c r="I45" s="15" t="n">
        <v>2921089.89</v>
      </c>
      <c r="J45" s="15" t="n">
        <v>852579.65</v>
      </c>
      <c r="K45" s="15" t="n">
        <v>286373.92</v>
      </c>
      <c r="L45" s="15" t="n">
        <v>416852.93</v>
      </c>
      <c r="M45" s="15" t="n">
        <v>3663562.07</v>
      </c>
      <c r="N45" s="15" t="n">
        <v>754245.8</v>
      </c>
      <c r="O45" s="15" t="n">
        <v>1196529.48</v>
      </c>
      <c r="P45" s="15" t="n">
        <v>1521632.98</v>
      </c>
      <c r="Q45" s="15" t="n">
        <v>150269.1</v>
      </c>
      <c r="R45" s="15" t="n">
        <v>573213.24</v>
      </c>
      <c r="S45" s="15" t="n">
        <v>3125624.45</v>
      </c>
      <c r="T45" s="15" t="n">
        <v>3368035.38</v>
      </c>
      <c r="U45" s="15" t="n">
        <v>876064.48</v>
      </c>
      <c r="V45" s="15" t="n">
        <v>1988081.93</v>
      </c>
      <c r="W45" s="15" t="n">
        <v>421080.36</v>
      </c>
      <c r="X45" s="15" t="n">
        <v>279186.47</v>
      </c>
      <c r="Y45" s="15" t="n">
        <v>1047097.09</v>
      </c>
      <c r="Z45" s="15" t="n">
        <v>458794.87</v>
      </c>
      <c r="AA45" s="15" t="n">
        <v>2244373.5</v>
      </c>
      <c r="AB45" s="15" t="n">
        <v>388832.93</v>
      </c>
      <c r="AC45" s="15" t="n">
        <v>126783.35</v>
      </c>
      <c r="AD45" s="15" t="n">
        <v>990376.77</v>
      </c>
      <c r="AE45" s="15" t="n">
        <v>3321773.51</v>
      </c>
      <c r="AF45" s="15" t="n">
        <v>2212799.88</v>
      </c>
      <c r="AG45" s="15" t="n">
        <v>2009160.44</v>
      </c>
      <c r="AH45" s="15" t="n">
        <v>865365.3199999999</v>
      </c>
      <c r="AI45" s="15" t="n">
        <v>239643.54</v>
      </c>
      <c r="AJ45" s="15" t="n">
        <v>774301.5600000001</v>
      </c>
      <c r="AK45" s="15" t="n">
        <v>275753.92</v>
      </c>
      <c r="AL45" s="15" t="n">
        <v>2180298.32</v>
      </c>
      <c r="AM45" s="15" t="n">
        <v>1940809.43</v>
      </c>
      <c r="AN45" s="15" t="n">
        <v>1920209.97</v>
      </c>
      <c r="AO45" s="15" t="n">
        <v>135933.7</v>
      </c>
      <c r="AP45" s="15" t="n">
        <v>619519.6</v>
      </c>
      <c r="AQ45" s="15" t="n">
        <v>2568218.75</v>
      </c>
      <c r="AR45" s="15" t="n">
        <v>3780663.65</v>
      </c>
      <c r="AS45" s="15" t="n">
        <v>2154545.45</v>
      </c>
      <c r="AT45" s="15" t="n">
        <v>213233.88</v>
      </c>
      <c r="AU45" s="15" t="n">
        <v>334315.07</v>
      </c>
      <c r="AV45" s="15" t="n">
        <v>-95421.21000000001</v>
      </c>
      <c r="AW45" s="15" t="n">
        <v>86024.28</v>
      </c>
      <c r="AX45" s="15" t="n">
        <v>1229259.66</v>
      </c>
      <c r="AY45" s="15" t="n">
        <v>795949</v>
      </c>
      <c r="AZ45" s="15" t="n">
        <v>1488524.94</v>
      </c>
      <c r="BA45" s="15" t="n">
        <v>424630.35</v>
      </c>
      <c r="BB45" s="15" t="n">
        <v>94808.89999999999</v>
      </c>
      <c r="BC45" s="15" t="n">
        <v>149947.18</v>
      </c>
      <c r="BD45" s="15" t="n">
        <v>516170.84</v>
      </c>
      <c r="BE45" s="15" t="n">
        <v>1665996.13</v>
      </c>
      <c r="BF45" s="15" t="n">
        <v>948175.52</v>
      </c>
      <c r="BG45" s="15" t="n">
        <v>243082.19</v>
      </c>
      <c r="BH45" s="15" t="n">
        <v>855483.4300000001</v>
      </c>
      <c r="BI45" s="15" t="n">
        <v>1435506.34</v>
      </c>
      <c r="BJ45" s="15" t="n">
        <v>1186274.87</v>
      </c>
      <c r="BK45" s="15" t="n">
        <v>2607456.48</v>
      </c>
      <c r="BL45" s="15" t="n">
        <v>1499010.58</v>
      </c>
      <c r="BM45" s="15" t="n">
        <v>148425.64</v>
      </c>
      <c r="BN45" s="15" t="n">
        <v>26525.85</v>
      </c>
      <c r="BO45" s="15" t="n">
        <v>910033.62</v>
      </c>
      <c r="BP45" s="15" t="n">
        <v>1207286.4</v>
      </c>
      <c r="BQ45" s="15" t="n">
        <v>1870937.92</v>
      </c>
      <c r="BR45" s="15" t="n">
        <v>285186.21</v>
      </c>
      <c r="BS45" s="15" t="n">
        <v>72792.87</v>
      </c>
      <c r="BT45" s="15" t="n">
        <v>1304623.36</v>
      </c>
      <c r="BU45" s="15" t="n">
        <v>2010754.6</v>
      </c>
      <c r="BV45" s="15" t="n">
        <v>2309959.09</v>
      </c>
      <c r="BW45" s="15" t="n">
        <v>593486.74</v>
      </c>
      <c r="BX45" s="15" t="n">
        <v>923251.77</v>
      </c>
      <c r="BY45" s="15" t="n">
        <v>187434.87</v>
      </c>
      <c r="BZ45" s="15" t="n">
        <v>946569.76</v>
      </c>
      <c r="CA45" s="15" t="n">
        <v>267773.78</v>
      </c>
      <c r="CB45" s="15" t="n">
        <v>4976105.77</v>
      </c>
      <c r="CC45" s="15" t="n">
        <v>1995605.79</v>
      </c>
      <c r="CD45" s="15" t="n">
        <v>1051908.24</v>
      </c>
      <c r="CE45" s="15" t="n">
        <v>439859.39</v>
      </c>
      <c r="CF45" s="15" t="n">
        <v>117392.21</v>
      </c>
      <c r="CG45" s="15" t="n">
        <v>471245.46</v>
      </c>
      <c r="CH45" s="15" t="n">
        <v>4635298.65</v>
      </c>
      <c r="CI45" s="15" t="n">
        <v>1607414.94</v>
      </c>
      <c r="CJ45" s="15" t="n">
        <v>875312.4</v>
      </c>
      <c r="CK45" s="15" t="n">
        <v>27074.24</v>
      </c>
      <c r="CL45" s="15" t="n">
        <v>1008658.26</v>
      </c>
      <c r="CM45" s="15" t="n">
        <v>823249.1800000001</v>
      </c>
      <c r="CN45" s="15" t="n">
        <v>1228435.31</v>
      </c>
      <c r="CO45" s="15" t="n">
        <v>2491687.53</v>
      </c>
      <c r="CP45" s="15" t="n">
        <v>1428778.13</v>
      </c>
      <c r="CQ45" s="15" t="n">
        <v>271772.84</v>
      </c>
      <c r="CR45" s="15" t="n">
        <v>721434.1</v>
      </c>
      <c r="CS45" s="15" t="n">
        <v>2061552.5</v>
      </c>
      <c r="CT45" s="15" t="n">
        <v>1558889.19</v>
      </c>
      <c r="CU45" s="15" t="n">
        <v>2445325.85</v>
      </c>
      <c r="CV45" s="15" t="n">
        <v>51312.76</v>
      </c>
      <c r="CW45" s="15" t="n">
        <v>376558.74</v>
      </c>
      <c r="CX45" s="15" t="n">
        <v>934159.76</v>
      </c>
      <c r="CY45" s="15" t="n">
        <v>1891515.74</v>
      </c>
      <c r="CZ45" s="15" t="n">
        <v>4511056.12</v>
      </c>
      <c r="DA45" s="15" t="n">
        <v>1900011.76</v>
      </c>
      <c r="DB45" s="15" t="n">
        <v>1771141.53</v>
      </c>
      <c r="DC45" s="15" t="n">
        <v>388210.51</v>
      </c>
      <c r="DD45" s="15" t="n">
        <v>219192.98</v>
      </c>
      <c r="DE45" s="15" t="n">
        <v>2680476.62</v>
      </c>
      <c r="DF45" s="15" t="n">
        <v>3978818.83</v>
      </c>
      <c r="DG45" s="15" t="n">
        <v>974555.8100000001</v>
      </c>
      <c r="DH45" s="15" t="n">
        <v>1510576.51</v>
      </c>
      <c r="DI45" s="15" t="n">
        <v>37429.07</v>
      </c>
      <c r="DJ45" s="15" t="n">
        <v>451641.9</v>
      </c>
      <c r="DK45" s="15" t="n">
        <v>2830125.3</v>
      </c>
      <c r="DL45" s="15" t="n">
        <v>3639107.06</v>
      </c>
      <c r="DM45" s="15" t="n">
        <v>778657.39</v>
      </c>
      <c r="DN45" s="15" t="n">
        <v>1187691.34</v>
      </c>
      <c r="DO45" s="15" t="n">
        <v>267850.01</v>
      </c>
      <c r="DP45" s="15" t="n">
        <v>210289.95</v>
      </c>
    </row>
    <row r="46">
      <c r="A46" s="4" t="inlineStr">
        <is>
          <t>川味底料</t>
        </is>
      </c>
      <c r="B46" s="15" t="n">
        <v>3261548.73</v>
      </c>
      <c r="C46" s="15" t="n">
        <v>220437.17</v>
      </c>
      <c r="D46" s="15" t="n">
        <v>1981745.2</v>
      </c>
      <c r="E46" s="15" t="n">
        <v>467518.07</v>
      </c>
      <c r="F46" s="15" t="n">
        <v>327827.17</v>
      </c>
      <c r="G46" s="15" t="n">
        <v>398358.13</v>
      </c>
      <c r="H46" s="15" t="n">
        <v>2156463.6</v>
      </c>
      <c r="I46" s="15" t="n">
        <v>2015583.91</v>
      </c>
      <c r="J46" s="15" t="n">
        <v>1297904.27</v>
      </c>
      <c r="K46" s="15" t="n">
        <v>300105.81</v>
      </c>
      <c r="L46" s="15" t="n">
        <v>292678.93</v>
      </c>
      <c r="M46" s="15" t="n">
        <v>3004831.31</v>
      </c>
      <c r="N46" s="15" t="n">
        <v>2281017.16</v>
      </c>
      <c r="O46" s="15" t="n">
        <v>1389632.35</v>
      </c>
      <c r="P46" s="15" t="n">
        <v>1335722.33</v>
      </c>
      <c r="Q46" s="15" t="n">
        <v>43441.66</v>
      </c>
      <c r="R46" s="15" t="n">
        <v>1489229.07</v>
      </c>
      <c r="S46" s="15" t="n">
        <v>2312466.06</v>
      </c>
      <c r="T46" s="15" t="n">
        <v>3958242.31</v>
      </c>
      <c r="U46" s="15" t="n">
        <v>692832.85</v>
      </c>
      <c r="V46" s="15" t="n">
        <v>840244.58</v>
      </c>
      <c r="W46" s="15" t="n">
        <v>460558.94</v>
      </c>
      <c r="X46" s="15" t="n">
        <v>1284284.68</v>
      </c>
      <c r="Y46" s="15" t="n">
        <v>3489334.68</v>
      </c>
      <c r="Z46" s="15" t="n">
        <v>1695283.94</v>
      </c>
      <c r="AA46" s="15" t="n">
        <v>2172821.34</v>
      </c>
      <c r="AB46" s="15" t="n">
        <v>1564930.68</v>
      </c>
      <c r="AC46" s="15" t="n">
        <v>170734.48</v>
      </c>
      <c r="AD46" s="15" t="n">
        <v>1134813.13</v>
      </c>
      <c r="AE46" s="15" t="n">
        <v>609465.91</v>
      </c>
      <c r="AF46" s="15" t="n">
        <v>4864570.14</v>
      </c>
      <c r="AG46" s="15" t="n">
        <v>397412.15</v>
      </c>
      <c r="AH46" s="15" t="n">
        <v>1129344.82</v>
      </c>
      <c r="AI46" s="15" t="n">
        <v>376678.03</v>
      </c>
      <c r="AJ46" s="15" t="n">
        <v>93958.12</v>
      </c>
      <c r="AK46" s="15" t="n">
        <v>3815188.4</v>
      </c>
      <c r="AL46" s="15" t="n">
        <v>1727723.55</v>
      </c>
      <c r="AM46" s="15" t="n">
        <v>1913271.87</v>
      </c>
      <c r="AN46" s="15" t="n">
        <v>193021.5</v>
      </c>
      <c r="AO46" s="15" t="n">
        <v>147584.44</v>
      </c>
      <c r="AP46" s="15" t="n">
        <v>163399.11</v>
      </c>
      <c r="AQ46" s="15" t="n">
        <v>1990669.59</v>
      </c>
      <c r="AR46" s="15" t="n">
        <v>2170347.04</v>
      </c>
      <c r="AS46" s="15" t="n">
        <v>1239023.43</v>
      </c>
      <c r="AT46" s="15" t="n">
        <v>409470.09</v>
      </c>
      <c r="AU46" s="15" t="n">
        <v>458483.29</v>
      </c>
      <c r="AV46" s="15" t="n">
        <v>791802.02</v>
      </c>
      <c r="AW46" s="15" t="n">
        <v>3542696.71</v>
      </c>
      <c r="AX46" s="15" t="n">
        <v>1830088.35</v>
      </c>
      <c r="AY46" s="15" t="n">
        <v>2311423.26</v>
      </c>
      <c r="AZ46" s="15" t="n">
        <v>1134195.12</v>
      </c>
      <c r="BA46" s="15" t="n">
        <v>314918.24</v>
      </c>
      <c r="BB46" s="15" t="n">
        <v>638889.96</v>
      </c>
      <c r="BC46" s="15" t="n">
        <v>1901884.38</v>
      </c>
      <c r="BD46" s="15" t="n">
        <v>520883.6</v>
      </c>
      <c r="BE46" s="15" t="n">
        <v>1467350.93</v>
      </c>
      <c r="BF46" s="15" t="n">
        <v>1261547.44</v>
      </c>
      <c r="BG46" s="15" t="n">
        <v>85313.46000000001</v>
      </c>
      <c r="BH46" s="15" t="n">
        <v>1270729.79</v>
      </c>
      <c r="BI46" s="15" t="n">
        <v>609770.01</v>
      </c>
      <c r="BJ46" s="15" t="n">
        <v>315563.07</v>
      </c>
      <c r="BK46" s="15" t="n">
        <v>2171210.81</v>
      </c>
      <c r="BL46" s="15" t="n">
        <v>264183.73</v>
      </c>
      <c r="BM46" s="15" t="n">
        <v>396607.2</v>
      </c>
      <c r="BN46" s="15" t="n">
        <v>-34390.63</v>
      </c>
      <c r="BO46" s="15" t="n">
        <v>1081648.4</v>
      </c>
      <c r="BP46" s="15" t="n">
        <v>2572587.73</v>
      </c>
      <c r="BQ46" s="15" t="n">
        <v>1258931.85</v>
      </c>
      <c r="BR46" s="15" t="n">
        <v>844109.48</v>
      </c>
      <c r="BS46" s="15" t="n">
        <v>38277.27</v>
      </c>
      <c r="BT46" s="15" t="n">
        <v>109748.24</v>
      </c>
      <c r="BU46" s="15" t="n">
        <v>416362</v>
      </c>
      <c r="BV46" s="15" t="n">
        <v>2493369.12</v>
      </c>
      <c r="BW46" s="15" t="n">
        <v>1783349.89</v>
      </c>
      <c r="BX46" s="15" t="n">
        <v>233206.66</v>
      </c>
      <c r="BY46" s="15" t="n">
        <v>434849.98</v>
      </c>
      <c r="BZ46" s="15" t="n">
        <v>1104272.36</v>
      </c>
      <c r="CA46" s="15" t="n">
        <v>3063720.83</v>
      </c>
      <c r="CB46" s="15" t="n">
        <v>2868805.69</v>
      </c>
      <c r="CC46" s="15" t="n">
        <v>1228763.22</v>
      </c>
      <c r="CD46" s="15" t="n">
        <v>214346.79</v>
      </c>
      <c r="CE46" s="15" t="n">
        <v>351670.21</v>
      </c>
      <c r="CF46" s="15" t="n">
        <v>940174.89</v>
      </c>
      <c r="CG46" s="15" t="n">
        <v>3233899.43</v>
      </c>
      <c r="CH46" s="15" t="n">
        <v>3352620.43</v>
      </c>
      <c r="CI46" s="15" t="n">
        <v>83292.48</v>
      </c>
      <c r="CJ46" s="15" t="n">
        <v>1432081.85</v>
      </c>
      <c r="CK46" s="15" t="n">
        <v>319269.64</v>
      </c>
      <c r="CL46" s="15" t="n">
        <v>400164.16</v>
      </c>
      <c r="CM46" s="15" t="n">
        <v>2802963.65</v>
      </c>
      <c r="CN46" s="15" t="n">
        <v>4511033.32</v>
      </c>
      <c r="CO46" s="15" t="n">
        <v>862317.86</v>
      </c>
      <c r="CP46" s="15" t="n">
        <v>1324736.89</v>
      </c>
      <c r="CQ46" s="15" t="n">
        <v>247047.7</v>
      </c>
      <c r="CR46" s="15" t="n">
        <v>944758.66</v>
      </c>
      <c r="CS46" s="15" t="n">
        <v>2593152.77</v>
      </c>
      <c r="CT46" s="15" t="n">
        <v>4395193.22</v>
      </c>
      <c r="CU46" s="15" t="n">
        <v>2178847.18</v>
      </c>
      <c r="CV46" s="15" t="n">
        <v>1186447.23</v>
      </c>
      <c r="CW46" s="15" t="n">
        <v>203097.96</v>
      </c>
      <c r="CX46" s="15" t="n">
        <v>394270.65</v>
      </c>
      <c r="CY46" s="15" t="n">
        <v>2664181.64</v>
      </c>
      <c r="CZ46" s="15" t="n">
        <v>3133867.86</v>
      </c>
      <c r="DA46" s="15" t="n">
        <v>2459370.09</v>
      </c>
      <c r="DB46" s="15" t="n">
        <v>412782.32</v>
      </c>
      <c r="DC46" s="15" t="n">
        <v>31988.14</v>
      </c>
      <c r="DD46" s="15" t="n">
        <v>1489983.51</v>
      </c>
      <c r="DE46" s="15" t="n">
        <v>530670.75</v>
      </c>
      <c r="DF46" s="15" t="n">
        <v>709057.92</v>
      </c>
      <c r="DG46" s="15" t="n">
        <v>1426360.88</v>
      </c>
      <c r="DH46" s="15" t="n">
        <v>1491025.66</v>
      </c>
      <c r="DI46" s="15" t="n">
        <v>41333.51</v>
      </c>
      <c r="DJ46" s="15" t="n">
        <v>909309.27</v>
      </c>
      <c r="DK46" s="15" t="n">
        <v>3469408.74</v>
      </c>
      <c r="DL46" s="15" t="n">
        <v>1354493.45</v>
      </c>
      <c r="DM46" s="15" t="n">
        <v>2291073.65</v>
      </c>
      <c r="DN46" s="15" t="n">
        <v>485330.72</v>
      </c>
      <c r="DO46" s="15" t="n">
        <v>123686.72</v>
      </c>
      <c r="DP46" s="15" t="n">
        <v>534433.01</v>
      </c>
    </row>
    <row r="47">
      <c r="A47" s="4" t="inlineStr">
        <is>
          <t>调味汁</t>
        </is>
      </c>
      <c r="B47" s="15" t="n">
        <v>1928378.76</v>
      </c>
      <c r="C47" s="15" t="n">
        <v>1375636.98</v>
      </c>
      <c r="D47" s="15" t="n">
        <v>978442.05</v>
      </c>
      <c r="E47" s="15" t="n">
        <v>227695.94</v>
      </c>
      <c r="F47" s="15" t="n">
        <v>226174.33</v>
      </c>
      <c r="G47" s="15" t="n">
        <v>2910964.06</v>
      </c>
      <c r="H47" s="15" t="n">
        <v>4121825.55</v>
      </c>
      <c r="I47" s="15" t="n">
        <v>1200727.91</v>
      </c>
      <c r="J47" s="15" t="n">
        <v>1669294.07</v>
      </c>
      <c r="K47" s="15" t="n">
        <v>174055.15</v>
      </c>
      <c r="L47" s="15" t="n">
        <v>1252152.12</v>
      </c>
      <c r="M47" s="15" t="n">
        <v>1344869.75</v>
      </c>
      <c r="N47" s="15" t="n">
        <v>1113403.4</v>
      </c>
      <c r="O47" s="15" t="n">
        <v>264620.89</v>
      </c>
      <c r="P47" s="15" t="n">
        <v>613121.85</v>
      </c>
      <c r="Q47" s="15" t="n">
        <v>327057.35</v>
      </c>
      <c r="R47" s="15" t="n">
        <v>543925.67</v>
      </c>
      <c r="S47" s="15" t="n">
        <v>441229.13</v>
      </c>
      <c r="T47" s="15" t="n">
        <v>104946.47</v>
      </c>
      <c r="U47" s="15" t="n">
        <v>2742636.79</v>
      </c>
      <c r="V47" s="15" t="n">
        <v>168524.19</v>
      </c>
      <c r="W47" s="15" t="n">
        <v>448765.02</v>
      </c>
      <c r="X47" s="15" t="n">
        <v>867177.61</v>
      </c>
      <c r="Y47" s="15" t="n">
        <v>3480409.44</v>
      </c>
      <c r="Z47" s="15" t="n">
        <v>246245.86</v>
      </c>
      <c r="AA47" s="15" t="n">
        <v>2378154.71</v>
      </c>
      <c r="AB47" s="15" t="n">
        <v>188971.34</v>
      </c>
      <c r="AC47" s="15" t="n">
        <v>333577.35</v>
      </c>
      <c r="AD47" s="15" t="n">
        <v>779916.01</v>
      </c>
      <c r="AE47" s="15" t="n">
        <v>218103.2</v>
      </c>
      <c r="AF47" s="15" t="n">
        <v>4227608.17</v>
      </c>
      <c r="AG47" s="15" t="n">
        <v>2989559.39</v>
      </c>
      <c r="AH47" s="15" t="n">
        <v>798212.3100000001</v>
      </c>
      <c r="AI47" s="15" t="n">
        <v>356911.21</v>
      </c>
      <c r="AJ47" s="15" t="n">
        <v>500913.96</v>
      </c>
      <c r="AK47" s="15" t="n">
        <v>3070746.3</v>
      </c>
      <c r="AL47" s="15" t="n">
        <v>4179372.56</v>
      </c>
      <c r="AM47" s="15" t="n">
        <v>862470.89</v>
      </c>
      <c r="AN47" s="15" t="n">
        <v>320090.7</v>
      </c>
      <c r="AO47" s="15" t="n">
        <v>423895.04</v>
      </c>
      <c r="AP47" s="15" t="n">
        <v>1358242.21</v>
      </c>
      <c r="AQ47" s="15" t="n">
        <v>433201.53</v>
      </c>
      <c r="AR47" s="15" t="n">
        <v>686564.2</v>
      </c>
      <c r="AS47" s="15" t="n">
        <v>2811054.23</v>
      </c>
      <c r="AT47" s="15" t="n">
        <v>593865.3</v>
      </c>
      <c r="AU47" s="15" t="n">
        <v>122829.06</v>
      </c>
      <c r="AV47" s="15" t="n">
        <v>463081.94</v>
      </c>
      <c r="AW47" s="15" t="n">
        <v>2041771.82</v>
      </c>
      <c r="AX47" s="15" t="n">
        <v>4067373.34</v>
      </c>
      <c r="AY47" s="15" t="n">
        <v>2360945.09</v>
      </c>
      <c r="AZ47" s="15" t="n">
        <v>1475985.56</v>
      </c>
      <c r="BA47" s="15" t="n">
        <v>116831.68</v>
      </c>
      <c r="BB47" s="15" t="n">
        <v>392050.23</v>
      </c>
      <c r="BC47" s="15" t="n">
        <v>853124.42</v>
      </c>
      <c r="BD47" s="15" t="n">
        <v>4658152.7</v>
      </c>
      <c r="BE47" s="15" t="n">
        <v>2551845.82</v>
      </c>
      <c r="BF47" s="15" t="n">
        <v>1154186.81</v>
      </c>
      <c r="BG47" s="15" t="n">
        <v>360413</v>
      </c>
      <c r="BH47" s="15" t="n">
        <v>1302081.24</v>
      </c>
      <c r="BI47" s="15" t="n">
        <v>1357624.99</v>
      </c>
      <c r="BJ47" s="15" t="n">
        <v>2282897.46</v>
      </c>
      <c r="BK47" s="15" t="n">
        <v>2223625.36</v>
      </c>
      <c r="BL47" s="15" t="n">
        <v>771921.3199999999</v>
      </c>
      <c r="BM47" s="15" t="n">
        <v>111371.35</v>
      </c>
      <c r="BN47" s="15" t="n">
        <v>1039801.67</v>
      </c>
      <c r="BO47" s="15" t="n">
        <v>1940231.16</v>
      </c>
      <c r="BP47" s="15" t="n">
        <v>2845156.46</v>
      </c>
      <c r="BQ47" s="15" t="n">
        <v>335232.83</v>
      </c>
      <c r="BR47" s="15" t="n">
        <v>129666.58</v>
      </c>
      <c r="BS47" s="15" t="n">
        <v>254617.37</v>
      </c>
      <c r="BT47" s="15" t="n">
        <v>688406.25</v>
      </c>
      <c r="BU47" s="15" t="n">
        <v>958069.6800000001</v>
      </c>
      <c r="BV47" s="15" t="n">
        <v>3017396.88</v>
      </c>
      <c r="BW47" s="15" t="n">
        <v>2446375.21</v>
      </c>
      <c r="BX47" s="15" t="n">
        <v>1685452.08</v>
      </c>
      <c r="BY47" s="15" t="n">
        <v>141334.44</v>
      </c>
      <c r="BZ47" s="15" t="n">
        <v>1034237.81</v>
      </c>
      <c r="CA47" s="15" t="n">
        <v>3016724.36</v>
      </c>
      <c r="CB47" s="15" t="n">
        <v>4829162.74</v>
      </c>
      <c r="CC47" s="15" t="n">
        <v>271610.54</v>
      </c>
      <c r="CD47" s="15" t="n">
        <v>1366132.02</v>
      </c>
      <c r="CE47" s="15" t="n">
        <v>53202.07</v>
      </c>
      <c r="CF47" s="15" t="n">
        <v>835968.4399999999</v>
      </c>
      <c r="CG47" s="15" t="n">
        <v>2584923.07</v>
      </c>
      <c r="CH47" s="15" t="n">
        <v>3076720.81</v>
      </c>
      <c r="CI47" s="15" t="n">
        <v>1989406.77</v>
      </c>
      <c r="CJ47" s="15" t="n">
        <v>1346955.15</v>
      </c>
      <c r="CK47" s="15" t="n">
        <v>125902.23</v>
      </c>
      <c r="CL47" s="15" t="n">
        <v>1110590.51</v>
      </c>
      <c r="CM47" s="15" t="n">
        <v>1627852.2</v>
      </c>
      <c r="CN47" s="15" t="n">
        <v>4317102.76</v>
      </c>
      <c r="CO47" s="15" t="n">
        <v>2754593.69</v>
      </c>
      <c r="CP47" s="15" t="n">
        <v>680816.6899999999</v>
      </c>
      <c r="CQ47" s="15" t="n">
        <v>352037.51</v>
      </c>
      <c r="CR47" s="15" t="n">
        <v>234633.14</v>
      </c>
      <c r="CS47" s="15" t="n">
        <v>2353969.71</v>
      </c>
      <c r="CT47" s="15" t="n">
        <v>3834062.25</v>
      </c>
      <c r="CU47" s="15" t="n">
        <v>1774221.5</v>
      </c>
      <c r="CV47" s="15" t="n">
        <v>145993.43</v>
      </c>
      <c r="CW47" s="15" t="n">
        <v>306526.28</v>
      </c>
      <c r="CX47" s="15" t="n">
        <v>372720.7</v>
      </c>
      <c r="CY47" s="15" t="n">
        <v>3563602.07</v>
      </c>
      <c r="CZ47" s="15" t="n">
        <v>2064402.12</v>
      </c>
      <c r="DA47" s="15" t="n">
        <v>2996581.31</v>
      </c>
      <c r="DB47" s="15" t="n">
        <v>142095.29</v>
      </c>
      <c r="DC47" s="15" t="n">
        <v>202994.14</v>
      </c>
      <c r="DD47" s="15" t="n">
        <v>463116.23</v>
      </c>
      <c r="DE47" s="15" t="n">
        <v>2867145.24</v>
      </c>
      <c r="DF47" s="15" t="n">
        <v>678789.12</v>
      </c>
      <c r="DG47" s="15" t="n">
        <v>2972340.45</v>
      </c>
      <c r="DH47" s="15" t="n">
        <v>730231.9399999999</v>
      </c>
      <c r="DI47" s="15" t="n">
        <v>47838.04</v>
      </c>
      <c r="DJ47" s="15" t="n">
        <v>240260.44</v>
      </c>
      <c r="DK47" s="15" t="n">
        <v>1825706.06</v>
      </c>
      <c r="DL47" s="15" t="n">
        <v>2365370.77</v>
      </c>
      <c r="DM47" s="15" t="n">
        <v>2238442.29</v>
      </c>
      <c r="DN47" s="15" t="n">
        <v>1921005.41</v>
      </c>
      <c r="DO47" s="15" t="n">
        <v>359028.61</v>
      </c>
      <c r="DP47" s="15" t="n">
        <v>901556.36</v>
      </c>
    </row>
    <row r="48">
      <c r="A48" s="4" t="inlineStr">
        <is>
          <t>复合调味粉</t>
        </is>
      </c>
      <c r="B48" s="15" t="n">
        <v>4368365.67</v>
      </c>
      <c r="C48" s="15" t="n">
        <v>2527470.96</v>
      </c>
      <c r="D48" s="15" t="n">
        <v>1012830.42</v>
      </c>
      <c r="E48" s="15" t="n">
        <v>54298.9</v>
      </c>
      <c r="F48" s="15" t="n">
        <v>1059522.56</v>
      </c>
      <c r="G48" s="15" t="n">
        <v>1506667.17</v>
      </c>
      <c r="H48" s="15" t="n">
        <v>4331411.57</v>
      </c>
      <c r="I48" s="15" t="n">
        <v>2275991.96</v>
      </c>
      <c r="J48" s="15" t="n">
        <v>1749817.04</v>
      </c>
      <c r="K48" s="15" t="n">
        <v>347035.01</v>
      </c>
      <c r="L48" s="15" t="n">
        <v>609912.6800000001</v>
      </c>
      <c r="M48" s="15" t="n">
        <v>2556624.73</v>
      </c>
      <c r="N48" s="15" t="n">
        <v>3387044.37</v>
      </c>
      <c r="O48" s="15" t="n">
        <v>784236.9399999999</v>
      </c>
      <c r="P48" s="15" t="n">
        <v>842919.62</v>
      </c>
      <c r="Q48" s="15" t="n">
        <v>466194.73</v>
      </c>
      <c r="R48" s="15" t="n">
        <v>620642.15</v>
      </c>
      <c r="S48" s="15" t="n">
        <v>2544145.94</v>
      </c>
      <c r="T48" s="15" t="n">
        <v>899622.78</v>
      </c>
      <c r="U48" s="15" t="n">
        <v>2417330.89</v>
      </c>
      <c r="V48" s="15" t="n">
        <v>647467.66</v>
      </c>
      <c r="W48" s="15" t="n">
        <v>377156.57</v>
      </c>
      <c r="X48" s="15" t="n">
        <v>467363.93</v>
      </c>
      <c r="Y48" s="15" t="n">
        <v>1886378.68</v>
      </c>
      <c r="Z48" s="15" t="n">
        <v>3515167.97</v>
      </c>
      <c r="AA48" s="15" t="n">
        <v>1043838.99</v>
      </c>
      <c r="AB48" s="15" t="n">
        <v>610434.64</v>
      </c>
      <c r="AC48" s="15" t="n">
        <v>300434.93</v>
      </c>
      <c r="AD48" s="15" t="n">
        <v>1014186.32</v>
      </c>
      <c r="AE48" s="15" t="n">
        <v>224777.71</v>
      </c>
      <c r="AF48" s="15" t="n">
        <v>536941.62</v>
      </c>
      <c r="AG48" s="15" t="n">
        <v>595511.9399999999</v>
      </c>
      <c r="AH48" s="15" t="n">
        <v>1183874.47</v>
      </c>
      <c r="AI48" s="15" t="n">
        <v>306526.23</v>
      </c>
      <c r="AJ48" s="15" t="n">
        <v>835272.9300000001</v>
      </c>
      <c r="AK48" s="15" t="n">
        <v>2437179.68</v>
      </c>
      <c r="AL48" s="15" t="n">
        <v>570885.53</v>
      </c>
      <c r="AM48" s="15" t="n">
        <v>919777.62</v>
      </c>
      <c r="AN48" s="15" t="n">
        <v>1107204.08</v>
      </c>
      <c r="AO48" s="15" t="n">
        <v>487237.4</v>
      </c>
      <c r="AP48" s="15" t="n">
        <v>1399326.03</v>
      </c>
      <c r="AQ48" s="15" t="n">
        <v>117104.91</v>
      </c>
      <c r="AR48" s="15" t="n">
        <v>3318603.53</v>
      </c>
      <c r="AS48" s="15" t="n">
        <v>1747208.74</v>
      </c>
      <c r="AT48" s="15" t="n">
        <v>449444.03</v>
      </c>
      <c r="AU48" s="15" t="n">
        <v>350752.97</v>
      </c>
      <c r="AV48" s="15" t="n">
        <v>-21722.32</v>
      </c>
      <c r="AW48" s="15" t="n">
        <v>3923988.95</v>
      </c>
      <c r="AX48" s="15" t="n">
        <v>2016364.92</v>
      </c>
      <c r="AY48" s="15" t="n">
        <v>1741469.62</v>
      </c>
      <c r="AZ48" s="15" t="n">
        <v>952510.87</v>
      </c>
      <c r="BA48" s="15" t="n">
        <v>138291.8</v>
      </c>
      <c r="BB48" s="15" t="n">
        <v>-166490.53</v>
      </c>
      <c r="BC48" s="15" t="n">
        <v>332207.15</v>
      </c>
      <c r="BD48" s="15" t="n">
        <v>2229338.3</v>
      </c>
      <c r="BE48" s="15" t="n">
        <v>1662367.21</v>
      </c>
      <c r="BF48" s="15" t="n">
        <v>1080773.75</v>
      </c>
      <c r="BG48" s="15" t="n">
        <v>47113.79</v>
      </c>
      <c r="BH48" s="15" t="n">
        <v>649527.6899999999</v>
      </c>
      <c r="BI48" s="15" t="n">
        <v>407680.56</v>
      </c>
      <c r="BJ48" s="15" t="n">
        <v>763497.25</v>
      </c>
      <c r="BK48" s="15" t="n">
        <v>1846132.85</v>
      </c>
      <c r="BL48" s="15" t="n">
        <v>153448.88</v>
      </c>
      <c r="BM48" s="15" t="n">
        <v>140297.26</v>
      </c>
      <c r="BN48" s="15" t="n">
        <v>990653.97</v>
      </c>
      <c r="BO48" s="15" t="n">
        <v>2612898.11</v>
      </c>
      <c r="BP48" s="15" t="n">
        <v>409309.16</v>
      </c>
      <c r="BQ48" s="15" t="n">
        <v>1795881.64</v>
      </c>
      <c r="BR48" s="15" t="n">
        <v>1597064.14</v>
      </c>
      <c r="BS48" s="15" t="n">
        <v>378915.26</v>
      </c>
      <c r="BT48" s="15" t="n">
        <v>603966.08</v>
      </c>
      <c r="BU48" s="15" t="n">
        <v>2692418.9</v>
      </c>
      <c r="BV48" s="15" t="n">
        <v>4545246.36</v>
      </c>
      <c r="BW48" s="15" t="n">
        <v>1047829.97</v>
      </c>
      <c r="BX48" s="15" t="n">
        <v>1208068</v>
      </c>
      <c r="BY48" s="15" t="n">
        <v>86017.88</v>
      </c>
      <c r="BZ48" s="15" t="n">
        <v>977625.11</v>
      </c>
      <c r="CA48" s="15" t="n">
        <v>1497201.91</v>
      </c>
      <c r="CB48" s="15" t="n">
        <v>735265.77</v>
      </c>
      <c r="CC48" s="15" t="n">
        <v>1667578.83</v>
      </c>
      <c r="CD48" s="15" t="n">
        <v>1121616.72</v>
      </c>
      <c r="CE48" s="15" t="n">
        <v>337408.64</v>
      </c>
      <c r="CF48" s="15" t="n">
        <v>1278364.88</v>
      </c>
      <c r="CG48" s="15" t="n">
        <v>3601137.58</v>
      </c>
      <c r="CH48" s="15" t="n">
        <v>1055300.67</v>
      </c>
      <c r="CI48" s="15" t="n">
        <v>2364474.52</v>
      </c>
      <c r="CJ48" s="15" t="n">
        <v>319695.52</v>
      </c>
      <c r="CK48" s="15" t="n">
        <v>82442.72</v>
      </c>
      <c r="CL48" s="15" t="n">
        <v>1123027.34</v>
      </c>
      <c r="CM48" s="15" t="n">
        <v>2876911.86</v>
      </c>
      <c r="CN48" s="15" t="n">
        <v>3080929.1</v>
      </c>
      <c r="CO48" s="15" t="n">
        <v>715022.98</v>
      </c>
      <c r="CP48" s="15" t="n">
        <v>486364.27</v>
      </c>
      <c r="CQ48" s="15" t="n">
        <v>475756.91</v>
      </c>
      <c r="CR48" s="15" t="n">
        <v>723385.35</v>
      </c>
      <c r="CS48" s="15" t="n">
        <v>1800204.75</v>
      </c>
      <c r="CT48" s="15" t="n">
        <v>3101084.88</v>
      </c>
      <c r="CU48" s="15" t="n">
        <v>365378.22</v>
      </c>
      <c r="CV48" s="15" t="n">
        <v>1457875.35</v>
      </c>
      <c r="CW48" s="15" t="n">
        <v>105004.38</v>
      </c>
      <c r="CX48" s="15" t="n">
        <v>1164811.51</v>
      </c>
      <c r="CY48" s="15" t="n">
        <v>2426617.05</v>
      </c>
      <c r="CZ48" s="15" t="n">
        <v>2108709.57</v>
      </c>
      <c r="DA48" s="15" t="n">
        <v>1484207.46</v>
      </c>
      <c r="DB48" s="15" t="n">
        <v>330164.38</v>
      </c>
      <c r="DC48" s="15" t="n">
        <v>267861.56</v>
      </c>
      <c r="DD48" s="15" t="n">
        <v>326664.81</v>
      </c>
      <c r="DE48" s="15" t="n">
        <v>2971076.7</v>
      </c>
      <c r="DF48" s="15" t="n">
        <v>1403804.9</v>
      </c>
      <c r="DG48" s="15" t="n">
        <v>874322.7</v>
      </c>
      <c r="DH48" s="15" t="n">
        <v>732673.7</v>
      </c>
      <c r="DI48" s="15" t="n">
        <v>26575.96</v>
      </c>
      <c r="DJ48" s="15" t="n">
        <v>963562.2</v>
      </c>
      <c r="DK48" s="15" t="n">
        <v>3595715.73</v>
      </c>
      <c r="DL48" s="15" t="n">
        <v>1302408.8</v>
      </c>
      <c r="DM48" s="15" t="n">
        <v>2289081.95</v>
      </c>
      <c r="DN48" s="15" t="n">
        <v>1848136.56</v>
      </c>
      <c r="DO48" s="15" t="n">
        <v>70222.85000000001</v>
      </c>
      <c r="DP48" s="15" t="n">
        <v>736067.65</v>
      </c>
    </row>
    <row r="49">
      <c r="A49" s="4" t="inlineStr">
        <is>
          <t>团餐</t>
        </is>
      </c>
      <c r="B49" s="15" t="n">
        <v>1831771.77</v>
      </c>
      <c r="C49" s="15" t="n">
        <v>2071825.33</v>
      </c>
      <c r="D49" s="15" t="n">
        <v>1062144.03</v>
      </c>
      <c r="E49" s="15" t="n">
        <v>34067.67</v>
      </c>
      <c r="F49" s="15" t="n">
        <v>717731.13</v>
      </c>
      <c r="G49" s="15" t="n">
        <v>1319080.65</v>
      </c>
      <c r="H49" s="15" t="n">
        <v>3726169.38</v>
      </c>
      <c r="I49" s="15" t="n">
        <v>2467344.95</v>
      </c>
      <c r="J49" s="15" t="n">
        <v>1885087.53</v>
      </c>
      <c r="K49" s="15" t="n">
        <v>377582.19</v>
      </c>
      <c r="L49" s="15" t="n">
        <v>1070195.72</v>
      </c>
      <c r="M49" s="15" t="n">
        <v>1406600.15</v>
      </c>
      <c r="N49" s="15" t="n">
        <v>644460.65</v>
      </c>
      <c r="O49" s="15" t="n">
        <v>95214.36</v>
      </c>
      <c r="P49" s="15" t="n">
        <v>1068964.52</v>
      </c>
      <c r="Q49" s="15" t="n">
        <v>63347.44</v>
      </c>
      <c r="R49" s="15" t="n">
        <v>755420.4</v>
      </c>
      <c r="S49" s="15" t="n">
        <v>2595660.19</v>
      </c>
      <c r="T49" s="15" t="n">
        <v>4459294.71</v>
      </c>
      <c r="U49" s="15" t="n">
        <v>2481672.87</v>
      </c>
      <c r="V49" s="15" t="n">
        <v>983234.05</v>
      </c>
      <c r="W49" s="15" t="n">
        <v>250993</v>
      </c>
      <c r="X49" s="15" t="n">
        <v>1442538.78</v>
      </c>
      <c r="Y49" s="15" t="n">
        <v>1074263.78</v>
      </c>
      <c r="Z49" s="15" t="n">
        <v>2232684.77</v>
      </c>
      <c r="AA49" s="15" t="n">
        <v>1789519.79</v>
      </c>
      <c r="AB49" s="15" t="n">
        <v>904142.71</v>
      </c>
      <c r="AC49" s="15" t="n">
        <v>407546.35</v>
      </c>
      <c r="AD49" s="15" t="n">
        <v>1040784.15</v>
      </c>
      <c r="AE49" s="15" t="n">
        <v>3822737.66</v>
      </c>
      <c r="AF49" s="15" t="n">
        <v>1946946.19</v>
      </c>
      <c r="AG49" s="15" t="n">
        <v>2500423.78</v>
      </c>
      <c r="AH49" s="15" t="n">
        <v>1575895.8</v>
      </c>
      <c r="AI49" s="15" t="n">
        <v>154881.83</v>
      </c>
      <c r="AJ49" s="15" t="n">
        <v>1096749.56</v>
      </c>
      <c r="AK49" s="15" t="n">
        <v>1029568.64</v>
      </c>
      <c r="AL49" s="15" t="n">
        <v>1174364.11</v>
      </c>
      <c r="AM49" s="15" t="n">
        <v>943024.95</v>
      </c>
      <c r="AN49" s="15" t="n">
        <v>899543.45</v>
      </c>
      <c r="AO49" s="15" t="n">
        <v>145486.07</v>
      </c>
      <c r="AP49" s="15" t="n">
        <v>775928.39</v>
      </c>
      <c r="AQ49" s="15" t="n">
        <v>3898342.07</v>
      </c>
      <c r="AR49" s="15" t="n">
        <v>1073300.39</v>
      </c>
      <c r="AS49" s="15" t="n">
        <v>1469764.37</v>
      </c>
      <c r="AT49" s="15" t="n">
        <v>1790446.07</v>
      </c>
      <c r="AU49" s="15" t="n">
        <v>82469.53999999999</v>
      </c>
      <c r="AV49" s="15" t="n">
        <v>1148463.37</v>
      </c>
      <c r="AW49" s="15" t="n">
        <v>3730918.22</v>
      </c>
      <c r="AX49" s="15" t="n">
        <v>2208980.77</v>
      </c>
      <c r="AY49" s="15" t="n">
        <v>2684044.47</v>
      </c>
      <c r="AZ49" s="15" t="n">
        <v>1013957.27</v>
      </c>
      <c r="BA49" s="15" t="n">
        <v>311904.55</v>
      </c>
      <c r="BB49" s="15" t="n">
        <v>-73750.3</v>
      </c>
      <c r="BC49" s="15" t="n">
        <v>82032.67</v>
      </c>
      <c r="BD49" s="15" t="n">
        <v>1171027.16</v>
      </c>
      <c r="BE49" s="15" t="n">
        <v>913099.58</v>
      </c>
      <c r="BF49" s="15" t="n">
        <v>1107842.05</v>
      </c>
      <c r="BG49" s="15" t="n">
        <v>323020.39</v>
      </c>
      <c r="BH49" s="15" t="n">
        <v>216285.41</v>
      </c>
      <c r="BI49" s="15" t="n">
        <v>3948816.97</v>
      </c>
      <c r="BJ49" s="15" t="n">
        <v>346365.87</v>
      </c>
      <c r="BK49" s="15" t="n">
        <v>2893072.9</v>
      </c>
      <c r="BL49" s="15" t="n">
        <v>248301.78</v>
      </c>
      <c r="BM49" s="15" t="n">
        <v>151998.28</v>
      </c>
      <c r="BN49" s="15" t="n">
        <v>343134.82</v>
      </c>
      <c r="BO49" s="15" t="n">
        <v>2562908.73</v>
      </c>
      <c r="BP49" s="15" t="n">
        <v>1337242.56</v>
      </c>
      <c r="BQ49" s="15" t="n">
        <v>443859</v>
      </c>
      <c r="BR49" s="15" t="n">
        <v>845083.35</v>
      </c>
      <c r="BS49" s="15" t="n">
        <v>315913.71</v>
      </c>
      <c r="BT49" s="15" t="n">
        <v>1269306.44</v>
      </c>
      <c r="BU49" s="15" t="n">
        <v>2595055.24</v>
      </c>
      <c r="BV49" s="15" t="n">
        <v>2192630.37</v>
      </c>
      <c r="BW49" s="15" t="n">
        <v>1809806.81</v>
      </c>
      <c r="BX49" s="15" t="n">
        <v>553968.91</v>
      </c>
      <c r="BY49" s="15" t="n">
        <v>475242.91</v>
      </c>
      <c r="BZ49" s="15" t="n">
        <v>627580.4</v>
      </c>
      <c r="CA49" s="15" t="n">
        <v>1006072.01</v>
      </c>
      <c r="CB49" s="15" t="n">
        <v>4854183.23</v>
      </c>
      <c r="CC49" s="15" t="n">
        <v>1170288.59</v>
      </c>
      <c r="CD49" s="15" t="n">
        <v>1152838.01</v>
      </c>
      <c r="CE49" s="15" t="n">
        <v>378026.59</v>
      </c>
      <c r="CF49" s="15" t="n">
        <v>1390866.39</v>
      </c>
      <c r="CG49" s="15" t="n">
        <v>2355953.12</v>
      </c>
      <c r="CH49" s="15" t="n">
        <v>3071841.48</v>
      </c>
      <c r="CI49" s="15" t="n">
        <v>333813.49</v>
      </c>
      <c r="CJ49" s="15" t="n">
        <v>1507724.14</v>
      </c>
      <c r="CK49" s="15" t="n">
        <v>247497.8</v>
      </c>
      <c r="CL49" s="15" t="n">
        <v>1025183.6</v>
      </c>
      <c r="CM49" s="15" t="n">
        <v>1604358.47</v>
      </c>
      <c r="CN49" s="15" t="n">
        <v>1887709.59</v>
      </c>
      <c r="CO49" s="15" t="n">
        <v>1865153</v>
      </c>
      <c r="CP49" s="15" t="n">
        <v>1298177.41</v>
      </c>
      <c r="CQ49" s="15" t="n">
        <v>268305.06</v>
      </c>
      <c r="CR49" s="15" t="n">
        <v>690753.6</v>
      </c>
      <c r="CS49" s="15" t="n">
        <v>3240456.49</v>
      </c>
      <c r="CT49" s="15" t="n">
        <v>2579229.3</v>
      </c>
      <c r="CU49" s="15" t="n">
        <v>1811054.53</v>
      </c>
      <c r="CV49" s="15" t="n">
        <v>1366342.29</v>
      </c>
      <c r="CW49" s="15" t="n">
        <v>452547.45</v>
      </c>
      <c r="CX49" s="15" t="n">
        <v>1282556.13</v>
      </c>
      <c r="CY49" s="15" t="n">
        <v>1854518.57</v>
      </c>
      <c r="CZ49" s="15" t="n">
        <v>1299227.44</v>
      </c>
      <c r="DA49" s="15" t="n">
        <v>2411379.9</v>
      </c>
      <c r="DB49" s="15" t="n">
        <v>1231906.72</v>
      </c>
      <c r="DC49" s="15" t="n">
        <v>134051</v>
      </c>
      <c r="DD49" s="15" t="n">
        <v>246155.38</v>
      </c>
      <c r="DE49" s="15" t="n">
        <v>3835735.66</v>
      </c>
      <c r="DF49" s="15" t="n">
        <v>3641587.87</v>
      </c>
      <c r="DG49" s="15" t="n">
        <v>2802155.36</v>
      </c>
      <c r="DH49" s="15" t="n">
        <v>147749.85</v>
      </c>
      <c r="DI49" s="15" t="n">
        <v>223218.94</v>
      </c>
      <c r="DJ49" s="15" t="n">
        <v>1235233.46</v>
      </c>
      <c r="DK49" s="15" t="n">
        <v>1334920.75</v>
      </c>
      <c r="DL49" s="15" t="n">
        <v>1760842.57</v>
      </c>
      <c r="DM49" s="15" t="n">
        <v>797864.64</v>
      </c>
      <c r="DN49" s="15" t="n">
        <v>963926.86</v>
      </c>
      <c r="DO49" s="15" t="n">
        <v>146057.28</v>
      </c>
      <c r="DP49" s="15" t="n">
        <v>545600.01</v>
      </c>
    </row>
    <row r="50">
      <c r="A50" s="4" t="inlineStr">
        <is>
          <t>预制菜</t>
        </is>
      </c>
      <c r="B50" s="15" t="n">
        <v>873273.58</v>
      </c>
      <c r="C50" s="15" t="n">
        <v>476313.48</v>
      </c>
      <c r="D50" s="15" t="n">
        <v>1025026.48</v>
      </c>
      <c r="E50" s="15" t="n">
        <v>262454.51</v>
      </c>
      <c r="F50" s="15" t="n">
        <v>555438.4399999999</v>
      </c>
      <c r="G50" s="15" t="n">
        <v>1583273.51</v>
      </c>
      <c r="H50" s="15" t="n">
        <v>4092618.95</v>
      </c>
      <c r="I50" s="15" t="n">
        <v>2369222.55</v>
      </c>
      <c r="J50" s="15" t="n">
        <v>1836560.22</v>
      </c>
      <c r="K50" s="15" t="n">
        <v>49877.89</v>
      </c>
      <c r="L50" s="15" t="n">
        <v>732083.83</v>
      </c>
      <c r="M50" s="15" t="n">
        <v>2286118.8</v>
      </c>
      <c r="N50" s="15" t="n">
        <v>2643833.98</v>
      </c>
      <c r="O50" s="15" t="n">
        <v>1036403.77</v>
      </c>
      <c r="P50" s="15" t="n">
        <v>995697.14</v>
      </c>
      <c r="Q50" s="15" t="n">
        <v>436531.77</v>
      </c>
      <c r="R50" s="15" t="n">
        <v>714373.05</v>
      </c>
      <c r="S50" s="15" t="n">
        <v>3895766.05</v>
      </c>
      <c r="T50" s="15" t="n">
        <v>721481.25</v>
      </c>
      <c r="U50" s="15" t="n">
        <v>610953.36</v>
      </c>
      <c r="V50" s="15" t="n">
        <v>1197404.6</v>
      </c>
      <c r="W50" s="15" t="n">
        <v>323232.74</v>
      </c>
      <c r="X50" s="15" t="n">
        <v>-151604.44</v>
      </c>
      <c r="Y50" s="15" t="n">
        <v>314164.36</v>
      </c>
      <c r="Z50" s="15" t="n">
        <v>2987052.75</v>
      </c>
      <c r="AA50" s="15" t="n">
        <v>999886.0600000001</v>
      </c>
      <c r="AB50" s="15" t="n">
        <v>714346.35</v>
      </c>
      <c r="AC50" s="15" t="n">
        <v>65521.88</v>
      </c>
      <c r="AD50" s="15" t="n">
        <v>191195.04</v>
      </c>
      <c r="AE50" s="15" t="n">
        <v>1342571.12</v>
      </c>
      <c r="AF50" s="15" t="n">
        <v>1885170.29</v>
      </c>
      <c r="AG50" s="15" t="n">
        <v>155306.07</v>
      </c>
      <c r="AH50" s="15" t="n">
        <v>1464126.8</v>
      </c>
      <c r="AI50" s="15" t="n">
        <v>42907.03</v>
      </c>
      <c r="AJ50" s="15" t="n">
        <v>180999.16</v>
      </c>
      <c r="AK50" s="15" t="n">
        <v>1267433.75</v>
      </c>
      <c r="AL50" s="15" t="n">
        <v>1006031.81</v>
      </c>
      <c r="AM50" s="15" t="n">
        <v>1261724.32</v>
      </c>
      <c r="AN50" s="15" t="n">
        <v>1722263.24</v>
      </c>
      <c r="AO50" s="15" t="n">
        <v>372298.28</v>
      </c>
      <c r="AP50" s="15" t="n">
        <v>597892.0699999999</v>
      </c>
      <c r="AQ50" s="15" t="n">
        <v>3924248.18</v>
      </c>
      <c r="AR50" s="15" t="n">
        <v>1023374.76</v>
      </c>
      <c r="AS50" s="15" t="n">
        <v>748821.3100000001</v>
      </c>
      <c r="AT50" s="15" t="n">
        <v>1876718.28</v>
      </c>
      <c r="AU50" s="15" t="n">
        <v>456033.89</v>
      </c>
      <c r="AV50" s="15" t="n">
        <v>1117120.16</v>
      </c>
      <c r="AW50" s="15" t="n">
        <v>3070970.07</v>
      </c>
      <c r="AX50" s="15" t="n">
        <v>1747550.17</v>
      </c>
      <c r="AY50" s="15" t="n">
        <v>654404.34</v>
      </c>
      <c r="AZ50" s="15" t="n">
        <v>1757018.18</v>
      </c>
      <c r="BA50" s="15" t="n">
        <v>105427.06</v>
      </c>
      <c r="BB50" s="15" t="n">
        <v>1013257.38</v>
      </c>
      <c r="BC50" s="15" t="n">
        <v>2481126.27</v>
      </c>
      <c r="BD50" s="15" t="n">
        <v>2414293.01</v>
      </c>
      <c r="BE50" s="15" t="n">
        <v>2802145.21</v>
      </c>
      <c r="BF50" s="15" t="n">
        <v>1645894.6</v>
      </c>
      <c r="BG50" s="15" t="n">
        <v>338567.6</v>
      </c>
      <c r="BH50" s="15" t="n">
        <v>-165768.01</v>
      </c>
      <c r="BI50" s="15" t="n">
        <v>1632129.6</v>
      </c>
      <c r="BJ50" s="15" t="n">
        <v>4071707.07</v>
      </c>
      <c r="BK50" s="15" t="n">
        <v>1541081.27</v>
      </c>
      <c r="BL50" s="15" t="n">
        <v>1465867.44</v>
      </c>
      <c r="BM50" s="15" t="n">
        <v>68818.73</v>
      </c>
      <c r="BN50" s="15" t="n">
        <v>485676.92</v>
      </c>
      <c r="BO50" s="15" t="n">
        <v>80365.42</v>
      </c>
      <c r="BP50" s="15" t="n">
        <v>2501425.09</v>
      </c>
      <c r="BQ50" s="15" t="n">
        <v>1497059.74</v>
      </c>
      <c r="BR50" s="15" t="n">
        <v>1265827.76</v>
      </c>
      <c r="BS50" s="15" t="n">
        <v>320118.02</v>
      </c>
      <c r="BT50" s="15" t="n">
        <v>657220.46</v>
      </c>
      <c r="BU50" s="15" t="n">
        <v>3449491.21</v>
      </c>
      <c r="BV50" s="15" t="n">
        <v>816870.77</v>
      </c>
      <c r="BW50" s="15" t="n">
        <v>2122586.06</v>
      </c>
      <c r="BX50" s="15" t="n">
        <v>962663.5699999999</v>
      </c>
      <c r="BY50" s="15" t="n">
        <v>103269.29</v>
      </c>
      <c r="BZ50" s="15" t="n">
        <v>1248297.07</v>
      </c>
      <c r="CA50" s="15" t="n">
        <v>1745699.46</v>
      </c>
      <c r="CB50" s="15" t="n">
        <v>332270.34</v>
      </c>
      <c r="CC50" s="15" t="n">
        <v>2799984.12</v>
      </c>
      <c r="CD50" s="15" t="n">
        <v>922199.77</v>
      </c>
      <c r="CE50" s="15" t="n">
        <v>294711.73</v>
      </c>
      <c r="CF50" s="15" t="n">
        <v>1182022.97</v>
      </c>
      <c r="CG50" s="15" t="n">
        <v>2920961.41</v>
      </c>
      <c r="CH50" s="15" t="n">
        <v>4351432.89</v>
      </c>
      <c r="CI50" s="15" t="n">
        <v>2545898.35</v>
      </c>
      <c r="CJ50" s="15" t="n">
        <v>835591.71</v>
      </c>
      <c r="CK50" s="15" t="n">
        <v>288917.3</v>
      </c>
      <c r="CL50" s="15" t="n">
        <v>917489.34</v>
      </c>
      <c r="CM50" s="15" t="n">
        <v>3983411.81</v>
      </c>
      <c r="CN50" s="15" t="n">
        <v>2565899.56</v>
      </c>
      <c r="CO50" s="15" t="n">
        <v>1018155.47</v>
      </c>
      <c r="CP50" s="15" t="n">
        <v>683253.84</v>
      </c>
      <c r="CQ50" s="15" t="n">
        <v>15456.23</v>
      </c>
      <c r="CR50" s="15" t="n">
        <v>1295055.22</v>
      </c>
      <c r="CS50" s="15" t="n">
        <v>296575.22</v>
      </c>
      <c r="CT50" s="15" t="n">
        <v>3248672.91</v>
      </c>
      <c r="CU50" s="15" t="n">
        <v>875677.71</v>
      </c>
      <c r="CV50" s="15" t="n">
        <v>740323.6800000001</v>
      </c>
      <c r="CW50" s="15" t="n">
        <v>32720.97</v>
      </c>
      <c r="CX50" s="15" t="n">
        <v>997235.92</v>
      </c>
      <c r="CY50" s="15" t="n">
        <v>2434357.49</v>
      </c>
      <c r="CZ50" s="15" t="n">
        <v>869682.41</v>
      </c>
      <c r="DA50" s="15" t="n">
        <v>1852804.21</v>
      </c>
      <c r="DB50" s="15" t="n">
        <v>1946574.17</v>
      </c>
      <c r="DC50" s="15" t="n">
        <v>494898.05</v>
      </c>
      <c r="DD50" s="15" t="n">
        <v>1114765.88</v>
      </c>
      <c r="DE50" s="15" t="n">
        <v>186633.68</v>
      </c>
      <c r="DF50" s="15" t="n">
        <v>500280.74</v>
      </c>
      <c r="DG50" s="15" t="n">
        <v>2791494.93</v>
      </c>
      <c r="DH50" s="15" t="n">
        <v>1232064.76</v>
      </c>
      <c r="DI50" s="15" t="n">
        <v>358228.43</v>
      </c>
      <c r="DJ50" s="15" t="n">
        <v>972551.3199999999</v>
      </c>
      <c r="DK50" s="15" t="n">
        <v>658455.45</v>
      </c>
      <c r="DL50" s="15" t="n">
        <v>1842892.77</v>
      </c>
      <c r="DM50" s="15" t="n">
        <v>1378998.91</v>
      </c>
      <c r="DN50" s="15" t="n">
        <v>333510.48</v>
      </c>
      <c r="DO50" s="15" t="n">
        <v>151928.06</v>
      </c>
      <c r="DP50" s="15" t="n">
        <v>203923.04</v>
      </c>
    </row>
    <row r="51">
      <c r="A51" s="4" t="inlineStr">
        <is>
          <t>其他产品A</t>
        </is>
      </c>
      <c r="B51" s="15" t="n">
        <v>1729575.07</v>
      </c>
      <c r="C51" s="15" t="n">
        <v>954610.85</v>
      </c>
      <c r="D51" s="15" t="n">
        <v>175250.62</v>
      </c>
      <c r="E51" s="15" t="n">
        <v>182102.08</v>
      </c>
      <c r="F51" s="15" t="n">
        <v>649787.8199999999</v>
      </c>
      <c r="G51" s="15" t="n">
        <v>345335.99</v>
      </c>
      <c r="H51" s="15" t="n">
        <v>2266175.9</v>
      </c>
      <c r="I51" s="15" t="n">
        <v>657692.4399999999</v>
      </c>
      <c r="J51" s="15" t="n">
        <v>1111268.28</v>
      </c>
      <c r="K51" s="15" t="n">
        <v>387616.82</v>
      </c>
      <c r="L51" s="15" t="n">
        <v>1032653.41</v>
      </c>
      <c r="M51" s="15" t="n">
        <v>3170668.33</v>
      </c>
      <c r="N51" s="15" t="n">
        <v>906493.17</v>
      </c>
      <c r="O51" s="15" t="n">
        <v>2416547.38</v>
      </c>
      <c r="P51" s="15" t="n">
        <v>645148.3</v>
      </c>
      <c r="Q51" s="15" t="n">
        <v>54374.74</v>
      </c>
      <c r="R51" s="15" t="n">
        <v>1294760.08</v>
      </c>
      <c r="S51" s="15" t="n">
        <v>3163175.21</v>
      </c>
      <c r="T51" s="15" t="n">
        <v>4252475.5</v>
      </c>
      <c r="U51" s="15" t="n">
        <v>1413438.26</v>
      </c>
      <c r="V51" s="15" t="n">
        <v>87911.96000000001</v>
      </c>
      <c r="W51" s="15" t="n">
        <v>257950.15</v>
      </c>
      <c r="X51" s="15" t="n">
        <v>651384.26</v>
      </c>
      <c r="Y51" s="15" t="n">
        <v>108012.1</v>
      </c>
      <c r="Z51" s="15" t="n">
        <v>1713721.03</v>
      </c>
      <c r="AA51" s="15" t="n">
        <v>987344.77</v>
      </c>
      <c r="AB51" s="15" t="n">
        <v>416953.48</v>
      </c>
      <c r="AC51" s="15" t="n">
        <v>279803.96</v>
      </c>
      <c r="AD51" s="15" t="n">
        <v>-196226.25</v>
      </c>
      <c r="AE51" s="15" t="n">
        <v>847522.73</v>
      </c>
      <c r="AF51" s="15" t="n">
        <v>2020222.99</v>
      </c>
      <c r="AG51" s="15" t="n">
        <v>1878647.71</v>
      </c>
      <c r="AH51" s="15" t="n">
        <v>964893.21</v>
      </c>
      <c r="AI51" s="15" t="n">
        <v>224315.56</v>
      </c>
      <c r="AJ51" s="15" t="n">
        <v>168772.71</v>
      </c>
      <c r="AK51" s="15" t="n">
        <v>2507317.56</v>
      </c>
      <c r="AL51" s="15" t="n">
        <v>1917693.84</v>
      </c>
      <c r="AM51" s="15" t="n">
        <v>2322105.08</v>
      </c>
      <c r="AN51" s="15" t="n">
        <v>1486704.66</v>
      </c>
      <c r="AO51" s="15" t="n">
        <v>487135.31</v>
      </c>
      <c r="AP51" s="15" t="n">
        <v>393641.21</v>
      </c>
      <c r="AQ51" s="15" t="n">
        <v>3206216.62</v>
      </c>
      <c r="AR51" s="15" t="n">
        <v>4275071.61</v>
      </c>
      <c r="AS51" s="15" t="n">
        <v>1261713.22</v>
      </c>
      <c r="AT51" s="15" t="n">
        <v>842507.55</v>
      </c>
      <c r="AU51" s="15" t="n">
        <v>99019.59</v>
      </c>
      <c r="AV51" s="15" t="n">
        <v>1125119.49</v>
      </c>
      <c r="AW51" s="15" t="n">
        <v>2176138.87</v>
      </c>
      <c r="AX51" s="15" t="n">
        <v>1656103.13</v>
      </c>
      <c r="AY51" s="15" t="n">
        <v>1669677.69</v>
      </c>
      <c r="AZ51" s="15" t="n">
        <v>1114525.51</v>
      </c>
      <c r="BA51" s="15" t="n">
        <v>392879.86</v>
      </c>
      <c r="BB51" s="15" t="n">
        <v>1207504.75</v>
      </c>
      <c r="BC51" s="15" t="n">
        <v>797992.15</v>
      </c>
      <c r="BD51" s="15" t="n">
        <v>4338757.64</v>
      </c>
      <c r="BE51" s="15" t="n">
        <v>1590838.66</v>
      </c>
      <c r="BF51" s="15" t="n">
        <v>680526.22</v>
      </c>
      <c r="BG51" s="15" t="n">
        <v>230399.83</v>
      </c>
      <c r="BH51" s="15" t="n">
        <v>1291615.19</v>
      </c>
      <c r="BI51" s="15" t="n">
        <v>2262444.16</v>
      </c>
      <c r="BJ51" s="15" t="n">
        <v>862401.65</v>
      </c>
      <c r="BK51" s="15" t="n">
        <v>909029.16</v>
      </c>
      <c r="BL51" s="15" t="n">
        <v>1921589.62</v>
      </c>
      <c r="BM51" s="15" t="n">
        <v>291017.22</v>
      </c>
      <c r="BN51" s="15" t="n">
        <v>327305.75</v>
      </c>
      <c r="BO51" s="15" t="n">
        <v>952963.77</v>
      </c>
      <c r="BP51" s="15" t="n">
        <v>606782.28</v>
      </c>
      <c r="BQ51" s="15" t="n">
        <v>769521.47</v>
      </c>
      <c r="BR51" s="15" t="n">
        <v>1744176.25</v>
      </c>
      <c r="BS51" s="15" t="n">
        <v>218790.84</v>
      </c>
      <c r="BT51" s="15" t="n">
        <v>126767.42</v>
      </c>
      <c r="BU51" s="15" t="n">
        <v>218533.71</v>
      </c>
      <c r="BV51" s="15" t="n">
        <v>4791222.1</v>
      </c>
      <c r="BW51" s="15" t="n">
        <v>1153618.18</v>
      </c>
      <c r="BX51" s="15" t="n">
        <v>447186.63</v>
      </c>
      <c r="BY51" s="15" t="n">
        <v>209918.56</v>
      </c>
      <c r="BZ51" s="15" t="n">
        <v>243367.18</v>
      </c>
      <c r="CA51" s="15" t="n">
        <v>3691607.09</v>
      </c>
      <c r="CB51" s="15" t="n">
        <v>1100524.21</v>
      </c>
      <c r="CC51" s="15" t="n">
        <v>2589437.3</v>
      </c>
      <c r="CD51" s="15" t="n">
        <v>1561160.19</v>
      </c>
      <c r="CE51" s="15" t="n">
        <v>383849.91</v>
      </c>
      <c r="CF51" s="15" t="n">
        <v>1379070.16</v>
      </c>
      <c r="CG51" s="15" t="n">
        <v>1739668.31</v>
      </c>
      <c r="CH51" s="15" t="n">
        <v>893227.71</v>
      </c>
      <c r="CI51" s="15" t="n">
        <v>1635046.81</v>
      </c>
      <c r="CJ51" s="15" t="n">
        <v>862622.27</v>
      </c>
      <c r="CK51" s="15" t="n">
        <v>336687.14</v>
      </c>
      <c r="CL51" s="15" t="n">
        <v>-121922.58</v>
      </c>
      <c r="CM51" s="15" t="n">
        <v>1644434.97</v>
      </c>
      <c r="CN51" s="15" t="n">
        <v>2455669.18</v>
      </c>
      <c r="CO51" s="15" t="n">
        <v>2987305.87</v>
      </c>
      <c r="CP51" s="15" t="n">
        <v>712794.15</v>
      </c>
      <c r="CQ51" s="15" t="n">
        <v>184305.96</v>
      </c>
      <c r="CR51" s="15" t="n">
        <v>1133925.44</v>
      </c>
      <c r="CS51" s="15" t="n">
        <v>2961251.69</v>
      </c>
      <c r="CT51" s="15" t="n">
        <v>3791679.48</v>
      </c>
      <c r="CU51" s="15" t="n">
        <v>1021803.99</v>
      </c>
      <c r="CV51" s="15" t="n">
        <v>218957.31</v>
      </c>
      <c r="CW51" s="15" t="n">
        <v>11472.63</v>
      </c>
      <c r="CX51" s="15" t="n">
        <v>1403851.16</v>
      </c>
      <c r="CY51" s="15" t="n">
        <v>3048281.83</v>
      </c>
      <c r="CZ51" s="15" t="n">
        <v>3378535.83</v>
      </c>
      <c r="DA51" s="15" t="n">
        <v>1359240.51</v>
      </c>
      <c r="DB51" s="15" t="n">
        <v>1802402.08</v>
      </c>
      <c r="DC51" s="15" t="n">
        <v>74110.91</v>
      </c>
      <c r="DD51" s="15" t="n">
        <v>1461275.06</v>
      </c>
      <c r="DE51" s="15" t="n">
        <v>1231163.24</v>
      </c>
      <c r="DF51" s="15" t="n">
        <v>976293.98</v>
      </c>
      <c r="DG51" s="15" t="n">
        <v>2084030.54</v>
      </c>
      <c r="DH51" s="15" t="n">
        <v>1610079.63</v>
      </c>
      <c r="DI51" s="15" t="n">
        <v>271264.77</v>
      </c>
      <c r="DJ51" s="15" t="n">
        <v>845245.78</v>
      </c>
      <c r="DK51" s="15" t="n">
        <v>2048598.26</v>
      </c>
      <c r="DL51" s="15" t="n">
        <v>416990.13</v>
      </c>
      <c r="DM51" s="15" t="n">
        <v>1906857</v>
      </c>
      <c r="DN51" s="15" t="n">
        <v>1825651.28</v>
      </c>
      <c r="DO51" s="15" t="n">
        <v>404902.92</v>
      </c>
      <c r="DP51" s="15" t="n">
        <v>698617.46</v>
      </c>
    </row>
    <row r="52">
      <c r="A52" s="4" t="inlineStr">
        <is>
          <t>其他产品B</t>
        </is>
      </c>
      <c r="B52" s="15" t="n">
        <v>841118.39</v>
      </c>
      <c r="C52" s="15" t="n">
        <v>1067280.01</v>
      </c>
      <c r="D52" s="15" t="n">
        <v>1017624.34</v>
      </c>
      <c r="E52" s="15" t="n">
        <v>380475.2</v>
      </c>
      <c r="F52" s="15" t="n">
        <v>1133117.46</v>
      </c>
      <c r="G52" s="15" t="n">
        <v>2546791.86</v>
      </c>
      <c r="H52" s="15" t="n">
        <v>327678.68</v>
      </c>
      <c r="I52" s="15" t="n">
        <v>122563.66</v>
      </c>
      <c r="J52" s="15" t="n">
        <v>590497.49</v>
      </c>
      <c r="K52" s="15" t="n">
        <v>65929.28999999999</v>
      </c>
      <c r="L52" s="15" t="n">
        <v>1148050.58</v>
      </c>
      <c r="M52" s="15" t="n">
        <v>415736.78</v>
      </c>
      <c r="N52" s="15" t="n">
        <v>390409.27</v>
      </c>
      <c r="O52" s="15" t="n">
        <v>1432730.39</v>
      </c>
      <c r="P52" s="15" t="n">
        <v>1900962.58</v>
      </c>
      <c r="Q52" s="15" t="n">
        <v>383735.47</v>
      </c>
      <c r="R52" s="15" t="n">
        <v>785751.1</v>
      </c>
      <c r="S52" s="15" t="n">
        <v>538415.5600000001</v>
      </c>
      <c r="T52" s="15" t="n">
        <v>1956977.99</v>
      </c>
      <c r="U52" s="15" t="n">
        <v>1597611.02</v>
      </c>
      <c r="V52" s="15" t="n">
        <v>255387.47</v>
      </c>
      <c r="W52" s="15" t="n">
        <v>385598.1</v>
      </c>
      <c r="X52" s="15" t="n">
        <v>1197634.3</v>
      </c>
      <c r="Y52" s="15" t="n">
        <v>417082.87</v>
      </c>
      <c r="Z52" s="15" t="n">
        <v>3212538.8</v>
      </c>
      <c r="AA52" s="15" t="n">
        <v>1911278.05</v>
      </c>
      <c r="AB52" s="15" t="n">
        <v>1939029.58</v>
      </c>
      <c r="AC52" s="15" t="n">
        <v>53772.92</v>
      </c>
      <c r="AD52" s="15" t="n">
        <v>901436.37</v>
      </c>
      <c r="AE52" s="15" t="n">
        <v>145251.98</v>
      </c>
      <c r="AF52" s="15" t="n">
        <v>1449913.65</v>
      </c>
      <c r="AG52" s="15" t="n">
        <v>2010881.3</v>
      </c>
      <c r="AH52" s="15" t="n">
        <v>725461.9300000001</v>
      </c>
      <c r="AI52" s="15" t="n">
        <v>30625.17</v>
      </c>
      <c r="AJ52" s="15" t="n">
        <v>1281858.12</v>
      </c>
      <c r="AK52" s="15" t="n">
        <v>1302606.15</v>
      </c>
      <c r="AL52" s="15" t="n">
        <v>2804779.83</v>
      </c>
      <c r="AM52" s="15" t="n">
        <v>159715.39</v>
      </c>
      <c r="AN52" s="15" t="n">
        <v>1288628.47</v>
      </c>
      <c r="AO52" s="15" t="n">
        <v>297708.89</v>
      </c>
      <c r="AP52" s="15" t="n">
        <v>21209.23</v>
      </c>
      <c r="AQ52" s="15" t="n">
        <v>1952026.14</v>
      </c>
      <c r="AR52" s="15" t="n">
        <v>2090074.79</v>
      </c>
      <c r="AS52" s="15" t="n">
        <v>2681998.1</v>
      </c>
      <c r="AT52" s="15" t="n">
        <v>1253481.69</v>
      </c>
      <c r="AU52" s="15" t="n">
        <v>28197.5</v>
      </c>
      <c r="AV52" s="15" t="n">
        <v>906389.9300000001</v>
      </c>
      <c r="AW52" s="15" t="n">
        <v>1295862.57</v>
      </c>
      <c r="AX52" s="15" t="n">
        <v>3969201.45</v>
      </c>
      <c r="AY52" s="15" t="n">
        <v>1894016.02</v>
      </c>
      <c r="AZ52" s="15" t="n">
        <v>677426.4399999999</v>
      </c>
      <c r="BA52" s="15" t="n">
        <v>328070.94</v>
      </c>
      <c r="BB52" s="15" t="n">
        <v>1056473.37</v>
      </c>
      <c r="BC52" s="15" t="n">
        <v>3421015.22</v>
      </c>
      <c r="BD52" s="15" t="n">
        <v>3282435.31</v>
      </c>
      <c r="BE52" s="15" t="n">
        <v>1548255.07</v>
      </c>
      <c r="BF52" s="15" t="n">
        <v>100625.9</v>
      </c>
      <c r="BG52" s="15" t="n">
        <v>342095.51</v>
      </c>
      <c r="BH52" s="15" t="n">
        <v>1140467.91</v>
      </c>
      <c r="BI52" s="15" t="n">
        <v>1623466.58</v>
      </c>
      <c r="BJ52" s="15" t="n">
        <v>2855870.51</v>
      </c>
      <c r="BK52" s="15" t="n">
        <v>1246142.78</v>
      </c>
      <c r="BL52" s="15" t="n">
        <v>984732.3100000001</v>
      </c>
      <c r="BM52" s="15" t="n">
        <v>436705.57</v>
      </c>
      <c r="BN52" s="15" t="n">
        <v>317482.32</v>
      </c>
      <c r="BO52" s="15" t="n">
        <v>1354813.2</v>
      </c>
      <c r="BP52" s="15" t="n">
        <v>2598937.05</v>
      </c>
      <c r="BQ52" s="15" t="n">
        <v>2246772.9</v>
      </c>
      <c r="BR52" s="15" t="n">
        <v>979336.3199999999</v>
      </c>
      <c r="BS52" s="15" t="n">
        <v>266749.03</v>
      </c>
      <c r="BT52" s="15" t="n">
        <v>175582.96</v>
      </c>
      <c r="BU52" s="15" t="n">
        <v>1449954.69</v>
      </c>
      <c r="BV52" s="15" t="n">
        <v>3933504.02</v>
      </c>
      <c r="BW52" s="15" t="n">
        <v>2332009</v>
      </c>
      <c r="BX52" s="15" t="n">
        <v>1744932.36</v>
      </c>
      <c r="BY52" s="15" t="n">
        <v>337262.6</v>
      </c>
      <c r="BZ52" s="15" t="n">
        <v>243079.04</v>
      </c>
      <c r="CA52" s="15" t="n">
        <v>2615863.05</v>
      </c>
      <c r="CB52" s="15" t="n">
        <v>4372641.96</v>
      </c>
      <c r="CC52" s="15" t="n">
        <v>1860969.25</v>
      </c>
      <c r="CD52" s="15" t="n">
        <v>1663007.53</v>
      </c>
      <c r="CE52" s="15" t="n">
        <v>209416.07</v>
      </c>
      <c r="CF52" s="15" t="n">
        <v>993991.83</v>
      </c>
      <c r="CG52" s="15" t="n">
        <v>2711078.55</v>
      </c>
      <c r="CH52" s="15" t="n">
        <v>272567.97</v>
      </c>
      <c r="CI52" s="15" t="n">
        <v>179442.2</v>
      </c>
      <c r="CJ52" s="15" t="n">
        <v>89035.17</v>
      </c>
      <c r="CK52" s="15" t="n">
        <v>184913.32</v>
      </c>
      <c r="CL52" s="15" t="n">
        <v>805886.14</v>
      </c>
      <c r="CM52" s="15" t="n">
        <v>3796618.5</v>
      </c>
      <c r="CN52" s="15" t="n">
        <v>2788987.62</v>
      </c>
      <c r="CO52" s="15" t="n">
        <v>863282.13</v>
      </c>
      <c r="CP52" s="15" t="n">
        <v>1946331.53</v>
      </c>
      <c r="CQ52" s="15" t="n">
        <v>452077.36</v>
      </c>
      <c r="CR52" s="15" t="n">
        <v>735233.14</v>
      </c>
      <c r="CS52" s="15" t="n">
        <v>3061569.07</v>
      </c>
      <c r="CT52" s="15" t="n">
        <v>4015258.88</v>
      </c>
      <c r="CU52" s="15" t="n">
        <v>1286329.66</v>
      </c>
      <c r="CV52" s="15" t="n">
        <v>1271293.34</v>
      </c>
      <c r="CW52" s="15" t="n">
        <v>422662.73</v>
      </c>
      <c r="CX52" s="15" t="n">
        <v>-22367.37</v>
      </c>
      <c r="CY52" s="15" t="n">
        <v>120162.68</v>
      </c>
      <c r="CZ52" s="15" t="n">
        <v>2919232.03</v>
      </c>
      <c r="DA52" s="15" t="n">
        <v>381899.15</v>
      </c>
      <c r="DB52" s="15" t="n">
        <v>886309.64</v>
      </c>
      <c r="DC52" s="15" t="n">
        <v>286668.17</v>
      </c>
      <c r="DD52" s="15" t="n">
        <v>653335.02</v>
      </c>
      <c r="DE52" s="15" t="n">
        <v>1835443.05</v>
      </c>
      <c r="DF52" s="15" t="n">
        <v>460229.24</v>
      </c>
      <c r="DG52" s="15" t="n">
        <v>2484426.39</v>
      </c>
      <c r="DH52" s="15" t="n">
        <v>1905768.44</v>
      </c>
      <c r="DI52" s="15" t="n">
        <v>255531.73</v>
      </c>
      <c r="DJ52" s="15" t="n">
        <v>-3299.38</v>
      </c>
      <c r="DK52" s="15" t="n">
        <v>1640159.92</v>
      </c>
      <c r="DL52" s="15" t="n">
        <v>2090798.3</v>
      </c>
      <c r="DM52" s="15" t="n">
        <v>1627914.17</v>
      </c>
      <c r="DN52" s="15" t="n">
        <v>1130682.09</v>
      </c>
      <c r="DO52" s="15" t="n">
        <v>119210.36</v>
      </c>
      <c r="DP52" s="15" t="n">
        <v>-169709</v>
      </c>
    </row>
    <row r="53">
      <c r="A53" s="4" t="inlineStr">
        <is>
          <t>其他产品C</t>
        </is>
      </c>
      <c r="B53" s="15" t="n">
        <v>4303860.37</v>
      </c>
      <c r="C53" s="15" t="n">
        <v>1663986.41</v>
      </c>
      <c r="D53" s="15" t="n">
        <v>771861.13</v>
      </c>
      <c r="E53" s="15" t="n">
        <v>63205.12</v>
      </c>
      <c r="F53" s="15" t="n">
        <v>107076.27</v>
      </c>
      <c r="G53" s="15" t="n">
        <v>456046.15</v>
      </c>
      <c r="H53" s="15" t="n">
        <v>367780.63</v>
      </c>
      <c r="I53" s="15" t="n">
        <v>1180205.23</v>
      </c>
      <c r="J53" s="15" t="n">
        <v>664519.65</v>
      </c>
      <c r="K53" s="15" t="n">
        <v>464465.29</v>
      </c>
      <c r="L53" s="15" t="n">
        <v>454593.98</v>
      </c>
      <c r="M53" s="15" t="n">
        <v>681581.6</v>
      </c>
      <c r="N53" s="15" t="n">
        <v>2252042.73</v>
      </c>
      <c r="O53" s="15" t="n">
        <v>388405.91</v>
      </c>
      <c r="P53" s="15" t="n">
        <v>1734840.74</v>
      </c>
      <c r="Q53" s="15" t="n">
        <v>117327.6</v>
      </c>
      <c r="R53" s="15" t="n">
        <v>-16391.51</v>
      </c>
      <c r="S53" s="15" t="n">
        <v>1810190.52</v>
      </c>
      <c r="T53" s="15" t="n">
        <v>3008169.27</v>
      </c>
      <c r="U53" s="15" t="n">
        <v>1390139.24</v>
      </c>
      <c r="V53" s="15" t="n">
        <v>360986.35</v>
      </c>
      <c r="W53" s="15" t="n">
        <v>434796.01</v>
      </c>
      <c r="X53" s="15" t="n">
        <v>1137274.61</v>
      </c>
      <c r="Y53" s="15" t="n">
        <v>3780848.11</v>
      </c>
      <c r="Z53" s="15" t="n">
        <v>2961616.76</v>
      </c>
      <c r="AA53" s="15" t="n">
        <v>2787971.14</v>
      </c>
      <c r="AB53" s="15" t="n">
        <v>1587724.8</v>
      </c>
      <c r="AC53" s="15" t="n">
        <v>323049.06</v>
      </c>
      <c r="AD53" s="15" t="n">
        <v>1401090.86</v>
      </c>
      <c r="AE53" s="15" t="n">
        <v>1994067.44</v>
      </c>
      <c r="AF53" s="15" t="n">
        <v>1882913.8</v>
      </c>
      <c r="AG53" s="15" t="n">
        <v>1692796.57</v>
      </c>
      <c r="AH53" s="15" t="n">
        <v>1269122.65</v>
      </c>
      <c r="AI53" s="15" t="n">
        <v>327305.61</v>
      </c>
      <c r="AJ53" s="15" t="n">
        <v>848721.96</v>
      </c>
      <c r="AK53" s="15" t="n">
        <v>1849301.74</v>
      </c>
      <c r="AL53" s="15" t="n">
        <v>2384611.79</v>
      </c>
      <c r="AM53" s="15" t="n">
        <v>740727.99</v>
      </c>
      <c r="AN53" s="15" t="n">
        <v>456532.35</v>
      </c>
      <c r="AO53" s="15" t="n">
        <v>381637.87</v>
      </c>
      <c r="AP53" s="15" t="n">
        <v>1115811.1</v>
      </c>
      <c r="AQ53" s="15" t="n">
        <v>448666.99</v>
      </c>
      <c r="AR53" s="15" t="n">
        <v>2179079.31</v>
      </c>
      <c r="AS53" s="15" t="n">
        <v>2687790.42</v>
      </c>
      <c r="AT53" s="15" t="n">
        <v>361529.51</v>
      </c>
      <c r="AU53" s="15" t="n">
        <v>469533.16</v>
      </c>
      <c r="AV53" s="15" t="n">
        <v>1205863.75</v>
      </c>
      <c r="AW53" s="15" t="n">
        <v>1119018.46</v>
      </c>
      <c r="AX53" s="15" t="n">
        <v>4550332.25</v>
      </c>
      <c r="AY53" s="15" t="n">
        <v>802273.16</v>
      </c>
      <c r="AZ53" s="15" t="n">
        <v>193375.68</v>
      </c>
      <c r="BA53" s="15" t="n">
        <v>214522.39</v>
      </c>
      <c r="BB53" s="15" t="n">
        <v>-137283.81</v>
      </c>
      <c r="BC53" s="15" t="n">
        <v>1118443.61</v>
      </c>
      <c r="BD53" s="15" t="n">
        <v>3853700.29</v>
      </c>
      <c r="BE53" s="15" t="n">
        <v>1147738.47</v>
      </c>
      <c r="BF53" s="15" t="n">
        <v>871677.9</v>
      </c>
      <c r="BG53" s="15" t="n">
        <v>149125.15</v>
      </c>
      <c r="BH53" s="15" t="n">
        <v>386502.74</v>
      </c>
      <c r="BI53" s="15" t="n">
        <v>2665623.88</v>
      </c>
      <c r="BJ53" s="15" t="n">
        <v>3725296.13</v>
      </c>
      <c r="BK53" s="15" t="n">
        <v>481697.01</v>
      </c>
      <c r="BL53" s="15" t="n">
        <v>1807793.56</v>
      </c>
      <c r="BM53" s="15" t="n">
        <v>212902.84</v>
      </c>
      <c r="BN53" s="15" t="n">
        <v>813317.72</v>
      </c>
      <c r="BO53" s="15" t="n">
        <v>2935329.31</v>
      </c>
      <c r="BP53" s="15" t="n">
        <v>1908641.58</v>
      </c>
      <c r="BQ53" s="15" t="n">
        <v>313754.7</v>
      </c>
      <c r="BR53" s="15" t="n">
        <v>1352871.02</v>
      </c>
      <c r="BS53" s="15" t="n">
        <v>290944.86</v>
      </c>
      <c r="BT53" s="15" t="n">
        <v>1301907.08</v>
      </c>
      <c r="BU53" s="15" t="n">
        <v>3354078.62</v>
      </c>
      <c r="BV53" s="15" t="n">
        <v>4666931.11</v>
      </c>
      <c r="BW53" s="15" t="n">
        <v>2464335.43</v>
      </c>
      <c r="BX53" s="15" t="n">
        <v>1124255.74</v>
      </c>
      <c r="BY53" s="15" t="n">
        <v>134602.34</v>
      </c>
      <c r="BZ53" s="15" t="n">
        <v>660168.48</v>
      </c>
      <c r="CA53" s="15" t="n">
        <v>3327685.41</v>
      </c>
      <c r="CB53" s="15" t="n">
        <v>761681.1800000001</v>
      </c>
      <c r="CC53" s="15" t="n">
        <v>1832644.79</v>
      </c>
      <c r="CD53" s="15" t="n">
        <v>1624957.35</v>
      </c>
      <c r="CE53" s="15" t="n">
        <v>405907.46</v>
      </c>
      <c r="CF53" s="15" t="n">
        <v>555214.51</v>
      </c>
      <c r="CG53" s="15" t="n">
        <v>2409379.2</v>
      </c>
      <c r="CH53" s="15" t="n">
        <v>4661447.14</v>
      </c>
      <c r="CI53" s="15" t="n">
        <v>2223671.52</v>
      </c>
      <c r="CJ53" s="15" t="n">
        <v>638667.61</v>
      </c>
      <c r="CK53" s="15" t="n">
        <v>95073.44</v>
      </c>
      <c r="CL53" s="15" t="n">
        <v>607878.22</v>
      </c>
      <c r="CM53" s="15" t="n">
        <v>1714231.68</v>
      </c>
      <c r="CN53" s="15" t="n">
        <v>3554664.56</v>
      </c>
      <c r="CO53" s="15" t="n">
        <v>1488377.38</v>
      </c>
      <c r="CP53" s="15" t="n">
        <v>1326593.65</v>
      </c>
      <c r="CQ53" s="15" t="n">
        <v>69321.95</v>
      </c>
      <c r="CR53" s="15" t="n">
        <v>542149.01</v>
      </c>
      <c r="CS53" s="15" t="n">
        <v>3391843.38</v>
      </c>
      <c r="CT53" s="15" t="n">
        <v>4478378.84</v>
      </c>
      <c r="CU53" s="15" t="n">
        <v>70001.75</v>
      </c>
      <c r="CV53" s="15" t="n">
        <v>357306.79</v>
      </c>
      <c r="CW53" s="15" t="n">
        <v>349957.64</v>
      </c>
      <c r="CX53" s="15" t="n">
        <v>123569.83</v>
      </c>
      <c r="CY53" s="15" t="n">
        <v>829824.38</v>
      </c>
      <c r="CZ53" s="15" t="n">
        <v>859120.12</v>
      </c>
      <c r="DA53" s="15" t="n">
        <v>1098471.94</v>
      </c>
      <c r="DB53" s="15" t="n">
        <v>783067.01</v>
      </c>
      <c r="DC53" s="15" t="n">
        <v>282923.43</v>
      </c>
      <c r="DD53" s="15" t="n">
        <v>43743.24</v>
      </c>
      <c r="DE53" s="15" t="n">
        <v>3783057.05</v>
      </c>
      <c r="DF53" s="15" t="n">
        <v>3627374.99</v>
      </c>
      <c r="DG53" s="15" t="n">
        <v>2503498.23</v>
      </c>
      <c r="DH53" s="15" t="n">
        <v>431487.06</v>
      </c>
      <c r="DI53" s="15" t="n">
        <v>135357.27</v>
      </c>
      <c r="DJ53" s="15" t="n">
        <v>8897.73</v>
      </c>
      <c r="DK53" s="15" t="n">
        <v>2776688.95</v>
      </c>
      <c r="DL53" s="15" t="n">
        <v>1788919.79</v>
      </c>
      <c r="DM53" s="15" t="n">
        <v>2536849.59</v>
      </c>
      <c r="DN53" s="15" t="n">
        <v>1159766.21</v>
      </c>
      <c r="DO53" s="15" t="n">
        <v>182270.41</v>
      </c>
      <c r="DP53" s="15" t="n">
        <v>1380546.39</v>
      </c>
    </row>
  </sheetData>
  <mergeCells count="23">
    <mergeCell ref="B2:G2"/>
    <mergeCell ref="N2:S2"/>
    <mergeCell ref="AX2:BC2"/>
    <mergeCell ref="BD2:BI2"/>
    <mergeCell ref="BP2:BU2"/>
    <mergeCell ref="CZ2:DE2"/>
    <mergeCell ref="BJ2:BO2"/>
    <mergeCell ref="B1:Y1"/>
    <mergeCell ref="H2:M2"/>
    <mergeCell ref="Z2:AE2"/>
    <mergeCell ref="T2:Y2"/>
    <mergeCell ref="AF2:AK2"/>
    <mergeCell ref="BV2:CA2"/>
    <mergeCell ref="CH2:CM2"/>
    <mergeCell ref="AR2:AW2"/>
    <mergeCell ref="CT2:CY2"/>
    <mergeCell ref="Z1:AW1"/>
    <mergeCell ref="DF2:DK2"/>
    <mergeCell ref="AL2:AQ2"/>
    <mergeCell ref="CB2:CG2"/>
    <mergeCell ref="CN2:CS2"/>
    <mergeCell ref="AX1:BU1"/>
    <mergeCell ref="BV1:CS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产品名称</t>
        </is>
      </c>
      <c r="B1" s="2" t="inlineStr">
        <is>
          <t>销售额</t>
        </is>
      </c>
      <c r="C1" s="2" t="inlineStr">
        <is>
          <t>利润率</t>
        </is>
      </c>
      <c r="D1" s="2" t="inlineStr">
        <is>
          <t>备注</t>
        </is>
      </c>
      <c r="E1" s="2" t="inlineStr">
        <is>
          <t>月份数据</t>
        </is>
      </c>
      <c r="F1" s="2" t="inlineStr">
        <is>
          <t>分类评分</t>
        </is>
      </c>
    </row>
    <row r="2">
      <c r="A2" s="4" t="inlineStr">
        <is>
          <t>中式汤底</t>
        </is>
      </c>
      <c r="B2" s="15" t="n">
        <v>1747929.41</v>
      </c>
      <c r="C2" s="25" t="n">
        <v>0.2902</v>
      </c>
      <c r="D2" s="4" t="inlineStr">
        <is>
          <t>超预期</t>
        </is>
      </c>
      <c r="E2" s="3" t="inlineStr">
        <is>
          <t>1月</t>
        </is>
      </c>
      <c r="F2" s="4" t="n">
        <v>94.7</v>
      </c>
    </row>
    <row r="3">
      <c r="A3" s="4" t="inlineStr">
        <is>
          <t>酱料</t>
        </is>
      </c>
      <c r="B3" s="15" t="n">
        <v>711573.5</v>
      </c>
      <c r="C3" s="25" t="n">
        <v>0.1782</v>
      </c>
      <c r="D3" s="4" t="inlineStr">
        <is>
          <t>促销期</t>
        </is>
      </c>
      <c r="E3" s="3" t="inlineStr">
        <is>
          <t>2月</t>
        </is>
      </c>
      <c r="F3" s="4" t="n">
        <v>80.09999999999999</v>
      </c>
    </row>
    <row r="4">
      <c r="A4" s="4" t="inlineStr">
        <is>
          <t>川味底料</t>
        </is>
      </c>
      <c r="B4" s="15" t="n">
        <v>170429.86</v>
      </c>
      <c r="C4" s="25" t="n">
        <v>0.409</v>
      </c>
      <c r="D4" s="4" t="inlineStr">
        <is>
          <t>促销期</t>
        </is>
      </c>
      <c r="E4" s="3" t="inlineStr">
        <is>
          <t>3月</t>
        </is>
      </c>
      <c r="F4" s="4" t="n">
        <v>96.90000000000001</v>
      </c>
    </row>
    <row r="5">
      <c r="A5" s="4" t="inlineStr">
        <is>
          <t>调味汁</t>
        </is>
      </c>
      <c r="B5" s="15" t="n">
        <v>1409391.34</v>
      </c>
      <c r="C5" s="25" t="n">
        <v>0.2086</v>
      </c>
      <c r="D5" s="4" t="inlineStr">
        <is>
          <t>新产品</t>
        </is>
      </c>
      <c r="E5" s="3" t="inlineStr">
        <is>
          <t>4月</t>
        </is>
      </c>
      <c r="F5" s="4" t="n">
        <v>62.9</v>
      </c>
    </row>
    <row r="6">
      <c r="A6" s="4" t="inlineStr">
        <is>
          <t>复合调味粉</t>
        </is>
      </c>
      <c r="B6" s="15" t="n">
        <v>813018.61</v>
      </c>
      <c r="C6" s="25" t="n">
        <v>0.1084</v>
      </c>
      <c r="D6" s="4" t="inlineStr">
        <is>
          <t>正常</t>
        </is>
      </c>
      <c r="E6" s="3" t="inlineStr">
        <is>
          <t>5月</t>
        </is>
      </c>
      <c r="F6" s="4" t="n">
        <v>87.7</v>
      </c>
    </row>
    <row r="7">
      <c r="A7" s="4" t="inlineStr">
        <is>
          <t>团餐</t>
        </is>
      </c>
      <c r="B7" s="15" t="n">
        <v>409445.08</v>
      </c>
      <c r="C7" s="4" t="inlineStr">
        <is>
          <t>N/A</t>
        </is>
      </c>
      <c r="D7" s="4" t="inlineStr">
        <is>
          <t>低于预期</t>
        </is>
      </c>
      <c r="E7" s="3" t="inlineStr">
        <is>
          <t>6月</t>
        </is>
      </c>
      <c r="F7" s="4" t="n">
        <v>79.5</v>
      </c>
    </row>
    <row r="8">
      <c r="A8" s="4" t="inlineStr">
        <is>
          <t>预制菜</t>
        </is>
      </c>
      <c r="B8" s="15" t="n">
        <v>1875781.07</v>
      </c>
      <c r="C8" s="25" t="n">
        <v>0.3353</v>
      </c>
      <c r="D8" s="4" t="inlineStr">
        <is>
          <t>低于预期</t>
        </is>
      </c>
      <c r="E8" s="3" t="inlineStr">
        <is>
          <t>7月</t>
        </is>
      </c>
      <c r="F8" s="4" t="n">
        <v>66.09999999999999</v>
      </c>
    </row>
    <row r="9">
      <c r="A9" s="4" t="inlineStr">
        <is>
          <t>中式汤底</t>
        </is>
      </c>
      <c r="B9" s="15" t="n">
        <v>966231.39</v>
      </c>
      <c r="C9" s="25" t="n">
        <v>0.2141</v>
      </c>
      <c r="D9" s="4" t="inlineStr">
        <is>
          <t>低于预期</t>
        </is>
      </c>
      <c r="E9" s="3" t="inlineStr">
        <is>
          <t>8月</t>
        </is>
      </c>
      <c r="F9" s="4" t="n">
        <v>66.2</v>
      </c>
    </row>
    <row r="10">
      <c r="A10" s="4" t="inlineStr">
        <is>
          <t>酱料</t>
        </is>
      </c>
      <c r="B10" s="15" t="n">
        <v>848381.35</v>
      </c>
      <c r="C10" s="25" t="n">
        <v>0.213</v>
      </c>
      <c r="D10" s="4" t="inlineStr">
        <is>
          <t>季节性波动</t>
        </is>
      </c>
      <c r="E10" s="3" t="inlineStr">
        <is>
          <t>9月</t>
        </is>
      </c>
      <c r="F10" s="4" t="n">
        <v>77.59999999999999</v>
      </c>
    </row>
    <row r="11">
      <c r="A11" s="4" t="inlineStr">
        <is>
          <t>川味底料</t>
        </is>
      </c>
      <c r="B11" s="15" t="n">
        <v>897113.78</v>
      </c>
      <c r="C11" s="25" t="n">
        <v>0.2842</v>
      </c>
      <c r="D11" s="4" t="inlineStr">
        <is>
          <t>促销期</t>
        </is>
      </c>
      <c r="E11" s="3" t="inlineStr">
        <is>
          <t>10月</t>
        </is>
      </c>
      <c r="F11" s="4" t="n">
        <v>91.7</v>
      </c>
    </row>
    <row r="12">
      <c r="A12" s="4" t="inlineStr">
        <is>
          <t>调味汁</t>
        </is>
      </c>
      <c r="B12" s="15" t="n">
        <v>1726842.05</v>
      </c>
      <c r="C12" s="4" t="inlineStr">
        <is>
          <t>—</t>
        </is>
      </c>
      <c r="D12" s="4" t="inlineStr"/>
      <c r="E12" s="3" t="inlineStr">
        <is>
          <t>11月</t>
        </is>
      </c>
      <c r="F12" s="4" t="n">
        <v>90.5</v>
      </c>
    </row>
    <row r="13">
      <c r="A13" s="4" t="inlineStr">
        <is>
          <t>复合调味粉</t>
        </is>
      </c>
      <c r="B13" s="15" t="n">
        <v>1097985.32</v>
      </c>
      <c r="C13" s="25" t="n">
        <v>0.2119</v>
      </c>
      <c r="D13" s="4" t="inlineStr">
        <is>
          <t>新产品</t>
        </is>
      </c>
      <c r="E13" s="3" t="inlineStr">
        <is>
          <t>12月</t>
        </is>
      </c>
      <c r="F13" s="4" t="n">
        <v>90.09999999999999</v>
      </c>
    </row>
    <row r="14">
      <c r="A14" s="4" t="inlineStr">
        <is>
          <t>团餐</t>
        </is>
      </c>
      <c r="B14" s="15" t="n">
        <v>1187961.18</v>
      </c>
      <c r="C14" s="25" t="n">
        <v>0.08500000000000001</v>
      </c>
      <c r="D14" s="4" t="inlineStr"/>
      <c r="E14" s="3" t="inlineStr">
        <is>
          <t>1月</t>
        </is>
      </c>
      <c r="F14" s="4" t="n">
        <v>70.7</v>
      </c>
    </row>
    <row r="15">
      <c r="A15" s="4" t="inlineStr">
        <is>
          <t>预制菜</t>
        </is>
      </c>
      <c r="B15" s="15" t="n">
        <v>1240620.97</v>
      </c>
      <c r="C15" s="25" t="n">
        <v>0.3586</v>
      </c>
      <c r="D15" s="4" t="inlineStr">
        <is>
          <t>低于预期</t>
        </is>
      </c>
      <c r="E15" s="3" t="inlineStr">
        <is>
          <t>2月</t>
        </is>
      </c>
      <c r="F15" s="4" t="n">
        <v>76.7</v>
      </c>
    </row>
    <row r="16">
      <c r="A16" s="4" t="inlineStr">
        <is>
          <t>中式汤底</t>
        </is>
      </c>
      <c r="B16" s="4" t="inlineStr">
        <is>
          <t>实际净利</t>
        </is>
      </c>
      <c r="C16" s="25" t="n">
        <v>0.169</v>
      </c>
      <c r="D16" s="4" t="inlineStr">
        <is>
          <t>新产品</t>
        </is>
      </c>
      <c r="E16" s="3" t="inlineStr">
        <is>
          <t>3月</t>
        </is>
      </c>
      <c r="F16" s="4" t="n">
        <v>66.3</v>
      </c>
    </row>
    <row r="17">
      <c r="A17" s="4" t="inlineStr">
        <is>
          <t>酱料</t>
        </is>
      </c>
      <c r="B17" s="15" t="n">
        <v>1739348.9</v>
      </c>
      <c r="C17" s="25" t="n">
        <v>0.3329</v>
      </c>
      <c r="D17" s="4" t="inlineStr">
        <is>
          <t>季节性波动</t>
        </is>
      </c>
      <c r="E17" s="3" t="inlineStr">
        <is>
          <t>4月</t>
        </is>
      </c>
      <c r="F17" s="4" t="n">
        <v>76.40000000000001</v>
      </c>
    </row>
    <row r="18">
      <c r="A18" s="4" t="inlineStr">
        <is>
          <t>川味底料</t>
        </is>
      </c>
      <c r="B18" s="15" t="n">
        <v>558236.9399999999</v>
      </c>
      <c r="C18" s="25" t="n">
        <v>0.3704</v>
      </c>
      <c r="D18" s="4" t="inlineStr">
        <is>
          <t>正常</t>
        </is>
      </c>
      <c r="E18" s="3" t="inlineStr">
        <is>
          <t>5月</t>
        </is>
      </c>
      <c r="F18" s="4" t="n">
        <v>96.40000000000001</v>
      </c>
    </row>
    <row r="19">
      <c r="A19" s="4" t="inlineStr">
        <is>
          <t>调味汁</t>
        </is>
      </c>
      <c r="B19" s="15" t="n">
        <v>694151.52</v>
      </c>
      <c r="C19" s="25" t="n">
        <v>0.1939</v>
      </c>
      <c r="D19" s="4" t="inlineStr">
        <is>
          <t>季节性波动</t>
        </is>
      </c>
      <c r="E19" s="3" t="inlineStr">
        <is>
          <t>6月</t>
        </is>
      </c>
      <c r="F19" s="4" t="n">
        <v>95.90000000000001</v>
      </c>
    </row>
    <row r="20">
      <c r="A20" s="4" t="inlineStr">
        <is>
          <t>复合调味粉</t>
        </is>
      </c>
      <c r="B20" s="15" t="n">
        <v>1310025.75</v>
      </c>
      <c r="C20" s="25" t="n">
        <v>0.11</v>
      </c>
      <c r="D20" s="4" t="inlineStr">
        <is>
          <t>超预期</t>
        </is>
      </c>
      <c r="E20" s="3" t="inlineStr">
        <is>
          <t>7月</t>
        </is>
      </c>
      <c r="F20" s="4" t="n">
        <v>61.3</v>
      </c>
    </row>
    <row r="21">
      <c r="A21" s="4" t="inlineStr">
        <is>
          <t>团餐</t>
        </is>
      </c>
      <c r="B21" s="15" t="n">
        <v>197502.51</v>
      </c>
      <c r="C21" s="25" t="n">
        <v>0.0731</v>
      </c>
      <c r="D21" s="4" t="inlineStr">
        <is>
          <t>低于预期</t>
        </is>
      </c>
      <c r="E21" s="3" t="inlineStr">
        <is>
          <t>8月</t>
        </is>
      </c>
      <c r="F21" s="4" t="n">
        <v>95</v>
      </c>
    </row>
    <row r="22">
      <c r="A22" s="4" t="inlineStr">
        <is>
          <t>预制菜</t>
        </is>
      </c>
      <c r="B22" s="15" t="n">
        <v>993143.66</v>
      </c>
      <c r="C22" s="4" t="inlineStr">
        <is>
          <t>N/A</t>
        </is>
      </c>
      <c r="D22" s="4" t="inlineStr">
        <is>
          <t>正常</t>
        </is>
      </c>
      <c r="E22" s="3" t="inlineStr">
        <is>
          <t>9月</t>
        </is>
      </c>
      <c r="F22" s="4" t="n">
        <v>73.7</v>
      </c>
    </row>
    <row r="23">
      <c r="A23" s="4" t="inlineStr">
        <is>
          <t>中式汤底</t>
        </is>
      </c>
      <c r="B23" s="15" t="n">
        <v>639693.76</v>
      </c>
      <c r="C23" s="25" t="n">
        <v>0.4135</v>
      </c>
      <c r="D23" s="4" t="inlineStr">
        <is>
          <t>促销期</t>
        </is>
      </c>
      <c r="E23" s="3" t="inlineStr">
        <is>
          <t>10月</t>
        </is>
      </c>
      <c r="F23" s="4" t="n">
        <v>87.2</v>
      </c>
    </row>
    <row r="24">
      <c r="A24" s="4" t="inlineStr">
        <is>
          <t>酱料</t>
        </is>
      </c>
      <c r="B24" s="15" t="n">
        <v>482135.93</v>
      </c>
      <c r="C24" s="25" t="n">
        <v>0.1059</v>
      </c>
      <c r="D24" s="4" t="n"/>
      <c r="E24" s="3" t="inlineStr">
        <is>
          <t>11月</t>
        </is>
      </c>
      <c r="F24" s="4" t="n">
        <v>91.8</v>
      </c>
    </row>
    <row r="25">
      <c r="A25" s="4" t="inlineStr">
        <is>
          <t>川味底料</t>
        </is>
      </c>
      <c r="B25" s="15" t="n">
        <v>1346256.4</v>
      </c>
      <c r="C25" s="25" t="n">
        <v>0.4014</v>
      </c>
      <c r="D25" s="4" t="inlineStr">
        <is>
          <t>需关注</t>
        </is>
      </c>
      <c r="E25" s="3" t="inlineStr">
        <is>
          <t>12月</t>
        </is>
      </c>
      <c r="F25" s="4" t="n">
        <v>80.5</v>
      </c>
    </row>
    <row r="26">
      <c r="A26" s="4" t="inlineStr">
        <is>
          <t>调味汁</t>
        </is>
      </c>
      <c r="B26" s="15" t="n">
        <v>255530.36</v>
      </c>
      <c r="C26" s="25" t="n">
        <v>0.1932</v>
      </c>
      <c r="D26" s="4" t="inlineStr">
        <is>
          <t>促销期</t>
        </is>
      </c>
      <c r="E26" s="3" t="inlineStr">
        <is>
          <t>1月</t>
        </is>
      </c>
      <c r="F26" s="4" t="n">
        <v>92.7</v>
      </c>
    </row>
    <row r="27">
      <c r="A27" s="4" t="inlineStr">
        <is>
          <t>复合调味粉</t>
        </is>
      </c>
      <c r="B27" s="15" t="n">
        <v>357162.92</v>
      </c>
      <c r="C27" s="25" t="n">
        <v>0.2021</v>
      </c>
      <c r="D27" s="4" t="inlineStr">
        <is>
          <t>促销期</t>
        </is>
      </c>
      <c r="E27" s="3" t="inlineStr">
        <is>
          <t>2月</t>
        </is>
      </c>
      <c r="F27" s="4" t="inlineStr">
        <is>
          <t>优秀</t>
        </is>
      </c>
    </row>
    <row r="28">
      <c r="A28" s="4" t="inlineStr">
        <is>
          <t>团餐</t>
        </is>
      </c>
      <c r="B28" s="15" t="n">
        <v>163726.16</v>
      </c>
      <c r="C28" s="25" t="n">
        <v>0.0713</v>
      </c>
      <c r="D28" s="4" t="inlineStr">
        <is>
          <t>低于预期</t>
        </is>
      </c>
      <c r="E28" s="3" t="inlineStr">
        <is>
          <t>3月</t>
        </is>
      </c>
      <c r="F28" s="4" t="n">
        <v>80</v>
      </c>
    </row>
    <row r="29">
      <c r="A29" s="4" t="inlineStr">
        <is>
          <t>预制菜</t>
        </is>
      </c>
      <c r="B29" s="4" t="inlineStr">
        <is>
          <t>实际净利</t>
        </is>
      </c>
      <c r="C29" s="25" t="n">
        <v>0.3797</v>
      </c>
      <c r="D29" s="4" t="n"/>
      <c r="E29" s="3" t="inlineStr">
        <is>
          <t>4月</t>
        </is>
      </c>
      <c r="F29" s="4" t="n">
        <v>98.2</v>
      </c>
    </row>
    <row r="30">
      <c r="A30" s="4" t="inlineStr">
        <is>
          <t>中式汤底</t>
        </is>
      </c>
      <c r="B30" s="15" t="n">
        <v>190327.28</v>
      </c>
      <c r="C30" s="25" t="n">
        <v>0.1721</v>
      </c>
      <c r="D30" s="4" t="inlineStr">
        <is>
          <t>低于预期</t>
        </is>
      </c>
      <c r="E30" s="3" t="inlineStr">
        <is>
          <t>5月</t>
        </is>
      </c>
      <c r="F30" s="4" t="n">
        <v>82.5</v>
      </c>
    </row>
    <row r="31">
      <c r="A31" s="4" t="inlineStr">
        <is>
          <t>酱料</t>
        </is>
      </c>
      <c r="B31" s="15" t="n">
        <v>1111146.07</v>
      </c>
      <c r="C31" s="25" t="n">
        <v>0.0605</v>
      </c>
      <c r="D31" s="4" t="inlineStr">
        <is>
          <t>新产品</t>
        </is>
      </c>
      <c r="E31" s="3" t="inlineStr">
        <is>
          <t>6月</t>
        </is>
      </c>
      <c r="F31" s="4" t="n">
        <v>69.8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项目</t>
        </is>
      </c>
      <c r="B1" s="2" t="inlineStr">
        <is>
          <t>1月</t>
        </is>
      </c>
      <c r="C1" s="2" t="inlineStr">
        <is>
          <t>2月</t>
        </is>
      </c>
      <c r="D1" s="2" t="inlineStr">
        <is>
          <t>3月</t>
        </is>
      </c>
      <c r="E1" s="2" t="inlineStr">
        <is>
          <t>4月</t>
        </is>
      </c>
      <c r="F1" s="2" t="inlineStr">
        <is>
          <t>5月</t>
        </is>
      </c>
      <c r="G1" s="2" t="inlineStr">
        <is>
          <t>6月</t>
        </is>
      </c>
      <c r="H1" s="2" t="inlineStr">
        <is>
          <t>7月</t>
        </is>
      </c>
      <c r="I1" s="2" t="inlineStr">
        <is>
          <t>8月</t>
        </is>
      </c>
      <c r="J1" s="2" t="inlineStr">
        <is>
          <t>9月</t>
        </is>
      </c>
      <c r="K1" s="2" t="inlineStr">
        <is>
          <t>10月</t>
        </is>
      </c>
      <c r="L1" s="2" t="inlineStr">
        <is>
          <t>11月</t>
        </is>
      </c>
      <c r="M1" s="2" t="inlineStr">
        <is>
          <t>12月</t>
        </is>
      </c>
      <c r="N1" s="2" t="inlineStr">
        <is>
          <t>合计</t>
        </is>
      </c>
      <c r="O1" s="2" t="inlineStr">
        <is>
          <t>全零列</t>
        </is>
      </c>
    </row>
    <row r="2">
      <c r="A2" s="4" t="inlineStr">
        <is>
          <t>营业收入</t>
        </is>
      </c>
      <c r="B2" s="15" t="n">
        <v>2446446.81</v>
      </c>
      <c r="C2" s="15" t="n">
        <v>2594739.88</v>
      </c>
      <c r="D2" s="15" t="n">
        <v>1781425.9</v>
      </c>
      <c r="E2" s="15" t="n">
        <v>344933.35</v>
      </c>
      <c r="F2" s="15" t="n">
        <v>2053875.09</v>
      </c>
      <c r="G2" s="15" t="n">
        <v>2347210.17</v>
      </c>
      <c r="H2" s="15" t="n">
        <v>135705.16</v>
      </c>
      <c r="I2" s="15" t="n">
        <v>1318693.25</v>
      </c>
      <c r="J2" s="15" t="n">
        <v>631714.67</v>
      </c>
      <c r="K2" s="15" t="n">
        <v>2175600.86</v>
      </c>
      <c r="L2" s="15" t="n">
        <v>1124327.31</v>
      </c>
      <c r="M2" s="15" t="n">
        <v>940140.88</v>
      </c>
      <c r="N2" s="16" t="n">
        <v>859797.8100000001</v>
      </c>
      <c r="O2" s="15" t="n">
        <v>0</v>
      </c>
    </row>
    <row r="3">
      <c r="A3" s="4" t="inlineStr">
        <is>
          <t>营业成本</t>
        </is>
      </c>
      <c r="B3" s="15" t="n">
        <v>-376392.59</v>
      </c>
      <c r="C3" s="15" t="n">
        <v>-1329475.13</v>
      </c>
      <c r="D3" s="15" t="n">
        <v>-767656.27</v>
      </c>
      <c r="E3" s="15" t="n">
        <v>-890812.9399999999</v>
      </c>
      <c r="F3" s="15" t="n">
        <v>-387725.23</v>
      </c>
      <c r="G3" s="15" t="n">
        <v>-588926.1899999999</v>
      </c>
      <c r="H3" s="15" t="n">
        <v>-996119.51</v>
      </c>
      <c r="I3" s="15" t="n">
        <v>-1900854.86</v>
      </c>
      <c r="J3" s="15" t="n">
        <v>-489684.96</v>
      </c>
      <c r="K3" s="15" t="n">
        <v>-650310.27</v>
      </c>
      <c r="L3" s="15" t="n">
        <v>-88000.03</v>
      </c>
      <c r="M3" s="15" t="n">
        <v>-135837.1</v>
      </c>
      <c r="N3" s="16" t="n">
        <v>815075.22</v>
      </c>
      <c r="O3" s="15" t="n">
        <v>0</v>
      </c>
    </row>
    <row r="4">
      <c r="A4" s="6" t="inlineStr">
        <is>
          <t>毛利</t>
        </is>
      </c>
      <c r="B4" s="15" t="n">
        <v>1036926.71</v>
      </c>
      <c r="C4" s="15" t="n">
        <v>1492195.79</v>
      </c>
      <c r="D4" s="15" t="n">
        <v>1879293.85</v>
      </c>
      <c r="E4" s="15" t="n">
        <v>1787609.88</v>
      </c>
      <c r="F4" s="15" t="n">
        <v>2777365.05</v>
      </c>
      <c r="G4" s="15" t="n">
        <v>151218.41</v>
      </c>
      <c r="H4" s="15" t="n">
        <v>494249.72</v>
      </c>
      <c r="I4" s="15" t="n">
        <v>1883872.63</v>
      </c>
      <c r="J4" s="15" t="n">
        <v>1618014.8</v>
      </c>
      <c r="K4" s="15" t="n">
        <v>207793.75</v>
      </c>
      <c r="L4" s="15" t="n">
        <v>2996613.4</v>
      </c>
      <c r="M4" s="15" t="n">
        <v>1485080.18</v>
      </c>
      <c r="N4" s="16" t="n">
        <v>3861271.22</v>
      </c>
      <c r="O4" s="15" t="n">
        <v>0</v>
      </c>
    </row>
    <row r="5">
      <c r="A5" s="4" t="n"/>
    </row>
    <row r="6">
      <c r="A6" s="4" t="inlineStr">
        <is>
          <t>管理费用</t>
        </is>
      </c>
      <c r="B6" s="15" t="n">
        <v>-1035183.99</v>
      </c>
      <c r="C6" s="15" t="n">
        <v>-939234.77</v>
      </c>
      <c r="D6" s="15" t="n">
        <v>-115452.93</v>
      </c>
      <c r="E6" s="15" t="n">
        <v>-216949.72</v>
      </c>
      <c r="F6" s="15" t="n">
        <v>-927375.15</v>
      </c>
      <c r="G6" s="15" t="n">
        <v>-441030.75</v>
      </c>
      <c r="H6" s="15" t="n">
        <v>-386673.18</v>
      </c>
      <c r="I6" s="15" t="n">
        <v>-596807.13</v>
      </c>
      <c r="J6" s="15" t="n">
        <v>-148722.17</v>
      </c>
      <c r="K6" s="15" t="n">
        <v>-1056101.69</v>
      </c>
      <c r="L6" s="15" t="n">
        <v>-1155347.75</v>
      </c>
      <c r="M6" s="15" t="n">
        <v>-71217.38</v>
      </c>
      <c r="N6" s="16" t="n">
        <v>8989773.689999999</v>
      </c>
      <c r="O6" s="15" t="n">
        <v>0</v>
      </c>
    </row>
    <row r="7">
      <c r="A7" s="4" t="inlineStr">
        <is>
          <t>销售费用</t>
        </is>
      </c>
      <c r="B7" s="15" t="n">
        <v>-406408.87</v>
      </c>
      <c r="C7" s="15" t="n">
        <v>-711960.12</v>
      </c>
      <c r="D7" s="15" t="n">
        <v>-454273.58</v>
      </c>
      <c r="E7" s="15" t="n">
        <v>-1054183.75</v>
      </c>
      <c r="F7" s="15" t="n">
        <v>-1526999.74</v>
      </c>
      <c r="G7" s="15" t="n">
        <v>-1251256.14</v>
      </c>
      <c r="H7" s="15" t="n">
        <v>-522124.53</v>
      </c>
      <c r="I7" s="15" t="n">
        <v>-1070232.05</v>
      </c>
      <c r="J7" s="15" t="n">
        <v>-1502646.27</v>
      </c>
      <c r="K7" s="15" t="n">
        <v>-271995.53</v>
      </c>
      <c r="L7" s="15" t="n">
        <v>-152786.08</v>
      </c>
      <c r="M7" s="15" t="n">
        <v>-145658.09</v>
      </c>
      <c r="N7" s="16" t="n">
        <v>2154059.41</v>
      </c>
      <c r="O7" s="15" t="n">
        <v>0</v>
      </c>
    </row>
    <row r="8">
      <c r="A8" s="4" t="inlineStr">
        <is>
          <t>财务费用</t>
        </is>
      </c>
      <c r="B8" s="15" t="n">
        <v>-1240356.88</v>
      </c>
      <c r="C8" s="15" t="n">
        <v>-302195.32</v>
      </c>
      <c r="D8" s="15" t="n">
        <v>-454472.74</v>
      </c>
      <c r="E8" s="15" t="n">
        <v>-651938.45</v>
      </c>
      <c r="F8" s="15" t="n">
        <v>-218912.52</v>
      </c>
      <c r="G8" s="15" t="n">
        <v>-706034.72</v>
      </c>
      <c r="H8" s="15" t="n">
        <v>-1441783.42</v>
      </c>
      <c r="I8" s="15" t="n">
        <v>-612508.78</v>
      </c>
      <c r="J8" s="15" t="n">
        <v>-308367.48</v>
      </c>
      <c r="K8" s="15" t="n">
        <v>-165338.86</v>
      </c>
      <c r="L8" s="15" t="n">
        <v>-840670.9</v>
      </c>
      <c r="M8" s="15" t="n">
        <v>-423405.2</v>
      </c>
      <c r="N8" s="16" t="n">
        <v>1045590.05</v>
      </c>
      <c r="O8" s="15" t="n">
        <v>0</v>
      </c>
    </row>
    <row r="9">
      <c r="A9" s="4" t="n"/>
    </row>
    <row r="10">
      <c r="A10" s="6" t="inlineStr">
        <is>
          <t>营业利润</t>
        </is>
      </c>
      <c r="B10" s="15" t="n">
        <v>2460573.29</v>
      </c>
      <c r="C10" s="15" t="n">
        <v>2510350.73</v>
      </c>
      <c r="D10" s="15" t="n">
        <v>1764568.63</v>
      </c>
      <c r="E10" s="15" t="n">
        <v>2235692.23</v>
      </c>
      <c r="F10" s="15" t="n">
        <v>881829.4</v>
      </c>
      <c r="G10" s="15" t="n">
        <v>1342659.98</v>
      </c>
      <c r="H10" s="15" t="n">
        <v>1259371.42</v>
      </c>
      <c r="I10" s="15" t="n">
        <v>2962270.96</v>
      </c>
      <c r="J10" s="15" t="n">
        <v>2523926.68</v>
      </c>
      <c r="K10" s="15" t="n">
        <v>802327.62</v>
      </c>
      <c r="L10" s="15" t="n">
        <v>2542585.04</v>
      </c>
      <c r="M10" s="15" t="n">
        <v>1142479.86</v>
      </c>
      <c r="N10" s="16" t="n">
        <v>6565988.62</v>
      </c>
      <c r="O10" s="15" t="n">
        <v>0</v>
      </c>
    </row>
    <row r="11">
      <c r="A11" s="4" t="inlineStr">
        <is>
          <t>所得税</t>
        </is>
      </c>
      <c r="B11" s="15" t="n">
        <v>-129855.25</v>
      </c>
      <c r="C11" s="15" t="n">
        <v>-842201.25</v>
      </c>
      <c r="D11" s="15" t="n">
        <v>-359382.31</v>
      </c>
      <c r="E11" s="15" t="n">
        <v>-151124.56</v>
      </c>
      <c r="F11" s="15" t="n">
        <v>-659034.65</v>
      </c>
      <c r="G11" s="15" t="n">
        <v>-96742.41</v>
      </c>
      <c r="H11" s="15" t="n">
        <v>-401968.21</v>
      </c>
      <c r="I11" s="15" t="n">
        <v>-397864.31</v>
      </c>
      <c r="J11" s="15" t="n">
        <v>-1736183.75</v>
      </c>
      <c r="K11" s="15" t="n">
        <v>-1842841.51</v>
      </c>
      <c r="L11" s="15" t="n">
        <v>-218475.44</v>
      </c>
      <c r="M11" s="15" t="n">
        <v>-175130.98</v>
      </c>
      <c r="N11" s="16" t="n">
        <v>8158756.49</v>
      </c>
      <c r="O11" s="15" t="n">
        <v>0</v>
      </c>
    </row>
    <row r="12">
      <c r="A12" s="6" t="inlineStr">
        <is>
          <t>净利润</t>
        </is>
      </c>
      <c r="B12" s="15" t="n">
        <v>1186802.79</v>
      </c>
      <c r="C12" s="15" t="n">
        <v>1319785.87</v>
      </c>
      <c r="D12" s="15" t="n">
        <v>1319520.75</v>
      </c>
      <c r="E12" s="15" t="n">
        <v>153320.85</v>
      </c>
      <c r="F12" s="15" t="n">
        <v>241406.59</v>
      </c>
      <c r="G12" s="15" t="n">
        <v>1005908.9</v>
      </c>
      <c r="H12" s="15" t="n">
        <v>189883.35</v>
      </c>
      <c r="I12" s="15" t="n">
        <v>2671301.73</v>
      </c>
      <c r="J12" s="15" t="n">
        <v>2063816.56</v>
      </c>
      <c r="K12" s="15" t="n">
        <v>2968052.79</v>
      </c>
      <c r="L12" s="15" t="n">
        <v>2763934</v>
      </c>
      <c r="M12" s="15" t="n">
        <v>1047939.88</v>
      </c>
      <c r="N12" s="16" t="n">
        <v>567778.35</v>
      </c>
      <c r="O12" s="15" t="n">
        <v>0</v>
      </c>
    </row>
    <row r="13">
      <c r="A13" s="4" t="n"/>
    </row>
    <row r="14">
      <c r="A14" s="4">
        <f>SUM模拟(None)</f>
        <v/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6" t="n"/>
      <c r="O14" s="15" t="n">
        <v>0</v>
      </c>
    </row>
    <row r="15">
      <c r="A15" s="4">
        <f>VLOOKUP模拟(None)</f>
        <v/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6" t="n"/>
      <c r="O15" s="15" t="n">
        <v>0</v>
      </c>
    </row>
    <row r="16">
      <c r="A16" s="4" t="inlineStr">
        <is>
          <t>正常数据</t>
        </is>
      </c>
      <c r="B16" s="15" t="n">
        <v>2814240.69</v>
      </c>
      <c r="C16" s="15" t="n">
        <v>582505.1800000001</v>
      </c>
      <c r="D16" s="15" t="n">
        <v>605033.41</v>
      </c>
      <c r="E16" s="15" t="n">
        <v>2918089.05</v>
      </c>
      <c r="F16" s="15" t="n">
        <v>258219.8</v>
      </c>
      <c r="G16" s="15" t="n">
        <v>1744436</v>
      </c>
      <c r="H16" s="15" t="n">
        <v>324059.43</v>
      </c>
      <c r="I16" s="15" t="n">
        <v>1224441.14</v>
      </c>
      <c r="J16" s="15" t="n">
        <v>901349.92</v>
      </c>
      <c r="K16" s="15" t="n">
        <v>2305545.46</v>
      </c>
      <c r="L16" s="15" t="n">
        <v>1255962.72</v>
      </c>
      <c r="M16" s="15" t="n">
        <v>2816946</v>
      </c>
      <c r="N16" s="16" t="n">
        <v>2695476.41</v>
      </c>
      <c r="O16" s="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6" t="inlineStr">
        <is>
          <t>区域/产品</t>
        </is>
      </c>
      <c r="B1" s="2" t="inlineStr">
        <is>
          <t>2024年</t>
        </is>
      </c>
      <c r="J1" s="2" t="inlineStr">
        <is>
          <t>2025年</t>
        </is>
      </c>
      <c r="R1" s="2" t="inlineStr">
        <is>
          <t>同比变化</t>
        </is>
      </c>
    </row>
    <row r="2">
      <c r="B2" s="2" t="inlineStr">
        <is>
          <t>上半年</t>
        </is>
      </c>
      <c r="F2" s="2" t="inlineStr">
        <is>
          <t>下半年</t>
        </is>
      </c>
      <c r="J2" s="2" t="inlineStr">
        <is>
          <t>上半年</t>
        </is>
      </c>
      <c r="N2" s="2" t="inlineStr">
        <is>
          <t>下半年</t>
        </is>
      </c>
    </row>
    <row r="3"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毛利率</t>
        </is>
      </c>
      <c r="F3" s="2" t="inlineStr">
        <is>
          <t>收入</t>
        </is>
      </c>
      <c r="G3" s="2" t="inlineStr">
        <is>
          <t>成本</t>
        </is>
      </c>
      <c r="H3" s="2" t="inlineStr">
        <is>
          <t>毛利</t>
        </is>
      </c>
      <c r="I3" s="2" t="inlineStr">
        <is>
          <t>毛利率</t>
        </is>
      </c>
      <c r="J3" s="2" t="inlineStr">
        <is>
          <t>收入</t>
        </is>
      </c>
      <c r="K3" s="2" t="inlineStr">
        <is>
          <t>成本</t>
        </is>
      </c>
      <c r="L3" s="2" t="inlineStr">
        <is>
          <t>毛利</t>
        </is>
      </c>
      <c r="M3" s="2" t="inlineStr">
        <is>
          <t>毛利率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毛利率</t>
        </is>
      </c>
      <c r="R3" s="2" t="inlineStr">
        <is>
          <t>收入增长率</t>
        </is>
      </c>
      <c r="S3" s="2" t="inlineStr">
        <is>
          <t>利润增长率</t>
        </is>
      </c>
    </row>
    <row r="4">
      <c r="A4" s="4" t="inlineStr">
        <is>
          <t>中式汤底</t>
        </is>
      </c>
      <c r="B4" s="15" t="n">
        <v>1875211.15</v>
      </c>
      <c r="C4" s="15" t="n">
        <v>1270207.89</v>
      </c>
      <c r="D4" s="15" t="n">
        <v>708087.77</v>
      </c>
      <c r="E4" s="25" t="n">
        <v>0.3385</v>
      </c>
      <c r="F4" s="15" t="n">
        <v>1152902.87</v>
      </c>
      <c r="G4" s="15" t="n">
        <v>771987.62</v>
      </c>
      <c r="H4" s="15" t="n">
        <v>355151.41</v>
      </c>
      <c r="I4" s="25" t="n">
        <v>0.2014</v>
      </c>
      <c r="J4" s="15" t="n">
        <v>1613690.38</v>
      </c>
      <c r="K4" s="15" t="n">
        <v>1155417.11</v>
      </c>
      <c r="L4" s="15" t="n">
        <v>463491.9</v>
      </c>
      <c r="M4" s="25" t="n">
        <v>0.3033</v>
      </c>
      <c r="N4" s="15" t="n">
        <v>1348015.3</v>
      </c>
      <c r="O4" s="15" t="n">
        <v>860296.92</v>
      </c>
      <c r="P4" s="15" t="n">
        <v>388607.43</v>
      </c>
      <c r="Q4" s="25" t="n">
        <v>0.3594</v>
      </c>
      <c r="R4" s="27" t="n">
        <v>-0.0219</v>
      </c>
      <c r="S4" s="27" t="n">
        <v>-0.1742</v>
      </c>
    </row>
    <row r="5">
      <c r="A5" s="4" t="inlineStr">
        <is>
          <t>酱料</t>
        </is>
      </c>
      <c r="B5" s="15" t="n">
        <v>2020773.75</v>
      </c>
      <c r="C5" s="15" t="n">
        <v>1133380.25</v>
      </c>
      <c r="D5" s="15" t="n">
        <v>741941.96</v>
      </c>
      <c r="E5" s="25" t="n">
        <v>0.3856</v>
      </c>
      <c r="F5" s="15" t="n">
        <v>3484138.32</v>
      </c>
      <c r="G5" s="15" t="n">
        <v>1931398.7</v>
      </c>
      <c r="H5" s="15" t="n">
        <v>1362400.67</v>
      </c>
      <c r="I5" s="25" t="n">
        <v>0.2419</v>
      </c>
      <c r="J5" s="15" t="n">
        <v>2275553.06</v>
      </c>
      <c r="K5" s="15" t="n">
        <v>1339513.2</v>
      </c>
      <c r="L5" s="15" t="n">
        <v>621853.6800000001</v>
      </c>
      <c r="M5" s="25" t="n">
        <v>0.3101</v>
      </c>
      <c r="N5" s="15" t="n">
        <v>4481720.76</v>
      </c>
      <c r="O5" s="15" t="n">
        <v>2722688.86</v>
      </c>
      <c r="P5" s="15" t="n">
        <v>1421339.54</v>
      </c>
      <c r="Q5" s="25" t="n">
        <v>0.345</v>
      </c>
      <c r="R5" s="27" t="n">
        <v>0.2275</v>
      </c>
      <c r="S5" s="27" t="n">
        <v>-0.0062</v>
      </c>
    </row>
    <row r="6">
      <c r="A6" s="4" t="inlineStr">
        <is>
          <t>川味底料</t>
        </is>
      </c>
      <c r="B6" s="15" t="n">
        <v>751846.61</v>
      </c>
      <c r="C6" s="15" t="n">
        <v>519246.42</v>
      </c>
      <c r="D6" s="15" t="n">
        <v>211425.6</v>
      </c>
      <c r="E6" s="25" t="n">
        <v>0.331</v>
      </c>
      <c r="F6" s="15" t="n">
        <v>3728817.71</v>
      </c>
      <c r="G6" s="15" t="n">
        <v>2652840.18</v>
      </c>
      <c r="H6" s="15" t="n">
        <v>1591947.07</v>
      </c>
      <c r="I6" s="25" t="n">
        <v>0.4039</v>
      </c>
      <c r="J6" s="15" t="n">
        <v>862404.98</v>
      </c>
      <c r="K6" s="15" t="n">
        <v>569849.29</v>
      </c>
      <c r="L6" s="15" t="n">
        <v>345087.14</v>
      </c>
      <c r="M6" s="25" t="n">
        <v>0.3193</v>
      </c>
      <c r="N6" s="15" t="n">
        <v>3210553.55</v>
      </c>
      <c r="O6" s="15" t="n">
        <v>1833797.43</v>
      </c>
      <c r="P6" s="15" t="n">
        <v>888829.41</v>
      </c>
      <c r="Q6" s="25" t="n">
        <v>0.2283</v>
      </c>
      <c r="R6" s="27" t="n">
        <v>-0.091</v>
      </c>
      <c r="S6" s="27" t="n">
        <v>-0.2466</v>
      </c>
    </row>
    <row r="7">
      <c r="A7" s="4" t="inlineStr">
        <is>
          <t>调味汁</t>
        </is>
      </c>
      <c r="B7" s="15" t="n">
        <v>1046493.45</v>
      </c>
      <c r="C7" s="15" t="n">
        <v>630762.99</v>
      </c>
      <c r="D7" s="15" t="n">
        <v>350917.64</v>
      </c>
      <c r="E7" s="25" t="n">
        <v>0.4305</v>
      </c>
      <c r="F7" s="15" t="n">
        <v>2340373</v>
      </c>
      <c r="G7" s="15" t="n">
        <v>1606616.07</v>
      </c>
      <c r="H7" s="15" t="n">
        <v>864867.39</v>
      </c>
      <c r="I7" s="25" t="n">
        <v>0.2803</v>
      </c>
      <c r="J7" s="15" t="n">
        <v>1067214.24</v>
      </c>
      <c r="K7" s="15" t="n">
        <v>780068.8</v>
      </c>
      <c r="L7" s="15" t="n">
        <v>412482.76</v>
      </c>
      <c r="M7" s="25" t="n">
        <v>0.2134</v>
      </c>
      <c r="N7" s="15" t="n">
        <v>1959307.64</v>
      </c>
      <c r="O7" s="15" t="n">
        <v>1215508.92</v>
      </c>
      <c r="P7" s="15" t="n">
        <v>591602.46</v>
      </c>
      <c r="Q7" s="25" t="n">
        <v>0.2012</v>
      </c>
      <c r="R7" s="27" t="n">
        <v>-0.1064</v>
      </c>
      <c r="S7" s="27" t="n">
        <v>-0.09669999999999999</v>
      </c>
    </row>
    <row r="8">
      <c r="A8" s="4" t="inlineStr">
        <is>
          <t>复合调味粉</t>
        </is>
      </c>
      <c r="B8" s="15" t="n">
        <v>3839886.8</v>
      </c>
      <c r="C8" s="15" t="n">
        <v>2513088.69</v>
      </c>
      <c r="D8" s="15" t="n">
        <v>1091871.04</v>
      </c>
      <c r="E8" s="25" t="n">
        <v>0.222</v>
      </c>
      <c r="F8" s="15" t="n">
        <v>1967687.45</v>
      </c>
      <c r="G8" s="15" t="n">
        <v>1146112.17</v>
      </c>
      <c r="H8" s="15" t="n">
        <v>516508.77</v>
      </c>
      <c r="I8" s="25" t="n">
        <v>0.4412</v>
      </c>
      <c r="J8" s="15" t="n">
        <v>3467986.9</v>
      </c>
      <c r="K8" s="15" t="n">
        <v>2233472.77</v>
      </c>
      <c r="L8" s="15" t="n">
        <v>1296555.01</v>
      </c>
      <c r="M8" s="25" t="n">
        <v>0.4388</v>
      </c>
      <c r="N8" s="15" t="n">
        <v>2018783.21</v>
      </c>
      <c r="O8" s="15" t="n">
        <v>1280671.85</v>
      </c>
      <c r="P8" s="15" t="n">
        <v>903520.41</v>
      </c>
      <c r="Q8" s="25" t="n">
        <v>0.2159</v>
      </c>
      <c r="R8" s="27" t="n">
        <v>-0.0552</v>
      </c>
      <c r="S8" s="27" t="n">
        <v>-0.2489</v>
      </c>
    </row>
    <row r="9">
      <c r="A9" s="4" t="inlineStr">
        <is>
          <t>团餐</t>
        </is>
      </c>
      <c r="B9" s="15" t="n">
        <v>3387821.34</v>
      </c>
      <c r="C9" s="15" t="n">
        <v>2329804.68</v>
      </c>
      <c r="D9" s="15" t="n">
        <v>1319246.86</v>
      </c>
      <c r="E9" s="25" t="n">
        <v>0.3652</v>
      </c>
      <c r="F9" s="15" t="n">
        <v>3698388.45</v>
      </c>
      <c r="G9" s="15" t="n">
        <v>2763973.42</v>
      </c>
      <c r="H9" s="15" t="n">
        <v>1612706.76</v>
      </c>
      <c r="I9" s="25" t="n">
        <v>0.2305</v>
      </c>
      <c r="J9" s="15" t="n">
        <v>4189292.84</v>
      </c>
      <c r="K9" s="15" t="n">
        <v>3040198.62</v>
      </c>
      <c r="L9" s="15" t="n">
        <v>1488852.41</v>
      </c>
      <c r="M9" s="25" t="n">
        <v>0.4194</v>
      </c>
      <c r="N9" s="15" t="n">
        <v>3097623.49</v>
      </c>
      <c r="O9" s="15" t="n">
        <v>2111884.26</v>
      </c>
      <c r="P9" s="15" t="n">
        <v>809948.71</v>
      </c>
      <c r="Q9" s="25" t="n">
        <v>0.2361</v>
      </c>
      <c r="R9" s="27" t="n">
        <v>0.0283</v>
      </c>
      <c r="S9" s="27" t="n">
        <v>0.4277</v>
      </c>
    </row>
    <row r="10">
      <c r="A10" s="4" t="inlineStr">
        <is>
          <t>预制菜</t>
        </is>
      </c>
      <c r="B10" s="15" t="n">
        <v>2445247.59</v>
      </c>
      <c r="C10" s="15" t="n">
        <v>1392713.47</v>
      </c>
      <c r="D10" s="15" t="n">
        <v>757198.66</v>
      </c>
      <c r="E10" s="25" t="n">
        <v>0.3533</v>
      </c>
      <c r="F10" s="15" t="n">
        <v>2052265.16</v>
      </c>
      <c r="G10" s="15" t="n">
        <v>1226460.73</v>
      </c>
      <c r="H10" s="15" t="n">
        <v>546169.37</v>
      </c>
      <c r="I10" s="25" t="n">
        <v>0.3056</v>
      </c>
      <c r="J10" s="15" t="n">
        <v>2930133.44</v>
      </c>
      <c r="K10" s="15" t="n">
        <v>1798282.75</v>
      </c>
      <c r="L10" s="15" t="n">
        <v>1280685.37</v>
      </c>
      <c r="M10" s="25" t="n">
        <v>0.3884</v>
      </c>
      <c r="N10" s="15" t="n">
        <v>1871989.94</v>
      </c>
      <c r="O10" s="15" t="n">
        <v>1136906.03</v>
      </c>
      <c r="P10" s="15" t="n">
        <v>746130.0600000001</v>
      </c>
      <c r="Q10" s="25" t="n">
        <v>0.2471</v>
      </c>
      <c r="R10" s="27" t="n">
        <v>0.0677</v>
      </c>
      <c r="S10" s="27" t="n">
        <v>0.4403</v>
      </c>
    </row>
    <row r="11">
      <c r="A11" s="4" t="inlineStr">
        <is>
          <t>江苏分部</t>
        </is>
      </c>
      <c r="B11" s="15" t="n">
        <v>801951.92</v>
      </c>
      <c r="C11" s="15" t="n">
        <v>487683.12</v>
      </c>
      <c r="D11" s="15" t="n">
        <v>292665.63</v>
      </c>
      <c r="E11" s="25" t="n">
        <v>0.4212</v>
      </c>
      <c r="F11" s="15" t="n">
        <v>1627860.32</v>
      </c>
      <c r="G11" s="15" t="n">
        <v>974144.02</v>
      </c>
      <c r="H11" s="15" t="n">
        <v>698291.45</v>
      </c>
      <c r="I11" s="25" t="n">
        <v>0.3709</v>
      </c>
      <c r="J11" s="15" t="n">
        <v>757039.66</v>
      </c>
      <c r="K11" s="15" t="n">
        <v>559676.26</v>
      </c>
      <c r="L11" s="15" t="n">
        <v>258404.6</v>
      </c>
      <c r="M11" s="25" t="n">
        <v>0.412</v>
      </c>
      <c r="N11" s="15" t="n">
        <v>2115738.61</v>
      </c>
      <c r="O11" s="15" t="n">
        <v>1182914.96</v>
      </c>
      <c r="P11" s="15" t="n">
        <v>747477.51</v>
      </c>
      <c r="Q11" s="25" t="n">
        <v>0.3071</v>
      </c>
      <c r="R11" s="27" t="n">
        <v>0.1823</v>
      </c>
      <c r="S11" s="27" t="n">
        <v>0.3685</v>
      </c>
    </row>
    <row r="12">
      <c r="A12" s="4" t="inlineStr">
        <is>
          <t>浙江分部</t>
        </is>
      </c>
      <c r="B12" s="15" t="n">
        <v>3291492.7</v>
      </c>
      <c r="C12" s="15" t="n">
        <v>2272535.03</v>
      </c>
      <c r="D12" s="15" t="n">
        <v>1236864.34</v>
      </c>
      <c r="E12" s="25" t="n">
        <v>0.3636</v>
      </c>
      <c r="F12" s="15" t="n">
        <v>3487785.45</v>
      </c>
      <c r="G12" s="15" t="n">
        <v>2373807.73</v>
      </c>
      <c r="H12" s="15" t="n">
        <v>1144895.94</v>
      </c>
      <c r="I12" s="25" t="n">
        <v>0.2622</v>
      </c>
      <c r="J12" s="15" t="n">
        <v>3777810.06</v>
      </c>
      <c r="K12" s="15" t="n">
        <v>2651309.75</v>
      </c>
      <c r="L12" s="15" t="n">
        <v>1338995.27</v>
      </c>
      <c r="M12" s="25" t="n">
        <v>0.2234</v>
      </c>
      <c r="N12" s="15" t="n">
        <v>3284588.06</v>
      </c>
      <c r="O12" s="15" t="n">
        <v>2086745.61</v>
      </c>
      <c r="P12" s="15" t="n">
        <v>971078.54</v>
      </c>
      <c r="Q12" s="25" t="n">
        <v>0.2391</v>
      </c>
      <c r="R12" s="27" t="n">
        <v>0.0418</v>
      </c>
      <c r="S12" s="27" t="n">
        <v>0.4609</v>
      </c>
    </row>
    <row r="13">
      <c r="A13" s="4" t="inlineStr">
        <is>
          <t>上海分部</t>
        </is>
      </c>
      <c r="B13" s="15" t="n">
        <v>3625312.73</v>
      </c>
      <c r="C13" s="15" t="n">
        <v>2188721.39</v>
      </c>
      <c r="D13" s="15" t="n">
        <v>1618448.71</v>
      </c>
      <c r="E13" s="25" t="n">
        <v>0.355</v>
      </c>
      <c r="F13" s="15" t="n">
        <v>3473596.26</v>
      </c>
      <c r="G13" s="15" t="n">
        <v>2027991.09</v>
      </c>
      <c r="H13" s="15" t="n">
        <v>1548358.23</v>
      </c>
      <c r="I13" s="25" t="n">
        <v>0.3811</v>
      </c>
      <c r="J13" s="15" t="n">
        <v>3921698.3</v>
      </c>
      <c r="K13" s="15" t="n">
        <v>2672403.7</v>
      </c>
      <c r="L13" s="15" t="n">
        <v>1486866.06</v>
      </c>
      <c r="M13" s="25" t="n">
        <v>0.3497</v>
      </c>
      <c r="N13" s="15" t="n">
        <v>3679128.23</v>
      </c>
      <c r="O13" s="15" t="n">
        <v>2378992.47</v>
      </c>
      <c r="P13" s="15" t="n">
        <v>1235806.43</v>
      </c>
      <c r="Q13" s="25" t="n">
        <v>0.3255</v>
      </c>
      <c r="R13" s="27" t="n">
        <v>0.0707</v>
      </c>
      <c r="S13" s="27" t="n">
        <v>0.1245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产品月度销售汇总（含公式）</t>
        </is>
      </c>
    </row>
    <row r="2">
      <c r="A2" s="2" t="inlineStr">
        <is>
          <t>产品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合计</t>
        </is>
      </c>
    </row>
    <row r="3">
      <c r="A3" s="4" t="inlineStr">
        <is>
          <t>中式汤底</t>
        </is>
      </c>
      <c r="B3" s="15" t="n">
        <v>251110.66</v>
      </c>
      <c r="C3" s="15" t="n">
        <v>118993.58</v>
      </c>
      <c r="D3" s="15" t="n">
        <v>229199.2</v>
      </c>
      <c r="E3" s="15" t="n">
        <v>72332.28</v>
      </c>
      <c r="F3" s="15" t="n">
        <v>475846.81</v>
      </c>
      <c r="G3" s="15" t="n">
        <v>383454.7</v>
      </c>
      <c r="H3" s="15" t="n">
        <v>322854.56</v>
      </c>
      <c r="I3" s="15" t="n">
        <v>335797.72</v>
      </c>
      <c r="J3" s="15" t="n">
        <v>127360.05</v>
      </c>
      <c r="K3" s="15" t="n">
        <v>84634.14</v>
      </c>
      <c r="L3" s="15" t="n">
        <v>472958.61</v>
      </c>
      <c r="M3" s="15" t="n">
        <v>92682.17</v>
      </c>
      <c r="N3" s="15">
        <f>SUM(B3:M3)</f>
        <v/>
      </c>
    </row>
    <row r="4">
      <c r="A4" s="4" t="inlineStr">
        <is>
          <t>酱料</t>
        </is>
      </c>
      <c r="B4" s="15" t="n">
        <v>318572.18</v>
      </c>
      <c r="C4" s="15" t="n">
        <v>437826.07</v>
      </c>
      <c r="D4" s="15" t="n">
        <v>65855.17</v>
      </c>
      <c r="E4" s="15" t="n">
        <v>360499.04</v>
      </c>
      <c r="F4" s="15" t="n">
        <v>375653.69</v>
      </c>
      <c r="G4" s="15" t="n">
        <v>454392.28</v>
      </c>
      <c r="H4" s="15" t="n">
        <v>423142.27</v>
      </c>
      <c r="I4" s="15" t="n">
        <v>405158.64</v>
      </c>
      <c r="J4" s="15" t="n">
        <v>129875.81</v>
      </c>
      <c r="K4" s="15" t="n">
        <v>269585.48</v>
      </c>
      <c r="L4" s="15" t="n">
        <v>340736.37</v>
      </c>
      <c r="M4" s="15" t="n">
        <v>451606.26</v>
      </c>
      <c r="N4" s="15">
        <f>SUM(B4:M4)</f>
        <v/>
      </c>
    </row>
    <row r="5">
      <c r="A5" s="4" t="inlineStr">
        <is>
          <t>川味底料</t>
        </is>
      </c>
      <c r="B5" s="15" t="n">
        <v>61668.4</v>
      </c>
      <c r="C5" s="15" t="n">
        <v>489683.59</v>
      </c>
      <c r="D5" s="15" t="n">
        <v>498602.25</v>
      </c>
      <c r="E5" s="15" t="n">
        <v>385307.47</v>
      </c>
      <c r="F5" s="15" t="n">
        <v>74266.42</v>
      </c>
      <c r="G5" s="15" t="n">
        <v>276036.06</v>
      </c>
      <c r="H5" s="15" t="n">
        <v>140622.92</v>
      </c>
      <c r="I5" s="15" t="n">
        <v>392962.24</v>
      </c>
      <c r="J5" s="15" t="n">
        <v>117541.87</v>
      </c>
      <c r="K5" s="15" t="n">
        <v>350484.02</v>
      </c>
      <c r="L5" s="15" t="n">
        <v>102987.48</v>
      </c>
      <c r="M5" s="15" t="n">
        <v>471447.98</v>
      </c>
      <c r="N5" s="15">
        <f>SUM(B5:M5)</f>
        <v/>
      </c>
    </row>
    <row r="6">
      <c r="A6" s="4" t="inlineStr">
        <is>
          <t>调味汁</t>
        </is>
      </c>
      <c r="B6" s="15" t="n">
        <v>199506.71</v>
      </c>
      <c r="C6" s="15" t="n">
        <v>112794.95</v>
      </c>
      <c r="D6" s="15" t="n">
        <v>299484.51</v>
      </c>
      <c r="E6" s="15" t="n">
        <v>400328.09</v>
      </c>
      <c r="F6" s="15" t="n">
        <v>446339.14</v>
      </c>
      <c r="G6" s="15" t="n">
        <v>144350.28</v>
      </c>
      <c r="H6" s="15" t="n">
        <v>480006.92</v>
      </c>
      <c r="I6" s="15" t="n">
        <v>133419.64</v>
      </c>
      <c r="J6" s="15" t="n">
        <v>225578.52</v>
      </c>
      <c r="K6" s="15" t="n">
        <v>274266.13</v>
      </c>
      <c r="L6" s="15" t="n">
        <v>205797.31</v>
      </c>
      <c r="M6" s="15" t="n">
        <v>421053.8</v>
      </c>
      <c r="N6" s="15">
        <f>SUM(B6:M6)</f>
        <v/>
      </c>
    </row>
    <row r="7">
      <c r="A7" s="4" t="inlineStr">
        <is>
          <t>复合调味粉</t>
        </is>
      </c>
      <c r="B7" s="15" t="n">
        <v>368799.72</v>
      </c>
      <c r="C7" s="15" t="n">
        <v>146385.31</v>
      </c>
      <c r="D7" s="15" t="n">
        <v>433090.67</v>
      </c>
      <c r="E7" s="15" t="n">
        <v>474293.69</v>
      </c>
      <c r="F7" s="15" t="n">
        <v>451363.91</v>
      </c>
      <c r="G7" s="15" t="n">
        <v>105478.87</v>
      </c>
      <c r="H7" s="15" t="n">
        <v>128688.42</v>
      </c>
      <c r="I7" s="15" t="n">
        <v>257222.14</v>
      </c>
      <c r="J7" s="15" t="n">
        <v>102257.24</v>
      </c>
      <c r="K7" s="15" t="n">
        <v>484216.25</v>
      </c>
      <c r="L7" s="15" t="n">
        <v>91368.03</v>
      </c>
      <c r="M7" s="15" t="n">
        <v>175670.81</v>
      </c>
      <c r="N7" s="15">
        <f>SUM(B7:M7)</f>
        <v/>
      </c>
    </row>
    <row r="8">
      <c r="A8" s="4" t="inlineStr">
        <is>
          <t>团餐</t>
        </is>
      </c>
      <c r="B8" s="15" t="n">
        <v>128511.04</v>
      </c>
      <c r="C8" s="15" t="n">
        <v>343719.46</v>
      </c>
      <c r="D8" s="15" t="n">
        <v>272553.82</v>
      </c>
      <c r="E8" s="15" t="n">
        <v>114788.29</v>
      </c>
      <c r="F8" s="15" t="n">
        <v>191996.76</v>
      </c>
      <c r="G8" s="15" t="n">
        <v>271354</v>
      </c>
      <c r="H8" s="15" t="n">
        <v>364791.95</v>
      </c>
      <c r="I8" s="15" t="n">
        <v>438313.02</v>
      </c>
      <c r="J8" s="15" t="n">
        <v>130954.18</v>
      </c>
      <c r="K8" s="15" t="n">
        <v>402961.58</v>
      </c>
      <c r="L8" s="15" t="n">
        <v>354305.33</v>
      </c>
      <c r="M8" s="15" t="n">
        <v>189283.33</v>
      </c>
      <c r="N8" s="15">
        <f>SUM(B8:M8)</f>
        <v/>
      </c>
    </row>
    <row r="9">
      <c r="A9" s="4" t="inlineStr">
        <is>
          <t>预制菜</t>
        </is>
      </c>
      <c r="B9" s="15" t="n">
        <v>117977.54</v>
      </c>
      <c r="C9" s="15" t="n">
        <v>324140.69</v>
      </c>
      <c r="D9" s="15" t="n">
        <v>133311.1</v>
      </c>
      <c r="E9" s="15" t="n">
        <v>247679.17</v>
      </c>
      <c r="F9" s="15" t="n">
        <v>157306.94</v>
      </c>
      <c r="G9" s="15" t="n">
        <v>266516.73</v>
      </c>
      <c r="H9" s="15" t="n">
        <v>100370</v>
      </c>
      <c r="I9" s="15" t="n">
        <v>342267.32</v>
      </c>
      <c r="J9" s="15" t="n">
        <v>254904.89</v>
      </c>
      <c r="K9" s="15" t="n">
        <v>327926.07</v>
      </c>
      <c r="L9" s="15" t="n">
        <v>327399.53</v>
      </c>
      <c r="M9" s="15" t="n">
        <v>114563.3</v>
      </c>
      <c r="N9" s="15">
        <f>SUM(B9:M9)</f>
        <v/>
      </c>
    </row>
    <row r="10">
      <c r="A10" s="6" t="inlineStr">
        <is>
          <t>月度合计</t>
        </is>
      </c>
      <c r="B10" s="15">
        <f>SUM(B3:B9)</f>
        <v/>
      </c>
      <c r="C10" s="15">
        <f>SUM(C3:C9)</f>
        <v/>
      </c>
      <c r="D10" s="15">
        <f>SUM(D3:D9)</f>
        <v/>
      </c>
      <c r="E10" s="15">
        <f>SUM(E3:E9)</f>
        <v/>
      </c>
      <c r="F10" s="15">
        <f>SUM(F3:F9)</f>
        <v/>
      </c>
      <c r="G10" s="15">
        <f>SUM(G3:G9)</f>
        <v/>
      </c>
      <c r="H10" s="15">
        <f>SUM(H3:H9)</f>
        <v/>
      </c>
      <c r="I10" s="15">
        <f>SUM(I3:I9)</f>
        <v/>
      </c>
      <c r="J10" s="15">
        <f>SUM(J3:J9)</f>
        <v/>
      </c>
      <c r="K10" s="15">
        <f>SUM(K3:K9)</f>
        <v/>
      </c>
      <c r="L10" s="15">
        <f>SUM(L3:L9)</f>
        <v/>
      </c>
      <c r="M10" s="15">
        <f>SUM(M3:M9)</f>
        <v/>
      </c>
      <c r="N10" s="15">
        <f>SUM(N3:N9)</f>
        <v/>
      </c>
    </row>
    <row r="11">
      <c r="A11" s="6" t="inlineStr">
        <is>
          <t>月度平均</t>
        </is>
      </c>
      <c r="B11" s="15">
        <f>AVERAGE(B3:B9)</f>
        <v/>
      </c>
      <c r="C11" s="15">
        <f>AVERAGE(C3:C9)</f>
        <v/>
      </c>
      <c r="D11" s="15">
        <f>AVERAGE(D3:D9)</f>
        <v/>
      </c>
      <c r="E11" s="15">
        <f>AVERAGE(E3:E9)</f>
        <v/>
      </c>
      <c r="F11" s="15">
        <f>AVERAGE(F3:F9)</f>
        <v/>
      </c>
      <c r="G11" s="15">
        <f>AVERAGE(G3:G9)</f>
        <v/>
      </c>
      <c r="H11" s="15">
        <f>AVERAGE(H3:H9)</f>
        <v/>
      </c>
      <c r="I11" s="15">
        <f>AVERAGE(I3:I9)</f>
        <v/>
      </c>
      <c r="J11" s="15">
        <f>AVERAGE(J3:J9)</f>
        <v/>
      </c>
      <c r="K11" s="15">
        <f>AVERAGE(K3:K9)</f>
        <v/>
      </c>
      <c r="L11" s="15">
        <f>AVERAGE(L3:L9)</f>
        <v/>
      </c>
      <c r="M11" s="15">
        <f>AVERAGE(M3:M9)</f>
        <v/>
      </c>
      <c r="N11" s="15">
        <f>AVERAGE(N3:N9)</f>
        <v/>
      </c>
    </row>
    <row r="12">
      <c r="A12" s="6" t="inlineStr">
        <is>
          <t>达标状态</t>
        </is>
      </c>
      <c r="B12" s="4">
        <f>IF(B10&gt;1000000,"达标","未达标")</f>
        <v/>
      </c>
      <c r="C12" s="4">
        <f>IF(C10&gt;1000000,"达标","未达标")</f>
        <v/>
      </c>
      <c r="D12" s="4">
        <f>IF(D10&gt;1000000,"达标","未达标")</f>
        <v/>
      </c>
      <c r="E12" s="4">
        <f>IF(E10&gt;1000000,"达标","未达标")</f>
        <v/>
      </c>
      <c r="F12" s="4">
        <f>IF(F10&gt;1000000,"达标","未达标")</f>
        <v/>
      </c>
      <c r="G12" s="4">
        <f>IF(G10&gt;1000000,"达标","未达标")</f>
        <v/>
      </c>
      <c r="H12" s="4">
        <f>IF(H10&gt;1000000,"达标","未达标")</f>
        <v/>
      </c>
      <c r="I12" s="4">
        <f>IF(I10&gt;1000000,"达标","未达标")</f>
        <v/>
      </c>
      <c r="J12" s="4">
        <f>IF(J10&gt;1000000,"达标","未达标")</f>
        <v/>
      </c>
      <c r="K12" s="4">
        <f>IF(K10&gt;1000000,"达标","未达标")</f>
        <v/>
      </c>
      <c r="L12" s="4">
        <f>IF(L10&gt;1000000,"达标","未达标")</f>
        <v/>
      </c>
      <c r="M12" s="4">
        <f>IF(M10&gt;1000000,"达标","未达标")</f>
        <v/>
      </c>
    </row>
    <row r="13">
      <c r="A13" s="6" t="inlineStr">
        <is>
          <t>占年度比例</t>
        </is>
      </c>
      <c r="B13" s="25">
        <f>B10/N10</f>
        <v/>
      </c>
      <c r="C13" s="25">
        <f>C10/N10</f>
        <v/>
      </c>
      <c r="D13" s="25">
        <f>D10/N10</f>
        <v/>
      </c>
      <c r="E13" s="25">
        <f>E10/N10</f>
        <v/>
      </c>
      <c r="F13" s="25">
        <f>F10/N10</f>
        <v/>
      </c>
      <c r="G13" s="25">
        <f>G10/N10</f>
        <v/>
      </c>
      <c r="H13" s="25">
        <f>H10/N10</f>
        <v/>
      </c>
      <c r="I13" s="25">
        <f>I10/N10</f>
        <v/>
      </c>
      <c r="J13" s="25">
        <f>J10/N10</f>
        <v/>
      </c>
      <c r="K13" s="25">
        <f>K10/N10</f>
        <v/>
      </c>
      <c r="L13" s="25">
        <f>L10/N10</f>
        <v/>
      </c>
      <c r="M13" s="25">
        <f>M10/N10</f>
        <v/>
      </c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  <c r="H1" s="2" t="inlineStr">
        <is>
          <t>Q1</t>
        </is>
      </c>
      <c r="I1" s="2" t="inlineStr">
        <is>
          <t>Q2</t>
        </is>
      </c>
      <c r="J1" s="2" t="inlineStr">
        <is>
          <t>Q3</t>
        </is>
      </c>
      <c r="K1" s="2" t="inlineStr">
        <is>
          <t>Q4</t>
        </is>
      </c>
    </row>
    <row r="2">
      <c r="A2" s="4" t="inlineStr">
        <is>
          <t>营业收入(万元)</t>
        </is>
      </c>
      <c r="B2" s="7" t="n">
        <v>8352.9</v>
      </c>
      <c r="C2" s="7" t="n">
        <v>14016</v>
      </c>
      <c r="D2" s="7" t="n">
        <v>10305</v>
      </c>
      <c r="E2" s="7" t="n">
        <v>11966</v>
      </c>
      <c r="F2" s="7" t="n">
        <v>12641.6</v>
      </c>
      <c r="G2" s="7" t="n">
        <v>13928.4</v>
      </c>
      <c r="H2" s="7" t="n">
        <v>4527.63</v>
      </c>
      <c r="I2" s="7" t="n">
        <v>3304.97</v>
      </c>
      <c r="J2" s="7" t="n">
        <v>2810.62</v>
      </c>
      <c r="K2" s="7" t="n">
        <v>3886.28</v>
      </c>
    </row>
    <row r="3">
      <c r="A3" s="4" t="inlineStr">
        <is>
          <t>营业成本(万元)</t>
        </is>
      </c>
      <c r="B3" s="7" t="n">
        <v>6650</v>
      </c>
      <c r="C3" s="7" t="n">
        <v>9761.6</v>
      </c>
      <c r="D3" s="7" t="n">
        <v>9519.1</v>
      </c>
      <c r="E3" s="7" t="n">
        <v>9033.700000000001</v>
      </c>
      <c r="F3" s="7" t="n">
        <v>5010.9</v>
      </c>
      <c r="G3" s="7" t="n">
        <v>8830.4</v>
      </c>
      <c r="H3" s="7" t="n">
        <v>2233.99</v>
      </c>
      <c r="I3" s="7" t="n">
        <v>2929.01</v>
      </c>
      <c r="J3" s="7" t="n">
        <v>3036.05</v>
      </c>
      <c r="K3" s="7" t="n">
        <v>2037.75</v>
      </c>
    </row>
    <row r="4">
      <c r="A4" s="4" t="inlineStr">
        <is>
          <t>毛利(万元)</t>
        </is>
      </c>
      <c r="B4" s="7" t="n">
        <v>3092.4</v>
      </c>
      <c r="C4" s="7" t="n">
        <v>4067.3</v>
      </c>
      <c r="D4" s="7" t="n">
        <v>4217.6</v>
      </c>
      <c r="E4" s="7" t="n">
        <v>3642.2</v>
      </c>
      <c r="F4" s="7" t="n">
        <v>3483.1</v>
      </c>
      <c r="G4" s="7" t="n">
        <v>4402.2</v>
      </c>
      <c r="H4" s="7" t="n">
        <v>1288.5</v>
      </c>
      <c r="I4" s="7" t="n">
        <v>962.25</v>
      </c>
      <c r="J4" s="7" t="n">
        <v>1507.66</v>
      </c>
      <c r="K4" s="7" t="n">
        <v>954.14</v>
      </c>
    </row>
    <row r="5">
      <c r="A5" s="4" t="inlineStr">
        <is>
          <t>毛利率</t>
        </is>
      </c>
      <c r="B5" s="25" t="n">
        <v>0.3765</v>
      </c>
      <c r="C5" s="25" t="n">
        <v>0.2559</v>
      </c>
      <c r="D5" s="25" t="n">
        <v>0.2738</v>
      </c>
      <c r="E5" s="25" t="n">
        <v>0.3959</v>
      </c>
      <c r="F5" s="25" t="n">
        <v>0.3221</v>
      </c>
      <c r="G5" s="25" t="n">
        <v>0.3151</v>
      </c>
      <c r="H5" s="25" t="n">
        <v>0.1</v>
      </c>
      <c r="I5" s="25" t="n">
        <v>0.1</v>
      </c>
      <c r="J5" s="25" t="n">
        <v>0.07000000000000001</v>
      </c>
      <c r="K5" s="25" t="n">
        <v>0.08</v>
      </c>
    </row>
    <row r="6">
      <c r="A6" s="4" t="inlineStr">
        <is>
          <t>净利润(万元)</t>
        </is>
      </c>
      <c r="B6" s="7" t="n">
        <v>892</v>
      </c>
      <c r="C6" s="7" t="n">
        <v>553.2</v>
      </c>
      <c r="D6" s="7" t="n">
        <v>1185</v>
      </c>
      <c r="E6" s="7" t="n">
        <v>1365.6</v>
      </c>
      <c r="F6" s="7" t="n">
        <v>1017.9</v>
      </c>
      <c r="G6" s="7" t="n">
        <v>1457.7</v>
      </c>
      <c r="H6" s="7" t="n">
        <v>303.37</v>
      </c>
      <c r="I6" s="7" t="n">
        <v>292.97</v>
      </c>
      <c r="J6" s="7" t="n">
        <v>509.21</v>
      </c>
      <c r="K6" s="7" t="n">
        <v>421.87</v>
      </c>
    </row>
    <row r="7">
      <c r="A7" s="4" t="inlineStr">
        <is>
          <t>净利率</t>
        </is>
      </c>
      <c r="B7" s="25" t="n">
        <v>0.1385</v>
      </c>
      <c r="C7" s="25" t="n">
        <v>0.0453</v>
      </c>
      <c r="D7" s="25" t="n">
        <v>0.0478</v>
      </c>
      <c r="E7" s="25" t="n">
        <v>0.0587</v>
      </c>
      <c r="F7" s="25" t="n">
        <v>0.0424</v>
      </c>
      <c r="G7" s="25" t="n">
        <v>0.1092</v>
      </c>
      <c r="H7" s="25" t="n">
        <v>0.03</v>
      </c>
      <c r="I7" s="25" t="n">
        <v>0.03</v>
      </c>
      <c r="J7" s="25" t="n">
        <v>0.03</v>
      </c>
      <c r="K7" s="25" t="n">
        <v>0.02</v>
      </c>
    </row>
    <row r="8">
      <c r="A8" s="4" t="inlineStr">
        <is>
          <t>员工数</t>
        </is>
      </c>
      <c r="B8" s="7" t="n">
        <v>275</v>
      </c>
      <c r="C8" s="7" t="n">
        <v>445</v>
      </c>
      <c r="D8" s="7" t="n">
        <v>412</v>
      </c>
      <c r="E8" s="7" t="n">
        <v>251</v>
      </c>
      <c r="F8" s="7" t="n">
        <v>309</v>
      </c>
      <c r="G8" s="7" t="n">
        <v>230</v>
      </c>
      <c r="H8" s="7" t="n">
        <v>61.5</v>
      </c>
      <c r="I8" s="7" t="n">
        <v>64.75</v>
      </c>
      <c r="J8" s="7" t="n">
        <v>55.31</v>
      </c>
      <c r="K8" s="7" t="n">
        <v>66.65000000000001</v>
      </c>
    </row>
    <row r="9">
      <c r="A9" s="4" t="inlineStr">
        <is>
          <t>人均产值(万元)</t>
        </is>
      </c>
      <c r="B9" s="7" t="n">
        <v>26.9</v>
      </c>
      <c r="C9" s="7" t="n">
        <v>19.7</v>
      </c>
      <c r="D9" s="7" t="n">
        <v>38.6</v>
      </c>
      <c r="E9" s="7" t="n">
        <v>31.9</v>
      </c>
      <c r="F9" s="7" t="n">
        <v>19.5</v>
      </c>
      <c r="G9" s="7" t="n">
        <v>21.5</v>
      </c>
      <c r="H9" s="7" t="n">
        <v>6.1</v>
      </c>
      <c r="I9" s="7" t="n">
        <v>6.79</v>
      </c>
      <c r="J9" s="7" t="n">
        <v>5.09</v>
      </c>
      <c r="K9" s="7" t="n">
        <v>4.31</v>
      </c>
    </row>
    <row r="10">
      <c r="A10" s="4" t="inlineStr">
        <is>
          <t>研发费用(万元)</t>
        </is>
      </c>
      <c r="B10" s="7" t="n">
        <v>1961.5</v>
      </c>
      <c r="C10" s="7" t="n">
        <v>918.4</v>
      </c>
      <c r="D10" s="7" t="n">
        <v>1287.9</v>
      </c>
      <c r="E10" s="7" t="n">
        <v>1664.3</v>
      </c>
      <c r="F10" s="7" t="n">
        <v>932.5</v>
      </c>
      <c r="G10" s="7" t="n">
        <v>1597.6</v>
      </c>
      <c r="H10" s="7" t="n">
        <v>425.98</v>
      </c>
      <c r="I10" s="7" t="n">
        <v>386.21</v>
      </c>
      <c r="J10" s="7" t="n">
        <v>475.29</v>
      </c>
      <c r="K10" s="7" t="n">
        <v>532.3</v>
      </c>
    </row>
    <row r="11">
      <c r="A11" s="4" t="inlineStr">
        <is>
          <t>研发占比</t>
        </is>
      </c>
      <c r="B11" s="25" t="n">
        <v>0.0393</v>
      </c>
      <c r="C11" s="25" t="n">
        <v>0.049</v>
      </c>
      <c r="D11" s="25" t="n">
        <v>0.104</v>
      </c>
      <c r="E11" s="25" t="n">
        <v>0.0413</v>
      </c>
      <c r="F11" s="25" t="n">
        <v>0.0505</v>
      </c>
      <c r="G11" s="25" t="n">
        <v>0.0453</v>
      </c>
      <c r="H11" s="25" t="n">
        <v>0.01</v>
      </c>
      <c r="I11" s="25" t="n">
        <v>0.01</v>
      </c>
      <c r="J11" s="25" t="n">
        <v>0.01</v>
      </c>
      <c r="K11" s="25" t="n">
        <v>0.01</v>
      </c>
    </row>
    <row r="12">
      <c r="A12" s="4" t="inlineStr">
        <is>
          <t>资产总额(万元)</t>
        </is>
      </c>
      <c r="B12" s="7" t="n">
        <v>11335.2</v>
      </c>
      <c r="C12" s="7" t="n">
        <v>29363.8</v>
      </c>
      <c r="D12" s="7" t="n">
        <v>19970.8</v>
      </c>
      <c r="E12" s="7" t="n">
        <v>40104.4</v>
      </c>
      <c r="F12" s="7" t="n">
        <v>45459.4</v>
      </c>
      <c r="G12" s="7" t="n">
        <v>44404.3</v>
      </c>
      <c r="H12" s="7" t="n">
        <v>11847.43</v>
      </c>
      <c r="I12" s="7" t="n">
        <v>13351.11</v>
      </c>
      <c r="J12" s="7" t="n">
        <v>12709.82</v>
      </c>
      <c r="K12" s="7" t="n">
        <v>11516.4</v>
      </c>
    </row>
    <row r="13">
      <c r="A13" s="4" t="inlineStr">
        <is>
          <t>负债率</t>
        </is>
      </c>
      <c r="B13" s="25" t="n">
        <v>0.4898</v>
      </c>
      <c r="C13" s="25" t="n">
        <v>0.6765</v>
      </c>
      <c r="D13" s="25" t="n">
        <v>0.6028</v>
      </c>
      <c r="E13" s="25" t="n">
        <v>0.5878</v>
      </c>
      <c r="F13" s="25" t="n">
        <v>0.4218</v>
      </c>
      <c r="G13" s="25" t="n">
        <v>0.5339</v>
      </c>
      <c r="H13" s="25" t="n">
        <v>0.13</v>
      </c>
      <c r="I13" s="25" t="n">
        <v>0.14</v>
      </c>
      <c r="J13" s="25" t="n">
        <v>0.13</v>
      </c>
      <c r="K13" s="25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2026-02-20T00:51:59Z</dcterms:created>
  <dcterms:modified xmlns:dcterms="http://purl.org/dc/terms/" xmlns:xsi="http://www.w3.org/2001/XMLSchema-instance" xsi:type="dcterms:W3CDTF">2026-02-20T00:52:00Z</dcterms:modified>
</cp:coreProperties>
</file>