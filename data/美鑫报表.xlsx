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张亮\Desktop\"/>
    </mc:Choice>
  </mc:AlternateContent>
  <xr:revisionPtr revIDLastSave="0" documentId="13_ncr:1_{D987AFB2-0D66-4C10-B1C8-1F2E3648213B}" xr6:coauthVersionLast="47" xr6:coauthVersionMax="47" xr10:uidLastSave="{00000000-0000-0000-0000-000000000000}"/>
  <bookViews>
    <workbookView xWindow="-110" yWindow="-110" windowWidth="21820" windowHeight="13900" tabRatio="707" firstSheet="6" activeTab="9" xr2:uid="{00000000-000D-0000-FFFF-FFFF00000000}"/>
  </bookViews>
  <sheets>
    <sheet name="索引" sheetId="116" r:id="rId1"/>
    <sheet name="收入及净利简表" sheetId="106" r:id="rId2"/>
    <sheet name="2025年销售1中心利润表" sheetId="79" r:id="rId3"/>
    <sheet name="2025年中心利润表 " sheetId="104" r:id="rId4"/>
    <sheet name="2025年江苏分部利润表" sheetId="82" r:id="rId5"/>
    <sheet name="2025年浙江分部利润表" sheetId="103" r:id="rId6"/>
    <sheet name="2025年上海分部利润表" sheetId="100" r:id="rId7"/>
    <sheet name="2025年赣皖区域利润表" sheetId="101" r:id="rId8"/>
    <sheet name="2025年安徽省区利润表" sheetId="121" r:id="rId9"/>
    <sheet name="2025年江西省区利润表" sheetId="120" r:id="rId10"/>
    <sheet name="24年返利明细" sheetId="109" state="hidden" r:id="rId11"/>
  </sheets>
  <externalReferences>
    <externalReference r:id="rId12"/>
  </externalReferences>
  <definedNames>
    <definedName name="_xlnm._FilterDatabase" localSheetId="8" hidden="1">'2025年安徽省区利润表'!$C$5:$AB$270</definedName>
    <definedName name="_xlnm._FilterDatabase" localSheetId="7" hidden="1">'2025年赣皖区域利润表'!$A$5:$DS$267</definedName>
    <definedName name="_xlnm._FilterDatabase" localSheetId="4" hidden="1">'2025年江苏分部利润表'!$C$5:$AB$270</definedName>
    <definedName name="_xlnm._FilterDatabase" localSheetId="9" hidden="1">'2025年江西省区利润表'!$A$5:$DS$267</definedName>
    <definedName name="_xlnm._FilterDatabase" localSheetId="6" hidden="1">'2025年上海分部利润表'!$C$5:$AB$270</definedName>
    <definedName name="_xlnm._FilterDatabase" localSheetId="2" hidden="1">'2025年销售1中心利润表'!$C$5:$AB$270</definedName>
    <definedName name="_xlnm._FilterDatabase" localSheetId="5" hidden="1">'2025年浙江分部利润表'!$C$5:$AB$270</definedName>
    <definedName name="_xlnm._FilterDatabase" localSheetId="3" hidden="1">'2025年中心利润表 '!$C$5:$AB$269</definedName>
    <definedName name="_xlnm.Print_Area" localSheetId="8">'2025年安徽省区利润表'!$A$1:$AB$270</definedName>
    <definedName name="_xlnm.Print_Area" localSheetId="7">'2025年赣皖区域利润表'!$A$1:$AB$270</definedName>
    <definedName name="_xlnm.Print_Area" localSheetId="4">'2025年江苏分部利润表'!$A$1:$AB$270</definedName>
    <definedName name="_xlnm.Print_Area" localSheetId="9">'2025年江西省区利润表'!$A$1:$AB$270</definedName>
    <definedName name="_xlnm.Print_Area" localSheetId="6">'2025年上海分部利润表'!$A$1:$AB$270</definedName>
    <definedName name="_xlnm.Print_Area" localSheetId="2">'2025年销售1中心利润表'!$A$1:$AB$270</definedName>
    <definedName name="_xlnm.Print_Area" localSheetId="5">'2025年浙江分部利润表'!$A$1:$AB$270</definedName>
    <definedName name="_xlnm.Print_Area" localSheetId="3">'2025年中心利润表 '!$A$1:$AB$269</definedName>
    <definedName name="_xlnm.Print_Area" localSheetId="1">收入及净利简表!$A$1:$AN$23</definedName>
    <definedName name="_xlnm.Print_Titles" localSheetId="2">'2025年销售1中心利润表'!$4:$5</definedName>
    <definedName name="索引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4" i="82" l="1"/>
  <c r="X24" i="82"/>
  <c r="V24" i="82"/>
  <c r="T24" i="82"/>
  <c r="R24" i="82"/>
  <c r="P24" i="82"/>
  <c r="Z24" i="103"/>
  <c r="X24" i="103"/>
  <c r="V24" i="103"/>
  <c r="T24" i="103"/>
  <c r="R24" i="103"/>
  <c r="P24" i="103"/>
  <c r="Z24" i="100"/>
  <c r="X24" i="100"/>
  <c r="V24" i="100"/>
  <c r="T24" i="100"/>
  <c r="P24" i="100"/>
  <c r="Z24" i="121"/>
  <c r="X24" i="121"/>
  <c r="V24" i="121"/>
  <c r="T24" i="121"/>
  <c r="R24" i="121"/>
  <c r="P24" i="121"/>
  <c r="Z24" i="120"/>
  <c r="X24" i="120"/>
  <c r="V24" i="120"/>
  <c r="T24" i="120"/>
  <c r="R24" i="120"/>
  <c r="D59" i="109" l="1"/>
  <c r="B270" i="120"/>
  <c r="AB264" i="120"/>
  <c r="AA264" i="120"/>
  <c r="Z264" i="120"/>
  <c r="X264" i="120"/>
  <c r="V264" i="120"/>
  <c r="T264" i="120"/>
  <c r="R264" i="120"/>
  <c r="P264" i="120"/>
  <c r="N264" i="120"/>
  <c r="AE262" i="120"/>
  <c r="AD262" i="120"/>
  <c r="AB262" i="120"/>
  <c r="AA262" i="120"/>
  <c r="AE260" i="120"/>
  <c r="AG260" i="120" s="1"/>
  <c r="AD260" i="120"/>
  <c r="AF260" i="120" s="1"/>
  <c r="AB260" i="120"/>
  <c r="AA260" i="120"/>
  <c r="AE259" i="120"/>
  <c r="AD259" i="120"/>
  <c r="AF259" i="120" s="1"/>
  <c r="AB259" i="120"/>
  <c r="AG259" i="120" s="1"/>
  <c r="AA259" i="120"/>
  <c r="AG257" i="120"/>
  <c r="AE257" i="120"/>
  <c r="AD257" i="120"/>
  <c r="AB257" i="120"/>
  <c r="AA257" i="120"/>
  <c r="AF257" i="120" s="1"/>
  <c r="AE256" i="120"/>
  <c r="AD256" i="120"/>
  <c r="AF256" i="120" s="1"/>
  <c r="AB256" i="120"/>
  <c r="AG256" i="120" s="1"/>
  <c r="AA256" i="120"/>
  <c r="AE255" i="120"/>
  <c r="AD255" i="120"/>
  <c r="AF255" i="120" s="1"/>
  <c r="AB255" i="120"/>
  <c r="AG255" i="120" s="1"/>
  <c r="AA255" i="120"/>
  <c r="AE254" i="120"/>
  <c r="AD254" i="120"/>
  <c r="AB254" i="120"/>
  <c r="AA254" i="120"/>
  <c r="AF254" i="120" s="1"/>
  <c r="AE253" i="120"/>
  <c r="AD253" i="120"/>
  <c r="AB253" i="120"/>
  <c r="AG253" i="120" s="1"/>
  <c r="AA253" i="120"/>
  <c r="AF253" i="120" s="1"/>
  <c r="AG252" i="120"/>
  <c r="AF252" i="120"/>
  <c r="AE252" i="120"/>
  <c r="AD252" i="120"/>
  <c r="AB252" i="120"/>
  <c r="AA252" i="120"/>
  <c r="AG251" i="120"/>
  <c r="AE251" i="120"/>
  <c r="AD251" i="120"/>
  <c r="AB251" i="120"/>
  <c r="AA251" i="120"/>
  <c r="AF251" i="120" s="1"/>
  <c r="AE250" i="120"/>
  <c r="AD250" i="120"/>
  <c r="AB250" i="120"/>
  <c r="AG250" i="120" s="1"/>
  <c r="AA250" i="120"/>
  <c r="AF250" i="120" s="1"/>
  <c r="AE249" i="120"/>
  <c r="AD249" i="120"/>
  <c r="AB249" i="120"/>
  <c r="AG249" i="120" s="1"/>
  <c r="AA249" i="120"/>
  <c r="AF249" i="120" s="1"/>
  <c r="AE248" i="120"/>
  <c r="AD248" i="120"/>
  <c r="AB248" i="120"/>
  <c r="AA248" i="120"/>
  <c r="AF248" i="120" s="1"/>
  <c r="AE247" i="120"/>
  <c r="AD247" i="120"/>
  <c r="AF247" i="120" s="1"/>
  <c r="AB247" i="120"/>
  <c r="AG247" i="120" s="1"/>
  <c r="AA247" i="120"/>
  <c r="AE246" i="120"/>
  <c r="AD246" i="120"/>
  <c r="AB246" i="120"/>
  <c r="AA246" i="120"/>
  <c r="AF246" i="120" s="1"/>
  <c r="AE245" i="120"/>
  <c r="AD245" i="120"/>
  <c r="AB245" i="120"/>
  <c r="AA245" i="120"/>
  <c r="AF244" i="120"/>
  <c r="AE244" i="120"/>
  <c r="AG244" i="120" s="1"/>
  <c r="AD244" i="120"/>
  <c r="AB244" i="120"/>
  <c r="AA244" i="120"/>
  <c r="AE243" i="120"/>
  <c r="AG243" i="120" s="1"/>
  <c r="AD243" i="120"/>
  <c r="AF243" i="120" s="1"/>
  <c r="AB243" i="120"/>
  <c r="AA243" i="120"/>
  <c r="AF242" i="120"/>
  <c r="AE242" i="120"/>
  <c r="AG242" i="120" s="1"/>
  <c r="AD242" i="120"/>
  <c r="AB242" i="120"/>
  <c r="AA242" i="120"/>
  <c r="AE241" i="120"/>
  <c r="AD241" i="120"/>
  <c r="AB241" i="120"/>
  <c r="AG241" i="120" s="1"/>
  <c r="AA241" i="120"/>
  <c r="AF241" i="120" s="1"/>
  <c r="AF240" i="120"/>
  <c r="AE240" i="120"/>
  <c r="AG240" i="120" s="1"/>
  <c r="AD240" i="120"/>
  <c r="AB240" i="120"/>
  <c r="AA240" i="120"/>
  <c r="AG239" i="120"/>
  <c r="AF239" i="120"/>
  <c r="AE239" i="120"/>
  <c r="AD239" i="120"/>
  <c r="AB239" i="120"/>
  <c r="AA239" i="120"/>
  <c r="AE238" i="120"/>
  <c r="AD238" i="120"/>
  <c r="AB238" i="120"/>
  <c r="AG238" i="120" s="1"/>
  <c r="AA238" i="120"/>
  <c r="AF238" i="120" s="1"/>
  <c r="AF237" i="120"/>
  <c r="AE237" i="120"/>
  <c r="AG237" i="120" s="1"/>
  <c r="AD237" i="120"/>
  <c r="AB237" i="120"/>
  <c r="AA237" i="120"/>
  <c r="AG236" i="120"/>
  <c r="AF236" i="120"/>
  <c r="AE236" i="120"/>
  <c r="AD236" i="120"/>
  <c r="AB236" i="120"/>
  <c r="AA236" i="120"/>
  <c r="AE235" i="120"/>
  <c r="AD235" i="120"/>
  <c r="AB235" i="120"/>
  <c r="AG235" i="120" s="1"/>
  <c r="AA235" i="120"/>
  <c r="AF235" i="120" s="1"/>
  <c r="AG234" i="120"/>
  <c r="AE234" i="120"/>
  <c r="AD234" i="120"/>
  <c r="AB234" i="120"/>
  <c r="AA234" i="120"/>
  <c r="AF234" i="120" s="1"/>
  <c r="AG233" i="120"/>
  <c r="AE233" i="120"/>
  <c r="AD233" i="120"/>
  <c r="AB233" i="120"/>
  <c r="AA233" i="120"/>
  <c r="AF233" i="120" s="1"/>
  <c r="AE232" i="120"/>
  <c r="AD232" i="120"/>
  <c r="AB232" i="120"/>
  <c r="AG232" i="120" s="1"/>
  <c r="AA232" i="120"/>
  <c r="AF232" i="120" s="1"/>
  <c r="AE231" i="120"/>
  <c r="AD231" i="120"/>
  <c r="AF231" i="120" s="1"/>
  <c r="AB231" i="120"/>
  <c r="AA231" i="120"/>
  <c r="AE230" i="120"/>
  <c r="AD230" i="120"/>
  <c r="AB230" i="120"/>
  <c r="AA230" i="120"/>
  <c r="AF229" i="120"/>
  <c r="AE229" i="120"/>
  <c r="AD229" i="120"/>
  <c r="AB229" i="120"/>
  <c r="AA229" i="120"/>
  <c r="AF228" i="120"/>
  <c r="AE228" i="120"/>
  <c r="AG228" i="120" s="1"/>
  <c r="AD228" i="120"/>
  <c r="AB228" i="120"/>
  <c r="AA228" i="120"/>
  <c r="AF227" i="120"/>
  <c r="AE227" i="120"/>
  <c r="AG227" i="120" s="1"/>
  <c r="AD227" i="120"/>
  <c r="AB227" i="120"/>
  <c r="AA227" i="120"/>
  <c r="AG226" i="120"/>
  <c r="AF226" i="120"/>
  <c r="AE226" i="120"/>
  <c r="AD226" i="120"/>
  <c r="AB226" i="120"/>
  <c r="AA226" i="120"/>
  <c r="AG225" i="120"/>
  <c r="AE225" i="120"/>
  <c r="AD225" i="120"/>
  <c r="AB225" i="120"/>
  <c r="AA225" i="120"/>
  <c r="AF225" i="120" s="1"/>
  <c r="AG224" i="120"/>
  <c r="AE224" i="120"/>
  <c r="AD224" i="120"/>
  <c r="AB224" i="120"/>
  <c r="AA224" i="120"/>
  <c r="AF224" i="120" s="1"/>
  <c r="AG223" i="120"/>
  <c r="AF223" i="120"/>
  <c r="AE223" i="120"/>
  <c r="AD223" i="120"/>
  <c r="AB223" i="120"/>
  <c r="AA223" i="120"/>
  <c r="AE222" i="120"/>
  <c r="AD222" i="120"/>
  <c r="AB222" i="120"/>
  <c r="AA222" i="120"/>
  <c r="AG221" i="120"/>
  <c r="AE221" i="120"/>
  <c r="AD221" i="120"/>
  <c r="AB221" i="120"/>
  <c r="AA221" i="120"/>
  <c r="AF221" i="120" s="1"/>
  <c r="AG220" i="120"/>
  <c r="AF220" i="120"/>
  <c r="AE220" i="120"/>
  <c r="AD220" i="120"/>
  <c r="AB220" i="120"/>
  <c r="AA220" i="120"/>
  <c r="AG219" i="120"/>
  <c r="AE219" i="120"/>
  <c r="AD219" i="120"/>
  <c r="AB219" i="120"/>
  <c r="AA219" i="120"/>
  <c r="AF219" i="120" s="1"/>
  <c r="AE218" i="120"/>
  <c r="AD218" i="120"/>
  <c r="AB218" i="120"/>
  <c r="AG218" i="120" s="1"/>
  <c r="AA218" i="120"/>
  <c r="AF218" i="120" s="1"/>
  <c r="AG217" i="120"/>
  <c r="AE217" i="120"/>
  <c r="AD217" i="120"/>
  <c r="AB217" i="120"/>
  <c r="AA217" i="120"/>
  <c r="AF217" i="120" s="1"/>
  <c r="AF216" i="120"/>
  <c r="AE216" i="120"/>
  <c r="AG216" i="120" s="1"/>
  <c r="AD216" i="120"/>
  <c r="AB216" i="120"/>
  <c r="AA216" i="120"/>
  <c r="AE215" i="120"/>
  <c r="AD215" i="120"/>
  <c r="AF215" i="120" s="1"/>
  <c r="AB215" i="120"/>
  <c r="AG215" i="120" s="1"/>
  <c r="AA215" i="120"/>
  <c r="AE214" i="120"/>
  <c r="AD214" i="120"/>
  <c r="AB214" i="120"/>
  <c r="AG214" i="120" s="1"/>
  <c r="AA214" i="120"/>
  <c r="AF214" i="120" s="1"/>
  <c r="AE213" i="120"/>
  <c r="AD213" i="120"/>
  <c r="AF213" i="120" s="1"/>
  <c r="AB213" i="120"/>
  <c r="AG213" i="120" s="1"/>
  <c r="AA213" i="120"/>
  <c r="AF212" i="120"/>
  <c r="AD212" i="120"/>
  <c r="AA212" i="120"/>
  <c r="Z212" i="120"/>
  <c r="X212" i="120"/>
  <c r="V212" i="120"/>
  <c r="T212" i="120"/>
  <c r="R212" i="120"/>
  <c r="P212" i="120"/>
  <c r="N212" i="120"/>
  <c r="L212" i="120"/>
  <c r="J212" i="120"/>
  <c r="H212" i="120"/>
  <c r="F212" i="120"/>
  <c r="AG211" i="120"/>
  <c r="AE211" i="120"/>
  <c r="AD211" i="120"/>
  <c r="AB211" i="120"/>
  <c r="AA211" i="120"/>
  <c r="AF211" i="120" s="1"/>
  <c r="AE210" i="120"/>
  <c r="AD210" i="120"/>
  <c r="AB210" i="120"/>
  <c r="AG210" i="120" s="1"/>
  <c r="AA210" i="120"/>
  <c r="AF210" i="120" s="1"/>
  <c r="AG209" i="120"/>
  <c r="AF209" i="120"/>
  <c r="AE209" i="120"/>
  <c r="AD209" i="120"/>
  <c r="AB209" i="120"/>
  <c r="AA209" i="120"/>
  <c r="AE208" i="120"/>
  <c r="AD208" i="120"/>
  <c r="AB208" i="120"/>
  <c r="AG208" i="120" s="1"/>
  <c r="AA208" i="120"/>
  <c r="AF208" i="120" s="1"/>
  <c r="AE207" i="120"/>
  <c r="AD207" i="120"/>
  <c r="AB207" i="120"/>
  <c r="AG207" i="120" s="1"/>
  <c r="AA207" i="120"/>
  <c r="AF207" i="120" s="1"/>
  <c r="AF206" i="120"/>
  <c r="AE206" i="120"/>
  <c r="AG206" i="120" s="1"/>
  <c r="AD206" i="120"/>
  <c r="AB206" i="120"/>
  <c r="AA206" i="120"/>
  <c r="AF205" i="120"/>
  <c r="AE205" i="120"/>
  <c r="AD205" i="120"/>
  <c r="AB205" i="120"/>
  <c r="AG205" i="120" s="1"/>
  <c r="AA205" i="120"/>
  <c r="AE204" i="120"/>
  <c r="AD204" i="120"/>
  <c r="AB204" i="120"/>
  <c r="AG204" i="120" s="1"/>
  <c r="AA204" i="120"/>
  <c r="AF204" i="120" s="1"/>
  <c r="AG203" i="120"/>
  <c r="AF203" i="120"/>
  <c r="AE203" i="120"/>
  <c r="AD203" i="120"/>
  <c r="AB203" i="120"/>
  <c r="AA203" i="120"/>
  <c r="AG202" i="120"/>
  <c r="AE202" i="120"/>
  <c r="AD202" i="120"/>
  <c r="AB202" i="120"/>
  <c r="AA202" i="120"/>
  <c r="AF202" i="120" s="1"/>
  <c r="AE201" i="120"/>
  <c r="AD201" i="120"/>
  <c r="AB201" i="120"/>
  <c r="AG201" i="120" s="1"/>
  <c r="AA201" i="120"/>
  <c r="AF201" i="120" s="1"/>
  <c r="AD200" i="120"/>
  <c r="AA200" i="120"/>
  <c r="AF200" i="120" s="1"/>
  <c r="Z200" i="120"/>
  <c r="AB200" i="120" s="1"/>
  <c r="X200" i="120"/>
  <c r="V200" i="120"/>
  <c r="T200" i="120"/>
  <c r="R200" i="120"/>
  <c r="P200" i="120"/>
  <c r="N200" i="120"/>
  <c r="L200" i="120"/>
  <c r="J200" i="120"/>
  <c r="H200" i="120"/>
  <c r="F200" i="120"/>
  <c r="AE199" i="120"/>
  <c r="AD199" i="120"/>
  <c r="AB199" i="120"/>
  <c r="AG199" i="120" s="1"/>
  <c r="AA199" i="120"/>
  <c r="AF199" i="120" s="1"/>
  <c r="AG198" i="120"/>
  <c r="AF198" i="120"/>
  <c r="AE198" i="120"/>
  <c r="AD198" i="120"/>
  <c r="AB198" i="120"/>
  <c r="AA198" i="120"/>
  <c r="AF197" i="120"/>
  <c r="AE197" i="120"/>
  <c r="AG197" i="120" s="1"/>
  <c r="AD197" i="120"/>
  <c r="AB197" i="120"/>
  <c r="AA197" i="120"/>
  <c r="AE196" i="120"/>
  <c r="AD196" i="120"/>
  <c r="AB196" i="120"/>
  <c r="AG196" i="120" s="1"/>
  <c r="AA196" i="120"/>
  <c r="AF196" i="120" s="1"/>
  <c r="AG195" i="120"/>
  <c r="AF195" i="120"/>
  <c r="AE195" i="120"/>
  <c r="AD195" i="120"/>
  <c r="AB195" i="120"/>
  <c r="AA195" i="120"/>
  <c r="AE194" i="120"/>
  <c r="AD194" i="120"/>
  <c r="AB194" i="120"/>
  <c r="AG194" i="120" s="1"/>
  <c r="AA194" i="120"/>
  <c r="AF194" i="120" s="1"/>
  <c r="AE193" i="120"/>
  <c r="AD193" i="120"/>
  <c r="AB193" i="120"/>
  <c r="AG193" i="120" s="1"/>
  <c r="AA193" i="120"/>
  <c r="AF193" i="120" s="1"/>
  <c r="AG192" i="120"/>
  <c r="AF192" i="120"/>
  <c r="AE192" i="120"/>
  <c r="AD192" i="120"/>
  <c r="AB192" i="120"/>
  <c r="AA192" i="120"/>
  <c r="AE191" i="120"/>
  <c r="AD191" i="120"/>
  <c r="AB191" i="120"/>
  <c r="AG191" i="120" s="1"/>
  <c r="AA191" i="120"/>
  <c r="AF191" i="120" s="1"/>
  <c r="AE190" i="120"/>
  <c r="AD190" i="120"/>
  <c r="AB190" i="120"/>
  <c r="AG190" i="120" s="1"/>
  <c r="AA190" i="120"/>
  <c r="AF190" i="120" s="1"/>
  <c r="AF189" i="120"/>
  <c r="AD189" i="120"/>
  <c r="AA189" i="120"/>
  <c r="Z189" i="120"/>
  <c r="X189" i="120"/>
  <c r="V189" i="120"/>
  <c r="T189" i="120"/>
  <c r="R189" i="120"/>
  <c r="P189" i="120"/>
  <c r="P176" i="120" s="1"/>
  <c r="N189" i="120"/>
  <c r="L189" i="120"/>
  <c r="J189" i="120"/>
  <c r="J176" i="120" s="1"/>
  <c r="H189" i="120"/>
  <c r="H176" i="120" s="1"/>
  <c r="F189" i="120"/>
  <c r="AG188" i="120"/>
  <c r="AF188" i="120"/>
  <c r="AE188" i="120"/>
  <c r="AD188" i="120"/>
  <c r="AB188" i="120"/>
  <c r="AA188" i="120"/>
  <c r="AE187" i="120"/>
  <c r="AD187" i="120"/>
  <c r="AB187" i="120"/>
  <c r="AG187" i="120" s="1"/>
  <c r="AA187" i="120"/>
  <c r="AE186" i="120"/>
  <c r="AD186" i="120"/>
  <c r="AB186" i="120"/>
  <c r="AG186" i="120" s="1"/>
  <c r="AA186" i="120"/>
  <c r="AF186" i="120" s="1"/>
  <c r="AE185" i="120"/>
  <c r="AD185" i="120"/>
  <c r="AB185" i="120"/>
  <c r="AG185" i="120" s="1"/>
  <c r="AA185" i="120"/>
  <c r="AF185" i="120" s="1"/>
  <c r="AE184" i="120"/>
  <c r="AD184" i="120"/>
  <c r="AB184" i="120"/>
  <c r="AG184" i="120" s="1"/>
  <c r="AA184" i="120"/>
  <c r="AF184" i="120" s="1"/>
  <c r="AE183" i="120"/>
  <c r="AG183" i="120" s="1"/>
  <c r="AD183" i="120"/>
  <c r="AF183" i="120" s="1"/>
  <c r="AB183" i="120"/>
  <c r="AA183" i="120"/>
  <c r="AE182" i="120"/>
  <c r="AD182" i="120"/>
  <c r="AB182" i="120"/>
  <c r="AG182" i="120" s="1"/>
  <c r="AA182" i="120"/>
  <c r="AF182" i="120" s="1"/>
  <c r="AE181" i="120"/>
  <c r="AD181" i="120"/>
  <c r="AB181" i="120"/>
  <c r="AA181" i="120"/>
  <c r="AF181" i="120" s="1"/>
  <c r="AF180" i="120"/>
  <c r="AD180" i="120"/>
  <c r="AA180" i="120"/>
  <c r="Z180" i="120"/>
  <c r="X180" i="120"/>
  <c r="V180" i="120"/>
  <c r="T180" i="120"/>
  <c r="R180" i="120"/>
  <c r="P180" i="120"/>
  <c r="N180" i="120"/>
  <c r="L180" i="120"/>
  <c r="J180" i="120"/>
  <c r="H180" i="120"/>
  <c r="F180" i="120"/>
  <c r="AE179" i="120"/>
  <c r="AD179" i="120"/>
  <c r="AB179" i="120"/>
  <c r="AG179" i="120" s="1"/>
  <c r="AA179" i="120"/>
  <c r="AF179" i="120" s="1"/>
  <c r="AG178" i="120"/>
  <c r="AE178" i="120"/>
  <c r="AD178" i="120"/>
  <c r="AB178" i="120"/>
  <c r="AA178" i="120"/>
  <c r="AF178" i="120" s="1"/>
  <c r="AD177" i="120"/>
  <c r="AF177" i="120" s="1"/>
  <c r="AB177" i="120"/>
  <c r="AG177" i="120" s="1"/>
  <c r="AA177" i="120"/>
  <c r="Z177" i="120"/>
  <c r="X177" i="120"/>
  <c r="V177" i="120"/>
  <c r="T177" i="120"/>
  <c r="T176" i="120" s="1"/>
  <c r="R177" i="120"/>
  <c r="AE177" i="120" s="1"/>
  <c r="P177" i="120"/>
  <c r="N177" i="120"/>
  <c r="N176" i="120" s="1"/>
  <c r="L177" i="120"/>
  <c r="J177" i="120"/>
  <c r="H177" i="120"/>
  <c r="F177" i="120"/>
  <c r="AD176" i="120"/>
  <c r="AF176" i="120" s="1"/>
  <c r="AA176" i="120"/>
  <c r="X176" i="120"/>
  <c r="V176" i="120"/>
  <c r="AF175" i="120"/>
  <c r="AE175" i="120"/>
  <c r="AG175" i="120" s="1"/>
  <c r="AD175" i="120"/>
  <c r="AB175" i="120"/>
  <c r="AA175" i="120"/>
  <c r="AF174" i="120"/>
  <c r="AE174" i="120"/>
  <c r="AD174" i="120"/>
  <c r="AB174" i="120"/>
  <c r="AA174" i="120"/>
  <c r="AF173" i="120"/>
  <c r="AE173" i="120"/>
  <c r="AD173" i="120"/>
  <c r="AB173" i="120"/>
  <c r="AA173" i="120"/>
  <c r="AE172" i="120"/>
  <c r="AD172" i="120"/>
  <c r="AB172" i="120"/>
  <c r="AG172" i="120" s="1"/>
  <c r="AA172" i="120"/>
  <c r="AF172" i="120" s="1"/>
  <c r="AE171" i="120"/>
  <c r="AG171" i="120" s="1"/>
  <c r="AD171" i="120"/>
  <c r="AF171" i="120" s="1"/>
  <c r="AB171" i="120"/>
  <c r="AA171" i="120"/>
  <c r="AG170" i="120"/>
  <c r="AF170" i="120"/>
  <c r="AE170" i="120"/>
  <c r="AD170" i="120"/>
  <c r="AB170" i="120"/>
  <c r="AA170" i="120"/>
  <c r="AE169" i="120"/>
  <c r="AD169" i="120"/>
  <c r="AB169" i="120"/>
  <c r="AG169" i="120" s="1"/>
  <c r="AA169" i="120"/>
  <c r="AE168" i="120"/>
  <c r="AG168" i="120" s="1"/>
  <c r="AD168" i="120"/>
  <c r="AF168" i="120" s="1"/>
  <c r="AB168" i="120"/>
  <c r="AA168" i="120"/>
  <c r="AG167" i="120"/>
  <c r="AF167" i="120"/>
  <c r="AE167" i="120"/>
  <c r="AD167" i="120"/>
  <c r="AB167" i="120"/>
  <c r="AA167" i="120"/>
  <c r="AG166" i="120"/>
  <c r="AF166" i="120"/>
  <c r="AE166" i="120"/>
  <c r="AD166" i="120"/>
  <c r="AB166" i="120"/>
  <c r="AA166" i="120"/>
  <c r="AE165" i="120"/>
  <c r="AD165" i="120"/>
  <c r="AB165" i="120"/>
  <c r="AG165" i="120" s="1"/>
  <c r="AA165" i="120"/>
  <c r="AF165" i="120" s="1"/>
  <c r="AG164" i="120"/>
  <c r="AE164" i="120"/>
  <c r="AD164" i="120"/>
  <c r="AB164" i="120"/>
  <c r="AA164" i="120"/>
  <c r="AF164" i="120" s="1"/>
  <c r="AG163" i="120"/>
  <c r="AE163" i="120"/>
  <c r="AD163" i="120"/>
  <c r="AB163" i="120"/>
  <c r="AA163" i="120"/>
  <c r="AF163" i="120" s="1"/>
  <c r="AE162" i="120"/>
  <c r="AD162" i="120"/>
  <c r="AF162" i="120" s="1"/>
  <c r="AB162" i="120"/>
  <c r="AG162" i="120" s="1"/>
  <c r="AA162" i="120"/>
  <c r="AE161" i="120"/>
  <c r="AD161" i="120"/>
  <c r="AB161" i="120"/>
  <c r="AA161" i="120"/>
  <c r="AF161" i="120" s="1"/>
  <c r="AG160" i="120"/>
  <c r="AF160" i="120"/>
  <c r="AE160" i="120"/>
  <c r="AD160" i="120"/>
  <c r="AB160" i="120"/>
  <c r="AA160" i="120"/>
  <c r="AG159" i="120"/>
  <c r="AF159" i="120"/>
  <c r="AE159" i="120"/>
  <c r="AD159" i="120"/>
  <c r="AB159" i="120"/>
  <c r="AA159" i="120"/>
  <c r="AG158" i="120"/>
  <c r="AE158" i="120"/>
  <c r="AD158" i="120"/>
  <c r="AB158" i="120"/>
  <c r="AA158" i="120"/>
  <c r="AF158" i="120" s="1"/>
  <c r="AG157" i="120"/>
  <c r="AF157" i="120"/>
  <c r="AE157" i="120"/>
  <c r="AD157" i="120"/>
  <c r="AB157" i="120"/>
  <c r="AA157" i="120"/>
  <c r="AE156" i="120"/>
  <c r="AD156" i="120"/>
  <c r="AB156" i="120"/>
  <c r="AG156" i="120" s="1"/>
  <c r="AA156" i="120"/>
  <c r="AF156" i="120" s="1"/>
  <c r="AG155" i="120"/>
  <c r="AE155" i="120"/>
  <c r="AD155" i="120"/>
  <c r="AB155" i="120"/>
  <c r="AA155" i="120"/>
  <c r="AF155" i="120" s="1"/>
  <c r="AG154" i="120"/>
  <c r="AF154" i="120"/>
  <c r="AE154" i="120"/>
  <c r="AD154" i="120"/>
  <c r="AB154" i="120"/>
  <c r="AA154" i="120"/>
  <c r="AE153" i="120"/>
  <c r="AD153" i="120"/>
  <c r="AB153" i="120"/>
  <c r="AG153" i="120" s="1"/>
  <c r="AA153" i="120"/>
  <c r="AF153" i="120" s="1"/>
  <c r="AE152" i="120"/>
  <c r="AD152" i="120"/>
  <c r="AB152" i="120"/>
  <c r="AG152" i="120" s="1"/>
  <c r="AA152" i="120"/>
  <c r="AF152" i="120" s="1"/>
  <c r="AG151" i="120"/>
  <c r="AF151" i="120"/>
  <c r="AE151" i="120"/>
  <c r="AD151" i="120"/>
  <c r="AB151" i="120"/>
  <c r="AA151" i="120"/>
  <c r="AE150" i="120"/>
  <c r="AD150" i="120"/>
  <c r="AF150" i="120" s="1"/>
  <c r="AB150" i="120"/>
  <c r="AG150" i="120" s="1"/>
  <c r="AA150" i="120"/>
  <c r="AE149" i="120"/>
  <c r="AD149" i="120"/>
  <c r="AB149" i="120"/>
  <c r="AG149" i="120" s="1"/>
  <c r="AA149" i="120"/>
  <c r="AF149" i="120" s="1"/>
  <c r="AG148" i="120"/>
  <c r="AE148" i="120"/>
  <c r="AD148" i="120"/>
  <c r="AB148" i="120"/>
  <c r="AA148" i="120"/>
  <c r="AF148" i="120" s="1"/>
  <c r="AE147" i="120"/>
  <c r="AG147" i="120" s="1"/>
  <c r="AD147" i="120"/>
  <c r="AF147" i="120" s="1"/>
  <c r="AB147" i="120"/>
  <c r="AA147" i="120"/>
  <c r="AE146" i="120"/>
  <c r="AD146" i="120"/>
  <c r="AF146" i="120" s="1"/>
  <c r="AB146" i="120"/>
  <c r="AG146" i="120" s="1"/>
  <c r="AA146" i="120"/>
  <c r="AE145" i="120"/>
  <c r="AD145" i="120"/>
  <c r="AB145" i="120"/>
  <c r="AA145" i="120"/>
  <c r="AF145" i="120" s="1"/>
  <c r="AE144" i="120"/>
  <c r="AG144" i="120" s="1"/>
  <c r="AD144" i="120"/>
  <c r="AF144" i="120" s="1"/>
  <c r="AB144" i="120"/>
  <c r="AA144" i="120"/>
  <c r="AF143" i="120"/>
  <c r="AE143" i="120"/>
  <c r="AG143" i="120" s="1"/>
  <c r="AD143" i="120"/>
  <c r="AB143" i="120"/>
  <c r="AA143" i="120"/>
  <c r="AE142" i="120"/>
  <c r="AD142" i="120"/>
  <c r="AB142" i="120"/>
  <c r="AG142" i="120" s="1"/>
  <c r="AA142" i="120"/>
  <c r="AF142" i="120" s="1"/>
  <c r="AF141" i="120"/>
  <c r="AE141" i="120"/>
  <c r="AG141" i="120" s="1"/>
  <c r="AD141" i="120"/>
  <c r="AB141" i="120"/>
  <c r="AA141" i="120"/>
  <c r="AE140" i="120"/>
  <c r="AD140" i="120"/>
  <c r="AB140" i="120"/>
  <c r="AG140" i="120" s="1"/>
  <c r="AA140" i="120"/>
  <c r="AF140" i="120" s="1"/>
  <c r="AE139" i="120"/>
  <c r="AD139" i="120"/>
  <c r="AB139" i="120"/>
  <c r="AG139" i="120" s="1"/>
  <c r="AA139" i="120"/>
  <c r="AF139" i="120" s="1"/>
  <c r="AD138" i="120"/>
  <c r="AF138" i="120" s="1"/>
  <c r="AA138" i="120"/>
  <c r="Z138" i="120"/>
  <c r="X138" i="120"/>
  <c r="V138" i="120"/>
  <c r="T138" i="120"/>
  <c r="R138" i="120"/>
  <c r="P138" i="120"/>
  <c r="N138" i="120"/>
  <c r="L138" i="120"/>
  <c r="J138" i="120"/>
  <c r="H138" i="120"/>
  <c r="F138" i="120"/>
  <c r="AG137" i="120"/>
  <c r="AF137" i="120"/>
  <c r="AE137" i="120"/>
  <c r="AD137" i="120"/>
  <c r="AB137" i="120"/>
  <c r="AA137" i="120"/>
  <c r="AF136" i="120"/>
  <c r="AE136" i="120"/>
  <c r="AD136" i="120"/>
  <c r="AB136" i="120"/>
  <c r="AA136" i="120"/>
  <c r="AE135" i="120"/>
  <c r="AD135" i="120"/>
  <c r="AB135" i="120"/>
  <c r="AG135" i="120" s="1"/>
  <c r="AA135" i="120"/>
  <c r="AF135" i="120" s="1"/>
  <c r="AG134" i="120"/>
  <c r="AE134" i="120"/>
  <c r="AD134" i="120"/>
  <c r="AB134" i="120"/>
  <c r="AA134" i="120"/>
  <c r="AF134" i="120" s="1"/>
  <c r="AE133" i="120"/>
  <c r="AD133" i="120"/>
  <c r="AB133" i="120"/>
  <c r="AG133" i="120" s="1"/>
  <c r="AA133" i="120"/>
  <c r="AF133" i="120" s="1"/>
  <c r="AE132" i="120"/>
  <c r="AG132" i="120" s="1"/>
  <c r="AD132" i="120"/>
  <c r="AF132" i="120" s="1"/>
  <c r="AB132" i="120"/>
  <c r="AA132" i="120"/>
  <c r="AE131" i="120"/>
  <c r="AD131" i="120"/>
  <c r="AB131" i="120"/>
  <c r="AG131" i="120" s="1"/>
  <c r="AA131" i="120"/>
  <c r="AF131" i="120" s="1"/>
  <c r="AE130" i="120"/>
  <c r="AD130" i="120"/>
  <c r="AB130" i="120"/>
  <c r="AG130" i="120" s="1"/>
  <c r="AA130" i="120"/>
  <c r="AF130" i="120" s="1"/>
  <c r="AE129" i="120"/>
  <c r="AG129" i="120" s="1"/>
  <c r="AD129" i="120"/>
  <c r="AF129" i="120" s="1"/>
  <c r="AB129" i="120"/>
  <c r="AA129" i="120"/>
  <c r="AE128" i="120"/>
  <c r="AD128" i="120"/>
  <c r="AB128" i="120"/>
  <c r="AG128" i="120" s="1"/>
  <c r="AA128" i="120"/>
  <c r="AF128" i="120" s="1"/>
  <c r="AE127" i="120"/>
  <c r="AD127" i="120"/>
  <c r="AB127" i="120"/>
  <c r="AG127" i="120" s="1"/>
  <c r="AA127" i="120"/>
  <c r="AF127" i="120" s="1"/>
  <c r="AD126" i="120"/>
  <c r="AA126" i="120"/>
  <c r="AF126" i="120" s="1"/>
  <c r="Z126" i="120"/>
  <c r="X126" i="120"/>
  <c r="V126" i="120"/>
  <c r="T126" i="120"/>
  <c r="R126" i="120"/>
  <c r="P126" i="120"/>
  <c r="N126" i="120"/>
  <c r="L126" i="120"/>
  <c r="J126" i="120"/>
  <c r="H126" i="120"/>
  <c r="F126" i="120"/>
  <c r="AE125" i="120"/>
  <c r="AD125" i="120"/>
  <c r="AB125" i="120"/>
  <c r="AG125" i="120" s="1"/>
  <c r="AA125" i="120"/>
  <c r="AF125" i="120" s="1"/>
  <c r="AG124" i="120"/>
  <c r="AE124" i="120"/>
  <c r="AD124" i="120"/>
  <c r="AB124" i="120"/>
  <c r="AA124" i="120"/>
  <c r="AF124" i="120" s="1"/>
  <c r="AG123" i="120"/>
  <c r="AE123" i="120"/>
  <c r="AD123" i="120"/>
  <c r="AF123" i="120" s="1"/>
  <c r="AB123" i="120"/>
  <c r="AA123" i="120"/>
  <c r="AE122" i="120"/>
  <c r="AD122" i="120"/>
  <c r="AB122" i="120"/>
  <c r="AG122" i="120" s="1"/>
  <c r="AA122" i="120"/>
  <c r="AF122" i="120" s="1"/>
  <c r="AG121" i="120"/>
  <c r="AF121" i="120"/>
  <c r="AE121" i="120"/>
  <c r="AD121" i="120"/>
  <c r="AB121" i="120"/>
  <c r="AA121" i="120"/>
  <c r="AG120" i="120"/>
  <c r="AF120" i="120"/>
  <c r="AE120" i="120"/>
  <c r="AD120" i="120"/>
  <c r="AB120" i="120"/>
  <c r="AA120" i="120"/>
  <c r="AE119" i="120"/>
  <c r="AD119" i="120"/>
  <c r="AB119" i="120"/>
  <c r="AA119" i="120"/>
  <c r="AE118" i="120"/>
  <c r="AD118" i="120"/>
  <c r="AF118" i="120" s="1"/>
  <c r="AB118" i="120"/>
  <c r="AG118" i="120" s="1"/>
  <c r="AA118" i="120"/>
  <c r="AE117" i="120"/>
  <c r="AD117" i="120"/>
  <c r="AB117" i="120"/>
  <c r="AG117" i="120" s="1"/>
  <c r="AA117" i="120"/>
  <c r="AF117" i="120" s="1"/>
  <c r="AE116" i="120"/>
  <c r="AD116" i="120"/>
  <c r="AB116" i="120"/>
  <c r="AG116" i="120" s="1"/>
  <c r="AA116" i="120"/>
  <c r="AF116" i="120" s="1"/>
  <c r="AD115" i="120"/>
  <c r="AF115" i="120" s="1"/>
  <c r="AA115" i="120"/>
  <c r="Z115" i="120"/>
  <c r="X115" i="120"/>
  <c r="V115" i="120"/>
  <c r="T115" i="120"/>
  <c r="T102" i="120" s="1"/>
  <c r="R115" i="120"/>
  <c r="R102" i="120" s="1"/>
  <c r="P115" i="120"/>
  <c r="N115" i="120"/>
  <c r="L115" i="120"/>
  <c r="J115" i="120"/>
  <c r="H115" i="120"/>
  <c r="F115" i="120"/>
  <c r="AG114" i="120"/>
  <c r="AF114" i="120"/>
  <c r="AE114" i="120"/>
  <c r="AD114" i="120"/>
  <c r="AB114" i="120"/>
  <c r="AA114" i="120"/>
  <c r="AE113" i="120"/>
  <c r="AD113" i="120"/>
  <c r="AB113" i="120"/>
  <c r="AG113" i="120" s="1"/>
  <c r="AA113" i="120"/>
  <c r="AF113" i="120" s="1"/>
  <c r="AE112" i="120"/>
  <c r="AD112" i="120"/>
  <c r="AB112" i="120"/>
  <c r="AG112" i="120" s="1"/>
  <c r="AA112" i="120"/>
  <c r="AF112" i="120" s="1"/>
  <c r="AG111" i="120"/>
  <c r="AE111" i="120"/>
  <c r="AD111" i="120"/>
  <c r="AB111" i="120"/>
  <c r="AA111" i="120"/>
  <c r="AF111" i="120" s="1"/>
  <c r="AE110" i="120"/>
  <c r="AD110" i="120"/>
  <c r="AF110" i="120" s="1"/>
  <c r="AB110" i="120"/>
  <c r="AG110" i="120" s="1"/>
  <c r="AA110" i="120"/>
  <c r="AE109" i="120"/>
  <c r="AG109" i="120" s="1"/>
  <c r="AD109" i="120"/>
  <c r="AF109" i="120" s="1"/>
  <c r="AB109" i="120"/>
  <c r="AA109" i="120"/>
  <c r="AE108" i="120"/>
  <c r="AD108" i="120"/>
  <c r="AB108" i="120"/>
  <c r="AG108" i="120" s="1"/>
  <c r="AA108" i="120"/>
  <c r="AF108" i="120" s="1"/>
  <c r="AG107" i="120"/>
  <c r="AF107" i="120"/>
  <c r="AE107" i="120"/>
  <c r="AD107" i="120"/>
  <c r="AB107" i="120"/>
  <c r="AA107" i="120"/>
  <c r="AD106" i="120"/>
  <c r="AF106" i="120" s="1"/>
  <c r="AA106" i="120"/>
  <c r="Z106" i="120"/>
  <c r="X106" i="120"/>
  <c r="V106" i="120"/>
  <c r="T106" i="120"/>
  <c r="R106" i="120"/>
  <c r="P106" i="120"/>
  <c r="P102" i="120" s="1"/>
  <c r="N106" i="120"/>
  <c r="L106" i="120"/>
  <c r="J106" i="120"/>
  <c r="H106" i="120"/>
  <c r="F106" i="120"/>
  <c r="AF105" i="120"/>
  <c r="AE105" i="120"/>
  <c r="AG105" i="120" s="1"/>
  <c r="AD105" i="120"/>
  <c r="AB105" i="120"/>
  <c r="AA105" i="120"/>
  <c r="AE104" i="120"/>
  <c r="AD104" i="120"/>
  <c r="AB104" i="120"/>
  <c r="AG104" i="120" s="1"/>
  <c r="AA104" i="120"/>
  <c r="AF104" i="120" s="1"/>
  <c r="AF103" i="120"/>
  <c r="AE103" i="120"/>
  <c r="AD103" i="120"/>
  <c r="AA103" i="120"/>
  <c r="Z103" i="120"/>
  <c r="X103" i="120"/>
  <c r="X102" i="120" s="1"/>
  <c r="V103" i="120"/>
  <c r="T103" i="120"/>
  <c r="R103" i="120"/>
  <c r="P103" i="120"/>
  <c r="N103" i="120"/>
  <c r="L103" i="120"/>
  <c r="J103" i="120"/>
  <c r="H103" i="120"/>
  <c r="F103" i="120"/>
  <c r="F102" i="120" s="1"/>
  <c r="AF102" i="120"/>
  <c r="AD102" i="120"/>
  <c r="AA102" i="120"/>
  <c r="AF101" i="120"/>
  <c r="AE101" i="120"/>
  <c r="AG101" i="120" s="1"/>
  <c r="AD101" i="120"/>
  <c r="AB101" i="120"/>
  <c r="AA101" i="120"/>
  <c r="AE100" i="120"/>
  <c r="AD100" i="120"/>
  <c r="AB100" i="120"/>
  <c r="AG100" i="120" s="1"/>
  <c r="AA100" i="120"/>
  <c r="AF100" i="120" s="1"/>
  <c r="AG99" i="120"/>
  <c r="AE99" i="120"/>
  <c r="AD99" i="120"/>
  <c r="AB99" i="120"/>
  <c r="AA99" i="120"/>
  <c r="AF98" i="120"/>
  <c r="AE98" i="120"/>
  <c r="AG98" i="120" s="1"/>
  <c r="AD98" i="120"/>
  <c r="AB98" i="120"/>
  <c r="AA98" i="120"/>
  <c r="AE97" i="120"/>
  <c r="AD97" i="120"/>
  <c r="AF97" i="120" s="1"/>
  <c r="AB97" i="120"/>
  <c r="AG97" i="120" s="1"/>
  <c r="AA97" i="120"/>
  <c r="AF96" i="120"/>
  <c r="AE96" i="120"/>
  <c r="AD96" i="120"/>
  <c r="AB96" i="120"/>
  <c r="AA96" i="120"/>
  <c r="AE95" i="120"/>
  <c r="AD95" i="120"/>
  <c r="AB95" i="120"/>
  <c r="AG95" i="120" s="1"/>
  <c r="AA95" i="120"/>
  <c r="AF95" i="120" s="1"/>
  <c r="AE94" i="120"/>
  <c r="AG94" i="120" s="1"/>
  <c r="AD94" i="120"/>
  <c r="AF94" i="120" s="1"/>
  <c r="AB94" i="120"/>
  <c r="AA94" i="120"/>
  <c r="AG93" i="120"/>
  <c r="AF93" i="120"/>
  <c r="AE93" i="120"/>
  <c r="AD93" i="120"/>
  <c r="AB93" i="120"/>
  <c r="AA93" i="120"/>
  <c r="AE92" i="120"/>
  <c r="AD92" i="120"/>
  <c r="AB92" i="120"/>
  <c r="AG92" i="120" s="1"/>
  <c r="AA92" i="120"/>
  <c r="AE91" i="120"/>
  <c r="AG91" i="120" s="1"/>
  <c r="AD91" i="120"/>
  <c r="AF91" i="120" s="1"/>
  <c r="AB91" i="120"/>
  <c r="AA91" i="120"/>
  <c r="AG90" i="120"/>
  <c r="AF90" i="120"/>
  <c r="AE90" i="120"/>
  <c r="AD90" i="120"/>
  <c r="AB90" i="120"/>
  <c r="AA90" i="120"/>
  <c r="AG89" i="120"/>
  <c r="AF89" i="120"/>
  <c r="AE89" i="120"/>
  <c r="AD89" i="120"/>
  <c r="AB89" i="120"/>
  <c r="AA89" i="120"/>
  <c r="AG88" i="120"/>
  <c r="AE88" i="120"/>
  <c r="AD88" i="120"/>
  <c r="AB88" i="120"/>
  <c r="AA88" i="120"/>
  <c r="AF88" i="120" s="1"/>
  <c r="AE87" i="120"/>
  <c r="AD87" i="120"/>
  <c r="AB87" i="120"/>
  <c r="AG87" i="120" s="1"/>
  <c r="AA87" i="120"/>
  <c r="AF87" i="120" s="1"/>
  <c r="AG86" i="120"/>
  <c r="AF86" i="120"/>
  <c r="AE86" i="120"/>
  <c r="AD86" i="120"/>
  <c r="AB86" i="120"/>
  <c r="AA86" i="120"/>
  <c r="AG85" i="120"/>
  <c r="AE85" i="120"/>
  <c r="AD85" i="120"/>
  <c r="AF85" i="120" s="1"/>
  <c r="AB85" i="120"/>
  <c r="AA85" i="120"/>
  <c r="AE84" i="120"/>
  <c r="AD84" i="120"/>
  <c r="AB84" i="120"/>
  <c r="AG84" i="120" s="1"/>
  <c r="AA84" i="120"/>
  <c r="AF84" i="120" s="1"/>
  <c r="AG83" i="120"/>
  <c r="AF83" i="120"/>
  <c r="AE83" i="120"/>
  <c r="AD83" i="120"/>
  <c r="AB83" i="120"/>
  <c r="AA83" i="120"/>
  <c r="AG82" i="120"/>
  <c r="AF82" i="120"/>
  <c r="AE82" i="120"/>
  <c r="AD82" i="120"/>
  <c r="AB82" i="120"/>
  <c r="AA82" i="120"/>
  <c r="AE81" i="120"/>
  <c r="AD81" i="120"/>
  <c r="AB81" i="120"/>
  <c r="AG81" i="120" s="1"/>
  <c r="AA81" i="120"/>
  <c r="AF81" i="120" s="1"/>
  <c r="AG80" i="120"/>
  <c r="AF80" i="120"/>
  <c r="AE80" i="120"/>
  <c r="AD80" i="120"/>
  <c r="AB80" i="120"/>
  <c r="AA80" i="120"/>
  <c r="AE79" i="120"/>
  <c r="AD79" i="120"/>
  <c r="AB79" i="120"/>
  <c r="AG79" i="120" s="1"/>
  <c r="AA79" i="120"/>
  <c r="AF79" i="120" s="1"/>
  <c r="AE78" i="120"/>
  <c r="AD78" i="120"/>
  <c r="AB78" i="120"/>
  <c r="AG78" i="120" s="1"/>
  <c r="AA78" i="120"/>
  <c r="AF78" i="120" s="1"/>
  <c r="AE77" i="120"/>
  <c r="AG77" i="120" s="1"/>
  <c r="AD77" i="120"/>
  <c r="AF77" i="120" s="1"/>
  <c r="AB77" i="120"/>
  <c r="AA77" i="120"/>
  <c r="AE76" i="120"/>
  <c r="AD76" i="120"/>
  <c r="AB76" i="120"/>
  <c r="AG76" i="120" s="1"/>
  <c r="AA76" i="120"/>
  <c r="AF76" i="120" s="1"/>
  <c r="AE75" i="120"/>
  <c r="AD75" i="120"/>
  <c r="AB75" i="120"/>
  <c r="AG75" i="120" s="1"/>
  <c r="AA75" i="120"/>
  <c r="AF75" i="120" s="1"/>
  <c r="AF74" i="120"/>
  <c r="AE74" i="120"/>
  <c r="AG74" i="120" s="1"/>
  <c r="AD74" i="120"/>
  <c r="AB74" i="120"/>
  <c r="AA74" i="120"/>
  <c r="AG73" i="120"/>
  <c r="AF73" i="120"/>
  <c r="AE73" i="120"/>
  <c r="AD73" i="120"/>
  <c r="AB73" i="120"/>
  <c r="AA73" i="120"/>
  <c r="AE72" i="120"/>
  <c r="AD72" i="120"/>
  <c r="AB72" i="120"/>
  <c r="AG72" i="120" s="1"/>
  <c r="AA72" i="120"/>
  <c r="AF72" i="120" s="1"/>
  <c r="AG71" i="120"/>
  <c r="AE71" i="120"/>
  <c r="AD71" i="120"/>
  <c r="AB71" i="120"/>
  <c r="AA71" i="120"/>
  <c r="AF71" i="120" s="1"/>
  <c r="AG70" i="120"/>
  <c r="AF70" i="120"/>
  <c r="AE70" i="120"/>
  <c r="AD70" i="120"/>
  <c r="AB70" i="120"/>
  <c r="AA70" i="120"/>
  <c r="AE69" i="120"/>
  <c r="AD69" i="120"/>
  <c r="AF69" i="120" s="1"/>
  <c r="AB69" i="120"/>
  <c r="AG69" i="120" s="1"/>
  <c r="AA69" i="120"/>
  <c r="AE68" i="120"/>
  <c r="AD68" i="120"/>
  <c r="AB68" i="120"/>
  <c r="AA68" i="120"/>
  <c r="AF68" i="120" s="1"/>
  <c r="AG67" i="120"/>
  <c r="AF67" i="120"/>
  <c r="AE67" i="120"/>
  <c r="AD67" i="120"/>
  <c r="AB67" i="120"/>
  <c r="AA67" i="120"/>
  <c r="AF66" i="120"/>
  <c r="AE66" i="120"/>
  <c r="AG66" i="120" s="1"/>
  <c r="AD66" i="120"/>
  <c r="AB66" i="120"/>
  <c r="AA66" i="120"/>
  <c r="Z65" i="120"/>
  <c r="Y65" i="120"/>
  <c r="X65" i="120"/>
  <c r="W65" i="120"/>
  <c r="V65" i="120"/>
  <c r="U65" i="120"/>
  <c r="T65" i="120"/>
  <c r="S65" i="120"/>
  <c r="R65" i="120"/>
  <c r="Q65" i="120"/>
  <c r="P65" i="120"/>
  <c r="O65" i="120"/>
  <c r="N65" i="120"/>
  <c r="M65" i="120"/>
  <c r="L65" i="120"/>
  <c r="AB65" i="120" s="1"/>
  <c r="K65" i="120"/>
  <c r="AD65" i="120" s="1"/>
  <c r="J65" i="120"/>
  <c r="I65" i="120"/>
  <c r="H65" i="120"/>
  <c r="G65" i="120"/>
  <c r="F65" i="120"/>
  <c r="E65" i="120"/>
  <c r="D65" i="120"/>
  <c r="C65" i="120"/>
  <c r="AE64" i="120"/>
  <c r="AD64" i="120"/>
  <c r="AB64" i="120"/>
  <c r="AG64" i="120" s="1"/>
  <c r="AA64" i="120"/>
  <c r="AE63" i="120"/>
  <c r="AD63" i="120"/>
  <c r="AF63" i="120" s="1"/>
  <c r="AB63" i="120"/>
  <c r="AG63" i="120" s="1"/>
  <c r="AA63" i="120"/>
  <c r="AG62" i="120"/>
  <c r="AF62" i="120"/>
  <c r="AE62" i="120"/>
  <c r="AD62" i="120"/>
  <c r="AB62" i="120"/>
  <c r="AA62" i="120"/>
  <c r="AE61" i="120"/>
  <c r="AG61" i="120" s="1"/>
  <c r="AD61" i="120"/>
  <c r="AB61" i="120"/>
  <c r="AA61" i="120"/>
  <c r="AF61" i="120" s="1"/>
  <c r="AF60" i="120"/>
  <c r="AE60" i="120"/>
  <c r="AG60" i="120" s="1"/>
  <c r="AD60" i="120"/>
  <c r="AB60" i="120"/>
  <c r="AA60" i="120"/>
  <c r="AE59" i="120"/>
  <c r="AD59" i="120"/>
  <c r="AB59" i="120"/>
  <c r="AG59" i="120" s="1"/>
  <c r="AA59" i="120"/>
  <c r="AF59" i="120" s="1"/>
  <c r="AE58" i="120"/>
  <c r="AD58" i="120"/>
  <c r="AB58" i="120"/>
  <c r="AG58" i="120" s="1"/>
  <c r="AA58" i="120"/>
  <c r="AF58" i="120" s="1"/>
  <c r="AF57" i="120"/>
  <c r="AE57" i="120"/>
  <c r="AG57" i="120" s="1"/>
  <c r="AD57" i="120"/>
  <c r="AB57" i="120"/>
  <c r="AA57" i="120"/>
  <c r="AE56" i="120"/>
  <c r="AD56" i="120"/>
  <c r="AB56" i="120"/>
  <c r="AG56" i="120" s="1"/>
  <c r="AA56" i="120"/>
  <c r="AF56" i="120" s="1"/>
  <c r="AE55" i="120"/>
  <c r="AD55" i="120"/>
  <c r="AB55" i="120"/>
  <c r="AG55" i="120" s="1"/>
  <c r="AA55" i="120"/>
  <c r="AF55" i="120" s="1"/>
  <c r="AF54" i="120"/>
  <c r="AE54" i="120"/>
  <c r="AG54" i="120" s="1"/>
  <c r="AD54" i="120"/>
  <c r="AB54" i="120"/>
  <c r="AA54" i="120"/>
  <c r="X54" i="120"/>
  <c r="T54" i="120"/>
  <c r="R54" i="120"/>
  <c r="P54" i="120"/>
  <c r="N54" i="120"/>
  <c r="L54" i="120"/>
  <c r="J54" i="120"/>
  <c r="H54" i="120"/>
  <c r="D54" i="120"/>
  <c r="AE53" i="120"/>
  <c r="Z53" i="120"/>
  <c r="Y53" i="120"/>
  <c r="X53" i="120"/>
  <c r="W53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AD53" i="120" s="1"/>
  <c r="D53" i="120"/>
  <c r="C53" i="120"/>
  <c r="AE52" i="120"/>
  <c r="AD52" i="120"/>
  <c r="AB52" i="120"/>
  <c r="AG52" i="120" s="1"/>
  <c r="AA52" i="120"/>
  <c r="AF52" i="120" s="1"/>
  <c r="AE51" i="120"/>
  <c r="AD51" i="120"/>
  <c r="AB51" i="120"/>
  <c r="AG51" i="120" s="1"/>
  <c r="AA51" i="120"/>
  <c r="AG50" i="120"/>
  <c r="AE50" i="120"/>
  <c r="AD50" i="120"/>
  <c r="AB50" i="120"/>
  <c r="AA50" i="120"/>
  <c r="AF50" i="120" s="1"/>
  <c r="AG49" i="120"/>
  <c r="AE49" i="120"/>
  <c r="AD49" i="120"/>
  <c r="AF49" i="120" s="1"/>
  <c r="AB49" i="120"/>
  <c r="AA49" i="120"/>
  <c r="AE48" i="120"/>
  <c r="AD48" i="120"/>
  <c r="AB48" i="120"/>
  <c r="AG48" i="120" s="1"/>
  <c r="AA48" i="120"/>
  <c r="AF48" i="120" s="1"/>
  <c r="AG47" i="120"/>
  <c r="AE47" i="120"/>
  <c r="AD47" i="120"/>
  <c r="AB47" i="120"/>
  <c r="AA47" i="120"/>
  <c r="AF47" i="120" s="1"/>
  <c r="AG46" i="120"/>
  <c r="AE46" i="120"/>
  <c r="AD46" i="120"/>
  <c r="AB46" i="120"/>
  <c r="AA46" i="120"/>
  <c r="AF46" i="120" s="1"/>
  <c r="AE45" i="120"/>
  <c r="AD45" i="120"/>
  <c r="AB45" i="120"/>
  <c r="AG45" i="120" s="1"/>
  <c r="AA45" i="120"/>
  <c r="AF45" i="120" s="1"/>
  <c r="AE44" i="120"/>
  <c r="AG44" i="120" s="1"/>
  <c r="AD44" i="120"/>
  <c r="AF44" i="120" s="1"/>
  <c r="AB44" i="120"/>
  <c r="AA44" i="120"/>
  <c r="AE43" i="120"/>
  <c r="AD43" i="120"/>
  <c r="AB43" i="120"/>
  <c r="AG43" i="120" s="1"/>
  <c r="AA43" i="120"/>
  <c r="Z42" i="120"/>
  <c r="Y42" i="120"/>
  <c r="X42" i="120"/>
  <c r="W42" i="120"/>
  <c r="V42" i="120"/>
  <c r="U42" i="120"/>
  <c r="T42" i="120"/>
  <c r="S42" i="120"/>
  <c r="R42" i="120"/>
  <c r="Q42" i="120"/>
  <c r="Q29" i="120" s="1"/>
  <c r="P42" i="120"/>
  <c r="O42" i="120"/>
  <c r="N42" i="120"/>
  <c r="M42" i="120"/>
  <c r="L42" i="120"/>
  <c r="AE42" i="120" s="1"/>
  <c r="K42" i="120"/>
  <c r="J42" i="120"/>
  <c r="I42" i="120"/>
  <c r="H42" i="120"/>
  <c r="G42" i="120"/>
  <c r="F42" i="120"/>
  <c r="E42" i="120"/>
  <c r="D42" i="120"/>
  <c r="C42" i="120"/>
  <c r="AE41" i="120"/>
  <c r="AD41" i="120"/>
  <c r="AB41" i="120"/>
  <c r="AG41" i="120" s="1"/>
  <c r="AA41" i="120"/>
  <c r="AF41" i="120" s="1"/>
  <c r="AG40" i="120"/>
  <c r="AF40" i="120"/>
  <c r="AE40" i="120"/>
  <c r="AD40" i="120"/>
  <c r="AB40" i="120"/>
  <c r="AA40" i="120"/>
  <c r="AE39" i="120"/>
  <c r="AD39" i="120"/>
  <c r="AB39" i="120"/>
  <c r="AG39" i="120" s="1"/>
  <c r="AA39" i="120"/>
  <c r="AF39" i="120" s="1"/>
  <c r="AE38" i="120"/>
  <c r="AD38" i="120"/>
  <c r="AB38" i="120"/>
  <c r="AG38" i="120" s="1"/>
  <c r="AA38" i="120"/>
  <c r="AF38" i="120" s="1"/>
  <c r="AG37" i="120"/>
  <c r="AF37" i="120"/>
  <c r="AE37" i="120"/>
  <c r="AD37" i="120"/>
  <c r="AB37" i="120"/>
  <c r="AA37" i="120"/>
  <c r="AE36" i="120"/>
  <c r="AD36" i="120"/>
  <c r="AB36" i="120"/>
  <c r="AG36" i="120" s="1"/>
  <c r="AA36" i="120"/>
  <c r="AF36" i="120" s="1"/>
  <c r="AE35" i="120"/>
  <c r="AD35" i="120"/>
  <c r="AB35" i="120"/>
  <c r="AG35" i="120" s="1"/>
  <c r="AA35" i="120"/>
  <c r="AF35" i="120" s="1"/>
  <c r="AG34" i="120"/>
  <c r="AF34" i="120"/>
  <c r="AE34" i="120"/>
  <c r="AD34" i="120"/>
  <c r="AB34" i="120"/>
  <c r="AA34" i="120"/>
  <c r="Z33" i="120"/>
  <c r="Y33" i="120"/>
  <c r="Y29" i="120" s="1"/>
  <c r="X33" i="120"/>
  <c r="X29" i="120" s="1"/>
  <c r="W33" i="120"/>
  <c r="W29" i="120" s="1"/>
  <c r="V33" i="120"/>
  <c r="V29" i="120" s="1"/>
  <c r="U33" i="120"/>
  <c r="T33" i="120"/>
  <c r="S33" i="120"/>
  <c r="R33" i="120"/>
  <c r="Q33" i="120"/>
  <c r="P33" i="120"/>
  <c r="O33" i="120"/>
  <c r="N33" i="120"/>
  <c r="M33" i="120"/>
  <c r="L33" i="120"/>
  <c r="K33" i="120"/>
  <c r="J33" i="120"/>
  <c r="I33" i="120"/>
  <c r="H33" i="120"/>
  <c r="G33" i="120"/>
  <c r="G29" i="120" s="1"/>
  <c r="F33" i="120"/>
  <c r="E33" i="120"/>
  <c r="D33" i="120"/>
  <c r="C33" i="120"/>
  <c r="AE32" i="120"/>
  <c r="AD32" i="120"/>
  <c r="AB32" i="120"/>
  <c r="AG32" i="120" s="1"/>
  <c r="AA32" i="120"/>
  <c r="AF32" i="120" s="1"/>
  <c r="Z32" i="120"/>
  <c r="X32" i="120"/>
  <c r="V32" i="120"/>
  <c r="T32" i="120"/>
  <c r="R32" i="120"/>
  <c r="P32" i="120"/>
  <c r="N32" i="120"/>
  <c r="L32" i="120"/>
  <c r="F32" i="120"/>
  <c r="AE31" i="120"/>
  <c r="AD31" i="120"/>
  <c r="AB31" i="120"/>
  <c r="AA31" i="120"/>
  <c r="Z30" i="120"/>
  <c r="Z29" i="120" s="1"/>
  <c r="Y30" i="120"/>
  <c r="X30" i="120"/>
  <c r="W30" i="120"/>
  <c r="V30" i="120"/>
  <c r="U30" i="120"/>
  <c r="T30" i="120"/>
  <c r="T29" i="120" s="1"/>
  <c r="S30" i="120"/>
  <c r="R30" i="120"/>
  <c r="Q30" i="120"/>
  <c r="P30" i="120"/>
  <c r="O30" i="120"/>
  <c r="N30" i="120"/>
  <c r="M30" i="120"/>
  <c r="L30" i="120"/>
  <c r="K30" i="120"/>
  <c r="J30" i="120"/>
  <c r="J29" i="120" s="1"/>
  <c r="I30" i="120"/>
  <c r="H30" i="120"/>
  <c r="G30" i="120"/>
  <c r="F30" i="120"/>
  <c r="E30" i="120"/>
  <c r="D30" i="120"/>
  <c r="C30" i="120"/>
  <c r="P29" i="120"/>
  <c r="O29" i="120"/>
  <c r="N29" i="120"/>
  <c r="M29" i="120"/>
  <c r="N28" i="120"/>
  <c r="AE25" i="120"/>
  <c r="AD25" i="120"/>
  <c r="AF25" i="120" s="1"/>
  <c r="AB25" i="120"/>
  <c r="AA25" i="120"/>
  <c r="AE24" i="120"/>
  <c r="AD24" i="120"/>
  <c r="AF24" i="120" s="1"/>
  <c r="AB24" i="120"/>
  <c r="AA24" i="120"/>
  <c r="AE23" i="120"/>
  <c r="AD23" i="120"/>
  <c r="AB23" i="120"/>
  <c r="AA23" i="120"/>
  <c r="AF23" i="120" s="1"/>
  <c r="AE22" i="120"/>
  <c r="AD22" i="120"/>
  <c r="AB22" i="120"/>
  <c r="AG22" i="120" s="1"/>
  <c r="AA22" i="120"/>
  <c r="AF22" i="120" s="1"/>
  <c r="AE21" i="120"/>
  <c r="AD21" i="120"/>
  <c r="AB21" i="120"/>
  <c r="AG21" i="120" s="1"/>
  <c r="AA21" i="120"/>
  <c r="AF21" i="120" s="1"/>
  <c r="AG20" i="120"/>
  <c r="AE20" i="120"/>
  <c r="AD20" i="120"/>
  <c r="AB20" i="120"/>
  <c r="AA20" i="120"/>
  <c r="AF20" i="120" s="1"/>
  <c r="AE19" i="120"/>
  <c r="AD19" i="120"/>
  <c r="AB19" i="120"/>
  <c r="AG19" i="120" s="1"/>
  <c r="AA19" i="120"/>
  <c r="AE18" i="120"/>
  <c r="AD18" i="120"/>
  <c r="AB18" i="120"/>
  <c r="AG18" i="120" s="1"/>
  <c r="AA18" i="120"/>
  <c r="AF18" i="120" s="1"/>
  <c r="AF17" i="120"/>
  <c r="AE17" i="120"/>
  <c r="AG17" i="120" s="1"/>
  <c r="AD17" i="120"/>
  <c r="AB17" i="120"/>
  <c r="AA17" i="120"/>
  <c r="Z16" i="120"/>
  <c r="Y16" i="120"/>
  <c r="X16" i="120"/>
  <c r="W16" i="120"/>
  <c r="V16" i="120"/>
  <c r="U16" i="120"/>
  <c r="T16" i="120"/>
  <c r="S16" i="120"/>
  <c r="R16" i="120"/>
  <c r="Q16" i="120"/>
  <c r="P16" i="120"/>
  <c r="P26" i="120" s="1"/>
  <c r="P27" i="120" s="1"/>
  <c r="O16" i="120"/>
  <c r="O26" i="120" s="1"/>
  <c r="O27" i="120" s="1"/>
  <c r="N16" i="120"/>
  <c r="M16" i="120"/>
  <c r="L16" i="120"/>
  <c r="K16" i="120"/>
  <c r="J16" i="120"/>
  <c r="I16" i="120"/>
  <c r="H16" i="120"/>
  <c r="G16" i="120"/>
  <c r="F16" i="120"/>
  <c r="E16" i="120"/>
  <c r="E26" i="120" s="1"/>
  <c r="E27" i="120" s="1"/>
  <c r="D16" i="120"/>
  <c r="C16" i="120"/>
  <c r="AE15" i="120"/>
  <c r="AD15" i="120"/>
  <c r="AB15" i="120"/>
  <c r="AA15" i="120"/>
  <c r="AE14" i="120"/>
  <c r="AD14" i="120"/>
  <c r="AB14" i="120"/>
  <c r="AA14" i="120"/>
  <c r="AE13" i="120"/>
  <c r="AD13" i="120"/>
  <c r="AB13" i="120"/>
  <c r="AG13" i="120" s="1"/>
  <c r="AA13" i="120"/>
  <c r="AF13" i="120" s="1"/>
  <c r="AE12" i="120"/>
  <c r="AD12" i="120"/>
  <c r="AB12" i="120"/>
  <c r="AA12" i="120"/>
  <c r="AE11" i="120"/>
  <c r="AD11" i="120"/>
  <c r="AB11" i="120"/>
  <c r="AG11" i="120" s="1"/>
  <c r="AA11" i="120"/>
  <c r="AF11" i="120" s="1"/>
  <c r="AE10" i="120"/>
  <c r="AD10" i="120"/>
  <c r="AB10" i="120"/>
  <c r="AG10" i="120" s="1"/>
  <c r="AA10" i="120"/>
  <c r="AF10" i="120" s="1"/>
  <c r="AE9" i="120"/>
  <c r="AD9" i="120"/>
  <c r="AB9" i="120"/>
  <c r="AA9" i="120"/>
  <c r="AF9" i="120" s="1"/>
  <c r="AE8" i="120"/>
  <c r="AD8" i="120"/>
  <c r="AB8" i="120"/>
  <c r="AG8" i="120" s="1"/>
  <c r="AA8" i="120"/>
  <c r="AE7" i="120"/>
  <c r="AD7" i="120"/>
  <c r="AB7" i="120"/>
  <c r="AA7" i="120"/>
  <c r="AF7" i="120" s="1"/>
  <c r="Z6" i="120"/>
  <c r="Y6" i="120"/>
  <c r="X6" i="120"/>
  <c r="X28" i="120" s="1"/>
  <c r="W6" i="120"/>
  <c r="V6" i="120"/>
  <c r="U6" i="120"/>
  <c r="T6" i="120"/>
  <c r="S6" i="120"/>
  <c r="R6" i="120"/>
  <c r="Q6" i="120"/>
  <c r="P6" i="120"/>
  <c r="O6" i="120"/>
  <c r="N6" i="120"/>
  <c r="M6" i="120"/>
  <c r="M26" i="120" s="1"/>
  <c r="M27" i="120" s="1"/>
  <c r="L6" i="120"/>
  <c r="K6" i="120"/>
  <c r="K26" i="120" s="1"/>
  <c r="K27" i="120" s="1"/>
  <c r="J6" i="120"/>
  <c r="J28" i="120" s="1"/>
  <c r="I6" i="120"/>
  <c r="H6" i="120"/>
  <c r="H28" i="120" s="1"/>
  <c r="G6" i="120"/>
  <c r="H267" i="120" s="1"/>
  <c r="F6" i="120"/>
  <c r="F28" i="120" s="1"/>
  <c r="E6" i="120"/>
  <c r="D6" i="120"/>
  <c r="C6" i="120"/>
  <c r="D267" i="120" s="1"/>
  <c r="B270" i="121"/>
  <c r="AB264" i="121"/>
  <c r="AA264" i="121"/>
  <c r="AE262" i="121"/>
  <c r="AD262" i="121"/>
  <c r="AB262" i="121"/>
  <c r="AA262" i="121"/>
  <c r="AF262" i="121" s="1"/>
  <c r="AG260" i="121"/>
  <c r="AF260" i="121"/>
  <c r="AE260" i="121"/>
  <c r="AD260" i="121"/>
  <c r="AB260" i="121"/>
  <c r="AA260" i="121"/>
  <c r="AE259" i="121"/>
  <c r="AD259" i="121"/>
  <c r="AB259" i="121"/>
  <c r="AG259" i="121" s="1"/>
  <c r="AA259" i="121"/>
  <c r="AF259" i="121" s="1"/>
  <c r="AE257" i="121"/>
  <c r="AD257" i="121"/>
  <c r="AF257" i="121" s="1"/>
  <c r="AB257" i="121"/>
  <c r="AA257" i="121"/>
  <c r="AE256" i="121"/>
  <c r="AD256" i="121"/>
  <c r="AB256" i="121"/>
  <c r="AG256" i="121" s="1"/>
  <c r="AA256" i="121"/>
  <c r="AE255" i="121"/>
  <c r="AD255" i="121"/>
  <c r="AB255" i="121"/>
  <c r="AA255" i="121"/>
  <c r="AE254" i="121"/>
  <c r="AD254" i="121"/>
  <c r="AB254" i="121"/>
  <c r="AG254" i="121" s="1"/>
  <c r="AA254" i="121"/>
  <c r="AF254" i="121" s="1"/>
  <c r="AE253" i="121"/>
  <c r="AG253" i="121" s="1"/>
  <c r="AD253" i="121"/>
  <c r="AF253" i="121" s="1"/>
  <c r="AB253" i="121"/>
  <c r="AA253" i="121"/>
  <c r="AE252" i="121"/>
  <c r="AD252" i="121"/>
  <c r="AB252" i="121"/>
  <c r="AG252" i="121" s="1"/>
  <c r="AA252" i="121"/>
  <c r="AG251" i="121"/>
  <c r="AF251" i="121"/>
  <c r="AE251" i="121"/>
  <c r="AD251" i="121"/>
  <c r="AB251" i="121"/>
  <c r="AA251" i="121"/>
  <c r="AF250" i="121"/>
  <c r="AE250" i="121"/>
  <c r="AD250" i="121"/>
  <c r="AB250" i="121"/>
  <c r="AG250" i="121" s="1"/>
  <c r="AA250" i="121"/>
  <c r="AE249" i="121"/>
  <c r="AD249" i="121"/>
  <c r="AB249" i="121"/>
  <c r="AG249" i="121" s="1"/>
  <c r="AA249" i="121"/>
  <c r="AG248" i="121"/>
  <c r="AE248" i="121"/>
  <c r="AD248" i="121"/>
  <c r="AB248" i="121"/>
  <c r="AA248" i="121"/>
  <c r="AF248" i="121" s="1"/>
  <c r="AE247" i="121"/>
  <c r="AD247" i="121"/>
  <c r="AB247" i="121"/>
  <c r="AA247" i="121"/>
  <c r="AE246" i="121"/>
  <c r="AD246" i="121"/>
  <c r="AB246" i="121"/>
  <c r="AG246" i="121" s="1"/>
  <c r="AA246" i="121"/>
  <c r="AF246" i="121" s="1"/>
  <c r="AG245" i="121"/>
  <c r="AF245" i="121"/>
  <c r="AE245" i="121"/>
  <c r="AD245" i="121"/>
  <c r="AB245" i="121"/>
  <c r="AA245" i="121"/>
  <c r="AG244" i="121"/>
  <c r="AE244" i="121"/>
  <c r="AD244" i="121"/>
  <c r="AB244" i="121"/>
  <c r="AA244" i="121"/>
  <c r="AF244" i="121" s="1"/>
  <c r="AE243" i="121"/>
  <c r="AD243" i="121"/>
  <c r="AB243" i="121"/>
  <c r="AG243" i="121" s="1"/>
  <c r="AA243" i="121"/>
  <c r="AF243" i="121" s="1"/>
  <c r="AE242" i="121"/>
  <c r="AD242" i="121"/>
  <c r="AB242" i="121"/>
  <c r="AG242" i="121" s="1"/>
  <c r="AA242" i="121"/>
  <c r="AF242" i="121" s="1"/>
  <c r="AG241" i="121"/>
  <c r="AF241" i="121"/>
  <c r="AE241" i="121"/>
  <c r="AD241" i="121"/>
  <c r="AB241" i="121"/>
  <c r="AA241" i="121"/>
  <c r="AE240" i="121"/>
  <c r="AG240" i="121" s="1"/>
  <c r="AD240" i="121"/>
  <c r="AF240" i="121" s="1"/>
  <c r="AB240" i="121"/>
  <c r="AA240" i="121"/>
  <c r="AE239" i="121"/>
  <c r="AD239" i="121"/>
  <c r="AB239" i="121"/>
  <c r="AG239" i="121" s="1"/>
  <c r="AA239" i="121"/>
  <c r="AG238" i="121"/>
  <c r="AF238" i="121"/>
  <c r="AE238" i="121"/>
  <c r="AD238" i="121"/>
  <c r="AB238" i="121"/>
  <c r="AA238" i="121"/>
  <c r="AE237" i="121"/>
  <c r="AG237" i="121" s="1"/>
  <c r="AD237" i="121"/>
  <c r="AF237" i="121" s="1"/>
  <c r="AB237" i="121"/>
  <c r="AA237" i="121"/>
  <c r="AE236" i="121"/>
  <c r="AD236" i="121"/>
  <c r="AB236" i="121"/>
  <c r="AA236" i="121"/>
  <c r="AF236" i="121" s="1"/>
  <c r="AG235" i="121"/>
  <c r="AE235" i="121"/>
  <c r="AD235" i="121"/>
  <c r="AB235" i="121"/>
  <c r="AA235" i="121"/>
  <c r="AF235" i="121" s="1"/>
  <c r="AG234" i="121"/>
  <c r="AE234" i="121"/>
  <c r="AD234" i="121"/>
  <c r="AB234" i="121"/>
  <c r="AA234" i="121"/>
  <c r="AF234" i="121" s="1"/>
  <c r="AF233" i="121"/>
  <c r="AE233" i="121"/>
  <c r="AD233" i="121"/>
  <c r="AB233" i="121"/>
  <c r="AG233" i="121" s="1"/>
  <c r="AA233" i="121"/>
  <c r="AE232" i="121"/>
  <c r="AD232" i="121"/>
  <c r="AB232" i="121"/>
  <c r="AG232" i="121" s="1"/>
  <c r="AA232" i="121"/>
  <c r="AE231" i="121"/>
  <c r="AD231" i="121"/>
  <c r="AB231" i="121"/>
  <c r="AG231" i="121" s="1"/>
  <c r="AA231" i="121"/>
  <c r="AF231" i="121" s="1"/>
  <c r="AG230" i="121"/>
  <c r="AF230" i="121"/>
  <c r="AE230" i="121"/>
  <c r="AD230" i="121"/>
  <c r="AB230" i="121"/>
  <c r="AA230" i="121"/>
  <c r="AE229" i="121"/>
  <c r="AG229" i="121" s="1"/>
  <c r="AD229" i="121"/>
  <c r="AF229" i="121" s="1"/>
  <c r="AB229" i="121"/>
  <c r="AA229" i="121"/>
  <c r="AE228" i="121"/>
  <c r="AD228" i="121"/>
  <c r="AB228" i="121"/>
  <c r="AG228" i="121" s="1"/>
  <c r="AA228" i="121"/>
  <c r="AF228" i="121" s="1"/>
  <c r="AE227" i="121"/>
  <c r="AG227" i="121" s="1"/>
  <c r="AD227" i="121"/>
  <c r="AF227" i="121" s="1"/>
  <c r="AB227" i="121"/>
  <c r="AA227" i="121"/>
  <c r="AG226" i="121"/>
  <c r="AF226" i="121"/>
  <c r="AE226" i="121"/>
  <c r="AD226" i="121"/>
  <c r="AB226" i="121"/>
  <c r="AA226" i="121"/>
  <c r="AE225" i="121"/>
  <c r="AD225" i="121"/>
  <c r="AF225" i="121" s="1"/>
  <c r="AB225" i="121"/>
  <c r="AA225" i="121"/>
  <c r="AF224" i="121"/>
  <c r="AE224" i="121"/>
  <c r="AG224" i="121" s="1"/>
  <c r="AD224" i="121"/>
  <c r="AB224" i="121"/>
  <c r="AA224" i="121"/>
  <c r="AE223" i="121"/>
  <c r="AD223" i="121"/>
  <c r="AB223" i="121"/>
  <c r="AA223" i="121"/>
  <c r="AE222" i="121"/>
  <c r="AD222" i="121"/>
  <c r="AB222" i="121"/>
  <c r="AG222" i="121" s="1"/>
  <c r="AA222" i="121"/>
  <c r="AF222" i="121" s="1"/>
  <c r="AE221" i="121"/>
  <c r="AG221" i="121" s="1"/>
  <c r="AD221" i="121"/>
  <c r="AF221" i="121" s="1"/>
  <c r="AB221" i="121"/>
  <c r="AA221" i="121"/>
  <c r="AG220" i="121"/>
  <c r="AE220" i="121"/>
  <c r="AD220" i="121"/>
  <c r="AB220" i="121"/>
  <c r="AA220" i="121"/>
  <c r="AF220" i="121" s="1"/>
  <c r="AE219" i="121"/>
  <c r="AD219" i="121"/>
  <c r="AF219" i="121" s="1"/>
  <c r="AB219" i="121"/>
  <c r="AG219" i="121" s="1"/>
  <c r="AA219" i="121"/>
  <c r="AG218" i="121"/>
  <c r="AF218" i="121"/>
  <c r="AE218" i="121"/>
  <c r="AD218" i="121"/>
  <c r="AB218" i="121"/>
  <c r="AA218" i="121"/>
  <c r="AE217" i="121"/>
  <c r="AD217" i="121"/>
  <c r="AB217" i="121"/>
  <c r="AG217" i="121" s="1"/>
  <c r="AA217" i="121"/>
  <c r="AF217" i="121" s="1"/>
  <c r="AE216" i="121"/>
  <c r="AD216" i="121"/>
  <c r="AF216" i="121" s="1"/>
  <c r="AB216" i="121"/>
  <c r="AG216" i="121" s="1"/>
  <c r="AA216" i="121"/>
  <c r="AE215" i="121"/>
  <c r="AD215" i="121"/>
  <c r="AB215" i="121"/>
  <c r="AG215" i="121" s="1"/>
  <c r="AA215" i="121"/>
  <c r="AE214" i="121"/>
  <c r="AD214" i="121"/>
  <c r="AB214" i="121"/>
  <c r="AG214" i="121" s="1"/>
  <c r="AA214" i="121"/>
  <c r="AF214" i="121" s="1"/>
  <c r="AE213" i="121"/>
  <c r="AG213" i="121" s="1"/>
  <c r="AD213" i="121"/>
  <c r="AF213" i="121" s="1"/>
  <c r="AB213" i="121"/>
  <c r="AA213" i="121"/>
  <c r="AD212" i="121"/>
  <c r="AF212" i="121" s="1"/>
  <c r="AA212" i="121"/>
  <c r="Z212" i="121"/>
  <c r="X212" i="121"/>
  <c r="V212" i="121"/>
  <c r="T212" i="121"/>
  <c r="R212" i="121"/>
  <c r="P212" i="121"/>
  <c r="N212" i="121"/>
  <c r="L212" i="121"/>
  <c r="J212" i="121"/>
  <c r="H212" i="121"/>
  <c r="F212" i="121"/>
  <c r="AG211" i="121"/>
  <c r="AF211" i="121"/>
  <c r="AE211" i="121"/>
  <c r="AD211" i="121"/>
  <c r="AB211" i="121"/>
  <c r="AA211" i="121"/>
  <c r="AE210" i="121"/>
  <c r="AD210" i="121"/>
  <c r="AB210" i="121"/>
  <c r="AA210" i="121"/>
  <c r="AF210" i="121" s="1"/>
  <c r="AE209" i="121"/>
  <c r="AD209" i="121"/>
  <c r="AB209" i="121"/>
  <c r="AG209" i="121" s="1"/>
  <c r="AA209" i="121"/>
  <c r="AF209" i="121" s="1"/>
  <c r="AG208" i="121"/>
  <c r="AF208" i="121"/>
  <c r="AE208" i="121"/>
  <c r="AD208" i="121"/>
  <c r="AB208" i="121"/>
  <c r="AA208" i="121"/>
  <c r="AF207" i="121"/>
  <c r="AE207" i="121"/>
  <c r="AD207" i="121"/>
  <c r="AB207" i="121"/>
  <c r="AA207" i="121"/>
  <c r="AE206" i="121"/>
  <c r="AD206" i="121"/>
  <c r="AB206" i="121"/>
  <c r="AG206" i="121" s="1"/>
  <c r="AA206" i="121"/>
  <c r="AF206" i="121" s="1"/>
  <c r="AG205" i="121"/>
  <c r="AE205" i="121"/>
  <c r="AD205" i="121"/>
  <c r="AB205" i="121"/>
  <c r="AA205" i="121"/>
  <c r="AF205" i="121" s="1"/>
  <c r="AF204" i="121"/>
  <c r="AE204" i="121"/>
  <c r="AG204" i="121" s="1"/>
  <c r="AD204" i="121"/>
  <c r="AB204" i="121"/>
  <c r="AA204" i="121"/>
  <c r="AF203" i="121"/>
  <c r="AE203" i="121"/>
  <c r="AD203" i="121"/>
  <c r="AB203" i="121"/>
  <c r="AG203" i="121" s="1"/>
  <c r="AA203" i="121"/>
  <c r="AE202" i="121"/>
  <c r="AD202" i="121"/>
  <c r="AB202" i="121"/>
  <c r="AA202" i="121"/>
  <c r="AE201" i="121"/>
  <c r="AD201" i="121"/>
  <c r="AB201" i="121"/>
  <c r="AG201" i="121" s="1"/>
  <c r="AA201" i="121"/>
  <c r="AD200" i="121"/>
  <c r="AF200" i="121" s="1"/>
  <c r="AA200" i="121"/>
  <c r="Z200" i="121"/>
  <c r="X200" i="121"/>
  <c r="V200" i="121"/>
  <c r="T200" i="121"/>
  <c r="R200" i="121"/>
  <c r="P200" i="121"/>
  <c r="N200" i="121"/>
  <c r="L200" i="121"/>
  <c r="J200" i="121"/>
  <c r="J176" i="121" s="1"/>
  <c r="H200" i="121"/>
  <c r="F200" i="121"/>
  <c r="AF199" i="121"/>
  <c r="AE199" i="121"/>
  <c r="AG199" i="121" s="1"/>
  <c r="AD199" i="121"/>
  <c r="AB199" i="121"/>
  <c r="AA199" i="121"/>
  <c r="AG198" i="121"/>
  <c r="AF198" i="121"/>
  <c r="AE198" i="121"/>
  <c r="AD198" i="121"/>
  <c r="AB198" i="121"/>
  <c r="AA198" i="121"/>
  <c r="AG197" i="121"/>
  <c r="AF197" i="121"/>
  <c r="AE197" i="121"/>
  <c r="AD197" i="121"/>
  <c r="AB197" i="121"/>
  <c r="AA197" i="121"/>
  <c r="AE196" i="121"/>
  <c r="AD196" i="121"/>
  <c r="AB196" i="121"/>
  <c r="AG196" i="121" s="1"/>
  <c r="AA196" i="121"/>
  <c r="AF196" i="121" s="1"/>
  <c r="AG195" i="121"/>
  <c r="AE195" i="121"/>
  <c r="AD195" i="121"/>
  <c r="AB195" i="121"/>
  <c r="AA195" i="121"/>
  <c r="AF195" i="121" s="1"/>
  <c r="AG194" i="121"/>
  <c r="AF194" i="121"/>
  <c r="AE194" i="121"/>
  <c r="AD194" i="121"/>
  <c r="AB194" i="121"/>
  <c r="AA194" i="121"/>
  <c r="AE193" i="121"/>
  <c r="AD193" i="121"/>
  <c r="AB193" i="121"/>
  <c r="AG193" i="121" s="1"/>
  <c r="AA193" i="121"/>
  <c r="AF193" i="121" s="1"/>
  <c r="AE192" i="121"/>
  <c r="AD192" i="121"/>
  <c r="AB192" i="121"/>
  <c r="AA192" i="121"/>
  <c r="AE191" i="121"/>
  <c r="AD191" i="121"/>
  <c r="AF191" i="121" s="1"/>
  <c r="AB191" i="121"/>
  <c r="AG191" i="121" s="1"/>
  <c r="AA191" i="121"/>
  <c r="AE190" i="121"/>
  <c r="AG190" i="121" s="1"/>
  <c r="AD190" i="121"/>
  <c r="AF190" i="121" s="1"/>
  <c r="AB190" i="121"/>
  <c r="AA190" i="121"/>
  <c r="AE189" i="121"/>
  <c r="AD189" i="121"/>
  <c r="AF189" i="121" s="1"/>
  <c r="AA189" i="121"/>
  <c r="Z189" i="121"/>
  <c r="X189" i="121"/>
  <c r="V189" i="121"/>
  <c r="T189" i="121"/>
  <c r="R189" i="121"/>
  <c r="P189" i="121"/>
  <c r="N189" i="121"/>
  <c r="L189" i="121"/>
  <c r="J189" i="121"/>
  <c r="H189" i="121"/>
  <c r="F189" i="121"/>
  <c r="AF188" i="121"/>
  <c r="AE188" i="121"/>
  <c r="AG188" i="121" s="1"/>
  <c r="AD188" i="121"/>
  <c r="AB188" i="121"/>
  <c r="AA188" i="121"/>
  <c r="AG187" i="121"/>
  <c r="AE187" i="121"/>
  <c r="AD187" i="121"/>
  <c r="AB187" i="121"/>
  <c r="AA187" i="121"/>
  <c r="AF187" i="121" s="1"/>
  <c r="AE186" i="121"/>
  <c r="AD186" i="121"/>
  <c r="AB186" i="121"/>
  <c r="AG186" i="121" s="1"/>
  <c r="AA186" i="121"/>
  <c r="AF186" i="121" s="1"/>
  <c r="AG185" i="121"/>
  <c r="AE185" i="121"/>
  <c r="AD185" i="121"/>
  <c r="AB185" i="121"/>
  <c r="AA185" i="121"/>
  <c r="AF185" i="121" s="1"/>
  <c r="AE184" i="121"/>
  <c r="AD184" i="121"/>
  <c r="AF184" i="121" s="1"/>
  <c r="AB184" i="121"/>
  <c r="AG184" i="121" s="1"/>
  <c r="AA184" i="121"/>
  <c r="AE183" i="121"/>
  <c r="AD183" i="121"/>
  <c r="AB183" i="121"/>
  <c r="AG183" i="121" s="1"/>
  <c r="AA183" i="121"/>
  <c r="AG182" i="121"/>
  <c r="AE182" i="121"/>
  <c r="AD182" i="121"/>
  <c r="AB182" i="121"/>
  <c r="AA182" i="121"/>
  <c r="AF182" i="121" s="1"/>
  <c r="AE181" i="121"/>
  <c r="AG181" i="121" s="1"/>
  <c r="AD181" i="121"/>
  <c r="AB181" i="121"/>
  <c r="AA181" i="121"/>
  <c r="AF181" i="121" s="1"/>
  <c r="AD180" i="121"/>
  <c r="AA180" i="121"/>
  <c r="AF180" i="121" s="1"/>
  <c r="Z180" i="121"/>
  <c r="X180" i="121"/>
  <c r="V180" i="121"/>
  <c r="T180" i="121"/>
  <c r="R180" i="121"/>
  <c r="P180" i="121"/>
  <c r="N180" i="121"/>
  <c r="L180" i="121"/>
  <c r="J180" i="121"/>
  <c r="H180" i="121"/>
  <c r="AB180" i="121" s="1"/>
  <c r="F180" i="121"/>
  <c r="AE179" i="121"/>
  <c r="AD179" i="121"/>
  <c r="AB179" i="121"/>
  <c r="AG179" i="121" s="1"/>
  <c r="AA179" i="121"/>
  <c r="AF179" i="121" s="1"/>
  <c r="AG178" i="121"/>
  <c r="AF178" i="121"/>
  <c r="AE178" i="121"/>
  <c r="AD178" i="121"/>
  <c r="AB178" i="121"/>
  <c r="AA178" i="121"/>
  <c r="AE177" i="121"/>
  <c r="AD177" i="121"/>
  <c r="AB177" i="121"/>
  <c r="AG177" i="121" s="1"/>
  <c r="AA177" i="121"/>
  <c r="AF177" i="121" s="1"/>
  <c r="Z177" i="121"/>
  <c r="X177" i="121"/>
  <c r="X176" i="121" s="1"/>
  <c r="V177" i="121"/>
  <c r="V176" i="121" s="1"/>
  <c r="T177" i="121"/>
  <c r="R177" i="121"/>
  <c r="P177" i="121"/>
  <c r="P176" i="121" s="1"/>
  <c r="N177" i="121"/>
  <c r="L177" i="121"/>
  <c r="J177" i="121"/>
  <c r="H177" i="121"/>
  <c r="F177" i="121"/>
  <c r="AD176" i="121"/>
  <c r="AA176" i="121"/>
  <c r="AF176" i="121" s="1"/>
  <c r="Z176" i="121"/>
  <c r="T176" i="121"/>
  <c r="L176" i="121"/>
  <c r="AE175" i="121"/>
  <c r="AD175" i="121"/>
  <c r="AB175" i="121"/>
  <c r="AG175" i="121" s="1"/>
  <c r="AA175" i="121"/>
  <c r="AF175" i="121" s="1"/>
  <c r="AE174" i="121"/>
  <c r="AD174" i="121"/>
  <c r="AF174" i="121" s="1"/>
  <c r="AB174" i="121"/>
  <c r="AG174" i="121" s="1"/>
  <c r="AA174" i="121"/>
  <c r="AG173" i="121"/>
  <c r="AF173" i="121"/>
  <c r="AE173" i="121"/>
  <c r="AD173" i="121"/>
  <c r="AB173" i="121"/>
  <c r="AA173" i="121"/>
  <c r="AE172" i="121"/>
  <c r="AD172" i="121"/>
  <c r="AB172" i="121"/>
  <c r="AG172" i="121" s="1"/>
  <c r="AA172" i="121"/>
  <c r="AE171" i="121"/>
  <c r="AD171" i="121"/>
  <c r="AF171" i="121" s="1"/>
  <c r="AB171" i="121"/>
  <c r="AA171" i="121"/>
  <c r="AE170" i="121"/>
  <c r="AD170" i="121"/>
  <c r="AB170" i="121"/>
  <c r="AA170" i="121"/>
  <c r="AE169" i="121"/>
  <c r="AD169" i="121"/>
  <c r="AB169" i="121"/>
  <c r="AG169" i="121" s="1"/>
  <c r="AA169" i="121"/>
  <c r="AF169" i="121" s="1"/>
  <c r="AE168" i="121"/>
  <c r="AG168" i="121" s="1"/>
  <c r="AD168" i="121"/>
  <c r="AF168" i="121" s="1"/>
  <c r="AB168" i="121"/>
  <c r="AA168" i="121"/>
  <c r="AG167" i="121"/>
  <c r="AF167" i="121"/>
  <c r="AE167" i="121"/>
  <c r="AD167" i="121"/>
  <c r="AB167" i="121"/>
  <c r="AA167" i="121"/>
  <c r="AE166" i="121"/>
  <c r="AD166" i="121"/>
  <c r="AB166" i="121"/>
  <c r="AA166" i="121"/>
  <c r="AE165" i="121"/>
  <c r="AD165" i="121"/>
  <c r="AB165" i="121"/>
  <c r="AG165" i="121" s="1"/>
  <c r="AA165" i="121"/>
  <c r="AF165" i="121" s="1"/>
  <c r="AE164" i="121"/>
  <c r="AD164" i="121"/>
  <c r="AB164" i="121"/>
  <c r="AG164" i="121" s="1"/>
  <c r="AA164" i="121"/>
  <c r="AE163" i="121"/>
  <c r="AD163" i="121"/>
  <c r="AB163" i="121"/>
  <c r="AG163" i="121" s="1"/>
  <c r="AA163" i="121"/>
  <c r="AF163" i="121" s="1"/>
  <c r="AE162" i="121"/>
  <c r="AD162" i="121"/>
  <c r="AB162" i="121"/>
  <c r="AA162" i="121"/>
  <c r="AE161" i="121"/>
  <c r="AD161" i="121"/>
  <c r="AB161" i="121"/>
  <c r="AG161" i="121" s="1"/>
  <c r="AA161" i="121"/>
  <c r="AF161" i="121" s="1"/>
  <c r="AG160" i="121"/>
  <c r="AF160" i="121"/>
  <c r="AE160" i="121"/>
  <c r="AD160" i="121"/>
  <c r="AB160" i="121"/>
  <c r="AA160" i="121"/>
  <c r="AE159" i="121"/>
  <c r="AG159" i="121" s="1"/>
  <c r="AD159" i="121"/>
  <c r="AF159" i="121" s="1"/>
  <c r="AB159" i="121"/>
  <c r="AA159" i="121"/>
  <c r="AE158" i="121"/>
  <c r="AD158" i="121"/>
  <c r="AB158" i="121"/>
  <c r="AG158" i="121" s="1"/>
  <c r="AA158" i="121"/>
  <c r="AF158" i="121" s="1"/>
  <c r="AE157" i="121"/>
  <c r="AD157" i="121"/>
  <c r="AB157" i="121"/>
  <c r="AG157" i="121" s="1"/>
  <c r="AA157" i="121"/>
  <c r="AF157" i="121" s="1"/>
  <c r="AG156" i="121"/>
  <c r="AF156" i="121"/>
  <c r="AE156" i="121"/>
  <c r="AD156" i="121"/>
  <c r="AB156" i="121"/>
  <c r="AA156" i="121"/>
  <c r="AE155" i="121"/>
  <c r="AG155" i="121" s="1"/>
  <c r="AD155" i="121"/>
  <c r="AF155" i="121" s="1"/>
  <c r="AB155" i="121"/>
  <c r="AA155" i="121"/>
  <c r="AE154" i="121"/>
  <c r="AD154" i="121"/>
  <c r="AB154" i="121"/>
  <c r="AG154" i="121" s="1"/>
  <c r="AA154" i="121"/>
  <c r="AF154" i="121" s="1"/>
  <c r="AG153" i="121"/>
  <c r="AF153" i="121"/>
  <c r="AE153" i="121"/>
  <c r="AD153" i="121"/>
  <c r="AB153" i="121"/>
  <c r="AA153" i="121"/>
  <c r="AE152" i="121"/>
  <c r="AG152" i="121" s="1"/>
  <c r="AD152" i="121"/>
  <c r="AF152" i="121" s="1"/>
  <c r="AB152" i="121"/>
  <c r="AA152" i="121"/>
  <c r="AE151" i="121"/>
  <c r="AD151" i="121"/>
  <c r="AB151" i="121"/>
  <c r="AG151" i="121" s="1"/>
  <c r="AA151" i="121"/>
  <c r="AF151" i="121" s="1"/>
  <c r="AE150" i="121"/>
  <c r="AD150" i="121"/>
  <c r="AB150" i="121"/>
  <c r="AG150" i="121" s="1"/>
  <c r="AA150" i="121"/>
  <c r="AG149" i="121"/>
  <c r="AF149" i="121"/>
  <c r="AE149" i="121"/>
  <c r="AD149" i="121"/>
  <c r="AB149" i="121"/>
  <c r="AA149" i="121"/>
  <c r="AF148" i="121"/>
  <c r="AE148" i="121"/>
  <c r="AG148" i="121" s="1"/>
  <c r="AD148" i="121"/>
  <c r="AB148" i="121"/>
  <c r="AA148" i="121"/>
  <c r="AF147" i="121"/>
  <c r="AE147" i="121"/>
  <c r="AD147" i="121"/>
  <c r="AB147" i="121"/>
  <c r="AA147" i="121"/>
  <c r="AE146" i="121"/>
  <c r="AD146" i="121"/>
  <c r="AB146" i="121"/>
  <c r="AA146" i="121"/>
  <c r="AE145" i="121"/>
  <c r="AG145" i="121" s="1"/>
  <c r="AD145" i="121"/>
  <c r="AF145" i="121" s="1"/>
  <c r="AB145" i="121"/>
  <c r="AA145" i="121"/>
  <c r="AE144" i="121"/>
  <c r="AG144" i="121" s="1"/>
  <c r="AD144" i="121"/>
  <c r="AF144" i="121" s="1"/>
  <c r="AB144" i="121"/>
  <c r="AA144" i="121"/>
  <c r="AG143" i="121"/>
  <c r="AF143" i="121"/>
  <c r="AE143" i="121"/>
  <c r="AD143" i="121"/>
  <c r="AB143" i="121"/>
  <c r="AA143" i="121"/>
  <c r="AG142" i="121"/>
  <c r="AF142" i="121"/>
  <c r="AE142" i="121"/>
  <c r="AD142" i="121"/>
  <c r="AB142" i="121"/>
  <c r="AA142" i="121"/>
  <c r="AE141" i="121"/>
  <c r="AD141" i="121"/>
  <c r="AB141" i="121"/>
  <c r="AG141" i="121" s="1"/>
  <c r="AA141" i="121"/>
  <c r="AF141" i="121" s="1"/>
  <c r="AG140" i="121"/>
  <c r="AF140" i="121"/>
  <c r="AE140" i="121"/>
  <c r="AD140" i="121"/>
  <c r="AB140" i="121"/>
  <c r="AA140" i="121"/>
  <c r="AE139" i="121"/>
  <c r="AD139" i="121"/>
  <c r="AB139" i="121"/>
  <c r="AG139" i="121" s="1"/>
  <c r="AA139" i="121"/>
  <c r="AD138" i="121"/>
  <c r="AA138" i="121"/>
  <c r="AF138" i="121" s="1"/>
  <c r="Z138" i="121"/>
  <c r="X138" i="121"/>
  <c r="V138" i="121"/>
  <c r="T138" i="121"/>
  <c r="T102" i="121" s="1"/>
  <c r="R138" i="121"/>
  <c r="P138" i="121"/>
  <c r="N138" i="121"/>
  <c r="L138" i="121"/>
  <c r="J138" i="121"/>
  <c r="H138" i="121"/>
  <c r="F138" i="121"/>
  <c r="AE137" i="121"/>
  <c r="AD137" i="121"/>
  <c r="AB137" i="121"/>
  <c r="AA137" i="121"/>
  <c r="AG136" i="121"/>
  <c r="AE136" i="121"/>
  <c r="AD136" i="121"/>
  <c r="AF136" i="121" s="1"/>
  <c r="AB136" i="121"/>
  <c r="AA136" i="121"/>
  <c r="AE135" i="121"/>
  <c r="AG135" i="121" s="1"/>
  <c r="AD135" i="121"/>
  <c r="AB135" i="121"/>
  <c r="AA135" i="121"/>
  <c r="AF135" i="121" s="1"/>
  <c r="AE134" i="121"/>
  <c r="AD134" i="121"/>
  <c r="AB134" i="121"/>
  <c r="AG134" i="121" s="1"/>
  <c r="AA134" i="121"/>
  <c r="AE133" i="121"/>
  <c r="AG133" i="121" s="1"/>
  <c r="AD133" i="121"/>
  <c r="AF133" i="121" s="1"/>
  <c r="AB133" i="121"/>
  <c r="AA133" i="121"/>
  <c r="AE132" i="121"/>
  <c r="AD132" i="121"/>
  <c r="AB132" i="121"/>
  <c r="AG132" i="121" s="1"/>
  <c r="AA132" i="121"/>
  <c r="AE131" i="121"/>
  <c r="AD131" i="121"/>
  <c r="AB131" i="121"/>
  <c r="AG131" i="121" s="1"/>
  <c r="AA131" i="121"/>
  <c r="AF131" i="121" s="1"/>
  <c r="AG130" i="121"/>
  <c r="AF130" i="121"/>
  <c r="AE130" i="121"/>
  <c r="AD130" i="121"/>
  <c r="AB130" i="121"/>
  <c r="AA130" i="121"/>
  <c r="AE129" i="121"/>
  <c r="AD129" i="121"/>
  <c r="AB129" i="121"/>
  <c r="AA129" i="121"/>
  <c r="AE128" i="121"/>
  <c r="AD128" i="121"/>
  <c r="AB128" i="121"/>
  <c r="AG128" i="121" s="1"/>
  <c r="AA128" i="121"/>
  <c r="AF128" i="121" s="1"/>
  <c r="AG127" i="121"/>
  <c r="AF127" i="121"/>
  <c r="AE127" i="121"/>
  <c r="AD127" i="121"/>
  <c r="AB127" i="121"/>
  <c r="AA127" i="121"/>
  <c r="AF126" i="121"/>
  <c r="AE126" i="121"/>
  <c r="AD126" i="121"/>
  <c r="AA126" i="121"/>
  <c r="Z126" i="121"/>
  <c r="X126" i="121"/>
  <c r="V126" i="121"/>
  <c r="T126" i="121"/>
  <c r="R126" i="121"/>
  <c r="P126" i="121"/>
  <c r="N126" i="121"/>
  <c r="L126" i="121"/>
  <c r="J126" i="121"/>
  <c r="H126" i="121"/>
  <c r="F126" i="121"/>
  <c r="AG125" i="121"/>
  <c r="AF125" i="121"/>
  <c r="AE125" i="121"/>
  <c r="AD125" i="121"/>
  <c r="AB125" i="121"/>
  <c r="AA125" i="121"/>
  <c r="AE124" i="121"/>
  <c r="AD124" i="121"/>
  <c r="AF124" i="121" s="1"/>
  <c r="AB124" i="121"/>
  <c r="AG124" i="121" s="1"/>
  <c r="AA124" i="121"/>
  <c r="AE123" i="121"/>
  <c r="AD123" i="121"/>
  <c r="AB123" i="121"/>
  <c r="AG123" i="121" s="1"/>
  <c r="AA123" i="121"/>
  <c r="AF123" i="121" s="1"/>
  <c r="AE122" i="121"/>
  <c r="AG122" i="121" s="1"/>
  <c r="AD122" i="121"/>
  <c r="AB122" i="121"/>
  <c r="AA122" i="121"/>
  <c r="AF122" i="121" s="1"/>
  <c r="AE121" i="121"/>
  <c r="AG121" i="121" s="1"/>
  <c r="AD121" i="121"/>
  <c r="AF121" i="121" s="1"/>
  <c r="AB121" i="121"/>
  <c r="AA121" i="121"/>
  <c r="AE120" i="121"/>
  <c r="AD120" i="121"/>
  <c r="AB120" i="121"/>
  <c r="AA120" i="121"/>
  <c r="AF120" i="121" s="1"/>
  <c r="AG119" i="121"/>
  <c r="AE119" i="121"/>
  <c r="AD119" i="121"/>
  <c r="AB119" i="121"/>
  <c r="AA119" i="121"/>
  <c r="AF119" i="121" s="1"/>
  <c r="AG118" i="121"/>
  <c r="AF118" i="121"/>
  <c r="AE118" i="121"/>
  <c r="AD118" i="121"/>
  <c r="AB118" i="121"/>
  <c r="AA118" i="121"/>
  <c r="AE117" i="121"/>
  <c r="AD117" i="121"/>
  <c r="AB117" i="121"/>
  <c r="AG117" i="121" s="1"/>
  <c r="AA117" i="121"/>
  <c r="AG116" i="121"/>
  <c r="AE116" i="121"/>
  <c r="AD116" i="121"/>
  <c r="AB116" i="121"/>
  <c r="AA116" i="121"/>
  <c r="AF116" i="121" s="1"/>
  <c r="AD115" i="121"/>
  <c r="AA115" i="121"/>
  <c r="AF115" i="121" s="1"/>
  <c r="Z115" i="121"/>
  <c r="X115" i="121"/>
  <c r="V115" i="121"/>
  <c r="T115" i="121"/>
  <c r="R115" i="121"/>
  <c r="P115" i="121"/>
  <c r="N115" i="121"/>
  <c r="L115" i="121"/>
  <c r="J115" i="121"/>
  <c r="H115" i="121"/>
  <c r="F115" i="121"/>
  <c r="AF114" i="121"/>
  <c r="AE114" i="121"/>
  <c r="AD114" i="121"/>
  <c r="AB114" i="121"/>
  <c r="AA114" i="121"/>
  <c r="AE113" i="121"/>
  <c r="AD113" i="121"/>
  <c r="AB113" i="121"/>
  <c r="AG113" i="121" s="1"/>
  <c r="AA113" i="121"/>
  <c r="AF113" i="121" s="1"/>
  <c r="AF112" i="121"/>
  <c r="AE112" i="121"/>
  <c r="AG112" i="121" s="1"/>
  <c r="AD112" i="121"/>
  <c r="AB112" i="121"/>
  <c r="AA112" i="121"/>
  <c r="AE111" i="121"/>
  <c r="AD111" i="121"/>
  <c r="AB111" i="121"/>
  <c r="AG111" i="121" s="1"/>
  <c r="AA111" i="121"/>
  <c r="AF111" i="121" s="1"/>
  <c r="AE110" i="121"/>
  <c r="AD110" i="121"/>
  <c r="AB110" i="121"/>
  <c r="AG110" i="121" s="1"/>
  <c r="AA110" i="121"/>
  <c r="AF110" i="121" s="1"/>
  <c r="AE109" i="121"/>
  <c r="AD109" i="121"/>
  <c r="AB109" i="121"/>
  <c r="AG109" i="121" s="1"/>
  <c r="AA109" i="121"/>
  <c r="AF109" i="121" s="1"/>
  <c r="AE108" i="121"/>
  <c r="AD108" i="121"/>
  <c r="AB108" i="121"/>
  <c r="AG108" i="121" s="1"/>
  <c r="AA108" i="121"/>
  <c r="AF108" i="121" s="1"/>
  <c r="AG107" i="121"/>
  <c r="AF107" i="121"/>
  <c r="AE107" i="121"/>
  <c r="AD107" i="121"/>
  <c r="AB107" i="121"/>
  <c r="AA107" i="121"/>
  <c r="AD106" i="121"/>
  <c r="AF106" i="121" s="1"/>
  <c r="AB106" i="121"/>
  <c r="AA106" i="121"/>
  <c r="Z106" i="121"/>
  <c r="X106" i="121"/>
  <c r="V106" i="121"/>
  <c r="T106" i="121"/>
  <c r="R106" i="121"/>
  <c r="P106" i="121"/>
  <c r="N106" i="121"/>
  <c r="L106" i="121"/>
  <c r="J106" i="121"/>
  <c r="H106" i="121"/>
  <c r="F106" i="121"/>
  <c r="AE105" i="121"/>
  <c r="AG105" i="121" s="1"/>
  <c r="AD105" i="121"/>
  <c r="AF105" i="121" s="1"/>
  <c r="AB105" i="121"/>
  <c r="AA105" i="121"/>
  <c r="AE104" i="121"/>
  <c r="AD104" i="121"/>
  <c r="AB104" i="121"/>
  <c r="AG104" i="121" s="1"/>
  <c r="AA104" i="121"/>
  <c r="AF104" i="121" s="1"/>
  <c r="AD103" i="121"/>
  <c r="AA103" i="121"/>
  <c r="AF103" i="121" s="1"/>
  <c r="Z103" i="121"/>
  <c r="X103" i="121"/>
  <c r="V103" i="121"/>
  <c r="T103" i="121"/>
  <c r="R103" i="121"/>
  <c r="P103" i="121"/>
  <c r="N103" i="121"/>
  <c r="N102" i="121" s="1"/>
  <c r="L103" i="121"/>
  <c r="L102" i="121" s="1"/>
  <c r="J103" i="121"/>
  <c r="AB103" i="121" s="1"/>
  <c r="H103" i="121"/>
  <c r="F103" i="121"/>
  <c r="AD102" i="121"/>
  <c r="AA102" i="121"/>
  <c r="AF102" i="121" s="1"/>
  <c r="F102" i="121"/>
  <c r="AE101" i="121"/>
  <c r="AD101" i="121"/>
  <c r="AB101" i="121"/>
  <c r="AA101" i="121"/>
  <c r="AF101" i="121" s="1"/>
  <c r="AE100" i="121"/>
  <c r="AD100" i="121"/>
  <c r="AF100" i="121" s="1"/>
  <c r="AB100" i="121"/>
  <c r="AG100" i="121" s="1"/>
  <c r="AA100" i="121"/>
  <c r="AE99" i="121"/>
  <c r="AG99" i="121" s="1"/>
  <c r="AD99" i="121"/>
  <c r="AF99" i="121" s="1"/>
  <c r="AB99" i="121"/>
  <c r="AA99" i="121"/>
  <c r="AG98" i="121"/>
  <c r="AF98" i="121"/>
  <c r="AE98" i="121"/>
  <c r="AD98" i="121"/>
  <c r="AB98" i="121"/>
  <c r="AA98" i="121"/>
  <c r="AG97" i="121"/>
  <c r="AF97" i="121"/>
  <c r="AE97" i="121"/>
  <c r="AD97" i="121"/>
  <c r="AB97" i="121"/>
  <c r="AA97" i="121"/>
  <c r="AE96" i="121"/>
  <c r="AD96" i="121"/>
  <c r="AB96" i="121"/>
  <c r="AG96" i="121" s="1"/>
  <c r="AA96" i="121"/>
  <c r="AF96" i="121" s="1"/>
  <c r="AG95" i="121"/>
  <c r="AF95" i="121"/>
  <c r="AE95" i="121"/>
  <c r="AD95" i="121"/>
  <c r="AB95" i="121"/>
  <c r="AA95" i="121"/>
  <c r="AE94" i="121"/>
  <c r="AD94" i="121"/>
  <c r="AB94" i="121"/>
  <c r="AG94" i="121" s="1"/>
  <c r="AA94" i="121"/>
  <c r="AF94" i="121" s="1"/>
  <c r="AE93" i="121"/>
  <c r="AD93" i="121"/>
  <c r="AB93" i="121"/>
  <c r="AG93" i="121" s="1"/>
  <c r="AA93" i="121"/>
  <c r="AF93" i="121" s="1"/>
  <c r="AE92" i="121"/>
  <c r="AG92" i="121" s="1"/>
  <c r="AD92" i="121"/>
  <c r="AF92" i="121" s="1"/>
  <c r="AB92" i="121"/>
  <c r="AA92" i="121"/>
  <c r="AG91" i="121"/>
  <c r="AE91" i="121"/>
  <c r="AD91" i="121"/>
  <c r="AF91" i="121" s="1"/>
  <c r="AB91" i="121"/>
  <c r="AA91" i="121"/>
  <c r="AG90" i="121"/>
  <c r="AE90" i="121"/>
  <c r="AD90" i="121"/>
  <c r="AB90" i="121"/>
  <c r="AA90" i="121"/>
  <c r="AF90" i="121" s="1"/>
  <c r="AE89" i="121"/>
  <c r="AG89" i="121" s="1"/>
  <c r="AD89" i="121"/>
  <c r="AF89" i="121" s="1"/>
  <c r="AB89" i="121"/>
  <c r="AA89" i="121"/>
  <c r="AE88" i="121"/>
  <c r="AD88" i="121"/>
  <c r="AB88" i="121"/>
  <c r="AG88" i="121" s="1"/>
  <c r="AA88" i="121"/>
  <c r="AF88" i="121" s="1"/>
  <c r="AG87" i="121"/>
  <c r="AE87" i="121"/>
  <c r="AD87" i="121"/>
  <c r="AB87" i="121"/>
  <c r="AA87" i="121"/>
  <c r="AF87" i="121" s="1"/>
  <c r="AG86" i="121"/>
  <c r="AF86" i="121"/>
  <c r="AE86" i="121"/>
  <c r="AD86" i="121"/>
  <c r="AB86" i="121"/>
  <c r="AA86" i="121"/>
  <c r="AE85" i="121"/>
  <c r="AD85" i="121"/>
  <c r="AB85" i="121"/>
  <c r="AG85" i="121" s="1"/>
  <c r="AA85" i="121"/>
  <c r="AF85" i="121" s="1"/>
  <c r="AG84" i="121"/>
  <c r="AE84" i="121"/>
  <c r="AD84" i="121"/>
  <c r="AB84" i="121"/>
  <c r="AA84" i="121"/>
  <c r="AF84" i="121" s="1"/>
  <c r="AG83" i="121"/>
  <c r="AF83" i="121"/>
  <c r="AE83" i="121"/>
  <c r="AD83" i="121"/>
  <c r="AB83" i="121"/>
  <c r="AA83" i="121"/>
  <c r="AF82" i="121"/>
  <c r="AE82" i="121"/>
  <c r="AD82" i="121"/>
  <c r="AB82" i="121"/>
  <c r="AG82" i="121" s="1"/>
  <c r="AA82" i="121"/>
  <c r="AE81" i="121"/>
  <c r="AD81" i="121"/>
  <c r="AB81" i="121"/>
  <c r="AG81" i="121" s="1"/>
  <c r="AA81" i="121"/>
  <c r="AF81" i="121" s="1"/>
  <c r="AG80" i="121"/>
  <c r="AE80" i="121"/>
  <c r="AD80" i="121"/>
  <c r="AB80" i="121"/>
  <c r="AA80" i="121"/>
  <c r="AF80" i="121" s="1"/>
  <c r="AG79" i="121"/>
  <c r="AE79" i="121"/>
  <c r="AD79" i="121"/>
  <c r="AB79" i="121"/>
  <c r="AA79" i="121"/>
  <c r="AE78" i="121"/>
  <c r="AD78" i="121"/>
  <c r="AF78" i="121" s="1"/>
  <c r="AB78" i="121"/>
  <c r="AG78" i="121" s="1"/>
  <c r="AA78" i="121"/>
  <c r="AE77" i="121"/>
  <c r="AD77" i="121"/>
  <c r="AB77" i="121"/>
  <c r="AG77" i="121" s="1"/>
  <c r="AA77" i="121"/>
  <c r="AF77" i="121" s="1"/>
  <c r="AG76" i="121"/>
  <c r="AE76" i="121"/>
  <c r="AD76" i="121"/>
  <c r="AB76" i="121"/>
  <c r="AA76" i="121"/>
  <c r="AF76" i="121" s="1"/>
  <c r="AG75" i="121"/>
  <c r="AE75" i="121"/>
  <c r="AD75" i="121"/>
  <c r="AF75" i="121" s="1"/>
  <c r="AB75" i="121"/>
  <c r="AA75" i="121"/>
  <c r="AE74" i="121"/>
  <c r="AD74" i="121"/>
  <c r="AB74" i="121"/>
  <c r="AA74" i="121"/>
  <c r="AG73" i="121"/>
  <c r="AE73" i="121"/>
  <c r="AD73" i="121"/>
  <c r="AB73" i="121"/>
  <c r="AA73" i="121"/>
  <c r="AG72" i="121"/>
  <c r="AF72" i="121"/>
  <c r="AE72" i="121"/>
  <c r="AD72" i="121"/>
  <c r="AB72" i="121"/>
  <c r="AA72" i="121"/>
  <c r="AE71" i="121"/>
  <c r="AD71" i="121"/>
  <c r="AB71" i="121"/>
  <c r="AG71" i="121" s="1"/>
  <c r="AA71" i="121"/>
  <c r="AF71" i="121" s="1"/>
  <c r="AE70" i="121"/>
  <c r="AD70" i="121"/>
  <c r="AB70" i="121"/>
  <c r="AG70" i="121" s="1"/>
  <c r="AA70" i="121"/>
  <c r="AE69" i="121"/>
  <c r="AD69" i="121"/>
  <c r="AB69" i="121"/>
  <c r="AA69" i="121"/>
  <c r="AF69" i="121" s="1"/>
  <c r="AE68" i="121"/>
  <c r="AD68" i="121"/>
  <c r="AB68" i="121"/>
  <c r="AG68" i="121" s="1"/>
  <c r="AA68" i="121"/>
  <c r="AF68" i="121" s="1"/>
  <c r="AG67" i="121"/>
  <c r="AE67" i="121"/>
  <c r="AD67" i="121"/>
  <c r="AF67" i="121" s="1"/>
  <c r="AB67" i="121"/>
  <c r="AA67" i="121"/>
  <c r="AG66" i="121"/>
  <c r="AE66" i="121"/>
  <c r="AD66" i="121"/>
  <c r="AB66" i="121"/>
  <c r="AA66" i="121"/>
  <c r="AF66" i="121" s="1"/>
  <c r="Z65" i="121"/>
  <c r="Y65" i="121"/>
  <c r="X65" i="121"/>
  <c r="W65" i="121"/>
  <c r="V65" i="121"/>
  <c r="U65" i="121"/>
  <c r="T65" i="121"/>
  <c r="S65" i="121"/>
  <c r="R65" i="121"/>
  <c r="Q65" i="121"/>
  <c r="P65" i="121"/>
  <c r="O65" i="121"/>
  <c r="N65" i="121"/>
  <c r="M65" i="121"/>
  <c r="L65" i="121"/>
  <c r="K65" i="121"/>
  <c r="J65" i="121"/>
  <c r="AB65" i="121" s="1"/>
  <c r="I65" i="121"/>
  <c r="H65" i="121"/>
  <c r="G65" i="121"/>
  <c r="F65" i="121"/>
  <c r="E65" i="121"/>
  <c r="D65" i="121"/>
  <c r="C65" i="121"/>
  <c r="AG64" i="121"/>
  <c r="AF64" i="121"/>
  <c r="AE64" i="121"/>
  <c r="AD64" i="121"/>
  <c r="AB64" i="121"/>
  <c r="AA64" i="121"/>
  <c r="AE63" i="121"/>
  <c r="AG63" i="121" s="1"/>
  <c r="AD63" i="121"/>
  <c r="AF63" i="121" s="1"/>
  <c r="AB63" i="121"/>
  <c r="AA63" i="121"/>
  <c r="AE62" i="121"/>
  <c r="AD62" i="121"/>
  <c r="AB62" i="121"/>
  <c r="AG62" i="121" s="1"/>
  <c r="AA62" i="121"/>
  <c r="AF62" i="121" s="1"/>
  <c r="AE61" i="121"/>
  <c r="AD61" i="121"/>
  <c r="AB61" i="121"/>
  <c r="AG61" i="121" s="1"/>
  <c r="AA61" i="121"/>
  <c r="AF61" i="121" s="1"/>
  <c r="AF60" i="121"/>
  <c r="AE60" i="121"/>
  <c r="AD60" i="121"/>
  <c r="AB60" i="121"/>
  <c r="AG60" i="121" s="1"/>
  <c r="AA60" i="121"/>
  <c r="AE59" i="121"/>
  <c r="AD59" i="121"/>
  <c r="AB59" i="121"/>
  <c r="AG59" i="121" s="1"/>
  <c r="AA59" i="121"/>
  <c r="AE58" i="121"/>
  <c r="AD58" i="121"/>
  <c r="AB58" i="121"/>
  <c r="AG58" i="121" s="1"/>
  <c r="AA58" i="121"/>
  <c r="AF58" i="121" s="1"/>
  <c r="AE57" i="121"/>
  <c r="AD57" i="121"/>
  <c r="AB57" i="121"/>
  <c r="AA57" i="121"/>
  <c r="AE56" i="121"/>
  <c r="AD56" i="121"/>
  <c r="AB56" i="121"/>
  <c r="AA56" i="121"/>
  <c r="AF55" i="121"/>
  <c r="AE55" i="121"/>
  <c r="AG55" i="121" s="1"/>
  <c r="AD55" i="121"/>
  <c r="AB55" i="121"/>
  <c r="AA55" i="121"/>
  <c r="AF54" i="121"/>
  <c r="AE54" i="121"/>
  <c r="AG54" i="121" s="1"/>
  <c r="AD54" i="121"/>
  <c r="AB54" i="121"/>
  <c r="AA54" i="121"/>
  <c r="Z53" i="121"/>
  <c r="Z29" i="121" s="1"/>
  <c r="Y53" i="121"/>
  <c r="X53" i="121"/>
  <c r="W53" i="121"/>
  <c r="V53" i="121"/>
  <c r="U53" i="121"/>
  <c r="T53" i="121"/>
  <c r="S53" i="121"/>
  <c r="R53" i="121"/>
  <c r="Q53" i="121"/>
  <c r="P53" i="121"/>
  <c r="O53" i="121"/>
  <c r="N53" i="121"/>
  <c r="M53" i="121"/>
  <c r="L53" i="121"/>
  <c r="L29" i="121" s="1"/>
  <c r="K53" i="121"/>
  <c r="AA53" i="121" s="1"/>
  <c r="J53" i="121"/>
  <c r="I53" i="121"/>
  <c r="H53" i="121"/>
  <c r="G53" i="121"/>
  <c r="F53" i="121"/>
  <c r="E53" i="121"/>
  <c r="D53" i="121"/>
  <c r="C53" i="121"/>
  <c r="AE52" i="121"/>
  <c r="AD52" i="121"/>
  <c r="AB52" i="121"/>
  <c r="AA52" i="121"/>
  <c r="AF52" i="121" s="1"/>
  <c r="AE51" i="121"/>
  <c r="AG51" i="121" s="1"/>
  <c r="AD51" i="121"/>
  <c r="AF51" i="121" s="1"/>
  <c r="AB51" i="121"/>
  <c r="AA51" i="121"/>
  <c r="AF50" i="121"/>
  <c r="AE50" i="121"/>
  <c r="AG50" i="121" s="1"/>
  <c r="AD50" i="121"/>
  <c r="AB50" i="121"/>
  <c r="AA50" i="121"/>
  <c r="AE49" i="121"/>
  <c r="AG49" i="121" s="1"/>
  <c r="AD49" i="121"/>
  <c r="AF49" i="121" s="1"/>
  <c r="AB49" i="121"/>
  <c r="AA49" i="121"/>
  <c r="AG48" i="121"/>
  <c r="AF48" i="121"/>
  <c r="AE48" i="121"/>
  <c r="AD48" i="121"/>
  <c r="AB48" i="121"/>
  <c r="AA48" i="121"/>
  <c r="AG47" i="121"/>
  <c r="AE47" i="121"/>
  <c r="AD47" i="121"/>
  <c r="AB47" i="121"/>
  <c r="AA47" i="121"/>
  <c r="AF47" i="121" s="1"/>
  <c r="AF46" i="121"/>
  <c r="AE46" i="121"/>
  <c r="AG46" i="121" s="1"/>
  <c r="AD46" i="121"/>
  <c r="AB46" i="121"/>
  <c r="AA46" i="121"/>
  <c r="AE45" i="121"/>
  <c r="AD45" i="121"/>
  <c r="AB45" i="121"/>
  <c r="AA45" i="121"/>
  <c r="AE44" i="121"/>
  <c r="AD44" i="121"/>
  <c r="AB44" i="121"/>
  <c r="AG44" i="121" s="1"/>
  <c r="AA44" i="121"/>
  <c r="AE43" i="121"/>
  <c r="AG43" i="121" s="1"/>
  <c r="AD43" i="121"/>
  <c r="AF43" i="121" s="1"/>
  <c r="AB43" i="121"/>
  <c r="AA43" i="121"/>
  <c r="Z42" i="121"/>
  <c r="Y42" i="121"/>
  <c r="X42" i="121"/>
  <c r="W42" i="121"/>
  <c r="V42" i="121"/>
  <c r="U42" i="121"/>
  <c r="T42" i="121"/>
  <c r="S42" i="121"/>
  <c r="S29" i="121" s="1"/>
  <c r="R42" i="121"/>
  <c r="Q42" i="121"/>
  <c r="P42" i="121"/>
  <c r="O42" i="121"/>
  <c r="O29" i="121" s="1"/>
  <c r="N42" i="121"/>
  <c r="M42" i="121"/>
  <c r="L42" i="121"/>
  <c r="K42" i="121"/>
  <c r="J42" i="121"/>
  <c r="I42" i="121"/>
  <c r="H42" i="121"/>
  <c r="G42" i="121"/>
  <c r="F42" i="121"/>
  <c r="E42" i="121"/>
  <c r="D42" i="121"/>
  <c r="C42" i="121"/>
  <c r="AE41" i="121"/>
  <c r="AD41" i="121"/>
  <c r="AB41" i="121"/>
  <c r="AA41" i="121"/>
  <c r="AG40" i="121"/>
  <c r="AE40" i="121"/>
  <c r="AD40" i="121"/>
  <c r="AB40" i="121"/>
  <c r="AA40" i="121"/>
  <c r="AF40" i="121" s="1"/>
  <c r="AE39" i="121"/>
  <c r="AG39" i="121" s="1"/>
  <c r="AD39" i="121"/>
  <c r="AF39" i="121" s="1"/>
  <c r="AB39" i="121"/>
  <c r="AA39" i="121"/>
  <c r="AE38" i="121"/>
  <c r="AG38" i="121" s="1"/>
  <c r="AD38" i="121"/>
  <c r="AF38" i="121" s="1"/>
  <c r="AB38" i="121"/>
  <c r="AA38" i="121"/>
  <c r="AE37" i="121"/>
  <c r="AD37" i="121"/>
  <c r="AB37" i="121"/>
  <c r="AG37" i="121" s="1"/>
  <c r="AA37" i="121"/>
  <c r="AF37" i="121" s="1"/>
  <c r="AE36" i="121"/>
  <c r="AD36" i="121"/>
  <c r="AB36" i="121"/>
  <c r="AG36" i="121" s="1"/>
  <c r="AA36" i="121"/>
  <c r="AF36" i="121" s="1"/>
  <c r="AE35" i="121"/>
  <c r="AD35" i="121"/>
  <c r="AF35" i="121" s="1"/>
  <c r="AB35" i="121"/>
  <c r="AG35" i="121" s="1"/>
  <c r="AA35" i="121"/>
  <c r="AE34" i="121"/>
  <c r="AD34" i="121"/>
  <c r="AB34" i="121"/>
  <c r="AG34" i="121" s="1"/>
  <c r="AA34" i="121"/>
  <c r="AF34" i="121" s="1"/>
  <c r="AD33" i="121"/>
  <c r="Z33" i="121"/>
  <c r="Y33" i="121"/>
  <c r="X33" i="121"/>
  <c r="W33" i="121"/>
  <c r="V33" i="121"/>
  <c r="U33" i="121"/>
  <c r="T33" i="121"/>
  <c r="S33" i="121"/>
  <c r="R33" i="121"/>
  <c r="Q33" i="121"/>
  <c r="P33" i="121"/>
  <c r="O33" i="121"/>
  <c r="N33" i="121"/>
  <c r="M33" i="121"/>
  <c r="L33" i="121"/>
  <c r="K33" i="121"/>
  <c r="J33" i="121"/>
  <c r="I33" i="121"/>
  <c r="H33" i="121"/>
  <c r="G33" i="121"/>
  <c r="F33" i="121"/>
  <c r="E33" i="121"/>
  <c r="D33" i="121"/>
  <c r="C33" i="121"/>
  <c r="AE32" i="121"/>
  <c r="AD32" i="121"/>
  <c r="AB32" i="121"/>
  <c r="AG32" i="121" s="1"/>
  <c r="AA32" i="121"/>
  <c r="AF32" i="121" s="1"/>
  <c r="AF31" i="121"/>
  <c r="AE31" i="121"/>
  <c r="AD31" i="121"/>
  <c r="AB31" i="121"/>
  <c r="AA31" i="121"/>
  <c r="Z30" i="121"/>
  <c r="Y30" i="121"/>
  <c r="X30" i="121"/>
  <c r="W30" i="121"/>
  <c r="V30" i="121"/>
  <c r="V29" i="121" s="1"/>
  <c r="U30" i="121"/>
  <c r="T30" i="121"/>
  <c r="S30" i="121"/>
  <c r="R30" i="121"/>
  <c r="Q30" i="121"/>
  <c r="AD30" i="121" s="1"/>
  <c r="P30" i="121"/>
  <c r="O30" i="121"/>
  <c r="N30" i="121"/>
  <c r="M30" i="121"/>
  <c r="L30" i="121"/>
  <c r="K30" i="121"/>
  <c r="J30" i="121"/>
  <c r="I30" i="121"/>
  <c r="H30" i="121"/>
  <c r="G30" i="121"/>
  <c r="F30" i="121"/>
  <c r="F29" i="121" s="1"/>
  <c r="E30" i="121"/>
  <c r="D30" i="121"/>
  <c r="C30" i="121"/>
  <c r="R29" i="121"/>
  <c r="Q29" i="121"/>
  <c r="P29" i="121"/>
  <c r="M29" i="121"/>
  <c r="AE25" i="121"/>
  <c r="AD25" i="121"/>
  <c r="AF25" i="121" s="1"/>
  <c r="AB25" i="121"/>
  <c r="AG25" i="121" s="1"/>
  <c r="AA25" i="121"/>
  <c r="AE24" i="121"/>
  <c r="AD24" i="121"/>
  <c r="AB24" i="121"/>
  <c r="AG24" i="121" s="1"/>
  <c r="AA24" i="121"/>
  <c r="AF24" i="121" s="1"/>
  <c r="AE23" i="121"/>
  <c r="AD23" i="121"/>
  <c r="AF23" i="121" s="1"/>
  <c r="AB23" i="121"/>
  <c r="AA23" i="121"/>
  <c r="AE22" i="121"/>
  <c r="AD22" i="121"/>
  <c r="AB22" i="121"/>
  <c r="AG22" i="121" s="1"/>
  <c r="AA22" i="121"/>
  <c r="AF22" i="121" s="1"/>
  <c r="AE21" i="121"/>
  <c r="AD21" i="121"/>
  <c r="AB21" i="121"/>
  <c r="AG21" i="121" s="1"/>
  <c r="AA21" i="121"/>
  <c r="AE20" i="121"/>
  <c r="AD20" i="121"/>
  <c r="AB20" i="121"/>
  <c r="AG20" i="121" s="1"/>
  <c r="AA20" i="121"/>
  <c r="AE19" i="121"/>
  <c r="AD19" i="121"/>
  <c r="AB19" i="121"/>
  <c r="AA19" i="121"/>
  <c r="AE18" i="121"/>
  <c r="AD18" i="121"/>
  <c r="AB18" i="121"/>
  <c r="AA18" i="121"/>
  <c r="AE17" i="121"/>
  <c r="AD17" i="121"/>
  <c r="AB17" i="121"/>
  <c r="AA17" i="121"/>
  <c r="Z16" i="121"/>
  <c r="Y16" i="121"/>
  <c r="X16" i="121"/>
  <c r="W16" i="121"/>
  <c r="V16" i="121"/>
  <c r="U16" i="121"/>
  <c r="T16" i="121"/>
  <c r="S16" i="121"/>
  <c r="R16" i="121"/>
  <c r="Q16" i="121"/>
  <c r="P16" i="121"/>
  <c r="O16" i="121"/>
  <c r="N16" i="121"/>
  <c r="M16" i="121"/>
  <c r="L16" i="121"/>
  <c r="K16" i="121"/>
  <c r="J16" i="121"/>
  <c r="I16" i="121"/>
  <c r="H16" i="121"/>
  <c r="G16" i="121"/>
  <c r="F16" i="121"/>
  <c r="E16" i="121"/>
  <c r="D16" i="121"/>
  <c r="C16" i="121"/>
  <c r="AE15" i="121"/>
  <c r="AG15" i="121" s="1"/>
  <c r="AD15" i="121"/>
  <c r="AF15" i="121" s="1"/>
  <c r="AB15" i="121"/>
  <c r="AA15" i="121"/>
  <c r="AE14" i="121"/>
  <c r="AD14" i="121"/>
  <c r="AB14" i="121"/>
  <c r="AA14" i="121"/>
  <c r="AE13" i="121"/>
  <c r="AD13" i="121"/>
  <c r="AB13" i="121"/>
  <c r="AG13" i="121" s="1"/>
  <c r="AA13" i="121"/>
  <c r="AG12" i="121"/>
  <c r="AE12" i="121"/>
  <c r="AD12" i="121"/>
  <c r="AB12" i="121"/>
  <c r="AA12" i="121"/>
  <c r="AF12" i="121" s="1"/>
  <c r="AE11" i="121"/>
  <c r="AD11" i="121"/>
  <c r="AB11" i="121"/>
  <c r="AG11" i="121" s="1"/>
  <c r="AA11" i="121"/>
  <c r="AF11" i="121" s="1"/>
  <c r="AE10" i="121"/>
  <c r="AD10" i="121"/>
  <c r="AB10" i="121"/>
  <c r="AA10" i="121"/>
  <c r="AF10" i="121" s="1"/>
  <c r="AG9" i="121"/>
  <c r="AF9" i="121"/>
  <c r="AE9" i="121"/>
  <c r="AD9" i="121"/>
  <c r="AB9" i="121"/>
  <c r="AA9" i="121"/>
  <c r="AE8" i="121"/>
  <c r="AD8" i="121"/>
  <c r="AB8" i="121"/>
  <c r="AG8" i="121" s="1"/>
  <c r="AA8" i="121"/>
  <c r="AF8" i="121" s="1"/>
  <c r="AE7" i="121"/>
  <c r="AD7" i="121"/>
  <c r="AB7" i="121"/>
  <c r="AG7" i="121" s="1"/>
  <c r="AA7" i="121"/>
  <c r="AF7" i="121" s="1"/>
  <c r="Z6" i="121"/>
  <c r="Y6" i="121"/>
  <c r="X6" i="121"/>
  <c r="X28" i="121" s="1"/>
  <c r="W6" i="121"/>
  <c r="V6" i="121"/>
  <c r="U6" i="121"/>
  <c r="T6" i="121"/>
  <c r="T28" i="121" s="1"/>
  <c r="S6" i="121"/>
  <c r="R6" i="121"/>
  <c r="R28" i="121" s="1"/>
  <c r="Q6" i="121"/>
  <c r="P6" i="121"/>
  <c r="O6" i="121"/>
  <c r="N6" i="121"/>
  <c r="N28" i="121" s="1"/>
  <c r="M6" i="121"/>
  <c r="L6" i="121"/>
  <c r="K6" i="121"/>
  <c r="J6" i="121"/>
  <c r="I6" i="121"/>
  <c r="I28" i="121" s="1"/>
  <c r="I28" i="101" s="1"/>
  <c r="H6" i="121"/>
  <c r="G6" i="121"/>
  <c r="G28" i="121" s="1"/>
  <c r="G28" i="101" s="1"/>
  <c r="F6" i="121"/>
  <c r="E6" i="121"/>
  <c r="D6" i="121"/>
  <c r="D26" i="121" s="1"/>
  <c r="D27" i="121" s="1"/>
  <c r="C6" i="121"/>
  <c r="C28" i="121" s="1"/>
  <c r="C28" i="101" s="1"/>
  <c r="B270" i="101"/>
  <c r="Z264" i="101"/>
  <c r="Z264" i="79" s="1"/>
  <c r="Y264" i="101"/>
  <c r="Y264" i="79" s="1"/>
  <c r="X264" i="101"/>
  <c r="W264" i="101"/>
  <c r="V264" i="101"/>
  <c r="U264" i="101"/>
  <c r="T264" i="101"/>
  <c r="T264" i="79" s="1"/>
  <c r="S264" i="101"/>
  <c r="S264" i="79" s="1"/>
  <c r="R264" i="101"/>
  <c r="R264" i="79" s="1"/>
  <c r="Q264" i="101"/>
  <c r="P264" i="101"/>
  <c r="O264" i="101"/>
  <c r="N264" i="101"/>
  <c r="N264" i="79" s="1"/>
  <c r="M264" i="101"/>
  <c r="M264" i="79" s="1"/>
  <c r="L264" i="101"/>
  <c r="L264" i="79" s="1"/>
  <c r="K264" i="101"/>
  <c r="K264" i="79" s="1"/>
  <c r="J264" i="101"/>
  <c r="J264" i="79" s="1"/>
  <c r="I264" i="101"/>
  <c r="I264" i="79" s="1"/>
  <c r="H264" i="101"/>
  <c r="H264" i="79" s="1"/>
  <c r="G264" i="101"/>
  <c r="F264" i="101"/>
  <c r="E264" i="101"/>
  <c r="D264" i="101"/>
  <c r="D264" i="79" s="1"/>
  <c r="C264" i="101"/>
  <c r="Z262" i="101"/>
  <c r="Z262" i="79" s="1"/>
  <c r="Y262" i="101"/>
  <c r="Y262" i="79" s="1"/>
  <c r="X262" i="101"/>
  <c r="W262" i="101"/>
  <c r="W262" i="79" s="1"/>
  <c r="V262" i="101"/>
  <c r="V262" i="79" s="1"/>
  <c r="U262" i="101"/>
  <c r="U262" i="79" s="1"/>
  <c r="T262" i="101"/>
  <c r="T262" i="79" s="1"/>
  <c r="S262" i="101"/>
  <c r="R262" i="101"/>
  <c r="Q262" i="101"/>
  <c r="P262" i="101"/>
  <c r="O262" i="101"/>
  <c r="N262" i="101"/>
  <c r="M262" i="101"/>
  <c r="L262" i="101"/>
  <c r="L262" i="79" s="1"/>
  <c r="K262" i="101"/>
  <c r="K262" i="79" s="1"/>
  <c r="J262" i="101"/>
  <c r="J262" i="79" s="1"/>
  <c r="I262" i="101"/>
  <c r="I262" i="79" s="1"/>
  <c r="H262" i="101"/>
  <c r="G262" i="101"/>
  <c r="G262" i="79" s="1"/>
  <c r="F262" i="101"/>
  <c r="E262" i="101"/>
  <c r="E262" i="79" s="1"/>
  <c r="D262" i="101"/>
  <c r="C262" i="101"/>
  <c r="Z260" i="101"/>
  <c r="Y260" i="101"/>
  <c r="Y260" i="79" s="1"/>
  <c r="X260" i="101"/>
  <c r="W260" i="101"/>
  <c r="V260" i="101"/>
  <c r="U260" i="101"/>
  <c r="T260" i="101"/>
  <c r="T260" i="79" s="1"/>
  <c r="S260" i="101"/>
  <c r="S260" i="79" s="1"/>
  <c r="R260" i="101"/>
  <c r="R260" i="79" s="1"/>
  <c r="Q260" i="101"/>
  <c r="Q260" i="79" s="1"/>
  <c r="P260" i="101"/>
  <c r="P260" i="79" s="1"/>
  <c r="O260" i="101"/>
  <c r="O260" i="79" s="1"/>
  <c r="N260" i="101"/>
  <c r="N260" i="79" s="1"/>
  <c r="M260" i="101"/>
  <c r="L260" i="101"/>
  <c r="L260" i="79" s="1"/>
  <c r="K260" i="101"/>
  <c r="J260" i="101"/>
  <c r="I260" i="101"/>
  <c r="I260" i="79" s="1"/>
  <c r="H260" i="101"/>
  <c r="H260" i="79" s="1"/>
  <c r="G260" i="101"/>
  <c r="F260" i="101"/>
  <c r="E260" i="101"/>
  <c r="D260" i="101"/>
  <c r="D260" i="79" s="1"/>
  <c r="C260" i="101"/>
  <c r="C260" i="79" s="1"/>
  <c r="Z259" i="101"/>
  <c r="Y259" i="101"/>
  <c r="X259" i="101"/>
  <c r="X259" i="79" s="1"/>
  <c r="W259" i="101"/>
  <c r="W259" i="79" s="1"/>
  <c r="V259" i="101"/>
  <c r="V259" i="79" s="1"/>
  <c r="U259" i="101"/>
  <c r="U259" i="79" s="1"/>
  <c r="T259" i="101"/>
  <c r="T259" i="79" s="1"/>
  <c r="S259" i="101"/>
  <c r="S259" i="79" s="1"/>
  <c r="R259" i="101"/>
  <c r="Q259" i="101"/>
  <c r="P259" i="101"/>
  <c r="P259" i="79" s="1"/>
  <c r="O259" i="101"/>
  <c r="O259" i="79" s="1"/>
  <c r="N259" i="101"/>
  <c r="N259" i="79" s="1"/>
  <c r="M259" i="101"/>
  <c r="M259" i="79" s="1"/>
  <c r="L259" i="101"/>
  <c r="L259" i="79" s="1"/>
  <c r="K259" i="101"/>
  <c r="K259" i="79" s="1"/>
  <c r="J259" i="101"/>
  <c r="I259" i="101"/>
  <c r="H259" i="101"/>
  <c r="G259" i="101"/>
  <c r="F259" i="101"/>
  <c r="E259" i="101"/>
  <c r="E259" i="79" s="1"/>
  <c r="D259" i="101"/>
  <c r="C259" i="101"/>
  <c r="Z257" i="101"/>
  <c r="Z257" i="79" s="1"/>
  <c r="Y257" i="101"/>
  <c r="Y257" i="79" s="1"/>
  <c r="X257" i="101"/>
  <c r="X257" i="79" s="1"/>
  <c r="W257" i="101"/>
  <c r="W257" i="79" s="1"/>
  <c r="V257" i="101"/>
  <c r="U257" i="101"/>
  <c r="U257" i="79" s="1"/>
  <c r="T257" i="101"/>
  <c r="T257" i="79" s="1"/>
  <c r="S257" i="101"/>
  <c r="S257" i="79" s="1"/>
  <c r="R257" i="101"/>
  <c r="R257" i="79" s="1"/>
  <c r="Q257" i="101"/>
  <c r="Q257" i="79" s="1"/>
  <c r="P257" i="101"/>
  <c r="P257" i="79" s="1"/>
  <c r="O257" i="101"/>
  <c r="O257" i="79" s="1"/>
  <c r="N257" i="101"/>
  <c r="N257" i="79" s="1"/>
  <c r="M257" i="101"/>
  <c r="M257" i="79" s="1"/>
  <c r="L257" i="101"/>
  <c r="K257" i="101"/>
  <c r="J257" i="101"/>
  <c r="J257" i="79" s="1"/>
  <c r="I257" i="101"/>
  <c r="I257" i="79" s="1"/>
  <c r="H257" i="101"/>
  <c r="H257" i="79" s="1"/>
  <c r="G257" i="101"/>
  <c r="G257" i="79" s="1"/>
  <c r="F257" i="101"/>
  <c r="E257" i="101"/>
  <c r="E257" i="79" s="1"/>
  <c r="D257" i="101"/>
  <c r="C257" i="101"/>
  <c r="Z256" i="101"/>
  <c r="Y256" i="101"/>
  <c r="X256" i="101"/>
  <c r="W256" i="101"/>
  <c r="W256" i="79" s="1"/>
  <c r="V256" i="101"/>
  <c r="V256" i="79" s="1"/>
  <c r="U256" i="101"/>
  <c r="U256" i="79" s="1"/>
  <c r="T256" i="101"/>
  <c r="T256" i="79" s="1"/>
  <c r="S256" i="101"/>
  <c r="S256" i="79" s="1"/>
  <c r="R256" i="101"/>
  <c r="R256" i="79" s="1"/>
  <c r="Q256" i="101"/>
  <c r="P256" i="101"/>
  <c r="P256" i="79" s="1"/>
  <c r="O256" i="101"/>
  <c r="O256" i="79" s="1"/>
  <c r="N256" i="101"/>
  <c r="M256" i="101"/>
  <c r="M256" i="79" s="1"/>
  <c r="L256" i="101"/>
  <c r="L256" i="79" s="1"/>
  <c r="K256" i="101"/>
  <c r="J256" i="101"/>
  <c r="I256" i="101"/>
  <c r="I256" i="79" s="1"/>
  <c r="H256" i="101"/>
  <c r="G256" i="101"/>
  <c r="G256" i="79" s="1"/>
  <c r="F256" i="101"/>
  <c r="F256" i="79" s="1"/>
  <c r="E256" i="101"/>
  <c r="E256" i="79" s="1"/>
  <c r="D256" i="101"/>
  <c r="C256" i="101"/>
  <c r="Z255" i="101"/>
  <c r="Z255" i="79" s="1"/>
  <c r="Y255" i="101"/>
  <c r="Y255" i="79" s="1"/>
  <c r="X255" i="101"/>
  <c r="X255" i="79" s="1"/>
  <c r="W255" i="101"/>
  <c r="W255" i="79" s="1"/>
  <c r="V255" i="101"/>
  <c r="V255" i="79" s="1"/>
  <c r="U255" i="101"/>
  <c r="U255" i="79" s="1"/>
  <c r="T255" i="101"/>
  <c r="T255" i="79" s="1"/>
  <c r="S255" i="101"/>
  <c r="R255" i="101"/>
  <c r="R255" i="79" s="1"/>
  <c r="Q255" i="101"/>
  <c r="Q255" i="79" s="1"/>
  <c r="P255" i="101"/>
  <c r="P255" i="79" s="1"/>
  <c r="O255" i="101"/>
  <c r="N255" i="101"/>
  <c r="M255" i="101"/>
  <c r="M255" i="79" s="1"/>
  <c r="L255" i="101"/>
  <c r="L255" i="79" s="1"/>
  <c r="K255" i="101"/>
  <c r="K255" i="79" s="1"/>
  <c r="J255" i="101"/>
  <c r="I255" i="101"/>
  <c r="H255" i="101"/>
  <c r="H255" i="79" s="1"/>
  <c r="G255" i="101"/>
  <c r="G255" i="79" s="1"/>
  <c r="F255" i="101"/>
  <c r="F255" i="79" s="1"/>
  <c r="E255" i="101"/>
  <c r="E255" i="79" s="1"/>
  <c r="D255" i="101"/>
  <c r="D255" i="79" s="1"/>
  <c r="C255" i="101"/>
  <c r="Z254" i="101"/>
  <c r="Y254" i="101"/>
  <c r="X254" i="101"/>
  <c r="X254" i="79" s="1"/>
  <c r="W254" i="101"/>
  <c r="W254" i="79" s="1"/>
  <c r="V254" i="101"/>
  <c r="V254" i="79" s="1"/>
  <c r="U254" i="101"/>
  <c r="U254" i="79" s="1"/>
  <c r="T254" i="101"/>
  <c r="T254" i="79" s="1"/>
  <c r="S254" i="101"/>
  <c r="R254" i="101"/>
  <c r="Q254" i="101"/>
  <c r="P254" i="101"/>
  <c r="O254" i="101"/>
  <c r="N254" i="101"/>
  <c r="M254" i="101"/>
  <c r="M254" i="79" s="1"/>
  <c r="L254" i="101"/>
  <c r="L254" i="79" s="1"/>
  <c r="K254" i="101"/>
  <c r="J254" i="101"/>
  <c r="I254" i="101"/>
  <c r="H254" i="101"/>
  <c r="H254" i="79" s="1"/>
  <c r="G254" i="101"/>
  <c r="G254" i="79" s="1"/>
  <c r="F254" i="101"/>
  <c r="F254" i="79" s="1"/>
  <c r="E254" i="101"/>
  <c r="E254" i="79" s="1"/>
  <c r="D254" i="101"/>
  <c r="C254" i="101"/>
  <c r="Z253" i="101"/>
  <c r="Y253" i="101"/>
  <c r="X253" i="101"/>
  <c r="W253" i="101"/>
  <c r="W253" i="79" s="1"/>
  <c r="V253" i="101"/>
  <c r="U253" i="101"/>
  <c r="U253" i="79" s="1"/>
  <c r="T253" i="101"/>
  <c r="S253" i="101"/>
  <c r="R253" i="101"/>
  <c r="Q253" i="101"/>
  <c r="P253" i="101"/>
  <c r="P253" i="79" s="1"/>
  <c r="O253" i="101"/>
  <c r="O253" i="79" s="1"/>
  <c r="N253" i="101"/>
  <c r="N253" i="79" s="1"/>
  <c r="M253" i="101"/>
  <c r="M253" i="79" s="1"/>
  <c r="L253" i="101"/>
  <c r="L253" i="79" s="1"/>
  <c r="K253" i="101"/>
  <c r="J253" i="101"/>
  <c r="I253" i="101"/>
  <c r="H253" i="101"/>
  <c r="G253" i="101"/>
  <c r="F253" i="101"/>
  <c r="E253" i="101"/>
  <c r="D253" i="101"/>
  <c r="C253" i="101"/>
  <c r="C253" i="79" s="1"/>
  <c r="Z252" i="101"/>
  <c r="Y252" i="101"/>
  <c r="Y252" i="79" s="1"/>
  <c r="X252" i="101"/>
  <c r="X252" i="79" s="1"/>
  <c r="W252" i="101"/>
  <c r="V252" i="101"/>
  <c r="U252" i="101"/>
  <c r="T252" i="101"/>
  <c r="S252" i="101"/>
  <c r="R252" i="101"/>
  <c r="Q252" i="101"/>
  <c r="P252" i="101"/>
  <c r="P252" i="79" s="1"/>
  <c r="O252" i="101"/>
  <c r="N252" i="101"/>
  <c r="N252" i="79" s="1"/>
  <c r="M252" i="101"/>
  <c r="M252" i="79" s="1"/>
  <c r="L252" i="101"/>
  <c r="L252" i="79" s="1"/>
  <c r="K252" i="101"/>
  <c r="K252" i="79" s="1"/>
  <c r="J252" i="101"/>
  <c r="J252" i="79" s="1"/>
  <c r="I252" i="101"/>
  <c r="H252" i="101"/>
  <c r="G252" i="101"/>
  <c r="F252" i="101"/>
  <c r="E252" i="101"/>
  <c r="D252" i="101"/>
  <c r="C252" i="101"/>
  <c r="Z251" i="101"/>
  <c r="Y251" i="101"/>
  <c r="X251" i="101"/>
  <c r="X251" i="79" s="1"/>
  <c r="W251" i="101"/>
  <c r="W251" i="79" s="1"/>
  <c r="V251" i="101"/>
  <c r="V251" i="79" s="1"/>
  <c r="U251" i="101"/>
  <c r="U251" i="79" s="1"/>
  <c r="T251" i="101"/>
  <c r="T251" i="79" s="1"/>
  <c r="S251" i="101"/>
  <c r="S251" i="79" s="1"/>
  <c r="R251" i="101"/>
  <c r="Q251" i="101"/>
  <c r="Q251" i="79" s="1"/>
  <c r="P251" i="101"/>
  <c r="P251" i="79" s="1"/>
  <c r="O251" i="101"/>
  <c r="O251" i="79" s="1"/>
  <c r="N251" i="101"/>
  <c r="M251" i="101"/>
  <c r="L251" i="101"/>
  <c r="L251" i="79" s="1"/>
  <c r="K251" i="101"/>
  <c r="J251" i="101"/>
  <c r="I251" i="101"/>
  <c r="H251" i="101"/>
  <c r="G251" i="101"/>
  <c r="F251" i="101"/>
  <c r="E251" i="101"/>
  <c r="E251" i="79" s="1"/>
  <c r="D251" i="101"/>
  <c r="C251" i="101"/>
  <c r="Z250" i="101"/>
  <c r="Z250" i="79" s="1"/>
  <c r="Y250" i="101"/>
  <c r="Y250" i="79" s="1"/>
  <c r="X250" i="101"/>
  <c r="X250" i="79" s="1"/>
  <c r="W250" i="101"/>
  <c r="W250" i="79" s="1"/>
  <c r="V250" i="101"/>
  <c r="V250" i="79" s="1"/>
  <c r="U250" i="101"/>
  <c r="T250" i="101"/>
  <c r="S250" i="101"/>
  <c r="S250" i="79" s="1"/>
  <c r="R250" i="101"/>
  <c r="R250" i="79" s="1"/>
  <c r="Q250" i="101"/>
  <c r="Q250" i="79" s="1"/>
  <c r="P250" i="101"/>
  <c r="P250" i="79" s="1"/>
  <c r="O250" i="101"/>
  <c r="O250" i="79" s="1"/>
  <c r="N250" i="101"/>
  <c r="M250" i="101"/>
  <c r="L250" i="101"/>
  <c r="K250" i="101"/>
  <c r="J250" i="101"/>
  <c r="I250" i="101"/>
  <c r="I250" i="79" s="1"/>
  <c r="H250" i="101"/>
  <c r="H250" i="79" s="1"/>
  <c r="G250" i="101"/>
  <c r="G250" i="79" s="1"/>
  <c r="F250" i="101"/>
  <c r="AE250" i="101" s="1"/>
  <c r="E250" i="101"/>
  <c r="D250" i="101"/>
  <c r="C250" i="101"/>
  <c r="Z249" i="101"/>
  <c r="Y249" i="101"/>
  <c r="X249" i="101"/>
  <c r="W249" i="101"/>
  <c r="V249" i="101"/>
  <c r="V249" i="79" s="1"/>
  <c r="U249" i="101"/>
  <c r="T249" i="101"/>
  <c r="S249" i="101"/>
  <c r="R249" i="101"/>
  <c r="Q249" i="101"/>
  <c r="Q249" i="79" s="1"/>
  <c r="P249" i="101"/>
  <c r="P249" i="79" s="1"/>
  <c r="O249" i="101"/>
  <c r="O249" i="79" s="1"/>
  <c r="N249" i="101"/>
  <c r="M249" i="101"/>
  <c r="L249" i="101"/>
  <c r="L249" i="79" s="1"/>
  <c r="K249" i="101"/>
  <c r="J249" i="101"/>
  <c r="I249" i="101"/>
  <c r="H249" i="101"/>
  <c r="G249" i="101"/>
  <c r="F249" i="101"/>
  <c r="E249" i="101"/>
  <c r="D249" i="101"/>
  <c r="C249" i="101"/>
  <c r="Z248" i="101"/>
  <c r="Z248" i="79" s="1"/>
  <c r="Y248" i="101"/>
  <c r="Y248" i="79" s="1"/>
  <c r="X248" i="101"/>
  <c r="X248" i="79" s="1"/>
  <c r="W248" i="101"/>
  <c r="W248" i="79" s="1"/>
  <c r="V248" i="101"/>
  <c r="V248" i="79" s="1"/>
  <c r="U248" i="101"/>
  <c r="U248" i="79" s="1"/>
  <c r="T248" i="101"/>
  <c r="T248" i="79" s="1"/>
  <c r="S248" i="101"/>
  <c r="R248" i="101"/>
  <c r="R248" i="79" s="1"/>
  <c r="Q248" i="101"/>
  <c r="Q248" i="79" s="1"/>
  <c r="P248" i="101"/>
  <c r="P248" i="79" s="1"/>
  <c r="O248" i="101"/>
  <c r="O248" i="79" s="1"/>
  <c r="N248" i="101"/>
  <c r="M248" i="101"/>
  <c r="L248" i="101"/>
  <c r="K248" i="101"/>
  <c r="K248" i="79" s="1"/>
  <c r="J248" i="101"/>
  <c r="I248" i="101"/>
  <c r="H248" i="101"/>
  <c r="G248" i="101"/>
  <c r="AA248" i="101" s="1"/>
  <c r="F248" i="101"/>
  <c r="E248" i="101"/>
  <c r="E248" i="79" s="1"/>
  <c r="D248" i="101"/>
  <c r="C248" i="101"/>
  <c r="Z247" i="101"/>
  <c r="Z247" i="79" s="1"/>
  <c r="Y247" i="101"/>
  <c r="Y247" i="79" s="1"/>
  <c r="X247" i="101"/>
  <c r="W247" i="101"/>
  <c r="V247" i="101"/>
  <c r="U247" i="101"/>
  <c r="T247" i="101"/>
  <c r="S247" i="101"/>
  <c r="S247" i="79" s="1"/>
  <c r="R247" i="101"/>
  <c r="R247" i="79" s="1"/>
  <c r="Q247" i="101"/>
  <c r="P247" i="101"/>
  <c r="O247" i="101"/>
  <c r="N247" i="101"/>
  <c r="M247" i="101"/>
  <c r="L247" i="101"/>
  <c r="K247" i="101"/>
  <c r="J247" i="101"/>
  <c r="I247" i="101"/>
  <c r="I247" i="79" s="1"/>
  <c r="H247" i="101"/>
  <c r="H247" i="79" s="1"/>
  <c r="G247" i="101"/>
  <c r="F247" i="101"/>
  <c r="E247" i="101"/>
  <c r="D247" i="101"/>
  <c r="C247" i="101"/>
  <c r="C247" i="79" s="1"/>
  <c r="Z246" i="101"/>
  <c r="Z246" i="79" s="1"/>
  <c r="Y246" i="101"/>
  <c r="Y246" i="79" s="1"/>
  <c r="X246" i="101"/>
  <c r="X246" i="79" s="1"/>
  <c r="W246" i="101"/>
  <c r="W246" i="79" s="1"/>
  <c r="V246" i="101"/>
  <c r="V246" i="79" s="1"/>
  <c r="U246" i="101"/>
  <c r="T246" i="101"/>
  <c r="S246" i="101"/>
  <c r="R246" i="101"/>
  <c r="Q246" i="101"/>
  <c r="P246" i="101"/>
  <c r="P246" i="79" s="1"/>
  <c r="O246" i="101"/>
  <c r="O246" i="79" s="1"/>
  <c r="N246" i="101"/>
  <c r="M246" i="101"/>
  <c r="L246" i="101"/>
  <c r="K246" i="101"/>
  <c r="J246" i="101"/>
  <c r="J246" i="79" s="1"/>
  <c r="I246" i="101"/>
  <c r="I246" i="79" s="1"/>
  <c r="H246" i="101"/>
  <c r="G246" i="101"/>
  <c r="F246" i="101"/>
  <c r="E246" i="101"/>
  <c r="D246" i="101"/>
  <c r="C246" i="101"/>
  <c r="Z245" i="101"/>
  <c r="Z245" i="79" s="1"/>
  <c r="Y245" i="101"/>
  <c r="Y245" i="79" s="1"/>
  <c r="X245" i="101"/>
  <c r="W245" i="101"/>
  <c r="W245" i="79" s="1"/>
  <c r="V245" i="101"/>
  <c r="U245" i="101"/>
  <c r="T245" i="101"/>
  <c r="S245" i="101"/>
  <c r="S245" i="79" s="1"/>
  <c r="R245" i="101"/>
  <c r="Q245" i="101"/>
  <c r="P245" i="101"/>
  <c r="O245" i="101"/>
  <c r="N245" i="101"/>
  <c r="N245" i="79" s="1"/>
  <c r="M245" i="101"/>
  <c r="L245" i="101"/>
  <c r="K245" i="101"/>
  <c r="J245" i="101"/>
  <c r="I245" i="101"/>
  <c r="H245" i="101"/>
  <c r="G245" i="101"/>
  <c r="G245" i="79" s="1"/>
  <c r="F245" i="101"/>
  <c r="E245" i="101"/>
  <c r="D245" i="101"/>
  <c r="C245" i="101"/>
  <c r="C245" i="79" s="1"/>
  <c r="Z244" i="101"/>
  <c r="Z244" i="79" s="1"/>
  <c r="Y244" i="101"/>
  <c r="Y244" i="79" s="1"/>
  <c r="X244" i="101"/>
  <c r="X244" i="79" s="1"/>
  <c r="W244" i="101"/>
  <c r="W244" i="79" s="1"/>
  <c r="V244" i="101"/>
  <c r="U244" i="101"/>
  <c r="U244" i="79" s="1"/>
  <c r="T244" i="101"/>
  <c r="T244" i="79" s="1"/>
  <c r="S244" i="101"/>
  <c r="R244" i="101"/>
  <c r="R244" i="79" s="1"/>
  <c r="Q244" i="101"/>
  <c r="Q244" i="79" s="1"/>
  <c r="P244" i="101"/>
  <c r="O244" i="101"/>
  <c r="N244" i="101"/>
  <c r="M244" i="101"/>
  <c r="L244" i="101"/>
  <c r="K244" i="101"/>
  <c r="K244" i="79" s="1"/>
  <c r="J244" i="101"/>
  <c r="J244" i="79" s="1"/>
  <c r="I244" i="101"/>
  <c r="I244" i="79" s="1"/>
  <c r="H244" i="101"/>
  <c r="H244" i="79" s="1"/>
  <c r="G244" i="101"/>
  <c r="F244" i="101"/>
  <c r="E244" i="101"/>
  <c r="D244" i="101"/>
  <c r="C244" i="101"/>
  <c r="Z243" i="101"/>
  <c r="Y243" i="101"/>
  <c r="X243" i="101"/>
  <c r="X243" i="79" s="1"/>
  <c r="W243" i="101"/>
  <c r="W243" i="79" s="1"/>
  <c r="V243" i="101"/>
  <c r="U243" i="101"/>
  <c r="T243" i="101"/>
  <c r="S243" i="101"/>
  <c r="R243" i="101"/>
  <c r="Q243" i="101"/>
  <c r="Q243" i="79" s="1"/>
  <c r="P243" i="101"/>
  <c r="O243" i="101"/>
  <c r="N243" i="101"/>
  <c r="N243" i="79" s="1"/>
  <c r="M243" i="101"/>
  <c r="L243" i="101"/>
  <c r="K243" i="101"/>
  <c r="J243" i="101"/>
  <c r="I243" i="101"/>
  <c r="H243" i="101"/>
  <c r="G243" i="101"/>
  <c r="G243" i="79" s="1"/>
  <c r="F243" i="101"/>
  <c r="E243" i="101"/>
  <c r="D243" i="101"/>
  <c r="C243" i="101"/>
  <c r="Z242" i="101"/>
  <c r="Y242" i="101"/>
  <c r="Y242" i="79" s="1"/>
  <c r="X242" i="101"/>
  <c r="X242" i="79" s="1"/>
  <c r="W242" i="101"/>
  <c r="W242" i="79" s="1"/>
  <c r="V242" i="101"/>
  <c r="U242" i="101"/>
  <c r="T242" i="101"/>
  <c r="S242" i="101"/>
  <c r="R242" i="101"/>
  <c r="Q242" i="101"/>
  <c r="Q242" i="79" s="1"/>
  <c r="P242" i="101"/>
  <c r="P242" i="79" s="1"/>
  <c r="O242" i="101"/>
  <c r="N242" i="101"/>
  <c r="M242" i="101"/>
  <c r="L242" i="101"/>
  <c r="K242" i="101"/>
  <c r="K242" i="79" s="1"/>
  <c r="J242" i="101"/>
  <c r="J242" i="79" s="1"/>
  <c r="I242" i="101"/>
  <c r="I242" i="79" s="1"/>
  <c r="H242" i="101"/>
  <c r="G242" i="101"/>
  <c r="F242" i="101"/>
  <c r="E242" i="101"/>
  <c r="D242" i="101"/>
  <c r="C242" i="101"/>
  <c r="Z241" i="101"/>
  <c r="Z241" i="79" s="1"/>
  <c r="Y241" i="101"/>
  <c r="Y241" i="79" s="1"/>
  <c r="X241" i="101"/>
  <c r="W241" i="101"/>
  <c r="V241" i="101"/>
  <c r="U241" i="101"/>
  <c r="U241" i="79" s="1"/>
  <c r="T241" i="101"/>
  <c r="T241" i="79" s="1"/>
  <c r="S241" i="101"/>
  <c r="S241" i="79" s="1"/>
  <c r="R241" i="101"/>
  <c r="R241" i="79" s="1"/>
  <c r="Q241" i="101"/>
  <c r="Q241" i="79" s="1"/>
  <c r="P241" i="101"/>
  <c r="O241" i="101"/>
  <c r="N241" i="101"/>
  <c r="M241" i="101"/>
  <c r="M241" i="79" s="1"/>
  <c r="L241" i="101"/>
  <c r="L241" i="79" s="1"/>
  <c r="K241" i="101"/>
  <c r="K241" i="79" s="1"/>
  <c r="J241" i="101"/>
  <c r="J241" i="79" s="1"/>
  <c r="I241" i="101"/>
  <c r="I241" i="79" s="1"/>
  <c r="H241" i="101"/>
  <c r="G241" i="101"/>
  <c r="G241" i="79" s="1"/>
  <c r="F241" i="101"/>
  <c r="E241" i="101"/>
  <c r="E241" i="79" s="1"/>
  <c r="D241" i="101"/>
  <c r="C241" i="101"/>
  <c r="Z240" i="101"/>
  <c r="Y240" i="101"/>
  <c r="Y240" i="79" s="1"/>
  <c r="X240" i="101"/>
  <c r="W240" i="101"/>
  <c r="W240" i="79" s="1"/>
  <c r="V240" i="101"/>
  <c r="V240" i="79" s="1"/>
  <c r="U240" i="101"/>
  <c r="U240" i="79" s="1"/>
  <c r="T240" i="101"/>
  <c r="T240" i="79" s="1"/>
  <c r="S240" i="101"/>
  <c r="S240" i="79" s="1"/>
  <c r="R240" i="101"/>
  <c r="R240" i="79" s="1"/>
  <c r="Q240" i="101"/>
  <c r="P240" i="101"/>
  <c r="P240" i="79" s="1"/>
  <c r="O240" i="101"/>
  <c r="O240" i="79" s="1"/>
  <c r="N240" i="101"/>
  <c r="M240" i="101"/>
  <c r="M240" i="79" s="1"/>
  <c r="L240" i="101"/>
  <c r="L240" i="79" s="1"/>
  <c r="K240" i="101"/>
  <c r="J240" i="101"/>
  <c r="I240" i="101"/>
  <c r="H240" i="101"/>
  <c r="G240" i="101"/>
  <c r="G240" i="79" s="1"/>
  <c r="F240" i="101"/>
  <c r="F240" i="79" s="1"/>
  <c r="E240" i="101"/>
  <c r="D240" i="101"/>
  <c r="D240" i="79" s="1"/>
  <c r="C240" i="101"/>
  <c r="C240" i="79" s="1"/>
  <c r="Z239" i="101"/>
  <c r="Y239" i="101"/>
  <c r="Y239" i="79" s="1"/>
  <c r="X239" i="101"/>
  <c r="X239" i="79" s="1"/>
  <c r="W239" i="101"/>
  <c r="V239" i="101"/>
  <c r="U239" i="101"/>
  <c r="U239" i="79" s="1"/>
  <c r="T239" i="101"/>
  <c r="S239" i="101"/>
  <c r="S239" i="79" s="1"/>
  <c r="R239" i="101"/>
  <c r="R239" i="79" s="1"/>
  <c r="Q239" i="101"/>
  <c r="Q239" i="79" s="1"/>
  <c r="P239" i="101"/>
  <c r="P239" i="79" s="1"/>
  <c r="O239" i="101"/>
  <c r="N239" i="101"/>
  <c r="M239" i="101"/>
  <c r="L239" i="101"/>
  <c r="K239" i="101"/>
  <c r="J239" i="101"/>
  <c r="J239" i="79" s="1"/>
  <c r="I239" i="101"/>
  <c r="H239" i="101"/>
  <c r="G239" i="101"/>
  <c r="F239" i="101"/>
  <c r="E239" i="101"/>
  <c r="E239" i="79" s="1"/>
  <c r="D239" i="101"/>
  <c r="D239" i="79" s="1"/>
  <c r="C239" i="101"/>
  <c r="C239" i="79" s="1"/>
  <c r="Z238" i="101"/>
  <c r="Z238" i="79" s="1"/>
  <c r="Y238" i="101"/>
  <c r="Y238" i="79" s="1"/>
  <c r="X238" i="101"/>
  <c r="W238" i="101"/>
  <c r="V238" i="101"/>
  <c r="V238" i="79" s="1"/>
  <c r="U238" i="101"/>
  <c r="U238" i="79" s="1"/>
  <c r="T238" i="101"/>
  <c r="T238" i="79" s="1"/>
  <c r="S238" i="101"/>
  <c r="S238" i="79" s="1"/>
  <c r="R238" i="101"/>
  <c r="Q238" i="101"/>
  <c r="P238" i="101"/>
  <c r="O238" i="101"/>
  <c r="O238" i="79" s="1"/>
  <c r="N238" i="101"/>
  <c r="N238" i="79" s="1"/>
  <c r="M238" i="101"/>
  <c r="M238" i="79" s="1"/>
  <c r="L238" i="101"/>
  <c r="K238" i="101"/>
  <c r="J238" i="101"/>
  <c r="I238" i="101"/>
  <c r="I238" i="79" s="1"/>
  <c r="H238" i="101"/>
  <c r="G238" i="101"/>
  <c r="F238" i="101"/>
  <c r="F238" i="79" s="1"/>
  <c r="E238" i="101"/>
  <c r="E238" i="79" s="1"/>
  <c r="D238" i="101"/>
  <c r="C238" i="101"/>
  <c r="Z237" i="101"/>
  <c r="Y237" i="101"/>
  <c r="Y237" i="79" s="1"/>
  <c r="X237" i="101"/>
  <c r="X237" i="79" s="1"/>
  <c r="W237" i="101"/>
  <c r="V237" i="101"/>
  <c r="U237" i="101"/>
  <c r="U237" i="79" s="1"/>
  <c r="T237" i="101"/>
  <c r="T237" i="79" s="1"/>
  <c r="S237" i="101"/>
  <c r="S237" i="79" s="1"/>
  <c r="R237" i="101"/>
  <c r="R237" i="79" s="1"/>
  <c r="Q237" i="101"/>
  <c r="Q237" i="79" s="1"/>
  <c r="P237" i="101"/>
  <c r="O237" i="101"/>
  <c r="N237" i="101"/>
  <c r="N237" i="79" s="1"/>
  <c r="M237" i="101"/>
  <c r="L237" i="101"/>
  <c r="K237" i="101"/>
  <c r="J237" i="101"/>
  <c r="I237" i="101"/>
  <c r="H237" i="101"/>
  <c r="H237" i="79" s="1"/>
  <c r="G237" i="101"/>
  <c r="F237" i="101"/>
  <c r="E237" i="101"/>
  <c r="E237" i="79" s="1"/>
  <c r="D237" i="101"/>
  <c r="C237" i="101"/>
  <c r="Z236" i="101"/>
  <c r="Z236" i="79" s="1"/>
  <c r="Y236" i="101"/>
  <c r="X236" i="101"/>
  <c r="W236" i="101"/>
  <c r="V236" i="101"/>
  <c r="U236" i="101"/>
  <c r="U236" i="79" s="1"/>
  <c r="T236" i="101"/>
  <c r="T236" i="79" s="1"/>
  <c r="S236" i="101"/>
  <c r="S236" i="79" s="1"/>
  <c r="R236" i="101"/>
  <c r="Q236" i="101"/>
  <c r="Q236" i="79" s="1"/>
  <c r="P236" i="101"/>
  <c r="P236" i="79" s="1"/>
  <c r="O236" i="101"/>
  <c r="N236" i="101"/>
  <c r="N236" i="79" s="1"/>
  <c r="M236" i="101"/>
  <c r="M236" i="79" s="1"/>
  <c r="L236" i="101"/>
  <c r="K236" i="101"/>
  <c r="AD236" i="101" s="1"/>
  <c r="J236" i="101"/>
  <c r="J236" i="79" s="1"/>
  <c r="I236" i="101"/>
  <c r="H236" i="101"/>
  <c r="G236" i="101"/>
  <c r="F236" i="101"/>
  <c r="E236" i="101"/>
  <c r="D236" i="101"/>
  <c r="C236" i="101"/>
  <c r="Z235" i="101"/>
  <c r="Z235" i="79" s="1"/>
  <c r="Y235" i="101"/>
  <c r="Y235" i="79" s="1"/>
  <c r="X235" i="101"/>
  <c r="W235" i="101"/>
  <c r="V235" i="101"/>
  <c r="V235" i="79" s="1"/>
  <c r="U235" i="101"/>
  <c r="U235" i="79" s="1"/>
  <c r="T235" i="101"/>
  <c r="T235" i="79" s="1"/>
  <c r="S235" i="101"/>
  <c r="S235" i="79" s="1"/>
  <c r="R235" i="101"/>
  <c r="R235" i="79" s="1"/>
  <c r="Q235" i="101"/>
  <c r="P235" i="101"/>
  <c r="P235" i="79" s="1"/>
  <c r="O235" i="101"/>
  <c r="N235" i="101"/>
  <c r="M235" i="101"/>
  <c r="M235" i="79" s="1"/>
  <c r="L235" i="101"/>
  <c r="K235" i="101"/>
  <c r="J235" i="101"/>
  <c r="J235" i="79" s="1"/>
  <c r="I235" i="101"/>
  <c r="I235" i="79" s="1"/>
  <c r="H235" i="101"/>
  <c r="G235" i="101"/>
  <c r="F235" i="101"/>
  <c r="F235" i="79" s="1"/>
  <c r="E235" i="101"/>
  <c r="D235" i="101"/>
  <c r="C235" i="101"/>
  <c r="AB234" i="101"/>
  <c r="Z234" i="101"/>
  <c r="Z234" i="79" s="1"/>
  <c r="Y234" i="101"/>
  <c r="Y234" i="79" s="1"/>
  <c r="X234" i="101"/>
  <c r="X234" i="79" s="1"/>
  <c r="W234" i="101"/>
  <c r="W234" i="79" s="1"/>
  <c r="V234" i="101"/>
  <c r="V234" i="79" s="1"/>
  <c r="U234" i="101"/>
  <c r="U234" i="79" s="1"/>
  <c r="T234" i="101"/>
  <c r="T234" i="79" s="1"/>
  <c r="S234" i="101"/>
  <c r="S234" i="79" s="1"/>
  <c r="R234" i="101"/>
  <c r="R234" i="79" s="1"/>
  <c r="Q234" i="101"/>
  <c r="Q234" i="79" s="1"/>
  <c r="P234" i="101"/>
  <c r="O234" i="101"/>
  <c r="O234" i="79" s="1"/>
  <c r="N234" i="101"/>
  <c r="N234" i="79" s="1"/>
  <c r="M234" i="101"/>
  <c r="M234" i="79" s="1"/>
  <c r="L234" i="101"/>
  <c r="K234" i="101"/>
  <c r="K234" i="79" s="1"/>
  <c r="J234" i="101"/>
  <c r="I234" i="101"/>
  <c r="I234" i="79" s="1"/>
  <c r="H234" i="101"/>
  <c r="G234" i="101"/>
  <c r="G234" i="79" s="1"/>
  <c r="F234" i="101"/>
  <c r="F234" i="79" s="1"/>
  <c r="E234" i="101"/>
  <c r="D234" i="101"/>
  <c r="C234" i="101"/>
  <c r="Z233" i="101"/>
  <c r="Y233" i="101"/>
  <c r="X233" i="101"/>
  <c r="W233" i="101"/>
  <c r="W233" i="79" s="1"/>
  <c r="V233" i="101"/>
  <c r="V233" i="79" s="1"/>
  <c r="U233" i="101"/>
  <c r="U233" i="79" s="1"/>
  <c r="T233" i="101"/>
  <c r="T233" i="79" s="1"/>
  <c r="S233" i="101"/>
  <c r="S233" i="79" s="1"/>
  <c r="R233" i="101"/>
  <c r="R233" i="79" s="1"/>
  <c r="Q233" i="101"/>
  <c r="Q233" i="79" s="1"/>
  <c r="P233" i="101"/>
  <c r="O233" i="101"/>
  <c r="N233" i="101"/>
  <c r="M233" i="101"/>
  <c r="M233" i="79" s="1"/>
  <c r="L233" i="101"/>
  <c r="L233" i="79" s="1"/>
  <c r="K233" i="101"/>
  <c r="K233" i="79" s="1"/>
  <c r="J233" i="101"/>
  <c r="I233" i="101"/>
  <c r="H233" i="101"/>
  <c r="G233" i="101"/>
  <c r="G233" i="79" s="1"/>
  <c r="F233" i="101"/>
  <c r="F233" i="79" s="1"/>
  <c r="E233" i="101"/>
  <c r="E233" i="79" s="1"/>
  <c r="D233" i="101"/>
  <c r="C233" i="101"/>
  <c r="Z232" i="101"/>
  <c r="Y232" i="101"/>
  <c r="X232" i="101"/>
  <c r="W232" i="101"/>
  <c r="W232" i="79" s="1"/>
  <c r="V232" i="101"/>
  <c r="V232" i="79" s="1"/>
  <c r="U232" i="101"/>
  <c r="U232" i="79" s="1"/>
  <c r="T232" i="101"/>
  <c r="T232" i="79" s="1"/>
  <c r="S232" i="101"/>
  <c r="R232" i="101"/>
  <c r="Q232" i="101"/>
  <c r="Q232" i="79" s="1"/>
  <c r="P232" i="101"/>
  <c r="P232" i="79" s="1"/>
  <c r="O232" i="101"/>
  <c r="O232" i="79" s="1"/>
  <c r="N232" i="101"/>
  <c r="N232" i="79" s="1"/>
  <c r="M232" i="101"/>
  <c r="M232" i="79" s="1"/>
  <c r="L232" i="101"/>
  <c r="L232" i="79" s="1"/>
  <c r="K232" i="101"/>
  <c r="J232" i="101"/>
  <c r="I232" i="101"/>
  <c r="H232" i="101"/>
  <c r="G232" i="101"/>
  <c r="G232" i="79" s="1"/>
  <c r="F232" i="101"/>
  <c r="E232" i="101"/>
  <c r="D232" i="101"/>
  <c r="C232" i="101"/>
  <c r="Z231" i="101"/>
  <c r="Z231" i="79" s="1"/>
  <c r="Y231" i="101"/>
  <c r="X231" i="101"/>
  <c r="X231" i="79" s="1"/>
  <c r="W231" i="101"/>
  <c r="W231" i="79" s="1"/>
  <c r="V231" i="101"/>
  <c r="V231" i="79" s="1"/>
  <c r="U231" i="101"/>
  <c r="U231" i="79" s="1"/>
  <c r="T231" i="101"/>
  <c r="T231" i="79" s="1"/>
  <c r="S231" i="101"/>
  <c r="R231" i="101"/>
  <c r="Q231" i="101"/>
  <c r="P231" i="101"/>
  <c r="O231" i="101"/>
  <c r="O231" i="79" s="1"/>
  <c r="N231" i="101"/>
  <c r="M231" i="101"/>
  <c r="M231" i="79" s="1"/>
  <c r="L231" i="101"/>
  <c r="L231" i="79" s="1"/>
  <c r="K231" i="101"/>
  <c r="K231" i="79" s="1"/>
  <c r="J231" i="101"/>
  <c r="J231" i="79" s="1"/>
  <c r="I231" i="101"/>
  <c r="I231" i="79" s="1"/>
  <c r="H231" i="101"/>
  <c r="G231" i="101"/>
  <c r="AD231" i="101" s="1"/>
  <c r="F231" i="101"/>
  <c r="F231" i="79" s="1"/>
  <c r="E231" i="101"/>
  <c r="E231" i="79" s="1"/>
  <c r="D231" i="101"/>
  <c r="C231" i="101"/>
  <c r="Z230" i="101"/>
  <c r="Y230" i="101"/>
  <c r="X230" i="101"/>
  <c r="W230" i="101"/>
  <c r="W230" i="79" s="1"/>
  <c r="V230" i="101"/>
  <c r="V230" i="79" s="1"/>
  <c r="U230" i="101"/>
  <c r="T230" i="101"/>
  <c r="S230" i="101"/>
  <c r="S230" i="79" s="1"/>
  <c r="R230" i="101"/>
  <c r="R230" i="79" s="1"/>
  <c r="Q230" i="101"/>
  <c r="Q230" i="79" s="1"/>
  <c r="P230" i="101"/>
  <c r="P230" i="79" s="1"/>
  <c r="O230" i="101"/>
  <c r="O230" i="79" s="1"/>
  <c r="N230" i="101"/>
  <c r="N230" i="79" s="1"/>
  <c r="M230" i="101"/>
  <c r="M230" i="79" s="1"/>
  <c r="L230" i="101"/>
  <c r="L230" i="79" s="1"/>
  <c r="K230" i="101"/>
  <c r="J230" i="101"/>
  <c r="I230" i="101"/>
  <c r="H230" i="101"/>
  <c r="G230" i="101"/>
  <c r="G230" i="79" s="1"/>
  <c r="F230" i="101"/>
  <c r="F230" i="79" s="1"/>
  <c r="E230" i="101"/>
  <c r="D230" i="101"/>
  <c r="C230" i="101"/>
  <c r="Z229" i="101"/>
  <c r="Y229" i="101"/>
  <c r="X229" i="101"/>
  <c r="X229" i="79" s="1"/>
  <c r="W229" i="101"/>
  <c r="W229" i="79" s="1"/>
  <c r="V229" i="101"/>
  <c r="U229" i="101"/>
  <c r="T229" i="101"/>
  <c r="S229" i="101"/>
  <c r="R229" i="101"/>
  <c r="Q229" i="101"/>
  <c r="P229" i="101"/>
  <c r="P229" i="79" s="1"/>
  <c r="O229" i="101"/>
  <c r="O229" i="79" s="1"/>
  <c r="N229" i="101"/>
  <c r="N229" i="79" s="1"/>
  <c r="M229" i="101"/>
  <c r="M229" i="79" s="1"/>
  <c r="L229" i="101"/>
  <c r="L229" i="79" s="1"/>
  <c r="K229" i="101"/>
  <c r="K229" i="79" s="1"/>
  <c r="J229" i="101"/>
  <c r="I229" i="101"/>
  <c r="H229" i="101"/>
  <c r="H229" i="79" s="1"/>
  <c r="G229" i="101"/>
  <c r="G229" i="79" s="1"/>
  <c r="F229" i="101"/>
  <c r="F229" i="79" s="1"/>
  <c r="E229" i="101"/>
  <c r="E229" i="79" s="1"/>
  <c r="D229" i="101"/>
  <c r="C229" i="101"/>
  <c r="Z228" i="101"/>
  <c r="Y228" i="101"/>
  <c r="Y228" i="79" s="1"/>
  <c r="X228" i="101"/>
  <c r="X228" i="79" s="1"/>
  <c r="W228" i="101"/>
  <c r="W228" i="79" s="1"/>
  <c r="V228" i="101"/>
  <c r="U228" i="101"/>
  <c r="T228" i="101"/>
  <c r="S228" i="101"/>
  <c r="R228" i="101"/>
  <c r="Q228" i="101"/>
  <c r="P228" i="101"/>
  <c r="P228" i="79" s="1"/>
  <c r="O228" i="101"/>
  <c r="O228" i="79" s="1"/>
  <c r="N228" i="101"/>
  <c r="N228" i="79" s="1"/>
  <c r="M228" i="101"/>
  <c r="M228" i="79" s="1"/>
  <c r="L228" i="101"/>
  <c r="L228" i="79" s="1"/>
  <c r="K228" i="101"/>
  <c r="K228" i="79" s="1"/>
  <c r="J228" i="101"/>
  <c r="J228" i="79" s="1"/>
  <c r="I228" i="101"/>
  <c r="I228" i="79" s="1"/>
  <c r="H228" i="101"/>
  <c r="G228" i="101"/>
  <c r="G228" i="79" s="1"/>
  <c r="F228" i="101"/>
  <c r="F228" i="79" s="1"/>
  <c r="E228" i="101"/>
  <c r="E228" i="79" s="1"/>
  <c r="D228" i="101"/>
  <c r="C228" i="101"/>
  <c r="Z227" i="101"/>
  <c r="Y227" i="101"/>
  <c r="X227" i="101"/>
  <c r="X227" i="79" s="1"/>
  <c r="W227" i="101"/>
  <c r="W227" i="79" s="1"/>
  <c r="V227" i="101"/>
  <c r="U227" i="101"/>
  <c r="U227" i="79" s="1"/>
  <c r="T227" i="101"/>
  <c r="T227" i="79" s="1"/>
  <c r="S227" i="101"/>
  <c r="S227" i="79" s="1"/>
  <c r="R227" i="101"/>
  <c r="R227" i="79" s="1"/>
  <c r="Q227" i="101"/>
  <c r="Q227" i="79" s="1"/>
  <c r="P227" i="101"/>
  <c r="O227" i="101"/>
  <c r="O227" i="79" s="1"/>
  <c r="N227" i="101"/>
  <c r="M227" i="101"/>
  <c r="L227" i="101"/>
  <c r="K227" i="101"/>
  <c r="J227" i="101"/>
  <c r="I227" i="101"/>
  <c r="H227" i="101"/>
  <c r="H227" i="79" s="1"/>
  <c r="G227" i="101"/>
  <c r="G227" i="79" s="1"/>
  <c r="F227" i="101"/>
  <c r="F227" i="79" s="1"/>
  <c r="E227" i="101"/>
  <c r="E227" i="79" s="1"/>
  <c r="D227" i="101"/>
  <c r="C227" i="101"/>
  <c r="Z226" i="101"/>
  <c r="Y226" i="101"/>
  <c r="Y226" i="79" s="1"/>
  <c r="X226" i="101"/>
  <c r="W226" i="101"/>
  <c r="V226" i="101"/>
  <c r="U226" i="101"/>
  <c r="T226" i="101"/>
  <c r="S226" i="101"/>
  <c r="R226" i="101"/>
  <c r="Q226" i="101"/>
  <c r="P226" i="101"/>
  <c r="P226" i="79" s="1"/>
  <c r="O226" i="101"/>
  <c r="O226" i="79" s="1"/>
  <c r="N226" i="101"/>
  <c r="N226" i="79" s="1"/>
  <c r="M226" i="101"/>
  <c r="M226" i="79" s="1"/>
  <c r="L226" i="101"/>
  <c r="L226" i="79" s="1"/>
  <c r="K226" i="101"/>
  <c r="J226" i="101"/>
  <c r="I226" i="101"/>
  <c r="I226" i="79" s="1"/>
  <c r="H226" i="101"/>
  <c r="H226" i="79" s="1"/>
  <c r="G226" i="101"/>
  <c r="G226" i="79" s="1"/>
  <c r="F226" i="101"/>
  <c r="E226" i="101"/>
  <c r="D226" i="101"/>
  <c r="C226" i="101"/>
  <c r="Z225" i="101"/>
  <c r="Y225" i="101"/>
  <c r="X225" i="101"/>
  <c r="X225" i="79" s="1"/>
  <c r="W225" i="101"/>
  <c r="W225" i="79" s="1"/>
  <c r="V225" i="101"/>
  <c r="U225" i="101"/>
  <c r="T225" i="101"/>
  <c r="S225" i="101"/>
  <c r="R225" i="101"/>
  <c r="Q225" i="101"/>
  <c r="P225" i="101"/>
  <c r="P225" i="79" s="1"/>
  <c r="O225" i="101"/>
  <c r="O225" i="79" s="1"/>
  <c r="N225" i="101"/>
  <c r="N225" i="79" s="1"/>
  <c r="M225" i="101"/>
  <c r="L225" i="101"/>
  <c r="K225" i="101"/>
  <c r="J225" i="101"/>
  <c r="I225" i="101"/>
  <c r="H225" i="101"/>
  <c r="G225" i="101"/>
  <c r="AD225" i="101" s="1"/>
  <c r="F225" i="101"/>
  <c r="E225" i="101"/>
  <c r="D225" i="101"/>
  <c r="C225" i="101"/>
  <c r="Z224" i="101"/>
  <c r="Z224" i="79" s="1"/>
  <c r="Y224" i="101"/>
  <c r="Y224" i="79" s="1"/>
  <c r="X224" i="101"/>
  <c r="X224" i="79" s="1"/>
  <c r="W224" i="101"/>
  <c r="W224" i="79" s="1"/>
  <c r="V224" i="101"/>
  <c r="V224" i="79" s="1"/>
  <c r="U224" i="101"/>
  <c r="U224" i="79" s="1"/>
  <c r="T224" i="101"/>
  <c r="T224" i="79" s="1"/>
  <c r="S224" i="101"/>
  <c r="R224" i="101"/>
  <c r="R224" i="79" s="1"/>
  <c r="Q224" i="101"/>
  <c r="P224" i="101"/>
  <c r="P224" i="79" s="1"/>
  <c r="O224" i="101"/>
  <c r="O224" i="79" s="1"/>
  <c r="N224" i="101"/>
  <c r="N224" i="79" s="1"/>
  <c r="M224" i="101"/>
  <c r="M224" i="79" s="1"/>
  <c r="L224" i="101"/>
  <c r="L224" i="79" s="1"/>
  <c r="K224" i="101"/>
  <c r="J224" i="101"/>
  <c r="I224" i="101"/>
  <c r="H224" i="101"/>
  <c r="G224" i="101"/>
  <c r="G224" i="79" s="1"/>
  <c r="F224" i="101"/>
  <c r="E224" i="101"/>
  <c r="D224" i="101"/>
  <c r="C224" i="101"/>
  <c r="Z223" i="101"/>
  <c r="Y223" i="101"/>
  <c r="X223" i="101"/>
  <c r="X223" i="79" s="1"/>
  <c r="W223" i="101"/>
  <c r="W223" i="79" s="1"/>
  <c r="V223" i="101"/>
  <c r="V223" i="79" s="1"/>
  <c r="U223" i="101"/>
  <c r="U223" i="79" s="1"/>
  <c r="T223" i="101"/>
  <c r="T223" i="79" s="1"/>
  <c r="S223" i="101"/>
  <c r="S223" i="79" s="1"/>
  <c r="R223" i="101"/>
  <c r="R223" i="79" s="1"/>
  <c r="Q223" i="101"/>
  <c r="P223" i="101"/>
  <c r="P223" i="79" s="1"/>
  <c r="O223" i="101"/>
  <c r="O223" i="79" s="1"/>
  <c r="N223" i="101"/>
  <c r="M223" i="101"/>
  <c r="M223" i="79" s="1"/>
  <c r="L223" i="101"/>
  <c r="K223" i="101"/>
  <c r="J223" i="101"/>
  <c r="I223" i="101"/>
  <c r="H223" i="101"/>
  <c r="H223" i="79" s="1"/>
  <c r="G223" i="101"/>
  <c r="G223" i="79" s="1"/>
  <c r="F223" i="101"/>
  <c r="F223" i="79" s="1"/>
  <c r="E223" i="101"/>
  <c r="E223" i="79" s="1"/>
  <c r="D223" i="101"/>
  <c r="C223" i="101"/>
  <c r="Z222" i="101"/>
  <c r="Y222" i="101"/>
  <c r="X222" i="101"/>
  <c r="X222" i="79" s="1"/>
  <c r="W222" i="101"/>
  <c r="W222" i="79" s="1"/>
  <c r="V222" i="101"/>
  <c r="U222" i="101"/>
  <c r="T222" i="101"/>
  <c r="T222" i="79" s="1"/>
  <c r="S222" i="101"/>
  <c r="R222" i="101"/>
  <c r="Q222" i="101"/>
  <c r="P222" i="101"/>
  <c r="P222" i="79" s="1"/>
  <c r="O222" i="101"/>
  <c r="O222" i="79" s="1"/>
  <c r="N222" i="101"/>
  <c r="N222" i="79" s="1"/>
  <c r="M222" i="101"/>
  <c r="L222" i="101"/>
  <c r="K222" i="101"/>
  <c r="J222" i="101"/>
  <c r="I222" i="101"/>
  <c r="H222" i="101"/>
  <c r="H222" i="79" s="1"/>
  <c r="G222" i="101"/>
  <c r="G222" i="79" s="1"/>
  <c r="F222" i="101"/>
  <c r="E222" i="101"/>
  <c r="E222" i="79" s="1"/>
  <c r="D222" i="101"/>
  <c r="C222" i="101"/>
  <c r="Z221" i="101"/>
  <c r="Z221" i="79" s="1"/>
  <c r="Y221" i="101"/>
  <c r="X221" i="101"/>
  <c r="X221" i="79" s="1"/>
  <c r="W221" i="101"/>
  <c r="W221" i="79" s="1"/>
  <c r="V221" i="101"/>
  <c r="V221" i="79" s="1"/>
  <c r="U221" i="101"/>
  <c r="U221" i="79" s="1"/>
  <c r="T221" i="101"/>
  <c r="S221" i="101"/>
  <c r="R221" i="101"/>
  <c r="Q221" i="101"/>
  <c r="P221" i="101"/>
  <c r="P221" i="79" s="1"/>
  <c r="O221" i="101"/>
  <c r="O221" i="79" s="1"/>
  <c r="N221" i="101"/>
  <c r="M221" i="101"/>
  <c r="L221" i="101"/>
  <c r="L221" i="79" s="1"/>
  <c r="K221" i="101"/>
  <c r="J221" i="101"/>
  <c r="J221" i="79" s="1"/>
  <c r="I221" i="101"/>
  <c r="H221" i="101"/>
  <c r="H221" i="79" s="1"/>
  <c r="G221" i="101"/>
  <c r="G221" i="79" s="1"/>
  <c r="F221" i="101"/>
  <c r="E221" i="101"/>
  <c r="E221" i="79" s="1"/>
  <c r="D221" i="101"/>
  <c r="C221" i="101"/>
  <c r="Z220" i="101"/>
  <c r="Z220" i="79" s="1"/>
  <c r="Y220" i="101"/>
  <c r="X220" i="101"/>
  <c r="X220" i="79" s="1"/>
  <c r="W220" i="101"/>
  <c r="V220" i="101"/>
  <c r="U220" i="101"/>
  <c r="T220" i="101"/>
  <c r="S220" i="101"/>
  <c r="R220" i="101"/>
  <c r="Q220" i="101"/>
  <c r="Q220" i="79" s="1"/>
  <c r="P220" i="101"/>
  <c r="P220" i="79" s="1"/>
  <c r="O220" i="101"/>
  <c r="O220" i="79" s="1"/>
  <c r="N220" i="101"/>
  <c r="N220" i="79" s="1"/>
  <c r="M220" i="101"/>
  <c r="M220" i="79" s="1"/>
  <c r="L220" i="101"/>
  <c r="K220" i="101"/>
  <c r="J220" i="101"/>
  <c r="I220" i="101"/>
  <c r="H220" i="101"/>
  <c r="G220" i="101"/>
  <c r="G220" i="79" s="1"/>
  <c r="F220" i="101"/>
  <c r="E220" i="101"/>
  <c r="D220" i="101"/>
  <c r="D220" i="79" s="1"/>
  <c r="C220" i="101"/>
  <c r="Z219" i="101"/>
  <c r="Z219" i="79" s="1"/>
  <c r="Y219" i="101"/>
  <c r="Y219" i="79" s="1"/>
  <c r="X219" i="101"/>
  <c r="X219" i="79" s="1"/>
  <c r="W219" i="101"/>
  <c r="W219" i="79" s="1"/>
  <c r="V219" i="101"/>
  <c r="U219" i="101"/>
  <c r="U219" i="79" s="1"/>
  <c r="T219" i="101"/>
  <c r="S219" i="101"/>
  <c r="R219" i="101"/>
  <c r="Q219" i="101"/>
  <c r="P219" i="101"/>
  <c r="O219" i="101"/>
  <c r="O219" i="79" s="1"/>
  <c r="N219" i="101"/>
  <c r="M219" i="101"/>
  <c r="L219" i="101"/>
  <c r="K219" i="101"/>
  <c r="J219" i="101"/>
  <c r="J219" i="79" s="1"/>
  <c r="I219" i="101"/>
  <c r="I219" i="79" s="1"/>
  <c r="H219" i="101"/>
  <c r="H219" i="79" s="1"/>
  <c r="G219" i="101"/>
  <c r="G219" i="79" s="1"/>
  <c r="F219" i="101"/>
  <c r="F219" i="79" s="1"/>
  <c r="E219" i="101"/>
  <c r="D219" i="101"/>
  <c r="C219" i="101"/>
  <c r="Z218" i="101"/>
  <c r="Y218" i="101"/>
  <c r="X218" i="101"/>
  <c r="W218" i="101"/>
  <c r="W218" i="79" s="1"/>
  <c r="V218" i="101"/>
  <c r="V218" i="79" s="1"/>
  <c r="U218" i="101"/>
  <c r="U218" i="79" s="1"/>
  <c r="T218" i="101"/>
  <c r="T218" i="79" s="1"/>
  <c r="S218" i="101"/>
  <c r="S218" i="79" s="1"/>
  <c r="R218" i="101"/>
  <c r="Q218" i="101"/>
  <c r="P218" i="101"/>
  <c r="P218" i="79" s="1"/>
  <c r="O218" i="101"/>
  <c r="O218" i="79" s="1"/>
  <c r="N218" i="101"/>
  <c r="M218" i="101"/>
  <c r="L218" i="101"/>
  <c r="K218" i="101"/>
  <c r="J218" i="101"/>
  <c r="I218" i="101"/>
  <c r="H218" i="101"/>
  <c r="H218" i="79" s="1"/>
  <c r="G218" i="101"/>
  <c r="G218" i="79" s="1"/>
  <c r="F218" i="101"/>
  <c r="E218" i="101"/>
  <c r="E218" i="79" s="1"/>
  <c r="D218" i="101"/>
  <c r="C218" i="101"/>
  <c r="Z217" i="101"/>
  <c r="Z217" i="79" s="1"/>
  <c r="Y217" i="101"/>
  <c r="X217" i="101"/>
  <c r="X217" i="79" s="1"/>
  <c r="W217" i="101"/>
  <c r="W217" i="79" s="1"/>
  <c r="V217" i="101"/>
  <c r="U217" i="101"/>
  <c r="T217" i="101"/>
  <c r="S217" i="101"/>
  <c r="R217" i="101"/>
  <c r="Q217" i="101"/>
  <c r="P217" i="101"/>
  <c r="O217" i="101"/>
  <c r="O217" i="79" s="1"/>
  <c r="N217" i="101"/>
  <c r="N217" i="79" s="1"/>
  <c r="M217" i="101"/>
  <c r="M217" i="79" s="1"/>
  <c r="L217" i="101"/>
  <c r="K217" i="101"/>
  <c r="K217" i="79" s="1"/>
  <c r="J217" i="101"/>
  <c r="J217" i="79" s="1"/>
  <c r="I217" i="101"/>
  <c r="H217" i="101"/>
  <c r="H217" i="79" s="1"/>
  <c r="G217" i="101"/>
  <c r="F217" i="101"/>
  <c r="F217" i="79" s="1"/>
  <c r="E217" i="101"/>
  <c r="E217" i="79" s="1"/>
  <c r="D217" i="101"/>
  <c r="C217" i="101"/>
  <c r="Z216" i="101"/>
  <c r="Y216" i="101"/>
  <c r="X216" i="101"/>
  <c r="W216" i="101"/>
  <c r="V216" i="101"/>
  <c r="U216" i="101"/>
  <c r="T216" i="101"/>
  <c r="T216" i="79" s="1"/>
  <c r="S216" i="101"/>
  <c r="S216" i="79" s="1"/>
  <c r="R216" i="101"/>
  <c r="R216" i="79" s="1"/>
  <c r="Q216" i="101"/>
  <c r="P216" i="101"/>
  <c r="P216" i="79" s="1"/>
  <c r="O216" i="101"/>
  <c r="O216" i="79" s="1"/>
  <c r="N216" i="101"/>
  <c r="N216" i="79" s="1"/>
  <c r="M216" i="101"/>
  <c r="L216" i="101"/>
  <c r="K216" i="101"/>
  <c r="J216" i="101"/>
  <c r="I216" i="101"/>
  <c r="H216" i="101"/>
  <c r="H216" i="79" s="1"/>
  <c r="G216" i="101"/>
  <c r="G216" i="79" s="1"/>
  <c r="F216" i="101"/>
  <c r="E216" i="101"/>
  <c r="D216" i="101"/>
  <c r="C216" i="101"/>
  <c r="Z215" i="101"/>
  <c r="Y215" i="101"/>
  <c r="Y215" i="79" s="1"/>
  <c r="X215" i="101"/>
  <c r="X215" i="79" s="1"/>
  <c r="W215" i="101"/>
  <c r="W215" i="79" s="1"/>
  <c r="V215" i="101"/>
  <c r="V215" i="79" s="1"/>
  <c r="U215" i="101"/>
  <c r="T215" i="101"/>
  <c r="S215" i="101"/>
  <c r="R215" i="101"/>
  <c r="Q215" i="101"/>
  <c r="P215" i="101"/>
  <c r="O215" i="101"/>
  <c r="O215" i="79" s="1"/>
  <c r="N215" i="101"/>
  <c r="N215" i="79" s="1"/>
  <c r="M215" i="101"/>
  <c r="L215" i="101"/>
  <c r="K215" i="101"/>
  <c r="J215" i="101"/>
  <c r="I215" i="101"/>
  <c r="I215" i="79" s="1"/>
  <c r="H215" i="101"/>
  <c r="H215" i="79" s="1"/>
  <c r="G215" i="101"/>
  <c r="G215" i="79" s="1"/>
  <c r="F215" i="101"/>
  <c r="E215" i="101"/>
  <c r="D215" i="101"/>
  <c r="C215" i="101"/>
  <c r="Z214" i="101"/>
  <c r="Y214" i="101"/>
  <c r="X214" i="101"/>
  <c r="W214" i="101"/>
  <c r="V214" i="101"/>
  <c r="U214" i="101"/>
  <c r="T214" i="101"/>
  <c r="S214" i="101"/>
  <c r="R214" i="101"/>
  <c r="Q214" i="101"/>
  <c r="Q214" i="79" s="1"/>
  <c r="P214" i="101"/>
  <c r="P212" i="101" s="1"/>
  <c r="O214" i="101"/>
  <c r="O214" i="79" s="1"/>
  <c r="N214" i="101"/>
  <c r="M214" i="101"/>
  <c r="L214" i="101"/>
  <c r="K214" i="101"/>
  <c r="K214" i="79" s="1"/>
  <c r="J214" i="101"/>
  <c r="J214" i="79" s="1"/>
  <c r="I214" i="101"/>
  <c r="I214" i="79" s="1"/>
  <c r="H214" i="101"/>
  <c r="G214" i="101"/>
  <c r="G214" i="79" s="1"/>
  <c r="F214" i="101"/>
  <c r="F214" i="79" s="1"/>
  <c r="E214" i="101"/>
  <c r="D214" i="101"/>
  <c r="C214" i="101"/>
  <c r="Z213" i="101"/>
  <c r="Y213" i="101"/>
  <c r="Y213" i="79" s="1"/>
  <c r="X213" i="101"/>
  <c r="X213" i="79" s="1"/>
  <c r="W213" i="101"/>
  <c r="W213" i="79" s="1"/>
  <c r="V213" i="101"/>
  <c r="U213" i="101"/>
  <c r="U213" i="79" s="1"/>
  <c r="T213" i="101"/>
  <c r="S213" i="101"/>
  <c r="R213" i="101"/>
  <c r="Q213" i="101"/>
  <c r="P213" i="101"/>
  <c r="P213" i="79" s="1"/>
  <c r="O213" i="101"/>
  <c r="O213" i="79" s="1"/>
  <c r="N213" i="101"/>
  <c r="M213" i="101"/>
  <c r="L213" i="101"/>
  <c r="K213" i="101"/>
  <c r="J213" i="101"/>
  <c r="J213" i="79" s="1"/>
  <c r="I213" i="101"/>
  <c r="I213" i="79" s="1"/>
  <c r="H213" i="101"/>
  <c r="G213" i="101"/>
  <c r="G213" i="79" s="1"/>
  <c r="F213" i="101"/>
  <c r="E213" i="101"/>
  <c r="D213" i="101"/>
  <c r="C213" i="101"/>
  <c r="AD212" i="101"/>
  <c r="AA212" i="101"/>
  <c r="Z211" i="101"/>
  <c r="Y211" i="101"/>
  <c r="X211" i="101"/>
  <c r="W211" i="101"/>
  <c r="V211" i="101"/>
  <c r="U211" i="101"/>
  <c r="T211" i="101"/>
  <c r="T211" i="79" s="1"/>
  <c r="S211" i="101"/>
  <c r="S211" i="79" s="1"/>
  <c r="R211" i="101"/>
  <c r="R211" i="79" s="1"/>
  <c r="Q211" i="101"/>
  <c r="P211" i="101"/>
  <c r="O211" i="101"/>
  <c r="N211" i="101"/>
  <c r="M211" i="101"/>
  <c r="L211" i="101"/>
  <c r="K211" i="101"/>
  <c r="J211" i="101"/>
  <c r="I211" i="101"/>
  <c r="H211" i="101"/>
  <c r="G211" i="101"/>
  <c r="F211" i="101"/>
  <c r="E211" i="101"/>
  <c r="E211" i="79" s="1"/>
  <c r="D211" i="101"/>
  <c r="D211" i="79" s="1"/>
  <c r="C211" i="101"/>
  <c r="C211" i="79" s="1"/>
  <c r="AB210" i="101"/>
  <c r="Z210" i="101"/>
  <c r="Y210" i="101"/>
  <c r="X210" i="101"/>
  <c r="W210" i="101"/>
  <c r="V210" i="101"/>
  <c r="U210" i="101"/>
  <c r="T210" i="101"/>
  <c r="T210" i="79" s="1"/>
  <c r="S210" i="101"/>
  <c r="S210" i="79" s="1"/>
  <c r="R210" i="101"/>
  <c r="R210" i="79" s="1"/>
  <c r="Q210" i="101"/>
  <c r="P210" i="101"/>
  <c r="O210" i="101"/>
  <c r="N210" i="101"/>
  <c r="M210" i="101"/>
  <c r="M210" i="79" s="1"/>
  <c r="L210" i="101"/>
  <c r="L210" i="79" s="1"/>
  <c r="K210" i="101"/>
  <c r="K210" i="79" s="1"/>
  <c r="J210" i="101"/>
  <c r="I210" i="101"/>
  <c r="H210" i="101"/>
  <c r="G210" i="101"/>
  <c r="F210" i="101"/>
  <c r="E210" i="101"/>
  <c r="D210" i="101"/>
  <c r="D210" i="79" s="1"/>
  <c r="C210" i="101"/>
  <c r="C210" i="79" s="1"/>
  <c r="Z209" i="101"/>
  <c r="Y209" i="101"/>
  <c r="X209" i="101"/>
  <c r="W209" i="101"/>
  <c r="V209" i="101"/>
  <c r="U209" i="101"/>
  <c r="U209" i="79" s="1"/>
  <c r="T209" i="101"/>
  <c r="T209" i="79" s="1"/>
  <c r="S209" i="101"/>
  <c r="S209" i="79" s="1"/>
  <c r="R209" i="101"/>
  <c r="Q209" i="101"/>
  <c r="P209" i="101"/>
  <c r="O209" i="101"/>
  <c r="N209" i="101"/>
  <c r="N209" i="79" s="1"/>
  <c r="M209" i="101"/>
  <c r="M209" i="79" s="1"/>
  <c r="L209" i="101"/>
  <c r="L209" i="79" s="1"/>
  <c r="K209" i="101"/>
  <c r="K209" i="79" s="1"/>
  <c r="J209" i="101"/>
  <c r="I209" i="101"/>
  <c r="H209" i="101"/>
  <c r="G209" i="101"/>
  <c r="F209" i="101"/>
  <c r="E209" i="101"/>
  <c r="E209" i="79" s="1"/>
  <c r="D209" i="101"/>
  <c r="D209" i="79" s="1"/>
  <c r="C209" i="101"/>
  <c r="C209" i="79" s="1"/>
  <c r="Z208" i="101"/>
  <c r="Y208" i="101"/>
  <c r="X208" i="101"/>
  <c r="X208" i="79" s="1"/>
  <c r="W208" i="101"/>
  <c r="W208" i="79" s="1"/>
  <c r="V208" i="101"/>
  <c r="U208" i="101"/>
  <c r="T208" i="101"/>
  <c r="T208" i="79" s="1"/>
  <c r="S208" i="101"/>
  <c r="S208" i="79" s="1"/>
  <c r="R208" i="101"/>
  <c r="Q208" i="101"/>
  <c r="P208" i="101"/>
  <c r="O208" i="101"/>
  <c r="N208" i="101"/>
  <c r="N208" i="79" s="1"/>
  <c r="M208" i="101"/>
  <c r="M208" i="79" s="1"/>
  <c r="L208" i="101"/>
  <c r="L208" i="79" s="1"/>
  <c r="K208" i="101"/>
  <c r="K208" i="79" s="1"/>
  <c r="J208" i="101"/>
  <c r="I208" i="101"/>
  <c r="H208" i="101"/>
  <c r="G208" i="101"/>
  <c r="F208" i="101"/>
  <c r="E208" i="101"/>
  <c r="D208" i="101"/>
  <c r="C208" i="101"/>
  <c r="C208" i="79" s="1"/>
  <c r="Z207" i="101"/>
  <c r="Z207" i="79" s="1"/>
  <c r="Y207" i="101"/>
  <c r="X207" i="101"/>
  <c r="W207" i="101"/>
  <c r="V207" i="101"/>
  <c r="U207" i="101"/>
  <c r="U207" i="79" s="1"/>
  <c r="T207" i="101"/>
  <c r="T207" i="79" s="1"/>
  <c r="S207" i="101"/>
  <c r="S207" i="79" s="1"/>
  <c r="R207" i="101"/>
  <c r="Q207" i="101"/>
  <c r="P207" i="101"/>
  <c r="O207" i="101"/>
  <c r="O207" i="79" s="1"/>
  <c r="N207" i="101"/>
  <c r="N207" i="79" s="1"/>
  <c r="M207" i="101"/>
  <c r="L207" i="101"/>
  <c r="K207" i="101"/>
  <c r="J207" i="101"/>
  <c r="I207" i="101"/>
  <c r="H207" i="101"/>
  <c r="G207" i="101"/>
  <c r="F207" i="101"/>
  <c r="E207" i="101"/>
  <c r="E207" i="79" s="1"/>
  <c r="D207" i="101"/>
  <c r="D207" i="79" s="1"/>
  <c r="C207" i="101"/>
  <c r="C207" i="79" s="1"/>
  <c r="Z206" i="101"/>
  <c r="Y206" i="101"/>
  <c r="Y206" i="79" s="1"/>
  <c r="X206" i="101"/>
  <c r="X206" i="79" s="1"/>
  <c r="W206" i="101"/>
  <c r="W206" i="79" s="1"/>
  <c r="V206" i="101"/>
  <c r="V206" i="79" s="1"/>
  <c r="U206" i="101"/>
  <c r="T206" i="101"/>
  <c r="T206" i="79" s="1"/>
  <c r="S206" i="101"/>
  <c r="S206" i="79" s="1"/>
  <c r="R206" i="101"/>
  <c r="Q206" i="101"/>
  <c r="P206" i="101"/>
  <c r="O206" i="101"/>
  <c r="N206" i="101"/>
  <c r="M206" i="101"/>
  <c r="M206" i="79" s="1"/>
  <c r="L206" i="101"/>
  <c r="L206" i="79" s="1"/>
  <c r="K206" i="101"/>
  <c r="K206" i="79" s="1"/>
  <c r="J206" i="101"/>
  <c r="I206" i="101"/>
  <c r="H206" i="101"/>
  <c r="G206" i="101"/>
  <c r="F206" i="101"/>
  <c r="E206" i="101"/>
  <c r="D206" i="101"/>
  <c r="C206" i="101"/>
  <c r="C206" i="79" s="1"/>
  <c r="Z205" i="101"/>
  <c r="Y205" i="101"/>
  <c r="X205" i="101"/>
  <c r="W205" i="101"/>
  <c r="V205" i="101"/>
  <c r="V205" i="79" s="1"/>
  <c r="U205" i="101"/>
  <c r="U205" i="79" s="1"/>
  <c r="T205" i="101"/>
  <c r="T205" i="79" s="1"/>
  <c r="S205" i="101"/>
  <c r="S205" i="79" s="1"/>
  <c r="R205" i="101"/>
  <c r="R205" i="79" s="1"/>
  <c r="Q205" i="101"/>
  <c r="P205" i="101"/>
  <c r="O205" i="101"/>
  <c r="N205" i="101"/>
  <c r="M205" i="101"/>
  <c r="L205" i="101"/>
  <c r="K205" i="101"/>
  <c r="J205" i="101"/>
  <c r="J205" i="79" s="1"/>
  <c r="I205" i="101"/>
  <c r="H205" i="101"/>
  <c r="G205" i="101"/>
  <c r="F205" i="101"/>
  <c r="E205" i="101"/>
  <c r="E205" i="79" s="1"/>
  <c r="D205" i="101"/>
  <c r="D205" i="79" s="1"/>
  <c r="C205" i="101"/>
  <c r="C205" i="79" s="1"/>
  <c r="Z204" i="101"/>
  <c r="Y204" i="101"/>
  <c r="X204" i="101"/>
  <c r="X204" i="79" s="1"/>
  <c r="W204" i="101"/>
  <c r="W204" i="79" s="1"/>
  <c r="V204" i="101"/>
  <c r="U204" i="101"/>
  <c r="T204" i="101"/>
  <c r="S204" i="101"/>
  <c r="S204" i="79" s="1"/>
  <c r="R204" i="101"/>
  <c r="R204" i="79" s="1"/>
  <c r="Q204" i="101"/>
  <c r="P204" i="101"/>
  <c r="O204" i="101"/>
  <c r="N204" i="101"/>
  <c r="M204" i="101"/>
  <c r="M204" i="79" s="1"/>
  <c r="L204" i="101"/>
  <c r="L204" i="79" s="1"/>
  <c r="K204" i="101"/>
  <c r="J204" i="101"/>
  <c r="I204" i="101"/>
  <c r="H204" i="101"/>
  <c r="H204" i="79" s="1"/>
  <c r="G204" i="101"/>
  <c r="G204" i="79" s="1"/>
  <c r="F204" i="101"/>
  <c r="E204" i="101"/>
  <c r="D204" i="101"/>
  <c r="C204" i="101"/>
  <c r="C204" i="79" s="1"/>
  <c r="Z203" i="101"/>
  <c r="Z203" i="79" s="1"/>
  <c r="Y203" i="101"/>
  <c r="X203" i="101"/>
  <c r="W203" i="101"/>
  <c r="V203" i="101"/>
  <c r="U203" i="101"/>
  <c r="U203" i="79" s="1"/>
  <c r="T203" i="101"/>
  <c r="S203" i="101"/>
  <c r="S203" i="79" s="1"/>
  <c r="R203" i="101"/>
  <c r="Q203" i="101"/>
  <c r="P203" i="101"/>
  <c r="P203" i="79" s="1"/>
  <c r="O203" i="101"/>
  <c r="N203" i="101"/>
  <c r="M203" i="101"/>
  <c r="L203" i="101"/>
  <c r="L203" i="79" s="1"/>
  <c r="K203" i="101"/>
  <c r="K203" i="79" s="1"/>
  <c r="J203" i="101"/>
  <c r="I203" i="101"/>
  <c r="H203" i="101"/>
  <c r="G203" i="101"/>
  <c r="F203" i="101"/>
  <c r="E203" i="101"/>
  <c r="E203" i="79" s="1"/>
  <c r="D203" i="101"/>
  <c r="D203" i="79" s="1"/>
  <c r="C203" i="101"/>
  <c r="Z202" i="101"/>
  <c r="Y202" i="101"/>
  <c r="X202" i="101"/>
  <c r="W202" i="101"/>
  <c r="V202" i="101"/>
  <c r="U202" i="101"/>
  <c r="T202" i="101"/>
  <c r="T202" i="79" s="1"/>
  <c r="S202" i="101"/>
  <c r="S202" i="79" s="1"/>
  <c r="R202" i="101"/>
  <c r="Q202" i="101"/>
  <c r="P202" i="101"/>
  <c r="O202" i="101"/>
  <c r="N202" i="101"/>
  <c r="N202" i="79" s="1"/>
  <c r="M202" i="101"/>
  <c r="M202" i="79" s="1"/>
  <c r="L202" i="101"/>
  <c r="L202" i="79" s="1"/>
  <c r="K202" i="101"/>
  <c r="K202" i="79" s="1"/>
  <c r="J202" i="101"/>
  <c r="I202" i="101"/>
  <c r="H202" i="101"/>
  <c r="G202" i="101"/>
  <c r="F202" i="101"/>
  <c r="E202" i="101"/>
  <c r="D202" i="101"/>
  <c r="C202" i="101"/>
  <c r="Z201" i="101"/>
  <c r="Y201" i="101"/>
  <c r="X201" i="101"/>
  <c r="W201" i="101"/>
  <c r="V201" i="101"/>
  <c r="V201" i="79" s="1"/>
  <c r="U201" i="101"/>
  <c r="U201" i="79" s="1"/>
  <c r="T201" i="101"/>
  <c r="S201" i="101"/>
  <c r="S201" i="79" s="1"/>
  <c r="R201" i="101"/>
  <c r="Q201" i="101"/>
  <c r="P201" i="101"/>
  <c r="P201" i="79" s="1"/>
  <c r="O201" i="101"/>
  <c r="N201" i="101"/>
  <c r="M201" i="101"/>
  <c r="L201" i="101"/>
  <c r="L201" i="79" s="1"/>
  <c r="K201" i="101"/>
  <c r="K201" i="79" s="1"/>
  <c r="J201" i="101"/>
  <c r="I201" i="101"/>
  <c r="H201" i="101"/>
  <c r="G201" i="101"/>
  <c r="F201" i="101"/>
  <c r="E201" i="101"/>
  <c r="E201" i="79" s="1"/>
  <c r="D201" i="101"/>
  <c r="C201" i="101"/>
  <c r="AD200" i="101"/>
  <c r="AA200" i="101"/>
  <c r="Z199" i="101"/>
  <c r="Z199" i="79" s="1"/>
  <c r="Y199" i="101"/>
  <c r="X199" i="101"/>
  <c r="X199" i="79" s="1"/>
  <c r="W199" i="101"/>
  <c r="V199" i="101"/>
  <c r="V199" i="79" s="1"/>
  <c r="U199" i="101"/>
  <c r="U199" i="79" s="1"/>
  <c r="T199" i="101"/>
  <c r="T199" i="79" s="1"/>
  <c r="S199" i="101"/>
  <c r="R199" i="101"/>
  <c r="Q199" i="101"/>
  <c r="P199" i="101"/>
  <c r="O199" i="101"/>
  <c r="O199" i="79" s="1"/>
  <c r="N199" i="101"/>
  <c r="N199" i="79" s="1"/>
  <c r="M199" i="101"/>
  <c r="M199" i="79" s="1"/>
  <c r="L199" i="101"/>
  <c r="K199" i="101"/>
  <c r="J199" i="101"/>
  <c r="I199" i="101"/>
  <c r="H199" i="101"/>
  <c r="G199" i="101"/>
  <c r="F199" i="101"/>
  <c r="E199" i="101"/>
  <c r="D199" i="101"/>
  <c r="C199" i="101"/>
  <c r="Z198" i="101"/>
  <c r="Y198" i="101"/>
  <c r="X198" i="101"/>
  <c r="W198" i="101"/>
  <c r="W198" i="79" s="1"/>
  <c r="V198" i="101"/>
  <c r="V198" i="79" s="1"/>
  <c r="U198" i="101"/>
  <c r="T198" i="101"/>
  <c r="S198" i="101"/>
  <c r="R198" i="101"/>
  <c r="Q198" i="101"/>
  <c r="P198" i="101"/>
  <c r="O198" i="101"/>
  <c r="N198" i="101"/>
  <c r="N198" i="79" s="1"/>
  <c r="M198" i="101"/>
  <c r="M198" i="79" s="1"/>
  <c r="L198" i="101"/>
  <c r="K198" i="101"/>
  <c r="J198" i="101"/>
  <c r="I198" i="101"/>
  <c r="H198" i="101"/>
  <c r="H198" i="79" s="1"/>
  <c r="G198" i="101"/>
  <c r="G198" i="79" s="1"/>
  <c r="F198" i="101"/>
  <c r="F198" i="79" s="1"/>
  <c r="E198" i="101"/>
  <c r="D198" i="101"/>
  <c r="C198" i="101"/>
  <c r="Z197" i="101"/>
  <c r="Y197" i="101"/>
  <c r="X197" i="101"/>
  <c r="W197" i="101"/>
  <c r="V197" i="101"/>
  <c r="V197" i="79" s="1"/>
  <c r="U197" i="101"/>
  <c r="U197" i="79" s="1"/>
  <c r="T197" i="101"/>
  <c r="S197" i="101"/>
  <c r="R197" i="101"/>
  <c r="Q197" i="101"/>
  <c r="P197" i="101"/>
  <c r="P197" i="79" s="1"/>
  <c r="O197" i="101"/>
  <c r="O197" i="79" s="1"/>
  <c r="N197" i="101"/>
  <c r="M197" i="101"/>
  <c r="L197" i="101"/>
  <c r="K197" i="101"/>
  <c r="J197" i="101"/>
  <c r="J197" i="79" s="1"/>
  <c r="I197" i="101"/>
  <c r="H197" i="101"/>
  <c r="G197" i="101"/>
  <c r="F197" i="101"/>
  <c r="E197" i="101"/>
  <c r="E197" i="79" s="1"/>
  <c r="D197" i="101"/>
  <c r="C197" i="101"/>
  <c r="Z196" i="101"/>
  <c r="Z196" i="79" s="1"/>
  <c r="Y196" i="101"/>
  <c r="Y196" i="79" s="1"/>
  <c r="X196" i="101"/>
  <c r="W196" i="101"/>
  <c r="W196" i="79" s="1"/>
  <c r="V196" i="101"/>
  <c r="V196" i="79" s="1"/>
  <c r="U196" i="101"/>
  <c r="T196" i="101"/>
  <c r="S196" i="101"/>
  <c r="R196" i="101"/>
  <c r="R196" i="79" s="1"/>
  <c r="Q196" i="101"/>
  <c r="P196" i="101"/>
  <c r="O196" i="101"/>
  <c r="N196" i="101"/>
  <c r="M196" i="101"/>
  <c r="L196" i="101"/>
  <c r="K196" i="101"/>
  <c r="K196" i="79" s="1"/>
  <c r="J196" i="101"/>
  <c r="I196" i="101"/>
  <c r="H196" i="101"/>
  <c r="G196" i="101"/>
  <c r="G196" i="79" s="1"/>
  <c r="F196" i="101"/>
  <c r="F196" i="79" s="1"/>
  <c r="E196" i="101"/>
  <c r="D196" i="101"/>
  <c r="C196" i="101"/>
  <c r="Z195" i="101"/>
  <c r="Z195" i="79" s="1"/>
  <c r="Y195" i="101"/>
  <c r="X195" i="101"/>
  <c r="W195" i="101"/>
  <c r="V195" i="101"/>
  <c r="V195" i="79" s="1"/>
  <c r="U195" i="101"/>
  <c r="T195" i="101"/>
  <c r="T195" i="79" s="1"/>
  <c r="S195" i="101"/>
  <c r="R195" i="101"/>
  <c r="Q195" i="101"/>
  <c r="P195" i="101"/>
  <c r="O195" i="101"/>
  <c r="O195" i="79" s="1"/>
  <c r="N195" i="101"/>
  <c r="N195" i="79" s="1"/>
  <c r="M195" i="101"/>
  <c r="L195" i="101"/>
  <c r="K195" i="101"/>
  <c r="J195" i="101"/>
  <c r="J195" i="79" s="1"/>
  <c r="I195" i="101"/>
  <c r="H195" i="101"/>
  <c r="G195" i="101"/>
  <c r="F195" i="101"/>
  <c r="F195" i="79" s="1"/>
  <c r="E195" i="101"/>
  <c r="D195" i="101"/>
  <c r="C195" i="101"/>
  <c r="Z194" i="101"/>
  <c r="Y194" i="101"/>
  <c r="X194" i="101"/>
  <c r="W194" i="101"/>
  <c r="W194" i="79" s="1"/>
  <c r="V194" i="101"/>
  <c r="V194" i="79" s="1"/>
  <c r="U194" i="101"/>
  <c r="T194" i="101"/>
  <c r="S194" i="101"/>
  <c r="S194" i="79" s="1"/>
  <c r="R194" i="101"/>
  <c r="Q194" i="101"/>
  <c r="Q194" i="79" s="1"/>
  <c r="P194" i="101"/>
  <c r="O194" i="101"/>
  <c r="N194" i="101"/>
  <c r="N194" i="79" s="1"/>
  <c r="M194" i="101"/>
  <c r="M194" i="79" s="1"/>
  <c r="L194" i="101"/>
  <c r="K194" i="101"/>
  <c r="J194" i="101"/>
  <c r="I194" i="101"/>
  <c r="H194" i="101"/>
  <c r="H194" i="79" s="1"/>
  <c r="G194" i="101"/>
  <c r="G194" i="79" s="1"/>
  <c r="F194" i="101"/>
  <c r="F194" i="79" s="1"/>
  <c r="E194" i="101"/>
  <c r="D194" i="101"/>
  <c r="C194" i="101"/>
  <c r="Z193" i="101"/>
  <c r="Y193" i="101"/>
  <c r="Y193" i="79" s="1"/>
  <c r="X193" i="101"/>
  <c r="W193" i="101"/>
  <c r="V193" i="101"/>
  <c r="V193" i="79" s="1"/>
  <c r="U193" i="101"/>
  <c r="U193" i="79" s="1"/>
  <c r="T193" i="101"/>
  <c r="T193" i="79" s="1"/>
  <c r="S193" i="101"/>
  <c r="R193" i="101"/>
  <c r="Q193" i="101"/>
  <c r="P193" i="101"/>
  <c r="O193" i="101"/>
  <c r="O193" i="79" s="1"/>
  <c r="N193" i="101"/>
  <c r="M193" i="101"/>
  <c r="L193" i="101"/>
  <c r="K193" i="101"/>
  <c r="J193" i="101"/>
  <c r="I193" i="101"/>
  <c r="H193" i="101"/>
  <c r="H193" i="79" s="1"/>
  <c r="G193" i="101"/>
  <c r="F193" i="101"/>
  <c r="E193" i="101"/>
  <c r="D193" i="101"/>
  <c r="C193" i="101"/>
  <c r="Z192" i="101"/>
  <c r="Y192" i="101"/>
  <c r="X192" i="101"/>
  <c r="X192" i="79" s="1"/>
  <c r="W192" i="101"/>
  <c r="W192" i="79" s="1"/>
  <c r="V192" i="101"/>
  <c r="V192" i="79" s="1"/>
  <c r="U192" i="101"/>
  <c r="T192" i="101"/>
  <c r="S192" i="101"/>
  <c r="R192" i="101"/>
  <c r="R192" i="79" s="1"/>
  <c r="Q192" i="101"/>
  <c r="P192" i="101"/>
  <c r="O192" i="101"/>
  <c r="O192" i="79" s="1"/>
  <c r="N192" i="101"/>
  <c r="M192" i="101"/>
  <c r="L192" i="101"/>
  <c r="L192" i="79" s="1"/>
  <c r="K192" i="101"/>
  <c r="J192" i="101"/>
  <c r="I192" i="101"/>
  <c r="H192" i="101"/>
  <c r="G192" i="101"/>
  <c r="G192" i="79" s="1"/>
  <c r="F192" i="101"/>
  <c r="F192" i="79" s="1"/>
  <c r="E192" i="101"/>
  <c r="D192" i="101"/>
  <c r="C192" i="101"/>
  <c r="Z191" i="101"/>
  <c r="Y191" i="101"/>
  <c r="X191" i="101"/>
  <c r="W191" i="101"/>
  <c r="V191" i="101"/>
  <c r="U191" i="101"/>
  <c r="U191" i="79" s="1"/>
  <c r="T191" i="101"/>
  <c r="S191" i="101"/>
  <c r="R191" i="101"/>
  <c r="Q191" i="101"/>
  <c r="P191" i="101"/>
  <c r="O191" i="101"/>
  <c r="O191" i="79" s="1"/>
  <c r="N191" i="101"/>
  <c r="N191" i="79" s="1"/>
  <c r="M191" i="101"/>
  <c r="L191" i="101"/>
  <c r="K191" i="101"/>
  <c r="J191" i="101"/>
  <c r="I191" i="101"/>
  <c r="H191" i="101"/>
  <c r="G191" i="101"/>
  <c r="F191" i="101"/>
  <c r="E191" i="101"/>
  <c r="D191" i="101"/>
  <c r="D191" i="79" s="1"/>
  <c r="C191" i="101"/>
  <c r="Z190" i="101"/>
  <c r="Y190" i="101"/>
  <c r="X190" i="101"/>
  <c r="W190" i="101"/>
  <c r="W190" i="79" s="1"/>
  <c r="V190" i="101"/>
  <c r="U190" i="101"/>
  <c r="T190" i="101"/>
  <c r="S190" i="101"/>
  <c r="S190" i="79" s="1"/>
  <c r="R190" i="101"/>
  <c r="Q190" i="101"/>
  <c r="P190" i="101"/>
  <c r="O190" i="101"/>
  <c r="N190" i="101"/>
  <c r="M190" i="101"/>
  <c r="L190" i="101"/>
  <c r="K190" i="101"/>
  <c r="J190" i="101"/>
  <c r="I190" i="101"/>
  <c r="H190" i="101"/>
  <c r="G190" i="101"/>
  <c r="F190" i="101"/>
  <c r="E190" i="101"/>
  <c r="D190" i="101"/>
  <c r="C190" i="101"/>
  <c r="AD189" i="101"/>
  <c r="AF189" i="101" s="1"/>
  <c r="AA189" i="101"/>
  <c r="Z188" i="101"/>
  <c r="Y188" i="101"/>
  <c r="X188" i="101"/>
  <c r="X188" i="79" s="1"/>
  <c r="W188" i="101"/>
  <c r="W188" i="79" s="1"/>
  <c r="V188" i="101"/>
  <c r="V188" i="79" s="1"/>
  <c r="U188" i="101"/>
  <c r="U188" i="79" s="1"/>
  <c r="T188" i="101"/>
  <c r="S188" i="101"/>
  <c r="S188" i="79" s="1"/>
  <c r="R188" i="101"/>
  <c r="Q188" i="101"/>
  <c r="Q188" i="79" s="1"/>
  <c r="P188" i="101"/>
  <c r="O188" i="101"/>
  <c r="N188" i="101"/>
  <c r="M188" i="101"/>
  <c r="L188" i="101"/>
  <c r="K188" i="101"/>
  <c r="J188" i="101"/>
  <c r="I188" i="101"/>
  <c r="H188" i="101"/>
  <c r="H188" i="79" s="1"/>
  <c r="G188" i="101"/>
  <c r="G188" i="79" s="1"/>
  <c r="F188" i="101"/>
  <c r="F188" i="79" s="1"/>
  <c r="E188" i="101"/>
  <c r="E188" i="79" s="1"/>
  <c r="D188" i="101"/>
  <c r="C188" i="101"/>
  <c r="Z187" i="101"/>
  <c r="Z187" i="79" s="1"/>
  <c r="Y187" i="101"/>
  <c r="Y187" i="79" s="1"/>
  <c r="X187" i="101"/>
  <c r="W187" i="101"/>
  <c r="V187" i="101"/>
  <c r="U187" i="101"/>
  <c r="T187" i="101"/>
  <c r="S187" i="101"/>
  <c r="R187" i="101"/>
  <c r="R187" i="79" s="1"/>
  <c r="Q187" i="101"/>
  <c r="Q187" i="79" s="1"/>
  <c r="P187" i="101"/>
  <c r="O187" i="101"/>
  <c r="O187" i="79" s="1"/>
  <c r="N187" i="101"/>
  <c r="M187" i="101"/>
  <c r="L187" i="101"/>
  <c r="K187" i="101"/>
  <c r="J187" i="101"/>
  <c r="I187" i="101"/>
  <c r="H187" i="101"/>
  <c r="G187" i="101"/>
  <c r="F187" i="101"/>
  <c r="E187" i="101"/>
  <c r="E187" i="79" s="1"/>
  <c r="D187" i="101"/>
  <c r="D187" i="79" s="1"/>
  <c r="C187" i="101"/>
  <c r="Z186" i="101"/>
  <c r="Y186" i="101"/>
  <c r="X186" i="101"/>
  <c r="X186" i="79" s="1"/>
  <c r="W186" i="101"/>
  <c r="W186" i="79" s="1"/>
  <c r="V186" i="101"/>
  <c r="U186" i="101"/>
  <c r="T186" i="101"/>
  <c r="S186" i="101"/>
  <c r="R186" i="101"/>
  <c r="Q186" i="101"/>
  <c r="P186" i="101"/>
  <c r="O186" i="101"/>
  <c r="N186" i="101"/>
  <c r="M186" i="101"/>
  <c r="M186" i="79" s="1"/>
  <c r="L186" i="101"/>
  <c r="L186" i="79" s="1"/>
  <c r="K186" i="101"/>
  <c r="J186" i="101"/>
  <c r="I186" i="101"/>
  <c r="H186" i="101"/>
  <c r="AE186" i="101" s="1"/>
  <c r="G186" i="101"/>
  <c r="G186" i="79" s="1"/>
  <c r="F186" i="101"/>
  <c r="E186" i="101"/>
  <c r="D186" i="101"/>
  <c r="C186" i="101"/>
  <c r="Z185" i="101"/>
  <c r="Y185" i="101"/>
  <c r="Y185" i="79" s="1"/>
  <c r="X185" i="101"/>
  <c r="W185" i="101"/>
  <c r="V185" i="101"/>
  <c r="U185" i="101"/>
  <c r="U185" i="79" s="1"/>
  <c r="T185" i="101"/>
  <c r="S185" i="101"/>
  <c r="R185" i="101"/>
  <c r="Q185" i="101"/>
  <c r="P185" i="101"/>
  <c r="P185" i="79" s="1"/>
  <c r="O185" i="101"/>
  <c r="O185" i="79" s="1"/>
  <c r="N185" i="101"/>
  <c r="M185" i="101"/>
  <c r="L185" i="101"/>
  <c r="K185" i="101"/>
  <c r="J185" i="101"/>
  <c r="I185" i="101"/>
  <c r="I185" i="79" s="1"/>
  <c r="H185" i="101"/>
  <c r="G185" i="101"/>
  <c r="F185" i="101"/>
  <c r="E185" i="101"/>
  <c r="E185" i="79" s="1"/>
  <c r="D185" i="101"/>
  <c r="C185" i="101"/>
  <c r="Z184" i="101"/>
  <c r="Z184" i="79" s="1"/>
  <c r="Y184" i="101"/>
  <c r="Y184" i="79" s="1"/>
  <c r="X184" i="101"/>
  <c r="W184" i="101"/>
  <c r="V184" i="101"/>
  <c r="U184" i="101"/>
  <c r="T184" i="101"/>
  <c r="S184" i="101"/>
  <c r="S184" i="79" s="1"/>
  <c r="R184" i="101"/>
  <c r="Q184" i="101"/>
  <c r="P184" i="101"/>
  <c r="O184" i="101"/>
  <c r="O184" i="79" s="1"/>
  <c r="N184" i="101"/>
  <c r="N184" i="79" s="1"/>
  <c r="M184" i="101"/>
  <c r="M184" i="79" s="1"/>
  <c r="L184" i="101"/>
  <c r="K184" i="101"/>
  <c r="J184" i="101"/>
  <c r="I184" i="101"/>
  <c r="H184" i="101"/>
  <c r="G184" i="101"/>
  <c r="F184" i="101"/>
  <c r="E184" i="101"/>
  <c r="E184" i="79" s="1"/>
  <c r="D184" i="101"/>
  <c r="C184" i="101"/>
  <c r="Z183" i="101"/>
  <c r="Z183" i="79" s="1"/>
  <c r="Y183" i="101"/>
  <c r="Y183" i="79" s="1"/>
  <c r="X183" i="101"/>
  <c r="X183" i="79" s="1"/>
  <c r="W183" i="101"/>
  <c r="W183" i="79" s="1"/>
  <c r="V183" i="101"/>
  <c r="V183" i="79" s="1"/>
  <c r="U183" i="101"/>
  <c r="T183" i="101"/>
  <c r="S183" i="101"/>
  <c r="S183" i="79" s="1"/>
  <c r="R183" i="101"/>
  <c r="R183" i="79" s="1"/>
  <c r="Q183" i="101"/>
  <c r="P183" i="101"/>
  <c r="O183" i="101"/>
  <c r="N183" i="101"/>
  <c r="M183" i="101"/>
  <c r="L183" i="101"/>
  <c r="K183" i="101"/>
  <c r="J183" i="101"/>
  <c r="I183" i="101"/>
  <c r="H183" i="101"/>
  <c r="G183" i="101"/>
  <c r="F183" i="101"/>
  <c r="E183" i="101"/>
  <c r="D183" i="101"/>
  <c r="C183" i="101"/>
  <c r="AD182" i="101"/>
  <c r="Z182" i="101"/>
  <c r="Z182" i="79" s="1"/>
  <c r="Y182" i="101"/>
  <c r="X182" i="101"/>
  <c r="W182" i="101"/>
  <c r="V182" i="101"/>
  <c r="U182" i="101"/>
  <c r="T182" i="101"/>
  <c r="S182" i="101"/>
  <c r="R182" i="101"/>
  <c r="Q182" i="101"/>
  <c r="P182" i="101"/>
  <c r="P182" i="79" s="1"/>
  <c r="O182" i="101"/>
  <c r="O182" i="79" s="1"/>
  <c r="N182" i="101"/>
  <c r="M182" i="101"/>
  <c r="M182" i="79" s="1"/>
  <c r="L182" i="101"/>
  <c r="K182" i="101"/>
  <c r="J182" i="101"/>
  <c r="I182" i="101"/>
  <c r="H182" i="101"/>
  <c r="G182" i="101"/>
  <c r="F182" i="101"/>
  <c r="E182" i="101"/>
  <c r="D182" i="101"/>
  <c r="C182" i="101"/>
  <c r="Z181" i="101"/>
  <c r="Y181" i="101"/>
  <c r="X181" i="101"/>
  <c r="X181" i="79" s="1"/>
  <c r="W181" i="101"/>
  <c r="W181" i="79" s="1"/>
  <c r="V181" i="101"/>
  <c r="U181" i="101"/>
  <c r="T181" i="101"/>
  <c r="S181" i="101"/>
  <c r="R181" i="101"/>
  <c r="Q181" i="101"/>
  <c r="P181" i="101"/>
  <c r="O181" i="101"/>
  <c r="N181" i="101"/>
  <c r="M181" i="101"/>
  <c r="L181" i="101"/>
  <c r="K181" i="101"/>
  <c r="J181" i="101"/>
  <c r="I181" i="101"/>
  <c r="H181" i="101"/>
  <c r="H181" i="79" s="1"/>
  <c r="G181" i="101"/>
  <c r="F181" i="101"/>
  <c r="E181" i="101"/>
  <c r="D181" i="101"/>
  <c r="C181" i="101"/>
  <c r="AD180" i="101"/>
  <c r="AF180" i="101" s="1"/>
  <c r="AA180" i="101"/>
  <c r="Z179" i="101"/>
  <c r="Z179" i="79" s="1"/>
  <c r="Y179" i="101"/>
  <c r="X179" i="101"/>
  <c r="W179" i="101"/>
  <c r="V179" i="101"/>
  <c r="U179" i="101"/>
  <c r="T179" i="101"/>
  <c r="S179" i="101"/>
  <c r="S179" i="79" s="1"/>
  <c r="R179" i="101"/>
  <c r="R179" i="79" s="1"/>
  <c r="Q179" i="101"/>
  <c r="P179" i="101"/>
  <c r="O179" i="101"/>
  <c r="N179" i="101"/>
  <c r="M179" i="101"/>
  <c r="L179" i="101"/>
  <c r="K179" i="101"/>
  <c r="J179" i="101"/>
  <c r="J179" i="79" s="1"/>
  <c r="I179" i="101"/>
  <c r="H179" i="101"/>
  <c r="H179" i="79" s="1"/>
  <c r="G179" i="101"/>
  <c r="G179" i="79" s="1"/>
  <c r="F179" i="101"/>
  <c r="E179" i="101"/>
  <c r="D179" i="101"/>
  <c r="D179" i="79" s="1"/>
  <c r="C179" i="101"/>
  <c r="C179" i="79" s="1"/>
  <c r="Z178" i="101"/>
  <c r="Y178" i="101"/>
  <c r="Y178" i="79" s="1"/>
  <c r="X178" i="101"/>
  <c r="W178" i="101"/>
  <c r="V178" i="101"/>
  <c r="U178" i="101"/>
  <c r="T178" i="101"/>
  <c r="S178" i="101"/>
  <c r="S178" i="79" s="1"/>
  <c r="R178" i="101"/>
  <c r="Q178" i="101"/>
  <c r="Q178" i="79" s="1"/>
  <c r="P178" i="101"/>
  <c r="P178" i="79" s="1"/>
  <c r="O178" i="101"/>
  <c r="N178" i="101"/>
  <c r="M178" i="101"/>
  <c r="M178" i="79" s="1"/>
  <c r="L178" i="101"/>
  <c r="K178" i="101"/>
  <c r="K178" i="79" s="1"/>
  <c r="J178" i="101"/>
  <c r="I178" i="101"/>
  <c r="I178" i="79" s="1"/>
  <c r="H178" i="101"/>
  <c r="G178" i="101"/>
  <c r="F178" i="101"/>
  <c r="E178" i="101"/>
  <c r="D178" i="101"/>
  <c r="C178" i="101"/>
  <c r="C178" i="79" s="1"/>
  <c r="AD177" i="101"/>
  <c r="AA177" i="101"/>
  <c r="F177" i="101"/>
  <c r="AD176" i="101"/>
  <c r="AA176" i="101"/>
  <c r="AF176" i="101" s="1"/>
  <c r="Z175" i="101"/>
  <c r="Z175" i="79" s="1"/>
  <c r="Y175" i="101"/>
  <c r="Y175" i="79" s="1"/>
  <c r="X175" i="101"/>
  <c r="X175" i="79" s="1"/>
  <c r="W175" i="101"/>
  <c r="W175" i="79" s="1"/>
  <c r="V175" i="101"/>
  <c r="V175" i="79" s="1"/>
  <c r="U175" i="101"/>
  <c r="T175" i="101"/>
  <c r="S175" i="101"/>
  <c r="R175" i="101"/>
  <c r="Q175" i="101"/>
  <c r="P175" i="101"/>
  <c r="O175" i="101"/>
  <c r="N175" i="101"/>
  <c r="N175" i="79" s="1"/>
  <c r="M175" i="101"/>
  <c r="L175" i="101"/>
  <c r="K175" i="101"/>
  <c r="J175" i="101"/>
  <c r="J175" i="79" s="1"/>
  <c r="I175" i="101"/>
  <c r="I175" i="79" s="1"/>
  <c r="H175" i="101"/>
  <c r="H175" i="79" s="1"/>
  <c r="G175" i="101"/>
  <c r="G175" i="79" s="1"/>
  <c r="F175" i="101"/>
  <c r="E175" i="101"/>
  <c r="D175" i="101"/>
  <c r="C175" i="101"/>
  <c r="Z174" i="101"/>
  <c r="Z174" i="79" s="1"/>
  <c r="Y174" i="101"/>
  <c r="Y174" i="79" s="1"/>
  <c r="X174" i="101"/>
  <c r="X174" i="79" s="1"/>
  <c r="W174" i="101"/>
  <c r="V174" i="101"/>
  <c r="U174" i="101"/>
  <c r="T174" i="101"/>
  <c r="T174" i="79" s="1"/>
  <c r="S174" i="101"/>
  <c r="R174" i="101"/>
  <c r="R174" i="79" s="1"/>
  <c r="Q174" i="101"/>
  <c r="Q174" i="79" s="1"/>
  <c r="P174" i="101"/>
  <c r="P174" i="79" s="1"/>
  <c r="O174" i="101"/>
  <c r="O174" i="79" s="1"/>
  <c r="N174" i="101"/>
  <c r="M174" i="101"/>
  <c r="L174" i="101"/>
  <c r="K174" i="101"/>
  <c r="J174" i="101"/>
  <c r="J174" i="79" s="1"/>
  <c r="I174" i="101"/>
  <c r="H174" i="101"/>
  <c r="G174" i="101"/>
  <c r="F174" i="101"/>
  <c r="E174" i="101"/>
  <c r="D174" i="101"/>
  <c r="C174" i="101"/>
  <c r="Z173" i="101"/>
  <c r="Z173" i="79" s="1"/>
  <c r="Y173" i="101"/>
  <c r="Y173" i="79" s="1"/>
  <c r="X173" i="101"/>
  <c r="X173" i="79" s="1"/>
  <c r="W173" i="101"/>
  <c r="W173" i="79" s="1"/>
  <c r="V173" i="101"/>
  <c r="U173" i="101"/>
  <c r="T173" i="101"/>
  <c r="T173" i="79" s="1"/>
  <c r="S173" i="101"/>
  <c r="S173" i="79" s="1"/>
  <c r="R173" i="101"/>
  <c r="Q173" i="101"/>
  <c r="P173" i="101"/>
  <c r="O173" i="101"/>
  <c r="N173" i="101"/>
  <c r="M173" i="101"/>
  <c r="L173" i="101"/>
  <c r="L173" i="79" s="1"/>
  <c r="K173" i="101"/>
  <c r="K173" i="79" s="1"/>
  <c r="J173" i="101"/>
  <c r="J173" i="79" s="1"/>
  <c r="I173" i="101"/>
  <c r="I173" i="79" s="1"/>
  <c r="H173" i="101"/>
  <c r="H173" i="79" s="1"/>
  <c r="G173" i="101"/>
  <c r="G173" i="79" s="1"/>
  <c r="F173" i="101"/>
  <c r="E173" i="101"/>
  <c r="E173" i="79" s="1"/>
  <c r="D173" i="101"/>
  <c r="C173" i="101"/>
  <c r="Z172" i="101"/>
  <c r="Y172" i="101"/>
  <c r="X172" i="101"/>
  <c r="W172" i="101"/>
  <c r="V172" i="101"/>
  <c r="U172" i="101"/>
  <c r="T172" i="101"/>
  <c r="S172" i="101"/>
  <c r="R172" i="101"/>
  <c r="R172" i="79" s="1"/>
  <c r="Q172" i="101"/>
  <c r="Q172" i="79" s="1"/>
  <c r="P172" i="101"/>
  <c r="P172" i="79" s="1"/>
  <c r="O172" i="101"/>
  <c r="O172" i="79" s="1"/>
  <c r="N172" i="101"/>
  <c r="M172" i="101"/>
  <c r="M172" i="79" s="1"/>
  <c r="L172" i="101"/>
  <c r="L172" i="79" s="1"/>
  <c r="K172" i="101"/>
  <c r="J172" i="101"/>
  <c r="I172" i="101"/>
  <c r="H172" i="101"/>
  <c r="G172" i="101"/>
  <c r="F172" i="101"/>
  <c r="E172" i="101"/>
  <c r="D172" i="101"/>
  <c r="C172" i="101"/>
  <c r="Z171" i="101"/>
  <c r="Z171" i="79" s="1"/>
  <c r="Y171" i="101"/>
  <c r="Y171" i="79" s="1"/>
  <c r="X171" i="101"/>
  <c r="X171" i="79" s="1"/>
  <c r="W171" i="101"/>
  <c r="V171" i="101"/>
  <c r="U171" i="101"/>
  <c r="U171" i="79" s="1"/>
  <c r="T171" i="101"/>
  <c r="S171" i="101"/>
  <c r="R171" i="101"/>
  <c r="Q171" i="101"/>
  <c r="P171" i="101"/>
  <c r="O171" i="101"/>
  <c r="N171" i="101"/>
  <c r="M171" i="101"/>
  <c r="L171" i="101"/>
  <c r="K171" i="101"/>
  <c r="J171" i="101"/>
  <c r="I171" i="101"/>
  <c r="AD171" i="101" s="1"/>
  <c r="H171" i="101"/>
  <c r="H171" i="79" s="1"/>
  <c r="G171" i="101"/>
  <c r="F171" i="101"/>
  <c r="E171" i="101"/>
  <c r="E171" i="79" s="1"/>
  <c r="D171" i="101"/>
  <c r="C171" i="101"/>
  <c r="Z170" i="101"/>
  <c r="Y170" i="101"/>
  <c r="Y170" i="79" s="1"/>
  <c r="X170" i="101"/>
  <c r="X170" i="79" s="1"/>
  <c r="W170" i="101"/>
  <c r="V170" i="101"/>
  <c r="U170" i="101"/>
  <c r="T170" i="101"/>
  <c r="S170" i="101"/>
  <c r="S170" i="79" s="1"/>
  <c r="R170" i="101"/>
  <c r="R170" i="79" s="1"/>
  <c r="Q170" i="101"/>
  <c r="Q170" i="79" s="1"/>
  <c r="P170" i="101"/>
  <c r="P170" i="79" s="1"/>
  <c r="O170" i="101"/>
  <c r="N170" i="101"/>
  <c r="M170" i="101"/>
  <c r="L170" i="101"/>
  <c r="K170" i="101"/>
  <c r="J170" i="101"/>
  <c r="I170" i="101"/>
  <c r="I170" i="79" s="1"/>
  <c r="H170" i="101"/>
  <c r="H170" i="79" s="1"/>
  <c r="G170" i="101"/>
  <c r="F170" i="101"/>
  <c r="F170" i="79" s="1"/>
  <c r="E170" i="101"/>
  <c r="D170" i="101"/>
  <c r="C170" i="101"/>
  <c r="C170" i="79" s="1"/>
  <c r="Z169" i="101"/>
  <c r="Z169" i="79" s="1"/>
  <c r="Y169" i="101"/>
  <c r="Y169" i="79" s="1"/>
  <c r="X169" i="101"/>
  <c r="X169" i="79" s="1"/>
  <c r="W169" i="101"/>
  <c r="V169" i="101"/>
  <c r="U169" i="101"/>
  <c r="T169" i="101"/>
  <c r="S169" i="101"/>
  <c r="R169" i="101"/>
  <c r="R169" i="79" s="1"/>
  <c r="Q169" i="101"/>
  <c r="Q169" i="79" s="1"/>
  <c r="P169" i="101"/>
  <c r="P169" i="79" s="1"/>
  <c r="O169" i="101"/>
  <c r="N169" i="101"/>
  <c r="M169" i="101"/>
  <c r="M169" i="79" s="1"/>
  <c r="L169" i="101"/>
  <c r="L169" i="79" s="1"/>
  <c r="K169" i="101"/>
  <c r="J169" i="101"/>
  <c r="J169" i="79" s="1"/>
  <c r="I169" i="101"/>
  <c r="I169" i="79" s="1"/>
  <c r="H169" i="101"/>
  <c r="H169" i="79" s="1"/>
  <c r="G169" i="101"/>
  <c r="F169" i="101"/>
  <c r="E169" i="101"/>
  <c r="D169" i="101"/>
  <c r="C169" i="101"/>
  <c r="Z168" i="101"/>
  <c r="Y168" i="101"/>
  <c r="X168" i="101"/>
  <c r="W168" i="101"/>
  <c r="V168" i="101"/>
  <c r="V168" i="79" s="1"/>
  <c r="U168" i="101"/>
  <c r="U168" i="79" s="1"/>
  <c r="T168" i="101"/>
  <c r="T168" i="79" s="1"/>
  <c r="S168" i="101"/>
  <c r="S168" i="79" s="1"/>
  <c r="R168" i="101"/>
  <c r="R168" i="79" s="1"/>
  <c r="Q168" i="101"/>
  <c r="Q168" i="79" s="1"/>
  <c r="P168" i="101"/>
  <c r="P168" i="79" s="1"/>
  <c r="O168" i="101"/>
  <c r="O168" i="79" s="1"/>
  <c r="N168" i="101"/>
  <c r="N168" i="79" s="1"/>
  <c r="M168" i="101"/>
  <c r="M168" i="79" s="1"/>
  <c r="L168" i="101"/>
  <c r="L168" i="79" s="1"/>
  <c r="K168" i="101"/>
  <c r="J168" i="101"/>
  <c r="I168" i="101"/>
  <c r="H168" i="101"/>
  <c r="G168" i="101"/>
  <c r="F168" i="101"/>
  <c r="E168" i="101"/>
  <c r="E168" i="79" s="1"/>
  <c r="D168" i="101"/>
  <c r="C168" i="101"/>
  <c r="Z167" i="101"/>
  <c r="Z167" i="79" s="1"/>
  <c r="Y167" i="101"/>
  <c r="Y167" i="79" s="1"/>
  <c r="X167" i="101"/>
  <c r="X167" i="79" s="1"/>
  <c r="W167" i="101"/>
  <c r="W167" i="79" s="1"/>
  <c r="V167" i="101"/>
  <c r="V167" i="79" s="1"/>
  <c r="U167" i="101"/>
  <c r="U167" i="79" s="1"/>
  <c r="T167" i="101"/>
  <c r="S167" i="101"/>
  <c r="R167" i="101"/>
  <c r="Q167" i="101"/>
  <c r="P167" i="101"/>
  <c r="O167" i="101"/>
  <c r="N167" i="101"/>
  <c r="M167" i="101"/>
  <c r="L167" i="101"/>
  <c r="K167" i="101"/>
  <c r="K167" i="79" s="1"/>
  <c r="J167" i="101"/>
  <c r="J167" i="79" s="1"/>
  <c r="I167" i="101"/>
  <c r="I167" i="79" s="1"/>
  <c r="H167" i="101"/>
  <c r="H167" i="79" s="1"/>
  <c r="G167" i="101"/>
  <c r="G167" i="79" s="1"/>
  <c r="F167" i="101"/>
  <c r="F167" i="79" s="1"/>
  <c r="E167" i="101"/>
  <c r="D167" i="101"/>
  <c r="C167" i="101"/>
  <c r="Z166" i="101"/>
  <c r="Y166" i="101"/>
  <c r="X166" i="101"/>
  <c r="W166" i="101"/>
  <c r="W166" i="79" s="1"/>
  <c r="V166" i="101"/>
  <c r="V166" i="79" s="1"/>
  <c r="U166" i="101"/>
  <c r="U166" i="79" s="1"/>
  <c r="T166" i="101"/>
  <c r="T166" i="79" s="1"/>
  <c r="S166" i="101"/>
  <c r="S166" i="79" s="1"/>
  <c r="R166" i="101"/>
  <c r="R166" i="79" s="1"/>
  <c r="Q166" i="101"/>
  <c r="Q166" i="79" s="1"/>
  <c r="P166" i="101"/>
  <c r="P166" i="79" s="1"/>
  <c r="O166" i="101"/>
  <c r="O166" i="79" s="1"/>
  <c r="N166" i="101"/>
  <c r="M166" i="101"/>
  <c r="L166" i="101"/>
  <c r="K166" i="101"/>
  <c r="J166" i="101"/>
  <c r="I166" i="101"/>
  <c r="H166" i="101"/>
  <c r="H166" i="79" s="1"/>
  <c r="G166" i="101"/>
  <c r="F166" i="101"/>
  <c r="E166" i="101"/>
  <c r="D166" i="101"/>
  <c r="C166" i="101"/>
  <c r="Z165" i="101"/>
  <c r="Z165" i="79" s="1"/>
  <c r="Y165" i="101"/>
  <c r="Y165" i="79" s="1"/>
  <c r="X165" i="101"/>
  <c r="X165" i="79" s="1"/>
  <c r="W165" i="101"/>
  <c r="V165" i="101"/>
  <c r="U165" i="101"/>
  <c r="T165" i="101"/>
  <c r="S165" i="101"/>
  <c r="R165" i="101"/>
  <c r="Q165" i="101"/>
  <c r="P165" i="101"/>
  <c r="P165" i="79" s="1"/>
  <c r="O165" i="101"/>
  <c r="O165" i="79" s="1"/>
  <c r="N165" i="101"/>
  <c r="N165" i="79" s="1"/>
  <c r="M165" i="101"/>
  <c r="L165" i="101"/>
  <c r="L165" i="79" s="1"/>
  <c r="K165" i="101"/>
  <c r="K165" i="79" s="1"/>
  <c r="J165" i="101"/>
  <c r="J165" i="79" s="1"/>
  <c r="I165" i="101"/>
  <c r="I165" i="79" s="1"/>
  <c r="H165" i="101"/>
  <c r="H165" i="79" s="1"/>
  <c r="G165" i="101"/>
  <c r="F165" i="101"/>
  <c r="E165" i="101"/>
  <c r="D165" i="101"/>
  <c r="C165" i="101"/>
  <c r="Z164" i="101"/>
  <c r="Z164" i="79" s="1"/>
  <c r="Y164" i="101"/>
  <c r="Y164" i="79" s="1"/>
  <c r="X164" i="101"/>
  <c r="W164" i="101"/>
  <c r="V164" i="101"/>
  <c r="U164" i="101"/>
  <c r="T164" i="101"/>
  <c r="S164" i="101"/>
  <c r="S164" i="79" s="1"/>
  <c r="R164" i="101"/>
  <c r="R164" i="79" s="1"/>
  <c r="Q164" i="101"/>
  <c r="Q164" i="79" s="1"/>
  <c r="P164" i="101"/>
  <c r="P164" i="79" s="1"/>
  <c r="O164" i="101"/>
  <c r="N164" i="101"/>
  <c r="M164" i="101"/>
  <c r="L164" i="101"/>
  <c r="K164" i="101"/>
  <c r="J164" i="101"/>
  <c r="I164" i="101"/>
  <c r="H164" i="101"/>
  <c r="G164" i="101"/>
  <c r="F164" i="101"/>
  <c r="E164" i="101"/>
  <c r="E164" i="79" s="1"/>
  <c r="D164" i="101"/>
  <c r="D164" i="79" s="1"/>
  <c r="C164" i="101"/>
  <c r="C164" i="79" s="1"/>
  <c r="Z163" i="101"/>
  <c r="Z163" i="79" s="1"/>
  <c r="Y163" i="101"/>
  <c r="Y163" i="79" s="1"/>
  <c r="X163" i="101"/>
  <c r="W163" i="101"/>
  <c r="V163" i="101"/>
  <c r="U163" i="101"/>
  <c r="T163" i="101"/>
  <c r="S163" i="101"/>
  <c r="R163" i="101"/>
  <c r="Q163" i="101"/>
  <c r="P163" i="101"/>
  <c r="O163" i="101"/>
  <c r="O163" i="79" s="1"/>
  <c r="N163" i="101"/>
  <c r="N163" i="79" s="1"/>
  <c r="M163" i="101"/>
  <c r="M163" i="79" s="1"/>
  <c r="L163" i="101"/>
  <c r="L163" i="79" s="1"/>
  <c r="K163" i="101"/>
  <c r="K163" i="79" s="1"/>
  <c r="J163" i="101"/>
  <c r="J163" i="79" s="1"/>
  <c r="I163" i="101"/>
  <c r="I163" i="79" s="1"/>
  <c r="H163" i="101"/>
  <c r="H163" i="79" s="1"/>
  <c r="G163" i="101"/>
  <c r="F163" i="101"/>
  <c r="E163" i="101"/>
  <c r="D163" i="101"/>
  <c r="C163" i="101"/>
  <c r="Z162" i="101"/>
  <c r="Y162" i="101"/>
  <c r="X162" i="101"/>
  <c r="X162" i="79" s="1"/>
  <c r="W162" i="101"/>
  <c r="W162" i="79" s="1"/>
  <c r="V162" i="101"/>
  <c r="V162" i="79" s="1"/>
  <c r="U162" i="101"/>
  <c r="U162" i="79" s="1"/>
  <c r="T162" i="101"/>
  <c r="S162" i="101"/>
  <c r="S162" i="79" s="1"/>
  <c r="R162" i="101"/>
  <c r="R162" i="79" s="1"/>
  <c r="Q162" i="101"/>
  <c r="Q162" i="79" s="1"/>
  <c r="P162" i="101"/>
  <c r="P162" i="79" s="1"/>
  <c r="O162" i="101"/>
  <c r="O162" i="79" s="1"/>
  <c r="N162" i="101"/>
  <c r="M162" i="101"/>
  <c r="L162" i="101"/>
  <c r="K162" i="101"/>
  <c r="J162" i="101"/>
  <c r="I162" i="101"/>
  <c r="I162" i="79" s="1"/>
  <c r="H162" i="101"/>
  <c r="H162" i="79" s="1"/>
  <c r="G162" i="101"/>
  <c r="G162" i="79" s="1"/>
  <c r="F162" i="101"/>
  <c r="F162" i="79" s="1"/>
  <c r="E162" i="101"/>
  <c r="D162" i="101"/>
  <c r="C162" i="101"/>
  <c r="C162" i="79" s="1"/>
  <c r="Z161" i="101"/>
  <c r="Z161" i="79" s="1"/>
  <c r="Y161" i="101"/>
  <c r="Y161" i="79" s="1"/>
  <c r="X161" i="101"/>
  <c r="X161" i="79" s="1"/>
  <c r="W161" i="101"/>
  <c r="V161" i="101"/>
  <c r="U161" i="101"/>
  <c r="T161" i="101"/>
  <c r="S161" i="101"/>
  <c r="R161" i="101"/>
  <c r="R161" i="79" s="1"/>
  <c r="Q161" i="101"/>
  <c r="P161" i="101"/>
  <c r="O161" i="101"/>
  <c r="N161" i="101"/>
  <c r="M161" i="101"/>
  <c r="L161" i="101"/>
  <c r="K161" i="101"/>
  <c r="K161" i="79" s="1"/>
  <c r="J161" i="101"/>
  <c r="J161" i="79" s="1"/>
  <c r="I161" i="101"/>
  <c r="I161" i="79" s="1"/>
  <c r="H161" i="101"/>
  <c r="H161" i="79" s="1"/>
  <c r="G161" i="101"/>
  <c r="F161" i="101"/>
  <c r="E161" i="101"/>
  <c r="D161" i="101"/>
  <c r="C161" i="101"/>
  <c r="Z160" i="101"/>
  <c r="Z160" i="79" s="1"/>
  <c r="Y160" i="101"/>
  <c r="Y160" i="79" s="1"/>
  <c r="X160" i="101"/>
  <c r="X160" i="79" s="1"/>
  <c r="W160" i="101"/>
  <c r="V160" i="101"/>
  <c r="U160" i="101"/>
  <c r="U160" i="79" s="1"/>
  <c r="T160" i="101"/>
  <c r="T160" i="79" s="1"/>
  <c r="S160" i="101"/>
  <c r="S160" i="79" s="1"/>
  <c r="R160" i="101"/>
  <c r="R160" i="79" s="1"/>
  <c r="Q160" i="101"/>
  <c r="P160" i="101"/>
  <c r="O160" i="101"/>
  <c r="N160" i="101"/>
  <c r="M160" i="101"/>
  <c r="L160" i="101"/>
  <c r="K160" i="101"/>
  <c r="J160" i="101"/>
  <c r="J160" i="79" s="1"/>
  <c r="I160" i="101"/>
  <c r="H160" i="101"/>
  <c r="G160" i="101"/>
  <c r="F160" i="101"/>
  <c r="E160" i="101"/>
  <c r="E160" i="79" s="1"/>
  <c r="D160" i="101"/>
  <c r="C160" i="101"/>
  <c r="C160" i="79" s="1"/>
  <c r="Z159" i="101"/>
  <c r="Z159" i="79" s="1"/>
  <c r="Y159" i="101"/>
  <c r="Y159" i="79" s="1"/>
  <c r="X159" i="101"/>
  <c r="X159" i="79" s="1"/>
  <c r="W159" i="101"/>
  <c r="V159" i="101"/>
  <c r="V159" i="79" s="1"/>
  <c r="U159" i="101"/>
  <c r="U159" i="79" s="1"/>
  <c r="T159" i="101"/>
  <c r="T159" i="79" s="1"/>
  <c r="S159" i="101"/>
  <c r="R159" i="101"/>
  <c r="Q159" i="101"/>
  <c r="P159" i="101"/>
  <c r="P159" i="79" s="1"/>
  <c r="O159" i="101"/>
  <c r="O159" i="79" s="1"/>
  <c r="N159" i="101"/>
  <c r="N159" i="79" s="1"/>
  <c r="M159" i="101"/>
  <c r="M159" i="79" s="1"/>
  <c r="L159" i="101"/>
  <c r="K159" i="101"/>
  <c r="J159" i="101"/>
  <c r="I159" i="101"/>
  <c r="I159" i="79" s="1"/>
  <c r="H159" i="101"/>
  <c r="H159" i="79" s="1"/>
  <c r="G159" i="101"/>
  <c r="F159" i="101"/>
  <c r="F159" i="79" s="1"/>
  <c r="E159" i="101"/>
  <c r="D159" i="101"/>
  <c r="C159" i="101"/>
  <c r="Z158" i="101"/>
  <c r="Y158" i="101"/>
  <c r="X158" i="101"/>
  <c r="W158" i="101"/>
  <c r="V158" i="101"/>
  <c r="V158" i="79" s="1"/>
  <c r="U158" i="101"/>
  <c r="U158" i="79" s="1"/>
  <c r="T158" i="101"/>
  <c r="T158" i="79" s="1"/>
  <c r="S158" i="101"/>
  <c r="S158" i="79" s="1"/>
  <c r="R158" i="101"/>
  <c r="R158" i="79" s="1"/>
  <c r="Q158" i="101"/>
  <c r="Q158" i="79" s="1"/>
  <c r="P158" i="101"/>
  <c r="P158" i="79" s="1"/>
  <c r="O158" i="101"/>
  <c r="N158" i="101"/>
  <c r="N158" i="79" s="1"/>
  <c r="M158" i="101"/>
  <c r="L158" i="101"/>
  <c r="L158" i="79" s="1"/>
  <c r="K158" i="101"/>
  <c r="J158" i="101"/>
  <c r="I158" i="101"/>
  <c r="H158" i="101"/>
  <c r="G158" i="101"/>
  <c r="F158" i="101"/>
  <c r="F158" i="79" s="1"/>
  <c r="E158" i="101"/>
  <c r="D158" i="101"/>
  <c r="C158" i="101"/>
  <c r="C158" i="79" s="1"/>
  <c r="Z157" i="101"/>
  <c r="Z157" i="79" s="1"/>
  <c r="Y157" i="101"/>
  <c r="Y157" i="79" s="1"/>
  <c r="X157" i="101"/>
  <c r="X157" i="79" s="1"/>
  <c r="W157" i="101"/>
  <c r="W157" i="79" s="1"/>
  <c r="V157" i="101"/>
  <c r="U157" i="101"/>
  <c r="T157" i="101"/>
  <c r="T157" i="79" s="1"/>
  <c r="S157" i="101"/>
  <c r="R157" i="101"/>
  <c r="Q157" i="101"/>
  <c r="P157" i="101"/>
  <c r="O157" i="101"/>
  <c r="N157" i="101"/>
  <c r="M157" i="101"/>
  <c r="L157" i="101"/>
  <c r="K157" i="101"/>
  <c r="J157" i="101"/>
  <c r="J157" i="79" s="1"/>
  <c r="I157" i="101"/>
  <c r="I157" i="79" s="1"/>
  <c r="H157" i="101"/>
  <c r="H157" i="79" s="1"/>
  <c r="G157" i="101"/>
  <c r="G157" i="79" s="1"/>
  <c r="F157" i="101"/>
  <c r="E157" i="101"/>
  <c r="D157" i="101"/>
  <c r="C157" i="101"/>
  <c r="Z156" i="101"/>
  <c r="Y156" i="101"/>
  <c r="X156" i="101"/>
  <c r="W156" i="101"/>
  <c r="V156" i="101"/>
  <c r="V156" i="79" s="1"/>
  <c r="U156" i="101"/>
  <c r="T156" i="101"/>
  <c r="S156" i="101"/>
  <c r="S156" i="79" s="1"/>
  <c r="R156" i="101"/>
  <c r="R156" i="79" s="1"/>
  <c r="Q156" i="101"/>
  <c r="Q156" i="79" s="1"/>
  <c r="P156" i="101"/>
  <c r="P156" i="79" s="1"/>
  <c r="O156" i="101"/>
  <c r="N156" i="101"/>
  <c r="M156" i="101"/>
  <c r="L156" i="101"/>
  <c r="L156" i="79" s="1"/>
  <c r="K156" i="101"/>
  <c r="J156" i="101"/>
  <c r="I156" i="101"/>
  <c r="H156" i="101"/>
  <c r="G156" i="101"/>
  <c r="G156" i="79" s="1"/>
  <c r="F156" i="101"/>
  <c r="E156" i="101"/>
  <c r="E156" i="79" s="1"/>
  <c r="D156" i="101"/>
  <c r="C156" i="101"/>
  <c r="C156" i="79" s="1"/>
  <c r="Z155" i="101"/>
  <c r="Z155" i="79" s="1"/>
  <c r="Y155" i="101"/>
  <c r="Y155" i="79" s="1"/>
  <c r="X155" i="101"/>
  <c r="X155" i="79" s="1"/>
  <c r="W155" i="101"/>
  <c r="V155" i="101"/>
  <c r="U155" i="101"/>
  <c r="U155" i="79" s="1"/>
  <c r="T155" i="101"/>
  <c r="S155" i="101"/>
  <c r="R155" i="101"/>
  <c r="Q155" i="101"/>
  <c r="P155" i="101"/>
  <c r="O155" i="101"/>
  <c r="N155" i="101"/>
  <c r="N155" i="79" s="1"/>
  <c r="M155" i="101"/>
  <c r="M155" i="79" s="1"/>
  <c r="L155" i="101"/>
  <c r="L155" i="79" s="1"/>
  <c r="K155" i="101"/>
  <c r="K155" i="79" s="1"/>
  <c r="J155" i="101"/>
  <c r="J155" i="79" s="1"/>
  <c r="I155" i="101"/>
  <c r="I155" i="79" s="1"/>
  <c r="H155" i="101"/>
  <c r="H155" i="79" s="1"/>
  <c r="G155" i="101"/>
  <c r="F155" i="101"/>
  <c r="E155" i="101"/>
  <c r="D155" i="101"/>
  <c r="C155" i="101"/>
  <c r="Z154" i="101"/>
  <c r="Y154" i="101"/>
  <c r="X154" i="101"/>
  <c r="W154" i="101"/>
  <c r="V154" i="101"/>
  <c r="V154" i="79" s="1"/>
  <c r="U154" i="101"/>
  <c r="U154" i="79" s="1"/>
  <c r="T154" i="101"/>
  <c r="S154" i="101"/>
  <c r="S154" i="79" s="1"/>
  <c r="R154" i="101"/>
  <c r="R154" i="79" s="1"/>
  <c r="Q154" i="101"/>
  <c r="Q154" i="79" s="1"/>
  <c r="P154" i="101"/>
  <c r="P154" i="79" s="1"/>
  <c r="O154" i="101"/>
  <c r="N154" i="101"/>
  <c r="M154" i="101"/>
  <c r="L154" i="101"/>
  <c r="K154" i="101"/>
  <c r="J154" i="101"/>
  <c r="I154" i="101"/>
  <c r="H154" i="101"/>
  <c r="G154" i="101"/>
  <c r="F154" i="101"/>
  <c r="F154" i="79" s="1"/>
  <c r="E154" i="101"/>
  <c r="E154" i="79" s="1"/>
  <c r="D154" i="101"/>
  <c r="C154" i="101"/>
  <c r="AD153" i="101"/>
  <c r="Z153" i="101"/>
  <c r="Z153" i="79" s="1"/>
  <c r="Y153" i="101"/>
  <c r="X153" i="101"/>
  <c r="W153" i="101"/>
  <c r="V153" i="101"/>
  <c r="U153" i="101"/>
  <c r="T153" i="101"/>
  <c r="S153" i="101"/>
  <c r="R153" i="101"/>
  <c r="Q153" i="101"/>
  <c r="P153" i="101"/>
  <c r="O153" i="101"/>
  <c r="O153" i="79" s="1"/>
  <c r="N153" i="101"/>
  <c r="N153" i="79" s="1"/>
  <c r="M153" i="101"/>
  <c r="M153" i="79" s="1"/>
  <c r="L153" i="101"/>
  <c r="L153" i="79" s="1"/>
  <c r="K153" i="101"/>
  <c r="K153" i="79" s="1"/>
  <c r="J153" i="101"/>
  <c r="J153" i="79" s="1"/>
  <c r="I153" i="101"/>
  <c r="H153" i="101"/>
  <c r="G153" i="101"/>
  <c r="F153" i="101"/>
  <c r="E153" i="101"/>
  <c r="D153" i="101"/>
  <c r="C153" i="101"/>
  <c r="Z152" i="101"/>
  <c r="Z152" i="79" s="1"/>
  <c r="Y152" i="101"/>
  <c r="Y152" i="79" s="1"/>
  <c r="X152" i="101"/>
  <c r="X152" i="79" s="1"/>
  <c r="W152" i="101"/>
  <c r="W152" i="79" s="1"/>
  <c r="V152" i="101"/>
  <c r="V152" i="79" s="1"/>
  <c r="U152" i="101"/>
  <c r="U152" i="79" s="1"/>
  <c r="T152" i="101"/>
  <c r="T152" i="79" s="1"/>
  <c r="S152" i="101"/>
  <c r="S152" i="79" s="1"/>
  <c r="R152" i="101"/>
  <c r="Q152" i="101"/>
  <c r="P152" i="101"/>
  <c r="P152" i="79" s="1"/>
  <c r="O152" i="101"/>
  <c r="N152" i="101"/>
  <c r="M152" i="101"/>
  <c r="M152" i="79" s="1"/>
  <c r="L152" i="101"/>
  <c r="K152" i="101"/>
  <c r="J152" i="101"/>
  <c r="I152" i="101"/>
  <c r="H152" i="101"/>
  <c r="G152" i="101"/>
  <c r="G152" i="79" s="1"/>
  <c r="F152" i="101"/>
  <c r="F152" i="79" s="1"/>
  <c r="E152" i="101"/>
  <c r="E152" i="79" s="1"/>
  <c r="D152" i="101"/>
  <c r="C152" i="101"/>
  <c r="Z151" i="101"/>
  <c r="Y151" i="101"/>
  <c r="Y151" i="79" s="1"/>
  <c r="X151" i="101"/>
  <c r="W151" i="101"/>
  <c r="W151" i="79" s="1"/>
  <c r="V151" i="101"/>
  <c r="V151" i="79" s="1"/>
  <c r="U151" i="101"/>
  <c r="T151" i="101"/>
  <c r="T151" i="79" s="1"/>
  <c r="S151" i="101"/>
  <c r="R151" i="101"/>
  <c r="Q151" i="101"/>
  <c r="P151" i="101"/>
  <c r="O151" i="101"/>
  <c r="N151" i="101"/>
  <c r="N151" i="79" s="1"/>
  <c r="M151" i="101"/>
  <c r="M151" i="79" s="1"/>
  <c r="L151" i="101"/>
  <c r="L151" i="79" s="1"/>
  <c r="K151" i="101"/>
  <c r="J151" i="101"/>
  <c r="I151" i="101"/>
  <c r="I151" i="79" s="1"/>
  <c r="H151" i="101"/>
  <c r="G151" i="101"/>
  <c r="G151" i="79" s="1"/>
  <c r="F151" i="101"/>
  <c r="F151" i="79" s="1"/>
  <c r="E151" i="101"/>
  <c r="D151" i="101"/>
  <c r="C151" i="101"/>
  <c r="Z150" i="101"/>
  <c r="Y150" i="101"/>
  <c r="X150" i="101"/>
  <c r="W150" i="101"/>
  <c r="V150" i="101"/>
  <c r="V150" i="79" s="1"/>
  <c r="U150" i="101"/>
  <c r="U150" i="79" s="1"/>
  <c r="T150" i="101"/>
  <c r="T150" i="79" s="1"/>
  <c r="S150" i="101"/>
  <c r="S150" i="79" s="1"/>
  <c r="R150" i="101"/>
  <c r="Q150" i="101"/>
  <c r="P150" i="101"/>
  <c r="O150" i="101"/>
  <c r="N150" i="101"/>
  <c r="M150" i="101"/>
  <c r="L150" i="101"/>
  <c r="K150" i="101"/>
  <c r="J150" i="101"/>
  <c r="I150" i="101"/>
  <c r="H150" i="101"/>
  <c r="G150" i="101"/>
  <c r="F150" i="101"/>
  <c r="E150" i="101"/>
  <c r="E150" i="79" s="1"/>
  <c r="D150" i="101"/>
  <c r="D150" i="79" s="1"/>
  <c r="C150" i="101"/>
  <c r="Z149" i="101"/>
  <c r="Y149" i="101"/>
  <c r="X149" i="101"/>
  <c r="X149" i="79" s="1"/>
  <c r="W149" i="101"/>
  <c r="V149" i="101"/>
  <c r="U149" i="101"/>
  <c r="U149" i="79" s="1"/>
  <c r="T149" i="101"/>
  <c r="T149" i="79" s="1"/>
  <c r="S149" i="101"/>
  <c r="R149" i="101"/>
  <c r="Q149" i="101"/>
  <c r="P149" i="101"/>
  <c r="P149" i="79" s="1"/>
  <c r="O149" i="101"/>
  <c r="O149" i="79" s="1"/>
  <c r="N149" i="101"/>
  <c r="N149" i="79" s="1"/>
  <c r="M149" i="101"/>
  <c r="M149" i="79" s="1"/>
  <c r="L149" i="101"/>
  <c r="L149" i="79" s="1"/>
  <c r="K149" i="101"/>
  <c r="K149" i="79" s="1"/>
  <c r="J149" i="101"/>
  <c r="J149" i="79" s="1"/>
  <c r="I149" i="101"/>
  <c r="H149" i="101"/>
  <c r="G149" i="101"/>
  <c r="F149" i="101"/>
  <c r="E149" i="101"/>
  <c r="D149" i="101"/>
  <c r="C149" i="101"/>
  <c r="Z148" i="101"/>
  <c r="Y148" i="101"/>
  <c r="Y148" i="79" s="1"/>
  <c r="X148" i="101"/>
  <c r="X148" i="79" s="1"/>
  <c r="W148" i="101"/>
  <c r="W148" i="79" s="1"/>
  <c r="V148" i="101"/>
  <c r="V148" i="79" s="1"/>
  <c r="U148" i="101"/>
  <c r="U148" i="79" s="1"/>
  <c r="T148" i="101"/>
  <c r="T148" i="79" s="1"/>
  <c r="S148" i="101"/>
  <c r="R148" i="101"/>
  <c r="R148" i="79" s="1"/>
  <c r="Q148" i="101"/>
  <c r="Q148" i="79" s="1"/>
  <c r="P148" i="101"/>
  <c r="O148" i="101"/>
  <c r="N148" i="101"/>
  <c r="M148" i="101"/>
  <c r="L148" i="101"/>
  <c r="L148" i="79" s="1"/>
  <c r="K148" i="101"/>
  <c r="J148" i="101"/>
  <c r="I148" i="101"/>
  <c r="H148" i="101"/>
  <c r="H148" i="79" s="1"/>
  <c r="G148" i="101"/>
  <c r="G148" i="79" s="1"/>
  <c r="F148" i="101"/>
  <c r="F148" i="79" s="1"/>
  <c r="E148" i="101"/>
  <c r="D148" i="101"/>
  <c r="C148" i="101"/>
  <c r="Z147" i="101"/>
  <c r="Y147" i="101"/>
  <c r="X147" i="101"/>
  <c r="W147" i="101"/>
  <c r="V147" i="101"/>
  <c r="V147" i="79" s="1"/>
  <c r="U147" i="101"/>
  <c r="U147" i="79" s="1"/>
  <c r="T147" i="101"/>
  <c r="T147" i="79" s="1"/>
  <c r="S147" i="101"/>
  <c r="R147" i="101"/>
  <c r="Q147" i="101"/>
  <c r="P147" i="101"/>
  <c r="P147" i="79" s="1"/>
  <c r="O147" i="101"/>
  <c r="N147" i="101"/>
  <c r="N147" i="79" s="1"/>
  <c r="M147" i="101"/>
  <c r="M147" i="79" s="1"/>
  <c r="L147" i="101"/>
  <c r="K147" i="101"/>
  <c r="J147" i="101"/>
  <c r="I147" i="101"/>
  <c r="H147" i="101"/>
  <c r="G147" i="101"/>
  <c r="F147" i="101"/>
  <c r="E147" i="101"/>
  <c r="D147" i="101"/>
  <c r="C147" i="101"/>
  <c r="C147" i="79" s="1"/>
  <c r="Z146" i="101"/>
  <c r="Y146" i="101"/>
  <c r="Y146" i="79" s="1"/>
  <c r="X146" i="101"/>
  <c r="X146" i="79" s="1"/>
  <c r="W146" i="101"/>
  <c r="V146" i="101"/>
  <c r="U146" i="101"/>
  <c r="T146" i="101"/>
  <c r="S146" i="101"/>
  <c r="R146" i="101"/>
  <c r="R146" i="79" s="1"/>
  <c r="Q146" i="101"/>
  <c r="Q146" i="79" s="1"/>
  <c r="P146" i="101"/>
  <c r="O146" i="101"/>
  <c r="N146" i="101"/>
  <c r="M146" i="101"/>
  <c r="M146" i="79" s="1"/>
  <c r="L146" i="101"/>
  <c r="L146" i="79" s="1"/>
  <c r="K146" i="101"/>
  <c r="J146" i="101"/>
  <c r="J146" i="79" s="1"/>
  <c r="I146" i="101"/>
  <c r="I146" i="79" s="1"/>
  <c r="H146" i="101"/>
  <c r="G146" i="101"/>
  <c r="F146" i="101"/>
  <c r="E146" i="101"/>
  <c r="D146" i="101"/>
  <c r="C146" i="101"/>
  <c r="Z145" i="101"/>
  <c r="Y145" i="101"/>
  <c r="Y145" i="79" s="1"/>
  <c r="X145" i="101"/>
  <c r="X145" i="79" s="1"/>
  <c r="W145" i="101"/>
  <c r="V145" i="101"/>
  <c r="U145" i="101"/>
  <c r="U145" i="79" s="1"/>
  <c r="T145" i="101"/>
  <c r="S145" i="101"/>
  <c r="R145" i="101"/>
  <c r="Q145" i="101"/>
  <c r="P145" i="101"/>
  <c r="P145" i="79" s="1"/>
  <c r="O145" i="101"/>
  <c r="O145" i="79" s="1"/>
  <c r="N145" i="101"/>
  <c r="N145" i="79" s="1"/>
  <c r="M145" i="101"/>
  <c r="L145" i="101"/>
  <c r="K145" i="101"/>
  <c r="J145" i="101"/>
  <c r="I145" i="101"/>
  <c r="I145" i="79" s="1"/>
  <c r="H145" i="101"/>
  <c r="H145" i="79" s="1"/>
  <c r="G145" i="101"/>
  <c r="F145" i="101"/>
  <c r="F145" i="79" s="1"/>
  <c r="E145" i="101"/>
  <c r="D145" i="101"/>
  <c r="D145" i="79" s="1"/>
  <c r="C145" i="101"/>
  <c r="Z144" i="101"/>
  <c r="Y144" i="101"/>
  <c r="X144" i="101"/>
  <c r="W144" i="101"/>
  <c r="V144" i="101"/>
  <c r="U144" i="101"/>
  <c r="T144" i="101"/>
  <c r="S144" i="101"/>
  <c r="R144" i="101"/>
  <c r="Q144" i="101"/>
  <c r="Q144" i="79" s="1"/>
  <c r="P144" i="101"/>
  <c r="P144" i="79" s="1"/>
  <c r="O144" i="101"/>
  <c r="O144" i="79" s="1"/>
  <c r="N144" i="101"/>
  <c r="N144" i="79" s="1"/>
  <c r="M144" i="101"/>
  <c r="L144" i="101"/>
  <c r="K144" i="101"/>
  <c r="J144" i="101"/>
  <c r="I144" i="101"/>
  <c r="I144" i="79" s="1"/>
  <c r="H144" i="101"/>
  <c r="H144" i="79" s="1"/>
  <c r="G144" i="101"/>
  <c r="G144" i="79" s="1"/>
  <c r="F144" i="101"/>
  <c r="E144" i="101"/>
  <c r="D144" i="101"/>
  <c r="C144" i="101"/>
  <c r="Z143" i="101"/>
  <c r="Z143" i="79" s="1"/>
  <c r="Y143" i="101"/>
  <c r="X143" i="101"/>
  <c r="W143" i="101"/>
  <c r="W143" i="79" s="1"/>
  <c r="V143" i="101"/>
  <c r="V143" i="79" s="1"/>
  <c r="U143" i="101"/>
  <c r="T143" i="101"/>
  <c r="S143" i="101"/>
  <c r="R143" i="101"/>
  <c r="R143" i="79" s="1"/>
  <c r="Q143" i="101"/>
  <c r="Q143" i="79" s="1"/>
  <c r="P143" i="101"/>
  <c r="P143" i="79" s="1"/>
  <c r="O143" i="101"/>
  <c r="O143" i="79" s="1"/>
  <c r="N143" i="101"/>
  <c r="M143" i="101"/>
  <c r="L143" i="101"/>
  <c r="L143" i="79" s="1"/>
  <c r="K143" i="101"/>
  <c r="K143" i="79" s="1"/>
  <c r="J143" i="101"/>
  <c r="I143" i="101"/>
  <c r="H143" i="101"/>
  <c r="G143" i="101"/>
  <c r="F143" i="101"/>
  <c r="E143" i="101"/>
  <c r="D143" i="101"/>
  <c r="C143" i="101"/>
  <c r="Z142" i="101"/>
  <c r="Z142" i="79" s="1"/>
  <c r="Y142" i="101"/>
  <c r="X142" i="101"/>
  <c r="X142" i="79" s="1"/>
  <c r="W142" i="101"/>
  <c r="W142" i="79" s="1"/>
  <c r="V142" i="101"/>
  <c r="U142" i="101"/>
  <c r="T142" i="101"/>
  <c r="S142" i="101"/>
  <c r="R142" i="101"/>
  <c r="Q142" i="101"/>
  <c r="P142" i="101"/>
  <c r="O142" i="101"/>
  <c r="N142" i="101"/>
  <c r="M142" i="101"/>
  <c r="M142" i="79" s="1"/>
  <c r="L142" i="101"/>
  <c r="L142" i="79" s="1"/>
  <c r="K142" i="101"/>
  <c r="J142" i="101"/>
  <c r="J142" i="79" s="1"/>
  <c r="I142" i="101"/>
  <c r="H142" i="101"/>
  <c r="H142" i="79" s="1"/>
  <c r="G142" i="101"/>
  <c r="G142" i="79" s="1"/>
  <c r="F142" i="101"/>
  <c r="E142" i="101"/>
  <c r="D142" i="101"/>
  <c r="C142" i="101"/>
  <c r="Z141" i="101"/>
  <c r="Y141" i="101"/>
  <c r="X141" i="101"/>
  <c r="X141" i="79" s="1"/>
  <c r="W141" i="101"/>
  <c r="V141" i="101"/>
  <c r="V141" i="79" s="1"/>
  <c r="U141" i="101"/>
  <c r="T141" i="101"/>
  <c r="S141" i="101"/>
  <c r="S141" i="79" s="1"/>
  <c r="R141" i="101"/>
  <c r="R141" i="79" s="1"/>
  <c r="Q141" i="101"/>
  <c r="Q141" i="79" s="1"/>
  <c r="P141" i="101"/>
  <c r="P141" i="79" s="1"/>
  <c r="O141" i="101"/>
  <c r="O141" i="79" s="1"/>
  <c r="N141" i="101"/>
  <c r="M141" i="101"/>
  <c r="L141" i="101"/>
  <c r="K141" i="101"/>
  <c r="J141" i="101"/>
  <c r="I141" i="101"/>
  <c r="H141" i="101"/>
  <c r="G141" i="101"/>
  <c r="G141" i="79" s="1"/>
  <c r="F141" i="101"/>
  <c r="F141" i="79" s="1"/>
  <c r="E141" i="101"/>
  <c r="D141" i="101"/>
  <c r="C141" i="101"/>
  <c r="Z140" i="101"/>
  <c r="Z140" i="79" s="1"/>
  <c r="Y140" i="101"/>
  <c r="Y140" i="79" s="1"/>
  <c r="X140" i="101"/>
  <c r="X140" i="79" s="1"/>
  <c r="W140" i="101"/>
  <c r="V140" i="101"/>
  <c r="U140" i="101"/>
  <c r="T140" i="101"/>
  <c r="S140" i="101"/>
  <c r="R140" i="101"/>
  <c r="R140" i="79" s="1"/>
  <c r="Q140" i="101"/>
  <c r="P140" i="101"/>
  <c r="O140" i="101"/>
  <c r="N140" i="101"/>
  <c r="M140" i="101"/>
  <c r="M140" i="79" s="1"/>
  <c r="L140" i="101"/>
  <c r="K140" i="101"/>
  <c r="J140" i="101"/>
  <c r="I140" i="101"/>
  <c r="H140" i="101"/>
  <c r="H140" i="79" s="1"/>
  <c r="G140" i="101"/>
  <c r="F140" i="101"/>
  <c r="F140" i="79" s="1"/>
  <c r="E140" i="101"/>
  <c r="D140" i="101"/>
  <c r="C140" i="101"/>
  <c r="Z139" i="101"/>
  <c r="Y139" i="101"/>
  <c r="X139" i="101"/>
  <c r="W139" i="101"/>
  <c r="W139" i="79" s="1"/>
  <c r="V139" i="101"/>
  <c r="U139" i="101"/>
  <c r="T139" i="101"/>
  <c r="S139" i="101"/>
  <c r="R139" i="101"/>
  <c r="Q139" i="101"/>
  <c r="Q139" i="79" s="1"/>
  <c r="P139" i="101"/>
  <c r="O139" i="101"/>
  <c r="N139" i="101"/>
  <c r="M139" i="101"/>
  <c r="L139" i="101"/>
  <c r="K139" i="101"/>
  <c r="J139" i="101"/>
  <c r="J138" i="101" s="1"/>
  <c r="I139" i="101"/>
  <c r="H139" i="101"/>
  <c r="G139" i="101"/>
  <c r="F139" i="101"/>
  <c r="E139" i="101"/>
  <c r="E139" i="79" s="1"/>
  <c r="D139" i="101"/>
  <c r="C139" i="101"/>
  <c r="AD138" i="101"/>
  <c r="AA138" i="101"/>
  <c r="AF138" i="101" s="1"/>
  <c r="N138" i="101"/>
  <c r="Z137" i="101"/>
  <c r="Y137" i="101"/>
  <c r="X137" i="101"/>
  <c r="W137" i="101"/>
  <c r="W137" i="79" s="1"/>
  <c r="V137" i="101"/>
  <c r="V137" i="79" s="1"/>
  <c r="U137" i="101"/>
  <c r="U137" i="79" s="1"/>
  <c r="T137" i="101"/>
  <c r="T137" i="79" s="1"/>
  <c r="S137" i="101"/>
  <c r="S137" i="79" s="1"/>
  <c r="R137" i="101"/>
  <c r="R137" i="79" s="1"/>
  <c r="Q137" i="101"/>
  <c r="Q137" i="79" s="1"/>
  <c r="P137" i="101"/>
  <c r="O137" i="101"/>
  <c r="N137" i="101"/>
  <c r="M137" i="101"/>
  <c r="L137" i="101"/>
  <c r="L137" i="79" s="1"/>
  <c r="K137" i="101"/>
  <c r="J137" i="101"/>
  <c r="I137" i="101"/>
  <c r="H137" i="101"/>
  <c r="G137" i="101"/>
  <c r="G137" i="79" s="1"/>
  <c r="F137" i="101"/>
  <c r="AE137" i="101" s="1"/>
  <c r="E137" i="101"/>
  <c r="AD137" i="101" s="1"/>
  <c r="D137" i="101"/>
  <c r="C137" i="101"/>
  <c r="Z136" i="101"/>
  <c r="Y136" i="101"/>
  <c r="Y136" i="79" s="1"/>
  <c r="X136" i="101"/>
  <c r="X136" i="79" s="1"/>
  <c r="W136" i="101"/>
  <c r="W136" i="79" s="1"/>
  <c r="V136" i="101"/>
  <c r="U136" i="101"/>
  <c r="U136" i="79" s="1"/>
  <c r="T136" i="101"/>
  <c r="T136" i="79" s="1"/>
  <c r="S136" i="101"/>
  <c r="R136" i="101"/>
  <c r="Q136" i="101"/>
  <c r="Q136" i="79" s="1"/>
  <c r="P136" i="101"/>
  <c r="P136" i="79" s="1"/>
  <c r="O136" i="101"/>
  <c r="O136" i="79" s="1"/>
  <c r="N136" i="101"/>
  <c r="M136" i="101"/>
  <c r="L136" i="101"/>
  <c r="L136" i="79" s="1"/>
  <c r="K136" i="101"/>
  <c r="J136" i="101"/>
  <c r="I136" i="101"/>
  <c r="I136" i="79" s="1"/>
  <c r="H136" i="101"/>
  <c r="G136" i="101"/>
  <c r="F136" i="101"/>
  <c r="E136" i="101"/>
  <c r="D136" i="101"/>
  <c r="D136" i="79" s="1"/>
  <c r="C136" i="101"/>
  <c r="Z135" i="101"/>
  <c r="Y135" i="101"/>
  <c r="X135" i="101"/>
  <c r="W135" i="101"/>
  <c r="V135" i="101"/>
  <c r="V135" i="79" s="1"/>
  <c r="U135" i="101"/>
  <c r="U135" i="79" s="1"/>
  <c r="T135" i="101"/>
  <c r="T135" i="79" s="1"/>
  <c r="S135" i="101"/>
  <c r="S135" i="79" s="1"/>
  <c r="R135" i="101"/>
  <c r="R135" i="79" s="1"/>
  <c r="Q135" i="101"/>
  <c r="P135" i="101"/>
  <c r="O135" i="101"/>
  <c r="N135" i="101"/>
  <c r="M135" i="101"/>
  <c r="M135" i="79" s="1"/>
  <c r="L135" i="101"/>
  <c r="K135" i="101"/>
  <c r="J135" i="101"/>
  <c r="I135" i="101"/>
  <c r="H135" i="101"/>
  <c r="G135" i="101"/>
  <c r="F135" i="101"/>
  <c r="F135" i="79" s="1"/>
  <c r="E135" i="101"/>
  <c r="E135" i="79" s="1"/>
  <c r="D135" i="101"/>
  <c r="C135" i="101"/>
  <c r="Z134" i="101"/>
  <c r="Z134" i="79" s="1"/>
  <c r="Y134" i="101"/>
  <c r="X134" i="101"/>
  <c r="W134" i="101"/>
  <c r="W134" i="79" s="1"/>
  <c r="V134" i="101"/>
  <c r="V134" i="79" s="1"/>
  <c r="U134" i="101"/>
  <c r="U134" i="79" s="1"/>
  <c r="T134" i="101"/>
  <c r="T134" i="79" s="1"/>
  <c r="S134" i="101"/>
  <c r="R134" i="101"/>
  <c r="Q134" i="101"/>
  <c r="P134" i="101"/>
  <c r="O134" i="101"/>
  <c r="O134" i="79" s="1"/>
  <c r="N134" i="101"/>
  <c r="N134" i="79" s="1"/>
  <c r="M134" i="101"/>
  <c r="M134" i="79" s="1"/>
  <c r="L134" i="101"/>
  <c r="K134" i="101"/>
  <c r="J134" i="101"/>
  <c r="J134" i="79" s="1"/>
  <c r="I134" i="101"/>
  <c r="H134" i="101"/>
  <c r="G134" i="101"/>
  <c r="F134" i="101"/>
  <c r="E134" i="101"/>
  <c r="D134" i="101"/>
  <c r="D134" i="79" s="1"/>
  <c r="C134" i="101"/>
  <c r="Z133" i="101"/>
  <c r="Y133" i="101"/>
  <c r="X133" i="101"/>
  <c r="W133" i="101"/>
  <c r="V133" i="101"/>
  <c r="V133" i="79" s="1"/>
  <c r="U133" i="101"/>
  <c r="U133" i="79" s="1"/>
  <c r="T133" i="101"/>
  <c r="T133" i="79" s="1"/>
  <c r="S133" i="101"/>
  <c r="S133" i="79" s="1"/>
  <c r="R133" i="101"/>
  <c r="Q133" i="101"/>
  <c r="P133" i="101"/>
  <c r="O133" i="101"/>
  <c r="N133" i="101"/>
  <c r="M133" i="101"/>
  <c r="L133" i="101"/>
  <c r="K133" i="101"/>
  <c r="K133" i="79" s="1"/>
  <c r="J133" i="101"/>
  <c r="I133" i="101"/>
  <c r="H133" i="101"/>
  <c r="G133" i="101"/>
  <c r="F133" i="101"/>
  <c r="F133" i="79" s="1"/>
  <c r="E133" i="101"/>
  <c r="E133" i="79" s="1"/>
  <c r="D133" i="101"/>
  <c r="C133" i="101"/>
  <c r="Z132" i="101"/>
  <c r="Z132" i="79" s="1"/>
  <c r="Y132" i="101"/>
  <c r="X132" i="101"/>
  <c r="W132" i="101"/>
  <c r="V132" i="101"/>
  <c r="U132" i="101"/>
  <c r="T132" i="101"/>
  <c r="S132" i="101"/>
  <c r="R132" i="101"/>
  <c r="Q132" i="101"/>
  <c r="P132" i="101"/>
  <c r="P132" i="79" s="1"/>
  <c r="O132" i="101"/>
  <c r="N132" i="101"/>
  <c r="M132" i="101"/>
  <c r="L132" i="101"/>
  <c r="K132" i="101"/>
  <c r="K132" i="79" s="1"/>
  <c r="J132" i="101"/>
  <c r="J132" i="79" s="1"/>
  <c r="I132" i="101"/>
  <c r="H132" i="101"/>
  <c r="G132" i="101"/>
  <c r="F132" i="101"/>
  <c r="E132" i="101"/>
  <c r="D132" i="101"/>
  <c r="D132" i="79" s="1"/>
  <c r="C132" i="101"/>
  <c r="Z131" i="101"/>
  <c r="Z131" i="79" s="1"/>
  <c r="Y131" i="101"/>
  <c r="X131" i="101"/>
  <c r="W131" i="101"/>
  <c r="V131" i="101"/>
  <c r="V131" i="79" s="1"/>
  <c r="U131" i="101"/>
  <c r="U131" i="79" s="1"/>
  <c r="T131" i="101"/>
  <c r="S131" i="101"/>
  <c r="R131" i="101"/>
  <c r="Q131" i="101"/>
  <c r="Q131" i="79" s="1"/>
  <c r="P131" i="101"/>
  <c r="O131" i="101"/>
  <c r="O131" i="79" s="1"/>
  <c r="N131" i="101"/>
  <c r="M131" i="101"/>
  <c r="M131" i="79" s="1"/>
  <c r="L131" i="101"/>
  <c r="L131" i="79" s="1"/>
  <c r="K131" i="101"/>
  <c r="K131" i="79" s="1"/>
  <c r="J131" i="101"/>
  <c r="J131" i="79" s="1"/>
  <c r="I131" i="101"/>
  <c r="I131" i="79" s="1"/>
  <c r="H131" i="101"/>
  <c r="G131" i="101"/>
  <c r="F131" i="101"/>
  <c r="F131" i="79" s="1"/>
  <c r="E131" i="101"/>
  <c r="E131" i="79" s="1"/>
  <c r="D131" i="101"/>
  <c r="D131" i="79" s="1"/>
  <c r="C131" i="101"/>
  <c r="Z130" i="101"/>
  <c r="Y130" i="101"/>
  <c r="X130" i="101"/>
  <c r="W130" i="101"/>
  <c r="W130" i="79" s="1"/>
  <c r="V130" i="101"/>
  <c r="U130" i="101"/>
  <c r="U130" i="79" s="1"/>
  <c r="T130" i="101"/>
  <c r="T130" i="79" s="1"/>
  <c r="S130" i="101"/>
  <c r="R130" i="101"/>
  <c r="Q130" i="101"/>
  <c r="P130" i="101"/>
  <c r="P130" i="79" s="1"/>
  <c r="O130" i="101"/>
  <c r="O130" i="79" s="1"/>
  <c r="N130" i="101"/>
  <c r="N130" i="79" s="1"/>
  <c r="M130" i="101"/>
  <c r="M130" i="79" s="1"/>
  <c r="L130" i="101"/>
  <c r="K130" i="101"/>
  <c r="J130" i="101"/>
  <c r="J130" i="79" s="1"/>
  <c r="I130" i="101"/>
  <c r="H130" i="101"/>
  <c r="G130" i="101"/>
  <c r="F130" i="101"/>
  <c r="F130" i="79" s="1"/>
  <c r="E130" i="101"/>
  <c r="E130" i="79" s="1"/>
  <c r="D130" i="101"/>
  <c r="C130" i="101"/>
  <c r="Z129" i="101"/>
  <c r="Y129" i="101"/>
  <c r="X129" i="101"/>
  <c r="X129" i="79" s="1"/>
  <c r="W129" i="101"/>
  <c r="V129" i="101"/>
  <c r="V129" i="79" s="1"/>
  <c r="U129" i="101"/>
  <c r="U129" i="79" s="1"/>
  <c r="T129" i="101"/>
  <c r="T129" i="79" s="1"/>
  <c r="S129" i="101"/>
  <c r="R129" i="101"/>
  <c r="R129" i="79" s="1"/>
  <c r="Q129" i="101"/>
  <c r="Q129" i="79" s="1"/>
  <c r="P129" i="101"/>
  <c r="P129" i="79" s="1"/>
  <c r="O129" i="101"/>
  <c r="N129" i="101"/>
  <c r="M129" i="101"/>
  <c r="M129" i="79" s="1"/>
  <c r="L129" i="101"/>
  <c r="L129" i="79" s="1"/>
  <c r="K129" i="101"/>
  <c r="J129" i="101"/>
  <c r="I129" i="101"/>
  <c r="H129" i="101"/>
  <c r="H129" i="79" s="1"/>
  <c r="G129" i="101"/>
  <c r="F129" i="101"/>
  <c r="F129" i="79" s="1"/>
  <c r="E129" i="101"/>
  <c r="E129" i="79" s="1"/>
  <c r="D129" i="101"/>
  <c r="D129" i="79" s="1"/>
  <c r="C129" i="101"/>
  <c r="Z128" i="101"/>
  <c r="Y128" i="101"/>
  <c r="Y128" i="79" s="1"/>
  <c r="X128" i="101"/>
  <c r="X128" i="79" s="1"/>
  <c r="W128" i="101"/>
  <c r="W128" i="79" s="1"/>
  <c r="V128" i="101"/>
  <c r="U128" i="101"/>
  <c r="T128" i="101"/>
  <c r="T128" i="79" s="1"/>
  <c r="S128" i="101"/>
  <c r="R128" i="101"/>
  <c r="Q128" i="101"/>
  <c r="P128" i="101"/>
  <c r="O128" i="101"/>
  <c r="N128" i="101"/>
  <c r="N128" i="79" s="1"/>
  <c r="M128" i="101"/>
  <c r="M128" i="79" s="1"/>
  <c r="L128" i="101"/>
  <c r="L128" i="79" s="1"/>
  <c r="K128" i="101"/>
  <c r="J128" i="101"/>
  <c r="J128" i="79" s="1"/>
  <c r="I128" i="101"/>
  <c r="I128" i="79" s="1"/>
  <c r="H128" i="101"/>
  <c r="G128" i="101"/>
  <c r="G128" i="79" s="1"/>
  <c r="F128" i="101"/>
  <c r="F128" i="79" s="1"/>
  <c r="E128" i="101"/>
  <c r="E128" i="79" s="1"/>
  <c r="D128" i="101"/>
  <c r="D128" i="79" s="1"/>
  <c r="C128" i="101"/>
  <c r="Z127" i="101"/>
  <c r="Y127" i="101"/>
  <c r="X127" i="101"/>
  <c r="X127" i="79" s="1"/>
  <c r="W127" i="101"/>
  <c r="V127" i="101"/>
  <c r="V127" i="79" s="1"/>
  <c r="U127" i="101"/>
  <c r="U127" i="79" s="1"/>
  <c r="T127" i="101"/>
  <c r="T127" i="79" s="1"/>
  <c r="S127" i="101"/>
  <c r="S127" i="79" s="1"/>
  <c r="R127" i="101"/>
  <c r="R126" i="101" s="1"/>
  <c r="R126" i="79" s="1"/>
  <c r="Q127" i="101"/>
  <c r="P127" i="101"/>
  <c r="P126" i="101" s="1"/>
  <c r="P126" i="79" s="1"/>
  <c r="O127" i="101"/>
  <c r="O127" i="79" s="1"/>
  <c r="N127" i="101"/>
  <c r="M127" i="101"/>
  <c r="L127" i="101"/>
  <c r="L127" i="79" s="1"/>
  <c r="K127" i="101"/>
  <c r="J127" i="101"/>
  <c r="I127" i="101"/>
  <c r="H127" i="101"/>
  <c r="G127" i="101"/>
  <c r="F127" i="101"/>
  <c r="F127" i="79" s="1"/>
  <c r="E127" i="101"/>
  <c r="E127" i="79" s="1"/>
  <c r="D127" i="101"/>
  <c r="C127" i="101"/>
  <c r="AD126" i="101"/>
  <c r="AA126" i="101"/>
  <c r="X126" i="101"/>
  <c r="Z125" i="101"/>
  <c r="Y125" i="101"/>
  <c r="Y125" i="79" s="1"/>
  <c r="X125" i="101"/>
  <c r="X125" i="79" s="1"/>
  <c r="W125" i="101"/>
  <c r="W125" i="79" s="1"/>
  <c r="V125" i="101"/>
  <c r="U125" i="101"/>
  <c r="T125" i="101"/>
  <c r="S125" i="101"/>
  <c r="R125" i="101"/>
  <c r="Q125" i="101"/>
  <c r="Q125" i="79" s="1"/>
  <c r="P125" i="101"/>
  <c r="P125" i="79" s="1"/>
  <c r="O125" i="101"/>
  <c r="O125" i="79" s="1"/>
  <c r="N125" i="101"/>
  <c r="M125" i="101"/>
  <c r="L125" i="101"/>
  <c r="K125" i="101"/>
  <c r="J125" i="101"/>
  <c r="I125" i="101"/>
  <c r="I125" i="79" s="1"/>
  <c r="H125" i="101"/>
  <c r="H125" i="79" s="1"/>
  <c r="G125" i="101"/>
  <c r="G125" i="79" s="1"/>
  <c r="F125" i="101"/>
  <c r="E125" i="101"/>
  <c r="D125" i="101"/>
  <c r="C125" i="101"/>
  <c r="Z124" i="101"/>
  <c r="Z124" i="79" s="1"/>
  <c r="Y124" i="101"/>
  <c r="Y124" i="79" s="1"/>
  <c r="X124" i="101"/>
  <c r="X124" i="79" s="1"/>
  <c r="W124" i="101"/>
  <c r="W124" i="79" s="1"/>
  <c r="V124" i="101"/>
  <c r="U124" i="101"/>
  <c r="T124" i="101"/>
  <c r="T124" i="79" s="1"/>
  <c r="S124" i="101"/>
  <c r="R124" i="101"/>
  <c r="Q124" i="101"/>
  <c r="P124" i="101"/>
  <c r="O124" i="101"/>
  <c r="N124" i="101"/>
  <c r="M124" i="101"/>
  <c r="L124" i="101"/>
  <c r="K124" i="101"/>
  <c r="J124" i="101"/>
  <c r="J124" i="79" s="1"/>
  <c r="I124" i="101"/>
  <c r="I124" i="79" s="1"/>
  <c r="H124" i="101"/>
  <c r="H124" i="79" s="1"/>
  <c r="G124" i="101"/>
  <c r="G124" i="79" s="1"/>
  <c r="F124" i="101"/>
  <c r="E124" i="101"/>
  <c r="E124" i="79" s="1"/>
  <c r="D124" i="101"/>
  <c r="C124" i="101"/>
  <c r="Z123" i="101"/>
  <c r="Y123" i="101"/>
  <c r="X123" i="101"/>
  <c r="X123" i="79" s="1"/>
  <c r="W123" i="101"/>
  <c r="V123" i="101"/>
  <c r="V123" i="79" s="1"/>
  <c r="U123" i="101"/>
  <c r="U123" i="79" s="1"/>
  <c r="T123" i="101"/>
  <c r="T123" i="79" s="1"/>
  <c r="S123" i="101"/>
  <c r="S123" i="79" s="1"/>
  <c r="R123" i="101"/>
  <c r="Q123" i="101"/>
  <c r="Q123" i="79" s="1"/>
  <c r="P123" i="101"/>
  <c r="P123" i="79" s="1"/>
  <c r="O123" i="101"/>
  <c r="N123" i="101"/>
  <c r="M123" i="101"/>
  <c r="M123" i="79" s="1"/>
  <c r="L123" i="101"/>
  <c r="K123" i="101"/>
  <c r="K123" i="79" s="1"/>
  <c r="J123" i="101"/>
  <c r="I123" i="101"/>
  <c r="I123" i="79" s="1"/>
  <c r="H123" i="101"/>
  <c r="H123" i="79" s="1"/>
  <c r="G123" i="101"/>
  <c r="G123" i="79" s="1"/>
  <c r="F123" i="101"/>
  <c r="F123" i="79" s="1"/>
  <c r="E123" i="101"/>
  <c r="E123" i="79" s="1"/>
  <c r="D123" i="101"/>
  <c r="D123" i="79" s="1"/>
  <c r="C123" i="101"/>
  <c r="Z122" i="101"/>
  <c r="Z122" i="79" s="1"/>
  <c r="Y122" i="101"/>
  <c r="Y122" i="79" s="1"/>
  <c r="X122" i="101"/>
  <c r="X122" i="79" s="1"/>
  <c r="W122" i="101"/>
  <c r="V122" i="101"/>
  <c r="U122" i="101"/>
  <c r="T122" i="101"/>
  <c r="T122" i="79" s="1"/>
  <c r="S122" i="101"/>
  <c r="R122" i="101"/>
  <c r="Q122" i="101"/>
  <c r="P122" i="101"/>
  <c r="O122" i="101"/>
  <c r="N122" i="101"/>
  <c r="M122" i="101"/>
  <c r="L122" i="101"/>
  <c r="K122" i="101"/>
  <c r="J122" i="101"/>
  <c r="J122" i="79" s="1"/>
  <c r="I122" i="101"/>
  <c r="I122" i="79" s="1"/>
  <c r="H122" i="101"/>
  <c r="H122" i="79" s="1"/>
  <c r="G122" i="101"/>
  <c r="G122" i="79" s="1"/>
  <c r="F122" i="101"/>
  <c r="F122" i="79" s="1"/>
  <c r="E122" i="101"/>
  <c r="D122" i="101"/>
  <c r="C122" i="101"/>
  <c r="Z121" i="101"/>
  <c r="Z121" i="79" s="1"/>
  <c r="Y121" i="101"/>
  <c r="X121" i="101"/>
  <c r="W121" i="101"/>
  <c r="W121" i="79" s="1"/>
  <c r="V121" i="101"/>
  <c r="U121" i="101"/>
  <c r="T121" i="101"/>
  <c r="T121" i="79" s="1"/>
  <c r="S121" i="101"/>
  <c r="S121" i="79" s="1"/>
  <c r="R121" i="101"/>
  <c r="R121" i="79" s="1"/>
  <c r="Q121" i="101"/>
  <c r="Q121" i="79" s="1"/>
  <c r="P121" i="101"/>
  <c r="P121" i="79" s="1"/>
  <c r="O121" i="101"/>
  <c r="N121" i="101"/>
  <c r="N121" i="79" s="1"/>
  <c r="M121" i="101"/>
  <c r="M121" i="79" s="1"/>
  <c r="L121" i="101"/>
  <c r="L121" i="79" s="1"/>
  <c r="K121" i="101"/>
  <c r="K121" i="79" s="1"/>
  <c r="J121" i="101"/>
  <c r="I121" i="101"/>
  <c r="I121" i="79" s="1"/>
  <c r="H121" i="101"/>
  <c r="H121" i="79" s="1"/>
  <c r="G121" i="101"/>
  <c r="G121" i="79" s="1"/>
  <c r="F121" i="101"/>
  <c r="E121" i="101"/>
  <c r="D121" i="101"/>
  <c r="C121" i="101"/>
  <c r="Z120" i="101"/>
  <c r="Z120" i="79" s="1"/>
  <c r="Y120" i="101"/>
  <c r="Y120" i="79" s="1"/>
  <c r="X120" i="101"/>
  <c r="X120" i="79" s="1"/>
  <c r="W120" i="101"/>
  <c r="V120" i="101"/>
  <c r="U120" i="101"/>
  <c r="U120" i="79" s="1"/>
  <c r="T120" i="101"/>
  <c r="T120" i="79" s="1"/>
  <c r="S120" i="101"/>
  <c r="S120" i="79" s="1"/>
  <c r="R120" i="101"/>
  <c r="R120" i="79" s="1"/>
  <c r="Q120" i="101"/>
  <c r="P120" i="101"/>
  <c r="O120" i="101"/>
  <c r="N120" i="101"/>
  <c r="N120" i="79" s="1"/>
  <c r="M120" i="101"/>
  <c r="M120" i="79" s="1"/>
  <c r="L120" i="101"/>
  <c r="K120" i="101"/>
  <c r="J120" i="101"/>
  <c r="J120" i="79" s="1"/>
  <c r="I120" i="101"/>
  <c r="I120" i="79" s="1"/>
  <c r="H120" i="101"/>
  <c r="H120" i="79" s="1"/>
  <c r="G120" i="101"/>
  <c r="F120" i="101"/>
  <c r="E120" i="101"/>
  <c r="E120" i="79" s="1"/>
  <c r="D120" i="101"/>
  <c r="C120" i="101"/>
  <c r="Z119" i="101"/>
  <c r="Z119" i="79" s="1"/>
  <c r="Y119" i="101"/>
  <c r="Y119" i="79" s="1"/>
  <c r="X119" i="101"/>
  <c r="X119" i="79" s="1"/>
  <c r="W119" i="101"/>
  <c r="V119" i="101"/>
  <c r="U119" i="101"/>
  <c r="T119" i="101"/>
  <c r="S119" i="101"/>
  <c r="R119" i="101"/>
  <c r="R119" i="79" s="1"/>
  <c r="Q119" i="101"/>
  <c r="Q119" i="79" s="1"/>
  <c r="P119" i="101"/>
  <c r="P119" i="79" s="1"/>
  <c r="O119" i="101"/>
  <c r="O119" i="79" s="1"/>
  <c r="N119" i="101"/>
  <c r="N119" i="79" s="1"/>
  <c r="M119" i="101"/>
  <c r="L119" i="101"/>
  <c r="K119" i="101"/>
  <c r="K119" i="79" s="1"/>
  <c r="J119" i="101"/>
  <c r="J119" i="79" s="1"/>
  <c r="I119" i="101"/>
  <c r="I119" i="79" s="1"/>
  <c r="H119" i="101"/>
  <c r="G119" i="101"/>
  <c r="F119" i="101"/>
  <c r="E119" i="101"/>
  <c r="D119" i="101"/>
  <c r="C119" i="101"/>
  <c r="Z118" i="101"/>
  <c r="Z118" i="79" s="1"/>
  <c r="Y118" i="101"/>
  <c r="Y118" i="79" s="1"/>
  <c r="X118" i="101"/>
  <c r="X118" i="79" s="1"/>
  <c r="W118" i="101"/>
  <c r="V118" i="101"/>
  <c r="U118" i="101"/>
  <c r="U118" i="79" s="1"/>
  <c r="T118" i="101"/>
  <c r="S118" i="101"/>
  <c r="S118" i="79" s="1"/>
  <c r="R118" i="101"/>
  <c r="Q118" i="101"/>
  <c r="P118" i="101"/>
  <c r="O118" i="101"/>
  <c r="N118" i="101"/>
  <c r="M118" i="101"/>
  <c r="L118" i="101"/>
  <c r="K118" i="101"/>
  <c r="J118" i="101"/>
  <c r="J118" i="79" s="1"/>
  <c r="I118" i="101"/>
  <c r="I118" i="79" s="1"/>
  <c r="H118" i="101"/>
  <c r="H118" i="79" s="1"/>
  <c r="G118" i="101"/>
  <c r="F118" i="101"/>
  <c r="E118" i="101"/>
  <c r="D118" i="101"/>
  <c r="C118" i="101"/>
  <c r="Z117" i="101"/>
  <c r="Y117" i="101"/>
  <c r="Y117" i="79" s="1"/>
  <c r="X117" i="101"/>
  <c r="W117" i="101"/>
  <c r="V117" i="101"/>
  <c r="U117" i="101"/>
  <c r="T117" i="101"/>
  <c r="S117" i="101"/>
  <c r="R117" i="101"/>
  <c r="Q117" i="101"/>
  <c r="P117" i="101"/>
  <c r="O117" i="101"/>
  <c r="O117" i="79" s="1"/>
  <c r="N117" i="101"/>
  <c r="M117" i="101"/>
  <c r="L117" i="101"/>
  <c r="K117" i="101"/>
  <c r="J117" i="101"/>
  <c r="I117" i="101"/>
  <c r="I117" i="79" s="1"/>
  <c r="H117" i="101"/>
  <c r="G117" i="101"/>
  <c r="F117" i="101"/>
  <c r="E117" i="101"/>
  <c r="D117" i="101"/>
  <c r="C117" i="101"/>
  <c r="Z116" i="101"/>
  <c r="Z116" i="79" s="1"/>
  <c r="Y116" i="101"/>
  <c r="Y116" i="79" s="1"/>
  <c r="X116" i="101"/>
  <c r="X116" i="79" s="1"/>
  <c r="W116" i="101"/>
  <c r="W116" i="79" s="1"/>
  <c r="V116" i="101"/>
  <c r="V115" i="101" s="1"/>
  <c r="U116" i="101"/>
  <c r="T116" i="101"/>
  <c r="S116" i="101"/>
  <c r="S116" i="79" s="1"/>
  <c r="R116" i="101"/>
  <c r="Q116" i="101"/>
  <c r="Q116" i="79" s="1"/>
  <c r="P116" i="101"/>
  <c r="O116" i="101"/>
  <c r="N116" i="101"/>
  <c r="M116" i="101"/>
  <c r="L116" i="101"/>
  <c r="K116" i="101"/>
  <c r="J116" i="101"/>
  <c r="J116" i="79" s="1"/>
  <c r="I116" i="101"/>
  <c r="I116" i="79" s="1"/>
  <c r="H116" i="101"/>
  <c r="H116" i="79" s="1"/>
  <c r="G116" i="101"/>
  <c r="F116" i="101"/>
  <c r="E116" i="101"/>
  <c r="D116" i="101"/>
  <c r="D116" i="79" s="1"/>
  <c r="C116" i="101"/>
  <c r="AD115" i="101"/>
  <c r="AA115" i="101"/>
  <c r="Z114" i="101"/>
  <c r="Z114" i="79" s="1"/>
  <c r="Y114" i="101"/>
  <c r="X114" i="101"/>
  <c r="W114" i="101"/>
  <c r="V114" i="101"/>
  <c r="V114" i="79" s="1"/>
  <c r="U114" i="101"/>
  <c r="U114" i="79" s="1"/>
  <c r="T114" i="101"/>
  <c r="T114" i="79" s="1"/>
  <c r="S114" i="101"/>
  <c r="R114" i="101"/>
  <c r="Q114" i="101"/>
  <c r="Q114" i="79" s="1"/>
  <c r="P114" i="101"/>
  <c r="P114" i="79" s="1"/>
  <c r="O114" i="101"/>
  <c r="N114" i="101"/>
  <c r="M114" i="101"/>
  <c r="M114" i="79" s="1"/>
  <c r="L114" i="101"/>
  <c r="K114" i="101"/>
  <c r="K114" i="79" s="1"/>
  <c r="J114" i="101"/>
  <c r="J114" i="79" s="1"/>
  <c r="I114" i="101"/>
  <c r="I114" i="79" s="1"/>
  <c r="H114" i="101"/>
  <c r="G114" i="101"/>
  <c r="F114" i="101"/>
  <c r="E114" i="101"/>
  <c r="E114" i="79" s="1"/>
  <c r="D114" i="101"/>
  <c r="D114" i="79" s="1"/>
  <c r="C114" i="101"/>
  <c r="C114" i="79" s="1"/>
  <c r="AD113" i="101"/>
  <c r="Z113" i="101"/>
  <c r="Y113" i="101"/>
  <c r="X113" i="101"/>
  <c r="W113" i="101"/>
  <c r="V113" i="101"/>
  <c r="U113" i="101"/>
  <c r="U113" i="79" s="1"/>
  <c r="T113" i="101"/>
  <c r="T113" i="79" s="1"/>
  <c r="S113" i="101"/>
  <c r="R113" i="101"/>
  <c r="Q113" i="101"/>
  <c r="Q113" i="79" s="1"/>
  <c r="P113" i="101"/>
  <c r="P113" i="79" s="1"/>
  <c r="O113" i="101"/>
  <c r="O113" i="79" s="1"/>
  <c r="N113" i="101"/>
  <c r="N113" i="79" s="1"/>
  <c r="M113" i="101"/>
  <c r="M113" i="79" s="1"/>
  <c r="L113" i="101"/>
  <c r="L113" i="79" s="1"/>
  <c r="K113" i="101"/>
  <c r="K113" i="79" s="1"/>
  <c r="J113" i="101"/>
  <c r="J113" i="79" s="1"/>
  <c r="I113" i="101"/>
  <c r="H113" i="101"/>
  <c r="G113" i="101"/>
  <c r="F113" i="101"/>
  <c r="E113" i="101"/>
  <c r="E113" i="79" s="1"/>
  <c r="D113" i="101"/>
  <c r="C113" i="101"/>
  <c r="Z112" i="101"/>
  <c r="Y112" i="101"/>
  <c r="X112" i="101"/>
  <c r="X112" i="79" s="1"/>
  <c r="W112" i="101"/>
  <c r="V112" i="101"/>
  <c r="V112" i="79" s="1"/>
  <c r="U112" i="101"/>
  <c r="U112" i="79" s="1"/>
  <c r="T112" i="101"/>
  <c r="T112" i="79" s="1"/>
  <c r="S112" i="101"/>
  <c r="S112" i="79" s="1"/>
  <c r="R112" i="101"/>
  <c r="R112" i="79" s="1"/>
  <c r="Q112" i="101"/>
  <c r="Q112" i="79" s="1"/>
  <c r="P112" i="101"/>
  <c r="P112" i="79" s="1"/>
  <c r="O112" i="101"/>
  <c r="N112" i="101"/>
  <c r="N112" i="79" s="1"/>
  <c r="M112" i="101"/>
  <c r="M112" i="79" s="1"/>
  <c r="L112" i="101"/>
  <c r="K112" i="101"/>
  <c r="J112" i="101"/>
  <c r="I112" i="101"/>
  <c r="H112" i="101"/>
  <c r="G112" i="101"/>
  <c r="F112" i="101"/>
  <c r="F112" i="79" s="1"/>
  <c r="E112" i="101"/>
  <c r="E112" i="79" s="1"/>
  <c r="D112" i="101"/>
  <c r="D112" i="79" s="1"/>
  <c r="C112" i="101"/>
  <c r="C112" i="79" s="1"/>
  <c r="Z111" i="101"/>
  <c r="Y111" i="101"/>
  <c r="X111" i="101"/>
  <c r="W111" i="101"/>
  <c r="W111" i="79" s="1"/>
  <c r="V111" i="101"/>
  <c r="U111" i="101"/>
  <c r="U111" i="79" s="1"/>
  <c r="T111" i="101"/>
  <c r="T111" i="79" s="1"/>
  <c r="S111" i="101"/>
  <c r="R111" i="101"/>
  <c r="Q111" i="101"/>
  <c r="P111" i="101"/>
  <c r="O111" i="101"/>
  <c r="N111" i="101"/>
  <c r="N111" i="79" s="1"/>
  <c r="M111" i="101"/>
  <c r="M111" i="79" s="1"/>
  <c r="L111" i="101"/>
  <c r="L111" i="79" s="1"/>
  <c r="K111" i="101"/>
  <c r="K111" i="79" s="1"/>
  <c r="J111" i="101"/>
  <c r="I111" i="101"/>
  <c r="H111" i="101"/>
  <c r="G111" i="101"/>
  <c r="G111" i="79" s="1"/>
  <c r="F111" i="101"/>
  <c r="E111" i="101"/>
  <c r="D111" i="101"/>
  <c r="C111" i="101"/>
  <c r="Z110" i="101"/>
  <c r="Y110" i="101"/>
  <c r="X110" i="101"/>
  <c r="W110" i="101"/>
  <c r="V110" i="101"/>
  <c r="V110" i="79" s="1"/>
  <c r="U110" i="101"/>
  <c r="U110" i="79" s="1"/>
  <c r="T110" i="101"/>
  <c r="T110" i="79" s="1"/>
  <c r="S110" i="101"/>
  <c r="S110" i="79" s="1"/>
  <c r="R110" i="101"/>
  <c r="Q110" i="101"/>
  <c r="P110" i="101"/>
  <c r="P110" i="79" s="1"/>
  <c r="O110" i="101"/>
  <c r="O110" i="79" s="1"/>
  <c r="N110" i="101"/>
  <c r="M110" i="101"/>
  <c r="L110" i="101"/>
  <c r="L110" i="79" s="1"/>
  <c r="K110" i="101"/>
  <c r="J110" i="101"/>
  <c r="I110" i="101"/>
  <c r="H110" i="101"/>
  <c r="G110" i="101"/>
  <c r="F110" i="101"/>
  <c r="F110" i="79" s="1"/>
  <c r="E110" i="101"/>
  <c r="E110" i="79" s="1"/>
  <c r="D110" i="101"/>
  <c r="C110" i="101"/>
  <c r="Z109" i="101"/>
  <c r="Z109" i="79" s="1"/>
  <c r="Y109" i="101"/>
  <c r="Y109" i="79" s="1"/>
  <c r="X109" i="101"/>
  <c r="X109" i="79" s="1"/>
  <c r="W109" i="101"/>
  <c r="V109" i="101"/>
  <c r="U109" i="101"/>
  <c r="T109" i="101"/>
  <c r="S109" i="101"/>
  <c r="R109" i="101"/>
  <c r="Q109" i="101"/>
  <c r="P109" i="101"/>
  <c r="O109" i="101"/>
  <c r="N109" i="101"/>
  <c r="N109" i="79" s="1"/>
  <c r="M109" i="101"/>
  <c r="M109" i="79" s="1"/>
  <c r="L109" i="101"/>
  <c r="L109" i="79" s="1"/>
  <c r="K109" i="101"/>
  <c r="K109" i="79" s="1"/>
  <c r="J109" i="101"/>
  <c r="J109" i="79" s="1"/>
  <c r="I109" i="101"/>
  <c r="H109" i="101"/>
  <c r="G109" i="101"/>
  <c r="F109" i="101"/>
  <c r="F109" i="79" s="1"/>
  <c r="E109" i="101"/>
  <c r="E109" i="79" s="1"/>
  <c r="D109" i="101"/>
  <c r="D109" i="79" s="1"/>
  <c r="C109" i="101"/>
  <c r="Z108" i="101"/>
  <c r="Y108" i="101"/>
  <c r="X108" i="101"/>
  <c r="W108" i="101"/>
  <c r="V108" i="101"/>
  <c r="V108" i="79" s="1"/>
  <c r="U108" i="101"/>
  <c r="U108" i="79" s="1"/>
  <c r="T108" i="101"/>
  <c r="T108" i="79" s="1"/>
  <c r="S108" i="101"/>
  <c r="S108" i="79" s="1"/>
  <c r="R108" i="101"/>
  <c r="Q108" i="101"/>
  <c r="P108" i="101"/>
  <c r="O108" i="101"/>
  <c r="O108" i="79" s="1"/>
  <c r="N108" i="101"/>
  <c r="M108" i="101"/>
  <c r="M108" i="79" s="1"/>
  <c r="L108" i="101"/>
  <c r="K108" i="101"/>
  <c r="K108" i="79" s="1"/>
  <c r="J108" i="101"/>
  <c r="I108" i="101"/>
  <c r="H108" i="101"/>
  <c r="G108" i="101"/>
  <c r="F108" i="101"/>
  <c r="F108" i="79" s="1"/>
  <c r="E108" i="101"/>
  <c r="D108" i="101"/>
  <c r="C108" i="101"/>
  <c r="Z107" i="101"/>
  <c r="Y107" i="101"/>
  <c r="Y107" i="79" s="1"/>
  <c r="X107" i="101"/>
  <c r="W107" i="101"/>
  <c r="V107" i="101"/>
  <c r="U107" i="101"/>
  <c r="T107" i="101"/>
  <c r="S107" i="101"/>
  <c r="S107" i="79" s="1"/>
  <c r="R107" i="101"/>
  <c r="Q107" i="101"/>
  <c r="P107" i="101"/>
  <c r="O107" i="101"/>
  <c r="N107" i="101"/>
  <c r="N107" i="79" s="1"/>
  <c r="M107" i="101"/>
  <c r="M107" i="79" s="1"/>
  <c r="L107" i="101"/>
  <c r="L107" i="79" s="1"/>
  <c r="K107" i="101"/>
  <c r="K107" i="79" s="1"/>
  <c r="J107" i="101"/>
  <c r="I107" i="101"/>
  <c r="I107" i="79" s="1"/>
  <c r="H107" i="101"/>
  <c r="H106" i="101" s="1"/>
  <c r="G107" i="101"/>
  <c r="F107" i="101"/>
  <c r="E107" i="101"/>
  <c r="D107" i="101"/>
  <c r="C107" i="101"/>
  <c r="AD106" i="101"/>
  <c r="AA106" i="101"/>
  <c r="Z105" i="101"/>
  <c r="Y105" i="101"/>
  <c r="X105" i="101"/>
  <c r="X105" i="79" s="1"/>
  <c r="W105" i="101"/>
  <c r="W105" i="79" s="1"/>
  <c r="V105" i="101"/>
  <c r="U105" i="101"/>
  <c r="U105" i="79" s="1"/>
  <c r="T105" i="101"/>
  <c r="T105" i="79" s="1"/>
  <c r="S105" i="101"/>
  <c r="R105" i="101"/>
  <c r="R105" i="79" s="1"/>
  <c r="Q105" i="101"/>
  <c r="Q105" i="79" s="1"/>
  <c r="P105" i="101"/>
  <c r="O105" i="101"/>
  <c r="N105" i="101"/>
  <c r="M105" i="101"/>
  <c r="M105" i="79" s="1"/>
  <c r="L105" i="101"/>
  <c r="L105" i="79" s="1"/>
  <c r="K105" i="101"/>
  <c r="J105" i="101"/>
  <c r="I105" i="101"/>
  <c r="I105" i="79" s="1"/>
  <c r="H105" i="101"/>
  <c r="H105" i="79" s="1"/>
  <c r="G105" i="101"/>
  <c r="F105" i="101"/>
  <c r="F105" i="79" s="1"/>
  <c r="E105" i="101"/>
  <c r="E105" i="79" s="1"/>
  <c r="D105" i="101"/>
  <c r="C105" i="101"/>
  <c r="Z104" i="101"/>
  <c r="Y104" i="101"/>
  <c r="Y104" i="79" s="1"/>
  <c r="X104" i="101"/>
  <c r="W104" i="101"/>
  <c r="W104" i="79" s="1"/>
  <c r="V104" i="101"/>
  <c r="U104" i="101"/>
  <c r="T104" i="101"/>
  <c r="S104" i="101"/>
  <c r="R104" i="101"/>
  <c r="Q104" i="101"/>
  <c r="Q104" i="79" s="1"/>
  <c r="P104" i="101"/>
  <c r="P104" i="79" s="1"/>
  <c r="O104" i="101"/>
  <c r="O104" i="79" s="1"/>
  <c r="N104" i="101"/>
  <c r="M104" i="101"/>
  <c r="M104" i="79" s="1"/>
  <c r="L104" i="101"/>
  <c r="L103" i="101" s="1"/>
  <c r="K104" i="101"/>
  <c r="J104" i="101"/>
  <c r="I104" i="101"/>
  <c r="I104" i="79" s="1"/>
  <c r="H104" i="101"/>
  <c r="G104" i="101"/>
  <c r="F104" i="101"/>
  <c r="E104" i="101"/>
  <c r="D104" i="101"/>
  <c r="C104" i="101"/>
  <c r="AD103" i="101"/>
  <c r="AA103" i="101"/>
  <c r="T103" i="101"/>
  <c r="J103" i="101"/>
  <c r="F103" i="101"/>
  <c r="AD102" i="101"/>
  <c r="AA102" i="101"/>
  <c r="Z101" i="101"/>
  <c r="Z101" i="79" s="1"/>
  <c r="Y101" i="101"/>
  <c r="X101" i="101"/>
  <c r="W101" i="101"/>
  <c r="V101" i="101"/>
  <c r="U101" i="101"/>
  <c r="T101" i="101"/>
  <c r="T101" i="79" s="1"/>
  <c r="S101" i="101"/>
  <c r="R101" i="101"/>
  <c r="R101" i="79" s="1"/>
  <c r="Q101" i="101"/>
  <c r="Q101" i="79" s="1"/>
  <c r="P101" i="101"/>
  <c r="P101" i="79" s="1"/>
  <c r="O101" i="101"/>
  <c r="O101" i="79" s="1"/>
  <c r="N101" i="101"/>
  <c r="M101" i="101"/>
  <c r="M101" i="79" s="1"/>
  <c r="L101" i="101"/>
  <c r="K101" i="101"/>
  <c r="K101" i="79" s="1"/>
  <c r="J101" i="101"/>
  <c r="I101" i="101"/>
  <c r="H101" i="101"/>
  <c r="G101" i="101"/>
  <c r="F101" i="101"/>
  <c r="E101" i="101"/>
  <c r="D101" i="101"/>
  <c r="C101" i="101"/>
  <c r="Z100" i="101"/>
  <c r="Z100" i="79" s="1"/>
  <c r="Y100" i="101"/>
  <c r="Y100" i="79" s="1"/>
  <c r="X100" i="101"/>
  <c r="X100" i="79" s="1"/>
  <c r="W100" i="101"/>
  <c r="W100" i="79" s="1"/>
  <c r="V100" i="101"/>
  <c r="V100" i="79" s="1"/>
  <c r="U100" i="101"/>
  <c r="U100" i="79" s="1"/>
  <c r="T100" i="101"/>
  <c r="S100" i="101"/>
  <c r="R100" i="101"/>
  <c r="R100" i="79" s="1"/>
  <c r="Q100" i="101"/>
  <c r="P100" i="101"/>
  <c r="P100" i="79" s="1"/>
  <c r="O100" i="101"/>
  <c r="N100" i="101"/>
  <c r="N100" i="79" s="1"/>
  <c r="M100" i="101"/>
  <c r="M100" i="79" s="1"/>
  <c r="L100" i="101"/>
  <c r="K100" i="101"/>
  <c r="J100" i="101"/>
  <c r="J100" i="79" s="1"/>
  <c r="I100" i="101"/>
  <c r="I100" i="79" s="1"/>
  <c r="H100" i="101"/>
  <c r="H100" i="79" s="1"/>
  <c r="G100" i="101"/>
  <c r="G100" i="79" s="1"/>
  <c r="F100" i="101"/>
  <c r="F100" i="79" s="1"/>
  <c r="E100" i="101"/>
  <c r="E100" i="79" s="1"/>
  <c r="D100" i="101"/>
  <c r="D100" i="79" s="1"/>
  <c r="C100" i="101"/>
  <c r="Z99" i="101"/>
  <c r="Z99" i="79" s="1"/>
  <c r="Y99" i="101"/>
  <c r="X99" i="101"/>
  <c r="W99" i="101"/>
  <c r="V99" i="101"/>
  <c r="V99" i="79" s="1"/>
  <c r="U99" i="101"/>
  <c r="U99" i="79" s="1"/>
  <c r="T99" i="101"/>
  <c r="S99" i="101"/>
  <c r="R99" i="101"/>
  <c r="R99" i="79" s="1"/>
  <c r="Q99" i="101"/>
  <c r="Q99" i="79" s="1"/>
  <c r="P99" i="101"/>
  <c r="P99" i="79" s="1"/>
  <c r="O99" i="101"/>
  <c r="O99" i="79" s="1"/>
  <c r="N99" i="101"/>
  <c r="N99" i="79" s="1"/>
  <c r="M99" i="101"/>
  <c r="M99" i="79" s="1"/>
  <c r="L99" i="101"/>
  <c r="L99" i="79" s="1"/>
  <c r="K99" i="101"/>
  <c r="K99" i="79" s="1"/>
  <c r="J99" i="101"/>
  <c r="J99" i="79" s="1"/>
  <c r="I99" i="101"/>
  <c r="H99" i="101"/>
  <c r="G99" i="101"/>
  <c r="F99" i="101"/>
  <c r="E99" i="101"/>
  <c r="E99" i="79" s="1"/>
  <c r="D99" i="101"/>
  <c r="C99" i="101"/>
  <c r="Z98" i="101"/>
  <c r="Z98" i="79" s="1"/>
  <c r="Y98" i="101"/>
  <c r="X98" i="101"/>
  <c r="X98" i="79" s="1"/>
  <c r="W98" i="101"/>
  <c r="V98" i="101"/>
  <c r="U98" i="101"/>
  <c r="T98" i="101"/>
  <c r="T98" i="79" s="1"/>
  <c r="S98" i="101"/>
  <c r="S98" i="79" s="1"/>
  <c r="R98" i="101"/>
  <c r="R98" i="79" s="1"/>
  <c r="Q98" i="101"/>
  <c r="P98" i="101"/>
  <c r="O98" i="101"/>
  <c r="N98" i="101"/>
  <c r="M98" i="101"/>
  <c r="L98" i="101"/>
  <c r="K98" i="101"/>
  <c r="J98" i="101"/>
  <c r="J98" i="79" s="1"/>
  <c r="I98" i="101"/>
  <c r="I98" i="79" s="1"/>
  <c r="H98" i="101"/>
  <c r="H98" i="79" s="1"/>
  <c r="G98" i="101"/>
  <c r="G98" i="79" s="1"/>
  <c r="F98" i="101"/>
  <c r="F98" i="79" s="1"/>
  <c r="E98" i="101"/>
  <c r="E98" i="79" s="1"/>
  <c r="D98" i="101"/>
  <c r="C98" i="101"/>
  <c r="Z97" i="101"/>
  <c r="Y97" i="101"/>
  <c r="X97" i="101"/>
  <c r="W97" i="101"/>
  <c r="V97" i="101"/>
  <c r="U97" i="101"/>
  <c r="T97" i="101"/>
  <c r="T97" i="79" s="1"/>
  <c r="S97" i="101"/>
  <c r="R97" i="101"/>
  <c r="Q97" i="101"/>
  <c r="P97" i="101"/>
  <c r="P97" i="79" s="1"/>
  <c r="O97" i="101"/>
  <c r="O97" i="79" s="1"/>
  <c r="N97" i="101"/>
  <c r="N97" i="79" s="1"/>
  <c r="M97" i="101"/>
  <c r="M97" i="79" s="1"/>
  <c r="L97" i="101"/>
  <c r="L97" i="79" s="1"/>
  <c r="K97" i="101"/>
  <c r="J97" i="101"/>
  <c r="I97" i="101"/>
  <c r="H97" i="101"/>
  <c r="G97" i="101"/>
  <c r="F97" i="101"/>
  <c r="E97" i="101"/>
  <c r="D97" i="101"/>
  <c r="C97" i="101"/>
  <c r="C97" i="79" s="1"/>
  <c r="Z96" i="101"/>
  <c r="Z96" i="79" s="1"/>
  <c r="Y96" i="101"/>
  <c r="Y96" i="79" s="1"/>
  <c r="X96" i="101"/>
  <c r="X96" i="79" s="1"/>
  <c r="W96" i="101"/>
  <c r="W96" i="79" s="1"/>
  <c r="V96" i="101"/>
  <c r="V96" i="79" s="1"/>
  <c r="U96" i="101"/>
  <c r="U96" i="79" s="1"/>
  <c r="T96" i="101"/>
  <c r="T96" i="79" s="1"/>
  <c r="S96" i="101"/>
  <c r="R96" i="101"/>
  <c r="Q96" i="101"/>
  <c r="P96" i="101"/>
  <c r="O96" i="101"/>
  <c r="N96" i="101"/>
  <c r="M96" i="101"/>
  <c r="L96" i="101"/>
  <c r="K96" i="101"/>
  <c r="K96" i="79" s="1"/>
  <c r="J96" i="101"/>
  <c r="J96" i="79" s="1"/>
  <c r="I96" i="101"/>
  <c r="H96" i="101"/>
  <c r="H96" i="79" s="1"/>
  <c r="G96" i="101"/>
  <c r="G96" i="79" s="1"/>
  <c r="F96" i="101"/>
  <c r="F96" i="79" s="1"/>
  <c r="E96" i="101"/>
  <c r="D96" i="101"/>
  <c r="C96" i="101"/>
  <c r="Z95" i="101"/>
  <c r="Y95" i="101"/>
  <c r="Y95" i="79" s="1"/>
  <c r="X95" i="101"/>
  <c r="X95" i="79" s="1"/>
  <c r="W95" i="101"/>
  <c r="V95" i="101"/>
  <c r="U95" i="101"/>
  <c r="T95" i="101"/>
  <c r="T95" i="79" s="1"/>
  <c r="S95" i="101"/>
  <c r="S95" i="79" s="1"/>
  <c r="R95" i="101"/>
  <c r="R95" i="79" s="1"/>
  <c r="Q95" i="101"/>
  <c r="Q95" i="79" s="1"/>
  <c r="P95" i="101"/>
  <c r="P95" i="79" s="1"/>
  <c r="O95" i="101"/>
  <c r="O95" i="79" s="1"/>
  <c r="N95" i="101"/>
  <c r="N95" i="79" s="1"/>
  <c r="M95" i="101"/>
  <c r="M95" i="79" s="1"/>
  <c r="L95" i="101"/>
  <c r="K95" i="101"/>
  <c r="J95" i="101"/>
  <c r="I95" i="101"/>
  <c r="I95" i="79" s="1"/>
  <c r="H95" i="101"/>
  <c r="H95" i="79" s="1"/>
  <c r="G95" i="101"/>
  <c r="F95" i="101"/>
  <c r="E95" i="101"/>
  <c r="D95" i="101"/>
  <c r="C95" i="101"/>
  <c r="Z94" i="101"/>
  <c r="Z94" i="79" s="1"/>
  <c r="Y94" i="101"/>
  <c r="Y94" i="79" s="1"/>
  <c r="X94" i="101"/>
  <c r="X94" i="79" s="1"/>
  <c r="W94" i="101"/>
  <c r="W94" i="79" s="1"/>
  <c r="V94" i="101"/>
  <c r="V94" i="79" s="1"/>
  <c r="U94" i="101"/>
  <c r="T94" i="101"/>
  <c r="T94" i="79" s="1"/>
  <c r="S94" i="101"/>
  <c r="R94" i="101"/>
  <c r="Q94" i="101"/>
  <c r="P94" i="101"/>
  <c r="P94" i="79" s="1"/>
  <c r="O94" i="101"/>
  <c r="O94" i="79" s="1"/>
  <c r="N94" i="101"/>
  <c r="M94" i="101"/>
  <c r="L94" i="101"/>
  <c r="K94" i="101"/>
  <c r="K94" i="79" s="1"/>
  <c r="J94" i="101"/>
  <c r="J94" i="79" s="1"/>
  <c r="I94" i="101"/>
  <c r="I94" i="79" s="1"/>
  <c r="H94" i="101"/>
  <c r="H94" i="79" s="1"/>
  <c r="G94" i="101"/>
  <c r="G94" i="79" s="1"/>
  <c r="F94" i="101"/>
  <c r="E94" i="101"/>
  <c r="D94" i="101"/>
  <c r="D94" i="79" s="1"/>
  <c r="C94" i="101"/>
  <c r="Z93" i="101"/>
  <c r="Z93" i="79" s="1"/>
  <c r="Y93" i="101"/>
  <c r="Y93" i="79" s="1"/>
  <c r="X93" i="101"/>
  <c r="X93" i="79" s="1"/>
  <c r="W93" i="101"/>
  <c r="V93" i="101"/>
  <c r="U93" i="101"/>
  <c r="U93" i="79" s="1"/>
  <c r="T93" i="101"/>
  <c r="T93" i="79" s="1"/>
  <c r="S93" i="101"/>
  <c r="S93" i="79" s="1"/>
  <c r="R93" i="101"/>
  <c r="R93" i="79" s="1"/>
  <c r="Q93" i="101"/>
  <c r="Q93" i="79" s="1"/>
  <c r="P93" i="101"/>
  <c r="P93" i="79" s="1"/>
  <c r="O93" i="101"/>
  <c r="O93" i="79" s="1"/>
  <c r="N93" i="101"/>
  <c r="M93" i="101"/>
  <c r="M93" i="79" s="1"/>
  <c r="L93" i="101"/>
  <c r="K93" i="101"/>
  <c r="K93" i="79" s="1"/>
  <c r="J93" i="101"/>
  <c r="J93" i="79" s="1"/>
  <c r="I93" i="101"/>
  <c r="I93" i="79" s="1"/>
  <c r="H93" i="101"/>
  <c r="G93" i="101"/>
  <c r="F93" i="101"/>
  <c r="E93" i="101"/>
  <c r="E93" i="79" s="1"/>
  <c r="D93" i="101"/>
  <c r="D93" i="79" s="1"/>
  <c r="C93" i="101"/>
  <c r="C93" i="79" s="1"/>
  <c r="Z92" i="101"/>
  <c r="Z92" i="79" s="1"/>
  <c r="Y92" i="101"/>
  <c r="Y92" i="79" s="1"/>
  <c r="X92" i="101"/>
  <c r="X92" i="79" s="1"/>
  <c r="W92" i="101"/>
  <c r="W92" i="79" s="1"/>
  <c r="V92" i="101"/>
  <c r="U92" i="101"/>
  <c r="T92" i="101"/>
  <c r="S92" i="101"/>
  <c r="S92" i="79" s="1"/>
  <c r="R92" i="101"/>
  <c r="Q92" i="101"/>
  <c r="P92" i="101"/>
  <c r="O92" i="101"/>
  <c r="N92" i="101"/>
  <c r="M92" i="101"/>
  <c r="M92" i="79" s="1"/>
  <c r="L92" i="101"/>
  <c r="L92" i="79" s="1"/>
  <c r="K92" i="101"/>
  <c r="K92" i="79" s="1"/>
  <c r="J92" i="101"/>
  <c r="J92" i="79" s="1"/>
  <c r="I92" i="101"/>
  <c r="I92" i="79" s="1"/>
  <c r="H92" i="101"/>
  <c r="G92" i="101"/>
  <c r="G92" i="79" s="1"/>
  <c r="F92" i="101"/>
  <c r="E92" i="101"/>
  <c r="D92" i="101"/>
  <c r="D92" i="79" s="1"/>
  <c r="C92" i="101"/>
  <c r="Z91" i="101"/>
  <c r="Y91" i="101"/>
  <c r="X91" i="101"/>
  <c r="W91" i="101"/>
  <c r="V91" i="101"/>
  <c r="V91" i="79" s="1"/>
  <c r="U91" i="101"/>
  <c r="U91" i="79" s="1"/>
  <c r="T91" i="101"/>
  <c r="T91" i="79" s="1"/>
  <c r="S91" i="101"/>
  <c r="S91" i="79" s="1"/>
  <c r="R91" i="101"/>
  <c r="R91" i="79" s="1"/>
  <c r="Q91" i="101"/>
  <c r="Q91" i="79" s="1"/>
  <c r="P91" i="101"/>
  <c r="P91" i="79" s="1"/>
  <c r="O91" i="101"/>
  <c r="O91" i="79" s="1"/>
  <c r="N91" i="101"/>
  <c r="M91" i="101"/>
  <c r="L91" i="101"/>
  <c r="K91" i="101"/>
  <c r="J91" i="101"/>
  <c r="I91" i="101"/>
  <c r="H91" i="101"/>
  <c r="G91" i="101"/>
  <c r="F91" i="101"/>
  <c r="E91" i="101"/>
  <c r="E91" i="79" s="1"/>
  <c r="D91" i="101"/>
  <c r="D91" i="79" s="1"/>
  <c r="C91" i="101"/>
  <c r="C91" i="79" s="1"/>
  <c r="Z90" i="101"/>
  <c r="Z90" i="79" s="1"/>
  <c r="Y90" i="101"/>
  <c r="Y90" i="79" s="1"/>
  <c r="X90" i="101"/>
  <c r="X90" i="79" s="1"/>
  <c r="W90" i="101"/>
  <c r="W90" i="79" s="1"/>
  <c r="V90" i="101"/>
  <c r="U90" i="101"/>
  <c r="T90" i="101"/>
  <c r="S90" i="101"/>
  <c r="R90" i="101"/>
  <c r="Q90" i="101"/>
  <c r="P90" i="101"/>
  <c r="O90" i="101"/>
  <c r="N90" i="101"/>
  <c r="M90" i="101"/>
  <c r="L90" i="101"/>
  <c r="K90" i="101"/>
  <c r="K90" i="79" s="1"/>
  <c r="J90" i="101"/>
  <c r="I90" i="101"/>
  <c r="I90" i="79" s="1"/>
  <c r="H90" i="101"/>
  <c r="G90" i="101"/>
  <c r="G90" i="79" s="1"/>
  <c r="F90" i="101"/>
  <c r="E90" i="101"/>
  <c r="D90" i="101"/>
  <c r="C90" i="101"/>
  <c r="Z89" i="101"/>
  <c r="Y89" i="101"/>
  <c r="X89" i="101"/>
  <c r="W89" i="101"/>
  <c r="V89" i="101"/>
  <c r="V89" i="79" s="1"/>
  <c r="U89" i="101"/>
  <c r="U89" i="79" s="1"/>
  <c r="T89" i="101"/>
  <c r="T89" i="79" s="1"/>
  <c r="S89" i="101"/>
  <c r="R89" i="101"/>
  <c r="Q89" i="101"/>
  <c r="P89" i="101"/>
  <c r="P89" i="79" s="1"/>
  <c r="O89" i="101"/>
  <c r="O89" i="79" s="1"/>
  <c r="N89" i="101"/>
  <c r="M89" i="101"/>
  <c r="L89" i="101"/>
  <c r="K89" i="101"/>
  <c r="J89" i="101"/>
  <c r="I89" i="101"/>
  <c r="H89" i="101"/>
  <c r="G89" i="101"/>
  <c r="F89" i="101"/>
  <c r="E89" i="101"/>
  <c r="D89" i="101"/>
  <c r="D89" i="79" s="1"/>
  <c r="C89" i="101"/>
  <c r="C89" i="79" s="1"/>
  <c r="Z88" i="101"/>
  <c r="Z88" i="79" s="1"/>
  <c r="Y88" i="101"/>
  <c r="Y88" i="79" s="1"/>
  <c r="X88" i="101"/>
  <c r="X88" i="79" s="1"/>
  <c r="W88" i="101"/>
  <c r="W88" i="79" s="1"/>
  <c r="V88" i="101"/>
  <c r="V88" i="79" s="1"/>
  <c r="U88" i="101"/>
  <c r="T88" i="101"/>
  <c r="S88" i="101"/>
  <c r="R88" i="101"/>
  <c r="Q88" i="101"/>
  <c r="P88" i="101"/>
  <c r="O88" i="101"/>
  <c r="N88" i="101"/>
  <c r="N88" i="79" s="1"/>
  <c r="M88" i="101"/>
  <c r="M88" i="79" s="1"/>
  <c r="L88" i="101"/>
  <c r="L88" i="79" s="1"/>
  <c r="K88" i="101"/>
  <c r="K88" i="79" s="1"/>
  <c r="J88" i="101"/>
  <c r="J88" i="79" s="1"/>
  <c r="I88" i="101"/>
  <c r="I88" i="79" s="1"/>
  <c r="H88" i="101"/>
  <c r="H88" i="79" s="1"/>
  <c r="G88" i="101"/>
  <c r="F88" i="101"/>
  <c r="E88" i="101"/>
  <c r="E88" i="79" s="1"/>
  <c r="D88" i="101"/>
  <c r="C88" i="101"/>
  <c r="Z87" i="101"/>
  <c r="Y87" i="101"/>
  <c r="X87" i="101"/>
  <c r="X87" i="79" s="1"/>
  <c r="W87" i="101"/>
  <c r="W87" i="79" s="1"/>
  <c r="V87" i="101"/>
  <c r="V87" i="79" s="1"/>
  <c r="U87" i="101"/>
  <c r="U87" i="79" s="1"/>
  <c r="T87" i="101"/>
  <c r="T87" i="79" s="1"/>
  <c r="S87" i="101"/>
  <c r="S87" i="79" s="1"/>
  <c r="R87" i="101"/>
  <c r="R87" i="79" s="1"/>
  <c r="Q87" i="101"/>
  <c r="Q87" i="79" s="1"/>
  <c r="P87" i="101"/>
  <c r="P87" i="79" s="1"/>
  <c r="O87" i="101"/>
  <c r="O87" i="79" s="1"/>
  <c r="N87" i="101"/>
  <c r="M87" i="101"/>
  <c r="L87" i="101"/>
  <c r="K87" i="101"/>
  <c r="J87" i="101"/>
  <c r="I87" i="101"/>
  <c r="H87" i="101"/>
  <c r="H87" i="79" s="1"/>
  <c r="G87" i="101"/>
  <c r="G87" i="79" s="1"/>
  <c r="F87" i="101"/>
  <c r="E87" i="101"/>
  <c r="D87" i="101"/>
  <c r="D87" i="79" s="1"/>
  <c r="C87" i="101"/>
  <c r="C87" i="79" s="1"/>
  <c r="Z86" i="101"/>
  <c r="Z86" i="79" s="1"/>
  <c r="Y86" i="101"/>
  <c r="Y86" i="79" s="1"/>
  <c r="X86" i="101"/>
  <c r="X86" i="79" s="1"/>
  <c r="W86" i="101"/>
  <c r="W86" i="79" s="1"/>
  <c r="V86" i="101"/>
  <c r="U86" i="101"/>
  <c r="T86" i="101"/>
  <c r="S86" i="101"/>
  <c r="R86" i="101"/>
  <c r="Q86" i="101"/>
  <c r="P86" i="101"/>
  <c r="O86" i="101"/>
  <c r="O86" i="79" s="1"/>
  <c r="N86" i="101"/>
  <c r="M86" i="101"/>
  <c r="M86" i="79" s="1"/>
  <c r="L86" i="101"/>
  <c r="L86" i="79" s="1"/>
  <c r="K86" i="101"/>
  <c r="K86" i="79" s="1"/>
  <c r="J86" i="101"/>
  <c r="J86" i="79" s="1"/>
  <c r="I86" i="101"/>
  <c r="I86" i="79" s="1"/>
  <c r="H86" i="101"/>
  <c r="H86" i="79" s="1"/>
  <c r="G86" i="101"/>
  <c r="G86" i="79" s="1"/>
  <c r="F86" i="101"/>
  <c r="E86" i="101"/>
  <c r="D86" i="101"/>
  <c r="C86" i="101"/>
  <c r="Z85" i="101"/>
  <c r="Y85" i="101"/>
  <c r="X85" i="101"/>
  <c r="W85" i="101"/>
  <c r="V85" i="101"/>
  <c r="U85" i="101"/>
  <c r="U85" i="79" s="1"/>
  <c r="T85" i="101"/>
  <c r="T85" i="79" s="1"/>
  <c r="S85" i="101"/>
  <c r="S85" i="79" s="1"/>
  <c r="R85" i="101"/>
  <c r="R85" i="79" s="1"/>
  <c r="Q85" i="101"/>
  <c r="Q85" i="79" s="1"/>
  <c r="P85" i="101"/>
  <c r="P85" i="79" s="1"/>
  <c r="O85" i="101"/>
  <c r="O85" i="79" s="1"/>
  <c r="N85" i="101"/>
  <c r="N85" i="79" s="1"/>
  <c r="M85" i="101"/>
  <c r="M85" i="79" s="1"/>
  <c r="L85" i="101"/>
  <c r="L85" i="79" s="1"/>
  <c r="K85" i="101"/>
  <c r="J85" i="101"/>
  <c r="I85" i="101"/>
  <c r="H85" i="101"/>
  <c r="G85" i="101"/>
  <c r="F85" i="101"/>
  <c r="E85" i="101"/>
  <c r="E85" i="79" s="1"/>
  <c r="D85" i="101"/>
  <c r="C85" i="101"/>
  <c r="C85" i="79" s="1"/>
  <c r="Z84" i="101"/>
  <c r="Z84" i="79" s="1"/>
  <c r="Y84" i="101"/>
  <c r="Y84" i="79" s="1"/>
  <c r="X84" i="101"/>
  <c r="X84" i="79" s="1"/>
  <c r="W84" i="101"/>
  <c r="W84" i="79" s="1"/>
  <c r="V84" i="101"/>
  <c r="U84" i="101"/>
  <c r="U84" i="79" s="1"/>
  <c r="T84" i="101"/>
  <c r="S84" i="101"/>
  <c r="R84" i="101"/>
  <c r="Q84" i="101"/>
  <c r="P84" i="101"/>
  <c r="P84" i="79" s="1"/>
  <c r="O84" i="101"/>
  <c r="N84" i="101"/>
  <c r="M84" i="101"/>
  <c r="L84" i="101"/>
  <c r="L84" i="79" s="1"/>
  <c r="K84" i="101"/>
  <c r="K84" i="79" s="1"/>
  <c r="J84" i="101"/>
  <c r="J84" i="79" s="1"/>
  <c r="I84" i="101"/>
  <c r="I84" i="79" s="1"/>
  <c r="H84" i="101"/>
  <c r="H84" i="79" s="1"/>
  <c r="G84" i="101"/>
  <c r="G84" i="79" s="1"/>
  <c r="F84" i="101"/>
  <c r="E84" i="101"/>
  <c r="D84" i="101"/>
  <c r="C84" i="101"/>
  <c r="Z83" i="101"/>
  <c r="Y83" i="101"/>
  <c r="X83" i="101"/>
  <c r="W83" i="101"/>
  <c r="V83" i="101"/>
  <c r="U83" i="101"/>
  <c r="U83" i="79" s="1"/>
  <c r="T83" i="101"/>
  <c r="S83" i="101"/>
  <c r="R83" i="101"/>
  <c r="R83" i="79" s="1"/>
  <c r="Q83" i="101"/>
  <c r="Q83" i="79" s="1"/>
  <c r="P83" i="101"/>
  <c r="P83" i="79" s="1"/>
  <c r="O83" i="101"/>
  <c r="O83" i="79" s="1"/>
  <c r="N83" i="101"/>
  <c r="M83" i="101"/>
  <c r="L83" i="101"/>
  <c r="L83" i="79" s="1"/>
  <c r="K83" i="101"/>
  <c r="K83" i="79" s="1"/>
  <c r="J83" i="101"/>
  <c r="I83" i="101"/>
  <c r="H83" i="101"/>
  <c r="G83" i="101"/>
  <c r="F83" i="101"/>
  <c r="E83" i="101"/>
  <c r="E83" i="79" s="1"/>
  <c r="D83" i="101"/>
  <c r="D83" i="79" s="1"/>
  <c r="C83" i="101"/>
  <c r="C83" i="79" s="1"/>
  <c r="Z82" i="101"/>
  <c r="Z82" i="79" s="1"/>
  <c r="Y82" i="101"/>
  <c r="Y82" i="79" s="1"/>
  <c r="X82" i="101"/>
  <c r="X82" i="79" s="1"/>
  <c r="W82" i="101"/>
  <c r="W82" i="79" s="1"/>
  <c r="V82" i="101"/>
  <c r="V82" i="79" s="1"/>
  <c r="U82" i="101"/>
  <c r="U82" i="79" s="1"/>
  <c r="T82" i="101"/>
  <c r="S82" i="101"/>
  <c r="R82" i="101"/>
  <c r="R82" i="79" s="1"/>
  <c r="Q82" i="101"/>
  <c r="P82" i="101"/>
  <c r="O82" i="101"/>
  <c r="N82" i="101"/>
  <c r="M82" i="101"/>
  <c r="M82" i="79" s="1"/>
  <c r="L82" i="101"/>
  <c r="L82" i="79" s="1"/>
  <c r="K82" i="101"/>
  <c r="K82" i="79" s="1"/>
  <c r="J82" i="101"/>
  <c r="J82" i="79" s="1"/>
  <c r="I82" i="101"/>
  <c r="I82" i="79" s="1"/>
  <c r="H82" i="101"/>
  <c r="H82" i="79" s="1"/>
  <c r="G82" i="101"/>
  <c r="G82" i="79" s="1"/>
  <c r="F82" i="101"/>
  <c r="E82" i="101"/>
  <c r="D82" i="101"/>
  <c r="C82" i="101"/>
  <c r="Z81" i="101"/>
  <c r="Y81" i="101"/>
  <c r="X81" i="101"/>
  <c r="W81" i="101"/>
  <c r="V81" i="101"/>
  <c r="V81" i="79" s="1"/>
  <c r="U81" i="101"/>
  <c r="U81" i="79" s="1"/>
  <c r="T81" i="101"/>
  <c r="T81" i="79" s="1"/>
  <c r="S81" i="101"/>
  <c r="S81" i="79" s="1"/>
  <c r="R81" i="101"/>
  <c r="R81" i="79" s="1"/>
  <c r="Q81" i="101"/>
  <c r="Q81" i="79" s="1"/>
  <c r="P81" i="101"/>
  <c r="P81" i="79" s="1"/>
  <c r="O81" i="101"/>
  <c r="O81" i="79" s="1"/>
  <c r="N81" i="101"/>
  <c r="M81" i="101"/>
  <c r="L81" i="101"/>
  <c r="K81" i="101"/>
  <c r="J81" i="101"/>
  <c r="I81" i="101"/>
  <c r="H81" i="101"/>
  <c r="G81" i="101"/>
  <c r="F81" i="101"/>
  <c r="F81" i="79" s="1"/>
  <c r="E81" i="101"/>
  <c r="D81" i="101"/>
  <c r="C81" i="101"/>
  <c r="Z80" i="101"/>
  <c r="Z80" i="79" s="1"/>
  <c r="Y80" i="101"/>
  <c r="Y80" i="79" s="1"/>
  <c r="X80" i="101"/>
  <c r="X80" i="79" s="1"/>
  <c r="W80" i="101"/>
  <c r="W80" i="79" s="1"/>
  <c r="V80" i="101"/>
  <c r="V80" i="79" s="1"/>
  <c r="U80" i="101"/>
  <c r="T80" i="101"/>
  <c r="S80" i="101"/>
  <c r="R80" i="101"/>
  <c r="Q80" i="101"/>
  <c r="P80" i="101"/>
  <c r="P80" i="79" s="1"/>
  <c r="O80" i="101"/>
  <c r="O80" i="79" s="1"/>
  <c r="N80" i="101"/>
  <c r="N80" i="79" s="1"/>
  <c r="M80" i="101"/>
  <c r="M80" i="79" s="1"/>
  <c r="L80" i="101"/>
  <c r="L80" i="79" s="1"/>
  <c r="K80" i="101"/>
  <c r="K80" i="79" s="1"/>
  <c r="J80" i="101"/>
  <c r="J80" i="79" s="1"/>
  <c r="I80" i="101"/>
  <c r="I80" i="79" s="1"/>
  <c r="H80" i="101"/>
  <c r="H80" i="79" s="1"/>
  <c r="G80" i="101"/>
  <c r="G80" i="79" s="1"/>
  <c r="F80" i="101"/>
  <c r="E80" i="101"/>
  <c r="D80" i="101"/>
  <c r="C80" i="101"/>
  <c r="Z79" i="101"/>
  <c r="Y79" i="101"/>
  <c r="X79" i="101"/>
  <c r="W79" i="101"/>
  <c r="V79" i="101"/>
  <c r="U79" i="101"/>
  <c r="T79" i="101"/>
  <c r="T79" i="79" s="1"/>
  <c r="S79" i="101"/>
  <c r="S79" i="79" s="1"/>
  <c r="R79" i="101"/>
  <c r="R79" i="79" s="1"/>
  <c r="Q79" i="101"/>
  <c r="Q79" i="79" s="1"/>
  <c r="P79" i="101"/>
  <c r="P79" i="79" s="1"/>
  <c r="O79" i="101"/>
  <c r="O79" i="79" s="1"/>
  <c r="N79" i="101"/>
  <c r="M79" i="101"/>
  <c r="L79" i="101"/>
  <c r="K79" i="101"/>
  <c r="J79" i="101"/>
  <c r="I79" i="101"/>
  <c r="H79" i="101"/>
  <c r="G79" i="101"/>
  <c r="F79" i="101"/>
  <c r="E79" i="101"/>
  <c r="D79" i="101"/>
  <c r="C79" i="101"/>
  <c r="Z78" i="101"/>
  <c r="Z78" i="79" s="1"/>
  <c r="Y78" i="101"/>
  <c r="X78" i="101"/>
  <c r="W78" i="101"/>
  <c r="V78" i="101"/>
  <c r="U78" i="101"/>
  <c r="T78" i="101"/>
  <c r="S78" i="101"/>
  <c r="R78" i="101"/>
  <c r="Q78" i="101"/>
  <c r="P78" i="101"/>
  <c r="O78" i="101"/>
  <c r="N78" i="101"/>
  <c r="N78" i="79" s="1"/>
  <c r="M78" i="101"/>
  <c r="M78" i="79" s="1"/>
  <c r="L78" i="101"/>
  <c r="L78" i="79" s="1"/>
  <c r="K78" i="101"/>
  <c r="K78" i="79" s="1"/>
  <c r="J78" i="101"/>
  <c r="J78" i="79" s="1"/>
  <c r="I78" i="101"/>
  <c r="AD78" i="101" s="1"/>
  <c r="H78" i="101"/>
  <c r="H78" i="79" s="1"/>
  <c r="G78" i="101"/>
  <c r="F78" i="101"/>
  <c r="E78" i="101"/>
  <c r="D78" i="101"/>
  <c r="C78" i="101"/>
  <c r="Z77" i="101"/>
  <c r="Z77" i="79" s="1"/>
  <c r="Y77" i="101"/>
  <c r="X77" i="101"/>
  <c r="W77" i="101"/>
  <c r="W77" i="79" s="1"/>
  <c r="V77" i="101"/>
  <c r="V77" i="79" s="1"/>
  <c r="U77" i="101"/>
  <c r="U77" i="79" s="1"/>
  <c r="T77" i="101"/>
  <c r="T77" i="79" s="1"/>
  <c r="S77" i="101"/>
  <c r="S77" i="79" s="1"/>
  <c r="R77" i="101"/>
  <c r="R77" i="79" s="1"/>
  <c r="Q77" i="101"/>
  <c r="Q77" i="79" s="1"/>
  <c r="P77" i="101"/>
  <c r="P77" i="79" s="1"/>
  <c r="O77" i="101"/>
  <c r="N77" i="101"/>
  <c r="M77" i="101"/>
  <c r="L77" i="101"/>
  <c r="K77" i="101"/>
  <c r="K77" i="79" s="1"/>
  <c r="J77" i="101"/>
  <c r="J77" i="79" s="1"/>
  <c r="I77" i="101"/>
  <c r="H77" i="101"/>
  <c r="G77" i="101"/>
  <c r="G77" i="79" s="1"/>
  <c r="F77" i="101"/>
  <c r="F77" i="79" s="1"/>
  <c r="E77" i="101"/>
  <c r="E77" i="79" s="1"/>
  <c r="D77" i="101"/>
  <c r="D77" i="79" s="1"/>
  <c r="C77" i="101"/>
  <c r="Z76" i="101"/>
  <c r="Z76" i="79" s="1"/>
  <c r="Y76" i="101"/>
  <c r="Y76" i="79" s="1"/>
  <c r="X76" i="101"/>
  <c r="X76" i="79" s="1"/>
  <c r="W76" i="101"/>
  <c r="V76" i="101"/>
  <c r="U76" i="101"/>
  <c r="T76" i="101"/>
  <c r="S76" i="101"/>
  <c r="S76" i="79" s="1"/>
  <c r="R76" i="101"/>
  <c r="Q76" i="101"/>
  <c r="P76" i="101"/>
  <c r="O76" i="101"/>
  <c r="O76" i="79" s="1"/>
  <c r="N76" i="101"/>
  <c r="N76" i="79" s="1"/>
  <c r="M76" i="101"/>
  <c r="M76" i="79" s="1"/>
  <c r="L76" i="101"/>
  <c r="L76" i="79" s="1"/>
  <c r="K76" i="101"/>
  <c r="K76" i="79" s="1"/>
  <c r="J76" i="101"/>
  <c r="J76" i="79" s="1"/>
  <c r="I76" i="101"/>
  <c r="I76" i="79" s="1"/>
  <c r="H76" i="101"/>
  <c r="H76" i="79" s="1"/>
  <c r="G76" i="101"/>
  <c r="F76" i="101"/>
  <c r="E76" i="101"/>
  <c r="D76" i="101"/>
  <c r="C76" i="101"/>
  <c r="Z75" i="101"/>
  <c r="Y75" i="101"/>
  <c r="X75" i="101"/>
  <c r="W75" i="101"/>
  <c r="V75" i="101"/>
  <c r="V75" i="79" s="1"/>
  <c r="U75" i="101"/>
  <c r="U75" i="79" s="1"/>
  <c r="T75" i="101"/>
  <c r="T75" i="79" s="1"/>
  <c r="S75" i="101"/>
  <c r="S75" i="79" s="1"/>
  <c r="R75" i="101"/>
  <c r="R75" i="79" s="1"/>
  <c r="Q75" i="101"/>
  <c r="P75" i="101"/>
  <c r="P75" i="79" s="1"/>
  <c r="O75" i="101"/>
  <c r="O75" i="79" s="1"/>
  <c r="N75" i="101"/>
  <c r="N75" i="79" s="1"/>
  <c r="M75" i="101"/>
  <c r="M75" i="79" s="1"/>
  <c r="L75" i="101"/>
  <c r="L75" i="79" s="1"/>
  <c r="K75" i="101"/>
  <c r="J75" i="101"/>
  <c r="I75" i="101"/>
  <c r="H75" i="101"/>
  <c r="G75" i="101"/>
  <c r="F75" i="101"/>
  <c r="F75" i="79" s="1"/>
  <c r="E75" i="101"/>
  <c r="E75" i="79" s="1"/>
  <c r="D75" i="101"/>
  <c r="D75" i="79" s="1"/>
  <c r="C75" i="101"/>
  <c r="C75" i="79" s="1"/>
  <c r="Z74" i="101"/>
  <c r="Z74" i="79" s="1"/>
  <c r="Y74" i="101"/>
  <c r="Y74" i="79" s="1"/>
  <c r="X74" i="101"/>
  <c r="X74" i="79" s="1"/>
  <c r="W74" i="101"/>
  <c r="W74" i="79" s="1"/>
  <c r="V74" i="101"/>
  <c r="V74" i="79" s="1"/>
  <c r="U74" i="101"/>
  <c r="U74" i="79" s="1"/>
  <c r="T74" i="101"/>
  <c r="T74" i="79" s="1"/>
  <c r="S74" i="101"/>
  <c r="R74" i="101"/>
  <c r="Q74" i="101"/>
  <c r="P74" i="101"/>
  <c r="O74" i="101"/>
  <c r="N74" i="101"/>
  <c r="N74" i="79" s="1"/>
  <c r="M74" i="101"/>
  <c r="M74" i="79" s="1"/>
  <c r="L74" i="101"/>
  <c r="K74" i="101"/>
  <c r="J74" i="101"/>
  <c r="I74" i="101"/>
  <c r="H74" i="101"/>
  <c r="H74" i="79" s="1"/>
  <c r="G74" i="101"/>
  <c r="G74" i="79" s="1"/>
  <c r="F74" i="101"/>
  <c r="F74" i="79" s="1"/>
  <c r="E74" i="101"/>
  <c r="D74" i="101"/>
  <c r="C74" i="101"/>
  <c r="Z73" i="101"/>
  <c r="Y73" i="101"/>
  <c r="X73" i="101"/>
  <c r="W73" i="101"/>
  <c r="V73" i="101"/>
  <c r="V73" i="79" s="1"/>
  <c r="U73" i="101"/>
  <c r="U73" i="79" s="1"/>
  <c r="T73" i="101"/>
  <c r="T73" i="79" s="1"/>
  <c r="S73" i="101"/>
  <c r="S73" i="79" s="1"/>
  <c r="R73" i="101"/>
  <c r="R73" i="79" s="1"/>
  <c r="Q73" i="101"/>
  <c r="Q73" i="79" s="1"/>
  <c r="P73" i="101"/>
  <c r="P73" i="79" s="1"/>
  <c r="O73" i="101"/>
  <c r="O73" i="79" s="1"/>
  <c r="N73" i="101"/>
  <c r="N73" i="79" s="1"/>
  <c r="M73" i="101"/>
  <c r="L73" i="101"/>
  <c r="K73" i="101"/>
  <c r="J73" i="101"/>
  <c r="I73" i="101"/>
  <c r="H73" i="101"/>
  <c r="G73" i="101"/>
  <c r="F73" i="101"/>
  <c r="F73" i="79" s="1"/>
  <c r="E73" i="101"/>
  <c r="E73" i="79" s="1"/>
  <c r="D73" i="101"/>
  <c r="D73" i="79" s="1"/>
  <c r="C73" i="101"/>
  <c r="C73" i="79" s="1"/>
  <c r="Z72" i="101"/>
  <c r="Z72" i="79" s="1"/>
  <c r="Y72" i="101"/>
  <c r="Y72" i="79" s="1"/>
  <c r="X72" i="101"/>
  <c r="X72" i="79" s="1"/>
  <c r="W72" i="101"/>
  <c r="V72" i="101"/>
  <c r="U72" i="101"/>
  <c r="T72" i="101"/>
  <c r="S72" i="101"/>
  <c r="R72" i="101"/>
  <c r="Q72" i="101"/>
  <c r="P72" i="101"/>
  <c r="O72" i="101"/>
  <c r="N72" i="101"/>
  <c r="N72" i="79" s="1"/>
  <c r="M72" i="101"/>
  <c r="M72" i="79" s="1"/>
  <c r="L72" i="101"/>
  <c r="L72" i="79" s="1"/>
  <c r="K72" i="101"/>
  <c r="J72" i="101"/>
  <c r="I72" i="101"/>
  <c r="I72" i="79" s="1"/>
  <c r="H72" i="101"/>
  <c r="H72" i="79" s="1"/>
  <c r="G72" i="101"/>
  <c r="F72" i="101"/>
  <c r="E72" i="101"/>
  <c r="D72" i="101"/>
  <c r="C72" i="101"/>
  <c r="Z71" i="101"/>
  <c r="Y71" i="101"/>
  <c r="X71" i="101"/>
  <c r="X71" i="79" s="1"/>
  <c r="W71" i="101"/>
  <c r="W71" i="79" s="1"/>
  <c r="V71" i="101"/>
  <c r="V71" i="79" s="1"/>
  <c r="U71" i="101"/>
  <c r="U71" i="79" s="1"/>
  <c r="T71" i="101"/>
  <c r="T71" i="79" s="1"/>
  <c r="S71" i="101"/>
  <c r="S71" i="79" s="1"/>
  <c r="R71" i="101"/>
  <c r="R71" i="79" s="1"/>
  <c r="Q71" i="101"/>
  <c r="Q71" i="79" s="1"/>
  <c r="P71" i="101"/>
  <c r="P71" i="79" s="1"/>
  <c r="O71" i="101"/>
  <c r="N71" i="101"/>
  <c r="M71" i="101"/>
  <c r="L71" i="101"/>
  <c r="K71" i="101"/>
  <c r="J71" i="101"/>
  <c r="I71" i="101"/>
  <c r="H71" i="101"/>
  <c r="H71" i="79" s="1"/>
  <c r="G71" i="101"/>
  <c r="F71" i="101"/>
  <c r="F71" i="79" s="1"/>
  <c r="E71" i="101"/>
  <c r="D71" i="101"/>
  <c r="D71" i="79" s="1"/>
  <c r="C71" i="101"/>
  <c r="C71" i="79" s="1"/>
  <c r="Z70" i="101"/>
  <c r="Z70" i="79" s="1"/>
  <c r="Y70" i="101"/>
  <c r="X70" i="101"/>
  <c r="W70" i="101"/>
  <c r="V70" i="101"/>
  <c r="U70" i="101"/>
  <c r="T70" i="101"/>
  <c r="S70" i="101"/>
  <c r="R70" i="101"/>
  <c r="Q70" i="101"/>
  <c r="Q70" i="79" s="1"/>
  <c r="P70" i="101"/>
  <c r="P70" i="79" s="1"/>
  <c r="O70" i="101"/>
  <c r="N70" i="101"/>
  <c r="N70" i="79" s="1"/>
  <c r="M70" i="101"/>
  <c r="M70" i="79" s="1"/>
  <c r="L70" i="101"/>
  <c r="L70" i="79" s="1"/>
  <c r="K70" i="101"/>
  <c r="J70" i="101"/>
  <c r="J70" i="79" s="1"/>
  <c r="I70" i="101"/>
  <c r="I70" i="79" s="1"/>
  <c r="H70" i="101"/>
  <c r="H70" i="79" s="1"/>
  <c r="G70" i="101"/>
  <c r="F70" i="101"/>
  <c r="E70" i="101"/>
  <c r="D70" i="101"/>
  <c r="C70" i="101"/>
  <c r="Z69" i="101"/>
  <c r="Y69" i="101"/>
  <c r="X69" i="101"/>
  <c r="W69" i="101"/>
  <c r="V69" i="101"/>
  <c r="V69" i="79" s="1"/>
  <c r="U69" i="101"/>
  <c r="U69" i="79" s="1"/>
  <c r="T69" i="101"/>
  <c r="T69" i="79" s="1"/>
  <c r="S69" i="101"/>
  <c r="S69" i="79" s="1"/>
  <c r="R69" i="101"/>
  <c r="R69" i="79" s="1"/>
  <c r="Q69" i="101"/>
  <c r="Q69" i="79" s="1"/>
  <c r="P69" i="101"/>
  <c r="P69" i="79" s="1"/>
  <c r="O69" i="101"/>
  <c r="N69" i="101"/>
  <c r="N69" i="79" s="1"/>
  <c r="M69" i="101"/>
  <c r="M69" i="79" s="1"/>
  <c r="L69" i="101"/>
  <c r="L69" i="79" s="1"/>
  <c r="K69" i="101"/>
  <c r="J69" i="101"/>
  <c r="I69" i="101"/>
  <c r="H69" i="101"/>
  <c r="G69" i="101"/>
  <c r="F69" i="101"/>
  <c r="F69" i="79" s="1"/>
  <c r="E69" i="101"/>
  <c r="E69" i="79" s="1"/>
  <c r="D69" i="101"/>
  <c r="C69" i="101"/>
  <c r="C69" i="79" s="1"/>
  <c r="Z68" i="101"/>
  <c r="Z68" i="79" s="1"/>
  <c r="Y68" i="101"/>
  <c r="Y68" i="79" s="1"/>
  <c r="X68" i="101"/>
  <c r="X68" i="79" s="1"/>
  <c r="W68" i="101"/>
  <c r="V68" i="101"/>
  <c r="U68" i="101"/>
  <c r="T68" i="101"/>
  <c r="S68" i="101"/>
  <c r="R68" i="101"/>
  <c r="R68" i="79" s="1"/>
  <c r="Q68" i="101"/>
  <c r="P68" i="101"/>
  <c r="O68" i="101"/>
  <c r="N68" i="101"/>
  <c r="N68" i="79" s="1"/>
  <c r="M68" i="101"/>
  <c r="M68" i="79" s="1"/>
  <c r="L68" i="101"/>
  <c r="L68" i="79" s="1"/>
  <c r="K68" i="101"/>
  <c r="K68" i="79" s="1"/>
  <c r="J68" i="101"/>
  <c r="J68" i="79" s="1"/>
  <c r="I68" i="101"/>
  <c r="AD68" i="101" s="1"/>
  <c r="H68" i="101"/>
  <c r="G68" i="101"/>
  <c r="F68" i="101"/>
  <c r="E68" i="101"/>
  <c r="D68" i="101"/>
  <c r="C68" i="101"/>
  <c r="Z67" i="101"/>
  <c r="Z67" i="79" s="1"/>
  <c r="Y67" i="101"/>
  <c r="X67" i="101"/>
  <c r="W67" i="101"/>
  <c r="W65" i="101" s="1"/>
  <c r="V67" i="101"/>
  <c r="U67" i="101"/>
  <c r="U67" i="79" s="1"/>
  <c r="T67" i="101"/>
  <c r="T67" i="79" s="1"/>
  <c r="S67" i="101"/>
  <c r="S67" i="79" s="1"/>
  <c r="R67" i="101"/>
  <c r="R67" i="79" s="1"/>
  <c r="Q67" i="101"/>
  <c r="P67" i="101"/>
  <c r="O67" i="101"/>
  <c r="N67" i="101"/>
  <c r="M67" i="101"/>
  <c r="L67" i="101"/>
  <c r="K67" i="101"/>
  <c r="J67" i="101"/>
  <c r="I67" i="101"/>
  <c r="H67" i="101"/>
  <c r="G67" i="101"/>
  <c r="F67" i="101"/>
  <c r="F67" i="79" s="1"/>
  <c r="E67" i="101"/>
  <c r="E67" i="79" s="1"/>
  <c r="D67" i="101"/>
  <c r="C67" i="101"/>
  <c r="C67" i="79" s="1"/>
  <c r="Z66" i="101"/>
  <c r="Y66" i="101"/>
  <c r="Y65" i="101" s="1"/>
  <c r="X66" i="101"/>
  <c r="W66" i="101"/>
  <c r="V66" i="101"/>
  <c r="U66" i="101"/>
  <c r="T66" i="101"/>
  <c r="S66" i="101"/>
  <c r="R66" i="101"/>
  <c r="Q66" i="101"/>
  <c r="P66" i="101"/>
  <c r="O66" i="101"/>
  <c r="N66" i="101"/>
  <c r="N65" i="101" s="1"/>
  <c r="M66" i="101"/>
  <c r="L66" i="101"/>
  <c r="L66" i="79" s="1"/>
  <c r="K66" i="101"/>
  <c r="J66" i="101"/>
  <c r="J66" i="79" s="1"/>
  <c r="I66" i="101"/>
  <c r="I65" i="101" s="1"/>
  <c r="H66" i="101"/>
  <c r="G66" i="101"/>
  <c r="F66" i="101"/>
  <c r="E66" i="101"/>
  <c r="D66" i="101"/>
  <c r="C66" i="101"/>
  <c r="Z64" i="101"/>
  <c r="Y64" i="101"/>
  <c r="Y64" i="79" s="1"/>
  <c r="X64" i="101"/>
  <c r="X64" i="79" s="1"/>
  <c r="W64" i="101"/>
  <c r="W64" i="79" s="1"/>
  <c r="V64" i="101"/>
  <c r="V64" i="79" s="1"/>
  <c r="U64" i="101"/>
  <c r="U64" i="79" s="1"/>
  <c r="T64" i="101"/>
  <c r="T64" i="79" s="1"/>
  <c r="S64" i="101"/>
  <c r="R64" i="101"/>
  <c r="Q64" i="101"/>
  <c r="P64" i="101"/>
  <c r="O64" i="101"/>
  <c r="N64" i="101"/>
  <c r="M64" i="101"/>
  <c r="L64" i="101"/>
  <c r="K64" i="101"/>
  <c r="K64" i="79" s="1"/>
  <c r="J64" i="101"/>
  <c r="I64" i="101"/>
  <c r="I64" i="79" s="1"/>
  <c r="H64" i="101"/>
  <c r="H64" i="79" s="1"/>
  <c r="G64" i="101"/>
  <c r="G64" i="79" s="1"/>
  <c r="F64" i="101"/>
  <c r="F64" i="79" s="1"/>
  <c r="E64" i="101"/>
  <c r="E64" i="79" s="1"/>
  <c r="D64" i="101"/>
  <c r="D64" i="79" s="1"/>
  <c r="C64" i="101"/>
  <c r="Z63" i="101"/>
  <c r="Y63" i="101"/>
  <c r="X63" i="101"/>
  <c r="W63" i="101"/>
  <c r="V63" i="101"/>
  <c r="U63" i="101"/>
  <c r="U63" i="79" s="1"/>
  <c r="T63" i="101"/>
  <c r="S63" i="101"/>
  <c r="S63" i="79" s="1"/>
  <c r="R63" i="101"/>
  <c r="R63" i="79" s="1"/>
  <c r="Q63" i="101"/>
  <c r="Q63" i="79" s="1"/>
  <c r="P63" i="101"/>
  <c r="P63" i="79" s="1"/>
  <c r="O63" i="101"/>
  <c r="O63" i="79" s="1"/>
  <c r="N63" i="101"/>
  <c r="M63" i="101"/>
  <c r="M63" i="79" s="1"/>
  <c r="L63" i="101"/>
  <c r="K63" i="101"/>
  <c r="J63" i="101"/>
  <c r="I63" i="101"/>
  <c r="H63" i="101"/>
  <c r="G63" i="101"/>
  <c r="F63" i="101"/>
  <c r="E63" i="101"/>
  <c r="E63" i="79" s="1"/>
  <c r="D63" i="101"/>
  <c r="C63" i="101"/>
  <c r="Z62" i="101"/>
  <c r="Y62" i="101"/>
  <c r="Y62" i="79" s="1"/>
  <c r="X62" i="101"/>
  <c r="X62" i="79" s="1"/>
  <c r="W62" i="101"/>
  <c r="W62" i="79" s="1"/>
  <c r="V62" i="101"/>
  <c r="V62" i="79" s="1"/>
  <c r="U62" i="101"/>
  <c r="U62" i="79" s="1"/>
  <c r="T62" i="101"/>
  <c r="T62" i="79" s="1"/>
  <c r="S62" i="101"/>
  <c r="R62" i="101"/>
  <c r="Q62" i="101"/>
  <c r="Q62" i="79" s="1"/>
  <c r="P62" i="101"/>
  <c r="O62" i="101"/>
  <c r="O62" i="79" s="1"/>
  <c r="N62" i="101"/>
  <c r="N62" i="79" s="1"/>
  <c r="M62" i="101"/>
  <c r="M62" i="79" s="1"/>
  <c r="L62" i="101"/>
  <c r="L62" i="79" s="1"/>
  <c r="K62" i="101"/>
  <c r="J62" i="101"/>
  <c r="I62" i="101"/>
  <c r="H62" i="101"/>
  <c r="G62" i="101"/>
  <c r="F62" i="101"/>
  <c r="F62" i="79" s="1"/>
  <c r="E62" i="101"/>
  <c r="E62" i="79" s="1"/>
  <c r="D62" i="101"/>
  <c r="D62" i="79" s="1"/>
  <c r="C62" i="101"/>
  <c r="Z61" i="101"/>
  <c r="Z61" i="79" s="1"/>
  <c r="Y61" i="101"/>
  <c r="Y61" i="79" s="1"/>
  <c r="X61" i="101"/>
  <c r="X61" i="79" s="1"/>
  <c r="W61" i="101"/>
  <c r="W61" i="79" s="1"/>
  <c r="V61" i="101"/>
  <c r="V61" i="79" s="1"/>
  <c r="U61" i="101"/>
  <c r="U61" i="79" s="1"/>
  <c r="T61" i="101"/>
  <c r="S61" i="101"/>
  <c r="R61" i="101"/>
  <c r="R61" i="79" s="1"/>
  <c r="Q61" i="101"/>
  <c r="P61" i="101"/>
  <c r="O61" i="101"/>
  <c r="O61" i="79" s="1"/>
  <c r="N61" i="101"/>
  <c r="N61" i="79" s="1"/>
  <c r="M61" i="101"/>
  <c r="M61" i="79" s="1"/>
  <c r="L61" i="101"/>
  <c r="L61" i="79" s="1"/>
  <c r="K61" i="101"/>
  <c r="J61" i="101"/>
  <c r="J61" i="79" s="1"/>
  <c r="I61" i="101"/>
  <c r="I61" i="79" s="1"/>
  <c r="H61" i="101"/>
  <c r="H61" i="79" s="1"/>
  <c r="G61" i="101"/>
  <c r="G61" i="79" s="1"/>
  <c r="F61" i="101"/>
  <c r="E61" i="101"/>
  <c r="D61" i="101"/>
  <c r="C61" i="101"/>
  <c r="Z60" i="101"/>
  <c r="Y60" i="101"/>
  <c r="Y60" i="79" s="1"/>
  <c r="X60" i="101"/>
  <c r="X60" i="79" s="1"/>
  <c r="W60" i="101"/>
  <c r="W60" i="79" s="1"/>
  <c r="V60" i="101"/>
  <c r="V60" i="79" s="1"/>
  <c r="U60" i="101"/>
  <c r="U60" i="79" s="1"/>
  <c r="T60" i="101"/>
  <c r="T60" i="79" s="1"/>
  <c r="S60" i="101"/>
  <c r="R60" i="101"/>
  <c r="R60" i="79" s="1"/>
  <c r="Q60" i="101"/>
  <c r="P60" i="101"/>
  <c r="O60" i="101"/>
  <c r="O60" i="79" s="1"/>
  <c r="N60" i="101"/>
  <c r="N60" i="79" s="1"/>
  <c r="M60" i="101"/>
  <c r="M60" i="79" s="1"/>
  <c r="L60" i="101"/>
  <c r="K60" i="101"/>
  <c r="J60" i="101"/>
  <c r="I60" i="101"/>
  <c r="H60" i="101"/>
  <c r="G60" i="101"/>
  <c r="G60" i="79" s="1"/>
  <c r="F60" i="101"/>
  <c r="F60" i="79" s="1"/>
  <c r="E60" i="101"/>
  <c r="E60" i="79" s="1"/>
  <c r="D60" i="101"/>
  <c r="D60" i="79" s="1"/>
  <c r="C60" i="101"/>
  <c r="Z59" i="101"/>
  <c r="Z59" i="79" s="1"/>
  <c r="Y59" i="101"/>
  <c r="Y59" i="79" s="1"/>
  <c r="X59" i="101"/>
  <c r="X59" i="79" s="1"/>
  <c r="W59" i="101"/>
  <c r="W59" i="79" s="1"/>
  <c r="V59" i="101"/>
  <c r="U59" i="101"/>
  <c r="T59" i="101"/>
  <c r="S59" i="101"/>
  <c r="R59" i="101"/>
  <c r="Q59" i="101"/>
  <c r="Q59" i="79" s="1"/>
  <c r="P59" i="101"/>
  <c r="P59" i="79" s="1"/>
  <c r="O59" i="101"/>
  <c r="O59" i="79" s="1"/>
  <c r="N59" i="101"/>
  <c r="M59" i="101"/>
  <c r="L59" i="101"/>
  <c r="K59" i="101"/>
  <c r="K59" i="79" s="1"/>
  <c r="J59" i="101"/>
  <c r="J59" i="79" s="1"/>
  <c r="I59" i="101"/>
  <c r="I59" i="79" s="1"/>
  <c r="H59" i="101"/>
  <c r="H59" i="79" s="1"/>
  <c r="G59" i="101"/>
  <c r="G59" i="79" s="1"/>
  <c r="F59" i="101"/>
  <c r="E59" i="101"/>
  <c r="E59" i="79" s="1"/>
  <c r="D59" i="101"/>
  <c r="C59" i="101"/>
  <c r="Z58" i="101"/>
  <c r="Y58" i="101"/>
  <c r="Y58" i="79" s="1"/>
  <c r="X58" i="101"/>
  <c r="X58" i="79" s="1"/>
  <c r="W58" i="101"/>
  <c r="W58" i="79" s="1"/>
  <c r="V58" i="101"/>
  <c r="V58" i="79" s="1"/>
  <c r="U58" i="101"/>
  <c r="U58" i="79" s="1"/>
  <c r="T58" i="101"/>
  <c r="T58" i="79" s="1"/>
  <c r="S58" i="101"/>
  <c r="S58" i="79" s="1"/>
  <c r="R58" i="101"/>
  <c r="R58" i="79" s="1"/>
  <c r="Q58" i="101"/>
  <c r="P58" i="101"/>
  <c r="O58" i="101"/>
  <c r="N58" i="101"/>
  <c r="M58" i="101"/>
  <c r="M58" i="79" s="1"/>
  <c r="L58" i="101"/>
  <c r="K58" i="101"/>
  <c r="J58" i="101"/>
  <c r="I58" i="101"/>
  <c r="I58" i="79" s="1"/>
  <c r="H58" i="101"/>
  <c r="H58" i="79" s="1"/>
  <c r="G58" i="101"/>
  <c r="G58" i="79" s="1"/>
  <c r="F58" i="101"/>
  <c r="E58" i="101"/>
  <c r="D58" i="101"/>
  <c r="C58" i="101"/>
  <c r="Z57" i="101"/>
  <c r="Y57" i="101"/>
  <c r="X57" i="101"/>
  <c r="W57" i="101"/>
  <c r="V57" i="101"/>
  <c r="V57" i="79" s="1"/>
  <c r="U57" i="101"/>
  <c r="T57" i="101"/>
  <c r="S57" i="101"/>
  <c r="R57" i="101"/>
  <c r="Q57" i="101"/>
  <c r="P57" i="101"/>
  <c r="P57" i="79" s="1"/>
  <c r="O57" i="101"/>
  <c r="N57" i="101"/>
  <c r="N57" i="79" s="1"/>
  <c r="M57" i="101"/>
  <c r="M57" i="79" s="1"/>
  <c r="L57" i="101"/>
  <c r="L57" i="79" s="1"/>
  <c r="K57" i="101"/>
  <c r="J57" i="101"/>
  <c r="I57" i="101"/>
  <c r="H57" i="101"/>
  <c r="G57" i="101"/>
  <c r="F57" i="101"/>
  <c r="E57" i="101"/>
  <c r="D57" i="101"/>
  <c r="C57" i="101"/>
  <c r="Z56" i="101"/>
  <c r="Z56" i="79" s="1"/>
  <c r="Y56" i="101"/>
  <c r="Y56" i="79" s="1"/>
  <c r="X56" i="101"/>
  <c r="X56" i="79" s="1"/>
  <c r="W56" i="101"/>
  <c r="W56" i="79" s="1"/>
  <c r="V56" i="101"/>
  <c r="V56" i="79" s="1"/>
  <c r="U56" i="101"/>
  <c r="U56" i="79" s="1"/>
  <c r="T56" i="101"/>
  <c r="S56" i="101"/>
  <c r="R56" i="101"/>
  <c r="Q56" i="101"/>
  <c r="P56" i="101"/>
  <c r="O56" i="101"/>
  <c r="N56" i="101"/>
  <c r="N56" i="79" s="1"/>
  <c r="M56" i="101"/>
  <c r="L56" i="101"/>
  <c r="K56" i="101"/>
  <c r="J56" i="101"/>
  <c r="I56" i="101"/>
  <c r="H56" i="101"/>
  <c r="H56" i="79" s="1"/>
  <c r="G56" i="101"/>
  <c r="G56" i="79" s="1"/>
  <c r="F56" i="101"/>
  <c r="E56" i="101"/>
  <c r="E56" i="79" s="1"/>
  <c r="D56" i="101"/>
  <c r="C56" i="101"/>
  <c r="Z55" i="101"/>
  <c r="Y55" i="101"/>
  <c r="X55" i="101"/>
  <c r="X55" i="79" s="1"/>
  <c r="W55" i="101"/>
  <c r="W55" i="79" s="1"/>
  <c r="V55" i="101"/>
  <c r="V55" i="79" s="1"/>
  <c r="U55" i="101"/>
  <c r="T55" i="101"/>
  <c r="S55" i="101"/>
  <c r="S53" i="101" s="1"/>
  <c r="R55" i="101"/>
  <c r="Q55" i="101"/>
  <c r="P55" i="101"/>
  <c r="O55" i="101"/>
  <c r="N55" i="101"/>
  <c r="M55" i="101"/>
  <c r="M55" i="79" s="1"/>
  <c r="L55" i="101"/>
  <c r="K55" i="101"/>
  <c r="J55" i="101"/>
  <c r="I55" i="101"/>
  <c r="H55" i="101"/>
  <c r="H55" i="79" s="1"/>
  <c r="G55" i="101"/>
  <c r="G55" i="79" s="1"/>
  <c r="F55" i="101"/>
  <c r="F55" i="79" s="1"/>
  <c r="E55" i="101"/>
  <c r="D55" i="101"/>
  <c r="C55" i="101"/>
  <c r="Z54" i="101"/>
  <c r="Z54" i="79" s="1"/>
  <c r="Y54" i="101"/>
  <c r="Y53" i="101" s="1"/>
  <c r="X54" i="101"/>
  <c r="X54" i="79" s="1"/>
  <c r="W54" i="101"/>
  <c r="W54" i="79" s="1"/>
  <c r="V54" i="101"/>
  <c r="V54" i="79" s="1"/>
  <c r="U54" i="101"/>
  <c r="T54" i="101"/>
  <c r="S54" i="101"/>
  <c r="R54" i="101"/>
  <c r="Q54" i="101"/>
  <c r="P54" i="101"/>
  <c r="O54" i="101"/>
  <c r="N54" i="101"/>
  <c r="M54" i="101"/>
  <c r="L54" i="101"/>
  <c r="K54" i="101"/>
  <c r="K53" i="101" s="1"/>
  <c r="J54" i="101"/>
  <c r="J54" i="79" s="1"/>
  <c r="I54" i="101"/>
  <c r="I53" i="101" s="1"/>
  <c r="H54" i="101"/>
  <c r="G54" i="101"/>
  <c r="G54" i="79" s="1"/>
  <c r="F54" i="101"/>
  <c r="F54" i="79" s="1"/>
  <c r="E54" i="101"/>
  <c r="E54" i="79" s="1"/>
  <c r="D54" i="101"/>
  <c r="C54" i="101"/>
  <c r="X53" i="101"/>
  <c r="J53" i="101"/>
  <c r="Z52" i="101"/>
  <c r="Y52" i="101"/>
  <c r="X52" i="101"/>
  <c r="W52" i="101"/>
  <c r="V52" i="101"/>
  <c r="V52" i="79" s="1"/>
  <c r="U52" i="101"/>
  <c r="U52" i="79" s="1"/>
  <c r="T52" i="101"/>
  <c r="S52" i="101"/>
  <c r="R52" i="101"/>
  <c r="Q52" i="101"/>
  <c r="Q52" i="79" s="1"/>
  <c r="P52" i="101"/>
  <c r="O52" i="101"/>
  <c r="N52" i="101"/>
  <c r="M52" i="101"/>
  <c r="M52" i="79" s="1"/>
  <c r="L52" i="101"/>
  <c r="K52" i="101"/>
  <c r="J52" i="101"/>
  <c r="I52" i="101"/>
  <c r="H52" i="101"/>
  <c r="G52" i="101"/>
  <c r="F52" i="101"/>
  <c r="F52" i="79" s="1"/>
  <c r="E52" i="101"/>
  <c r="E52" i="79" s="1"/>
  <c r="D52" i="101"/>
  <c r="C52" i="101"/>
  <c r="Z51" i="101"/>
  <c r="Y51" i="101"/>
  <c r="Y51" i="79" s="1"/>
  <c r="X51" i="101"/>
  <c r="W51" i="101"/>
  <c r="W51" i="79" s="1"/>
  <c r="V51" i="101"/>
  <c r="U51" i="101"/>
  <c r="U51" i="79" s="1"/>
  <c r="T51" i="101"/>
  <c r="S51" i="101"/>
  <c r="R51" i="101"/>
  <c r="R51" i="79" s="1"/>
  <c r="Q51" i="101"/>
  <c r="Q51" i="79" s="1"/>
  <c r="P51" i="101"/>
  <c r="O51" i="101"/>
  <c r="N51" i="101"/>
  <c r="M51" i="101"/>
  <c r="L51" i="101"/>
  <c r="K51" i="101"/>
  <c r="J51" i="101"/>
  <c r="J51" i="79" s="1"/>
  <c r="I51" i="101"/>
  <c r="H51" i="101"/>
  <c r="G51" i="101"/>
  <c r="F51" i="101"/>
  <c r="E51" i="101"/>
  <c r="D51" i="101"/>
  <c r="C51" i="101"/>
  <c r="Z50" i="101"/>
  <c r="Y50" i="101"/>
  <c r="Y50" i="79" s="1"/>
  <c r="X50" i="101"/>
  <c r="X50" i="79" s="1"/>
  <c r="W50" i="101"/>
  <c r="V50" i="101"/>
  <c r="U50" i="101"/>
  <c r="T50" i="101"/>
  <c r="S50" i="101"/>
  <c r="R50" i="101"/>
  <c r="R50" i="79" s="1"/>
  <c r="Q50" i="101"/>
  <c r="Q50" i="79" s="1"/>
  <c r="P50" i="101"/>
  <c r="O50" i="101"/>
  <c r="N50" i="101"/>
  <c r="M50" i="101"/>
  <c r="L50" i="101"/>
  <c r="K50" i="101"/>
  <c r="J50" i="101"/>
  <c r="I50" i="101"/>
  <c r="I50" i="79" s="1"/>
  <c r="H50" i="101"/>
  <c r="G50" i="101"/>
  <c r="F50" i="101"/>
  <c r="E50" i="101"/>
  <c r="D50" i="101"/>
  <c r="C50" i="101"/>
  <c r="AD49" i="101"/>
  <c r="Z49" i="101"/>
  <c r="Z49" i="79" s="1"/>
  <c r="Y49" i="101"/>
  <c r="X49" i="101"/>
  <c r="W49" i="101"/>
  <c r="V49" i="101"/>
  <c r="V49" i="79" s="1"/>
  <c r="U49" i="101"/>
  <c r="U49" i="79" s="1"/>
  <c r="T49" i="101"/>
  <c r="T49" i="79" s="1"/>
  <c r="S49" i="101"/>
  <c r="R49" i="101"/>
  <c r="Q49" i="101"/>
  <c r="P49" i="101"/>
  <c r="O49" i="101"/>
  <c r="N49" i="101"/>
  <c r="M49" i="101"/>
  <c r="L49" i="101"/>
  <c r="K49" i="101"/>
  <c r="K49" i="79" s="1"/>
  <c r="J49" i="101"/>
  <c r="J49" i="79" s="1"/>
  <c r="I49" i="101"/>
  <c r="H49" i="101"/>
  <c r="G49" i="101"/>
  <c r="F49" i="101"/>
  <c r="F49" i="79" s="1"/>
  <c r="E49" i="101"/>
  <c r="E49" i="79" s="1"/>
  <c r="D49" i="101"/>
  <c r="C49" i="101"/>
  <c r="Z48" i="101"/>
  <c r="Y48" i="101"/>
  <c r="Y48" i="79" s="1"/>
  <c r="X48" i="101"/>
  <c r="W48" i="101"/>
  <c r="V48" i="101"/>
  <c r="U48" i="101"/>
  <c r="T48" i="101"/>
  <c r="S48" i="101"/>
  <c r="R48" i="101"/>
  <c r="R48" i="79" s="1"/>
  <c r="Q48" i="101"/>
  <c r="P48" i="101"/>
  <c r="O48" i="101"/>
  <c r="N48" i="101"/>
  <c r="N48" i="79" s="1"/>
  <c r="M48" i="101"/>
  <c r="L48" i="101"/>
  <c r="K48" i="101"/>
  <c r="K48" i="79" s="1"/>
  <c r="J48" i="101"/>
  <c r="I48" i="101"/>
  <c r="H48" i="101"/>
  <c r="G48" i="101"/>
  <c r="F48" i="101"/>
  <c r="E48" i="101"/>
  <c r="D48" i="101"/>
  <c r="C48" i="101"/>
  <c r="Z47" i="101"/>
  <c r="Y47" i="101"/>
  <c r="X47" i="101"/>
  <c r="W47" i="101"/>
  <c r="W47" i="79" s="1"/>
  <c r="V47" i="101"/>
  <c r="V47" i="79" s="1"/>
  <c r="U47" i="101"/>
  <c r="U47" i="79" s="1"/>
  <c r="T47" i="101"/>
  <c r="T47" i="79" s="1"/>
  <c r="S47" i="101"/>
  <c r="R47" i="101"/>
  <c r="Q47" i="101"/>
  <c r="Q47" i="79" s="1"/>
  <c r="P47" i="101"/>
  <c r="O47" i="101"/>
  <c r="N47" i="101"/>
  <c r="M47" i="101"/>
  <c r="L47" i="101"/>
  <c r="K47" i="101"/>
  <c r="J47" i="101"/>
  <c r="J47" i="79" s="1"/>
  <c r="I47" i="101"/>
  <c r="H47" i="101"/>
  <c r="G47" i="101"/>
  <c r="G47" i="79" s="1"/>
  <c r="F47" i="101"/>
  <c r="F47" i="79" s="1"/>
  <c r="E47" i="101"/>
  <c r="E47" i="79" s="1"/>
  <c r="D47" i="101"/>
  <c r="C47" i="101"/>
  <c r="C47" i="79" s="1"/>
  <c r="Z46" i="101"/>
  <c r="Y46" i="101"/>
  <c r="X46" i="101"/>
  <c r="W46" i="101"/>
  <c r="V46" i="101"/>
  <c r="U46" i="101"/>
  <c r="U46" i="79" s="1"/>
  <c r="T46" i="101"/>
  <c r="T46" i="79" s="1"/>
  <c r="S46" i="101"/>
  <c r="R46" i="101"/>
  <c r="Q46" i="101"/>
  <c r="Q46" i="79" s="1"/>
  <c r="P46" i="101"/>
  <c r="P46" i="79" s="1"/>
  <c r="O46" i="101"/>
  <c r="O46" i="79" s="1"/>
  <c r="N46" i="101"/>
  <c r="N46" i="79" s="1"/>
  <c r="M46" i="101"/>
  <c r="M46" i="79" s="1"/>
  <c r="L46" i="101"/>
  <c r="K46" i="101"/>
  <c r="J46" i="101"/>
  <c r="I46" i="101"/>
  <c r="H46" i="101"/>
  <c r="G46" i="101"/>
  <c r="F46" i="101"/>
  <c r="E46" i="101"/>
  <c r="D46" i="101"/>
  <c r="C46" i="101"/>
  <c r="Z45" i="101"/>
  <c r="Z45" i="79" s="1"/>
  <c r="Y45" i="101"/>
  <c r="Y45" i="79" s="1"/>
  <c r="X45" i="101"/>
  <c r="X45" i="79" s="1"/>
  <c r="W45" i="101"/>
  <c r="W45" i="79" s="1"/>
  <c r="V45" i="101"/>
  <c r="V45" i="79" s="1"/>
  <c r="U45" i="101"/>
  <c r="T45" i="101"/>
  <c r="S45" i="101"/>
  <c r="R45" i="101"/>
  <c r="Q45" i="101"/>
  <c r="P45" i="101"/>
  <c r="O45" i="101"/>
  <c r="N45" i="101"/>
  <c r="M45" i="101"/>
  <c r="M45" i="79" s="1"/>
  <c r="L45" i="101"/>
  <c r="L45" i="79" s="1"/>
  <c r="K45" i="101"/>
  <c r="K45" i="79" s="1"/>
  <c r="J45" i="101"/>
  <c r="J45" i="79" s="1"/>
  <c r="I45" i="101"/>
  <c r="I45" i="79" s="1"/>
  <c r="H45" i="101"/>
  <c r="G45" i="101"/>
  <c r="G45" i="79" s="1"/>
  <c r="F45" i="101"/>
  <c r="F45" i="79" s="1"/>
  <c r="E45" i="101"/>
  <c r="D45" i="101"/>
  <c r="C45" i="101"/>
  <c r="Z44" i="101"/>
  <c r="Y44" i="101"/>
  <c r="X44" i="101"/>
  <c r="W44" i="101"/>
  <c r="V44" i="101"/>
  <c r="U44" i="101"/>
  <c r="U44" i="79" s="1"/>
  <c r="T44" i="101"/>
  <c r="S44" i="101"/>
  <c r="R44" i="101"/>
  <c r="R44" i="79" s="1"/>
  <c r="Q44" i="101"/>
  <c r="Q44" i="79" s="1"/>
  <c r="P44" i="101"/>
  <c r="P44" i="79" s="1"/>
  <c r="O44" i="101"/>
  <c r="O44" i="79" s="1"/>
  <c r="N44" i="101"/>
  <c r="N44" i="79" s="1"/>
  <c r="M44" i="101"/>
  <c r="L44" i="101"/>
  <c r="K44" i="101"/>
  <c r="J44" i="101"/>
  <c r="I44" i="101"/>
  <c r="H44" i="101"/>
  <c r="G44" i="101"/>
  <c r="F44" i="101"/>
  <c r="E44" i="101"/>
  <c r="E42" i="101" s="1"/>
  <c r="D44" i="101"/>
  <c r="C44" i="101"/>
  <c r="Z43" i="101"/>
  <c r="Y43" i="101"/>
  <c r="Y43" i="79" s="1"/>
  <c r="X43" i="101"/>
  <c r="X43" i="79" s="1"/>
  <c r="W43" i="101"/>
  <c r="W42" i="101" s="1"/>
  <c r="V43" i="101"/>
  <c r="V42" i="101" s="1"/>
  <c r="U43" i="101"/>
  <c r="T43" i="101"/>
  <c r="S43" i="101"/>
  <c r="R43" i="101"/>
  <c r="Q43" i="101"/>
  <c r="Q43" i="79" s="1"/>
  <c r="P43" i="101"/>
  <c r="O43" i="101"/>
  <c r="N43" i="101"/>
  <c r="M43" i="101"/>
  <c r="L43" i="101"/>
  <c r="K43" i="101"/>
  <c r="J43" i="101"/>
  <c r="I43" i="101"/>
  <c r="I43" i="79" s="1"/>
  <c r="H43" i="101"/>
  <c r="H43" i="79" s="1"/>
  <c r="G43" i="101"/>
  <c r="G43" i="79" s="1"/>
  <c r="F43" i="101"/>
  <c r="F43" i="79" s="1"/>
  <c r="E43" i="101"/>
  <c r="D43" i="101"/>
  <c r="C43" i="101"/>
  <c r="Z41" i="101"/>
  <c r="Y41" i="101"/>
  <c r="X41" i="101"/>
  <c r="W41" i="101"/>
  <c r="V41" i="101"/>
  <c r="U41" i="101"/>
  <c r="T41" i="101"/>
  <c r="T41" i="79" s="1"/>
  <c r="S41" i="101"/>
  <c r="S41" i="79" s="1"/>
  <c r="R41" i="101"/>
  <c r="R41" i="79" s="1"/>
  <c r="Q41" i="101"/>
  <c r="Q41" i="79" s="1"/>
  <c r="P41" i="101"/>
  <c r="O41" i="101"/>
  <c r="O41" i="79" s="1"/>
  <c r="N41" i="101"/>
  <c r="M41" i="101"/>
  <c r="L41" i="101"/>
  <c r="K41" i="101"/>
  <c r="J41" i="101"/>
  <c r="I41" i="101"/>
  <c r="H41" i="101"/>
  <c r="G41" i="101"/>
  <c r="F41" i="101"/>
  <c r="E41" i="101"/>
  <c r="D41" i="101"/>
  <c r="D41" i="79" s="1"/>
  <c r="C41" i="101"/>
  <c r="C41" i="79" s="1"/>
  <c r="Z40" i="101"/>
  <c r="Z40" i="79" s="1"/>
  <c r="Y40" i="101"/>
  <c r="Y40" i="79" s="1"/>
  <c r="X40" i="101"/>
  <c r="W40" i="101"/>
  <c r="V40" i="101"/>
  <c r="U40" i="101"/>
  <c r="T40" i="101"/>
  <c r="S40" i="101"/>
  <c r="R40" i="101"/>
  <c r="Q40" i="101"/>
  <c r="P40" i="101"/>
  <c r="O40" i="101"/>
  <c r="N40" i="101"/>
  <c r="M40" i="101"/>
  <c r="L40" i="101"/>
  <c r="L40" i="79" s="1"/>
  <c r="K40" i="101"/>
  <c r="K40" i="79" s="1"/>
  <c r="J40" i="101"/>
  <c r="AB40" i="101" s="1"/>
  <c r="I40" i="101"/>
  <c r="I40" i="79" s="1"/>
  <c r="H40" i="101"/>
  <c r="G40" i="101"/>
  <c r="F40" i="101"/>
  <c r="E40" i="101"/>
  <c r="D40" i="101"/>
  <c r="C40" i="101"/>
  <c r="Z39" i="101"/>
  <c r="Y39" i="101"/>
  <c r="Y39" i="79" s="1"/>
  <c r="X39" i="101"/>
  <c r="X39" i="79" s="1"/>
  <c r="W39" i="101"/>
  <c r="V39" i="101"/>
  <c r="U39" i="101"/>
  <c r="T39" i="101"/>
  <c r="S39" i="101"/>
  <c r="S39" i="79" s="1"/>
  <c r="R39" i="101"/>
  <c r="R39" i="79" s="1"/>
  <c r="Q39" i="101"/>
  <c r="Q39" i="79" s="1"/>
  <c r="P39" i="101"/>
  <c r="O39" i="101"/>
  <c r="N39" i="101"/>
  <c r="M39" i="101"/>
  <c r="L39" i="101"/>
  <c r="K39" i="101"/>
  <c r="J39" i="101"/>
  <c r="I39" i="101"/>
  <c r="I39" i="79" s="1"/>
  <c r="H39" i="101"/>
  <c r="H39" i="79" s="1"/>
  <c r="G39" i="101"/>
  <c r="F39" i="101"/>
  <c r="E39" i="101"/>
  <c r="D39" i="101"/>
  <c r="D39" i="79" s="1"/>
  <c r="C39" i="101"/>
  <c r="AE38" i="101"/>
  <c r="AD38" i="101"/>
  <c r="Z38" i="101"/>
  <c r="Y38" i="101"/>
  <c r="X38" i="101"/>
  <c r="W38" i="101"/>
  <c r="V38" i="101"/>
  <c r="U38" i="101"/>
  <c r="T38" i="101"/>
  <c r="T38" i="79" s="1"/>
  <c r="S38" i="101"/>
  <c r="S38" i="79" s="1"/>
  <c r="R38" i="101"/>
  <c r="R38" i="79" s="1"/>
  <c r="Q38" i="101"/>
  <c r="P38" i="101"/>
  <c r="O38" i="101"/>
  <c r="O38" i="79" s="1"/>
  <c r="N38" i="101"/>
  <c r="N38" i="79" s="1"/>
  <c r="M38" i="101"/>
  <c r="M38" i="79" s="1"/>
  <c r="L38" i="101"/>
  <c r="L38" i="79" s="1"/>
  <c r="K38" i="101"/>
  <c r="J38" i="101"/>
  <c r="I38" i="101"/>
  <c r="H38" i="101"/>
  <c r="G38" i="101"/>
  <c r="F38" i="101"/>
  <c r="E38" i="101"/>
  <c r="D38" i="101"/>
  <c r="C38" i="101"/>
  <c r="Z37" i="101"/>
  <c r="Y37" i="101"/>
  <c r="Y37" i="79" s="1"/>
  <c r="X37" i="101"/>
  <c r="X37" i="79" s="1"/>
  <c r="W37" i="101"/>
  <c r="W37" i="79" s="1"/>
  <c r="V37" i="101"/>
  <c r="V37" i="79" s="1"/>
  <c r="U37" i="101"/>
  <c r="T37" i="101"/>
  <c r="T37" i="79" s="1"/>
  <c r="S37" i="101"/>
  <c r="S37" i="79" s="1"/>
  <c r="R37" i="101"/>
  <c r="Q37" i="101"/>
  <c r="P37" i="101"/>
  <c r="O37" i="101"/>
  <c r="N37" i="101"/>
  <c r="M37" i="101"/>
  <c r="L37" i="101"/>
  <c r="K37" i="101"/>
  <c r="J37" i="101"/>
  <c r="J37" i="79" s="1"/>
  <c r="I37" i="101"/>
  <c r="I37" i="79" s="1"/>
  <c r="H37" i="101"/>
  <c r="H37" i="79" s="1"/>
  <c r="G37" i="101"/>
  <c r="G37" i="79" s="1"/>
  <c r="F37" i="101"/>
  <c r="E37" i="101"/>
  <c r="E37" i="79" s="1"/>
  <c r="D37" i="101"/>
  <c r="D37" i="79" s="1"/>
  <c r="C37" i="101"/>
  <c r="C37" i="79" s="1"/>
  <c r="Z36" i="101"/>
  <c r="Y36" i="101"/>
  <c r="X36" i="101"/>
  <c r="W36" i="101"/>
  <c r="V36" i="101"/>
  <c r="U36" i="101"/>
  <c r="T36" i="101"/>
  <c r="S36" i="101"/>
  <c r="R36" i="101"/>
  <c r="Q36" i="101"/>
  <c r="P36" i="101"/>
  <c r="P36" i="79" s="1"/>
  <c r="O36" i="101"/>
  <c r="N36" i="101"/>
  <c r="M36" i="101"/>
  <c r="M36" i="79" s="1"/>
  <c r="L36" i="101"/>
  <c r="L36" i="79" s="1"/>
  <c r="K36" i="101"/>
  <c r="K36" i="79" s="1"/>
  <c r="J36" i="101"/>
  <c r="I36" i="101"/>
  <c r="H36" i="101"/>
  <c r="G36" i="101"/>
  <c r="F36" i="101"/>
  <c r="E36" i="101"/>
  <c r="D36" i="101"/>
  <c r="C36" i="101"/>
  <c r="Z35" i="101"/>
  <c r="Z35" i="79" s="1"/>
  <c r="Y35" i="101"/>
  <c r="Y35" i="79" s="1"/>
  <c r="X35" i="101"/>
  <c r="X35" i="79" s="1"/>
  <c r="W35" i="101"/>
  <c r="W35" i="79" s="1"/>
  <c r="V35" i="101"/>
  <c r="U35" i="101"/>
  <c r="U35" i="79" s="1"/>
  <c r="T35" i="101"/>
  <c r="T35" i="79" s="1"/>
  <c r="S35" i="101"/>
  <c r="S35" i="79" s="1"/>
  <c r="R35" i="101"/>
  <c r="Q35" i="101"/>
  <c r="P35" i="101"/>
  <c r="O35" i="101"/>
  <c r="N35" i="101"/>
  <c r="M35" i="101"/>
  <c r="L35" i="101"/>
  <c r="L35" i="79" s="1"/>
  <c r="K35" i="101"/>
  <c r="K35" i="79" s="1"/>
  <c r="J35" i="101"/>
  <c r="J35" i="79" s="1"/>
  <c r="I35" i="101"/>
  <c r="I35" i="79" s="1"/>
  <c r="H35" i="101"/>
  <c r="G35" i="101"/>
  <c r="G35" i="79" s="1"/>
  <c r="F35" i="101"/>
  <c r="F35" i="79" s="1"/>
  <c r="E35" i="101"/>
  <c r="E35" i="79" s="1"/>
  <c r="D35" i="101"/>
  <c r="C35" i="101"/>
  <c r="C35" i="79" s="1"/>
  <c r="Z34" i="101"/>
  <c r="Y34" i="101"/>
  <c r="X34" i="101"/>
  <c r="W34" i="101"/>
  <c r="V34" i="101"/>
  <c r="U34" i="101"/>
  <c r="U34" i="79" s="1"/>
  <c r="T34" i="101"/>
  <c r="S34" i="101"/>
  <c r="R34" i="101"/>
  <c r="R34" i="79" s="1"/>
  <c r="Q34" i="101"/>
  <c r="P34" i="101"/>
  <c r="O34" i="101"/>
  <c r="N34" i="101"/>
  <c r="N34" i="79" s="1"/>
  <c r="M34" i="101"/>
  <c r="M34" i="79" s="1"/>
  <c r="L34" i="101"/>
  <c r="L34" i="79" s="1"/>
  <c r="K34" i="101"/>
  <c r="K34" i="79" s="1"/>
  <c r="J34" i="101"/>
  <c r="I34" i="101"/>
  <c r="H34" i="101"/>
  <c r="G34" i="101"/>
  <c r="G33" i="101" s="1"/>
  <c r="F34" i="101"/>
  <c r="E34" i="101"/>
  <c r="D34" i="101"/>
  <c r="C34" i="101"/>
  <c r="Z32" i="101"/>
  <c r="Y32" i="101"/>
  <c r="X32" i="101"/>
  <c r="W32" i="101"/>
  <c r="V32" i="101"/>
  <c r="U32" i="101"/>
  <c r="T32" i="101"/>
  <c r="S32" i="101"/>
  <c r="S32" i="79" s="1"/>
  <c r="R32" i="101"/>
  <c r="Q32" i="101"/>
  <c r="P32" i="101"/>
  <c r="O32" i="101"/>
  <c r="N32" i="101"/>
  <c r="N32" i="79" s="1"/>
  <c r="M32" i="101"/>
  <c r="L32" i="101"/>
  <c r="K32" i="101"/>
  <c r="K32" i="79" s="1"/>
  <c r="J32" i="101"/>
  <c r="I32" i="101"/>
  <c r="H32" i="101"/>
  <c r="G32" i="101"/>
  <c r="F32" i="101"/>
  <c r="E32" i="101"/>
  <c r="D32" i="101"/>
  <c r="C32" i="101"/>
  <c r="Z31" i="101"/>
  <c r="Z31" i="79" s="1"/>
  <c r="Y31" i="101"/>
  <c r="X31" i="101"/>
  <c r="X31" i="79" s="1"/>
  <c r="W31" i="101"/>
  <c r="W31" i="79" s="1"/>
  <c r="V31" i="101"/>
  <c r="V31" i="79" s="1"/>
  <c r="U31" i="101"/>
  <c r="T31" i="101"/>
  <c r="S31" i="101"/>
  <c r="R31" i="101"/>
  <c r="R31" i="79" s="1"/>
  <c r="Q31" i="101"/>
  <c r="Q31" i="79" s="1"/>
  <c r="Q30" i="79" s="1"/>
  <c r="P31" i="101"/>
  <c r="O31" i="101"/>
  <c r="O30" i="101" s="1"/>
  <c r="N31" i="101"/>
  <c r="M31" i="101"/>
  <c r="L31" i="101"/>
  <c r="K31" i="101"/>
  <c r="K31" i="79" s="1"/>
  <c r="J31" i="101"/>
  <c r="J31" i="79" s="1"/>
  <c r="J30" i="79" s="1"/>
  <c r="I31" i="101"/>
  <c r="H31" i="101"/>
  <c r="G31" i="101"/>
  <c r="G31" i="79" s="1"/>
  <c r="F31" i="101"/>
  <c r="F31" i="79" s="1"/>
  <c r="E31" i="101"/>
  <c r="D31" i="101"/>
  <c r="C31" i="101"/>
  <c r="U30" i="101"/>
  <c r="Q30" i="101"/>
  <c r="E30" i="101"/>
  <c r="Y28" i="101"/>
  <c r="Y28" i="79" s="1"/>
  <c r="W28" i="101"/>
  <c r="U28" i="101"/>
  <c r="U28" i="79" s="1"/>
  <c r="S28" i="101"/>
  <c r="S28" i="79" s="1"/>
  <c r="Q28" i="101"/>
  <c r="Q28" i="79" s="1"/>
  <c r="Z25" i="101"/>
  <c r="Y25" i="101"/>
  <c r="X25" i="101"/>
  <c r="W25" i="101"/>
  <c r="V25" i="101"/>
  <c r="V25" i="79" s="1"/>
  <c r="U25" i="101"/>
  <c r="U25" i="79" s="1"/>
  <c r="T25" i="101"/>
  <c r="T25" i="79" s="1"/>
  <c r="S25" i="101"/>
  <c r="S25" i="79" s="1"/>
  <c r="R25" i="101"/>
  <c r="Q25" i="101"/>
  <c r="Q25" i="79" s="1"/>
  <c r="P25" i="101"/>
  <c r="O25" i="101"/>
  <c r="N25" i="101"/>
  <c r="N25" i="79" s="1"/>
  <c r="M25" i="101"/>
  <c r="L25" i="101"/>
  <c r="K25" i="101"/>
  <c r="J25" i="101"/>
  <c r="J25" i="79" s="1"/>
  <c r="I25" i="101"/>
  <c r="H25" i="101"/>
  <c r="G25" i="101"/>
  <c r="F25" i="101"/>
  <c r="F25" i="79" s="1"/>
  <c r="E25" i="101"/>
  <c r="E25" i="79" s="1"/>
  <c r="D25" i="101"/>
  <c r="D25" i="79" s="1"/>
  <c r="C25" i="101"/>
  <c r="C25" i="79" s="1"/>
  <c r="Z24" i="101"/>
  <c r="Z24" i="79" s="1"/>
  <c r="Y24" i="101"/>
  <c r="Y24" i="79" s="1"/>
  <c r="X24" i="101"/>
  <c r="X24" i="79" s="1"/>
  <c r="W24" i="101"/>
  <c r="W24" i="79" s="1"/>
  <c r="V24" i="101"/>
  <c r="V24" i="79" s="1"/>
  <c r="U24" i="101"/>
  <c r="U24" i="79" s="1"/>
  <c r="T24" i="101"/>
  <c r="T24" i="79" s="1"/>
  <c r="S24" i="101"/>
  <c r="S24" i="79" s="1"/>
  <c r="R24" i="101"/>
  <c r="R24" i="79" s="1"/>
  <c r="Q24" i="101"/>
  <c r="Q24" i="79" s="1"/>
  <c r="P24" i="101"/>
  <c r="P24" i="79" s="1"/>
  <c r="O24" i="101"/>
  <c r="O24" i="79" s="1"/>
  <c r="N24" i="101"/>
  <c r="N24" i="79" s="1"/>
  <c r="M24" i="101"/>
  <c r="M24" i="79" s="1"/>
  <c r="L24" i="101"/>
  <c r="L24" i="79" s="1"/>
  <c r="K24" i="101"/>
  <c r="K24" i="79" s="1"/>
  <c r="J24" i="101"/>
  <c r="I24" i="101"/>
  <c r="H24" i="101"/>
  <c r="H24" i="79" s="1"/>
  <c r="G24" i="101"/>
  <c r="F24" i="101"/>
  <c r="E24" i="101"/>
  <c r="D24" i="101"/>
  <c r="C24" i="101"/>
  <c r="Z23" i="101"/>
  <c r="Z23" i="79" s="1"/>
  <c r="Y23" i="101"/>
  <c r="Y23" i="79" s="1"/>
  <c r="X23" i="101"/>
  <c r="X23" i="79" s="1"/>
  <c r="W23" i="101"/>
  <c r="W23" i="79" s="1"/>
  <c r="V23" i="101"/>
  <c r="V23" i="79" s="1"/>
  <c r="U23" i="101"/>
  <c r="U23" i="79" s="1"/>
  <c r="T23" i="101"/>
  <c r="T23" i="79" s="1"/>
  <c r="S23" i="101"/>
  <c r="S23" i="79" s="1"/>
  <c r="R23" i="101"/>
  <c r="Q23" i="101"/>
  <c r="Q23" i="79" s="1"/>
  <c r="P23" i="101"/>
  <c r="P23" i="79" s="1"/>
  <c r="O23" i="101"/>
  <c r="N23" i="101"/>
  <c r="M23" i="101"/>
  <c r="L23" i="101"/>
  <c r="K23" i="101"/>
  <c r="J23" i="101"/>
  <c r="I23" i="101"/>
  <c r="H23" i="101"/>
  <c r="G23" i="101"/>
  <c r="F23" i="101"/>
  <c r="F23" i="79" s="1"/>
  <c r="E23" i="101"/>
  <c r="E23" i="79" s="1"/>
  <c r="D23" i="101"/>
  <c r="C23" i="101"/>
  <c r="C23" i="79" s="1"/>
  <c r="Z22" i="101"/>
  <c r="Z22" i="79" s="1"/>
  <c r="Y22" i="101"/>
  <c r="Y22" i="79" s="1"/>
  <c r="X22" i="101"/>
  <c r="X22" i="79" s="1"/>
  <c r="W22" i="101"/>
  <c r="V22" i="101"/>
  <c r="V22" i="79" s="1"/>
  <c r="U22" i="101"/>
  <c r="U22" i="79" s="1"/>
  <c r="T22" i="101"/>
  <c r="T22" i="79" s="1"/>
  <c r="S22" i="101"/>
  <c r="S22" i="79" s="1"/>
  <c r="R22" i="101"/>
  <c r="R22" i="79" s="1"/>
  <c r="Q22" i="101"/>
  <c r="Q22" i="79" s="1"/>
  <c r="P22" i="101"/>
  <c r="P22" i="79" s="1"/>
  <c r="O22" i="101"/>
  <c r="O22" i="79" s="1"/>
  <c r="N22" i="101"/>
  <c r="N22" i="79" s="1"/>
  <c r="M22" i="101"/>
  <c r="M22" i="79" s="1"/>
  <c r="L22" i="101"/>
  <c r="L22" i="79" s="1"/>
  <c r="K22" i="101"/>
  <c r="K22" i="79" s="1"/>
  <c r="J22" i="101"/>
  <c r="J22" i="79" s="1"/>
  <c r="I22" i="101"/>
  <c r="I22" i="79" s="1"/>
  <c r="H22" i="101"/>
  <c r="G22" i="101"/>
  <c r="F22" i="101"/>
  <c r="E22" i="101"/>
  <c r="D22" i="101"/>
  <c r="C22" i="101"/>
  <c r="Z21" i="101"/>
  <c r="Y21" i="101"/>
  <c r="X21" i="101"/>
  <c r="X21" i="79" s="1"/>
  <c r="W21" i="101"/>
  <c r="W21" i="79" s="1"/>
  <c r="V21" i="101"/>
  <c r="V21" i="79" s="1"/>
  <c r="U21" i="101"/>
  <c r="U21" i="79" s="1"/>
  <c r="T21" i="101"/>
  <c r="T21" i="79" s="1"/>
  <c r="S21" i="101"/>
  <c r="S21" i="79" s="1"/>
  <c r="R21" i="101"/>
  <c r="Q21" i="101"/>
  <c r="Q21" i="79" s="1"/>
  <c r="P21" i="101"/>
  <c r="P21" i="79" s="1"/>
  <c r="O21" i="101"/>
  <c r="O21" i="79" s="1"/>
  <c r="N21" i="101"/>
  <c r="N21" i="79" s="1"/>
  <c r="M21" i="101"/>
  <c r="M21" i="79" s="1"/>
  <c r="L21" i="101"/>
  <c r="L21" i="79" s="1"/>
  <c r="K21" i="101"/>
  <c r="K21" i="79" s="1"/>
  <c r="J21" i="101"/>
  <c r="J21" i="79" s="1"/>
  <c r="I21" i="101"/>
  <c r="I21" i="79" s="1"/>
  <c r="H21" i="101"/>
  <c r="H21" i="79" s="1"/>
  <c r="G21" i="101"/>
  <c r="G21" i="79" s="1"/>
  <c r="F21" i="101"/>
  <c r="F21" i="79" s="1"/>
  <c r="E21" i="101"/>
  <c r="D21" i="101"/>
  <c r="C21" i="101"/>
  <c r="Z20" i="101"/>
  <c r="Y20" i="101"/>
  <c r="Y20" i="79" s="1"/>
  <c r="X20" i="101"/>
  <c r="X20" i="79" s="1"/>
  <c r="W20" i="101"/>
  <c r="W20" i="79" s="1"/>
  <c r="V20" i="101"/>
  <c r="V20" i="79" s="1"/>
  <c r="U20" i="101"/>
  <c r="U20" i="79" s="1"/>
  <c r="T20" i="101"/>
  <c r="T20" i="79" s="1"/>
  <c r="S20" i="101"/>
  <c r="S20" i="79" s="1"/>
  <c r="R20" i="101"/>
  <c r="Q20" i="101"/>
  <c r="Q20" i="79" s="1"/>
  <c r="P20" i="101"/>
  <c r="P20" i="79" s="1"/>
  <c r="O20" i="101"/>
  <c r="O20" i="79" s="1"/>
  <c r="N20" i="101"/>
  <c r="N20" i="79" s="1"/>
  <c r="M20" i="101"/>
  <c r="M20" i="79" s="1"/>
  <c r="L20" i="101"/>
  <c r="K20" i="101"/>
  <c r="J20" i="101"/>
  <c r="I20" i="101"/>
  <c r="H20" i="101"/>
  <c r="H20" i="79" s="1"/>
  <c r="G20" i="101"/>
  <c r="F20" i="101"/>
  <c r="E20" i="101"/>
  <c r="E20" i="79" s="1"/>
  <c r="D20" i="101"/>
  <c r="D20" i="79" s="1"/>
  <c r="C20" i="101"/>
  <c r="C20" i="79" s="1"/>
  <c r="Z19" i="101"/>
  <c r="Z19" i="79" s="1"/>
  <c r="Y19" i="101"/>
  <c r="Y19" i="79" s="1"/>
  <c r="X19" i="101"/>
  <c r="X19" i="79" s="1"/>
  <c r="W19" i="101"/>
  <c r="W19" i="79" s="1"/>
  <c r="V19" i="101"/>
  <c r="V19" i="79" s="1"/>
  <c r="U19" i="101"/>
  <c r="U19" i="79" s="1"/>
  <c r="T19" i="101"/>
  <c r="S19" i="101"/>
  <c r="R19" i="101"/>
  <c r="Q19" i="101"/>
  <c r="P19" i="101"/>
  <c r="O19" i="101"/>
  <c r="N19" i="101"/>
  <c r="M19" i="101"/>
  <c r="M19" i="79" s="1"/>
  <c r="L19" i="101"/>
  <c r="L19" i="79" s="1"/>
  <c r="K19" i="101"/>
  <c r="K19" i="79" s="1"/>
  <c r="J19" i="101"/>
  <c r="J19" i="79" s="1"/>
  <c r="I19" i="101"/>
  <c r="I19" i="79" s="1"/>
  <c r="H19" i="101"/>
  <c r="H19" i="79" s="1"/>
  <c r="G19" i="101"/>
  <c r="G19" i="79" s="1"/>
  <c r="F19" i="101"/>
  <c r="F19" i="79" s="1"/>
  <c r="E19" i="101"/>
  <c r="D19" i="101"/>
  <c r="C19" i="101"/>
  <c r="Z18" i="101"/>
  <c r="Z18" i="79" s="1"/>
  <c r="Y18" i="101"/>
  <c r="Y18" i="79" s="1"/>
  <c r="X18" i="101"/>
  <c r="W18" i="101"/>
  <c r="V18" i="101"/>
  <c r="U18" i="101"/>
  <c r="T18" i="101"/>
  <c r="S18" i="101"/>
  <c r="R18" i="101"/>
  <c r="R18" i="79" s="1"/>
  <c r="Q18" i="101"/>
  <c r="Q18" i="79" s="1"/>
  <c r="P18" i="101"/>
  <c r="P18" i="79" s="1"/>
  <c r="O18" i="101"/>
  <c r="O18" i="79" s="1"/>
  <c r="N18" i="101"/>
  <c r="N18" i="79" s="1"/>
  <c r="M18" i="101"/>
  <c r="M18" i="79" s="1"/>
  <c r="L18" i="101"/>
  <c r="L18" i="79" s="1"/>
  <c r="K18" i="101"/>
  <c r="K18" i="79" s="1"/>
  <c r="J18" i="101"/>
  <c r="I18" i="101"/>
  <c r="H18" i="101"/>
  <c r="H18" i="79" s="1"/>
  <c r="G18" i="101"/>
  <c r="G18" i="79" s="1"/>
  <c r="F18" i="101"/>
  <c r="F18" i="79" s="1"/>
  <c r="E18" i="101"/>
  <c r="D18" i="101"/>
  <c r="D18" i="79" s="1"/>
  <c r="C18" i="101"/>
  <c r="C18" i="79" s="1"/>
  <c r="Z17" i="101"/>
  <c r="Z17" i="79" s="1"/>
  <c r="Y17" i="101"/>
  <c r="Y17" i="79" s="1"/>
  <c r="X17" i="101"/>
  <c r="X17" i="79" s="1"/>
  <c r="W17" i="101"/>
  <c r="V17" i="101"/>
  <c r="U17" i="101"/>
  <c r="U17" i="79" s="1"/>
  <c r="T17" i="101"/>
  <c r="T17" i="79" s="1"/>
  <c r="S17" i="101"/>
  <c r="R17" i="101"/>
  <c r="R17" i="79" s="1"/>
  <c r="Q17" i="101"/>
  <c r="Q17" i="79" s="1"/>
  <c r="P17" i="101"/>
  <c r="O17" i="101"/>
  <c r="O16" i="101" s="1"/>
  <c r="N17" i="101"/>
  <c r="M17" i="101"/>
  <c r="L17" i="101"/>
  <c r="L17" i="79" s="1"/>
  <c r="K17" i="101"/>
  <c r="K17" i="79" s="1"/>
  <c r="J17" i="101"/>
  <c r="J17" i="79" s="1"/>
  <c r="I17" i="101"/>
  <c r="I17" i="79" s="1"/>
  <c r="H17" i="101"/>
  <c r="H17" i="79" s="1"/>
  <c r="G17" i="101"/>
  <c r="G17" i="79" s="1"/>
  <c r="F17" i="101"/>
  <c r="E17" i="101"/>
  <c r="D17" i="101"/>
  <c r="C17" i="101"/>
  <c r="Z15" i="101"/>
  <c r="Y15" i="101"/>
  <c r="X15" i="101"/>
  <c r="W15" i="101"/>
  <c r="V15" i="101"/>
  <c r="U15" i="101"/>
  <c r="U15" i="79" s="1"/>
  <c r="T15" i="101"/>
  <c r="T15" i="79" s="1"/>
  <c r="S15" i="101"/>
  <c r="R15" i="101"/>
  <c r="Q15" i="101"/>
  <c r="Q15" i="79" s="1"/>
  <c r="P15" i="101"/>
  <c r="O15" i="101"/>
  <c r="N15" i="101"/>
  <c r="M15" i="101"/>
  <c r="M15" i="79" s="1"/>
  <c r="L15" i="101"/>
  <c r="L15" i="79" s="1"/>
  <c r="K15" i="101"/>
  <c r="K15" i="79" s="1"/>
  <c r="J15" i="101"/>
  <c r="I15" i="101"/>
  <c r="H15" i="101"/>
  <c r="G15" i="101"/>
  <c r="F15" i="101"/>
  <c r="E15" i="101"/>
  <c r="D15" i="101"/>
  <c r="C15" i="101"/>
  <c r="Z14" i="101"/>
  <c r="Y14" i="101"/>
  <c r="X14" i="101"/>
  <c r="W14" i="101"/>
  <c r="V14" i="101"/>
  <c r="U14" i="101"/>
  <c r="T14" i="101"/>
  <c r="S14" i="101"/>
  <c r="R14" i="101"/>
  <c r="Q14" i="101"/>
  <c r="P14" i="101"/>
  <c r="O14" i="101"/>
  <c r="N14" i="101"/>
  <c r="M14" i="101"/>
  <c r="L14" i="101"/>
  <c r="K14" i="101"/>
  <c r="J14" i="101"/>
  <c r="I14" i="101"/>
  <c r="H14" i="101"/>
  <c r="G14" i="101"/>
  <c r="F14" i="101"/>
  <c r="E14" i="101"/>
  <c r="D14" i="101"/>
  <c r="C14" i="101"/>
  <c r="Z13" i="101"/>
  <c r="Z13" i="79" s="1"/>
  <c r="Y13" i="101"/>
  <c r="X13" i="101"/>
  <c r="W13" i="101"/>
  <c r="W13" i="79" s="1"/>
  <c r="V13" i="101"/>
  <c r="V13" i="79" s="1"/>
  <c r="U13" i="101"/>
  <c r="U13" i="79" s="1"/>
  <c r="T13" i="101"/>
  <c r="S13" i="101"/>
  <c r="R13" i="101"/>
  <c r="Q13" i="101"/>
  <c r="P13" i="101"/>
  <c r="O13" i="101"/>
  <c r="N13" i="101"/>
  <c r="N13" i="79" s="1"/>
  <c r="M13" i="101"/>
  <c r="M13" i="79" s="1"/>
  <c r="L13" i="101"/>
  <c r="L13" i="79" s="1"/>
  <c r="K13" i="101"/>
  <c r="K13" i="79" s="1"/>
  <c r="J13" i="101"/>
  <c r="I13" i="101"/>
  <c r="I13" i="79" s="1"/>
  <c r="H13" i="101"/>
  <c r="H13" i="79" s="1"/>
  <c r="G13" i="101"/>
  <c r="G13" i="79" s="1"/>
  <c r="F13" i="101"/>
  <c r="F13" i="79" s="1"/>
  <c r="E13" i="101"/>
  <c r="E13" i="79" s="1"/>
  <c r="D13" i="101"/>
  <c r="C13" i="101"/>
  <c r="Z12" i="101"/>
  <c r="Z12" i="79" s="1"/>
  <c r="Y12" i="101"/>
  <c r="Y12" i="79" s="1"/>
  <c r="X12" i="101"/>
  <c r="X12" i="79" s="1"/>
  <c r="W12" i="101"/>
  <c r="W12" i="79" s="1"/>
  <c r="V12" i="101"/>
  <c r="V12" i="79" s="1"/>
  <c r="U12" i="101"/>
  <c r="U12" i="79" s="1"/>
  <c r="T12" i="101"/>
  <c r="T12" i="79" s="1"/>
  <c r="S12" i="101"/>
  <c r="S12" i="79" s="1"/>
  <c r="R12" i="101"/>
  <c r="R12" i="79" s="1"/>
  <c r="Q12" i="101"/>
  <c r="Q12" i="79" s="1"/>
  <c r="P12" i="101"/>
  <c r="P12" i="79" s="1"/>
  <c r="O12" i="101"/>
  <c r="O12" i="79" s="1"/>
  <c r="N12" i="101"/>
  <c r="N12" i="79" s="1"/>
  <c r="M12" i="101"/>
  <c r="M12" i="79" s="1"/>
  <c r="L12" i="101"/>
  <c r="K12" i="101"/>
  <c r="J12" i="101"/>
  <c r="J12" i="79" s="1"/>
  <c r="I12" i="101"/>
  <c r="I12" i="79" s="1"/>
  <c r="H12" i="101"/>
  <c r="H12" i="79" s="1"/>
  <c r="G12" i="101"/>
  <c r="G12" i="79" s="1"/>
  <c r="F12" i="101"/>
  <c r="F12" i="79" s="1"/>
  <c r="E12" i="101"/>
  <c r="E12" i="79" s="1"/>
  <c r="D12" i="101"/>
  <c r="C12" i="101"/>
  <c r="Z11" i="101"/>
  <c r="Z11" i="79" s="1"/>
  <c r="Y11" i="101"/>
  <c r="Y11" i="79" s="1"/>
  <c r="X11" i="101"/>
  <c r="X11" i="79" s="1"/>
  <c r="W11" i="101"/>
  <c r="W11" i="79" s="1"/>
  <c r="V11" i="101"/>
  <c r="V11" i="79" s="1"/>
  <c r="U11" i="101"/>
  <c r="U11" i="79" s="1"/>
  <c r="T11" i="101"/>
  <c r="S11" i="101"/>
  <c r="R11" i="101"/>
  <c r="R11" i="79" s="1"/>
  <c r="Q11" i="101"/>
  <c r="Q11" i="79" s="1"/>
  <c r="P11" i="101"/>
  <c r="P11" i="79" s="1"/>
  <c r="O11" i="101"/>
  <c r="O11" i="79" s="1"/>
  <c r="N11" i="101"/>
  <c r="N11" i="79" s="1"/>
  <c r="M11" i="101"/>
  <c r="M11" i="79" s="1"/>
  <c r="L11" i="101"/>
  <c r="L11" i="79" s="1"/>
  <c r="K11" i="101"/>
  <c r="K11" i="79" s="1"/>
  <c r="J11" i="101"/>
  <c r="J11" i="79" s="1"/>
  <c r="I11" i="101"/>
  <c r="I11" i="79" s="1"/>
  <c r="H11" i="101"/>
  <c r="H11" i="79" s="1"/>
  <c r="G11" i="101"/>
  <c r="G11" i="79" s="1"/>
  <c r="F11" i="101"/>
  <c r="F11" i="79" s="1"/>
  <c r="E11" i="101"/>
  <c r="E11" i="79" s="1"/>
  <c r="D11" i="101"/>
  <c r="C11" i="101"/>
  <c r="Z10" i="101"/>
  <c r="Z10" i="79" s="1"/>
  <c r="Y10" i="101"/>
  <c r="X10" i="101"/>
  <c r="W10" i="101"/>
  <c r="V10" i="101"/>
  <c r="U10" i="101"/>
  <c r="U10" i="79" s="1"/>
  <c r="T10" i="101"/>
  <c r="S10" i="101"/>
  <c r="S10" i="79" s="1"/>
  <c r="R10" i="101"/>
  <c r="R10" i="79" s="1"/>
  <c r="Q10" i="101"/>
  <c r="Q10" i="79" s="1"/>
  <c r="P10" i="101"/>
  <c r="P10" i="79" s="1"/>
  <c r="O10" i="101"/>
  <c r="O10" i="79" s="1"/>
  <c r="N10" i="101"/>
  <c r="N10" i="79" s="1"/>
  <c r="M10" i="101"/>
  <c r="M10" i="79" s="1"/>
  <c r="L10" i="101"/>
  <c r="L10" i="79" s="1"/>
  <c r="K10" i="101"/>
  <c r="J10" i="101"/>
  <c r="J10" i="79" s="1"/>
  <c r="I10" i="101"/>
  <c r="I10" i="79" s="1"/>
  <c r="H10" i="101"/>
  <c r="H10" i="79" s="1"/>
  <c r="G10" i="101"/>
  <c r="G10" i="79" s="1"/>
  <c r="F10" i="101"/>
  <c r="E10" i="101"/>
  <c r="D10" i="101"/>
  <c r="D10" i="79" s="1"/>
  <c r="C10" i="101"/>
  <c r="C10" i="79" s="1"/>
  <c r="Z9" i="101"/>
  <c r="Z9" i="79" s="1"/>
  <c r="Y9" i="101"/>
  <c r="Y9" i="79" s="1"/>
  <c r="X9" i="101"/>
  <c r="X9" i="79" s="1"/>
  <c r="W9" i="101"/>
  <c r="W9" i="79" s="1"/>
  <c r="V9" i="101"/>
  <c r="V9" i="79" s="1"/>
  <c r="U9" i="101"/>
  <c r="U9" i="79" s="1"/>
  <c r="T9" i="101"/>
  <c r="S9" i="101"/>
  <c r="R9" i="101"/>
  <c r="R9" i="79" s="1"/>
  <c r="Q9" i="101"/>
  <c r="Q9" i="79" s="1"/>
  <c r="P9" i="101"/>
  <c r="P9" i="79" s="1"/>
  <c r="O9" i="101"/>
  <c r="N9" i="101"/>
  <c r="N9" i="79" s="1"/>
  <c r="M9" i="101"/>
  <c r="L9" i="101"/>
  <c r="K9" i="101"/>
  <c r="K9" i="79" s="1"/>
  <c r="J9" i="101"/>
  <c r="J9" i="79" s="1"/>
  <c r="I9" i="101"/>
  <c r="H9" i="101"/>
  <c r="G9" i="101"/>
  <c r="F9" i="101"/>
  <c r="E9" i="101"/>
  <c r="D9" i="101"/>
  <c r="C9" i="101"/>
  <c r="Z8" i="101"/>
  <c r="Z8" i="79" s="1"/>
  <c r="Y8" i="101"/>
  <c r="Y8" i="79" s="1"/>
  <c r="X8" i="101"/>
  <c r="X8" i="79" s="1"/>
  <c r="W8" i="101"/>
  <c r="W8" i="79" s="1"/>
  <c r="V8" i="101"/>
  <c r="V8" i="79" s="1"/>
  <c r="U8" i="101"/>
  <c r="U8" i="79" s="1"/>
  <c r="T8" i="101"/>
  <c r="T8" i="79" s="1"/>
  <c r="S8" i="101"/>
  <c r="S8" i="79" s="1"/>
  <c r="R8" i="101"/>
  <c r="R8" i="79" s="1"/>
  <c r="Q8" i="101"/>
  <c r="Q8" i="79" s="1"/>
  <c r="P8" i="101"/>
  <c r="P8" i="79" s="1"/>
  <c r="O8" i="101"/>
  <c r="O8" i="79" s="1"/>
  <c r="N8" i="101"/>
  <c r="N8" i="79" s="1"/>
  <c r="M8" i="101"/>
  <c r="M8" i="79" s="1"/>
  <c r="L8" i="101"/>
  <c r="K8" i="101"/>
  <c r="J8" i="101"/>
  <c r="J8" i="79" s="1"/>
  <c r="I8" i="101"/>
  <c r="I8" i="79" s="1"/>
  <c r="H8" i="101"/>
  <c r="H8" i="79" s="1"/>
  <c r="G8" i="101"/>
  <c r="G8" i="79" s="1"/>
  <c r="F8" i="101"/>
  <c r="F8" i="79" s="1"/>
  <c r="E8" i="101"/>
  <c r="E8" i="79" s="1"/>
  <c r="D8" i="101"/>
  <c r="C8" i="101"/>
  <c r="C8" i="79" s="1"/>
  <c r="Z7" i="101"/>
  <c r="Z7" i="79" s="1"/>
  <c r="Y7" i="101"/>
  <c r="X7" i="101"/>
  <c r="W7" i="101"/>
  <c r="W7" i="79" s="1"/>
  <c r="V7" i="101"/>
  <c r="V7" i="79" s="1"/>
  <c r="U7" i="101"/>
  <c r="T7" i="101"/>
  <c r="S7" i="101"/>
  <c r="R7" i="101"/>
  <c r="Q7" i="101"/>
  <c r="P7" i="101"/>
  <c r="O7" i="101"/>
  <c r="N7" i="101"/>
  <c r="M7" i="101"/>
  <c r="M7" i="79" s="1"/>
  <c r="L7" i="101"/>
  <c r="L7" i="79" s="1"/>
  <c r="K7" i="101"/>
  <c r="K7" i="79" s="1"/>
  <c r="J7" i="101"/>
  <c r="J7" i="79" s="1"/>
  <c r="I7" i="101"/>
  <c r="I7" i="79" s="1"/>
  <c r="H7" i="101"/>
  <c r="H7" i="79" s="1"/>
  <c r="G7" i="101"/>
  <c r="G7" i="79" s="1"/>
  <c r="F7" i="101"/>
  <c r="F7" i="79" s="1"/>
  <c r="E7" i="101"/>
  <c r="E7" i="79" s="1"/>
  <c r="D7" i="101"/>
  <c r="C7" i="101"/>
  <c r="B270" i="100"/>
  <c r="H267" i="100"/>
  <c r="AD264" i="100"/>
  <c r="AB264" i="100"/>
  <c r="AA264" i="100"/>
  <c r="AF264" i="100" s="1"/>
  <c r="Z264" i="100"/>
  <c r="V264" i="100"/>
  <c r="N264" i="100"/>
  <c r="AE262" i="100"/>
  <c r="AD262" i="100"/>
  <c r="AB262" i="100"/>
  <c r="AA262" i="100"/>
  <c r="AG260" i="100"/>
  <c r="AF260" i="100"/>
  <c r="AE260" i="100"/>
  <c r="AD260" i="100"/>
  <c r="AB260" i="100"/>
  <c r="AA260" i="100"/>
  <c r="AE259" i="100"/>
  <c r="AD259" i="100"/>
  <c r="AF259" i="100" s="1"/>
  <c r="AB259" i="100"/>
  <c r="AA259" i="100"/>
  <c r="AE257" i="100"/>
  <c r="AD257" i="100"/>
  <c r="AB257" i="100"/>
  <c r="AG257" i="100" s="1"/>
  <c r="AA257" i="100"/>
  <c r="AF257" i="100" s="1"/>
  <c r="AG256" i="100"/>
  <c r="AF256" i="100"/>
  <c r="AE256" i="100"/>
  <c r="AD256" i="100"/>
  <c r="AB256" i="100"/>
  <c r="AA256" i="100"/>
  <c r="AE255" i="100"/>
  <c r="AD255" i="100"/>
  <c r="AF255" i="100" s="1"/>
  <c r="AB255" i="100"/>
  <c r="AA255" i="100"/>
  <c r="AE254" i="100"/>
  <c r="AD254" i="100"/>
  <c r="AB254" i="100"/>
  <c r="AG254" i="100" s="1"/>
  <c r="AA254" i="100"/>
  <c r="AF254" i="100" s="1"/>
  <c r="AG253" i="100"/>
  <c r="AF253" i="100"/>
  <c r="AE253" i="100"/>
  <c r="AD253" i="100"/>
  <c r="AB253" i="100"/>
  <c r="AA253" i="100"/>
  <c r="AG252" i="100"/>
  <c r="AE252" i="100"/>
  <c r="AD252" i="100"/>
  <c r="AB252" i="100"/>
  <c r="AA252" i="100"/>
  <c r="AF252" i="100" s="1"/>
  <c r="AE251" i="100"/>
  <c r="AD251" i="100"/>
  <c r="AB251" i="100"/>
  <c r="AG251" i="100" s="1"/>
  <c r="AA251" i="100"/>
  <c r="AF251" i="100" s="1"/>
  <c r="AE250" i="100"/>
  <c r="AD250" i="100"/>
  <c r="AB250" i="100"/>
  <c r="AG250" i="100" s="1"/>
  <c r="AA250" i="100"/>
  <c r="AF250" i="100" s="1"/>
  <c r="AG249" i="100"/>
  <c r="AE249" i="100"/>
  <c r="AD249" i="100"/>
  <c r="AB249" i="100"/>
  <c r="AA249" i="100"/>
  <c r="AF249" i="100" s="1"/>
  <c r="AE248" i="100"/>
  <c r="AG248" i="100" s="1"/>
  <c r="AD248" i="100"/>
  <c r="AF248" i="100" s="1"/>
  <c r="AB248" i="100"/>
  <c r="AA248" i="100"/>
  <c r="AE247" i="100"/>
  <c r="AD247" i="100"/>
  <c r="AF247" i="100" s="1"/>
  <c r="AB247" i="100"/>
  <c r="AG247" i="100" s="1"/>
  <c r="AA247" i="100"/>
  <c r="AE246" i="100"/>
  <c r="AD246" i="100"/>
  <c r="AB246" i="100"/>
  <c r="AG246" i="100" s="1"/>
  <c r="AA246" i="100"/>
  <c r="AF246" i="100" s="1"/>
  <c r="AG245" i="100"/>
  <c r="AE245" i="100"/>
  <c r="AD245" i="100"/>
  <c r="AB245" i="100"/>
  <c r="AA245" i="100"/>
  <c r="AF245" i="100" s="1"/>
  <c r="AE244" i="100"/>
  <c r="AG244" i="100" s="1"/>
  <c r="AD244" i="100"/>
  <c r="AF244" i="100" s="1"/>
  <c r="AB244" i="100"/>
  <c r="AA244" i="100"/>
  <c r="AE243" i="100"/>
  <c r="AD243" i="100"/>
  <c r="AB243" i="100"/>
  <c r="AG243" i="100" s="1"/>
  <c r="AA243" i="100"/>
  <c r="AF243" i="100" s="1"/>
  <c r="AE242" i="100"/>
  <c r="AD242" i="100"/>
  <c r="AB242" i="100"/>
  <c r="AG242" i="100" s="1"/>
  <c r="AA242" i="100"/>
  <c r="AF242" i="100" s="1"/>
  <c r="AE241" i="100"/>
  <c r="AD241" i="100"/>
  <c r="AF241" i="100" s="1"/>
  <c r="AB241" i="100"/>
  <c r="AG241" i="100" s="1"/>
  <c r="AA241" i="100"/>
  <c r="AE240" i="100"/>
  <c r="AG240" i="100" s="1"/>
  <c r="AD240" i="100"/>
  <c r="AF240" i="100" s="1"/>
  <c r="AB240" i="100"/>
  <c r="AA240" i="100"/>
  <c r="AE239" i="100"/>
  <c r="AD239" i="100"/>
  <c r="AB239" i="100"/>
  <c r="AG239" i="100" s="1"/>
  <c r="AA239" i="100"/>
  <c r="AF239" i="100" s="1"/>
  <c r="AE238" i="100"/>
  <c r="AG238" i="100" s="1"/>
  <c r="AD238" i="100"/>
  <c r="AF238" i="100" s="1"/>
  <c r="AB238" i="100"/>
  <c r="AA238" i="100"/>
  <c r="AG237" i="100"/>
  <c r="AE237" i="100"/>
  <c r="AD237" i="100"/>
  <c r="AB237" i="100"/>
  <c r="AA237" i="100"/>
  <c r="AF237" i="100" s="1"/>
  <c r="AE236" i="100"/>
  <c r="AD236" i="100"/>
  <c r="AB236" i="100"/>
  <c r="AG236" i="100" s="1"/>
  <c r="AA236" i="100"/>
  <c r="AG235" i="100"/>
  <c r="AF235" i="100"/>
  <c r="AE235" i="100"/>
  <c r="AD235" i="100"/>
  <c r="AB235" i="100"/>
  <c r="AA235" i="100"/>
  <c r="AE234" i="100"/>
  <c r="AD234" i="100"/>
  <c r="AB234" i="100"/>
  <c r="AG234" i="100" s="1"/>
  <c r="AA234" i="100"/>
  <c r="AF234" i="100" s="1"/>
  <c r="AE233" i="100"/>
  <c r="AD233" i="100"/>
  <c r="AB233" i="100"/>
  <c r="AG233" i="100" s="1"/>
  <c r="AA233" i="100"/>
  <c r="AF233" i="100" s="1"/>
  <c r="AG232" i="100"/>
  <c r="AF232" i="100"/>
  <c r="AE232" i="100"/>
  <c r="AD232" i="100"/>
  <c r="AB232" i="100"/>
  <c r="AA232" i="100"/>
  <c r="AE231" i="100"/>
  <c r="AD231" i="100"/>
  <c r="AB231" i="100"/>
  <c r="AG231" i="100" s="1"/>
  <c r="AA231" i="100"/>
  <c r="AF231" i="100" s="1"/>
  <c r="AE230" i="100"/>
  <c r="AD230" i="100"/>
  <c r="AB230" i="100"/>
  <c r="AG230" i="100" s="1"/>
  <c r="AA230" i="100"/>
  <c r="AF230" i="100" s="1"/>
  <c r="AG229" i="100"/>
  <c r="AE229" i="100"/>
  <c r="AD229" i="100"/>
  <c r="AB229" i="100"/>
  <c r="AA229" i="100"/>
  <c r="AF229" i="100" s="1"/>
  <c r="AE228" i="100"/>
  <c r="AD228" i="100"/>
  <c r="AB228" i="100"/>
  <c r="AG228" i="100" s="1"/>
  <c r="AA228" i="100"/>
  <c r="AF228" i="100" s="1"/>
  <c r="AE227" i="100"/>
  <c r="AD227" i="100"/>
  <c r="AF227" i="100" s="1"/>
  <c r="AB227" i="100"/>
  <c r="AG227" i="100" s="1"/>
  <c r="AA227" i="100"/>
  <c r="AE226" i="100"/>
  <c r="AD226" i="100"/>
  <c r="AB226" i="100"/>
  <c r="AG226" i="100" s="1"/>
  <c r="AA226" i="100"/>
  <c r="AF226" i="100" s="1"/>
  <c r="AE225" i="100"/>
  <c r="AD225" i="100"/>
  <c r="AB225" i="100"/>
  <c r="AG225" i="100" s="1"/>
  <c r="AA225" i="100"/>
  <c r="AF225" i="100" s="1"/>
  <c r="AE224" i="100"/>
  <c r="AG224" i="100" s="1"/>
  <c r="AD224" i="100"/>
  <c r="AF224" i="100" s="1"/>
  <c r="AB224" i="100"/>
  <c r="AA224" i="100"/>
  <c r="AE223" i="100"/>
  <c r="AD223" i="100"/>
  <c r="AB223" i="100"/>
  <c r="AG223" i="100" s="1"/>
  <c r="AA223" i="100"/>
  <c r="AE222" i="100"/>
  <c r="AD222" i="100"/>
  <c r="AB222" i="100"/>
  <c r="AG222" i="100" s="1"/>
  <c r="AA222" i="100"/>
  <c r="AF222" i="100" s="1"/>
  <c r="AG221" i="100"/>
  <c r="AF221" i="100"/>
  <c r="AE221" i="100"/>
  <c r="AD221" i="100"/>
  <c r="AB221" i="100"/>
  <c r="AA221" i="100"/>
  <c r="AE220" i="100"/>
  <c r="AD220" i="100"/>
  <c r="AF220" i="100" s="1"/>
  <c r="AB220" i="100"/>
  <c r="AA220" i="100"/>
  <c r="AE219" i="100"/>
  <c r="AD219" i="100"/>
  <c r="AB219" i="100"/>
  <c r="AG219" i="100" s="1"/>
  <c r="AA219" i="100"/>
  <c r="AF219" i="100" s="1"/>
  <c r="AE218" i="100"/>
  <c r="AD218" i="100"/>
  <c r="AB218" i="100"/>
  <c r="AG218" i="100" s="1"/>
  <c r="AA218" i="100"/>
  <c r="AE217" i="100"/>
  <c r="AD217" i="100"/>
  <c r="AF217" i="100" s="1"/>
  <c r="AB217" i="100"/>
  <c r="AG217" i="100" s="1"/>
  <c r="AA217" i="100"/>
  <c r="AE216" i="100"/>
  <c r="AG216" i="100" s="1"/>
  <c r="AD216" i="100"/>
  <c r="AF216" i="100" s="1"/>
  <c r="AB216" i="100"/>
  <c r="AA216" i="100"/>
  <c r="AF215" i="100"/>
  <c r="AE215" i="100"/>
  <c r="AD215" i="100"/>
  <c r="AB215" i="100"/>
  <c r="AA215" i="100"/>
  <c r="AE214" i="100"/>
  <c r="AG214" i="100" s="1"/>
  <c r="AD214" i="100"/>
  <c r="AF214" i="100" s="1"/>
  <c r="AB214" i="100"/>
  <c r="AA214" i="100"/>
  <c r="AG213" i="100"/>
  <c r="AE213" i="100"/>
  <c r="AD213" i="100"/>
  <c r="AB213" i="100"/>
  <c r="AA213" i="100"/>
  <c r="AF213" i="100" s="1"/>
  <c r="AD212" i="100"/>
  <c r="AB212" i="100"/>
  <c r="AA212" i="100"/>
  <c r="AF212" i="100" s="1"/>
  <c r="Z212" i="100"/>
  <c r="X212" i="100"/>
  <c r="V212" i="100"/>
  <c r="T212" i="100"/>
  <c r="R212" i="100"/>
  <c r="P212" i="100"/>
  <c r="N212" i="100"/>
  <c r="L212" i="100"/>
  <c r="J212" i="100"/>
  <c r="H212" i="100"/>
  <c r="F212" i="100"/>
  <c r="AE211" i="100"/>
  <c r="AD211" i="100"/>
  <c r="AB211" i="100"/>
  <c r="AG211" i="100" s="1"/>
  <c r="AA211" i="100"/>
  <c r="AF211" i="100" s="1"/>
  <c r="AG210" i="100"/>
  <c r="AF210" i="100"/>
  <c r="AE210" i="100"/>
  <c r="AD210" i="100"/>
  <c r="AB210" i="100"/>
  <c r="AA210" i="100"/>
  <c r="AE209" i="100"/>
  <c r="AD209" i="100"/>
  <c r="AB209" i="100"/>
  <c r="AG209" i="100" s="1"/>
  <c r="AA209" i="100"/>
  <c r="AF209" i="100" s="1"/>
  <c r="AE208" i="100"/>
  <c r="AD208" i="100"/>
  <c r="AB208" i="100"/>
  <c r="AG208" i="100" s="1"/>
  <c r="AA208" i="100"/>
  <c r="AF208" i="100" s="1"/>
  <c r="AF207" i="100"/>
  <c r="AE207" i="100"/>
  <c r="AG207" i="100" s="1"/>
  <c r="AD207" i="100"/>
  <c r="AB207" i="100"/>
  <c r="AA207" i="100"/>
  <c r="AG206" i="100"/>
  <c r="AE206" i="100"/>
  <c r="AD206" i="100"/>
  <c r="AF206" i="100" s="1"/>
  <c r="AB206" i="100"/>
  <c r="AA206" i="100"/>
  <c r="AE205" i="100"/>
  <c r="AD205" i="100"/>
  <c r="AB205" i="100"/>
  <c r="AG205" i="100" s="1"/>
  <c r="AA205" i="100"/>
  <c r="AF205" i="100" s="1"/>
  <c r="AE204" i="100"/>
  <c r="AD204" i="100"/>
  <c r="AB204" i="100"/>
  <c r="AG204" i="100" s="1"/>
  <c r="AA204" i="100"/>
  <c r="AF204" i="100" s="1"/>
  <c r="AG203" i="100"/>
  <c r="AF203" i="100"/>
  <c r="AE203" i="100"/>
  <c r="AD203" i="100"/>
  <c r="AB203" i="100"/>
  <c r="AA203" i="100"/>
  <c r="AE202" i="100"/>
  <c r="AD202" i="100"/>
  <c r="AF202" i="100" s="1"/>
  <c r="AB202" i="100"/>
  <c r="AG202" i="100" s="1"/>
  <c r="AA202" i="100"/>
  <c r="AE201" i="100"/>
  <c r="AD201" i="100"/>
  <c r="AB201" i="100"/>
  <c r="AG201" i="100" s="1"/>
  <c r="AA201" i="100"/>
  <c r="AF200" i="100"/>
  <c r="AD200" i="100"/>
  <c r="AA200" i="100"/>
  <c r="Z200" i="100"/>
  <c r="X200" i="100"/>
  <c r="V200" i="100"/>
  <c r="T200" i="100"/>
  <c r="R200" i="100"/>
  <c r="P200" i="100"/>
  <c r="N200" i="100"/>
  <c r="N176" i="100" s="1"/>
  <c r="L200" i="100"/>
  <c r="J200" i="100"/>
  <c r="H200" i="100"/>
  <c r="F200" i="100"/>
  <c r="AG199" i="100"/>
  <c r="AE199" i="100"/>
  <c r="AD199" i="100"/>
  <c r="AB199" i="100"/>
  <c r="AA199" i="100"/>
  <c r="AF199" i="100" s="1"/>
  <c r="AG198" i="100"/>
  <c r="AE198" i="100"/>
  <c r="AD198" i="100"/>
  <c r="AB198" i="100"/>
  <c r="AA198" i="100"/>
  <c r="AF198" i="100" s="1"/>
  <c r="AE197" i="100"/>
  <c r="AD197" i="100"/>
  <c r="AF197" i="100" s="1"/>
  <c r="AB197" i="100"/>
  <c r="AG197" i="100" s="1"/>
  <c r="AA197" i="100"/>
  <c r="AE196" i="100"/>
  <c r="AD196" i="100"/>
  <c r="AB196" i="100"/>
  <c r="AG196" i="100" s="1"/>
  <c r="AA196" i="100"/>
  <c r="AF196" i="100" s="1"/>
  <c r="AE195" i="100"/>
  <c r="AD195" i="100"/>
  <c r="AB195" i="100"/>
  <c r="AG195" i="100" s="1"/>
  <c r="AA195" i="100"/>
  <c r="AF195" i="100" s="1"/>
  <c r="AE194" i="100"/>
  <c r="AD194" i="100"/>
  <c r="AB194" i="100"/>
  <c r="AG194" i="100" s="1"/>
  <c r="AA194" i="100"/>
  <c r="AF194" i="100" s="1"/>
  <c r="AE193" i="100"/>
  <c r="AG193" i="100" s="1"/>
  <c r="AD193" i="100"/>
  <c r="AF193" i="100" s="1"/>
  <c r="AB193" i="100"/>
  <c r="AA193" i="100"/>
  <c r="AE192" i="100"/>
  <c r="AD192" i="100"/>
  <c r="AB192" i="100"/>
  <c r="AG192" i="100" s="1"/>
  <c r="AA192" i="100"/>
  <c r="AF192" i="100" s="1"/>
  <c r="AE191" i="100"/>
  <c r="AD191" i="100"/>
  <c r="AF191" i="100" s="1"/>
  <c r="AB191" i="100"/>
  <c r="AG191" i="100" s="1"/>
  <c r="AA191" i="100"/>
  <c r="AG190" i="100"/>
  <c r="AE190" i="100"/>
  <c r="AD190" i="100"/>
  <c r="AB190" i="100"/>
  <c r="AA190" i="100"/>
  <c r="AF190" i="100" s="1"/>
  <c r="AD189" i="100"/>
  <c r="AA189" i="100"/>
  <c r="AF189" i="100" s="1"/>
  <c r="Z189" i="100"/>
  <c r="X189" i="100"/>
  <c r="V189" i="100"/>
  <c r="T189" i="100"/>
  <c r="R189" i="100"/>
  <c r="P189" i="100"/>
  <c r="N189" i="100"/>
  <c r="L189" i="100"/>
  <c r="J189" i="100"/>
  <c r="H189" i="100"/>
  <c r="F189" i="100"/>
  <c r="AE188" i="100"/>
  <c r="AD188" i="100"/>
  <c r="AB188" i="100"/>
  <c r="AG188" i="100" s="1"/>
  <c r="AA188" i="100"/>
  <c r="AF188" i="100" s="1"/>
  <c r="AG187" i="100"/>
  <c r="AF187" i="100"/>
  <c r="AE187" i="100"/>
  <c r="AD187" i="100"/>
  <c r="AB187" i="100"/>
  <c r="AA187" i="100"/>
  <c r="AE186" i="100"/>
  <c r="AD186" i="100"/>
  <c r="AB186" i="100"/>
  <c r="AG186" i="100" s="1"/>
  <c r="AA186" i="100"/>
  <c r="AF186" i="100" s="1"/>
  <c r="AE185" i="100"/>
  <c r="AD185" i="100"/>
  <c r="AB185" i="100"/>
  <c r="AG185" i="100" s="1"/>
  <c r="AA185" i="100"/>
  <c r="AF185" i="100" s="1"/>
  <c r="AG184" i="100"/>
  <c r="AF184" i="100"/>
  <c r="AE184" i="100"/>
  <c r="AD184" i="100"/>
  <c r="AB184" i="100"/>
  <c r="AA184" i="100"/>
  <c r="AE183" i="100"/>
  <c r="AD183" i="100"/>
  <c r="AB183" i="100"/>
  <c r="AG183" i="100" s="1"/>
  <c r="AA183" i="100"/>
  <c r="AF183" i="100" s="1"/>
  <c r="AE182" i="100"/>
  <c r="AD182" i="100"/>
  <c r="AB182" i="100"/>
  <c r="AG182" i="100" s="1"/>
  <c r="AA182" i="100"/>
  <c r="AF182" i="100" s="1"/>
  <c r="AE181" i="100"/>
  <c r="AD181" i="100"/>
  <c r="AB181" i="100"/>
  <c r="AG181" i="100" s="1"/>
  <c r="AA181" i="100"/>
  <c r="AF181" i="100" s="1"/>
  <c r="AD180" i="100"/>
  <c r="AA180" i="100"/>
  <c r="AF180" i="100" s="1"/>
  <c r="Z180" i="100"/>
  <c r="X180" i="100"/>
  <c r="X176" i="100" s="1"/>
  <c r="V180" i="100"/>
  <c r="V176" i="100" s="1"/>
  <c r="T180" i="100"/>
  <c r="T176" i="100" s="1"/>
  <c r="R180" i="100"/>
  <c r="P180" i="100"/>
  <c r="N180" i="100"/>
  <c r="L180" i="100"/>
  <c r="J180" i="100"/>
  <c r="H180" i="100"/>
  <c r="F180" i="100"/>
  <c r="AE179" i="100"/>
  <c r="AD179" i="100"/>
  <c r="AB179" i="100"/>
  <c r="AG179" i="100" s="1"/>
  <c r="AA179" i="100"/>
  <c r="AF179" i="100" s="1"/>
  <c r="AE178" i="100"/>
  <c r="AG178" i="100" s="1"/>
  <c r="AD178" i="100"/>
  <c r="AF178" i="100" s="1"/>
  <c r="AB178" i="100"/>
  <c r="AA178" i="100"/>
  <c r="AE177" i="100"/>
  <c r="AD177" i="100"/>
  <c r="AB177" i="100"/>
  <c r="AG177" i="100" s="1"/>
  <c r="AA177" i="100"/>
  <c r="Z177" i="100"/>
  <c r="X177" i="100"/>
  <c r="V177" i="100"/>
  <c r="T177" i="100"/>
  <c r="R177" i="100"/>
  <c r="R176" i="100" s="1"/>
  <c r="P177" i="100"/>
  <c r="N177" i="100"/>
  <c r="L177" i="100"/>
  <c r="J177" i="100"/>
  <c r="H177" i="100"/>
  <c r="F177" i="100"/>
  <c r="AD176" i="100"/>
  <c r="AF176" i="100" s="1"/>
  <c r="AA176" i="100"/>
  <c r="P176" i="100"/>
  <c r="AE175" i="100"/>
  <c r="AD175" i="100"/>
  <c r="AB175" i="100"/>
  <c r="AG175" i="100" s="1"/>
  <c r="AA175" i="100"/>
  <c r="AF175" i="100" s="1"/>
  <c r="AF174" i="100"/>
  <c r="AE174" i="100"/>
  <c r="AG174" i="100" s="1"/>
  <c r="AD174" i="100"/>
  <c r="AB174" i="100"/>
  <c r="AA174" i="100"/>
  <c r="AE173" i="100"/>
  <c r="AD173" i="100"/>
  <c r="AB173" i="100"/>
  <c r="AG173" i="100" s="1"/>
  <c r="AA173" i="100"/>
  <c r="AF173" i="100" s="1"/>
  <c r="AE172" i="100"/>
  <c r="AD172" i="100"/>
  <c r="AB172" i="100"/>
  <c r="AG172" i="100" s="1"/>
  <c r="AA172" i="100"/>
  <c r="AF172" i="100" s="1"/>
  <c r="AG171" i="100"/>
  <c r="AF171" i="100"/>
  <c r="AE171" i="100"/>
  <c r="AD171" i="100"/>
  <c r="AB171" i="100"/>
  <c r="AA171" i="100"/>
  <c r="AE170" i="100"/>
  <c r="AD170" i="100"/>
  <c r="AF170" i="100" s="1"/>
  <c r="AB170" i="100"/>
  <c r="AG170" i="100" s="1"/>
  <c r="AA170" i="100"/>
  <c r="AE169" i="100"/>
  <c r="AD169" i="100"/>
  <c r="AB169" i="100"/>
  <c r="AG169" i="100" s="1"/>
  <c r="AA169" i="100"/>
  <c r="AF169" i="100" s="1"/>
  <c r="AG168" i="100"/>
  <c r="AF168" i="100"/>
  <c r="AE168" i="100"/>
  <c r="AD168" i="100"/>
  <c r="AB168" i="100"/>
  <c r="AA168" i="100"/>
  <c r="AF167" i="100"/>
  <c r="AE167" i="100"/>
  <c r="AG167" i="100" s="1"/>
  <c r="AD167" i="100"/>
  <c r="AB167" i="100"/>
  <c r="AA167" i="100"/>
  <c r="AE166" i="100"/>
  <c r="AD166" i="100"/>
  <c r="AB166" i="100"/>
  <c r="AG166" i="100" s="1"/>
  <c r="AA166" i="100"/>
  <c r="AF166" i="100" s="1"/>
  <c r="AE165" i="100"/>
  <c r="AD165" i="100"/>
  <c r="AB165" i="100"/>
  <c r="AG165" i="100" s="1"/>
  <c r="AA165" i="100"/>
  <c r="AF165" i="100" s="1"/>
  <c r="AF164" i="100"/>
  <c r="AE164" i="100"/>
  <c r="AG164" i="100" s="1"/>
  <c r="AD164" i="100"/>
  <c r="AB164" i="100"/>
  <c r="AA164" i="100"/>
  <c r="AE163" i="100"/>
  <c r="AG163" i="100" s="1"/>
  <c r="AD163" i="100"/>
  <c r="AF163" i="100" s="1"/>
  <c r="AB163" i="100"/>
  <c r="AA163" i="100"/>
  <c r="AE162" i="100"/>
  <c r="AD162" i="100"/>
  <c r="AF162" i="100" s="1"/>
  <c r="AB162" i="100"/>
  <c r="AG162" i="100" s="1"/>
  <c r="AA162" i="100"/>
  <c r="AG161" i="100"/>
  <c r="AE161" i="100"/>
  <c r="AD161" i="100"/>
  <c r="AB161" i="100"/>
  <c r="AA161" i="100"/>
  <c r="AF161" i="100" s="1"/>
  <c r="AG160" i="100"/>
  <c r="AE160" i="100"/>
  <c r="AD160" i="100"/>
  <c r="AB160" i="100"/>
  <c r="AA160" i="100"/>
  <c r="AF160" i="100" s="1"/>
  <c r="AF159" i="100"/>
  <c r="AE159" i="100"/>
  <c r="AG159" i="100" s="1"/>
  <c r="AD159" i="100"/>
  <c r="AB159" i="100"/>
  <c r="AA159" i="100"/>
  <c r="AE158" i="100"/>
  <c r="AD158" i="100"/>
  <c r="AB158" i="100"/>
  <c r="AG158" i="100" s="1"/>
  <c r="AA158" i="100"/>
  <c r="AF158" i="100" s="1"/>
  <c r="AE157" i="100"/>
  <c r="AD157" i="100"/>
  <c r="AB157" i="100"/>
  <c r="AG157" i="100" s="1"/>
  <c r="AA157" i="100"/>
  <c r="AF157" i="100" s="1"/>
  <c r="AE156" i="100"/>
  <c r="AD156" i="100"/>
  <c r="AF156" i="100" s="1"/>
  <c r="AB156" i="100"/>
  <c r="AG156" i="100" s="1"/>
  <c r="AA156" i="100"/>
  <c r="AE155" i="100"/>
  <c r="AG155" i="100" s="1"/>
  <c r="AD155" i="100"/>
  <c r="AF155" i="100" s="1"/>
  <c r="AB155" i="100"/>
  <c r="AA155" i="100"/>
  <c r="AE154" i="100"/>
  <c r="AD154" i="100"/>
  <c r="AB154" i="100"/>
  <c r="AG154" i="100" s="1"/>
  <c r="AA154" i="100"/>
  <c r="AF154" i="100" s="1"/>
  <c r="AE153" i="100"/>
  <c r="AD153" i="100"/>
  <c r="AF153" i="100" s="1"/>
  <c r="AB153" i="100"/>
  <c r="AG153" i="100" s="1"/>
  <c r="AA153" i="100"/>
  <c r="AG152" i="100"/>
  <c r="AE152" i="100"/>
  <c r="AD152" i="100"/>
  <c r="AB152" i="100"/>
  <c r="AA152" i="100"/>
  <c r="AF152" i="100" s="1"/>
  <c r="AE151" i="100"/>
  <c r="AD151" i="100"/>
  <c r="AB151" i="100"/>
  <c r="AG151" i="100" s="1"/>
  <c r="AA151" i="100"/>
  <c r="AF150" i="100"/>
  <c r="AE150" i="100"/>
  <c r="AG150" i="100" s="1"/>
  <c r="AD150" i="100"/>
  <c r="AB150" i="100"/>
  <c r="AA150" i="100"/>
  <c r="AE149" i="100"/>
  <c r="AD149" i="100"/>
  <c r="AB149" i="100"/>
  <c r="AG149" i="100" s="1"/>
  <c r="AA149" i="100"/>
  <c r="AF149" i="100" s="1"/>
  <c r="AE148" i="100"/>
  <c r="AD148" i="100"/>
  <c r="AB148" i="100"/>
  <c r="AG148" i="100" s="1"/>
  <c r="AA148" i="100"/>
  <c r="AF147" i="100"/>
  <c r="AE147" i="100"/>
  <c r="AG147" i="100" s="1"/>
  <c r="AD147" i="100"/>
  <c r="AB147" i="100"/>
  <c r="AA147" i="100"/>
  <c r="AE146" i="100"/>
  <c r="AD146" i="100"/>
  <c r="AB146" i="100"/>
  <c r="AG146" i="100" s="1"/>
  <c r="AA146" i="100"/>
  <c r="AF146" i="100" s="1"/>
  <c r="AE145" i="100"/>
  <c r="AD145" i="100"/>
  <c r="AB145" i="100"/>
  <c r="AG145" i="100" s="1"/>
  <c r="AA145" i="100"/>
  <c r="AF145" i="100" s="1"/>
  <c r="AG144" i="100"/>
  <c r="AF144" i="100"/>
  <c r="AE144" i="100"/>
  <c r="AD144" i="100"/>
  <c r="AB144" i="100"/>
  <c r="AA144" i="100"/>
  <c r="AE143" i="100"/>
  <c r="AD143" i="100"/>
  <c r="AB143" i="100"/>
  <c r="AG143" i="100" s="1"/>
  <c r="AA143" i="100"/>
  <c r="AF143" i="100" s="1"/>
  <c r="AE142" i="100"/>
  <c r="AD142" i="100"/>
  <c r="AB142" i="100"/>
  <c r="AG142" i="100" s="1"/>
  <c r="AA142" i="100"/>
  <c r="AF142" i="100" s="1"/>
  <c r="AE141" i="100"/>
  <c r="AD141" i="100"/>
  <c r="AB141" i="100"/>
  <c r="AG141" i="100" s="1"/>
  <c r="AA141" i="100"/>
  <c r="AF141" i="100" s="1"/>
  <c r="AE140" i="100"/>
  <c r="AD140" i="100"/>
  <c r="AB140" i="100"/>
  <c r="AG140" i="100" s="1"/>
  <c r="AA140" i="100"/>
  <c r="AF140" i="100" s="1"/>
  <c r="AE139" i="100"/>
  <c r="AG139" i="100" s="1"/>
  <c r="AD139" i="100"/>
  <c r="AF139" i="100" s="1"/>
  <c r="AB139" i="100"/>
  <c r="AA139" i="100"/>
  <c r="AD138" i="100"/>
  <c r="AB138" i="100"/>
  <c r="AG138" i="100" s="1"/>
  <c r="AA138" i="100"/>
  <c r="AF138" i="100" s="1"/>
  <c r="Z138" i="100"/>
  <c r="X138" i="100"/>
  <c r="V138" i="100"/>
  <c r="T138" i="100"/>
  <c r="R138" i="100"/>
  <c r="P138" i="100"/>
  <c r="N138" i="100"/>
  <c r="L138" i="100"/>
  <c r="AE138" i="100" s="1"/>
  <c r="J138" i="100"/>
  <c r="H138" i="100"/>
  <c r="F138" i="100"/>
  <c r="AE137" i="100"/>
  <c r="AD137" i="100"/>
  <c r="AB137" i="100"/>
  <c r="AG137" i="100" s="1"/>
  <c r="AA137" i="100"/>
  <c r="AF137" i="100" s="1"/>
  <c r="AE136" i="100"/>
  <c r="AD136" i="100"/>
  <c r="AB136" i="100"/>
  <c r="AG136" i="100" s="1"/>
  <c r="AA136" i="100"/>
  <c r="AF136" i="100" s="1"/>
  <c r="AE135" i="100"/>
  <c r="AD135" i="100"/>
  <c r="AB135" i="100"/>
  <c r="AG135" i="100" s="1"/>
  <c r="AA135" i="100"/>
  <c r="AF135" i="100" s="1"/>
  <c r="AE134" i="100"/>
  <c r="AD134" i="100"/>
  <c r="AB134" i="100"/>
  <c r="AG134" i="100" s="1"/>
  <c r="AA134" i="100"/>
  <c r="AF134" i="100" s="1"/>
  <c r="AG133" i="100"/>
  <c r="AE133" i="100"/>
  <c r="AD133" i="100"/>
  <c r="AF133" i="100" s="1"/>
  <c r="AB133" i="100"/>
  <c r="AA133" i="100"/>
  <c r="AE132" i="100"/>
  <c r="AD132" i="100"/>
  <c r="AB132" i="100"/>
  <c r="AG132" i="100" s="1"/>
  <c r="AA132" i="100"/>
  <c r="AE131" i="100"/>
  <c r="AD131" i="100"/>
  <c r="AB131" i="100"/>
  <c r="AG131" i="100" s="1"/>
  <c r="AA131" i="100"/>
  <c r="AF131" i="100" s="1"/>
  <c r="AF130" i="100"/>
  <c r="AE130" i="100"/>
  <c r="AG130" i="100" s="1"/>
  <c r="AD130" i="100"/>
  <c r="AB130" i="100"/>
  <c r="AA130" i="100"/>
  <c r="AF129" i="100"/>
  <c r="AE129" i="100"/>
  <c r="AG129" i="100" s="1"/>
  <c r="AD129" i="100"/>
  <c r="AB129" i="100"/>
  <c r="AA129" i="100"/>
  <c r="AE128" i="100"/>
  <c r="AD128" i="100"/>
  <c r="AB128" i="100"/>
  <c r="AG128" i="100" s="1"/>
  <c r="AA128" i="100"/>
  <c r="AF128" i="100" s="1"/>
  <c r="AG127" i="100"/>
  <c r="AE127" i="100"/>
  <c r="AD127" i="100"/>
  <c r="AB127" i="100"/>
  <c r="AA127" i="100"/>
  <c r="AF127" i="100" s="1"/>
  <c r="AD126" i="100"/>
  <c r="AA126" i="100"/>
  <c r="AF126" i="100" s="1"/>
  <c r="Z126" i="100"/>
  <c r="X126" i="100"/>
  <c r="V126" i="100"/>
  <c r="T126" i="100"/>
  <c r="R126" i="100"/>
  <c r="P126" i="100"/>
  <c r="N126" i="100"/>
  <c r="L126" i="100"/>
  <c r="J126" i="100"/>
  <c r="H126" i="100"/>
  <c r="F126" i="100"/>
  <c r="AE125" i="100"/>
  <c r="AD125" i="100"/>
  <c r="AB125" i="100"/>
  <c r="AG125" i="100" s="1"/>
  <c r="AA125" i="100"/>
  <c r="AF125" i="100" s="1"/>
  <c r="AG124" i="100"/>
  <c r="AF124" i="100"/>
  <c r="AE124" i="100"/>
  <c r="AD124" i="100"/>
  <c r="AB124" i="100"/>
  <c r="AA124" i="100"/>
  <c r="AF123" i="100"/>
  <c r="AE123" i="100"/>
  <c r="AD123" i="100"/>
  <c r="AB123" i="100"/>
  <c r="AA123" i="100"/>
  <c r="AE122" i="100"/>
  <c r="AD122" i="100"/>
  <c r="AB122" i="100"/>
  <c r="AG122" i="100" s="1"/>
  <c r="AA122" i="100"/>
  <c r="AF122" i="100" s="1"/>
  <c r="AG121" i="100"/>
  <c r="AF121" i="100"/>
  <c r="AE121" i="100"/>
  <c r="AD121" i="100"/>
  <c r="AB121" i="100"/>
  <c r="AA121" i="100"/>
  <c r="AF120" i="100"/>
  <c r="AE120" i="100"/>
  <c r="AG120" i="100" s="1"/>
  <c r="AD120" i="100"/>
  <c r="AB120" i="100"/>
  <c r="AA120" i="100"/>
  <c r="AE119" i="100"/>
  <c r="AD119" i="100"/>
  <c r="AB119" i="100"/>
  <c r="AG119" i="100" s="1"/>
  <c r="AA119" i="100"/>
  <c r="AF119" i="100" s="1"/>
  <c r="AE118" i="100"/>
  <c r="AD118" i="100"/>
  <c r="AB118" i="100"/>
  <c r="AG118" i="100" s="1"/>
  <c r="AA118" i="100"/>
  <c r="AE117" i="100"/>
  <c r="AG117" i="100" s="1"/>
  <c r="AD117" i="100"/>
  <c r="AF117" i="100" s="1"/>
  <c r="AB117" i="100"/>
  <c r="AA117" i="100"/>
  <c r="AE116" i="100"/>
  <c r="AG116" i="100" s="1"/>
  <c r="AD116" i="100"/>
  <c r="AF116" i="100" s="1"/>
  <c r="AB116" i="100"/>
  <c r="AA116" i="100"/>
  <c r="AE115" i="100"/>
  <c r="AD115" i="100"/>
  <c r="AB115" i="100"/>
  <c r="AG115" i="100" s="1"/>
  <c r="AA115" i="100"/>
  <c r="Z115" i="100"/>
  <c r="X115" i="100"/>
  <c r="V115" i="100"/>
  <c r="T115" i="100"/>
  <c r="R115" i="100"/>
  <c r="P115" i="100"/>
  <c r="N115" i="100"/>
  <c r="L115" i="100"/>
  <c r="J115" i="100"/>
  <c r="H115" i="100"/>
  <c r="F115" i="100"/>
  <c r="AE114" i="100"/>
  <c r="AD114" i="100"/>
  <c r="AB114" i="100"/>
  <c r="AG114" i="100" s="1"/>
  <c r="AA114" i="100"/>
  <c r="AF114" i="100" s="1"/>
  <c r="AG113" i="100"/>
  <c r="AF113" i="100"/>
  <c r="AE113" i="100"/>
  <c r="AD113" i="100"/>
  <c r="AB113" i="100"/>
  <c r="AA113" i="100"/>
  <c r="AE112" i="100"/>
  <c r="AD112" i="100"/>
  <c r="AB112" i="100"/>
  <c r="AG112" i="100" s="1"/>
  <c r="AA112" i="100"/>
  <c r="AF112" i="100" s="1"/>
  <c r="AF111" i="100"/>
  <c r="AE111" i="100"/>
  <c r="AD111" i="100"/>
  <c r="AB111" i="100"/>
  <c r="AA111" i="100"/>
  <c r="AG110" i="100"/>
  <c r="AE110" i="100"/>
  <c r="AD110" i="100"/>
  <c r="AF110" i="100" s="1"/>
  <c r="AB110" i="100"/>
  <c r="AA110" i="100"/>
  <c r="AE109" i="100"/>
  <c r="AD109" i="100"/>
  <c r="AB109" i="100"/>
  <c r="AG109" i="100" s="1"/>
  <c r="AA109" i="100"/>
  <c r="AF109" i="100" s="1"/>
  <c r="AE108" i="100"/>
  <c r="AD108" i="100"/>
  <c r="AB108" i="100"/>
  <c r="AG108" i="100" s="1"/>
  <c r="AA108" i="100"/>
  <c r="AF108" i="100" s="1"/>
  <c r="AG107" i="100"/>
  <c r="AE107" i="100"/>
  <c r="AD107" i="100"/>
  <c r="AB107" i="100"/>
  <c r="AA107" i="100"/>
  <c r="AF107" i="100" s="1"/>
  <c r="AD106" i="100"/>
  <c r="AA106" i="100"/>
  <c r="AF106" i="100" s="1"/>
  <c r="Z106" i="100"/>
  <c r="X106" i="100"/>
  <c r="V106" i="100"/>
  <c r="T106" i="100"/>
  <c r="R106" i="100"/>
  <c r="P106" i="100"/>
  <c r="N106" i="100"/>
  <c r="L106" i="100"/>
  <c r="J106" i="100"/>
  <c r="H106" i="100"/>
  <c r="F106" i="100"/>
  <c r="F102" i="100" s="1"/>
  <c r="AE105" i="100"/>
  <c r="AD105" i="100"/>
  <c r="AB105" i="100"/>
  <c r="AG105" i="100" s="1"/>
  <c r="AA105" i="100"/>
  <c r="AF105" i="100" s="1"/>
  <c r="AE104" i="100"/>
  <c r="AG104" i="100" s="1"/>
  <c r="AD104" i="100"/>
  <c r="AF104" i="100" s="1"/>
  <c r="AB104" i="100"/>
  <c r="AA104" i="100"/>
  <c r="AE103" i="100"/>
  <c r="AD103" i="100"/>
  <c r="AA103" i="100"/>
  <c r="AF103" i="100" s="1"/>
  <c r="Z103" i="100"/>
  <c r="Z102" i="100" s="1"/>
  <c r="X103" i="100"/>
  <c r="X102" i="100" s="1"/>
  <c r="V103" i="100"/>
  <c r="T103" i="100"/>
  <c r="R103" i="100"/>
  <c r="P103" i="100"/>
  <c r="N103" i="100"/>
  <c r="L103" i="100"/>
  <c r="J103" i="100"/>
  <c r="H103" i="100"/>
  <c r="F103" i="100"/>
  <c r="AD102" i="100"/>
  <c r="AA102" i="100"/>
  <c r="P102" i="100"/>
  <c r="N102" i="100"/>
  <c r="L102" i="100"/>
  <c r="J102" i="100"/>
  <c r="AE101" i="100"/>
  <c r="AD101" i="100"/>
  <c r="AB101" i="100"/>
  <c r="AG101" i="100" s="1"/>
  <c r="AA101" i="100"/>
  <c r="AF101" i="100" s="1"/>
  <c r="AE100" i="100"/>
  <c r="AD100" i="100"/>
  <c r="AB100" i="100"/>
  <c r="AG100" i="100" s="1"/>
  <c r="AA100" i="100"/>
  <c r="AF100" i="100" s="1"/>
  <c r="AF99" i="100"/>
  <c r="AE99" i="100"/>
  <c r="AD99" i="100"/>
  <c r="AB99" i="100"/>
  <c r="AG99" i="100" s="1"/>
  <c r="AA99" i="100"/>
  <c r="AF98" i="100"/>
  <c r="AE98" i="100"/>
  <c r="AD98" i="100"/>
  <c r="AB98" i="100"/>
  <c r="AA98" i="100"/>
  <c r="AE97" i="100"/>
  <c r="AD97" i="100"/>
  <c r="AB97" i="100"/>
  <c r="AG97" i="100" s="1"/>
  <c r="AA97" i="100"/>
  <c r="AF97" i="100" s="1"/>
  <c r="AE96" i="100"/>
  <c r="AD96" i="100"/>
  <c r="AB96" i="100"/>
  <c r="AG96" i="100" s="1"/>
  <c r="AA96" i="100"/>
  <c r="AE95" i="100"/>
  <c r="AD95" i="100"/>
  <c r="AB95" i="100"/>
  <c r="AG95" i="100" s="1"/>
  <c r="AA95" i="100"/>
  <c r="AF95" i="100" s="1"/>
  <c r="AE94" i="100"/>
  <c r="AG94" i="100" s="1"/>
  <c r="AD94" i="100"/>
  <c r="AF94" i="100" s="1"/>
  <c r="AB94" i="100"/>
  <c r="AA94" i="100"/>
  <c r="AE93" i="100"/>
  <c r="AG93" i="100" s="1"/>
  <c r="AD93" i="100"/>
  <c r="AB93" i="100"/>
  <c r="AA93" i="100"/>
  <c r="AF93" i="100" s="1"/>
  <c r="AE92" i="100"/>
  <c r="AG92" i="100" s="1"/>
  <c r="AD92" i="100"/>
  <c r="AF92" i="100" s="1"/>
  <c r="AB92" i="100"/>
  <c r="AA92" i="100"/>
  <c r="AE91" i="100"/>
  <c r="AD91" i="100"/>
  <c r="AB91" i="100"/>
  <c r="AG91" i="100" s="1"/>
  <c r="AA91" i="100"/>
  <c r="AF91" i="100" s="1"/>
  <c r="AE90" i="100"/>
  <c r="AD90" i="100"/>
  <c r="AB90" i="100"/>
  <c r="AG90" i="100" s="1"/>
  <c r="AA90" i="100"/>
  <c r="AF90" i="100" s="1"/>
  <c r="AF89" i="100"/>
  <c r="AE89" i="100"/>
  <c r="AG89" i="100" s="1"/>
  <c r="AD89" i="100"/>
  <c r="AB89" i="100"/>
  <c r="AA89" i="100"/>
  <c r="AE88" i="100"/>
  <c r="AD88" i="100"/>
  <c r="AB88" i="100"/>
  <c r="AG88" i="100" s="1"/>
  <c r="AA88" i="100"/>
  <c r="AF88" i="100" s="1"/>
  <c r="AE87" i="100"/>
  <c r="AD87" i="100"/>
  <c r="AB87" i="100"/>
  <c r="AG87" i="100" s="1"/>
  <c r="AA87" i="100"/>
  <c r="AF87" i="100" s="1"/>
  <c r="AE86" i="100"/>
  <c r="AG86" i="100" s="1"/>
  <c r="AD86" i="100"/>
  <c r="AF86" i="100" s="1"/>
  <c r="AB86" i="100"/>
  <c r="AA86" i="100"/>
  <c r="AE85" i="100"/>
  <c r="AD85" i="100"/>
  <c r="AF85" i="100" s="1"/>
  <c r="AB85" i="100"/>
  <c r="AG85" i="100" s="1"/>
  <c r="AA85" i="100"/>
  <c r="AE84" i="100"/>
  <c r="AD84" i="100"/>
  <c r="AB84" i="100"/>
  <c r="AG84" i="100" s="1"/>
  <c r="AA84" i="100"/>
  <c r="AF84" i="100" s="1"/>
  <c r="AG83" i="100"/>
  <c r="AF83" i="100"/>
  <c r="AE83" i="100"/>
  <c r="AD83" i="100"/>
  <c r="AB83" i="100"/>
  <c r="AA83" i="100"/>
  <c r="AE82" i="100"/>
  <c r="AG82" i="100" s="1"/>
  <c r="AD82" i="100"/>
  <c r="AB82" i="100"/>
  <c r="AA82" i="100"/>
  <c r="AF82" i="100" s="1"/>
  <c r="AE81" i="100"/>
  <c r="AD81" i="100"/>
  <c r="AB81" i="100"/>
  <c r="AG81" i="100" s="1"/>
  <c r="AA81" i="100"/>
  <c r="AF81" i="100" s="1"/>
  <c r="AE80" i="100"/>
  <c r="AD80" i="100"/>
  <c r="AB80" i="100"/>
  <c r="AA80" i="100"/>
  <c r="AF80" i="100" s="1"/>
  <c r="AE79" i="100"/>
  <c r="AG79" i="100" s="1"/>
  <c r="AD79" i="100"/>
  <c r="AB79" i="100"/>
  <c r="AA79" i="100"/>
  <c r="AF79" i="100" s="1"/>
  <c r="AG78" i="100"/>
  <c r="AF78" i="100"/>
  <c r="AE78" i="100"/>
  <c r="AD78" i="100"/>
  <c r="AB78" i="100"/>
  <c r="AA78" i="100"/>
  <c r="AG77" i="100"/>
  <c r="AE77" i="100"/>
  <c r="AD77" i="100"/>
  <c r="AB77" i="100"/>
  <c r="AA77" i="100"/>
  <c r="AF77" i="100" s="1"/>
  <c r="AE76" i="100"/>
  <c r="AD76" i="100"/>
  <c r="AB76" i="100"/>
  <c r="AG76" i="100" s="1"/>
  <c r="AA76" i="100"/>
  <c r="AF76" i="100" s="1"/>
  <c r="AG75" i="100"/>
  <c r="AF75" i="100"/>
  <c r="AE75" i="100"/>
  <c r="AD75" i="100"/>
  <c r="AB75" i="100"/>
  <c r="AA75" i="100"/>
  <c r="AE74" i="100"/>
  <c r="AD74" i="100"/>
  <c r="AF74" i="100" s="1"/>
  <c r="AB74" i="100"/>
  <c r="AG74" i="100" s="1"/>
  <c r="AA74" i="100"/>
  <c r="P74" i="100"/>
  <c r="AE73" i="100"/>
  <c r="AD73" i="100"/>
  <c r="AF73" i="100" s="1"/>
  <c r="AB73" i="100"/>
  <c r="AG73" i="100" s="1"/>
  <c r="AA73" i="100"/>
  <c r="AF72" i="100"/>
  <c r="AE72" i="100"/>
  <c r="AD72" i="100"/>
  <c r="AB72" i="100"/>
  <c r="AA72" i="100"/>
  <c r="AE71" i="100"/>
  <c r="AG71" i="100" s="1"/>
  <c r="AD71" i="100"/>
  <c r="AB71" i="100"/>
  <c r="AA71" i="100"/>
  <c r="AF71" i="100" s="1"/>
  <c r="AE70" i="100"/>
  <c r="AG70" i="100" s="1"/>
  <c r="AD70" i="100"/>
  <c r="AB70" i="100"/>
  <c r="AA70" i="100"/>
  <c r="AF70" i="100" s="1"/>
  <c r="AG69" i="100"/>
  <c r="AF69" i="100"/>
  <c r="AE69" i="100"/>
  <c r="AD69" i="100"/>
  <c r="AB69" i="100"/>
  <c r="AA69" i="100"/>
  <c r="AE68" i="100"/>
  <c r="AD68" i="100"/>
  <c r="AB68" i="100"/>
  <c r="AG68" i="100" s="1"/>
  <c r="AA68" i="100"/>
  <c r="AF68" i="100" s="1"/>
  <c r="AE67" i="100"/>
  <c r="AD67" i="100"/>
  <c r="AB67" i="100"/>
  <c r="AG67" i="100" s="1"/>
  <c r="AA67" i="100"/>
  <c r="AF67" i="100" s="1"/>
  <c r="AG66" i="100"/>
  <c r="AF66" i="100"/>
  <c r="AE66" i="100"/>
  <c r="AD66" i="100"/>
  <c r="AB66" i="100"/>
  <c r="AA66" i="100"/>
  <c r="Z65" i="100"/>
  <c r="Y65" i="100"/>
  <c r="X65" i="100"/>
  <c r="W65" i="100"/>
  <c r="V65" i="100"/>
  <c r="U65" i="100"/>
  <c r="T65" i="100"/>
  <c r="S65" i="100"/>
  <c r="R65" i="100"/>
  <c r="Q65" i="100"/>
  <c r="P65" i="100"/>
  <c r="O65" i="100"/>
  <c r="N65" i="100"/>
  <c r="M65" i="100"/>
  <c r="L65" i="100"/>
  <c r="K65" i="100"/>
  <c r="J65" i="100"/>
  <c r="I65" i="100"/>
  <c r="H65" i="100"/>
  <c r="G65" i="100"/>
  <c r="F65" i="100"/>
  <c r="E65" i="100"/>
  <c r="D65" i="100"/>
  <c r="C65" i="100"/>
  <c r="AG64" i="100"/>
  <c r="AE64" i="100"/>
  <c r="AD64" i="100"/>
  <c r="AB64" i="100"/>
  <c r="AA64" i="100"/>
  <c r="AF64" i="100" s="1"/>
  <c r="AE63" i="100"/>
  <c r="AD63" i="100"/>
  <c r="AB63" i="100"/>
  <c r="AG63" i="100" s="1"/>
  <c r="AA63" i="100"/>
  <c r="AE62" i="100"/>
  <c r="AD62" i="100"/>
  <c r="AB62" i="100"/>
  <c r="AG62" i="100" s="1"/>
  <c r="AA62" i="100"/>
  <c r="AF62" i="100" s="1"/>
  <c r="AF61" i="100"/>
  <c r="AE61" i="100"/>
  <c r="AD61" i="100"/>
  <c r="AB61" i="100"/>
  <c r="AG61" i="100" s="1"/>
  <c r="AA61" i="100"/>
  <c r="AE60" i="100"/>
  <c r="AD60" i="100"/>
  <c r="AB60" i="100"/>
  <c r="AA60" i="100"/>
  <c r="AE59" i="100"/>
  <c r="AD59" i="100"/>
  <c r="AF59" i="100" s="1"/>
  <c r="AB59" i="100"/>
  <c r="AG59" i="100" s="1"/>
  <c r="AA59" i="100"/>
  <c r="AG58" i="100"/>
  <c r="AE58" i="100"/>
  <c r="AD58" i="100"/>
  <c r="AB58" i="100"/>
  <c r="AA58" i="100"/>
  <c r="AF58" i="100" s="1"/>
  <c r="AE57" i="100"/>
  <c r="AD57" i="100"/>
  <c r="AF57" i="100" s="1"/>
  <c r="AB57" i="100"/>
  <c r="AA57" i="100"/>
  <c r="AE56" i="100"/>
  <c r="AG56" i="100" s="1"/>
  <c r="AD56" i="100"/>
  <c r="AF56" i="100" s="1"/>
  <c r="AB56" i="100"/>
  <c r="AA56" i="100"/>
  <c r="AE55" i="100"/>
  <c r="AD55" i="100"/>
  <c r="AB55" i="100"/>
  <c r="AG55" i="100" s="1"/>
  <c r="AA55" i="100"/>
  <c r="AF55" i="100" s="1"/>
  <c r="AE54" i="100"/>
  <c r="AD54" i="100"/>
  <c r="AF54" i="100" s="1"/>
  <c r="AB54" i="100"/>
  <c r="AG54" i="100" s="1"/>
  <c r="AA54" i="100"/>
  <c r="Z54" i="100"/>
  <c r="X54" i="100"/>
  <c r="V54" i="100"/>
  <c r="T54" i="100"/>
  <c r="R54" i="100"/>
  <c r="P54" i="100"/>
  <c r="N54" i="100"/>
  <c r="L54" i="100"/>
  <c r="J54" i="100"/>
  <c r="H54" i="100"/>
  <c r="F54" i="100"/>
  <c r="D54" i="100"/>
  <c r="AE53" i="100"/>
  <c r="Z53" i="100"/>
  <c r="Y53" i="100"/>
  <c r="X53" i="100"/>
  <c r="W53" i="100"/>
  <c r="V53" i="100"/>
  <c r="U53" i="100"/>
  <c r="T53" i="100"/>
  <c r="S53" i="100"/>
  <c r="R53" i="100"/>
  <c r="Q53" i="100"/>
  <c r="P53" i="100"/>
  <c r="O53" i="100"/>
  <c r="N53" i="100"/>
  <c r="M53" i="100"/>
  <c r="L53" i="100"/>
  <c r="K53" i="100"/>
  <c r="J53" i="100"/>
  <c r="AB53" i="100" s="1"/>
  <c r="AG53" i="100" s="1"/>
  <c r="I53" i="100"/>
  <c r="I29" i="100" s="1"/>
  <c r="H53" i="100"/>
  <c r="G53" i="100"/>
  <c r="F53" i="100"/>
  <c r="E53" i="100"/>
  <c r="D53" i="100"/>
  <c r="C53" i="100"/>
  <c r="AF52" i="100"/>
  <c r="AE52" i="100"/>
  <c r="AD52" i="100"/>
  <c r="AB52" i="100"/>
  <c r="AA52" i="100"/>
  <c r="AG51" i="100"/>
  <c r="AE51" i="100"/>
  <c r="AD51" i="100"/>
  <c r="AF51" i="100" s="1"/>
  <c r="AB51" i="100"/>
  <c r="AA51" i="100"/>
  <c r="AE50" i="100"/>
  <c r="AD50" i="100"/>
  <c r="AB50" i="100"/>
  <c r="AG50" i="100" s="1"/>
  <c r="AA50" i="100"/>
  <c r="AF50" i="100" s="1"/>
  <c r="AE49" i="100"/>
  <c r="AD49" i="100"/>
  <c r="AF49" i="100" s="1"/>
  <c r="AB49" i="100"/>
  <c r="AA49" i="100"/>
  <c r="AG48" i="100"/>
  <c r="AF48" i="100"/>
  <c r="AE48" i="100"/>
  <c r="AD48" i="100"/>
  <c r="AB48" i="100"/>
  <c r="AA48" i="100"/>
  <c r="AE47" i="100"/>
  <c r="AD47" i="100"/>
  <c r="AB47" i="100"/>
  <c r="AG47" i="100" s="1"/>
  <c r="AA47" i="100"/>
  <c r="AF47" i="100" s="1"/>
  <c r="AE46" i="100"/>
  <c r="AD46" i="100"/>
  <c r="AF46" i="100" s="1"/>
  <c r="AB46" i="100"/>
  <c r="AG46" i="100" s="1"/>
  <c r="AA46" i="100"/>
  <c r="AG45" i="100"/>
  <c r="AE45" i="100"/>
  <c r="AD45" i="100"/>
  <c r="AB45" i="100"/>
  <c r="AA45" i="100"/>
  <c r="AF45" i="100" s="1"/>
  <c r="AE44" i="100"/>
  <c r="AD44" i="100"/>
  <c r="AB44" i="100"/>
  <c r="AG44" i="100" s="1"/>
  <c r="AA44" i="100"/>
  <c r="AF44" i="100" s="1"/>
  <c r="AE43" i="100"/>
  <c r="AD43" i="100"/>
  <c r="AF43" i="100" s="1"/>
  <c r="AB43" i="100"/>
  <c r="AG43" i="100" s="1"/>
  <c r="AA43" i="100"/>
  <c r="Z42" i="100"/>
  <c r="Y42" i="100"/>
  <c r="X42" i="100"/>
  <c r="W42" i="100"/>
  <c r="V42" i="100"/>
  <c r="U42" i="100"/>
  <c r="T42" i="100"/>
  <c r="S42" i="100"/>
  <c r="R42" i="100"/>
  <c r="Q42" i="100"/>
  <c r="P42" i="100"/>
  <c r="O42" i="100"/>
  <c r="N42" i="100"/>
  <c r="M42" i="100"/>
  <c r="L42" i="100"/>
  <c r="K42" i="100"/>
  <c r="J42" i="100"/>
  <c r="I42" i="100"/>
  <c r="H42" i="100"/>
  <c r="G42" i="100"/>
  <c r="F42" i="100"/>
  <c r="F29" i="100" s="1"/>
  <c r="E42" i="100"/>
  <c r="E29" i="100" s="1"/>
  <c r="D42" i="100"/>
  <c r="C42" i="100"/>
  <c r="AG41" i="100"/>
  <c r="AE41" i="100"/>
  <c r="AD41" i="100"/>
  <c r="AB41" i="100"/>
  <c r="AA41" i="100"/>
  <c r="AE40" i="100"/>
  <c r="AD40" i="100"/>
  <c r="AB40" i="100"/>
  <c r="AG40" i="100" s="1"/>
  <c r="AA40" i="100"/>
  <c r="AF40" i="100" s="1"/>
  <c r="AE39" i="100"/>
  <c r="AD39" i="100"/>
  <c r="AF39" i="100" s="1"/>
  <c r="AB39" i="100"/>
  <c r="AG39" i="100" s="1"/>
  <c r="AA39" i="100"/>
  <c r="AF38" i="100"/>
  <c r="AE38" i="100"/>
  <c r="AD38" i="100"/>
  <c r="AB38" i="100"/>
  <c r="AA38" i="100"/>
  <c r="AE37" i="100"/>
  <c r="AD37" i="100"/>
  <c r="AB37" i="100"/>
  <c r="AG37" i="100" s="1"/>
  <c r="AA37" i="100"/>
  <c r="AF37" i="100" s="1"/>
  <c r="AG36" i="100"/>
  <c r="AF36" i="100"/>
  <c r="AE36" i="100"/>
  <c r="AD36" i="100"/>
  <c r="AB36" i="100"/>
  <c r="AA36" i="100"/>
  <c r="AG35" i="100"/>
  <c r="AE35" i="100"/>
  <c r="AD35" i="100"/>
  <c r="AB35" i="100"/>
  <c r="AA35" i="100"/>
  <c r="AE34" i="100"/>
  <c r="AD34" i="100"/>
  <c r="AB34" i="100"/>
  <c r="AG34" i="100" s="1"/>
  <c r="AA34" i="100"/>
  <c r="AF34" i="100" s="1"/>
  <c r="AD33" i="100"/>
  <c r="AB33" i="100"/>
  <c r="Z33" i="100"/>
  <c r="Y33" i="100"/>
  <c r="X33" i="100"/>
  <c r="W33" i="100"/>
  <c r="V33" i="100"/>
  <c r="U33" i="100"/>
  <c r="T33" i="100"/>
  <c r="S33" i="100"/>
  <c r="R33" i="100"/>
  <c r="Q33" i="100"/>
  <c r="P33" i="100"/>
  <c r="P29" i="100" s="1"/>
  <c r="O33" i="100"/>
  <c r="N33" i="100"/>
  <c r="M33" i="100"/>
  <c r="L33" i="100"/>
  <c r="K33" i="100"/>
  <c r="J33" i="100"/>
  <c r="I33" i="100"/>
  <c r="H33" i="100"/>
  <c r="G33" i="100"/>
  <c r="F33" i="100"/>
  <c r="E33" i="100"/>
  <c r="D33" i="100"/>
  <c r="C33" i="100"/>
  <c r="AE32" i="100"/>
  <c r="AG32" i="100" s="1"/>
  <c r="AD32" i="100"/>
  <c r="AB32" i="100"/>
  <c r="AA32" i="100"/>
  <c r="AF32" i="100" s="1"/>
  <c r="Z32" i="100"/>
  <c r="V32" i="100"/>
  <c r="T32" i="100"/>
  <c r="P32" i="100"/>
  <c r="N32" i="100"/>
  <c r="J32" i="100"/>
  <c r="H32" i="100"/>
  <c r="F32" i="100"/>
  <c r="AE31" i="100"/>
  <c r="AD31" i="100"/>
  <c r="AF31" i="100" s="1"/>
  <c r="AB31" i="100"/>
  <c r="AG31" i="100" s="1"/>
  <c r="AA31" i="100"/>
  <c r="Z30" i="100"/>
  <c r="Y30" i="100"/>
  <c r="X30" i="100"/>
  <c r="W30" i="100"/>
  <c r="V30" i="100"/>
  <c r="U30" i="100"/>
  <c r="T30" i="100"/>
  <c r="S30" i="100"/>
  <c r="R30" i="100"/>
  <c r="Q30" i="100"/>
  <c r="P30" i="100"/>
  <c r="O30" i="100"/>
  <c r="N30" i="100"/>
  <c r="M30" i="100"/>
  <c r="L30" i="100"/>
  <c r="AB30" i="100" s="1"/>
  <c r="K30" i="100"/>
  <c r="K29" i="100" s="1"/>
  <c r="J30" i="100"/>
  <c r="I30" i="100"/>
  <c r="H30" i="100"/>
  <c r="G30" i="100"/>
  <c r="F30" i="100"/>
  <c r="E30" i="100"/>
  <c r="D30" i="100"/>
  <c r="C30" i="100"/>
  <c r="Z29" i="100"/>
  <c r="Y29" i="100"/>
  <c r="X29" i="100"/>
  <c r="W29" i="100"/>
  <c r="T29" i="100"/>
  <c r="S29" i="100"/>
  <c r="R29" i="100"/>
  <c r="H29" i="100"/>
  <c r="Z28" i="100"/>
  <c r="L28" i="100"/>
  <c r="K28" i="100"/>
  <c r="H28" i="100"/>
  <c r="O26" i="100"/>
  <c r="O27" i="100" s="1"/>
  <c r="AF25" i="100"/>
  <c r="AE25" i="100"/>
  <c r="AD25" i="100"/>
  <c r="AB25" i="100"/>
  <c r="AA25" i="100"/>
  <c r="AE24" i="100"/>
  <c r="AD24" i="100"/>
  <c r="AB24" i="100"/>
  <c r="AG24" i="100" s="1"/>
  <c r="AA24" i="100"/>
  <c r="AF24" i="100" s="1"/>
  <c r="AE23" i="100"/>
  <c r="AD23" i="100"/>
  <c r="AF23" i="100" s="1"/>
  <c r="AB23" i="100"/>
  <c r="AA23" i="100"/>
  <c r="AE22" i="100"/>
  <c r="AD22" i="100"/>
  <c r="AB22" i="100"/>
  <c r="AA22" i="100"/>
  <c r="AE21" i="100"/>
  <c r="AD21" i="100"/>
  <c r="AB21" i="100"/>
  <c r="AG21" i="100" s="1"/>
  <c r="AA21" i="100"/>
  <c r="AF21" i="100" s="1"/>
  <c r="AE20" i="100"/>
  <c r="AD20" i="100"/>
  <c r="AB20" i="100"/>
  <c r="AA20" i="100"/>
  <c r="AF20" i="100" s="1"/>
  <c r="AE19" i="100"/>
  <c r="AD19" i="100"/>
  <c r="AB19" i="100"/>
  <c r="AA19" i="100"/>
  <c r="AE18" i="100"/>
  <c r="AD18" i="100"/>
  <c r="AB18" i="100"/>
  <c r="AA18" i="100"/>
  <c r="AF18" i="100" s="1"/>
  <c r="AE17" i="100"/>
  <c r="AD17" i="100"/>
  <c r="AB17" i="100"/>
  <c r="AA17" i="100"/>
  <c r="AF17" i="100" s="1"/>
  <c r="Z16" i="100"/>
  <c r="Z26" i="100" s="1"/>
  <c r="Z27" i="100" s="1"/>
  <c r="Y16" i="100"/>
  <c r="Y26" i="100" s="1"/>
  <c r="Y27" i="100" s="1"/>
  <c r="X16" i="100"/>
  <c r="X26" i="100" s="1"/>
  <c r="X27" i="100" s="1"/>
  <c r="W16" i="100"/>
  <c r="V16" i="100"/>
  <c r="V26" i="100" s="1"/>
  <c r="V27" i="100" s="1"/>
  <c r="U16" i="100"/>
  <c r="T16" i="100"/>
  <c r="S16" i="100"/>
  <c r="R16" i="100"/>
  <c r="Q16" i="100"/>
  <c r="P16" i="100"/>
  <c r="O16" i="100"/>
  <c r="N16" i="100"/>
  <c r="M16" i="100"/>
  <c r="L16" i="100"/>
  <c r="L26" i="100" s="1"/>
  <c r="L27" i="100" s="1"/>
  <c r="K16" i="100"/>
  <c r="J16" i="100"/>
  <c r="J26" i="100" s="1"/>
  <c r="J27" i="100" s="1"/>
  <c r="I16" i="100"/>
  <c r="I26" i="100" s="1"/>
  <c r="I27" i="100" s="1"/>
  <c r="H16" i="100"/>
  <c r="H26" i="100" s="1"/>
  <c r="H27" i="100" s="1"/>
  <c r="G16" i="100"/>
  <c r="G26" i="100" s="1"/>
  <c r="G27" i="100" s="1"/>
  <c r="F16" i="100"/>
  <c r="F26" i="100" s="1"/>
  <c r="F27" i="100" s="1"/>
  <c r="E16" i="100"/>
  <c r="D16" i="100"/>
  <c r="C16" i="100"/>
  <c r="AG15" i="100"/>
  <c r="AE15" i="100"/>
  <c r="AD15" i="100"/>
  <c r="AB15" i="100"/>
  <c r="AA15" i="100"/>
  <c r="AE14" i="100"/>
  <c r="AD14" i="100"/>
  <c r="AB14" i="100"/>
  <c r="AG14" i="100" s="1"/>
  <c r="AA14" i="100"/>
  <c r="AF14" i="100" s="1"/>
  <c r="AF13" i="100"/>
  <c r="AE13" i="100"/>
  <c r="AD13" i="100"/>
  <c r="AB13" i="100"/>
  <c r="AA13" i="100"/>
  <c r="AE12" i="100"/>
  <c r="AD12" i="100"/>
  <c r="AB12" i="100"/>
  <c r="AG12" i="100" s="1"/>
  <c r="AA12" i="100"/>
  <c r="AE11" i="100"/>
  <c r="AD11" i="100"/>
  <c r="AB11" i="100"/>
  <c r="AA11" i="100"/>
  <c r="AE10" i="100"/>
  <c r="AG10" i="100" s="1"/>
  <c r="AD10" i="100"/>
  <c r="AF10" i="100" s="1"/>
  <c r="AB10" i="100"/>
  <c r="AA10" i="100"/>
  <c r="AE9" i="100"/>
  <c r="AD9" i="100"/>
  <c r="AB9" i="100"/>
  <c r="AG9" i="100" s="1"/>
  <c r="AA9" i="100"/>
  <c r="AF9" i="100" s="1"/>
  <c r="AE8" i="100"/>
  <c r="AD8" i="100"/>
  <c r="AB8" i="100"/>
  <c r="AG8" i="100" s="1"/>
  <c r="AA8" i="100"/>
  <c r="AF8" i="100" s="1"/>
  <c r="AF7" i="100"/>
  <c r="AE7" i="100"/>
  <c r="AG7" i="100" s="1"/>
  <c r="AD7" i="100"/>
  <c r="AB7" i="100"/>
  <c r="AA7" i="100"/>
  <c r="Z6" i="100"/>
  <c r="Z267" i="100" s="1"/>
  <c r="Y6" i="100"/>
  <c r="X6" i="100"/>
  <c r="W6" i="100"/>
  <c r="V6" i="100"/>
  <c r="V28" i="100" s="1"/>
  <c r="U6" i="100"/>
  <c r="T6" i="100"/>
  <c r="S6" i="100"/>
  <c r="R6" i="100"/>
  <c r="Q6" i="100"/>
  <c r="W6" i="106" s="1"/>
  <c r="P6" i="100"/>
  <c r="P28" i="100" s="1"/>
  <c r="O6" i="100"/>
  <c r="T6" i="106" s="1"/>
  <c r="N6" i="100"/>
  <c r="M6" i="100"/>
  <c r="Q6" i="106" s="1"/>
  <c r="L6" i="100"/>
  <c r="K6" i="100"/>
  <c r="N6" i="106" s="1"/>
  <c r="J6" i="100"/>
  <c r="I6" i="100"/>
  <c r="H6" i="100"/>
  <c r="G6" i="100"/>
  <c r="F6" i="100"/>
  <c r="E6" i="100"/>
  <c r="F267" i="100" s="1"/>
  <c r="D6" i="100"/>
  <c r="D28" i="100" s="1"/>
  <c r="C6" i="100"/>
  <c r="B270" i="103"/>
  <c r="AD264" i="103"/>
  <c r="AB264" i="103"/>
  <c r="AA264" i="103"/>
  <c r="AF264" i="103" s="1"/>
  <c r="Z264" i="103"/>
  <c r="R264" i="103"/>
  <c r="P264" i="103"/>
  <c r="N264" i="103"/>
  <c r="AE262" i="103"/>
  <c r="AD262" i="103"/>
  <c r="AB262" i="103"/>
  <c r="AA262" i="103"/>
  <c r="AG260" i="103"/>
  <c r="AE260" i="103"/>
  <c r="AD260" i="103"/>
  <c r="AF260" i="103" s="1"/>
  <c r="AB260" i="103"/>
  <c r="AA260" i="103"/>
  <c r="AE259" i="103"/>
  <c r="AD259" i="103"/>
  <c r="AB259" i="103"/>
  <c r="AG259" i="103" s="1"/>
  <c r="AA259" i="103"/>
  <c r="AF259" i="103" s="1"/>
  <c r="AF257" i="103"/>
  <c r="AE257" i="103"/>
  <c r="AG257" i="103" s="1"/>
  <c r="AD257" i="103"/>
  <c r="AB257" i="103"/>
  <c r="AA257" i="103"/>
  <c r="AE256" i="103"/>
  <c r="AD256" i="103"/>
  <c r="AB256" i="103"/>
  <c r="AG256" i="103" s="1"/>
  <c r="AA256" i="103"/>
  <c r="AF256" i="103" s="1"/>
  <c r="AG255" i="103"/>
  <c r="AE255" i="103"/>
  <c r="AD255" i="103"/>
  <c r="AB255" i="103"/>
  <c r="AA255" i="103"/>
  <c r="AF255" i="103" s="1"/>
  <c r="AE254" i="103"/>
  <c r="AD254" i="103"/>
  <c r="AB254" i="103"/>
  <c r="AG254" i="103" s="1"/>
  <c r="AA254" i="103"/>
  <c r="AF254" i="103" s="1"/>
  <c r="AE253" i="103"/>
  <c r="AD253" i="103"/>
  <c r="AB253" i="103"/>
  <c r="AG253" i="103" s="1"/>
  <c r="AA253" i="103"/>
  <c r="AF253" i="103" s="1"/>
  <c r="AG252" i="103"/>
  <c r="AF252" i="103"/>
  <c r="AE252" i="103"/>
  <c r="AD252" i="103"/>
  <c r="AB252" i="103"/>
  <c r="AA252" i="103"/>
  <c r="AE251" i="103"/>
  <c r="AD251" i="103"/>
  <c r="AB251" i="103"/>
  <c r="AG251" i="103" s="1"/>
  <c r="AA251" i="103"/>
  <c r="AF251" i="103" s="1"/>
  <c r="AE250" i="103"/>
  <c r="AD250" i="103"/>
  <c r="AB250" i="103"/>
  <c r="AG250" i="103" s="1"/>
  <c r="AA250" i="103"/>
  <c r="AF250" i="103" s="1"/>
  <c r="AG249" i="103"/>
  <c r="AE249" i="103"/>
  <c r="AD249" i="103"/>
  <c r="AB249" i="103"/>
  <c r="AA249" i="103"/>
  <c r="AF249" i="103" s="1"/>
  <c r="AE248" i="103"/>
  <c r="AD248" i="103"/>
  <c r="AB248" i="103"/>
  <c r="AG248" i="103" s="1"/>
  <c r="AA248" i="103"/>
  <c r="AF248" i="103" s="1"/>
  <c r="AE247" i="103"/>
  <c r="AG247" i="103" s="1"/>
  <c r="AD247" i="103"/>
  <c r="AF247" i="103" s="1"/>
  <c r="AB247" i="103"/>
  <c r="AA247" i="103"/>
  <c r="AE246" i="103"/>
  <c r="AD246" i="103"/>
  <c r="AB246" i="103"/>
  <c r="AG246" i="103" s="1"/>
  <c r="AA246" i="103"/>
  <c r="AE245" i="103"/>
  <c r="AD245" i="103"/>
  <c r="AB245" i="103"/>
  <c r="AG245" i="103" s="1"/>
  <c r="AA245" i="103"/>
  <c r="AF245" i="103" s="1"/>
  <c r="AF244" i="103"/>
  <c r="AE244" i="103"/>
  <c r="AG244" i="103" s="1"/>
  <c r="AD244" i="103"/>
  <c r="AB244" i="103"/>
  <c r="AA244" i="103"/>
  <c r="AE243" i="103"/>
  <c r="AD243" i="103"/>
  <c r="AF243" i="103" s="1"/>
  <c r="AB243" i="103"/>
  <c r="AA243" i="103"/>
  <c r="AE242" i="103"/>
  <c r="AD242" i="103"/>
  <c r="AB242" i="103"/>
  <c r="AG242" i="103" s="1"/>
  <c r="AA242" i="103"/>
  <c r="AF242" i="103" s="1"/>
  <c r="AG241" i="103"/>
  <c r="AE241" i="103"/>
  <c r="AD241" i="103"/>
  <c r="AB241" i="103"/>
  <c r="AA241" i="103"/>
  <c r="AF241" i="103" s="1"/>
  <c r="AG240" i="103"/>
  <c r="AF240" i="103"/>
  <c r="AE240" i="103"/>
  <c r="AD240" i="103"/>
  <c r="AB240" i="103"/>
  <c r="AA240" i="103"/>
  <c r="AE239" i="103"/>
  <c r="AD239" i="103"/>
  <c r="AB239" i="103"/>
  <c r="AG239" i="103" s="1"/>
  <c r="AA239" i="103"/>
  <c r="AE238" i="103"/>
  <c r="AD238" i="103"/>
  <c r="AB238" i="103"/>
  <c r="AG238" i="103" s="1"/>
  <c r="AA238" i="103"/>
  <c r="AF238" i="103" s="1"/>
  <c r="AG237" i="103"/>
  <c r="AF237" i="103"/>
  <c r="AE237" i="103"/>
  <c r="AD237" i="103"/>
  <c r="AB237" i="103"/>
  <c r="AA237" i="103"/>
  <c r="AE236" i="103"/>
  <c r="AD236" i="103"/>
  <c r="AF236" i="103" s="1"/>
  <c r="AB236" i="103"/>
  <c r="AG236" i="103" s="1"/>
  <c r="AA236" i="103"/>
  <c r="AE235" i="103"/>
  <c r="AD235" i="103"/>
  <c r="AB235" i="103"/>
  <c r="AG235" i="103" s="1"/>
  <c r="AA235" i="103"/>
  <c r="AG234" i="103"/>
  <c r="AF234" i="103"/>
  <c r="AE234" i="103"/>
  <c r="AD234" i="103"/>
  <c r="AB234" i="103"/>
  <c r="AA234" i="103"/>
  <c r="AF233" i="103"/>
  <c r="AE233" i="103"/>
  <c r="AG233" i="103" s="1"/>
  <c r="AD233" i="103"/>
  <c r="AB233" i="103"/>
  <c r="AA233" i="103"/>
  <c r="AF232" i="103"/>
  <c r="AE232" i="103"/>
  <c r="AD232" i="103"/>
  <c r="AB232" i="103"/>
  <c r="AG232" i="103" s="1"/>
  <c r="AA232" i="103"/>
  <c r="AG231" i="103"/>
  <c r="AE231" i="103"/>
  <c r="AD231" i="103"/>
  <c r="AB231" i="103"/>
  <c r="AA231" i="103"/>
  <c r="AF231" i="103" s="1"/>
  <c r="AG230" i="103"/>
  <c r="AE230" i="103"/>
  <c r="AD230" i="103"/>
  <c r="AB230" i="103"/>
  <c r="AA230" i="103"/>
  <c r="AG229" i="103"/>
  <c r="AF229" i="103"/>
  <c r="AE229" i="103"/>
  <c r="AD229" i="103"/>
  <c r="AB229" i="103"/>
  <c r="AA229" i="103"/>
  <c r="AE228" i="103"/>
  <c r="AD228" i="103"/>
  <c r="AF228" i="103" s="1"/>
  <c r="AB228" i="103"/>
  <c r="AG228" i="103" s="1"/>
  <c r="AA228" i="103"/>
  <c r="AE227" i="103"/>
  <c r="AD227" i="103"/>
  <c r="AB227" i="103"/>
  <c r="AA227" i="103"/>
  <c r="AF227" i="103" s="1"/>
  <c r="AE226" i="103"/>
  <c r="AG226" i="103" s="1"/>
  <c r="AD226" i="103"/>
  <c r="AF226" i="103" s="1"/>
  <c r="AB226" i="103"/>
  <c r="AA226" i="103"/>
  <c r="AE225" i="103"/>
  <c r="AG225" i="103" s="1"/>
  <c r="AD225" i="103"/>
  <c r="AB225" i="103"/>
  <c r="AA225" i="103"/>
  <c r="AF225" i="103" s="1"/>
  <c r="AE224" i="103"/>
  <c r="AD224" i="103"/>
  <c r="AB224" i="103"/>
  <c r="AG224" i="103" s="1"/>
  <c r="AA224" i="103"/>
  <c r="AF224" i="103" s="1"/>
  <c r="AE223" i="103"/>
  <c r="AD223" i="103"/>
  <c r="AF223" i="103" s="1"/>
  <c r="AB223" i="103"/>
  <c r="AG223" i="103" s="1"/>
  <c r="AA223" i="103"/>
  <c r="AE222" i="103"/>
  <c r="AD222" i="103"/>
  <c r="AB222" i="103"/>
  <c r="AG222" i="103" s="1"/>
  <c r="AA222" i="103"/>
  <c r="AE221" i="103"/>
  <c r="AD221" i="103"/>
  <c r="AB221" i="103"/>
  <c r="AG221" i="103" s="1"/>
  <c r="AA221" i="103"/>
  <c r="AF221" i="103" s="1"/>
  <c r="AE220" i="103"/>
  <c r="AD220" i="103"/>
  <c r="AF220" i="103" s="1"/>
  <c r="AB220" i="103"/>
  <c r="AG220" i="103" s="1"/>
  <c r="AA220" i="103"/>
  <c r="AE219" i="103"/>
  <c r="AD219" i="103"/>
  <c r="AF219" i="103" s="1"/>
  <c r="AB219" i="103"/>
  <c r="AA219" i="103"/>
  <c r="AE218" i="103"/>
  <c r="AD218" i="103"/>
  <c r="AB218" i="103"/>
  <c r="AG218" i="103" s="1"/>
  <c r="AA218" i="103"/>
  <c r="AF218" i="103" s="1"/>
  <c r="AE217" i="103"/>
  <c r="AG217" i="103" s="1"/>
  <c r="AD217" i="103"/>
  <c r="AB217" i="103"/>
  <c r="AA217" i="103"/>
  <c r="AF217" i="103" s="1"/>
  <c r="AG216" i="103"/>
  <c r="AE216" i="103"/>
  <c r="AD216" i="103"/>
  <c r="AB216" i="103"/>
  <c r="AA216" i="103"/>
  <c r="AF216" i="103" s="1"/>
  <c r="AE215" i="103"/>
  <c r="AD215" i="103"/>
  <c r="AB215" i="103"/>
  <c r="AG215" i="103" s="1"/>
  <c r="AA215" i="103"/>
  <c r="AF215" i="103" s="1"/>
  <c r="AE214" i="103"/>
  <c r="AD214" i="103"/>
  <c r="AB214" i="103"/>
  <c r="AG214" i="103" s="1"/>
  <c r="AA214" i="103"/>
  <c r="AE213" i="103"/>
  <c r="AD213" i="103"/>
  <c r="AB213" i="103"/>
  <c r="AG213" i="103" s="1"/>
  <c r="AA213" i="103"/>
  <c r="AF213" i="103" s="1"/>
  <c r="AF212" i="103"/>
  <c r="AD212" i="103"/>
  <c r="AA212" i="103"/>
  <c r="Z212" i="103"/>
  <c r="X212" i="103"/>
  <c r="V212" i="103"/>
  <c r="T212" i="103"/>
  <c r="AE212" i="103" s="1"/>
  <c r="R212" i="103"/>
  <c r="P212" i="103"/>
  <c r="N212" i="103"/>
  <c r="L212" i="103"/>
  <c r="J212" i="103"/>
  <c r="H212" i="103"/>
  <c r="F212" i="103"/>
  <c r="AG211" i="103"/>
  <c r="AE211" i="103"/>
  <c r="AD211" i="103"/>
  <c r="AF211" i="103" s="1"/>
  <c r="AB211" i="103"/>
  <c r="AA211" i="103"/>
  <c r="AF210" i="103"/>
  <c r="AE210" i="103"/>
  <c r="AG210" i="103" s="1"/>
  <c r="AD210" i="103"/>
  <c r="AB210" i="103"/>
  <c r="AA210" i="103"/>
  <c r="AE209" i="103"/>
  <c r="AD209" i="103"/>
  <c r="AB209" i="103"/>
  <c r="AG209" i="103" s="1"/>
  <c r="AA209" i="103"/>
  <c r="AF209" i="103" s="1"/>
  <c r="AG208" i="103"/>
  <c r="AE208" i="103"/>
  <c r="AD208" i="103"/>
  <c r="AB208" i="103"/>
  <c r="AA208" i="103"/>
  <c r="AF208" i="103" s="1"/>
  <c r="AG207" i="103"/>
  <c r="AF207" i="103"/>
  <c r="AE207" i="103"/>
  <c r="AD207" i="103"/>
  <c r="AB207" i="103"/>
  <c r="AA207" i="103"/>
  <c r="AE206" i="103"/>
  <c r="AD206" i="103"/>
  <c r="AB206" i="103"/>
  <c r="AG206" i="103" s="1"/>
  <c r="AA206" i="103"/>
  <c r="AF206" i="103" s="1"/>
  <c r="AE205" i="103"/>
  <c r="AD205" i="103"/>
  <c r="AB205" i="103"/>
  <c r="AA205" i="103"/>
  <c r="AF205" i="103" s="1"/>
  <c r="AG204" i="103"/>
  <c r="AF204" i="103"/>
  <c r="AE204" i="103"/>
  <c r="AD204" i="103"/>
  <c r="AB204" i="103"/>
  <c r="AA204" i="103"/>
  <c r="AE203" i="103"/>
  <c r="AG203" i="103" s="1"/>
  <c r="AD203" i="103"/>
  <c r="AF203" i="103" s="1"/>
  <c r="AB203" i="103"/>
  <c r="AA203" i="103"/>
  <c r="AF202" i="103"/>
  <c r="AE202" i="103"/>
  <c r="AG202" i="103" s="1"/>
  <c r="AD202" i="103"/>
  <c r="AB202" i="103"/>
  <c r="AA202" i="103"/>
  <c r="AE201" i="103"/>
  <c r="AD201" i="103"/>
  <c r="AB201" i="103"/>
  <c r="AG201" i="103" s="1"/>
  <c r="AA201" i="103"/>
  <c r="AF201" i="103" s="1"/>
  <c r="AD200" i="103"/>
  <c r="AA200" i="103"/>
  <c r="AF200" i="103" s="1"/>
  <c r="Z200" i="103"/>
  <c r="X200" i="103"/>
  <c r="V200" i="103"/>
  <c r="T200" i="103"/>
  <c r="R200" i="103"/>
  <c r="AB200" i="103" s="1"/>
  <c r="P200" i="103"/>
  <c r="N200" i="103"/>
  <c r="L200" i="103"/>
  <c r="J200" i="103"/>
  <c r="H200" i="103"/>
  <c r="F200" i="103"/>
  <c r="AE199" i="103"/>
  <c r="AD199" i="103"/>
  <c r="AB199" i="103"/>
  <c r="AG199" i="103" s="1"/>
  <c r="AA199" i="103"/>
  <c r="AF199" i="103" s="1"/>
  <c r="AE198" i="103"/>
  <c r="AD198" i="103"/>
  <c r="AF198" i="103" s="1"/>
  <c r="AB198" i="103"/>
  <c r="AG198" i="103" s="1"/>
  <c r="AA198" i="103"/>
  <c r="AE197" i="103"/>
  <c r="AD197" i="103"/>
  <c r="AF197" i="103" s="1"/>
  <c r="AB197" i="103"/>
  <c r="AA197" i="103"/>
  <c r="AE196" i="103"/>
  <c r="AD196" i="103"/>
  <c r="AB196" i="103"/>
  <c r="AG196" i="103" s="1"/>
  <c r="AA196" i="103"/>
  <c r="AF196" i="103" s="1"/>
  <c r="AE195" i="103"/>
  <c r="AG195" i="103" s="1"/>
  <c r="AD195" i="103"/>
  <c r="AF195" i="103" s="1"/>
  <c r="AB195" i="103"/>
  <c r="AA195" i="103"/>
  <c r="AF194" i="103"/>
  <c r="AE194" i="103"/>
  <c r="AG194" i="103" s="1"/>
  <c r="AD194" i="103"/>
  <c r="AB194" i="103"/>
  <c r="AA194" i="103"/>
  <c r="AE193" i="103"/>
  <c r="AD193" i="103"/>
  <c r="AB193" i="103"/>
  <c r="AG193" i="103" s="1"/>
  <c r="AA193" i="103"/>
  <c r="AF193" i="103" s="1"/>
  <c r="AG192" i="103"/>
  <c r="AE192" i="103"/>
  <c r="AD192" i="103"/>
  <c r="AB192" i="103"/>
  <c r="AA192" i="103"/>
  <c r="AF192" i="103" s="1"/>
  <c r="AG191" i="103"/>
  <c r="AE191" i="103"/>
  <c r="AD191" i="103"/>
  <c r="AB191" i="103"/>
  <c r="AA191" i="103"/>
  <c r="AF191" i="103" s="1"/>
  <c r="AE190" i="103"/>
  <c r="AD190" i="103"/>
  <c r="AB190" i="103"/>
  <c r="AG190" i="103" s="1"/>
  <c r="AA190" i="103"/>
  <c r="AF190" i="103" s="1"/>
  <c r="AF189" i="103"/>
  <c r="AD189" i="103"/>
  <c r="AB189" i="103"/>
  <c r="AG189" i="103" s="1"/>
  <c r="AA189" i="103"/>
  <c r="Z189" i="103"/>
  <c r="X189" i="103"/>
  <c r="V189" i="103"/>
  <c r="T189" i="103"/>
  <c r="R189" i="103"/>
  <c r="P189" i="103"/>
  <c r="N189" i="103"/>
  <c r="L189" i="103"/>
  <c r="J189" i="103"/>
  <c r="H189" i="103"/>
  <c r="F189" i="103"/>
  <c r="AE189" i="103" s="1"/>
  <c r="AG188" i="103"/>
  <c r="AE188" i="103"/>
  <c r="AD188" i="103"/>
  <c r="AF188" i="103" s="1"/>
  <c r="AB188" i="103"/>
  <c r="AA188" i="103"/>
  <c r="AG187" i="103"/>
  <c r="AE187" i="103"/>
  <c r="AD187" i="103"/>
  <c r="AB187" i="103"/>
  <c r="AA187" i="103"/>
  <c r="AF187" i="103" s="1"/>
  <c r="AE186" i="103"/>
  <c r="AG186" i="103" s="1"/>
  <c r="AD186" i="103"/>
  <c r="AF186" i="103" s="1"/>
  <c r="AB186" i="103"/>
  <c r="AA186" i="103"/>
  <c r="AE185" i="103"/>
  <c r="AD185" i="103"/>
  <c r="AB185" i="103"/>
  <c r="AG185" i="103" s="1"/>
  <c r="AA185" i="103"/>
  <c r="AF185" i="103" s="1"/>
  <c r="AE184" i="103"/>
  <c r="AD184" i="103"/>
  <c r="AB184" i="103"/>
  <c r="AG184" i="103" s="1"/>
  <c r="AA184" i="103"/>
  <c r="AF184" i="103" s="1"/>
  <c r="AG183" i="103"/>
  <c r="AF183" i="103"/>
  <c r="AE183" i="103"/>
  <c r="AD183" i="103"/>
  <c r="AB183" i="103"/>
  <c r="AA183" i="103"/>
  <c r="AE182" i="103"/>
  <c r="AD182" i="103"/>
  <c r="AB182" i="103"/>
  <c r="AG182" i="103" s="1"/>
  <c r="AA182" i="103"/>
  <c r="AF182" i="103" s="1"/>
  <c r="AE181" i="103"/>
  <c r="AD181" i="103"/>
  <c r="AB181" i="103"/>
  <c r="AG181" i="103" s="1"/>
  <c r="AA181" i="103"/>
  <c r="AF181" i="103" s="1"/>
  <c r="AF180" i="103"/>
  <c r="AD180" i="103"/>
  <c r="AA180" i="103"/>
  <c r="Z180" i="103"/>
  <c r="X180" i="103"/>
  <c r="X176" i="103" s="1"/>
  <c r="V180" i="103"/>
  <c r="V176" i="103" s="1"/>
  <c r="T180" i="103"/>
  <c r="R180" i="103"/>
  <c r="P180" i="103"/>
  <c r="N180" i="103"/>
  <c r="L180" i="103"/>
  <c r="J180" i="103"/>
  <c r="H180" i="103"/>
  <c r="F180" i="103"/>
  <c r="AG179" i="103"/>
  <c r="AE179" i="103"/>
  <c r="AD179" i="103"/>
  <c r="AB179" i="103"/>
  <c r="AA179" i="103"/>
  <c r="AF179" i="103" s="1"/>
  <c r="AF178" i="103"/>
  <c r="AE178" i="103"/>
  <c r="AG178" i="103" s="1"/>
  <c r="AD178" i="103"/>
  <c r="AB178" i="103"/>
  <c r="AA178" i="103"/>
  <c r="AD177" i="103"/>
  <c r="AA177" i="103"/>
  <c r="AF177" i="103" s="1"/>
  <c r="Z177" i="103"/>
  <c r="X177" i="103"/>
  <c r="V177" i="103"/>
  <c r="T177" i="103"/>
  <c r="R177" i="103"/>
  <c r="R176" i="103" s="1"/>
  <c r="P177" i="103"/>
  <c r="P176" i="103" s="1"/>
  <c r="N177" i="103"/>
  <c r="N176" i="103" s="1"/>
  <c r="L177" i="103"/>
  <c r="L176" i="103" s="1"/>
  <c r="J177" i="103"/>
  <c r="H177" i="103"/>
  <c r="F177" i="103"/>
  <c r="AD176" i="103"/>
  <c r="AF176" i="103" s="1"/>
  <c r="AA176" i="103"/>
  <c r="H176" i="103"/>
  <c r="F176" i="103"/>
  <c r="AG175" i="103"/>
  <c r="AE175" i="103"/>
  <c r="AD175" i="103"/>
  <c r="AF175" i="103" s="1"/>
  <c r="AB175" i="103"/>
  <c r="AA175" i="103"/>
  <c r="AE174" i="103"/>
  <c r="AD174" i="103"/>
  <c r="AB174" i="103"/>
  <c r="AG174" i="103" s="1"/>
  <c r="AA174" i="103"/>
  <c r="AF174" i="103" s="1"/>
  <c r="AE173" i="103"/>
  <c r="AD173" i="103"/>
  <c r="AB173" i="103"/>
  <c r="AG173" i="103" s="1"/>
  <c r="AA173" i="103"/>
  <c r="AF173" i="103" s="1"/>
  <c r="AG172" i="103"/>
  <c r="AF172" i="103"/>
  <c r="AE172" i="103"/>
  <c r="AD172" i="103"/>
  <c r="AB172" i="103"/>
  <c r="AA172" i="103"/>
  <c r="AE171" i="103"/>
  <c r="AD171" i="103"/>
  <c r="AB171" i="103"/>
  <c r="AG171" i="103" s="1"/>
  <c r="AA171" i="103"/>
  <c r="AF171" i="103" s="1"/>
  <c r="AE170" i="103"/>
  <c r="AD170" i="103"/>
  <c r="AB170" i="103"/>
  <c r="AG170" i="103" s="1"/>
  <c r="AA170" i="103"/>
  <c r="AF170" i="103" s="1"/>
  <c r="AG169" i="103"/>
  <c r="AE169" i="103"/>
  <c r="AD169" i="103"/>
  <c r="AB169" i="103"/>
  <c r="AA169" i="103"/>
  <c r="AE168" i="103"/>
  <c r="AD168" i="103"/>
  <c r="AB168" i="103"/>
  <c r="AG168" i="103" s="1"/>
  <c r="AA168" i="103"/>
  <c r="AF168" i="103" s="1"/>
  <c r="AE167" i="103"/>
  <c r="AD167" i="103"/>
  <c r="AF167" i="103" s="1"/>
  <c r="AB167" i="103"/>
  <c r="AG167" i="103" s="1"/>
  <c r="AA167" i="103"/>
  <c r="AF166" i="103"/>
  <c r="AE166" i="103"/>
  <c r="AD166" i="103"/>
  <c r="AB166" i="103"/>
  <c r="AA166" i="103"/>
  <c r="AE165" i="103"/>
  <c r="AD165" i="103"/>
  <c r="AB165" i="103"/>
  <c r="AG165" i="103" s="1"/>
  <c r="AA165" i="103"/>
  <c r="AF165" i="103" s="1"/>
  <c r="AG164" i="103"/>
  <c r="AE164" i="103"/>
  <c r="AD164" i="103"/>
  <c r="AB164" i="103"/>
  <c r="AA164" i="103"/>
  <c r="AF164" i="103" s="1"/>
  <c r="AE163" i="103"/>
  <c r="AD163" i="103"/>
  <c r="AB163" i="103"/>
  <c r="AG163" i="103" s="1"/>
  <c r="AA163" i="103"/>
  <c r="AF163" i="103" s="1"/>
  <c r="AE162" i="103"/>
  <c r="AD162" i="103"/>
  <c r="AB162" i="103"/>
  <c r="AG162" i="103" s="1"/>
  <c r="AA162" i="103"/>
  <c r="AF162" i="103" s="1"/>
  <c r="AG161" i="103"/>
  <c r="AE161" i="103"/>
  <c r="AD161" i="103"/>
  <c r="AB161" i="103"/>
  <c r="AA161" i="103"/>
  <c r="AE160" i="103"/>
  <c r="AD160" i="103"/>
  <c r="AB160" i="103"/>
  <c r="AG160" i="103" s="1"/>
  <c r="AA160" i="103"/>
  <c r="AF160" i="103" s="1"/>
  <c r="AE159" i="103"/>
  <c r="AD159" i="103"/>
  <c r="AF159" i="103" s="1"/>
  <c r="AB159" i="103"/>
  <c r="AG159" i="103" s="1"/>
  <c r="AA159" i="103"/>
  <c r="AE158" i="103"/>
  <c r="AD158" i="103"/>
  <c r="AF158" i="103" s="1"/>
  <c r="AB158" i="103"/>
  <c r="AG158" i="103" s="1"/>
  <c r="AA158" i="103"/>
  <c r="AE157" i="103"/>
  <c r="AD157" i="103"/>
  <c r="AB157" i="103"/>
  <c r="AA157" i="103"/>
  <c r="AF157" i="103" s="1"/>
  <c r="AE156" i="103"/>
  <c r="AG156" i="103" s="1"/>
  <c r="AD156" i="103"/>
  <c r="AB156" i="103"/>
  <c r="AA156" i="103"/>
  <c r="AF156" i="103" s="1"/>
  <c r="AF155" i="103"/>
  <c r="AE155" i="103"/>
  <c r="AG155" i="103" s="1"/>
  <c r="AD155" i="103"/>
  <c r="AB155" i="103"/>
  <c r="AA155" i="103"/>
  <c r="AG154" i="103"/>
  <c r="AE154" i="103"/>
  <c r="AD154" i="103"/>
  <c r="AB154" i="103"/>
  <c r="AA154" i="103"/>
  <c r="AF154" i="103" s="1"/>
  <c r="AE153" i="103"/>
  <c r="AD153" i="103"/>
  <c r="AB153" i="103"/>
  <c r="AG153" i="103" s="1"/>
  <c r="AA153" i="103"/>
  <c r="AF153" i="103" s="1"/>
  <c r="AG152" i="103"/>
  <c r="AE152" i="103"/>
  <c r="AD152" i="103"/>
  <c r="AB152" i="103"/>
  <c r="AA152" i="103"/>
  <c r="AF152" i="103" s="1"/>
  <c r="AE151" i="103"/>
  <c r="AD151" i="103"/>
  <c r="AF151" i="103" s="1"/>
  <c r="AB151" i="103"/>
  <c r="AG151" i="103" s="1"/>
  <c r="AA151" i="103"/>
  <c r="AE150" i="103"/>
  <c r="AD150" i="103"/>
  <c r="AB150" i="103"/>
  <c r="AA150" i="103"/>
  <c r="AF150" i="103" s="1"/>
  <c r="AE149" i="103"/>
  <c r="AD149" i="103"/>
  <c r="AB149" i="103"/>
  <c r="AG149" i="103" s="1"/>
  <c r="AA149" i="103"/>
  <c r="AF149" i="103" s="1"/>
  <c r="AE148" i="103"/>
  <c r="AG148" i="103" s="1"/>
  <c r="AD148" i="103"/>
  <c r="AB148" i="103"/>
  <c r="AA148" i="103"/>
  <c r="AF148" i="103" s="1"/>
  <c r="AF147" i="103"/>
  <c r="AE147" i="103"/>
  <c r="AD147" i="103"/>
  <c r="AB147" i="103"/>
  <c r="AA147" i="103"/>
  <c r="AE146" i="103"/>
  <c r="AD146" i="103"/>
  <c r="AB146" i="103"/>
  <c r="AG146" i="103" s="1"/>
  <c r="AA146" i="103"/>
  <c r="AF146" i="103" s="1"/>
  <c r="AE145" i="103"/>
  <c r="AD145" i="103"/>
  <c r="AB145" i="103"/>
  <c r="AG145" i="103" s="1"/>
  <c r="AA145" i="103"/>
  <c r="AF145" i="103" s="1"/>
  <c r="AE144" i="103"/>
  <c r="AG144" i="103" s="1"/>
  <c r="AD144" i="103"/>
  <c r="AF144" i="103" s="1"/>
  <c r="AB144" i="103"/>
  <c r="AA144" i="103"/>
  <c r="AF143" i="103"/>
  <c r="AE143" i="103"/>
  <c r="AD143" i="103"/>
  <c r="AB143" i="103"/>
  <c r="AA143" i="103"/>
  <c r="AE142" i="103"/>
  <c r="AD142" i="103"/>
  <c r="AB142" i="103"/>
  <c r="AG142" i="103" s="1"/>
  <c r="AA142" i="103"/>
  <c r="AF142" i="103" s="1"/>
  <c r="AF141" i="103"/>
  <c r="AE141" i="103"/>
  <c r="AG141" i="103" s="1"/>
  <c r="AD141" i="103"/>
  <c r="AB141" i="103"/>
  <c r="AA141" i="103"/>
  <c r="AF140" i="103"/>
  <c r="AE140" i="103"/>
  <c r="AG140" i="103" s="1"/>
  <c r="AD140" i="103"/>
  <c r="AB140" i="103"/>
  <c r="AA140" i="103"/>
  <c r="AE139" i="103"/>
  <c r="AD139" i="103"/>
  <c r="AB139" i="103"/>
  <c r="AG139" i="103" s="1"/>
  <c r="AA139" i="103"/>
  <c r="AF139" i="103" s="1"/>
  <c r="AD138" i="103"/>
  <c r="AA138" i="103"/>
  <c r="AF138" i="103" s="1"/>
  <c r="Z138" i="103"/>
  <c r="X138" i="103"/>
  <c r="V138" i="103"/>
  <c r="T138" i="103"/>
  <c r="R138" i="103"/>
  <c r="R102" i="103" s="1"/>
  <c r="P138" i="103"/>
  <c r="N138" i="103"/>
  <c r="L138" i="103"/>
  <c r="J138" i="103"/>
  <c r="H138" i="103"/>
  <c r="F138" i="103"/>
  <c r="AE137" i="103"/>
  <c r="AD137" i="103"/>
  <c r="AB137" i="103"/>
  <c r="AG137" i="103" s="1"/>
  <c r="AA137" i="103"/>
  <c r="AF137" i="103" s="1"/>
  <c r="AE136" i="103"/>
  <c r="AD136" i="103"/>
  <c r="AB136" i="103"/>
  <c r="AG136" i="103" s="1"/>
  <c r="AA136" i="103"/>
  <c r="AF136" i="103" s="1"/>
  <c r="AG135" i="103"/>
  <c r="AF135" i="103"/>
  <c r="AE135" i="103"/>
  <c r="AD135" i="103"/>
  <c r="AB135" i="103"/>
  <c r="AA135" i="103"/>
  <c r="AG134" i="103"/>
  <c r="AE134" i="103"/>
  <c r="AD134" i="103"/>
  <c r="AF134" i="103" s="1"/>
  <c r="AB134" i="103"/>
  <c r="AA134" i="103"/>
  <c r="AE133" i="103"/>
  <c r="AD133" i="103"/>
  <c r="AB133" i="103"/>
  <c r="AG133" i="103" s="1"/>
  <c r="AA133" i="103"/>
  <c r="AF133" i="103" s="1"/>
  <c r="AG132" i="103"/>
  <c r="AE132" i="103"/>
  <c r="AD132" i="103"/>
  <c r="AF132" i="103" s="1"/>
  <c r="AB132" i="103"/>
  <c r="AA132" i="103"/>
  <c r="AE131" i="103"/>
  <c r="AD131" i="103"/>
  <c r="AB131" i="103"/>
  <c r="AG131" i="103" s="1"/>
  <c r="AA131" i="103"/>
  <c r="AF131" i="103" s="1"/>
  <c r="AE130" i="103"/>
  <c r="AD130" i="103"/>
  <c r="AB130" i="103"/>
  <c r="AG130" i="103" s="1"/>
  <c r="AA130" i="103"/>
  <c r="AF130" i="103" s="1"/>
  <c r="AG129" i="103"/>
  <c r="AE129" i="103"/>
  <c r="AD129" i="103"/>
  <c r="AB129" i="103"/>
  <c r="AA129" i="103"/>
  <c r="AF129" i="103" s="1"/>
  <c r="AE128" i="103"/>
  <c r="AD128" i="103"/>
  <c r="AB128" i="103"/>
  <c r="AG128" i="103" s="1"/>
  <c r="AA128" i="103"/>
  <c r="AF128" i="103" s="1"/>
  <c r="AE127" i="103"/>
  <c r="AD127" i="103"/>
  <c r="AB127" i="103"/>
  <c r="AG127" i="103" s="1"/>
  <c r="AA127" i="103"/>
  <c r="AF127" i="103" s="1"/>
  <c r="AF126" i="103"/>
  <c r="AD126" i="103"/>
  <c r="AA126" i="103"/>
  <c r="Z126" i="103"/>
  <c r="X126" i="103"/>
  <c r="V126" i="103"/>
  <c r="T126" i="103"/>
  <c r="R126" i="103"/>
  <c r="P126" i="103"/>
  <c r="N126" i="103"/>
  <c r="L126" i="103"/>
  <c r="J126" i="103"/>
  <c r="H126" i="103"/>
  <c r="F126" i="103"/>
  <c r="AG125" i="103"/>
  <c r="AE125" i="103"/>
  <c r="AD125" i="103"/>
  <c r="AB125" i="103"/>
  <c r="AA125" i="103"/>
  <c r="AF125" i="103" s="1"/>
  <c r="AE124" i="103"/>
  <c r="AD124" i="103"/>
  <c r="AB124" i="103"/>
  <c r="AA124" i="103"/>
  <c r="AE123" i="103"/>
  <c r="AD123" i="103"/>
  <c r="AF123" i="103" s="1"/>
  <c r="AB123" i="103"/>
  <c r="AG123" i="103" s="1"/>
  <c r="AA123" i="103"/>
  <c r="AE122" i="103"/>
  <c r="AD122" i="103"/>
  <c r="AB122" i="103"/>
  <c r="AG122" i="103" s="1"/>
  <c r="AA122" i="103"/>
  <c r="AF122" i="103" s="1"/>
  <c r="AE121" i="103"/>
  <c r="AD121" i="103"/>
  <c r="AB121" i="103"/>
  <c r="AA121" i="103"/>
  <c r="AE120" i="103"/>
  <c r="AD120" i="103"/>
  <c r="AF120" i="103" s="1"/>
  <c r="AB120" i="103"/>
  <c r="AG120" i="103" s="1"/>
  <c r="AA120" i="103"/>
  <c r="AE119" i="103"/>
  <c r="AD119" i="103"/>
  <c r="AB119" i="103"/>
  <c r="AG119" i="103" s="1"/>
  <c r="AA119" i="103"/>
  <c r="AF119" i="103" s="1"/>
  <c r="AE118" i="103"/>
  <c r="AD118" i="103"/>
  <c r="AB118" i="103"/>
  <c r="AG118" i="103" s="1"/>
  <c r="AA118" i="103"/>
  <c r="AF118" i="103" s="1"/>
  <c r="AG117" i="103"/>
  <c r="AF117" i="103"/>
  <c r="AE117" i="103"/>
  <c r="AD117" i="103"/>
  <c r="AB117" i="103"/>
  <c r="AA117" i="103"/>
  <c r="AE116" i="103"/>
  <c r="AD116" i="103"/>
  <c r="AB116" i="103"/>
  <c r="AG116" i="103" s="1"/>
  <c r="AA116" i="103"/>
  <c r="AF116" i="103" s="1"/>
  <c r="AD115" i="103"/>
  <c r="AA115" i="103"/>
  <c r="AF115" i="103" s="1"/>
  <c r="Z115" i="103"/>
  <c r="Z102" i="103" s="1"/>
  <c r="X115" i="103"/>
  <c r="V115" i="103"/>
  <c r="T115" i="103"/>
  <c r="R115" i="103"/>
  <c r="P115" i="103"/>
  <c r="N115" i="103"/>
  <c r="L115" i="103"/>
  <c r="J115" i="103"/>
  <c r="H115" i="103"/>
  <c r="F115" i="103"/>
  <c r="AE114" i="103"/>
  <c r="AD114" i="103"/>
  <c r="AB114" i="103"/>
  <c r="AG114" i="103" s="1"/>
  <c r="AA114" i="103"/>
  <c r="AF114" i="103" s="1"/>
  <c r="AE113" i="103"/>
  <c r="AD113" i="103"/>
  <c r="AB113" i="103"/>
  <c r="AA113" i="103"/>
  <c r="AE112" i="103"/>
  <c r="AD112" i="103"/>
  <c r="AB112" i="103"/>
  <c r="AG112" i="103" s="1"/>
  <c r="AA112" i="103"/>
  <c r="AF112" i="103" s="1"/>
  <c r="AE111" i="103"/>
  <c r="AG111" i="103" s="1"/>
  <c r="AD111" i="103"/>
  <c r="AF111" i="103" s="1"/>
  <c r="AB111" i="103"/>
  <c r="AA111" i="103"/>
  <c r="AG110" i="103"/>
  <c r="AE110" i="103"/>
  <c r="AD110" i="103"/>
  <c r="AB110" i="103"/>
  <c r="AA110" i="103"/>
  <c r="AF110" i="103" s="1"/>
  <c r="AE109" i="103"/>
  <c r="AD109" i="103"/>
  <c r="AB109" i="103"/>
  <c r="AG109" i="103" s="1"/>
  <c r="AA109" i="103"/>
  <c r="AF109" i="103" s="1"/>
  <c r="AF108" i="103"/>
  <c r="AE108" i="103"/>
  <c r="AD108" i="103"/>
  <c r="AB108" i="103"/>
  <c r="AG108" i="103" s="1"/>
  <c r="AA108" i="103"/>
  <c r="AE107" i="103"/>
  <c r="AD107" i="103"/>
  <c r="AB107" i="103"/>
  <c r="AA107" i="103"/>
  <c r="AD106" i="103"/>
  <c r="AA106" i="103"/>
  <c r="AF106" i="103" s="1"/>
  <c r="Z106" i="103"/>
  <c r="X106" i="103"/>
  <c r="V106" i="103"/>
  <c r="T106" i="103"/>
  <c r="R106" i="103"/>
  <c r="P106" i="103"/>
  <c r="N106" i="103"/>
  <c r="L106" i="103"/>
  <c r="J106" i="103"/>
  <c r="H106" i="103"/>
  <c r="F106" i="103"/>
  <c r="AE105" i="103"/>
  <c r="AD105" i="103"/>
  <c r="AF105" i="103" s="1"/>
  <c r="AB105" i="103"/>
  <c r="AG105" i="103" s="1"/>
  <c r="AA105" i="103"/>
  <c r="AF104" i="103"/>
  <c r="AE104" i="103"/>
  <c r="AD104" i="103"/>
  <c r="AB104" i="103"/>
  <c r="AA104" i="103"/>
  <c r="AF103" i="103"/>
  <c r="AD103" i="103"/>
  <c r="AA103" i="103"/>
  <c r="Z103" i="103"/>
  <c r="X103" i="103"/>
  <c r="V103" i="103"/>
  <c r="V102" i="103" s="1"/>
  <c r="T103" i="103"/>
  <c r="T102" i="103" s="1"/>
  <c r="R103" i="103"/>
  <c r="P103" i="103"/>
  <c r="N103" i="103"/>
  <c r="L103" i="103"/>
  <c r="J103" i="103"/>
  <c r="H103" i="103"/>
  <c r="F103" i="103"/>
  <c r="AD102" i="103"/>
  <c r="AA102" i="103"/>
  <c r="AF102" i="103" s="1"/>
  <c r="X102" i="103"/>
  <c r="P102" i="103"/>
  <c r="N102" i="103"/>
  <c r="L102" i="103"/>
  <c r="AG101" i="103"/>
  <c r="AF101" i="103"/>
  <c r="AE101" i="103"/>
  <c r="AD101" i="103"/>
  <c r="AB101" i="103"/>
  <c r="AA101" i="103"/>
  <c r="AE100" i="103"/>
  <c r="AD100" i="103"/>
  <c r="AB100" i="103"/>
  <c r="AG100" i="103" s="1"/>
  <c r="AA100" i="103"/>
  <c r="AF100" i="103" s="1"/>
  <c r="AG99" i="103"/>
  <c r="AE99" i="103"/>
  <c r="AD99" i="103"/>
  <c r="AB99" i="103"/>
  <c r="AA99" i="103"/>
  <c r="AF99" i="103" s="1"/>
  <c r="AG98" i="103"/>
  <c r="AF98" i="103"/>
  <c r="AE98" i="103"/>
  <c r="AD98" i="103"/>
  <c r="AB98" i="103"/>
  <c r="AA98" i="103"/>
  <c r="AE97" i="103"/>
  <c r="AD97" i="103"/>
  <c r="AB97" i="103"/>
  <c r="AG97" i="103" s="1"/>
  <c r="AA97" i="103"/>
  <c r="AF97" i="103" s="1"/>
  <c r="AE96" i="103"/>
  <c r="AD96" i="103"/>
  <c r="AB96" i="103"/>
  <c r="AG96" i="103" s="1"/>
  <c r="AA96" i="103"/>
  <c r="AF96" i="103" s="1"/>
  <c r="AF95" i="103"/>
  <c r="AE95" i="103"/>
  <c r="AG95" i="103" s="1"/>
  <c r="AD95" i="103"/>
  <c r="AB95" i="103"/>
  <c r="AA95" i="103"/>
  <c r="AE94" i="103"/>
  <c r="AD94" i="103"/>
  <c r="AF94" i="103" s="1"/>
  <c r="AB94" i="103"/>
  <c r="AG94" i="103" s="1"/>
  <c r="AA94" i="103"/>
  <c r="AE93" i="103"/>
  <c r="AD93" i="103"/>
  <c r="AB93" i="103"/>
  <c r="AG93" i="103" s="1"/>
  <c r="AA93" i="103"/>
  <c r="AF93" i="103" s="1"/>
  <c r="AE92" i="103"/>
  <c r="AD92" i="103"/>
  <c r="AB92" i="103"/>
  <c r="AG92" i="103" s="1"/>
  <c r="AA92" i="103"/>
  <c r="AE91" i="103"/>
  <c r="AG91" i="103" s="1"/>
  <c r="AD91" i="103"/>
  <c r="AF91" i="103" s="1"/>
  <c r="AB91" i="103"/>
  <c r="AA91" i="103"/>
  <c r="AE90" i="103"/>
  <c r="AD90" i="103"/>
  <c r="AF90" i="103" s="1"/>
  <c r="AB90" i="103"/>
  <c r="AG90" i="103" s="1"/>
  <c r="AA90" i="103"/>
  <c r="AE89" i="103"/>
  <c r="AD89" i="103"/>
  <c r="AF89" i="103" s="1"/>
  <c r="AB89" i="103"/>
  <c r="AG89" i="103" s="1"/>
  <c r="AA89" i="103"/>
  <c r="AF88" i="103"/>
  <c r="AE88" i="103"/>
  <c r="AG88" i="103" s="1"/>
  <c r="AD88" i="103"/>
  <c r="AB88" i="103"/>
  <c r="AA88" i="103"/>
  <c r="AE87" i="103"/>
  <c r="AG87" i="103" s="1"/>
  <c r="AD87" i="103"/>
  <c r="AB87" i="103"/>
  <c r="AA87" i="103"/>
  <c r="AF87" i="103" s="1"/>
  <c r="AF86" i="103"/>
  <c r="AE86" i="103"/>
  <c r="AG86" i="103" s="1"/>
  <c r="AD86" i="103"/>
  <c r="AB86" i="103"/>
  <c r="AA86" i="103"/>
  <c r="AE85" i="103"/>
  <c r="AD85" i="103"/>
  <c r="AB85" i="103"/>
  <c r="AG85" i="103" s="1"/>
  <c r="AA85" i="103"/>
  <c r="AF85" i="103" s="1"/>
  <c r="AE84" i="103"/>
  <c r="AD84" i="103"/>
  <c r="AB84" i="103"/>
  <c r="AG84" i="103" s="1"/>
  <c r="AA84" i="103"/>
  <c r="AF84" i="103" s="1"/>
  <c r="AF83" i="103"/>
  <c r="AE83" i="103"/>
  <c r="AG83" i="103" s="1"/>
  <c r="AD83" i="103"/>
  <c r="AB83" i="103"/>
  <c r="AA83" i="103"/>
  <c r="AE82" i="103"/>
  <c r="AD82" i="103"/>
  <c r="AF82" i="103" s="1"/>
  <c r="AB82" i="103"/>
  <c r="AG82" i="103" s="1"/>
  <c r="AA82" i="103"/>
  <c r="AE81" i="103"/>
  <c r="AD81" i="103"/>
  <c r="AB81" i="103"/>
  <c r="AG81" i="103" s="1"/>
  <c r="AA81" i="103"/>
  <c r="AF81" i="103" s="1"/>
  <c r="AE80" i="103"/>
  <c r="AG80" i="103" s="1"/>
  <c r="AD80" i="103"/>
  <c r="AF80" i="103" s="1"/>
  <c r="AB80" i="103"/>
  <c r="AA80" i="103"/>
  <c r="AE79" i="103"/>
  <c r="AG79" i="103" s="1"/>
  <c r="AD79" i="103"/>
  <c r="AB79" i="103"/>
  <c r="AA79" i="103"/>
  <c r="AF79" i="103" s="1"/>
  <c r="AE78" i="103"/>
  <c r="AD78" i="103"/>
  <c r="AB78" i="103"/>
  <c r="AG78" i="103" s="1"/>
  <c r="AA78" i="103"/>
  <c r="AF78" i="103" s="1"/>
  <c r="AF77" i="103"/>
  <c r="AE77" i="103"/>
  <c r="AG77" i="103" s="1"/>
  <c r="AD77" i="103"/>
  <c r="AB77" i="103"/>
  <c r="AA77" i="103"/>
  <c r="AE76" i="103"/>
  <c r="AD76" i="103"/>
  <c r="AB76" i="103"/>
  <c r="AG76" i="103" s="1"/>
  <c r="AA76" i="103"/>
  <c r="AF76" i="103" s="1"/>
  <c r="AE75" i="103"/>
  <c r="AD75" i="103"/>
  <c r="AB75" i="103"/>
  <c r="AG75" i="103" s="1"/>
  <c r="AA75" i="103"/>
  <c r="AF75" i="103" s="1"/>
  <c r="AG74" i="103"/>
  <c r="AF74" i="103"/>
  <c r="AE74" i="103"/>
  <c r="AD74" i="103"/>
  <c r="AB74" i="103"/>
  <c r="AA74" i="103"/>
  <c r="AE73" i="103"/>
  <c r="AD73" i="103"/>
  <c r="AB73" i="103"/>
  <c r="AG73" i="103" s="1"/>
  <c r="AA73" i="103"/>
  <c r="AF73" i="103" s="1"/>
  <c r="AE72" i="103"/>
  <c r="AD72" i="103"/>
  <c r="AB72" i="103"/>
  <c r="AG72" i="103" s="1"/>
  <c r="AA72" i="103"/>
  <c r="AF72" i="103" s="1"/>
  <c r="AG71" i="103"/>
  <c r="AE71" i="103"/>
  <c r="AD71" i="103"/>
  <c r="AB71" i="103"/>
  <c r="AA71" i="103"/>
  <c r="AF71" i="103" s="1"/>
  <c r="AE70" i="103"/>
  <c r="AD70" i="103"/>
  <c r="AB70" i="103"/>
  <c r="AG70" i="103" s="1"/>
  <c r="AA70" i="103"/>
  <c r="AF70" i="103" s="1"/>
  <c r="AF69" i="103"/>
  <c r="AE69" i="103"/>
  <c r="AD69" i="103"/>
  <c r="AB69" i="103"/>
  <c r="AG69" i="103" s="1"/>
  <c r="AA69" i="103"/>
  <c r="AE68" i="103"/>
  <c r="AD68" i="103"/>
  <c r="AB68" i="103"/>
  <c r="AG68" i="103" s="1"/>
  <c r="AA68" i="103"/>
  <c r="AF68" i="103" s="1"/>
  <c r="AE67" i="103"/>
  <c r="AD67" i="103"/>
  <c r="AB67" i="103"/>
  <c r="AG67" i="103" s="1"/>
  <c r="AA67" i="103"/>
  <c r="AF67" i="103" s="1"/>
  <c r="AG66" i="103"/>
  <c r="AF66" i="103"/>
  <c r="AE66" i="103"/>
  <c r="AD66" i="103"/>
  <c r="AB66" i="103"/>
  <c r="AA66" i="103"/>
  <c r="Z65" i="103"/>
  <c r="Y65" i="103"/>
  <c r="X65" i="103"/>
  <c r="W65" i="103"/>
  <c r="V65" i="103"/>
  <c r="U65" i="103"/>
  <c r="T65" i="103"/>
  <c r="S65" i="103"/>
  <c r="R65" i="103"/>
  <c r="Q65" i="103"/>
  <c r="P65" i="103"/>
  <c r="O65" i="103"/>
  <c r="N65" i="103"/>
  <c r="M65" i="103"/>
  <c r="L65" i="103"/>
  <c r="K65" i="103"/>
  <c r="J65" i="103"/>
  <c r="I65" i="103"/>
  <c r="H65" i="103"/>
  <c r="G65" i="103"/>
  <c r="F65" i="103"/>
  <c r="E65" i="103"/>
  <c r="D65" i="103"/>
  <c r="C65" i="103"/>
  <c r="AG64" i="103"/>
  <c r="AE64" i="103"/>
  <c r="AD64" i="103"/>
  <c r="AB64" i="103"/>
  <c r="AA64" i="103"/>
  <c r="AF64" i="103" s="1"/>
  <c r="AE63" i="103"/>
  <c r="AD63" i="103"/>
  <c r="AB63" i="103"/>
  <c r="AG63" i="103" s="1"/>
  <c r="AA63" i="103"/>
  <c r="AF63" i="103" s="1"/>
  <c r="AE62" i="103"/>
  <c r="AD62" i="103"/>
  <c r="AF62" i="103" s="1"/>
  <c r="AB62" i="103"/>
  <c r="AG62" i="103" s="1"/>
  <c r="AA62" i="103"/>
  <c r="AE61" i="103"/>
  <c r="AD61" i="103"/>
  <c r="AB61" i="103"/>
  <c r="AG61" i="103" s="1"/>
  <c r="AA61" i="103"/>
  <c r="AF61" i="103" s="1"/>
  <c r="AE60" i="103"/>
  <c r="AD60" i="103"/>
  <c r="AB60" i="103"/>
  <c r="AG60" i="103" s="1"/>
  <c r="AA60" i="103"/>
  <c r="AF60" i="103" s="1"/>
  <c r="AF59" i="103"/>
  <c r="AE59" i="103"/>
  <c r="AG59" i="103" s="1"/>
  <c r="AD59" i="103"/>
  <c r="AB59" i="103"/>
  <c r="AA59" i="103"/>
  <c r="AE58" i="103"/>
  <c r="AD58" i="103"/>
  <c r="AB58" i="103"/>
  <c r="AG58" i="103" s="1"/>
  <c r="AA58" i="103"/>
  <c r="AF58" i="103" s="1"/>
  <c r="AE57" i="103"/>
  <c r="AD57" i="103"/>
  <c r="AB57" i="103"/>
  <c r="AG57" i="103" s="1"/>
  <c r="AA57" i="103"/>
  <c r="AF57" i="103" s="1"/>
  <c r="AG56" i="103"/>
  <c r="AE56" i="103"/>
  <c r="AD56" i="103"/>
  <c r="AB56" i="103"/>
  <c r="AA56" i="103"/>
  <c r="AE55" i="103"/>
  <c r="AD55" i="103"/>
  <c r="AB55" i="103"/>
  <c r="AG55" i="103" s="1"/>
  <c r="AA55" i="103"/>
  <c r="AF55" i="103" s="1"/>
  <c r="AE54" i="103"/>
  <c r="AD54" i="103"/>
  <c r="AF54" i="103" s="1"/>
  <c r="AB54" i="103"/>
  <c r="AG54" i="103" s="1"/>
  <c r="AA54" i="103"/>
  <c r="Z54" i="103"/>
  <c r="X54" i="103"/>
  <c r="V54" i="103"/>
  <c r="T54" i="103"/>
  <c r="R54" i="103"/>
  <c r="P54" i="103"/>
  <c r="N54" i="103"/>
  <c r="L54" i="103"/>
  <c r="J54" i="103"/>
  <c r="H54" i="103"/>
  <c r="F54" i="103"/>
  <c r="D54" i="103"/>
  <c r="Z53" i="103"/>
  <c r="Y53" i="103"/>
  <c r="X53" i="103"/>
  <c r="W53" i="103"/>
  <c r="V53" i="103"/>
  <c r="U53" i="103"/>
  <c r="T53" i="103"/>
  <c r="S53" i="103"/>
  <c r="R53" i="103"/>
  <c r="Q53" i="103"/>
  <c r="P53" i="103"/>
  <c r="O53" i="103"/>
  <c r="N53" i="103"/>
  <c r="M53" i="103"/>
  <c r="L53" i="103"/>
  <c r="K53" i="103"/>
  <c r="J53" i="103"/>
  <c r="I53" i="103"/>
  <c r="H53" i="103"/>
  <c r="G53" i="103"/>
  <c r="F53" i="103"/>
  <c r="E53" i="103"/>
  <c r="D53" i="103"/>
  <c r="C53" i="103"/>
  <c r="AG52" i="103"/>
  <c r="AF52" i="103"/>
  <c r="AE52" i="103"/>
  <c r="AD52" i="103"/>
  <c r="AB52" i="103"/>
  <c r="AA52" i="103"/>
  <c r="AE51" i="103"/>
  <c r="AD51" i="103"/>
  <c r="AF51" i="103" s="1"/>
  <c r="AB51" i="103"/>
  <c r="AG51" i="103" s="1"/>
  <c r="AA51" i="103"/>
  <c r="AE50" i="103"/>
  <c r="AD50" i="103"/>
  <c r="AB50" i="103"/>
  <c r="AA50" i="103"/>
  <c r="AF49" i="103"/>
  <c r="AE49" i="103"/>
  <c r="AG49" i="103" s="1"/>
  <c r="AD49" i="103"/>
  <c r="AB49" i="103"/>
  <c r="AA49" i="103"/>
  <c r="AF48" i="103"/>
  <c r="AE48" i="103"/>
  <c r="AG48" i="103" s="1"/>
  <c r="AD48" i="103"/>
  <c r="AB48" i="103"/>
  <c r="AA48" i="103"/>
  <c r="AF47" i="103"/>
  <c r="AE47" i="103"/>
  <c r="AG47" i="103" s="1"/>
  <c r="AD47" i="103"/>
  <c r="AB47" i="103"/>
  <c r="AA47" i="103"/>
  <c r="AG46" i="103"/>
  <c r="AE46" i="103"/>
  <c r="AD46" i="103"/>
  <c r="AB46" i="103"/>
  <c r="AA46" i="103"/>
  <c r="AF46" i="103" s="1"/>
  <c r="AG45" i="103"/>
  <c r="AE45" i="103"/>
  <c r="AD45" i="103"/>
  <c r="AB45" i="103"/>
  <c r="AA45" i="103"/>
  <c r="AF45" i="103" s="1"/>
  <c r="AF44" i="103"/>
  <c r="AE44" i="103"/>
  <c r="AG44" i="103" s="1"/>
  <c r="AD44" i="103"/>
  <c r="AB44" i="103"/>
  <c r="AA44" i="103"/>
  <c r="AE43" i="103"/>
  <c r="AD43" i="103"/>
  <c r="AB43" i="103"/>
  <c r="AG43" i="103" s="1"/>
  <c r="AA43" i="103"/>
  <c r="AF43" i="103" s="1"/>
  <c r="Z42" i="103"/>
  <c r="Y42" i="103"/>
  <c r="X42" i="103"/>
  <c r="W42" i="103"/>
  <c r="V42" i="103"/>
  <c r="U42" i="103"/>
  <c r="T42" i="103"/>
  <c r="S42" i="103"/>
  <c r="R42" i="103"/>
  <c r="Q42" i="103"/>
  <c r="P42" i="103"/>
  <c r="O42" i="103"/>
  <c r="N42" i="103"/>
  <c r="M42" i="103"/>
  <c r="L42" i="103"/>
  <c r="K42" i="103"/>
  <c r="K29" i="103" s="1"/>
  <c r="J42" i="103"/>
  <c r="J29" i="103" s="1"/>
  <c r="I42" i="103"/>
  <c r="I29" i="103" s="1"/>
  <c r="H42" i="103"/>
  <c r="G42" i="103"/>
  <c r="F42" i="103"/>
  <c r="E42" i="103"/>
  <c r="AA42" i="103" s="1"/>
  <c r="D42" i="103"/>
  <c r="AE42" i="103" s="1"/>
  <c r="C42" i="103"/>
  <c r="AF41" i="103"/>
  <c r="AE41" i="103"/>
  <c r="AG41" i="103" s="1"/>
  <c r="AD41" i="103"/>
  <c r="AB41" i="103"/>
  <c r="AA41" i="103"/>
  <c r="AE40" i="103"/>
  <c r="AD40" i="103"/>
  <c r="AF40" i="103" s="1"/>
  <c r="AB40" i="103"/>
  <c r="AG40" i="103" s="1"/>
  <c r="AA40" i="103"/>
  <c r="AE39" i="103"/>
  <c r="AD39" i="103"/>
  <c r="AF39" i="103" s="1"/>
  <c r="AB39" i="103"/>
  <c r="AG39" i="103" s="1"/>
  <c r="AA39" i="103"/>
  <c r="AG38" i="103"/>
  <c r="AE38" i="103"/>
  <c r="AD38" i="103"/>
  <c r="AB38" i="103"/>
  <c r="AA38" i="103"/>
  <c r="AF38" i="103" s="1"/>
  <c r="AE37" i="103"/>
  <c r="AG37" i="103" s="1"/>
  <c r="AD37" i="103"/>
  <c r="AB37" i="103"/>
  <c r="AA37" i="103"/>
  <c r="AF37" i="103" s="1"/>
  <c r="AF36" i="103"/>
  <c r="AE36" i="103"/>
  <c r="AG36" i="103" s="1"/>
  <c r="AD36" i="103"/>
  <c r="AB36" i="103"/>
  <c r="AA36" i="103"/>
  <c r="AE35" i="103"/>
  <c r="AD35" i="103"/>
  <c r="AB35" i="103"/>
  <c r="AG35" i="103" s="1"/>
  <c r="AA35" i="103"/>
  <c r="AF35" i="103" s="1"/>
  <c r="AE34" i="103"/>
  <c r="AD34" i="103"/>
  <c r="AB34" i="103"/>
  <c r="AG34" i="103" s="1"/>
  <c r="AA34" i="103"/>
  <c r="AF34" i="103" s="1"/>
  <c r="AE33" i="103"/>
  <c r="AD33" i="103"/>
  <c r="Z33" i="103"/>
  <c r="Y33" i="103"/>
  <c r="X33" i="103"/>
  <c r="W33" i="103"/>
  <c r="V33" i="103"/>
  <c r="U33" i="103"/>
  <c r="T33" i="103"/>
  <c r="S33" i="103"/>
  <c r="R33" i="103"/>
  <c r="Q33" i="103"/>
  <c r="P33" i="103"/>
  <c r="O33" i="103"/>
  <c r="N33" i="103"/>
  <c r="M33" i="103"/>
  <c r="L33" i="103"/>
  <c r="K33" i="103"/>
  <c r="J33" i="103"/>
  <c r="I33" i="103"/>
  <c r="H33" i="103"/>
  <c r="G33" i="103"/>
  <c r="F33" i="103"/>
  <c r="E33" i="103"/>
  <c r="D33" i="103"/>
  <c r="C33" i="103"/>
  <c r="AE32" i="103"/>
  <c r="AD32" i="103"/>
  <c r="AB32" i="103"/>
  <c r="AG32" i="103" s="1"/>
  <c r="AA32" i="103"/>
  <c r="AF32" i="103" s="1"/>
  <c r="Z32" i="103"/>
  <c r="R32" i="103"/>
  <c r="P32" i="103"/>
  <c r="N32" i="103"/>
  <c r="L32" i="103"/>
  <c r="J32" i="103"/>
  <c r="H32" i="103"/>
  <c r="F32" i="103"/>
  <c r="AE31" i="103"/>
  <c r="AD31" i="103"/>
  <c r="AB31" i="103"/>
  <c r="AG31" i="103" s="1"/>
  <c r="AA31" i="103"/>
  <c r="AF31" i="103" s="1"/>
  <c r="AE30" i="103"/>
  <c r="AD30" i="103"/>
  <c r="Z30" i="103"/>
  <c r="Y30" i="103"/>
  <c r="X30" i="103"/>
  <c r="W30" i="103"/>
  <c r="V30" i="103"/>
  <c r="U30" i="103"/>
  <c r="T30" i="103"/>
  <c r="S30" i="103"/>
  <c r="R30" i="103"/>
  <c r="Q30" i="103"/>
  <c r="P30" i="103"/>
  <c r="O30" i="103"/>
  <c r="N30" i="103"/>
  <c r="M30" i="103"/>
  <c r="L30" i="103"/>
  <c r="K30" i="103"/>
  <c r="J30" i="103"/>
  <c r="I30" i="103"/>
  <c r="H30" i="103"/>
  <c r="G30" i="103"/>
  <c r="F30" i="103"/>
  <c r="E30" i="103"/>
  <c r="D30" i="103"/>
  <c r="C30" i="103"/>
  <c r="C29" i="103" s="1"/>
  <c r="W29" i="103"/>
  <c r="V29" i="103"/>
  <c r="M29" i="103"/>
  <c r="L29" i="103"/>
  <c r="V26" i="103"/>
  <c r="V27" i="103" s="1"/>
  <c r="F26" i="103"/>
  <c r="F27" i="103" s="1"/>
  <c r="AG25" i="103"/>
  <c r="AF25" i="103"/>
  <c r="AE25" i="103"/>
  <c r="AD25" i="103"/>
  <c r="AB25" i="103"/>
  <c r="AA25" i="103"/>
  <c r="AE24" i="103"/>
  <c r="AG24" i="103" s="1"/>
  <c r="AD24" i="103"/>
  <c r="AB24" i="103"/>
  <c r="AA24" i="103"/>
  <c r="AE23" i="103"/>
  <c r="AD23" i="103"/>
  <c r="AB23" i="103"/>
  <c r="AA23" i="103"/>
  <c r="AE22" i="103"/>
  <c r="AD22" i="103"/>
  <c r="AB22" i="103"/>
  <c r="AG22" i="103" s="1"/>
  <c r="AA22" i="103"/>
  <c r="AF22" i="103" s="1"/>
  <c r="AE21" i="103"/>
  <c r="AD21" i="103"/>
  <c r="AB21" i="103"/>
  <c r="AG21" i="103" s="1"/>
  <c r="AA21" i="103"/>
  <c r="AE20" i="103"/>
  <c r="AD20" i="103"/>
  <c r="AF20" i="103" s="1"/>
  <c r="AB20" i="103"/>
  <c r="AA20" i="103"/>
  <c r="AE19" i="103"/>
  <c r="AD19" i="103"/>
  <c r="AB19" i="103"/>
  <c r="AG19" i="103" s="1"/>
  <c r="AA19" i="103"/>
  <c r="AF19" i="103" s="1"/>
  <c r="AE18" i="103"/>
  <c r="AD18" i="103"/>
  <c r="AB18" i="103"/>
  <c r="AA18" i="103"/>
  <c r="AE17" i="103"/>
  <c r="AD17" i="103"/>
  <c r="AB17" i="103"/>
  <c r="AA17" i="103"/>
  <c r="AF17" i="103" s="1"/>
  <c r="Z16" i="103"/>
  <c r="Y16" i="103"/>
  <c r="X16" i="103"/>
  <c r="W16" i="103"/>
  <c r="V16" i="103"/>
  <c r="U16" i="103"/>
  <c r="T16" i="103"/>
  <c r="S16" i="103"/>
  <c r="R16" i="103"/>
  <c r="Q16" i="103"/>
  <c r="P16" i="103"/>
  <c r="O16" i="103"/>
  <c r="O26" i="103" s="1"/>
  <c r="O27" i="103" s="1"/>
  <c r="N16" i="103"/>
  <c r="M16" i="103"/>
  <c r="L16" i="103"/>
  <c r="K16" i="103"/>
  <c r="J16" i="103"/>
  <c r="I16" i="103"/>
  <c r="H16" i="103"/>
  <c r="G16" i="103"/>
  <c r="F16" i="103"/>
  <c r="E16" i="103"/>
  <c r="D16" i="103"/>
  <c r="C16" i="103"/>
  <c r="AE15" i="103"/>
  <c r="AD15" i="103"/>
  <c r="AF15" i="103" s="1"/>
  <c r="AB15" i="103"/>
  <c r="AA15" i="103"/>
  <c r="AE14" i="103"/>
  <c r="AD14" i="103"/>
  <c r="AF14" i="103" s="1"/>
  <c r="AB14" i="103"/>
  <c r="AG14" i="103" s="1"/>
  <c r="AA14" i="103"/>
  <c r="AE13" i="103"/>
  <c r="AD13" i="103"/>
  <c r="AB13" i="103"/>
  <c r="AA13" i="103"/>
  <c r="AF13" i="103" s="1"/>
  <c r="AE12" i="103"/>
  <c r="AG12" i="103" s="1"/>
  <c r="AD12" i="103"/>
  <c r="AF12" i="103" s="1"/>
  <c r="AB12" i="103"/>
  <c r="AA12" i="103"/>
  <c r="AF11" i="103"/>
  <c r="AE11" i="103"/>
  <c r="AG11" i="103" s="1"/>
  <c r="AD11" i="103"/>
  <c r="AB11" i="103"/>
  <c r="AA11" i="103"/>
  <c r="AE10" i="103"/>
  <c r="AD10" i="103"/>
  <c r="AB10" i="103"/>
  <c r="AG10" i="103" s="1"/>
  <c r="AA10" i="103"/>
  <c r="AE9" i="103"/>
  <c r="AG9" i="103" s="1"/>
  <c r="AD9" i="103"/>
  <c r="AF9" i="103" s="1"/>
  <c r="AB9" i="103"/>
  <c r="AA9" i="103"/>
  <c r="AF8" i="103"/>
  <c r="AE8" i="103"/>
  <c r="AG8" i="103" s="1"/>
  <c r="AD8" i="103"/>
  <c r="AB8" i="103"/>
  <c r="AA8" i="103"/>
  <c r="AE7" i="103"/>
  <c r="AD7" i="103"/>
  <c r="AB7" i="103"/>
  <c r="AA7" i="103"/>
  <c r="AF7" i="103" s="1"/>
  <c r="Z6" i="103"/>
  <c r="Z28" i="103" s="1"/>
  <c r="Y6" i="103"/>
  <c r="AI5" i="106" s="1"/>
  <c r="X6" i="103"/>
  <c r="AH5" i="106" s="1"/>
  <c r="W6" i="103"/>
  <c r="V6" i="103"/>
  <c r="V28" i="103" s="1"/>
  <c r="U6" i="103"/>
  <c r="T6" i="103"/>
  <c r="S6" i="103"/>
  <c r="R6" i="103"/>
  <c r="R28" i="103" s="1"/>
  <c r="Q6" i="103"/>
  <c r="P6" i="103"/>
  <c r="O6" i="103"/>
  <c r="N6" i="103"/>
  <c r="M6" i="103"/>
  <c r="M28" i="103" s="1"/>
  <c r="L6" i="103"/>
  <c r="K6" i="103"/>
  <c r="J6" i="103"/>
  <c r="I6" i="103"/>
  <c r="I28" i="103" s="1"/>
  <c r="H6" i="103"/>
  <c r="J5" i="106" s="1"/>
  <c r="G6" i="103"/>
  <c r="G28" i="103" s="1"/>
  <c r="F6" i="103"/>
  <c r="F28" i="103" s="1"/>
  <c r="E6" i="103"/>
  <c r="E5" i="106" s="1"/>
  <c r="D6" i="103"/>
  <c r="C6" i="103"/>
  <c r="C28" i="103" s="1"/>
  <c r="B270" i="82"/>
  <c r="AE264" i="82"/>
  <c r="AG264" i="82" s="1"/>
  <c r="AD264" i="82"/>
  <c r="AF264" i="82" s="1"/>
  <c r="AB264" i="82"/>
  <c r="AA264" i="82"/>
  <c r="Z264" i="82"/>
  <c r="X264" i="82"/>
  <c r="V264" i="82"/>
  <c r="R264" i="82"/>
  <c r="P264" i="82"/>
  <c r="N264" i="82"/>
  <c r="AE262" i="82"/>
  <c r="AD262" i="82"/>
  <c r="AB262" i="82"/>
  <c r="AA262" i="82"/>
  <c r="AF262" i="82" s="1"/>
  <c r="AE260" i="82"/>
  <c r="AD260" i="82"/>
  <c r="AB260" i="82"/>
  <c r="AG260" i="82" s="1"/>
  <c r="AA260" i="82"/>
  <c r="AF260" i="82" s="1"/>
  <c r="AE259" i="82"/>
  <c r="AD259" i="82"/>
  <c r="AB259" i="82"/>
  <c r="AG259" i="82" s="1"/>
  <c r="AA259" i="82"/>
  <c r="AF259" i="82" s="1"/>
  <c r="AE257" i="82"/>
  <c r="AG257" i="82" s="1"/>
  <c r="AD257" i="82"/>
  <c r="AB257" i="82"/>
  <c r="AA257" i="82"/>
  <c r="AF257" i="82" s="1"/>
  <c r="AE256" i="82"/>
  <c r="AD256" i="82"/>
  <c r="AB256" i="82"/>
  <c r="AA256" i="82"/>
  <c r="AE255" i="82"/>
  <c r="AD255" i="82"/>
  <c r="AB255" i="82"/>
  <c r="AG255" i="82" s="1"/>
  <c r="AA255" i="82"/>
  <c r="AF255" i="82" s="1"/>
  <c r="AE254" i="82"/>
  <c r="AD254" i="82"/>
  <c r="AB254" i="82"/>
  <c r="AG254" i="82" s="1"/>
  <c r="AA254" i="82"/>
  <c r="AF254" i="82" s="1"/>
  <c r="AE253" i="82"/>
  <c r="AD253" i="82"/>
  <c r="AF253" i="82" s="1"/>
  <c r="AB253" i="82"/>
  <c r="AA253" i="82"/>
  <c r="AF252" i="82"/>
  <c r="AE252" i="82"/>
  <c r="AD252" i="82"/>
  <c r="AB252" i="82"/>
  <c r="AA252" i="82"/>
  <c r="AE251" i="82"/>
  <c r="AD251" i="82"/>
  <c r="AB251" i="82"/>
  <c r="AG251" i="82" s="1"/>
  <c r="AA251" i="82"/>
  <c r="AG250" i="82"/>
  <c r="AE250" i="82"/>
  <c r="AD250" i="82"/>
  <c r="AF250" i="82" s="1"/>
  <c r="AB250" i="82"/>
  <c r="AA250" i="82"/>
  <c r="AF249" i="82"/>
  <c r="AE249" i="82"/>
  <c r="AG249" i="82" s="1"/>
  <c r="AD249" i="82"/>
  <c r="AB249" i="82"/>
  <c r="AA249" i="82"/>
  <c r="AE248" i="82"/>
  <c r="AD248" i="82"/>
  <c r="AB248" i="82"/>
  <c r="AG248" i="82" s="1"/>
  <c r="AA248" i="82"/>
  <c r="AF248" i="82" s="1"/>
  <c r="AE247" i="82"/>
  <c r="AD247" i="82"/>
  <c r="AB247" i="82"/>
  <c r="AG247" i="82" s="1"/>
  <c r="AA247" i="82"/>
  <c r="AF247" i="82" s="1"/>
  <c r="AG246" i="82"/>
  <c r="AE246" i="82"/>
  <c r="AD246" i="82"/>
  <c r="AB246" i="82"/>
  <c r="AA246" i="82"/>
  <c r="AG245" i="82"/>
  <c r="AE245" i="82"/>
  <c r="AD245" i="82"/>
  <c r="AF245" i="82" s="1"/>
  <c r="AB245" i="82"/>
  <c r="AA245" i="82"/>
  <c r="AE244" i="82"/>
  <c r="AD244" i="82"/>
  <c r="AF244" i="82" s="1"/>
  <c r="AB244" i="82"/>
  <c r="AG244" i="82" s="1"/>
  <c r="AA244" i="82"/>
  <c r="AF243" i="82"/>
  <c r="AE243" i="82"/>
  <c r="AD243" i="82"/>
  <c r="AB243" i="82"/>
  <c r="AA243" i="82"/>
  <c r="AG242" i="82"/>
  <c r="AF242" i="82"/>
  <c r="AE242" i="82"/>
  <c r="AD242" i="82"/>
  <c r="AB242" i="82"/>
  <c r="AA242" i="82"/>
  <c r="AE241" i="82"/>
  <c r="AG241" i="82" s="1"/>
  <c r="AD241" i="82"/>
  <c r="AB241" i="82"/>
  <c r="AA241" i="82"/>
  <c r="AF241" i="82" s="1"/>
  <c r="AG240" i="82"/>
  <c r="AF240" i="82"/>
  <c r="AE240" i="82"/>
  <c r="AD240" i="82"/>
  <c r="AB240" i="82"/>
  <c r="AA240" i="82"/>
  <c r="AG239" i="82"/>
  <c r="AF239" i="82"/>
  <c r="AE239" i="82"/>
  <c r="AD239" i="82"/>
  <c r="AB239" i="82"/>
  <c r="AA239" i="82"/>
  <c r="AE238" i="82"/>
  <c r="AD238" i="82"/>
  <c r="AB238" i="82"/>
  <c r="AG238" i="82" s="1"/>
  <c r="AA238" i="82"/>
  <c r="AG237" i="82"/>
  <c r="AE237" i="82"/>
  <c r="AD237" i="82"/>
  <c r="AB237" i="82"/>
  <c r="AA237" i="82"/>
  <c r="AF237" i="82" s="1"/>
  <c r="AG236" i="82"/>
  <c r="AF236" i="82"/>
  <c r="AE236" i="82"/>
  <c r="AD236" i="82"/>
  <c r="AB236" i="82"/>
  <c r="AA236" i="82"/>
  <c r="AE235" i="82"/>
  <c r="AD235" i="82"/>
  <c r="AF235" i="82" s="1"/>
  <c r="AB235" i="82"/>
  <c r="AA235" i="82"/>
  <c r="AE234" i="82"/>
  <c r="AD234" i="82"/>
  <c r="AB234" i="82"/>
  <c r="AG234" i="82" s="1"/>
  <c r="AA234" i="82"/>
  <c r="AF234" i="82" s="1"/>
  <c r="AG233" i="82"/>
  <c r="AF233" i="82"/>
  <c r="AE233" i="82"/>
  <c r="AD233" i="82"/>
  <c r="AB233" i="82"/>
  <c r="AA233" i="82"/>
  <c r="AF232" i="82"/>
  <c r="AE232" i="82"/>
  <c r="AG232" i="82" s="1"/>
  <c r="AD232" i="82"/>
  <c r="AB232" i="82"/>
  <c r="AA232" i="82"/>
  <c r="AE231" i="82"/>
  <c r="AD231" i="82"/>
  <c r="AB231" i="82"/>
  <c r="AG231" i="82" s="1"/>
  <c r="AA231" i="82"/>
  <c r="AF231" i="82" s="1"/>
  <c r="AE230" i="82"/>
  <c r="AD230" i="82"/>
  <c r="AB230" i="82"/>
  <c r="AG230" i="82" s="1"/>
  <c r="AA230" i="82"/>
  <c r="AE229" i="82"/>
  <c r="AD229" i="82"/>
  <c r="AB229" i="82"/>
  <c r="AG229" i="82" s="1"/>
  <c r="AA229" i="82"/>
  <c r="AF229" i="82" s="1"/>
  <c r="AE228" i="82"/>
  <c r="AD228" i="82"/>
  <c r="AF228" i="82" s="1"/>
  <c r="AB228" i="82"/>
  <c r="AA228" i="82"/>
  <c r="AE227" i="82"/>
  <c r="AD227" i="82"/>
  <c r="AB227" i="82"/>
  <c r="AG227" i="82" s="1"/>
  <c r="AA227" i="82"/>
  <c r="AF227" i="82" s="1"/>
  <c r="AG226" i="82"/>
  <c r="AE226" i="82"/>
  <c r="AD226" i="82"/>
  <c r="AB226" i="82"/>
  <c r="AA226" i="82"/>
  <c r="AF226" i="82" s="1"/>
  <c r="AF225" i="82"/>
  <c r="AE225" i="82"/>
  <c r="AG225" i="82" s="1"/>
  <c r="AD225" i="82"/>
  <c r="AB225" i="82"/>
  <c r="AA225" i="82"/>
  <c r="AE224" i="82"/>
  <c r="AD224" i="82"/>
  <c r="AB224" i="82"/>
  <c r="AG224" i="82" s="1"/>
  <c r="AA224" i="82"/>
  <c r="AF224" i="82" s="1"/>
  <c r="AE223" i="82"/>
  <c r="AG223" i="82" s="1"/>
  <c r="AD223" i="82"/>
  <c r="AF223" i="82" s="1"/>
  <c r="AB223" i="82"/>
  <c r="AA223" i="82"/>
  <c r="AG222" i="82"/>
  <c r="AE222" i="82"/>
  <c r="AD222" i="82"/>
  <c r="AB222" i="82"/>
  <c r="AA222" i="82"/>
  <c r="AF222" i="82" s="1"/>
  <c r="AG221" i="82"/>
  <c r="AF221" i="82"/>
  <c r="AE221" i="82"/>
  <c r="AD221" i="82"/>
  <c r="AB221" i="82"/>
  <c r="AA221" i="82"/>
  <c r="AF220" i="82"/>
  <c r="AE220" i="82"/>
  <c r="AG220" i="82" s="1"/>
  <c r="AD220" i="82"/>
  <c r="AB220" i="82"/>
  <c r="AA220" i="82"/>
  <c r="AE219" i="82"/>
  <c r="AD219" i="82"/>
  <c r="AB219" i="82"/>
  <c r="AG219" i="82" s="1"/>
  <c r="AA219" i="82"/>
  <c r="AF219" i="82" s="1"/>
  <c r="AG218" i="82"/>
  <c r="AF218" i="82"/>
  <c r="AE218" i="82"/>
  <c r="AD218" i="82"/>
  <c r="AB218" i="82"/>
  <c r="AA218" i="82"/>
  <c r="AG217" i="82"/>
  <c r="AF217" i="82"/>
  <c r="AE217" i="82"/>
  <c r="AD217" i="82"/>
  <c r="AB217" i="82"/>
  <c r="AA217" i="82"/>
  <c r="AE216" i="82"/>
  <c r="AD216" i="82"/>
  <c r="AB216" i="82"/>
  <c r="AG216" i="82" s="1"/>
  <c r="AA216" i="82"/>
  <c r="AF216" i="82" s="1"/>
  <c r="AG215" i="82"/>
  <c r="AF215" i="82"/>
  <c r="AE215" i="82"/>
  <c r="AD215" i="82"/>
  <c r="AB215" i="82"/>
  <c r="AA215" i="82"/>
  <c r="AG214" i="82"/>
  <c r="AE214" i="82"/>
  <c r="AD214" i="82"/>
  <c r="AB214" i="82"/>
  <c r="AA214" i="82"/>
  <c r="AE213" i="82"/>
  <c r="AD213" i="82"/>
  <c r="AB213" i="82"/>
  <c r="AG213" i="82" s="1"/>
  <c r="AA213" i="82"/>
  <c r="AF213" i="82" s="1"/>
  <c r="AG212" i="82"/>
  <c r="AF212" i="82"/>
  <c r="AE212" i="82"/>
  <c r="AD212" i="82"/>
  <c r="AB212" i="82"/>
  <c r="AA212" i="82"/>
  <c r="AF211" i="82"/>
  <c r="AE211" i="82"/>
  <c r="AD211" i="82"/>
  <c r="AB211" i="82"/>
  <c r="AA211" i="82"/>
  <c r="AE210" i="82"/>
  <c r="AD210" i="82"/>
  <c r="AB210" i="82"/>
  <c r="AG210" i="82" s="1"/>
  <c r="AA210" i="82"/>
  <c r="AF210" i="82" s="1"/>
  <c r="AG209" i="82"/>
  <c r="AE209" i="82"/>
  <c r="AD209" i="82"/>
  <c r="AB209" i="82"/>
  <c r="AA209" i="82"/>
  <c r="AF209" i="82" s="1"/>
  <c r="AG208" i="82"/>
  <c r="AE208" i="82"/>
  <c r="AD208" i="82"/>
  <c r="AB208" i="82"/>
  <c r="AA208" i="82"/>
  <c r="AF208" i="82" s="1"/>
  <c r="AE207" i="82"/>
  <c r="AD207" i="82"/>
  <c r="AF207" i="82" s="1"/>
  <c r="AB207" i="82"/>
  <c r="AG207" i="82" s="1"/>
  <c r="AA207" i="82"/>
  <c r="AG206" i="82"/>
  <c r="AE206" i="82"/>
  <c r="AD206" i="82"/>
  <c r="AB206" i="82"/>
  <c r="AA206" i="82"/>
  <c r="AF206" i="82" s="1"/>
  <c r="AE205" i="82"/>
  <c r="AD205" i="82"/>
  <c r="AB205" i="82"/>
  <c r="AG205" i="82" s="1"/>
  <c r="AA205" i="82"/>
  <c r="AE204" i="82"/>
  <c r="AD204" i="82"/>
  <c r="AF204" i="82" s="1"/>
  <c r="AB204" i="82"/>
  <c r="AG204" i="82" s="1"/>
  <c r="AA204" i="82"/>
  <c r="AF203" i="82"/>
  <c r="AE203" i="82"/>
  <c r="AD203" i="82"/>
  <c r="AB203" i="82"/>
  <c r="AA203" i="82"/>
  <c r="AE202" i="82"/>
  <c r="AD202" i="82"/>
  <c r="AB202" i="82"/>
  <c r="AG202" i="82" s="1"/>
  <c r="AA202" i="82"/>
  <c r="AF202" i="82" s="1"/>
  <c r="AG201" i="82"/>
  <c r="AE201" i="82"/>
  <c r="AD201" i="82"/>
  <c r="AB201" i="82"/>
  <c r="AA201" i="82"/>
  <c r="AF201" i="82" s="1"/>
  <c r="AG200" i="82"/>
  <c r="AF200" i="82"/>
  <c r="AE200" i="82"/>
  <c r="AD200" i="82"/>
  <c r="AB200" i="82"/>
  <c r="AA200" i="82"/>
  <c r="AE199" i="82"/>
  <c r="AD199" i="82"/>
  <c r="AB199" i="82"/>
  <c r="AG199" i="82" s="1"/>
  <c r="AA199" i="82"/>
  <c r="AF199" i="82" s="1"/>
  <c r="AG198" i="82"/>
  <c r="AE198" i="82"/>
  <c r="AD198" i="82"/>
  <c r="AB198" i="82"/>
  <c r="AA198" i="82"/>
  <c r="AF198" i="82" s="1"/>
  <c r="AG197" i="82"/>
  <c r="AF197" i="82"/>
  <c r="AE197" i="82"/>
  <c r="AD197" i="82"/>
  <c r="AB197" i="82"/>
  <c r="AA197" i="82"/>
  <c r="AE196" i="82"/>
  <c r="AD196" i="82"/>
  <c r="AF196" i="82" s="1"/>
  <c r="AB196" i="82"/>
  <c r="AA196" i="82"/>
  <c r="AF195" i="82"/>
  <c r="AE195" i="82"/>
  <c r="AD195" i="82"/>
  <c r="AB195" i="82"/>
  <c r="AA195" i="82"/>
  <c r="AG194" i="82"/>
  <c r="AF194" i="82"/>
  <c r="AE194" i="82"/>
  <c r="AD194" i="82"/>
  <c r="AB194" i="82"/>
  <c r="AA194" i="82"/>
  <c r="AE193" i="82"/>
  <c r="AG193" i="82" s="1"/>
  <c r="AD193" i="82"/>
  <c r="AB193" i="82"/>
  <c r="AA193" i="82"/>
  <c r="AF193" i="82" s="1"/>
  <c r="AG192" i="82"/>
  <c r="AF192" i="82"/>
  <c r="AE192" i="82"/>
  <c r="AD192" i="82"/>
  <c r="AB192" i="82"/>
  <c r="AA192" i="82"/>
  <c r="AE191" i="82"/>
  <c r="AD191" i="82"/>
  <c r="AB191" i="82"/>
  <c r="AA191" i="82"/>
  <c r="AE190" i="82"/>
  <c r="AD190" i="82"/>
  <c r="AB190" i="82"/>
  <c r="AG190" i="82" s="1"/>
  <c r="AA190" i="82"/>
  <c r="AF190" i="82" s="1"/>
  <c r="AE189" i="82"/>
  <c r="AG189" i="82" s="1"/>
  <c r="AD189" i="82"/>
  <c r="AF189" i="82" s="1"/>
  <c r="AB189" i="82"/>
  <c r="AA189" i="82"/>
  <c r="AE188" i="82"/>
  <c r="AD188" i="82"/>
  <c r="AF188" i="82" s="1"/>
  <c r="AB188" i="82"/>
  <c r="AA188" i="82"/>
  <c r="AE187" i="82"/>
  <c r="AD187" i="82"/>
  <c r="AB187" i="82"/>
  <c r="AG187" i="82" s="1"/>
  <c r="AA187" i="82"/>
  <c r="AF187" i="82" s="1"/>
  <c r="AG186" i="82"/>
  <c r="AE186" i="82"/>
  <c r="AD186" i="82"/>
  <c r="AF186" i="82" s="1"/>
  <c r="AB186" i="82"/>
  <c r="AA186" i="82"/>
  <c r="AF185" i="82"/>
  <c r="AE185" i="82"/>
  <c r="AG185" i="82" s="1"/>
  <c r="AD185" i="82"/>
  <c r="AB185" i="82"/>
  <c r="AA185" i="82"/>
  <c r="AE184" i="82"/>
  <c r="AD184" i="82"/>
  <c r="AB184" i="82"/>
  <c r="AG184" i="82" s="1"/>
  <c r="AA184" i="82"/>
  <c r="AF184" i="82" s="1"/>
  <c r="AF183" i="82"/>
  <c r="AE183" i="82"/>
  <c r="AD183" i="82"/>
  <c r="AB183" i="82"/>
  <c r="AG183" i="82" s="1"/>
  <c r="AA183" i="82"/>
  <c r="AG182" i="82"/>
  <c r="AE182" i="82"/>
  <c r="AD182" i="82"/>
  <c r="AB182" i="82"/>
  <c r="AA182" i="82"/>
  <c r="AF182" i="82" s="1"/>
  <c r="AE181" i="82"/>
  <c r="AD181" i="82"/>
  <c r="AB181" i="82"/>
  <c r="AG181" i="82" s="1"/>
  <c r="AA181" i="82"/>
  <c r="AF181" i="82" s="1"/>
  <c r="AG180" i="82"/>
  <c r="AE180" i="82"/>
  <c r="AD180" i="82"/>
  <c r="AF180" i="82" s="1"/>
  <c r="AB180" i="82"/>
  <c r="AA180" i="82"/>
  <c r="AF179" i="82"/>
  <c r="AE179" i="82"/>
  <c r="AD179" i="82"/>
  <c r="AB179" i="82"/>
  <c r="AG179" i="82" s="1"/>
  <c r="AA179" i="82"/>
  <c r="AE178" i="82"/>
  <c r="AD178" i="82"/>
  <c r="AB178" i="82"/>
  <c r="AG178" i="82" s="1"/>
  <c r="AA178" i="82"/>
  <c r="AF178" i="82" s="1"/>
  <c r="AF177" i="82"/>
  <c r="AE177" i="82"/>
  <c r="AG177" i="82" s="1"/>
  <c r="AD177" i="82"/>
  <c r="AB177" i="82"/>
  <c r="AA177" i="82"/>
  <c r="AG176" i="82"/>
  <c r="AE176" i="82"/>
  <c r="AD176" i="82"/>
  <c r="AB176" i="82"/>
  <c r="AA176" i="82"/>
  <c r="AF176" i="82" s="1"/>
  <c r="AE175" i="82"/>
  <c r="AG175" i="82" s="1"/>
  <c r="AD175" i="82"/>
  <c r="AB175" i="82"/>
  <c r="AA175" i="82"/>
  <c r="AF175" i="82" s="1"/>
  <c r="AE174" i="82"/>
  <c r="AD174" i="82"/>
  <c r="AB174" i="82"/>
  <c r="AG174" i="82" s="1"/>
  <c r="AA174" i="82"/>
  <c r="AF174" i="82" s="1"/>
  <c r="AE173" i="82"/>
  <c r="AD173" i="82"/>
  <c r="AB173" i="82"/>
  <c r="AA173" i="82"/>
  <c r="AF172" i="82"/>
  <c r="AE172" i="82"/>
  <c r="AD172" i="82"/>
  <c r="AB172" i="82"/>
  <c r="AG172" i="82" s="1"/>
  <c r="AA172" i="82"/>
  <c r="AE171" i="82"/>
  <c r="AD171" i="82"/>
  <c r="AF171" i="82" s="1"/>
  <c r="AB171" i="82"/>
  <c r="AG171" i="82" s="1"/>
  <c r="AA171" i="82"/>
  <c r="AE170" i="82"/>
  <c r="AD170" i="82"/>
  <c r="AF170" i="82" s="1"/>
  <c r="AB170" i="82"/>
  <c r="AA170" i="82"/>
  <c r="AG169" i="82"/>
  <c r="AE169" i="82"/>
  <c r="AD169" i="82"/>
  <c r="AB169" i="82"/>
  <c r="AA169" i="82"/>
  <c r="AF169" i="82" s="1"/>
  <c r="AE168" i="82"/>
  <c r="AG168" i="82" s="1"/>
  <c r="AD168" i="82"/>
  <c r="AB168" i="82"/>
  <c r="AA168" i="82"/>
  <c r="AF168" i="82" s="1"/>
  <c r="AG167" i="82"/>
  <c r="AF167" i="82"/>
  <c r="AE167" i="82"/>
  <c r="AD167" i="82"/>
  <c r="AB167" i="82"/>
  <c r="AA167" i="82"/>
  <c r="AE166" i="82"/>
  <c r="AD166" i="82"/>
  <c r="AB166" i="82"/>
  <c r="AG166" i="82" s="1"/>
  <c r="AA166" i="82"/>
  <c r="AF166" i="82" s="1"/>
  <c r="AE165" i="82"/>
  <c r="AG165" i="82" s="1"/>
  <c r="AD165" i="82"/>
  <c r="AB165" i="82"/>
  <c r="AA165" i="82"/>
  <c r="AF165" i="82" s="1"/>
  <c r="AG164" i="82"/>
  <c r="AF164" i="82"/>
  <c r="AE164" i="82"/>
  <c r="AD164" i="82"/>
  <c r="AB164" i="82"/>
  <c r="AA164" i="82"/>
  <c r="AE163" i="82"/>
  <c r="AD163" i="82"/>
  <c r="AB163" i="82"/>
  <c r="AG163" i="82" s="1"/>
  <c r="AA163" i="82"/>
  <c r="AE162" i="82"/>
  <c r="AD162" i="82"/>
  <c r="AB162" i="82"/>
  <c r="AG162" i="82" s="1"/>
  <c r="AA162" i="82"/>
  <c r="AF162" i="82" s="1"/>
  <c r="AG161" i="82"/>
  <c r="AE161" i="82"/>
  <c r="AD161" i="82"/>
  <c r="AB161" i="82"/>
  <c r="AA161" i="82"/>
  <c r="AF161" i="82" s="1"/>
  <c r="AE160" i="82"/>
  <c r="AD160" i="82"/>
  <c r="AB160" i="82"/>
  <c r="AA160" i="82"/>
  <c r="AE159" i="82"/>
  <c r="AD159" i="82"/>
  <c r="AB159" i="82"/>
  <c r="AG159" i="82" s="1"/>
  <c r="AA159" i="82"/>
  <c r="AF159" i="82" s="1"/>
  <c r="AG158" i="82"/>
  <c r="AE158" i="82"/>
  <c r="AD158" i="82"/>
  <c r="AB158" i="82"/>
  <c r="AA158" i="82"/>
  <c r="AF158" i="82" s="1"/>
  <c r="AE157" i="82"/>
  <c r="AD157" i="82"/>
  <c r="AF157" i="82" s="1"/>
  <c r="AB157" i="82"/>
  <c r="AG157" i="82" s="1"/>
  <c r="AA157" i="82"/>
  <c r="AF156" i="82"/>
  <c r="AE156" i="82"/>
  <c r="AD156" i="82"/>
  <c r="AB156" i="82"/>
  <c r="AA156" i="82"/>
  <c r="AF155" i="82"/>
  <c r="AE155" i="82"/>
  <c r="AD155" i="82"/>
  <c r="AB155" i="82"/>
  <c r="AG155" i="82" s="1"/>
  <c r="AA155" i="82"/>
  <c r="AE154" i="82"/>
  <c r="AG154" i="82" s="1"/>
  <c r="AD154" i="82"/>
  <c r="AF154" i="82" s="1"/>
  <c r="AB154" i="82"/>
  <c r="AA154" i="82"/>
  <c r="AF153" i="82"/>
  <c r="AE153" i="82"/>
  <c r="AG153" i="82" s="1"/>
  <c r="AD153" i="82"/>
  <c r="AB153" i="82"/>
  <c r="AA153" i="82"/>
  <c r="AE152" i="82"/>
  <c r="AD152" i="82"/>
  <c r="AB152" i="82"/>
  <c r="AG152" i="82" s="1"/>
  <c r="AA152" i="82"/>
  <c r="AF151" i="82"/>
  <c r="AE151" i="82"/>
  <c r="AG151" i="82" s="1"/>
  <c r="AD151" i="82"/>
  <c r="AB151" i="82"/>
  <c r="AA151" i="82"/>
  <c r="AE150" i="82"/>
  <c r="AD150" i="82"/>
  <c r="AB150" i="82"/>
  <c r="AG150" i="82" s="1"/>
  <c r="AA150" i="82"/>
  <c r="AE149" i="82"/>
  <c r="AD149" i="82"/>
  <c r="AB149" i="82"/>
  <c r="AG149" i="82" s="1"/>
  <c r="AA149" i="82"/>
  <c r="AF148" i="82"/>
  <c r="AE148" i="82"/>
  <c r="AD148" i="82"/>
  <c r="AB148" i="82"/>
  <c r="AG148" i="82" s="1"/>
  <c r="AA148" i="82"/>
  <c r="AE147" i="82"/>
  <c r="AD147" i="82"/>
  <c r="AF147" i="82" s="1"/>
  <c r="AB147" i="82"/>
  <c r="AA147" i="82"/>
  <c r="AF146" i="82"/>
  <c r="AE146" i="82"/>
  <c r="AD146" i="82"/>
  <c r="AB146" i="82"/>
  <c r="AA146" i="82"/>
  <c r="AG145" i="82"/>
  <c r="AE145" i="82"/>
  <c r="AD145" i="82"/>
  <c r="AB145" i="82"/>
  <c r="AA145" i="82"/>
  <c r="AF145" i="82" s="1"/>
  <c r="AG144" i="82"/>
  <c r="AE144" i="82"/>
  <c r="AD144" i="82"/>
  <c r="AF144" i="82" s="1"/>
  <c r="AB144" i="82"/>
  <c r="AA144" i="82"/>
  <c r="AF143" i="82"/>
  <c r="AE143" i="82"/>
  <c r="AG143" i="82" s="1"/>
  <c r="AD143" i="82"/>
  <c r="AB143" i="82"/>
  <c r="AA143" i="82"/>
  <c r="AE142" i="82"/>
  <c r="AD142" i="82"/>
  <c r="AB142" i="82"/>
  <c r="AG142" i="82" s="1"/>
  <c r="AA142" i="82"/>
  <c r="AE141" i="82"/>
  <c r="AD141" i="82"/>
  <c r="AB141" i="82"/>
  <c r="AG141" i="82" s="1"/>
  <c r="AA141" i="82"/>
  <c r="AE140" i="82"/>
  <c r="AD140" i="82"/>
  <c r="AF140" i="82" s="1"/>
  <c r="AB140" i="82"/>
  <c r="AG140" i="82" s="1"/>
  <c r="AA140" i="82"/>
  <c r="AE139" i="82"/>
  <c r="AD139" i="82"/>
  <c r="AB139" i="82"/>
  <c r="AA139" i="82"/>
  <c r="AF139" i="82" s="1"/>
  <c r="AF138" i="82"/>
  <c r="AE138" i="82"/>
  <c r="AD138" i="82"/>
  <c r="AB138" i="82"/>
  <c r="AG138" i="82" s="1"/>
  <c r="AA138" i="82"/>
  <c r="AF137" i="82"/>
  <c r="AE137" i="82"/>
  <c r="AG137" i="82" s="1"/>
  <c r="AD137" i="82"/>
  <c r="AB137" i="82"/>
  <c r="AA137" i="82"/>
  <c r="AF136" i="82"/>
  <c r="AE136" i="82"/>
  <c r="AG136" i="82" s="1"/>
  <c r="AD136" i="82"/>
  <c r="AB136" i="82"/>
  <c r="AA136" i="82"/>
  <c r="AG135" i="82"/>
  <c r="AF135" i="82"/>
  <c r="AE135" i="82"/>
  <c r="AD135" i="82"/>
  <c r="AB135" i="82"/>
  <c r="AA135" i="82"/>
  <c r="AG134" i="82"/>
  <c r="AE134" i="82"/>
  <c r="AD134" i="82"/>
  <c r="AB134" i="82"/>
  <c r="AA134" i="82"/>
  <c r="AG133" i="82"/>
  <c r="AF133" i="82"/>
  <c r="AE133" i="82"/>
  <c r="AD133" i="82"/>
  <c r="AB133" i="82"/>
  <c r="AA133" i="82"/>
  <c r="AG132" i="82"/>
  <c r="AE132" i="82"/>
  <c r="AD132" i="82"/>
  <c r="AF132" i="82" s="1"/>
  <c r="AB132" i="82"/>
  <c r="AA132" i="82"/>
  <c r="AE131" i="82"/>
  <c r="AD131" i="82"/>
  <c r="AB131" i="82"/>
  <c r="AA131" i="82"/>
  <c r="AF131" i="82" s="1"/>
  <c r="AG130" i="82"/>
  <c r="AE130" i="82"/>
  <c r="AD130" i="82"/>
  <c r="AB130" i="82"/>
  <c r="AA130" i="82"/>
  <c r="AF130" i="82" s="1"/>
  <c r="AG129" i="82"/>
  <c r="AE129" i="82"/>
  <c r="AD129" i="82"/>
  <c r="AB129" i="82"/>
  <c r="AA129" i="82"/>
  <c r="AF129" i="82" s="1"/>
  <c r="AE128" i="82"/>
  <c r="AD128" i="82"/>
  <c r="AB128" i="82"/>
  <c r="AG128" i="82" s="1"/>
  <c r="AA128" i="82"/>
  <c r="AE127" i="82"/>
  <c r="AD127" i="82"/>
  <c r="AB127" i="82"/>
  <c r="AG127" i="82" s="1"/>
  <c r="AA127" i="82"/>
  <c r="AF127" i="82" s="1"/>
  <c r="AG126" i="82"/>
  <c r="AE126" i="82"/>
  <c r="AD126" i="82"/>
  <c r="AB126" i="82"/>
  <c r="AA126" i="82"/>
  <c r="AE125" i="82"/>
  <c r="AD125" i="82"/>
  <c r="AF125" i="82" s="1"/>
  <c r="AB125" i="82"/>
  <c r="AG125" i="82" s="1"/>
  <c r="AA125" i="82"/>
  <c r="AF124" i="82"/>
  <c r="AE124" i="82"/>
  <c r="AD124" i="82"/>
  <c r="AB124" i="82"/>
  <c r="AG124" i="82" s="1"/>
  <c r="AA124" i="82"/>
  <c r="AF123" i="82"/>
  <c r="AE123" i="82"/>
  <c r="AD123" i="82"/>
  <c r="AB123" i="82"/>
  <c r="AA123" i="82"/>
  <c r="AE122" i="82"/>
  <c r="AG122" i="82" s="1"/>
  <c r="AD122" i="82"/>
  <c r="AB122" i="82"/>
  <c r="AA122" i="82"/>
  <c r="AF122" i="82" s="1"/>
  <c r="AG121" i="82"/>
  <c r="AE121" i="82"/>
  <c r="AD121" i="82"/>
  <c r="AB121" i="82"/>
  <c r="AA121" i="82"/>
  <c r="AF121" i="82" s="1"/>
  <c r="AG120" i="82"/>
  <c r="AF120" i="82"/>
  <c r="AE120" i="82"/>
  <c r="AD120" i="82"/>
  <c r="AB120" i="82"/>
  <c r="AA120" i="82"/>
  <c r="AE119" i="82"/>
  <c r="AD119" i="82"/>
  <c r="AB119" i="82"/>
  <c r="AG119" i="82" s="1"/>
  <c r="AA119" i="82"/>
  <c r="AF119" i="82" s="1"/>
  <c r="AE118" i="82"/>
  <c r="AD118" i="82"/>
  <c r="AB118" i="82"/>
  <c r="AG118" i="82" s="1"/>
  <c r="AA118" i="82"/>
  <c r="AF118" i="82" s="1"/>
  <c r="AG117" i="82"/>
  <c r="AF117" i="82"/>
  <c r="AE117" i="82"/>
  <c r="AD117" i="82"/>
  <c r="AB117" i="82"/>
  <c r="AA117" i="82"/>
  <c r="AE116" i="82"/>
  <c r="AD116" i="82"/>
  <c r="AF116" i="82" s="1"/>
  <c r="AB116" i="82"/>
  <c r="AG116" i="82" s="1"/>
  <c r="AA116" i="82"/>
  <c r="AE115" i="82"/>
  <c r="AD115" i="82"/>
  <c r="AB115" i="82"/>
  <c r="AG115" i="82" s="1"/>
  <c r="AA115" i="82"/>
  <c r="AF115" i="82" s="1"/>
  <c r="AF114" i="82"/>
  <c r="AE114" i="82"/>
  <c r="AG114" i="82" s="1"/>
  <c r="AD114" i="82"/>
  <c r="AB114" i="82"/>
  <c r="AA114" i="82"/>
  <c r="AE113" i="82"/>
  <c r="AG113" i="82" s="1"/>
  <c r="AD113" i="82"/>
  <c r="AB113" i="82"/>
  <c r="AA113" i="82"/>
  <c r="AF113" i="82" s="1"/>
  <c r="AE112" i="82"/>
  <c r="AD112" i="82"/>
  <c r="AB112" i="82"/>
  <c r="AG112" i="82" s="1"/>
  <c r="AA112" i="82"/>
  <c r="AF112" i="82" s="1"/>
  <c r="AG111" i="82"/>
  <c r="AF111" i="82"/>
  <c r="AE111" i="82"/>
  <c r="AD111" i="82"/>
  <c r="AB111" i="82"/>
  <c r="AA111" i="82"/>
  <c r="AE110" i="82"/>
  <c r="AD110" i="82"/>
  <c r="AB110" i="82"/>
  <c r="AG110" i="82" s="1"/>
  <c r="AA110" i="82"/>
  <c r="AE109" i="82"/>
  <c r="AD109" i="82"/>
  <c r="AB109" i="82"/>
  <c r="AG109" i="82" s="1"/>
  <c r="AA109" i="82"/>
  <c r="AF109" i="82" s="1"/>
  <c r="AF108" i="82"/>
  <c r="AE108" i="82"/>
  <c r="AD108" i="82"/>
  <c r="AB108" i="82"/>
  <c r="AG108" i="82" s="1"/>
  <c r="AA108" i="82"/>
  <c r="AE107" i="82"/>
  <c r="AD107" i="82"/>
  <c r="AF107" i="82" s="1"/>
  <c r="AB107" i="82"/>
  <c r="AA107" i="82"/>
  <c r="AE106" i="82"/>
  <c r="AD106" i="82"/>
  <c r="AB106" i="82"/>
  <c r="AG106" i="82" s="1"/>
  <c r="AA106" i="82"/>
  <c r="AF106" i="82" s="1"/>
  <c r="AG105" i="82"/>
  <c r="AE105" i="82"/>
  <c r="AD105" i="82"/>
  <c r="AB105" i="82"/>
  <c r="AA105" i="82"/>
  <c r="AF105" i="82" s="1"/>
  <c r="AG104" i="82"/>
  <c r="AF104" i="82"/>
  <c r="AE104" i="82"/>
  <c r="AD104" i="82"/>
  <c r="AB104" i="82"/>
  <c r="AA104" i="82"/>
  <c r="AE103" i="82"/>
  <c r="AG103" i="82" s="1"/>
  <c r="AD103" i="82"/>
  <c r="AF103" i="82" s="1"/>
  <c r="AB103" i="82"/>
  <c r="AA103" i="82"/>
  <c r="AE102" i="82"/>
  <c r="AD102" i="82"/>
  <c r="AB102" i="82"/>
  <c r="AG102" i="82" s="1"/>
  <c r="AA102" i="82"/>
  <c r="AF102" i="82" s="1"/>
  <c r="AG101" i="82"/>
  <c r="AF101" i="82"/>
  <c r="AE101" i="82"/>
  <c r="AD101" i="82"/>
  <c r="AB101" i="82"/>
  <c r="AA101" i="82"/>
  <c r="AE100" i="82"/>
  <c r="AG100" i="82" s="1"/>
  <c r="AD100" i="82"/>
  <c r="AF100" i="82" s="1"/>
  <c r="AB100" i="82"/>
  <c r="AA100" i="82"/>
  <c r="AE99" i="82"/>
  <c r="AD99" i="82"/>
  <c r="AB99" i="82"/>
  <c r="AG99" i="82" s="1"/>
  <c r="AA99" i="82"/>
  <c r="AG98" i="82"/>
  <c r="AF98" i="82"/>
  <c r="AE98" i="82"/>
  <c r="AD98" i="82"/>
  <c r="AB98" i="82"/>
  <c r="AA98" i="82"/>
  <c r="AF97" i="82"/>
  <c r="AE97" i="82"/>
  <c r="AG97" i="82" s="1"/>
  <c r="AD97" i="82"/>
  <c r="AB97" i="82"/>
  <c r="AA97" i="82"/>
  <c r="AG96" i="82"/>
  <c r="AE96" i="82"/>
  <c r="AD96" i="82"/>
  <c r="AF96" i="82" s="1"/>
  <c r="AB96" i="82"/>
  <c r="AA96" i="82"/>
  <c r="AE95" i="82"/>
  <c r="AD95" i="82"/>
  <c r="AB95" i="82"/>
  <c r="AG95" i="82" s="1"/>
  <c r="AA95" i="82"/>
  <c r="AF95" i="82" s="1"/>
  <c r="AG94" i="82"/>
  <c r="AE94" i="82"/>
  <c r="AD94" i="82"/>
  <c r="AB94" i="82"/>
  <c r="AA94" i="82"/>
  <c r="AF94" i="82" s="1"/>
  <c r="AG93" i="82"/>
  <c r="AF93" i="82"/>
  <c r="AE93" i="82"/>
  <c r="AD93" i="82"/>
  <c r="AB93" i="82"/>
  <c r="AA93" i="82"/>
  <c r="AE92" i="82"/>
  <c r="AD92" i="82"/>
  <c r="AF92" i="82" s="1"/>
  <c r="AB92" i="82"/>
  <c r="AG92" i="82" s="1"/>
  <c r="AA92" i="82"/>
  <c r="AE91" i="82"/>
  <c r="AD91" i="82"/>
  <c r="AB91" i="82"/>
  <c r="AG91" i="82" s="1"/>
  <c r="AA91" i="82"/>
  <c r="AF91" i="82" s="1"/>
  <c r="AE90" i="82"/>
  <c r="AD90" i="82"/>
  <c r="AF90" i="82" s="1"/>
  <c r="AB90" i="82"/>
  <c r="AG90" i="82" s="1"/>
  <c r="AA90" i="82"/>
  <c r="AG89" i="82"/>
  <c r="AF89" i="82"/>
  <c r="AE89" i="82"/>
  <c r="AD89" i="82"/>
  <c r="AB89" i="82"/>
  <c r="AA89" i="82"/>
  <c r="AE88" i="82"/>
  <c r="AD88" i="82"/>
  <c r="AB88" i="82"/>
  <c r="AA88" i="82"/>
  <c r="AF88" i="82" s="1"/>
  <c r="AE87" i="82"/>
  <c r="AD87" i="82"/>
  <c r="AB87" i="82"/>
  <c r="AG87" i="82" s="1"/>
  <c r="AA87" i="82"/>
  <c r="AF87" i="82" s="1"/>
  <c r="AE86" i="82"/>
  <c r="AD86" i="82"/>
  <c r="AB86" i="82"/>
  <c r="AG86" i="82" s="1"/>
  <c r="AA86" i="82"/>
  <c r="AE85" i="82"/>
  <c r="AD85" i="82"/>
  <c r="AB85" i="82"/>
  <c r="AA85" i="82"/>
  <c r="AF85" i="82" s="1"/>
  <c r="AE84" i="82"/>
  <c r="AD84" i="82"/>
  <c r="AF84" i="82" s="1"/>
  <c r="AB84" i="82"/>
  <c r="AG84" i="82" s="1"/>
  <c r="AA84" i="82"/>
  <c r="AF83" i="82"/>
  <c r="AE83" i="82"/>
  <c r="AD83" i="82"/>
  <c r="AB83" i="82"/>
  <c r="AA83" i="82"/>
  <c r="AF82" i="82"/>
  <c r="AE82" i="82"/>
  <c r="AD82" i="82"/>
  <c r="AB82" i="82"/>
  <c r="AG82" i="82" s="1"/>
  <c r="AA82" i="82"/>
  <c r="AF81" i="82"/>
  <c r="AE81" i="82"/>
  <c r="AG81" i="82" s="1"/>
  <c r="AD81" i="82"/>
  <c r="AB81" i="82"/>
  <c r="AA81" i="82"/>
  <c r="AE80" i="82"/>
  <c r="AD80" i="82"/>
  <c r="AB80" i="82"/>
  <c r="AG80" i="82" s="1"/>
  <c r="AA80" i="82"/>
  <c r="AF80" i="82" s="1"/>
  <c r="AE79" i="82"/>
  <c r="AD79" i="82"/>
  <c r="AB79" i="82"/>
  <c r="AG79" i="82" s="1"/>
  <c r="AA79" i="82"/>
  <c r="AE78" i="82"/>
  <c r="AD78" i="82"/>
  <c r="AB78" i="82"/>
  <c r="AG78" i="82" s="1"/>
  <c r="AA78" i="82"/>
  <c r="AF78" i="82" s="1"/>
  <c r="AE77" i="82"/>
  <c r="AD77" i="82"/>
  <c r="AB77" i="82"/>
  <c r="AG77" i="82" s="1"/>
  <c r="AA77" i="82"/>
  <c r="AF77" i="82" s="1"/>
  <c r="AE76" i="82"/>
  <c r="AD76" i="82"/>
  <c r="AF76" i="82" s="1"/>
  <c r="AB76" i="82"/>
  <c r="AG76" i="82" s="1"/>
  <c r="AA76" i="82"/>
  <c r="AF75" i="82"/>
  <c r="AE75" i="82"/>
  <c r="AD75" i="82"/>
  <c r="AB75" i="82"/>
  <c r="AA75" i="82"/>
  <c r="AF74" i="82"/>
  <c r="AE74" i="82"/>
  <c r="AD74" i="82"/>
  <c r="AB74" i="82"/>
  <c r="AG74" i="82" s="1"/>
  <c r="AA74" i="82"/>
  <c r="AE73" i="82"/>
  <c r="AG73" i="82" s="1"/>
  <c r="AD73" i="82"/>
  <c r="AB73" i="82"/>
  <c r="AA73" i="82"/>
  <c r="AF73" i="82" s="1"/>
  <c r="AE72" i="82"/>
  <c r="AG72" i="82" s="1"/>
  <c r="AD72" i="82"/>
  <c r="AB72" i="82"/>
  <c r="AA72" i="82"/>
  <c r="AE71" i="82"/>
  <c r="AD71" i="82"/>
  <c r="AB71" i="82"/>
  <c r="AA71" i="82"/>
  <c r="AE70" i="82"/>
  <c r="AD70" i="82"/>
  <c r="AB70" i="82"/>
  <c r="AG70" i="82" s="1"/>
  <c r="AA70" i="82"/>
  <c r="AF70" i="82" s="1"/>
  <c r="AF69" i="82"/>
  <c r="AE69" i="82"/>
  <c r="AD69" i="82"/>
  <c r="AB69" i="82"/>
  <c r="AG69" i="82" s="1"/>
  <c r="AA69" i="82"/>
  <c r="AF68" i="82"/>
  <c r="AE68" i="82"/>
  <c r="AD68" i="82"/>
  <c r="AB68" i="82"/>
  <c r="AA68" i="82"/>
  <c r="AE67" i="82"/>
  <c r="AD67" i="82"/>
  <c r="AB67" i="82"/>
  <c r="AG67" i="82" s="1"/>
  <c r="AA67" i="82"/>
  <c r="AF67" i="82" s="1"/>
  <c r="AG66" i="82"/>
  <c r="AE66" i="82"/>
  <c r="AD66" i="82"/>
  <c r="AF66" i="82" s="1"/>
  <c r="AB66" i="82"/>
  <c r="AA66" i="82"/>
  <c r="AE65" i="82"/>
  <c r="Z65" i="82"/>
  <c r="Y65" i="82"/>
  <c r="X65" i="82"/>
  <c r="W65" i="82"/>
  <c r="V65" i="82"/>
  <c r="U65" i="82"/>
  <c r="T65" i="82"/>
  <c r="S65" i="82"/>
  <c r="R65" i="82"/>
  <c r="Q65" i="82"/>
  <c r="P65" i="82"/>
  <c r="O65" i="82"/>
  <c r="N65" i="82"/>
  <c r="M65" i="82"/>
  <c r="L65" i="82"/>
  <c r="K65" i="82"/>
  <c r="AA65" i="82" s="1"/>
  <c r="J65" i="82"/>
  <c r="I65" i="82"/>
  <c r="H65" i="82"/>
  <c r="G65" i="82"/>
  <c r="F65" i="82"/>
  <c r="E65" i="82"/>
  <c r="C65" i="82"/>
  <c r="AE64" i="82"/>
  <c r="AG64" i="82" s="1"/>
  <c r="AD64" i="82"/>
  <c r="AB64" i="82"/>
  <c r="AA64" i="82"/>
  <c r="AE63" i="82"/>
  <c r="AD63" i="82"/>
  <c r="AB63" i="82"/>
  <c r="AG63" i="82" s="1"/>
  <c r="AA63" i="82"/>
  <c r="AF63" i="82" s="1"/>
  <c r="AG62" i="82"/>
  <c r="AE62" i="82"/>
  <c r="AD62" i="82"/>
  <c r="AB62" i="82"/>
  <c r="AA62" i="82"/>
  <c r="AE61" i="82"/>
  <c r="AG61" i="82" s="1"/>
  <c r="AD61" i="82"/>
  <c r="AF61" i="82" s="1"/>
  <c r="AB61" i="82"/>
  <c r="AA61" i="82"/>
  <c r="AE60" i="82"/>
  <c r="AD60" i="82"/>
  <c r="AB60" i="82"/>
  <c r="AG60" i="82" s="1"/>
  <c r="AA60" i="82"/>
  <c r="AF60" i="82" s="1"/>
  <c r="AG59" i="82"/>
  <c r="AE59" i="82"/>
  <c r="AD59" i="82"/>
  <c r="AF59" i="82" s="1"/>
  <c r="AB59" i="82"/>
  <c r="AA59" i="82"/>
  <c r="AG58" i="82"/>
  <c r="AF58" i="82"/>
  <c r="AE58" i="82"/>
  <c r="AD58" i="82"/>
  <c r="AB58" i="82"/>
  <c r="AA58" i="82"/>
  <c r="AE57" i="82"/>
  <c r="AD57" i="82"/>
  <c r="AF57" i="82" s="1"/>
  <c r="AB57" i="82"/>
  <c r="AA57" i="82"/>
  <c r="AF56" i="82"/>
  <c r="AE56" i="82"/>
  <c r="AD56" i="82"/>
  <c r="AB56" i="82"/>
  <c r="AA56" i="82"/>
  <c r="AE55" i="82"/>
  <c r="AD55" i="82"/>
  <c r="AB55" i="82"/>
  <c r="AA55" i="82"/>
  <c r="AF55" i="82" s="1"/>
  <c r="AE54" i="82"/>
  <c r="AD54" i="82"/>
  <c r="AF54" i="82" s="1"/>
  <c r="AB54" i="82"/>
  <c r="AG54" i="82" s="1"/>
  <c r="AA54" i="82"/>
  <c r="Z54" i="82"/>
  <c r="X54" i="82"/>
  <c r="T54" i="82"/>
  <c r="R54" i="82"/>
  <c r="P54" i="82"/>
  <c r="N54" i="82"/>
  <c r="L54" i="82"/>
  <c r="J54" i="82"/>
  <c r="H54" i="82"/>
  <c r="F54" i="82"/>
  <c r="D54" i="82"/>
  <c r="Z53" i="82"/>
  <c r="Z29" i="82" s="1"/>
  <c r="Y53" i="82"/>
  <c r="Y29" i="82" s="1"/>
  <c r="X53" i="82"/>
  <c r="W53" i="82"/>
  <c r="V53" i="82"/>
  <c r="U53" i="82"/>
  <c r="T53" i="82"/>
  <c r="S53" i="82"/>
  <c r="R53" i="82"/>
  <c r="Q53" i="82"/>
  <c r="P53" i="82"/>
  <c r="O53" i="82"/>
  <c r="N53" i="82"/>
  <c r="M53" i="82"/>
  <c r="L53" i="82"/>
  <c r="K53" i="82"/>
  <c r="J53" i="82"/>
  <c r="I53" i="82"/>
  <c r="I29" i="82" s="1"/>
  <c r="H53" i="82"/>
  <c r="G53" i="82"/>
  <c r="F53" i="82"/>
  <c r="E53" i="82"/>
  <c r="D53" i="82"/>
  <c r="C53" i="82"/>
  <c r="AG52" i="82"/>
  <c r="AE52" i="82"/>
  <c r="AD52" i="82"/>
  <c r="AB52" i="82"/>
  <c r="AA52" i="82"/>
  <c r="AF52" i="82" s="1"/>
  <c r="AE51" i="82"/>
  <c r="AG51" i="82" s="1"/>
  <c r="AD51" i="82"/>
  <c r="AF51" i="82" s="1"/>
  <c r="AB51" i="82"/>
  <c r="AA51" i="82"/>
  <c r="AF50" i="82"/>
  <c r="AE50" i="82"/>
  <c r="AD50" i="82"/>
  <c r="AB50" i="82"/>
  <c r="AA50" i="82"/>
  <c r="AG49" i="82"/>
  <c r="AF49" i="82"/>
  <c r="AE49" i="82"/>
  <c r="AD49" i="82"/>
  <c r="AB49" i="82"/>
  <c r="AA49" i="82"/>
  <c r="AE48" i="82"/>
  <c r="AG48" i="82" s="1"/>
  <c r="AD48" i="82"/>
  <c r="AB48" i="82"/>
  <c r="AA48" i="82"/>
  <c r="AF48" i="82" s="1"/>
  <c r="AG47" i="82"/>
  <c r="AE47" i="82"/>
  <c r="AD47" i="82"/>
  <c r="AB47" i="82"/>
  <c r="AA47" i="82"/>
  <c r="AG46" i="82"/>
  <c r="AF46" i="82"/>
  <c r="AE46" i="82"/>
  <c r="AD46" i="82"/>
  <c r="AB46" i="82"/>
  <c r="AA46" i="82"/>
  <c r="AE45" i="82"/>
  <c r="AD45" i="82"/>
  <c r="AB45" i="82"/>
  <c r="AG45" i="82" s="1"/>
  <c r="AA45" i="82"/>
  <c r="AF45" i="82" s="1"/>
  <c r="AE44" i="82"/>
  <c r="AD44" i="82"/>
  <c r="AB44" i="82"/>
  <c r="AA44" i="82"/>
  <c r="AF43" i="82"/>
  <c r="AE43" i="82"/>
  <c r="AD43" i="82"/>
  <c r="AB43" i="82"/>
  <c r="AA43" i="82"/>
  <c r="Z42" i="82"/>
  <c r="Y42" i="82"/>
  <c r="X42" i="82"/>
  <c r="W42" i="82"/>
  <c r="W29" i="82" s="1"/>
  <c r="V42" i="82"/>
  <c r="V29" i="82" s="1"/>
  <c r="U42" i="82"/>
  <c r="T42" i="82"/>
  <c r="S42" i="82"/>
  <c r="R42" i="82"/>
  <c r="Q42" i="82"/>
  <c r="P42" i="82"/>
  <c r="O42" i="82"/>
  <c r="N42" i="82"/>
  <c r="M42" i="82"/>
  <c r="L42" i="82"/>
  <c r="K42" i="82"/>
  <c r="J42" i="82"/>
  <c r="I42" i="82"/>
  <c r="H42" i="82"/>
  <c r="G42" i="82"/>
  <c r="F42" i="82"/>
  <c r="E42" i="82"/>
  <c r="D42" i="82"/>
  <c r="C42" i="82"/>
  <c r="AG41" i="82"/>
  <c r="AE41" i="82"/>
  <c r="AD41" i="82"/>
  <c r="AB41" i="82"/>
  <c r="AA41" i="82"/>
  <c r="AE40" i="82"/>
  <c r="AG40" i="82" s="1"/>
  <c r="AD40" i="82"/>
  <c r="AB40" i="82"/>
  <c r="AA40" i="82"/>
  <c r="AF40" i="82" s="1"/>
  <c r="AG39" i="82"/>
  <c r="AF39" i="82"/>
  <c r="AE39" i="82"/>
  <c r="AD39" i="82"/>
  <c r="AB39" i="82"/>
  <c r="AA39" i="82"/>
  <c r="AF38" i="82"/>
  <c r="AE38" i="82"/>
  <c r="AD38" i="82"/>
  <c r="AB38" i="82"/>
  <c r="AA38" i="82"/>
  <c r="AF37" i="82"/>
  <c r="AE37" i="82"/>
  <c r="AD37" i="82"/>
  <c r="AB37" i="82"/>
  <c r="AG37" i="82" s="1"/>
  <c r="AA37" i="82"/>
  <c r="AG36" i="82"/>
  <c r="AE36" i="82"/>
  <c r="AD36" i="82"/>
  <c r="AB36" i="82"/>
  <c r="AA36" i="82"/>
  <c r="AF36" i="82" s="1"/>
  <c r="AG35" i="82"/>
  <c r="AE35" i="82"/>
  <c r="AD35" i="82"/>
  <c r="AB35" i="82"/>
  <c r="AA35" i="82"/>
  <c r="AF35" i="82" s="1"/>
  <c r="AE34" i="82"/>
  <c r="AD34" i="82"/>
  <c r="AB34" i="82"/>
  <c r="AG34" i="82" s="1"/>
  <c r="AA34" i="82"/>
  <c r="Z33" i="82"/>
  <c r="Y33" i="82"/>
  <c r="X33" i="82"/>
  <c r="W33" i="82"/>
  <c r="V33" i="82"/>
  <c r="U33" i="82"/>
  <c r="T33" i="82"/>
  <c r="T29" i="82" s="1"/>
  <c r="S33" i="82"/>
  <c r="R33" i="82"/>
  <c r="Q33" i="82"/>
  <c r="P33" i="82"/>
  <c r="O33" i="82"/>
  <c r="N33" i="82"/>
  <c r="M33" i="82"/>
  <c r="L33" i="82"/>
  <c r="K33" i="82"/>
  <c r="J33" i="82"/>
  <c r="I33" i="82"/>
  <c r="H33" i="82"/>
  <c r="G33" i="82"/>
  <c r="F33" i="82"/>
  <c r="E33" i="82"/>
  <c r="D33" i="82"/>
  <c r="C33" i="82"/>
  <c r="AE32" i="82"/>
  <c r="AG32" i="82" s="1"/>
  <c r="AD32" i="82"/>
  <c r="AB32" i="82"/>
  <c r="AA32" i="82"/>
  <c r="AF32" i="82" s="1"/>
  <c r="Z32" i="82"/>
  <c r="X32" i="82"/>
  <c r="V32" i="82"/>
  <c r="T32" i="82"/>
  <c r="R32" i="82"/>
  <c r="P32" i="82"/>
  <c r="N32" i="82"/>
  <c r="L32" i="82"/>
  <c r="J32" i="82"/>
  <c r="H32" i="82"/>
  <c r="F32" i="82"/>
  <c r="D32" i="82"/>
  <c r="AE31" i="82"/>
  <c r="AD31" i="82"/>
  <c r="AB31" i="82"/>
  <c r="AG31" i="82" s="1"/>
  <c r="AA31" i="82"/>
  <c r="AD30" i="82"/>
  <c r="AB30" i="82"/>
  <c r="Z30" i="82"/>
  <c r="Y30" i="82"/>
  <c r="X30" i="82"/>
  <c r="W30" i="82"/>
  <c r="V30" i="82"/>
  <c r="U30" i="82"/>
  <c r="T30" i="82"/>
  <c r="S30" i="82"/>
  <c r="S29" i="82" s="1"/>
  <c r="R30" i="82"/>
  <c r="Q30" i="82"/>
  <c r="Q29" i="82" s="1"/>
  <c r="P30" i="82"/>
  <c r="O30" i="82"/>
  <c r="N30" i="82"/>
  <c r="M30" i="82"/>
  <c r="M29" i="82" s="1"/>
  <c r="L30" i="82"/>
  <c r="L29" i="82" s="1"/>
  <c r="K30" i="82"/>
  <c r="AA30" i="82" s="1"/>
  <c r="AF30" i="82" s="1"/>
  <c r="J30" i="82"/>
  <c r="I30" i="82"/>
  <c r="H30" i="82"/>
  <c r="G30" i="82"/>
  <c r="F30" i="82"/>
  <c r="E30" i="82"/>
  <c r="D30" i="82"/>
  <c r="C30" i="82"/>
  <c r="X29" i="82"/>
  <c r="U29" i="82"/>
  <c r="P29" i="82"/>
  <c r="O29" i="82"/>
  <c r="N29" i="82"/>
  <c r="H29" i="82"/>
  <c r="Z28" i="82"/>
  <c r="V28" i="82"/>
  <c r="T28" i="82"/>
  <c r="P28" i="82"/>
  <c r="L28" i="82"/>
  <c r="I28" i="82"/>
  <c r="H28" i="82"/>
  <c r="K26" i="82"/>
  <c r="K27" i="82" s="1"/>
  <c r="AF25" i="82"/>
  <c r="AE25" i="82"/>
  <c r="AD25" i="82"/>
  <c r="AB25" i="82"/>
  <c r="AG25" i="82" s="1"/>
  <c r="AA25" i="82"/>
  <c r="AE24" i="82"/>
  <c r="AD24" i="82"/>
  <c r="AB24" i="82"/>
  <c r="AA24" i="82"/>
  <c r="AG23" i="82"/>
  <c r="AE23" i="82"/>
  <c r="AD23" i="82"/>
  <c r="AB23" i="82"/>
  <c r="AA23" i="82"/>
  <c r="AF23" i="82" s="1"/>
  <c r="AE22" i="82"/>
  <c r="AD22" i="82"/>
  <c r="AB22" i="82"/>
  <c r="AG22" i="82" s="1"/>
  <c r="AA22" i="82"/>
  <c r="AF22" i="82" s="1"/>
  <c r="AE21" i="82"/>
  <c r="AD21" i="82"/>
  <c r="AB21" i="82"/>
  <c r="AG21" i="82" s="1"/>
  <c r="AA21" i="82"/>
  <c r="AF21" i="82" s="1"/>
  <c r="AG20" i="82"/>
  <c r="AE20" i="82"/>
  <c r="AD20" i="82"/>
  <c r="AB20" i="82"/>
  <c r="AA20" i="82"/>
  <c r="AF20" i="82" s="1"/>
  <c r="AE19" i="82"/>
  <c r="AD19" i="82"/>
  <c r="AB19" i="82"/>
  <c r="AG19" i="82" s="1"/>
  <c r="AA19" i="82"/>
  <c r="AE18" i="82"/>
  <c r="AD18" i="82"/>
  <c r="AB18" i="82"/>
  <c r="AG18" i="82" s="1"/>
  <c r="AA18" i="82"/>
  <c r="AF18" i="82" s="1"/>
  <c r="AF17" i="82"/>
  <c r="AE17" i="82"/>
  <c r="AG17" i="82" s="1"/>
  <c r="AD17" i="82"/>
  <c r="AB17" i="82"/>
  <c r="AA17" i="82"/>
  <c r="Z16" i="82"/>
  <c r="Y16" i="82"/>
  <c r="X16" i="82"/>
  <c r="X26" i="82" s="1"/>
  <c r="X27" i="82" s="1"/>
  <c r="W16" i="82"/>
  <c r="V16" i="82"/>
  <c r="U16" i="82"/>
  <c r="T16" i="82"/>
  <c r="S16" i="82"/>
  <c r="R16" i="82"/>
  <c r="R26" i="82" s="1"/>
  <c r="R27" i="82" s="1"/>
  <c r="Q16" i="82"/>
  <c r="P16" i="82"/>
  <c r="O16" i="82"/>
  <c r="N16" i="82"/>
  <c r="M16" i="82"/>
  <c r="L16" i="82"/>
  <c r="K16" i="82"/>
  <c r="J16" i="82"/>
  <c r="J26" i="82" s="1"/>
  <c r="J27" i="82" s="1"/>
  <c r="I16" i="82"/>
  <c r="I26" i="82" s="1"/>
  <c r="I27" i="82" s="1"/>
  <c r="H16" i="82"/>
  <c r="H26" i="82" s="1"/>
  <c r="H27" i="82" s="1"/>
  <c r="G16" i="82"/>
  <c r="F16" i="82"/>
  <c r="E16" i="82"/>
  <c r="D16" i="82"/>
  <c r="AB16" i="82" s="1"/>
  <c r="C16" i="82"/>
  <c r="AD16" i="82" s="1"/>
  <c r="AG15" i="82"/>
  <c r="AE15" i="82"/>
  <c r="AD15" i="82"/>
  <c r="AB15" i="82"/>
  <c r="AA15" i="82"/>
  <c r="AF14" i="82"/>
  <c r="AE14" i="82"/>
  <c r="AD14" i="82"/>
  <c r="AB14" i="82"/>
  <c r="AG14" i="82" s="1"/>
  <c r="AA14" i="82"/>
  <c r="AE13" i="82"/>
  <c r="AD13" i="82"/>
  <c r="AB13" i="82"/>
  <c r="AG13" i="82" s="1"/>
  <c r="AA13" i="82"/>
  <c r="AE12" i="82"/>
  <c r="AD12" i="82"/>
  <c r="AF12" i="82" s="1"/>
  <c r="AB12" i="82"/>
  <c r="AA12" i="82"/>
  <c r="AE11" i="82"/>
  <c r="AD11" i="82"/>
  <c r="AB11" i="82"/>
  <c r="AG11" i="82" s="1"/>
  <c r="AA11" i="82"/>
  <c r="AE10" i="82"/>
  <c r="AD10" i="82"/>
  <c r="AB10" i="82"/>
  <c r="AA10" i="82"/>
  <c r="AF10" i="82" s="1"/>
  <c r="AE9" i="82"/>
  <c r="AD9" i="82"/>
  <c r="AB9" i="82"/>
  <c r="AG9" i="82" s="1"/>
  <c r="AA9" i="82"/>
  <c r="AF9" i="82" s="1"/>
  <c r="AE8" i="82"/>
  <c r="AD8" i="82"/>
  <c r="AB8" i="82"/>
  <c r="AA8" i="82"/>
  <c r="AE7" i="82"/>
  <c r="AD7" i="82"/>
  <c r="AB7" i="82"/>
  <c r="AA7" i="82"/>
  <c r="Z6" i="82"/>
  <c r="Y6" i="82"/>
  <c r="AI4" i="106" s="1"/>
  <c r="X6" i="82"/>
  <c r="W6" i="82"/>
  <c r="V6" i="82"/>
  <c r="AE4" i="106" s="1"/>
  <c r="U6" i="82"/>
  <c r="AC4" i="106" s="1"/>
  <c r="T6" i="82"/>
  <c r="S6" i="82"/>
  <c r="Z4" i="106" s="1"/>
  <c r="R6" i="82"/>
  <c r="R28" i="82" s="1"/>
  <c r="Q6" i="82"/>
  <c r="P6" i="82"/>
  <c r="O6" i="82"/>
  <c r="N6" i="82"/>
  <c r="N28" i="82" s="1"/>
  <c r="M6" i="82"/>
  <c r="M28" i="82" s="1"/>
  <c r="L6" i="82"/>
  <c r="L267" i="82" s="1"/>
  <c r="K6" i="82"/>
  <c r="K28" i="82" s="1"/>
  <c r="J6" i="82"/>
  <c r="I6" i="82"/>
  <c r="H6" i="82"/>
  <c r="G6" i="82"/>
  <c r="F6" i="82"/>
  <c r="E6" i="82"/>
  <c r="E28" i="82" s="1"/>
  <c r="D6" i="82"/>
  <c r="D28" i="82" s="1"/>
  <c r="C6" i="82"/>
  <c r="AE268" i="104"/>
  <c r="AB268" i="104"/>
  <c r="Z268" i="104"/>
  <c r="X268" i="104"/>
  <c r="V268" i="104"/>
  <c r="T268" i="104"/>
  <c r="R268" i="104"/>
  <c r="P268" i="104"/>
  <c r="N268" i="104"/>
  <c r="L268" i="104"/>
  <c r="J268" i="104"/>
  <c r="H268" i="104"/>
  <c r="F268" i="104"/>
  <c r="D268" i="104"/>
  <c r="AG267" i="104"/>
  <c r="AE267" i="104"/>
  <c r="AB267" i="104"/>
  <c r="Z267" i="104"/>
  <c r="X267" i="104"/>
  <c r="V267" i="104"/>
  <c r="T267" i="104"/>
  <c r="R267" i="104"/>
  <c r="P267" i="104"/>
  <c r="N267" i="104"/>
  <c r="L267" i="104"/>
  <c r="J267" i="104"/>
  <c r="H267" i="104"/>
  <c r="F267" i="104"/>
  <c r="D267" i="104"/>
  <c r="AG266" i="104"/>
  <c r="AF266" i="104"/>
  <c r="AE266" i="104"/>
  <c r="AD266" i="104"/>
  <c r="AB266" i="104"/>
  <c r="AA266" i="104"/>
  <c r="Z266" i="104"/>
  <c r="Y266" i="104"/>
  <c r="X266" i="104"/>
  <c r="W266" i="104"/>
  <c r="V266" i="104"/>
  <c r="U266" i="104"/>
  <c r="T266" i="104"/>
  <c r="S266" i="104"/>
  <c r="R266" i="104"/>
  <c r="Q266" i="104"/>
  <c r="P266" i="104"/>
  <c r="O266" i="104"/>
  <c r="N266" i="104"/>
  <c r="M266" i="104"/>
  <c r="L266" i="104"/>
  <c r="K266" i="104"/>
  <c r="J266" i="104"/>
  <c r="I266" i="104"/>
  <c r="H266" i="104"/>
  <c r="G266" i="104"/>
  <c r="F266" i="104"/>
  <c r="E266" i="104"/>
  <c r="D266" i="104"/>
  <c r="C266" i="104"/>
  <c r="AE265" i="104"/>
  <c r="AD265" i="104"/>
  <c r="AB265" i="104"/>
  <c r="AA265" i="104"/>
  <c r="Z265" i="104"/>
  <c r="Y265" i="104"/>
  <c r="X265" i="104"/>
  <c r="W265" i="104"/>
  <c r="V265" i="104"/>
  <c r="U265" i="104"/>
  <c r="T265" i="104"/>
  <c r="S265" i="104"/>
  <c r="R265" i="104"/>
  <c r="Q265" i="104"/>
  <c r="P265" i="104"/>
  <c r="O265" i="104"/>
  <c r="N265" i="104"/>
  <c r="M265" i="104"/>
  <c r="L265" i="104"/>
  <c r="K265" i="104"/>
  <c r="J265" i="104"/>
  <c r="I265" i="104"/>
  <c r="H265" i="104"/>
  <c r="G265" i="104"/>
  <c r="F265" i="104"/>
  <c r="E265" i="104"/>
  <c r="D265" i="104"/>
  <c r="C265" i="104"/>
  <c r="AE264" i="104"/>
  <c r="AD264" i="104"/>
  <c r="AB264" i="104"/>
  <c r="AA264" i="104"/>
  <c r="Z264" i="104"/>
  <c r="X264" i="104"/>
  <c r="P264" i="104"/>
  <c r="N264" i="104"/>
  <c r="AG263" i="104"/>
  <c r="AF263" i="104"/>
  <c r="AE263" i="104"/>
  <c r="AD263" i="104"/>
  <c r="AB263" i="104"/>
  <c r="AA263" i="104"/>
  <c r="Z263" i="104"/>
  <c r="Y263" i="104"/>
  <c r="X263" i="104"/>
  <c r="W263" i="104"/>
  <c r="V263" i="104"/>
  <c r="U263" i="104"/>
  <c r="T263" i="104"/>
  <c r="S263" i="104"/>
  <c r="R263" i="104"/>
  <c r="Q263" i="104"/>
  <c r="P263" i="104"/>
  <c r="O263" i="104"/>
  <c r="N263" i="104"/>
  <c r="M263" i="104"/>
  <c r="L263" i="104"/>
  <c r="K263" i="104"/>
  <c r="J263" i="104"/>
  <c r="I263" i="104"/>
  <c r="H263" i="104"/>
  <c r="G263" i="104"/>
  <c r="F263" i="104"/>
  <c r="E263" i="104"/>
  <c r="D263" i="104"/>
  <c r="C263" i="104"/>
  <c r="AG262" i="104"/>
  <c r="AF262" i="104"/>
  <c r="AE262" i="104"/>
  <c r="AD262" i="104"/>
  <c r="AB262" i="104"/>
  <c r="AA262" i="104"/>
  <c r="AG261" i="104"/>
  <c r="AF261" i="104"/>
  <c r="AE261" i="104"/>
  <c r="AD261" i="104"/>
  <c r="AB261" i="104"/>
  <c r="AA261" i="104"/>
  <c r="Z261" i="104"/>
  <c r="Y261" i="104"/>
  <c r="X261" i="104"/>
  <c r="W261" i="104"/>
  <c r="V261" i="104"/>
  <c r="U261" i="104"/>
  <c r="T261" i="104"/>
  <c r="S261" i="104"/>
  <c r="R261" i="104"/>
  <c r="Q261" i="104"/>
  <c r="P261" i="104"/>
  <c r="O261" i="104"/>
  <c r="N261" i="104"/>
  <c r="M261" i="104"/>
  <c r="L261" i="104"/>
  <c r="K261" i="104"/>
  <c r="J261" i="104"/>
  <c r="I261" i="104"/>
  <c r="H261" i="104"/>
  <c r="G261" i="104"/>
  <c r="F261" i="104"/>
  <c r="E261" i="104"/>
  <c r="D261" i="104"/>
  <c r="C261" i="104"/>
  <c r="AG260" i="104"/>
  <c r="AF260" i="104"/>
  <c r="AE260" i="104"/>
  <c r="AD260" i="104"/>
  <c r="AB260" i="104"/>
  <c r="AA260" i="104"/>
  <c r="AG259" i="104"/>
  <c r="AF259" i="104"/>
  <c r="AE259" i="104"/>
  <c r="AD259" i="104"/>
  <c r="AB259" i="104"/>
  <c r="AA259" i="104"/>
  <c r="AG258" i="104"/>
  <c r="AF258" i="104"/>
  <c r="AE258" i="104"/>
  <c r="AD258" i="104"/>
  <c r="AB258" i="104"/>
  <c r="AA258" i="104"/>
  <c r="Z258" i="104"/>
  <c r="Y258" i="104"/>
  <c r="X258" i="104"/>
  <c r="W258" i="104"/>
  <c r="V258" i="104"/>
  <c r="U258" i="104"/>
  <c r="T258" i="104"/>
  <c r="S258" i="104"/>
  <c r="R258" i="104"/>
  <c r="Q258" i="104"/>
  <c r="P258" i="104"/>
  <c r="O258" i="104"/>
  <c r="N258" i="104"/>
  <c r="M258" i="104"/>
  <c r="L258" i="104"/>
  <c r="K258" i="104"/>
  <c r="J258" i="104"/>
  <c r="I258" i="104"/>
  <c r="H258" i="104"/>
  <c r="G258" i="104"/>
  <c r="F258" i="104"/>
  <c r="E258" i="104"/>
  <c r="D258" i="104"/>
  <c r="C258" i="104"/>
  <c r="AG257" i="104"/>
  <c r="AF257" i="104"/>
  <c r="AE257" i="104"/>
  <c r="AD257" i="104"/>
  <c r="AB257" i="104"/>
  <c r="AA257" i="104"/>
  <c r="AG256" i="104"/>
  <c r="AF256" i="104"/>
  <c r="AE256" i="104"/>
  <c r="AD256" i="104"/>
  <c r="AB256" i="104"/>
  <c r="AA256" i="104"/>
  <c r="AG255" i="104"/>
  <c r="AF255" i="104"/>
  <c r="AE255" i="104"/>
  <c r="AD255" i="104"/>
  <c r="AB255" i="104"/>
  <c r="AA255" i="104"/>
  <c r="AG254" i="104"/>
  <c r="AF254" i="104"/>
  <c r="AE254" i="104"/>
  <c r="AD254" i="104"/>
  <c r="AB254" i="104"/>
  <c r="AA254" i="104"/>
  <c r="AG253" i="104"/>
  <c r="AF253" i="104"/>
  <c r="AE253" i="104"/>
  <c r="AD253" i="104"/>
  <c r="AB253" i="104"/>
  <c r="AA253" i="104"/>
  <c r="AG252" i="104"/>
  <c r="AF252" i="104"/>
  <c r="AE252" i="104"/>
  <c r="AD252" i="104"/>
  <c r="AB252" i="104"/>
  <c r="AA252" i="104"/>
  <c r="AG251" i="104"/>
  <c r="AF251" i="104"/>
  <c r="AE251" i="104"/>
  <c r="AD251" i="104"/>
  <c r="AB251" i="104"/>
  <c r="AA251" i="104"/>
  <c r="AG250" i="104"/>
  <c r="AF250" i="104"/>
  <c r="AE250" i="104"/>
  <c r="AD250" i="104"/>
  <c r="AB250" i="104"/>
  <c r="AA250" i="104"/>
  <c r="AG249" i="104"/>
  <c r="AF249" i="104"/>
  <c r="AE249" i="104"/>
  <c r="AD249" i="104"/>
  <c r="AB249" i="104"/>
  <c r="AA249" i="104"/>
  <c r="AG248" i="104"/>
  <c r="AF248" i="104"/>
  <c r="AE248" i="104"/>
  <c r="AD248" i="104"/>
  <c r="AB248" i="104"/>
  <c r="AA248" i="104"/>
  <c r="AG247" i="104"/>
  <c r="AF247" i="104"/>
  <c r="AE247" i="104"/>
  <c r="AD247" i="104"/>
  <c r="AB247" i="104"/>
  <c r="AA247" i="104"/>
  <c r="AG246" i="104"/>
  <c r="AF246" i="104"/>
  <c r="AE246" i="104"/>
  <c r="AD246" i="104"/>
  <c r="AB246" i="104"/>
  <c r="AA246" i="104"/>
  <c r="AG245" i="104"/>
  <c r="AF245" i="104"/>
  <c r="AE245" i="104"/>
  <c r="AD245" i="104"/>
  <c r="AB245" i="104"/>
  <c r="AA245" i="104"/>
  <c r="AG244" i="104"/>
  <c r="AF244" i="104"/>
  <c r="AE244" i="104"/>
  <c r="AD244" i="104"/>
  <c r="AB244" i="104"/>
  <c r="AA244" i="104"/>
  <c r="AG243" i="104"/>
  <c r="AF243" i="104"/>
  <c r="AE243" i="104"/>
  <c r="AD243" i="104"/>
  <c r="AB243" i="104"/>
  <c r="AA243" i="104"/>
  <c r="AG242" i="104"/>
  <c r="AF242" i="104"/>
  <c r="AE242" i="104"/>
  <c r="AD242" i="104"/>
  <c r="AB242" i="104"/>
  <c r="AA242" i="104"/>
  <c r="AG241" i="104"/>
  <c r="AF241" i="104"/>
  <c r="AE241" i="104"/>
  <c r="AD241" i="104"/>
  <c r="AB241" i="104"/>
  <c r="AA241" i="104"/>
  <c r="AG240" i="104"/>
  <c r="AF240" i="104"/>
  <c r="AE240" i="104"/>
  <c r="AD240" i="104"/>
  <c r="AB240" i="104"/>
  <c r="AA240" i="104"/>
  <c r="AG239" i="104"/>
  <c r="AF239" i="104"/>
  <c r="AE239" i="104"/>
  <c r="AD239" i="104"/>
  <c r="AB239" i="104"/>
  <c r="AA239" i="104"/>
  <c r="AG238" i="104"/>
  <c r="AF238" i="104"/>
  <c r="AE238" i="104"/>
  <c r="AD238" i="104"/>
  <c r="AB238" i="104"/>
  <c r="AA238" i="104"/>
  <c r="AG237" i="104"/>
  <c r="AF237" i="104"/>
  <c r="AE237" i="104"/>
  <c r="AD237" i="104"/>
  <c r="AB237" i="104"/>
  <c r="AA237" i="104"/>
  <c r="AG236" i="104"/>
  <c r="AF236" i="104"/>
  <c r="AE236" i="104"/>
  <c r="AD236" i="104"/>
  <c r="AB236" i="104"/>
  <c r="AA236" i="104"/>
  <c r="AG235" i="104"/>
  <c r="AF235" i="104"/>
  <c r="AE235" i="104"/>
  <c r="AD235" i="104"/>
  <c r="AB235" i="104"/>
  <c r="AA235" i="104"/>
  <c r="AG234" i="104"/>
  <c r="AF234" i="104"/>
  <c r="AE234" i="104"/>
  <c r="AD234" i="104"/>
  <c r="AB234" i="104"/>
  <c r="AA234" i="104"/>
  <c r="AG233" i="104"/>
  <c r="AF233" i="104"/>
  <c r="AE233" i="104"/>
  <c r="AD233" i="104"/>
  <c r="AB233" i="104"/>
  <c r="AA233" i="104"/>
  <c r="AG232" i="104"/>
  <c r="AF232" i="104"/>
  <c r="AE232" i="104"/>
  <c r="AD232" i="104"/>
  <c r="AB232" i="104"/>
  <c r="AA232" i="104"/>
  <c r="AG231" i="104"/>
  <c r="AF231" i="104"/>
  <c r="AE231" i="104"/>
  <c r="AD231" i="104"/>
  <c r="AB231" i="104"/>
  <c r="AA231" i="104"/>
  <c r="AG230" i="104"/>
  <c r="AF230" i="104"/>
  <c r="AE230" i="104"/>
  <c r="AD230" i="104"/>
  <c r="AB230" i="104"/>
  <c r="AA230" i="104"/>
  <c r="AG229" i="104"/>
  <c r="AF229" i="104"/>
  <c r="AE229" i="104"/>
  <c r="AD229" i="104"/>
  <c r="AB229" i="104"/>
  <c r="AA229" i="104"/>
  <c r="AG228" i="104"/>
  <c r="AF228" i="104"/>
  <c r="AE228" i="104"/>
  <c r="AD228" i="104"/>
  <c r="AB228" i="104"/>
  <c r="AA228" i="104"/>
  <c r="AG227" i="104"/>
  <c r="AF227" i="104"/>
  <c r="AE227" i="104"/>
  <c r="AD227" i="104"/>
  <c r="AB227" i="104"/>
  <c r="AA227" i="104"/>
  <c r="AG226" i="104"/>
  <c r="AF226" i="104"/>
  <c r="AE226" i="104"/>
  <c r="AD226" i="104"/>
  <c r="AB226" i="104"/>
  <c r="AA226" i="104"/>
  <c r="AG225" i="104"/>
  <c r="AF225" i="104"/>
  <c r="AE225" i="104"/>
  <c r="AD225" i="104"/>
  <c r="AB225" i="104"/>
  <c r="AA225" i="104"/>
  <c r="AG224" i="104"/>
  <c r="AF224" i="104"/>
  <c r="AE224" i="104"/>
  <c r="AD224" i="104"/>
  <c r="AB224" i="104"/>
  <c r="AA224" i="104"/>
  <c r="AG223" i="104"/>
  <c r="AF223" i="104"/>
  <c r="AE223" i="104"/>
  <c r="AD223" i="104"/>
  <c r="AB223" i="104"/>
  <c r="AA223" i="104"/>
  <c r="AG222" i="104"/>
  <c r="AF222" i="104"/>
  <c r="AE222" i="104"/>
  <c r="AD222" i="104"/>
  <c r="AB222" i="104"/>
  <c r="AA222" i="104"/>
  <c r="AG221" i="104"/>
  <c r="AF221" i="104"/>
  <c r="AE221" i="104"/>
  <c r="AD221" i="104"/>
  <c r="AB221" i="104"/>
  <c r="AA221" i="104"/>
  <c r="AG220" i="104"/>
  <c r="AF220" i="104"/>
  <c r="AE220" i="104"/>
  <c r="AD220" i="104"/>
  <c r="AB220" i="104"/>
  <c r="AA220" i="104"/>
  <c r="AG219" i="104"/>
  <c r="AF219" i="104"/>
  <c r="AE219" i="104"/>
  <c r="AD219" i="104"/>
  <c r="AB219" i="104"/>
  <c r="AA219" i="104"/>
  <c r="AG218" i="104"/>
  <c r="AF218" i="104"/>
  <c r="AE218" i="104"/>
  <c r="AD218" i="104"/>
  <c r="AB218" i="104"/>
  <c r="AA218" i="104"/>
  <c r="AG217" i="104"/>
  <c r="AF217" i="104"/>
  <c r="AE217" i="104"/>
  <c r="AD217" i="104"/>
  <c r="AB217" i="104"/>
  <c r="AA217" i="104"/>
  <c r="AG216" i="104"/>
  <c r="AF216" i="104"/>
  <c r="AE216" i="104"/>
  <c r="AD216" i="104"/>
  <c r="AB216" i="104"/>
  <c r="AA216" i="104"/>
  <c r="AG215" i="104"/>
  <c r="AF215" i="104"/>
  <c r="AE215" i="104"/>
  <c r="AD215" i="104"/>
  <c r="AB215" i="104"/>
  <c r="AA215" i="104"/>
  <c r="AG214" i="104"/>
  <c r="AF214" i="104"/>
  <c r="AE214" i="104"/>
  <c r="AD214" i="104"/>
  <c r="AB214" i="104"/>
  <c r="AA214" i="104"/>
  <c r="AG213" i="104"/>
  <c r="AF213" i="104"/>
  <c r="AE213" i="104"/>
  <c r="AD213" i="104"/>
  <c r="AB213" i="104"/>
  <c r="AA213" i="104"/>
  <c r="AG212" i="104"/>
  <c r="AF212" i="104"/>
  <c r="AE212" i="104"/>
  <c r="AD212" i="104"/>
  <c r="AB212" i="104"/>
  <c r="AA212" i="104"/>
  <c r="Z212" i="104"/>
  <c r="X212" i="104"/>
  <c r="V212" i="104"/>
  <c r="T212" i="104"/>
  <c r="R212" i="104"/>
  <c r="P212" i="104"/>
  <c r="N212" i="104"/>
  <c r="L212" i="104"/>
  <c r="J212" i="104"/>
  <c r="H212" i="104"/>
  <c r="F212" i="104"/>
  <c r="AG211" i="104"/>
  <c r="AF211" i="104"/>
  <c r="AE211" i="104"/>
  <c r="AD211" i="104"/>
  <c r="AB211" i="104"/>
  <c r="AA211" i="104"/>
  <c r="AG210" i="104"/>
  <c r="AF210" i="104"/>
  <c r="AE210" i="104"/>
  <c r="AD210" i="104"/>
  <c r="AB210" i="104"/>
  <c r="AA210" i="104"/>
  <c r="AG209" i="104"/>
  <c r="AF209" i="104"/>
  <c r="AE209" i="104"/>
  <c r="AD209" i="104"/>
  <c r="AB209" i="104"/>
  <c r="AA209" i="104"/>
  <c r="AG208" i="104"/>
  <c r="AF208" i="104"/>
  <c r="AE208" i="104"/>
  <c r="AD208" i="104"/>
  <c r="AB208" i="104"/>
  <c r="AA208" i="104"/>
  <c r="AG207" i="104"/>
  <c r="AF207" i="104"/>
  <c r="AE207" i="104"/>
  <c r="AD207" i="104"/>
  <c r="AB207" i="104"/>
  <c r="AA207" i="104"/>
  <c r="AG206" i="104"/>
  <c r="AF206" i="104"/>
  <c r="AE206" i="104"/>
  <c r="AD206" i="104"/>
  <c r="AB206" i="104"/>
  <c r="AA206" i="104"/>
  <c r="AG205" i="104"/>
  <c r="AF205" i="104"/>
  <c r="AE205" i="104"/>
  <c r="AD205" i="104"/>
  <c r="AB205" i="104"/>
  <c r="AA205" i="104"/>
  <c r="AG204" i="104"/>
  <c r="AF204" i="104"/>
  <c r="AE204" i="104"/>
  <c r="AD204" i="104"/>
  <c r="AB204" i="104"/>
  <c r="AA204" i="104"/>
  <c r="AG203" i="104"/>
  <c r="AF203" i="104"/>
  <c r="AE203" i="104"/>
  <c r="AD203" i="104"/>
  <c r="AB203" i="104"/>
  <c r="AA203" i="104"/>
  <c r="AG202" i="104"/>
  <c r="AF202" i="104"/>
  <c r="AE202" i="104"/>
  <c r="AD202" i="104"/>
  <c r="AB202" i="104"/>
  <c r="AA202" i="104"/>
  <c r="AG201" i="104"/>
  <c r="AF201" i="104"/>
  <c r="AE201" i="104"/>
  <c r="AD201" i="104"/>
  <c r="AB201" i="104"/>
  <c r="AA201" i="104"/>
  <c r="AG200" i="104"/>
  <c r="AF200" i="104"/>
  <c r="AE200" i="104"/>
  <c r="AD200" i="104"/>
  <c r="AB200" i="104"/>
  <c r="AA200" i="104"/>
  <c r="Z200" i="104"/>
  <c r="X200" i="104"/>
  <c r="V200" i="104"/>
  <c r="T200" i="104"/>
  <c r="R200" i="104"/>
  <c r="P200" i="104"/>
  <c r="N200" i="104"/>
  <c r="L200" i="104"/>
  <c r="J200" i="104"/>
  <c r="H200" i="104"/>
  <c r="F200" i="104"/>
  <c r="AG199" i="104"/>
  <c r="AF199" i="104"/>
  <c r="AE199" i="104"/>
  <c r="AD199" i="104"/>
  <c r="AB199" i="104"/>
  <c r="AA199" i="104"/>
  <c r="AG198" i="104"/>
  <c r="AF198" i="104"/>
  <c r="AE198" i="104"/>
  <c r="AD198" i="104"/>
  <c r="AB198" i="104"/>
  <c r="AA198" i="104"/>
  <c r="AG197" i="104"/>
  <c r="AF197" i="104"/>
  <c r="AE197" i="104"/>
  <c r="AD197" i="104"/>
  <c r="AB197" i="104"/>
  <c r="AA197" i="104"/>
  <c r="AG196" i="104"/>
  <c r="AF196" i="104"/>
  <c r="AE196" i="104"/>
  <c r="AD196" i="104"/>
  <c r="AB196" i="104"/>
  <c r="AA196" i="104"/>
  <c r="AG195" i="104"/>
  <c r="AF195" i="104"/>
  <c r="AE195" i="104"/>
  <c r="AD195" i="104"/>
  <c r="AB195" i="104"/>
  <c r="AA195" i="104"/>
  <c r="AG194" i="104"/>
  <c r="AF194" i="104"/>
  <c r="AE194" i="104"/>
  <c r="AD194" i="104"/>
  <c r="AB194" i="104"/>
  <c r="AA194" i="104"/>
  <c r="AG193" i="104"/>
  <c r="AF193" i="104"/>
  <c r="AE193" i="104"/>
  <c r="AD193" i="104"/>
  <c r="AB193" i="104"/>
  <c r="AA193" i="104"/>
  <c r="AG192" i="104"/>
  <c r="AF192" i="104"/>
  <c r="AE192" i="104"/>
  <c r="AD192" i="104"/>
  <c r="AB192" i="104"/>
  <c r="AA192" i="104"/>
  <c r="AG191" i="104"/>
  <c r="AF191" i="104"/>
  <c r="AE191" i="104"/>
  <c r="AD191" i="104"/>
  <c r="AB191" i="104"/>
  <c r="AA191" i="104"/>
  <c r="AG190" i="104"/>
  <c r="AF190" i="104"/>
  <c r="AE190" i="104"/>
  <c r="AD190" i="104"/>
  <c r="AB190" i="104"/>
  <c r="AA190" i="104"/>
  <c r="AG189" i="104"/>
  <c r="AF189" i="104"/>
  <c r="AE189" i="104"/>
  <c r="AD189" i="104"/>
  <c r="AB189" i="104"/>
  <c r="AA189" i="104"/>
  <c r="Z189" i="104"/>
  <c r="X189" i="104"/>
  <c r="V189" i="104"/>
  <c r="T189" i="104"/>
  <c r="R189" i="104"/>
  <c r="P189" i="104"/>
  <c r="N189" i="104"/>
  <c r="L189" i="104"/>
  <c r="J189" i="104"/>
  <c r="H189" i="104"/>
  <c r="F189" i="104"/>
  <c r="AG188" i="104"/>
  <c r="AF188" i="104"/>
  <c r="AE188" i="104"/>
  <c r="AD188" i="104"/>
  <c r="AB188" i="104"/>
  <c r="AA188" i="104"/>
  <c r="AG187" i="104"/>
  <c r="AF187" i="104"/>
  <c r="AE187" i="104"/>
  <c r="AD187" i="104"/>
  <c r="AB187" i="104"/>
  <c r="AA187" i="104"/>
  <c r="AG186" i="104"/>
  <c r="AF186" i="104"/>
  <c r="AE186" i="104"/>
  <c r="AD186" i="104"/>
  <c r="AB186" i="104"/>
  <c r="AA186" i="104"/>
  <c r="AG185" i="104"/>
  <c r="AF185" i="104"/>
  <c r="AE185" i="104"/>
  <c r="AD185" i="104"/>
  <c r="AB185" i="104"/>
  <c r="AA185" i="104"/>
  <c r="AG184" i="104"/>
  <c r="AF184" i="104"/>
  <c r="AE184" i="104"/>
  <c r="AD184" i="104"/>
  <c r="AB184" i="104"/>
  <c r="AA184" i="104"/>
  <c r="AG183" i="104"/>
  <c r="AF183" i="104"/>
  <c r="AE183" i="104"/>
  <c r="AD183" i="104"/>
  <c r="AB183" i="104"/>
  <c r="AA183" i="104"/>
  <c r="AG182" i="104"/>
  <c r="AF182" i="104"/>
  <c r="AE182" i="104"/>
  <c r="AD182" i="104"/>
  <c r="AB182" i="104"/>
  <c r="AA182" i="104"/>
  <c r="AG181" i="104"/>
  <c r="AF181" i="104"/>
  <c r="AE181" i="104"/>
  <c r="AD181" i="104"/>
  <c r="AB181" i="104"/>
  <c r="AA181" i="104"/>
  <c r="AG180" i="104"/>
  <c r="AF180" i="104"/>
  <c r="AE180" i="104"/>
  <c r="AD180" i="104"/>
  <c r="AB180" i="104"/>
  <c r="AA180" i="104"/>
  <c r="Z180" i="104"/>
  <c r="X180" i="104"/>
  <c r="V180" i="104"/>
  <c r="T180" i="104"/>
  <c r="R180" i="104"/>
  <c r="P180" i="104"/>
  <c r="N180" i="104"/>
  <c r="L180" i="104"/>
  <c r="J180" i="104"/>
  <c r="H180" i="104"/>
  <c r="F180" i="104"/>
  <c r="AG179" i="104"/>
  <c r="AF179" i="104"/>
  <c r="AE179" i="104"/>
  <c r="AD179" i="104"/>
  <c r="AB179" i="104"/>
  <c r="AA179" i="104"/>
  <c r="AG178" i="104"/>
  <c r="AF178" i="104"/>
  <c r="AE178" i="104"/>
  <c r="AD178" i="104"/>
  <c r="AB178" i="104"/>
  <c r="AA178" i="104"/>
  <c r="AG177" i="104"/>
  <c r="AF177" i="104"/>
  <c r="AE177" i="104"/>
  <c r="AD177" i="104"/>
  <c r="AB177" i="104"/>
  <c r="AA177" i="104"/>
  <c r="Z177" i="104"/>
  <c r="X177" i="104"/>
  <c r="V177" i="104"/>
  <c r="T177" i="104"/>
  <c r="R177" i="104"/>
  <c r="P177" i="104"/>
  <c r="N177" i="104"/>
  <c r="L177" i="104"/>
  <c r="J177" i="104"/>
  <c r="H177" i="104"/>
  <c r="F177" i="104"/>
  <c r="AG176" i="104"/>
  <c r="AF176" i="104"/>
  <c r="AE176" i="104"/>
  <c r="AD176" i="104"/>
  <c r="AB176" i="104"/>
  <c r="AA176" i="104"/>
  <c r="Z176" i="104"/>
  <c r="X176" i="104"/>
  <c r="V176" i="104"/>
  <c r="T176" i="104"/>
  <c r="R176" i="104"/>
  <c r="P176" i="104"/>
  <c r="N176" i="104"/>
  <c r="L176" i="104"/>
  <c r="J176" i="104"/>
  <c r="H176" i="104"/>
  <c r="F176" i="104"/>
  <c r="AG175" i="104"/>
  <c r="AF175" i="104"/>
  <c r="AE175" i="104"/>
  <c r="AD175" i="104"/>
  <c r="AB175" i="104"/>
  <c r="AA175" i="104"/>
  <c r="AG174" i="104"/>
  <c r="AF174" i="104"/>
  <c r="AE174" i="104"/>
  <c r="AD174" i="104"/>
  <c r="AB174" i="104"/>
  <c r="AA174" i="104"/>
  <c r="AG173" i="104"/>
  <c r="AF173" i="104"/>
  <c r="AE173" i="104"/>
  <c r="AD173" i="104"/>
  <c r="AB173" i="104"/>
  <c r="AA173" i="104"/>
  <c r="AG172" i="104"/>
  <c r="AF172" i="104"/>
  <c r="AE172" i="104"/>
  <c r="AD172" i="104"/>
  <c r="AB172" i="104"/>
  <c r="AA172" i="104"/>
  <c r="AG171" i="104"/>
  <c r="AF171" i="104"/>
  <c r="AE171" i="104"/>
  <c r="AD171" i="104"/>
  <c r="AB171" i="104"/>
  <c r="AA171" i="104"/>
  <c r="AG170" i="104"/>
  <c r="AF170" i="104"/>
  <c r="AE170" i="104"/>
  <c r="AD170" i="104"/>
  <c r="AB170" i="104"/>
  <c r="AA170" i="104"/>
  <c r="AG169" i="104"/>
  <c r="AF169" i="104"/>
  <c r="AE169" i="104"/>
  <c r="AD169" i="104"/>
  <c r="AB169" i="104"/>
  <c r="AA169" i="104"/>
  <c r="AG168" i="104"/>
  <c r="AF168" i="104"/>
  <c r="AE168" i="104"/>
  <c r="AD168" i="104"/>
  <c r="AB168" i="104"/>
  <c r="AA168" i="104"/>
  <c r="AG167" i="104"/>
  <c r="AF167" i="104"/>
  <c r="AE167" i="104"/>
  <c r="AD167" i="104"/>
  <c r="AB167" i="104"/>
  <c r="AA167" i="104"/>
  <c r="AG166" i="104"/>
  <c r="AF166" i="104"/>
  <c r="AE166" i="104"/>
  <c r="AD166" i="104"/>
  <c r="AB166" i="104"/>
  <c r="AA166" i="104"/>
  <c r="AG165" i="104"/>
  <c r="AF165" i="104"/>
  <c r="AE165" i="104"/>
  <c r="AD165" i="104"/>
  <c r="AB165" i="104"/>
  <c r="AA165" i="104"/>
  <c r="AG164" i="104"/>
  <c r="AF164" i="104"/>
  <c r="AE164" i="104"/>
  <c r="AD164" i="104"/>
  <c r="AB164" i="104"/>
  <c r="AA164" i="104"/>
  <c r="AG163" i="104"/>
  <c r="AF163" i="104"/>
  <c r="AE163" i="104"/>
  <c r="AD163" i="104"/>
  <c r="AB163" i="104"/>
  <c r="AA163" i="104"/>
  <c r="AG162" i="104"/>
  <c r="AF162" i="104"/>
  <c r="AE162" i="104"/>
  <c r="AD162" i="104"/>
  <c r="AB162" i="104"/>
  <c r="AA162" i="104"/>
  <c r="AG161" i="104"/>
  <c r="AF161" i="104"/>
  <c r="AE161" i="104"/>
  <c r="AD161" i="104"/>
  <c r="AB161" i="104"/>
  <c r="AA161" i="104"/>
  <c r="AG160" i="104"/>
  <c r="AF160" i="104"/>
  <c r="AE160" i="104"/>
  <c r="AD160" i="104"/>
  <c r="AB160" i="104"/>
  <c r="AA160" i="104"/>
  <c r="AG159" i="104"/>
  <c r="AF159" i="104"/>
  <c r="AE159" i="104"/>
  <c r="AD159" i="104"/>
  <c r="AB159" i="104"/>
  <c r="AA159" i="104"/>
  <c r="AG158" i="104"/>
  <c r="AF158" i="104"/>
  <c r="AE158" i="104"/>
  <c r="AD158" i="104"/>
  <c r="AB158" i="104"/>
  <c r="AA158" i="104"/>
  <c r="AG157" i="104"/>
  <c r="AF157" i="104"/>
  <c r="AE157" i="104"/>
  <c r="AD157" i="104"/>
  <c r="AB157" i="104"/>
  <c r="AA157" i="104"/>
  <c r="AG156" i="104"/>
  <c r="AF156" i="104"/>
  <c r="AE156" i="104"/>
  <c r="AD156" i="104"/>
  <c r="AB156" i="104"/>
  <c r="AA156" i="104"/>
  <c r="AG155" i="104"/>
  <c r="AF155" i="104"/>
  <c r="AE155" i="104"/>
  <c r="AD155" i="104"/>
  <c r="AB155" i="104"/>
  <c r="AA155" i="104"/>
  <c r="AG154" i="104"/>
  <c r="AF154" i="104"/>
  <c r="AE154" i="104"/>
  <c r="AD154" i="104"/>
  <c r="AB154" i="104"/>
  <c r="AA154" i="104"/>
  <c r="AG153" i="104"/>
  <c r="AF153" i="104"/>
  <c r="AE153" i="104"/>
  <c r="AD153" i="104"/>
  <c r="AB153" i="104"/>
  <c r="AA153" i="104"/>
  <c r="AG152" i="104"/>
  <c r="AF152" i="104"/>
  <c r="AE152" i="104"/>
  <c r="AD152" i="104"/>
  <c r="AB152" i="104"/>
  <c r="AA152" i="104"/>
  <c r="AG151" i="104"/>
  <c r="AF151" i="104"/>
  <c r="AE151" i="104"/>
  <c r="AD151" i="104"/>
  <c r="AB151" i="104"/>
  <c r="AA151" i="104"/>
  <c r="AG150" i="104"/>
  <c r="AF150" i="104"/>
  <c r="AE150" i="104"/>
  <c r="AD150" i="104"/>
  <c r="AB150" i="104"/>
  <c r="AA150" i="104"/>
  <c r="AG149" i="104"/>
  <c r="AF149" i="104"/>
  <c r="AE149" i="104"/>
  <c r="AD149" i="104"/>
  <c r="AB149" i="104"/>
  <c r="AA149" i="104"/>
  <c r="AG148" i="104"/>
  <c r="AF148" i="104"/>
  <c r="AE148" i="104"/>
  <c r="AD148" i="104"/>
  <c r="AB148" i="104"/>
  <c r="AA148" i="104"/>
  <c r="AG147" i="104"/>
  <c r="AF147" i="104"/>
  <c r="AE147" i="104"/>
  <c r="AD147" i="104"/>
  <c r="AB147" i="104"/>
  <c r="AA147" i="104"/>
  <c r="AG146" i="104"/>
  <c r="AF146" i="104"/>
  <c r="AE146" i="104"/>
  <c r="AD146" i="104"/>
  <c r="AB146" i="104"/>
  <c r="AA146" i="104"/>
  <c r="AG145" i="104"/>
  <c r="AF145" i="104"/>
  <c r="AE145" i="104"/>
  <c r="AD145" i="104"/>
  <c r="AB145" i="104"/>
  <c r="AA145" i="104"/>
  <c r="AG144" i="104"/>
  <c r="AF144" i="104"/>
  <c r="AE144" i="104"/>
  <c r="AD144" i="104"/>
  <c r="AB144" i="104"/>
  <c r="AA144" i="104"/>
  <c r="AG143" i="104"/>
  <c r="AF143" i="104"/>
  <c r="AE143" i="104"/>
  <c r="AD143" i="104"/>
  <c r="AB143" i="104"/>
  <c r="AA143" i="104"/>
  <c r="AG142" i="104"/>
  <c r="AF142" i="104"/>
  <c r="AE142" i="104"/>
  <c r="AD142" i="104"/>
  <c r="AB142" i="104"/>
  <c r="AA142" i="104"/>
  <c r="AG141" i="104"/>
  <c r="AF141" i="104"/>
  <c r="AE141" i="104"/>
  <c r="AD141" i="104"/>
  <c r="AB141" i="104"/>
  <c r="AA141" i="104"/>
  <c r="AG140" i="104"/>
  <c r="AF140" i="104"/>
  <c r="AE140" i="104"/>
  <c r="AD140" i="104"/>
  <c r="AB140" i="104"/>
  <c r="AA140" i="104"/>
  <c r="AG139" i="104"/>
  <c r="AF139" i="104"/>
  <c r="AE139" i="104"/>
  <c r="AD139" i="104"/>
  <c r="AB139" i="104"/>
  <c r="AA139" i="104"/>
  <c r="AG138" i="104"/>
  <c r="AF138" i="104"/>
  <c r="AE138" i="104"/>
  <c r="AD138" i="104"/>
  <c r="AB138" i="104"/>
  <c r="AA138" i="104"/>
  <c r="Z138" i="104"/>
  <c r="X138" i="104"/>
  <c r="V138" i="104"/>
  <c r="T138" i="104"/>
  <c r="R138" i="104"/>
  <c r="P138" i="104"/>
  <c r="N138" i="104"/>
  <c r="L138" i="104"/>
  <c r="J138" i="104"/>
  <c r="H138" i="104"/>
  <c r="F138" i="104"/>
  <c r="AG137" i="104"/>
  <c r="AF137" i="104"/>
  <c r="AE137" i="104"/>
  <c r="AD137" i="104"/>
  <c r="AB137" i="104"/>
  <c r="AA137" i="104"/>
  <c r="AG136" i="104"/>
  <c r="AF136" i="104"/>
  <c r="AE136" i="104"/>
  <c r="AD136" i="104"/>
  <c r="AB136" i="104"/>
  <c r="AA136" i="104"/>
  <c r="AG135" i="104"/>
  <c r="AF135" i="104"/>
  <c r="AE135" i="104"/>
  <c r="AD135" i="104"/>
  <c r="AB135" i="104"/>
  <c r="AA135" i="104"/>
  <c r="AG134" i="104"/>
  <c r="AF134" i="104"/>
  <c r="AE134" i="104"/>
  <c r="AD134" i="104"/>
  <c r="AB134" i="104"/>
  <c r="AA134" i="104"/>
  <c r="AG133" i="104"/>
  <c r="AF133" i="104"/>
  <c r="AE133" i="104"/>
  <c r="AD133" i="104"/>
  <c r="AB133" i="104"/>
  <c r="AA133" i="104"/>
  <c r="AG132" i="104"/>
  <c r="AF132" i="104"/>
  <c r="AE132" i="104"/>
  <c r="AD132" i="104"/>
  <c r="AB132" i="104"/>
  <c r="AA132" i="104"/>
  <c r="AG131" i="104"/>
  <c r="AF131" i="104"/>
  <c r="AE131" i="104"/>
  <c r="AD131" i="104"/>
  <c r="AB131" i="104"/>
  <c r="AA131" i="104"/>
  <c r="AG130" i="104"/>
  <c r="AF130" i="104"/>
  <c r="AE130" i="104"/>
  <c r="AD130" i="104"/>
  <c r="AB130" i="104"/>
  <c r="AA130" i="104"/>
  <c r="AG129" i="104"/>
  <c r="AF129" i="104"/>
  <c r="AE129" i="104"/>
  <c r="AD129" i="104"/>
  <c r="AB129" i="104"/>
  <c r="AA129" i="104"/>
  <c r="AG128" i="104"/>
  <c r="AF128" i="104"/>
  <c r="AE128" i="104"/>
  <c r="AD128" i="104"/>
  <c r="AB128" i="104"/>
  <c r="AA128" i="104"/>
  <c r="AG127" i="104"/>
  <c r="AF127" i="104"/>
  <c r="AE127" i="104"/>
  <c r="AD127" i="104"/>
  <c r="AB127" i="104"/>
  <c r="AA127" i="104"/>
  <c r="AG126" i="104"/>
  <c r="AF126" i="104"/>
  <c r="AE126" i="104"/>
  <c r="AD126" i="104"/>
  <c r="AB126" i="104"/>
  <c r="AA126" i="104"/>
  <c r="Z126" i="104"/>
  <c r="X126" i="104"/>
  <c r="V126" i="104"/>
  <c r="T126" i="104"/>
  <c r="R126" i="104"/>
  <c r="P126" i="104"/>
  <c r="N126" i="104"/>
  <c r="L126" i="104"/>
  <c r="J126" i="104"/>
  <c r="H126" i="104"/>
  <c r="F126" i="104"/>
  <c r="AG125" i="104"/>
  <c r="AF125" i="104"/>
  <c r="AE125" i="104"/>
  <c r="AD125" i="104"/>
  <c r="AB125" i="104"/>
  <c r="AA125" i="104"/>
  <c r="AG124" i="104"/>
  <c r="AF124" i="104"/>
  <c r="AE124" i="104"/>
  <c r="AD124" i="104"/>
  <c r="AB124" i="104"/>
  <c r="AA124" i="104"/>
  <c r="AG123" i="104"/>
  <c r="AF123" i="104"/>
  <c r="AE123" i="104"/>
  <c r="AD123" i="104"/>
  <c r="AB123" i="104"/>
  <c r="AA123" i="104"/>
  <c r="AG122" i="104"/>
  <c r="AF122" i="104"/>
  <c r="AE122" i="104"/>
  <c r="AD122" i="104"/>
  <c r="AB122" i="104"/>
  <c r="AA122" i="104"/>
  <c r="AG121" i="104"/>
  <c r="AF121" i="104"/>
  <c r="AE121" i="104"/>
  <c r="AD121" i="104"/>
  <c r="AB121" i="104"/>
  <c r="AA121" i="104"/>
  <c r="AG120" i="104"/>
  <c r="AF120" i="104"/>
  <c r="AE120" i="104"/>
  <c r="AD120" i="104"/>
  <c r="AB120" i="104"/>
  <c r="AA120" i="104"/>
  <c r="AG119" i="104"/>
  <c r="AF119" i="104"/>
  <c r="AE119" i="104"/>
  <c r="AD119" i="104"/>
  <c r="AB119" i="104"/>
  <c r="AA119" i="104"/>
  <c r="AG118" i="104"/>
  <c r="AF118" i="104"/>
  <c r="AE118" i="104"/>
  <c r="AD118" i="104"/>
  <c r="AB118" i="104"/>
  <c r="AA118" i="104"/>
  <c r="AG117" i="104"/>
  <c r="AF117" i="104"/>
  <c r="AE117" i="104"/>
  <c r="AD117" i="104"/>
  <c r="AB117" i="104"/>
  <c r="AA117" i="104"/>
  <c r="AG116" i="104"/>
  <c r="AF116" i="104"/>
  <c r="AE116" i="104"/>
  <c r="AD116" i="104"/>
  <c r="AB116" i="104"/>
  <c r="AA116" i="104"/>
  <c r="AG115" i="104"/>
  <c r="AF115" i="104"/>
  <c r="AE115" i="104"/>
  <c r="AD115" i="104"/>
  <c r="AB115" i="104"/>
  <c r="AA115" i="104"/>
  <c r="Z115" i="104"/>
  <c r="X115" i="104"/>
  <c r="V115" i="104"/>
  <c r="T115" i="104"/>
  <c r="R115" i="104"/>
  <c r="P115" i="104"/>
  <c r="N115" i="104"/>
  <c r="L115" i="104"/>
  <c r="J115" i="104"/>
  <c r="H115" i="104"/>
  <c r="F115" i="104"/>
  <c r="AG114" i="104"/>
  <c r="AF114" i="104"/>
  <c r="AE114" i="104"/>
  <c r="AD114" i="104"/>
  <c r="AB114" i="104"/>
  <c r="AA114" i="104"/>
  <c r="AG113" i="104"/>
  <c r="AF113" i="104"/>
  <c r="AE113" i="104"/>
  <c r="AD113" i="104"/>
  <c r="AB113" i="104"/>
  <c r="AA113" i="104"/>
  <c r="AG112" i="104"/>
  <c r="AF112" i="104"/>
  <c r="AE112" i="104"/>
  <c r="AD112" i="104"/>
  <c r="AB112" i="104"/>
  <c r="AA112" i="104"/>
  <c r="AG111" i="104"/>
  <c r="AF111" i="104"/>
  <c r="AE111" i="104"/>
  <c r="AD111" i="104"/>
  <c r="AB111" i="104"/>
  <c r="AA111" i="104"/>
  <c r="AG110" i="104"/>
  <c r="AF110" i="104"/>
  <c r="AE110" i="104"/>
  <c r="AD110" i="104"/>
  <c r="AB110" i="104"/>
  <c r="AA110" i="104"/>
  <c r="AG109" i="104"/>
  <c r="AF109" i="104"/>
  <c r="AE109" i="104"/>
  <c r="AD109" i="104"/>
  <c r="AB109" i="104"/>
  <c r="AA109" i="104"/>
  <c r="AG108" i="104"/>
  <c r="AF108" i="104"/>
  <c r="AE108" i="104"/>
  <c r="AD108" i="104"/>
  <c r="AB108" i="104"/>
  <c r="AA108" i="104"/>
  <c r="AG107" i="104"/>
  <c r="AF107" i="104"/>
  <c r="AE107" i="104"/>
  <c r="AD107" i="104"/>
  <c r="AB107" i="104"/>
  <c r="AA107" i="104"/>
  <c r="AG106" i="104"/>
  <c r="AF106" i="104"/>
  <c r="AE106" i="104"/>
  <c r="AD106" i="104"/>
  <c r="AB106" i="104"/>
  <c r="AA106" i="104"/>
  <c r="Z106" i="104"/>
  <c r="X106" i="104"/>
  <c r="V106" i="104"/>
  <c r="T106" i="104"/>
  <c r="R106" i="104"/>
  <c r="P106" i="104"/>
  <c r="N106" i="104"/>
  <c r="L106" i="104"/>
  <c r="J106" i="104"/>
  <c r="H106" i="104"/>
  <c r="F106" i="104"/>
  <c r="AG105" i="104"/>
  <c r="AF105" i="104"/>
  <c r="AE105" i="104"/>
  <c r="AD105" i="104"/>
  <c r="AB105" i="104"/>
  <c r="AA105" i="104"/>
  <c r="AG104" i="104"/>
  <c r="AF104" i="104"/>
  <c r="AE104" i="104"/>
  <c r="AD104" i="104"/>
  <c r="AB104" i="104"/>
  <c r="AA104" i="104"/>
  <c r="AG103" i="104"/>
  <c r="AF103" i="104"/>
  <c r="AE103" i="104"/>
  <c r="AD103" i="104"/>
  <c r="AB103" i="104"/>
  <c r="AA103" i="104"/>
  <c r="Z103" i="104"/>
  <c r="X103" i="104"/>
  <c r="V103" i="104"/>
  <c r="T103" i="104"/>
  <c r="R103" i="104"/>
  <c r="P103" i="104"/>
  <c r="N103" i="104"/>
  <c r="L103" i="104"/>
  <c r="J103" i="104"/>
  <c r="H103" i="104"/>
  <c r="F103" i="104"/>
  <c r="AG102" i="104"/>
  <c r="AF102" i="104"/>
  <c r="AE102" i="104"/>
  <c r="AD102" i="104"/>
  <c r="AB102" i="104"/>
  <c r="AA102" i="104"/>
  <c r="Z102" i="104"/>
  <c r="X102" i="104"/>
  <c r="V102" i="104"/>
  <c r="T102" i="104"/>
  <c r="R102" i="104"/>
  <c r="P102" i="104"/>
  <c r="N102" i="104"/>
  <c r="L102" i="104"/>
  <c r="J102" i="104"/>
  <c r="H102" i="104"/>
  <c r="F102" i="104"/>
  <c r="AG101" i="104"/>
  <c r="AF101" i="104"/>
  <c r="AE101" i="104"/>
  <c r="AD101" i="104"/>
  <c r="AB101" i="104"/>
  <c r="AA101" i="104"/>
  <c r="AG100" i="104"/>
  <c r="AF100" i="104"/>
  <c r="AE100" i="104"/>
  <c r="AD100" i="104"/>
  <c r="AB100" i="104"/>
  <c r="AA100" i="104"/>
  <c r="AG99" i="104"/>
  <c r="AF99" i="104"/>
  <c r="AE99" i="104"/>
  <c r="AD99" i="104"/>
  <c r="AB99" i="104"/>
  <c r="AA99" i="104"/>
  <c r="AG98" i="104"/>
  <c r="AF98" i="104"/>
  <c r="AE98" i="104"/>
  <c r="AD98" i="104"/>
  <c r="AB98" i="104"/>
  <c r="AA98" i="104"/>
  <c r="AG97" i="104"/>
  <c r="AF97" i="104"/>
  <c r="AE97" i="104"/>
  <c r="AD97" i="104"/>
  <c r="AB97" i="104"/>
  <c r="AA97" i="104"/>
  <c r="AG96" i="104"/>
  <c r="AF96" i="104"/>
  <c r="AE96" i="104"/>
  <c r="AD96" i="104"/>
  <c r="AB96" i="104"/>
  <c r="AA96" i="104"/>
  <c r="AG95" i="104"/>
  <c r="AF95" i="104"/>
  <c r="AE95" i="104"/>
  <c r="AD95" i="104"/>
  <c r="AB95" i="104"/>
  <c r="AA95" i="104"/>
  <c r="AG94" i="104"/>
  <c r="AF94" i="104"/>
  <c r="AE94" i="104"/>
  <c r="AD94" i="104"/>
  <c r="AB94" i="104"/>
  <c r="AA94" i="104"/>
  <c r="AG93" i="104"/>
  <c r="AF93" i="104"/>
  <c r="AE93" i="104"/>
  <c r="AD93" i="104"/>
  <c r="AB93" i="104"/>
  <c r="AA93" i="104"/>
  <c r="AG92" i="104"/>
  <c r="AF92" i="104"/>
  <c r="AE92" i="104"/>
  <c r="AD92" i="104"/>
  <c r="AB92" i="104"/>
  <c r="AA92" i="104"/>
  <c r="AG91" i="104"/>
  <c r="AF91" i="104"/>
  <c r="AE91" i="104"/>
  <c r="AD91" i="104"/>
  <c r="AB91" i="104"/>
  <c r="AA91" i="104"/>
  <c r="AG90" i="104"/>
  <c r="AF90" i="104"/>
  <c r="AE90" i="104"/>
  <c r="AD90" i="104"/>
  <c r="AB90" i="104"/>
  <c r="AA90" i="104"/>
  <c r="AG89" i="104"/>
  <c r="AF89" i="104"/>
  <c r="AE89" i="104"/>
  <c r="AD89" i="104"/>
  <c r="AB89" i="104"/>
  <c r="AA89" i="104"/>
  <c r="AG88" i="104"/>
  <c r="AF88" i="104"/>
  <c r="AE88" i="104"/>
  <c r="AD88" i="104"/>
  <c r="AB88" i="104"/>
  <c r="AA88" i="104"/>
  <c r="AG87" i="104"/>
  <c r="AF87" i="104"/>
  <c r="AE87" i="104"/>
  <c r="AD87" i="104"/>
  <c r="AB87" i="104"/>
  <c r="AA87" i="104"/>
  <c r="AG86" i="104"/>
  <c r="AF86" i="104"/>
  <c r="AE86" i="104"/>
  <c r="AD86" i="104"/>
  <c r="AB86" i="104"/>
  <c r="AA86" i="104"/>
  <c r="AG85" i="104"/>
  <c r="AF85" i="104"/>
  <c r="AE85" i="104"/>
  <c r="AD85" i="104"/>
  <c r="AB85" i="104"/>
  <c r="AA85" i="104"/>
  <c r="AG84" i="104"/>
  <c r="AF84" i="104"/>
  <c r="AE84" i="104"/>
  <c r="AD84" i="104"/>
  <c r="AB84" i="104"/>
  <c r="AA84" i="104"/>
  <c r="AG83" i="104"/>
  <c r="AF83" i="104"/>
  <c r="AE83" i="104"/>
  <c r="AD83" i="104"/>
  <c r="AB83" i="104"/>
  <c r="AA83" i="104"/>
  <c r="AG82" i="104"/>
  <c r="AF82" i="104"/>
  <c r="AE82" i="104"/>
  <c r="AD82" i="104"/>
  <c r="AB82" i="104"/>
  <c r="AA82" i="104"/>
  <c r="AG81" i="104"/>
  <c r="AF81" i="104"/>
  <c r="AE81" i="104"/>
  <c r="AD81" i="104"/>
  <c r="AB81" i="104"/>
  <c r="AA81" i="104"/>
  <c r="AG80" i="104"/>
  <c r="AF80" i="104"/>
  <c r="AE80" i="104"/>
  <c r="AD80" i="104"/>
  <c r="AB80" i="104"/>
  <c r="AA80" i="104"/>
  <c r="AG79" i="104"/>
  <c r="AF79" i="104"/>
  <c r="AE79" i="104"/>
  <c r="AD79" i="104"/>
  <c r="AB79" i="104"/>
  <c r="AA79" i="104"/>
  <c r="AG78" i="104"/>
  <c r="AF78" i="104"/>
  <c r="AE78" i="104"/>
  <c r="AD78" i="104"/>
  <c r="AB78" i="104"/>
  <c r="AA78" i="104"/>
  <c r="AG77" i="104"/>
  <c r="AF77" i="104"/>
  <c r="AE77" i="104"/>
  <c r="AD77" i="104"/>
  <c r="AB77" i="104"/>
  <c r="AA77" i="104"/>
  <c r="AG76" i="104"/>
  <c r="AF76" i="104"/>
  <c r="AE76" i="104"/>
  <c r="AD76" i="104"/>
  <c r="AB76" i="104"/>
  <c r="AA76" i="104"/>
  <c r="AG75" i="104"/>
  <c r="AF75" i="104"/>
  <c r="AE75" i="104"/>
  <c r="AD75" i="104"/>
  <c r="AB75" i="104"/>
  <c r="AA75" i="104"/>
  <c r="AG74" i="104"/>
  <c r="AF74" i="104"/>
  <c r="AE74" i="104"/>
  <c r="AD74" i="104"/>
  <c r="AB74" i="104"/>
  <c r="AA74" i="104"/>
  <c r="AG73" i="104"/>
  <c r="AF73" i="104"/>
  <c r="AE73" i="104"/>
  <c r="AD73" i="104"/>
  <c r="AB73" i="104"/>
  <c r="AA73" i="104"/>
  <c r="AG72" i="104"/>
  <c r="AF72" i="104"/>
  <c r="AE72" i="104"/>
  <c r="AD72" i="104"/>
  <c r="AB72" i="104"/>
  <c r="AA72" i="104"/>
  <c r="AG71" i="104"/>
  <c r="AF71" i="104"/>
  <c r="AE71" i="104"/>
  <c r="AD71" i="104"/>
  <c r="AB71" i="104"/>
  <c r="AA71" i="104"/>
  <c r="AG70" i="104"/>
  <c r="AF70" i="104"/>
  <c r="AE70" i="104"/>
  <c r="AD70" i="104"/>
  <c r="AB70" i="104"/>
  <c r="AA70" i="104"/>
  <c r="AG69" i="104"/>
  <c r="AF69" i="104"/>
  <c r="AE69" i="104"/>
  <c r="AD69" i="104"/>
  <c r="AB69" i="104"/>
  <c r="AA69" i="104"/>
  <c r="AG68" i="104"/>
  <c r="AF68" i="104"/>
  <c r="AE68" i="104"/>
  <c r="AD68" i="104"/>
  <c r="AB68" i="104"/>
  <c r="AA68" i="104"/>
  <c r="AG67" i="104"/>
  <c r="AF67" i="104"/>
  <c r="AE67" i="104"/>
  <c r="AD67" i="104"/>
  <c r="AB67" i="104"/>
  <c r="AA67" i="104"/>
  <c r="AG66" i="104"/>
  <c r="AF66" i="104"/>
  <c r="AE66" i="104"/>
  <c r="AD66" i="104"/>
  <c r="AB66" i="104"/>
  <c r="AA66" i="104"/>
  <c r="AG65" i="104"/>
  <c r="AF65" i="104"/>
  <c r="AE65" i="104"/>
  <c r="AD65" i="104"/>
  <c r="AB65" i="104"/>
  <c r="AA65" i="104"/>
  <c r="Z65" i="104"/>
  <c r="Y65" i="104"/>
  <c r="W65" i="104"/>
  <c r="V65" i="104"/>
  <c r="U65" i="104"/>
  <c r="Q65" i="104"/>
  <c r="N65" i="104"/>
  <c r="L65" i="104"/>
  <c r="K65" i="104"/>
  <c r="J65" i="104"/>
  <c r="I65" i="104"/>
  <c r="H65" i="104"/>
  <c r="G65" i="104"/>
  <c r="F65" i="104"/>
  <c r="E65" i="104"/>
  <c r="D65" i="104"/>
  <c r="C65" i="104"/>
  <c r="AG64" i="104"/>
  <c r="AF64" i="104"/>
  <c r="AE64" i="104"/>
  <c r="AD64" i="104"/>
  <c r="AB64" i="104"/>
  <c r="AA64" i="104"/>
  <c r="AG63" i="104"/>
  <c r="AF63" i="104"/>
  <c r="AE63" i="104"/>
  <c r="AD63" i="104"/>
  <c r="AB63" i="104"/>
  <c r="AA63" i="104"/>
  <c r="AG62" i="104"/>
  <c r="AF62" i="104"/>
  <c r="AE62" i="104"/>
  <c r="AD62" i="104"/>
  <c r="AB62" i="104"/>
  <c r="AA62" i="104"/>
  <c r="AG61" i="104"/>
  <c r="AF61" i="104"/>
  <c r="AE61" i="104"/>
  <c r="AD61" i="104"/>
  <c r="AB61" i="104"/>
  <c r="AA61" i="104"/>
  <c r="AG60" i="104"/>
  <c r="AF60" i="104"/>
  <c r="AE60" i="104"/>
  <c r="AD60" i="104"/>
  <c r="AB60" i="104"/>
  <c r="AA60" i="104"/>
  <c r="AG59" i="104"/>
  <c r="AF59" i="104"/>
  <c r="AE59" i="104"/>
  <c r="AD59" i="104"/>
  <c r="AB59" i="104"/>
  <c r="AA59" i="104"/>
  <c r="AG58" i="104"/>
  <c r="AF58" i="104"/>
  <c r="AE58" i="104"/>
  <c r="AD58" i="104"/>
  <c r="AB58" i="104"/>
  <c r="AA58" i="104"/>
  <c r="AG57" i="104"/>
  <c r="AF57" i="104"/>
  <c r="AE57" i="104"/>
  <c r="AD57" i="104"/>
  <c r="AB57" i="104"/>
  <c r="AA57" i="104"/>
  <c r="AG56" i="104"/>
  <c r="AF56" i="104"/>
  <c r="AE56" i="104"/>
  <c r="AD56" i="104"/>
  <c r="AB56" i="104"/>
  <c r="AA56" i="104"/>
  <c r="AG55" i="104"/>
  <c r="AF55" i="104"/>
  <c r="AE55" i="104"/>
  <c r="AD55" i="104"/>
  <c r="AB55" i="104"/>
  <c r="AA55" i="104"/>
  <c r="AG54" i="104"/>
  <c r="AF54" i="104"/>
  <c r="AE54" i="104"/>
  <c r="AD54" i="104"/>
  <c r="AB54" i="104"/>
  <c r="AA54" i="104"/>
  <c r="AG53" i="104"/>
  <c r="AF53" i="104"/>
  <c r="AE53" i="104"/>
  <c r="AD53" i="104"/>
  <c r="AB53" i="104"/>
  <c r="AA53" i="104"/>
  <c r="Z53" i="104"/>
  <c r="Y53" i="104"/>
  <c r="X53" i="104"/>
  <c r="W53" i="104"/>
  <c r="V53" i="104"/>
  <c r="U53" i="104"/>
  <c r="T53" i="104"/>
  <c r="S53" i="104"/>
  <c r="R53" i="104"/>
  <c r="Q53" i="104"/>
  <c r="P53" i="104"/>
  <c r="O53" i="104"/>
  <c r="N53" i="104"/>
  <c r="M53" i="104"/>
  <c r="L53" i="104"/>
  <c r="K53" i="104"/>
  <c r="J53" i="104"/>
  <c r="I53" i="104"/>
  <c r="H53" i="104"/>
  <c r="G53" i="104"/>
  <c r="F53" i="104"/>
  <c r="E53" i="104"/>
  <c r="D53" i="104"/>
  <c r="C53" i="104"/>
  <c r="AG52" i="104"/>
  <c r="AF52" i="104"/>
  <c r="AE52" i="104"/>
  <c r="AD52" i="104"/>
  <c r="AB52" i="104"/>
  <c r="AA52" i="104"/>
  <c r="AG51" i="104"/>
  <c r="AF51" i="104"/>
  <c r="AE51" i="104"/>
  <c r="AD51" i="104"/>
  <c r="AB51" i="104"/>
  <c r="AA51" i="104"/>
  <c r="AG50" i="104"/>
  <c r="AF50" i="104"/>
  <c r="AE50" i="104"/>
  <c r="AD50" i="104"/>
  <c r="AB50" i="104"/>
  <c r="AA50" i="104"/>
  <c r="AG49" i="104"/>
  <c r="AF49" i="104"/>
  <c r="AE49" i="104"/>
  <c r="AD49" i="104"/>
  <c r="AB49" i="104"/>
  <c r="AA49" i="104"/>
  <c r="AG48" i="104"/>
  <c r="AF48" i="104"/>
  <c r="AE48" i="104"/>
  <c r="AD48" i="104"/>
  <c r="AB48" i="104"/>
  <c r="AA48" i="104"/>
  <c r="AG47" i="104"/>
  <c r="AF47" i="104"/>
  <c r="AE47" i="104"/>
  <c r="AD47" i="104"/>
  <c r="AB47" i="104"/>
  <c r="AA47" i="104"/>
  <c r="AG46" i="104"/>
  <c r="AF46" i="104"/>
  <c r="AE46" i="104"/>
  <c r="AD46" i="104"/>
  <c r="AB46" i="104"/>
  <c r="AA46" i="104"/>
  <c r="AG45" i="104"/>
  <c r="AF45" i="104"/>
  <c r="AE45" i="104"/>
  <c r="AD45" i="104"/>
  <c r="AB45" i="104"/>
  <c r="AA45" i="104"/>
  <c r="AG44" i="104"/>
  <c r="AF44" i="104"/>
  <c r="AE44" i="104"/>
  <c r="AD44" i="104"/>
  <c r="AB44" i="104"/>
  <c r="AA44" i="104"/>
  <c r="AG43" i="104"/>
  <c r="AF43" i="104"/>
  <c r="AE43" i="104"/>
  <c r="AD43" i="104"/>
  <c r="AB43" i="104"/>
  <c r="AA43" i="104"/>
  <c r="AG42" i="104"/>
  <c r="AF42" i="104"/>
  <c r="AE42" i="104"/>
  <c r="AD42" i="104"/>
  <c r="AB42" i="104"/>
  <c r="AA42" i="104"/>
  <c r="Z42" i="104"/>
  <c r="Y42" i="104"/>
  <c r="X42" i="104"/>
  <c r="W42" i="104"/>
  <c r="V42" i="104"/>
  <c r="U42" i="104"/>
  <c r="T42" i="104"/>
  <c r="S42" i="104"/>
  <c r="R42" i="104"/>
  <c r="Q42" i="104"/>
  <c r="P42" i="104"/>
  <c r="O42" i="104"/>
  <c r="N42" i="104"/>
  <c r="M42" i="104"/>
  <c r="L42" i="104"/>
  <c r="K42" i="104"/>
  <c r="J42" i="104"/>
  <c r="I42" i="104"/>
  <c r="H42" i="104"/>
  <c r="G42" i="104"/>
  <c r="F42" i="104"/>
  <c r="E42" i="104"/>
  <c r="D42" i="104"/>
  <c r="C42" i="104"/>
  <c r="AG41" i="104"/>
  <c r="AF41" i="104"/>
  <c r="AE41" i="104"/>
  <c r="AD41" i="104"/>
  <c r="AB41" i="104"/>
  <c r="AA41" i="104"/>
  <c r="AG40" i="104"/>
  <c r="AF40" i="104"/>
  <c r="AE40" i="104"/>
  <c r="AD40" i="104"/>
  <c r="AB40" i="104"/>
  <c r="AA40" i="104"/>
  <c r="AG39" i="104"/>
  <c r="AF39" i="104"/>
  <c r="AE39" i="104"/>
  <c r="AD39" i="104"/>
  <c r="AB39" i="104"/>
  <c r="AA39" i="104"/>
  <c r="AG38" i="104"/>
  <c r="AF38" i="104"/>
  <c r="AE38" i="104"/>
  <c r="AD38" i="104"/>
  <c r="AB38" i="104"/>
  <c r="AA38" i="104"/>
  <c r="AG37" i="104"/>
  <c r="AF37" i="104"/>
  <c r="AE37" i="104"/>
  <c r="AD37" i="104"/>
  <c r="AB37" i="104"/>
  <c r="AA37" i="104"/>
  <c r="AG36" i="104"/>
  <c r="AF36" i="104"/>
  <c r="AE36" i="104"/>
  <c r="AD36" i="104"/>
  <c r="AB36" i="104"/>
  <c r="AA36" i="104"/>
  <c r="AG35" i="104"/>
  <c r="AF35" i="104"/>
  <c r="AE35" i="104"/>
  <c r="AD35" i="104"/>
  <c r="AB35" i="104"/>
  <c r="AA35" i="104"/>
  <c r="AG34" i="104"/>
  <c r="AF34" i="104"/>
  <c r="AE34" i="104"/>
  <c r="AD34" i="104"/>
  <c r="AB34" i="104"/>
  <c r="AA34" i="104"/>
  <c r="AG33" i="104"/>
  <c r="AF33" i="104"/>
  <c r="AE33" i="104"/>
  <c r="AD33" i="104"/>
  <c r="AB33" i="104"/>
  <c r="AA33" i="104"/>
  <c r="Z33" i="104"/>
  <c r="Y33" i="104"/>
  <c r="X33" i="104"/>
  <c r="W33" i="104"/>
  <c r="V33" i="104"/>
  <c r="U33" i="104"/>
  <c r="T33" i="104"/>
  <c r="S33" i="104"/>
  <c r="R33" i="104"/>
  <c r="Q33" i="104"/>
  <c r="P33" i="104"/>
  <c r="O33" i="104"/>
  <c r="N33" i="104"/>
  <c r="M33" i="104"/>
  <c r="L33" i="104"/>
  <c r="K33" i="104"/>
  <c r="I33" i="104"/>
  <c r="H33" i="104"/>
  <c r="G33" i="104"/>
  <c r="F33" i="104"/>
  <c r="E33" i="104"/>
  <c r="D33" i="104"/>
  <c r="C33" i="104"/>
  <c r="AG32" i="104"/>
  <c r="AF32" i="104"/>
  <c r="AE32" i="104"/>
  <c r="AD32" i="104"/>
  <c r="AB32" i="104"/>
  <c r="AA32" i="104"/>
  <c r="Z32" i="104"/>
  <c r="X32" i="104"/>
  <c r="V32" i="104"/>
  <c r="T32" i="104"/>
  <c r="P32" i="104"/>
  <c r="N32" i="104"/>
  <c r="J32" i="104"/>
  <c r="H32" i="104"/>
  <c r="F32" i="104"/>
  <c r="AG31" i="104"/>
  <c r="AF31" i="104"/>
  <c r="AE31" i="104"/>
  <c r="AD31" i="104"/>
  <c r="AB31" i="104"/>
  <c r="AA31" i="104"/>
  <c r="H31" i="104"/>
  <c r="AG30" i="104"/>
  <c r="AF30" i="104"/>
  <c r="AE30" i="104"/>
  <c r="AD30" i="104"/>
  <c r="AB30" i="104"/>
  <c r="AA30" i="104"/>
  <c r="Z30" i="104"/>
  <c r="Y30" i="104"/>
  <c r="X30" i="104"/>
  <c r="W30" i="104"/>
  <c r="V30" i="104"/>
  <c r="U30" i="104"/>
  <c r="T30" i="104"/>
  <c r="S30" i="104"/>
  <c r="R30" i="104"/>
  <c r="Q30" i="104"/>
  <c r="P30" i="104"/>
  <c r="O30" i="104"/>
  <c r="N30" i="104"/>
  <c r="M30" i="104"/>
  <c r="L30" i="104"/>
  <c r="K30" i="104"/>
  <c r="J30" i="104"/>
  <c r="I30" i="104"/>
  <c r="H30" i="104"/>
  <c r="G30" i="104"/>
  <c r="F30" i="104"/>
  <c r="E30" i="104"/>
  <c r="D30" i="104"/>
  <c r="C30" i="104"/>
  <c r="AG29" i="104"/>
  <c r="AF29" i="104"/>
  <c r="AE29" i="104"/>
  <c r="AD29" i="104"/>
  <c r="AB29" i="104"/>
  <c r="AA29" i="104"/>
  <c r="Z29" i="104"/>
  <c r="Y29" i="104"/>
  <c r="X29" i="104"/>
  <c r="W29" i="104"/>
  <c r="V29" i="104"/>
  <c r="U29" i="104"/>
  <c r="T29" i="104"/>
  <c r="S29" i="104"/>
  <c r="R29" i="104"/>
  <c r="Q29" i="104"/>
  <c r="P29" i="104"/>
  <c r="O29" i="104"/>
  <c r="N29" i="104"/>
  <c r="M29" i="104"/>
  <c r="L29" i="104"/>
  <c r="K29" i="104"/>
  <c r="J29" i="104"/>
  <c r="I29" i="104"/>
  <c r="H29" i="104"/>
  <c r="G29" i="104"/>
  <c r="F29" i="104"/>
  <c r="E29" i="104"/>
  <c r="D29" i="104"/>
  <c r="C29" i="104"/>
  <c r="AG28" i="104"/>
  <c r="AF28" i="104"/>
  <c r="AE28" i="104"/>
  <c r="AD28" i="104"/>
  <c r="AB28" i="104"/>
  <c r="AA28" i="104"/>
  <c r="Z28" i="104"/>
  <c r="Y28" i="104"/>
  <c r="X28" i="104"/>
  <c r="W28" i="104"/>
  <c r="V28" i="104"/>
  <c r="U28" i="104"/>
  <c r="T28" i="104"/>
  <c r="S28" i="104"/>
  <c r="R28" i="104"/>
  <c r="Q28" i="104"/>
  <c r="P28" i="104"/>
  <c r="O28" i="104"/>
  <c r="N28" i="104"/>
  <c r="M28" i="104"/>
  <c r="L28" i="104"/>
  <c r="K28" i="104"/>
  <c r="J28" i="104"/>
  <c r="I28" i="104"/>
  <c r="H28" i="104"/>
  <c r="G28" i="104"/>
  <c r="F28" i="104"/>
  <c r="E28" i="104"/>
  <c r="D28" i="104"/>
  <c r="C28" i="104"/>
  <c r="AG27" i="104"/>
  <c r="AF27" i="104"/>
  <c r="AE27" i="104"/>
  <c r="AD27" i="104"/>
  <c r="AB27" i="104"/>
  <c r="AA27" i="104"/>
  <c r="Z27" i="104"/>
  <c r="Y27" i="104"/>
  <c r="X27" i="104"/>
  <c r="W27" i="104"/>
  <c r="V27" i="104"/>
  <c r="U27" i="104"/>
  <c r="T27" i="104"/>
  <c r="S27" i="104"/>
  <c r="R27" i="104"/>
  <c r="Q27" i="104"/>
  <c r="P27" i="104"/>
  <c r="O27" i="104"/>
  <c r="N27" i="104"/>
  <c r="M27" i="104"/>
  <c r="L27" i="104"/>
  <c r="K27" i="104"/>
  <c r="J27" i="104"/>
  <c r="I27" i="104"/>
  <c r="H27" i="104"/>
  <c r="G27" i="104"/>
  <c r="F27" i="104"/>
  <c r="E27" i="104"/>
  <c r="D27" i="104"/>
  <c r="C27" i="104"/>
  <c r="AG26" i="104"/>
  <c r="AF26" i="104"/>
  <c r="AE26" i="104"/>
  <c r="AD26" i="104"/>
  <c r="AB26" i="104"/>
  <c r="AA26" i="104"/>
  <c r="Z26" i="104"/>
  <c r="Y26" i="104"/>
  <c r="X26" i="104"/>
  <c r="W26" i="104"/>
  <c r="V26" i="104"/>
  <c r="U26" i="104"/>
  <c r="T26" i="104"/>
  <c r="S26" i="104"/>
  <c r="R26" i="104"/>
  <c r="Q26" i="104"/>
  <c r="P26" i="104"/>
  <c r="O26" i="104"/>
  <c r="N26" i="104"/>
  <c r="M26" i="104"/>
  <c r="L26" i="104"/>
  <c r="K26" i="104"/>
  <c r="J26" i="104"/>
  <c r="I26" i="104"/>
  <c r="H26" i="104"/>
  <c r="G26" i="104"/>
  <c r="F26" i="104"/>
  <c r="E26" i="104"/>
  <c r="D26" i="104"/>
  <c r="C26" i="104"/>
  <c r="AG25" i="104"/>
  <c r="AF25" i="104"/>
  <c r="AE25" i="104"/>
  <c r="AD25" i="104"/>
  <c r="AB25" i="104"/>
  <c r="AA25" i="104"/>
  <c r="AG24" i="104"/>
  <c r="AF24" i="104"/>
  <c r="AE24" i="104"/>
  <c r="AD24" i="104"/>
  <c r="AB24" i="104"/>
  <c r="AA24" i="104"/>
  <c r="Z24" i="104"/>
  <c r="AG23" i="104"/>
  <c r="AF23" i="104"/>
  <c r="AE23" i="104"/>
  <c r="AD23" i="104"/>
  <c r="AB23" i="104"/>
  <c r="AA23" i="104"/>
  <c r="AG22" i="104"/>
  <c r="AF22" i="104"/>
  <c r="AE22" i="104"/>
  <c r="AD22" i="104"/>
  <c r="AB22" i="104"/>
  <c r="AA22" i="104"/>
  <c r="AG21" i="104"/>
  <c r="AF21" i="104"/>
  <c r="AE21" i="104"/>
  <c r="AD21" i="104"/>
  <c r="AB21" i="104"/>
  <c r="AA21" i="104"/>
  <c r="AG20" i="104"/>
  <c r="AF20" i="104"/>
  <c r="AE20" i="104"/>
  <c r="AD20" i="104"/>
  <c r="AB20" i="104"/>
  <c r="AA20" i="104"/>
  <c r="AG19" i="104"/>
  <c r="AF19" i="104"/>
  <c r="AE19" i="104"/>
  <c r="AD19" i="104"/>
  <c r="AB19" i="104"/>
  <c r="AA19" i="104"/>
  <c r="AG18" i="104"/>
  <c r="AF18" i="104"/>
  <c r="AE18" i="104"/>
  <c r="AD18" i="104"/>
  <c r="AB18" i="104"/>
  <c r="AA18" i="104"/>
  <c r="AG17" i="104"/>
  <c r="AF17" i="104"/>
  <c r="AE17" i="104"/>
  <c r="AD17" i="104"/>
  <c r="AB17" i="104"/>
  <c r="AA17" i="104"/>
  <c r="AG16" i="104"/>
  <c r="AF16" i="104"/>
  <c r="AE16" i="104"/>
  <c r="AD16" i="104"/>
  <c r="AB16" i="104"/>
  <c r="AA16" i="104"/>
  <c r="Z16" i="104"/>
  <c r="Y16" i="104"/>
  <c r="X16" i="104"/>
  <c r="W16" i="104"/>
  <c r="V16" i="104"/>
  <c r="U16" i="104"/>
  <c r="T16" i="104"/>
  <c r="S16" i="104"/>
  <c r="R16" i="104"/>
  <c r="Q16" i="104"/>
  <c r="P16" i="104"/>
  <c r="O16" i="104"/>
  <c r="N16" i="104"/>
  <c r="M16" i="104"/>
  <c r="L16" i="104"/>
  <c r="K16" i="104"/>
  <c r="J16" i="104"/>
  <c r="I16" i="104"/>
  <c r="H16" i="104"/>
  <c r="G16" i="104"/>
  <c r="F16" i="104"/>
  <c r="E16" i="104"/>
  <c r="D16" i="104"/>
  <c r="C16" i="104"/>
  <c r="AG15" i="104"/>
  <c r="AF15" i="104"/>
  <c r="AE15" i="104"/>
  <c r="AD15" i="104"/>
  <c r="AB15" i="104"/>
  <c r="AA15" i="104"/>
  <c r="AE14" i="104"/>
  <c r="AD14" i="104"/>
  <c r="AB14" i="104"/>
  <c r="AA14" i="104"/>
  <c r="AG13" i="104"/>
  <c r="AF13" i="104"/>
  <c r="AE13" i="104"/>
  <c r="AD13" i="104"/>
  <c r="AB13" i="104"/>
  <c r="AA13" i="104"/>
  <c r="AG12" i="104"/>
  <c r="AF12" i="104"/>
  <c r="AE12" i="104"/>
  <c r="AD12" i="104"/>
  <c r="AB12" i="104"/>
  <c r="AA12" i="104"/>
  <c r="AG11" i="104"/>
  <c r="AF11" i="104"/>
  <c r="AE11" i="104"/>
  <c r="AD11" i="104"/>
  <c r="AB11" i="104"/>
  <c r="AA11" i="104"/>
  <c r="AG10" i="104"/>
  <c r="AF10" i="104"/>
  <c r="AE10" i="104"/>
  <c r="AD10" i="104"/>
  <c r="AB10" i="104"/>
  <c r="AA10" i="104"/>
  <c r="AG9" i="104"/>
  <c r="AF9" i="104"/>
  <c r="AE9" i="104"/>
  <c r="AD9" i="104"/>
  <c r="AB9" i="104"/>
  <c r="AA9" i="104"/>
  <c r="AG8" i="104"/>
  <c r="AF8" i="104"/>
  <c r="AE8" i="104"/>
  <c r="AD8" i="104"/>
  <c r="AB8" i="104"/>
  <c r="AA8" i="104"/>
  <c r="AG7" i="104"/>
  <c r="AF7" i="104"/>
  <c r="AE7" i="104"/>
  <c r="AD7" i="104"/>
  <c r="AB7" i="104"/>
  <c r="AA7" i="104"/>
  <c r="AG6" i="104"/>
  <c r="AF6" i="104"/>
  <c r="AE6" i="104"/>
  <c r="AD6" i="104"/>
  <c r="AB6" i="104"/>
  <c r="AA6" i="104"/>
  <c r="Z6" i="104"/>
  <c r="Y6" i="104"/>
  <c r="X6" i="104"/>
  <c r="W6" i="104"/>
  <c r="V6" i="104"/>
  <c r="U6" i="104"/>
  <c r="T6" i="104"/>
  <c r="S6" i="104"/>
  <c r="R6" i="104"/>
  <c r="Q6" i="104"/>
  <c r="P6" i="104"/>
  <c r="O6" i="104"/>
  <c r="N6" i="104"/>
  <c r="M6" i="104"/>
  <c r="L6" i="104"/>
  <c r="K6" i="104"/>
  <c r="J6" i="104"/>
  <c r="I6" i="104"/>
  <c r="H6" i="104"/>
  <c r="G6" i="104"/>
  <c r="F6" i="104"/>
  <c r="E6" i="104"/>
  <c r="D6" i="104"/>
  <c r="C6" i="104"/>
  <c r="B23" i="106"/>
  <c r="AJ18" i="106"/>
  <c r="AG18" i="106"/>
  <c r="AD18" i="106"/>
  <c r="AA18" i="106"/>
  <c r="X18" i="106"/>
  <c r="U18" i="106"/>
  <c r="R18" i="106"/>
  <c r="O18" i="106"/>
  <c r="L18" i="106"/>
  <c r="I18" i="106"/>
  <c r="F18" i="106"/>
  <c r="C18" i="106"/>
  <c r="AK17" i="106"/>
  <c r="AI17" i="106"/>
  <c r="AH17" i="106"/>
  <c r="AF17" i="106"/>
  <c r="AE17" i="106"/>
  <c r="AC17" i="106"/>
  <c r="AB17" i="106"/>
  <c r="Z17" i="106"/>
  <c r="Y17" i="106"/>
  <c r="W17" i="106"/>
  <c r="V17" i="106"/>
  <c r="T17" i="106"/>
  <c r="S17" i="106"/>
  <c r="Q17" i="106"/>
  <c r="P17" i="106"/>
  <c r="N17" i="106"/>
  <c r="M17" i="106"/>
  <c r="K17" i="106"/>
  <c r="J17" i="106"/>
  <c r="H17" i="106"/>
  <c r="G17" i="106"/>
  <c r="E17" i="106"/>
  <c r="D17" i="106"/>
  <c r="B17" i="106"/>
  <c r="AM13" i="106"/>
  <c r="AJ9" i="106"/>
  <c r="AG9" i="106"/>
  <c r="AD9" i="106"/>
  <c r="AA9" i="106"/>
  <c r="X9" i="106"/>
  <c r="U9" i="106"/>
  <c r="R9" i="106"/>
  <c r="O9" i="106"/>
  <c r="L9" i="106"/>
  <c r="I9" i="106"/>
  <c r="F9" i="106"/>
  <c r="C9" i="106"/>
  <c r="AK8" i="106"/>
  <c r="AI8" i="106"/>
  <c r="AH8" i="106"/>
  <c r="AF8" i="106"/>
  <c r="AE8" i="106"/>
  <c r="AC8" i="106"/>
  <c r="AB8" i="106"/>
  <c r="Z8" i="106"/>
  <c r="Y8" i="106"/>
  <c r="W8" i="106"/>
  <c r="V8" i="106"/>
  <c r="T8" i="106"/>
  <c r="S8" i="106"/>
  <c r="Q8" i="106"/>
  <c r="P8" i="106"/>
  <c r="N8" i="106"/>
  <c r="M8" i="106"/>
  <c r="K8" i="106"/>
  <c r="J8" i="106"/>
  <c r="H8" i="106"/>
  <c r="G8" i="106"/>
  <c r="E8" i="106"/>
  <c r="D8" i="106"/>
  <c r="B8" i="106"/>
  <c r="AK6" i="106"/>
  <c r="AF6" i="106"/>
  <c r="AE6" i="106"/>
  <c r="Y6" i="106"/>
  <c r="S6" i="106"/>
  <c r="AE5" i="106"/>
  <c r="S5" i="106"/>
  <c r="Q5" i="106"/>
  <c r="P5" i="106"/>
  <c r="K5" i="106"/>
  <c r="G5" i="106"/>
  <c r="AM4" i="106"/>
  <c r="AK4" i="106"/>
  <c r="P4" i="106"/>
  <c r="N4" i="106"/>
  <c r="K4" i="106"/>
  <c r="J4" i="106"/>
  <c r="E4" i="106"/>
  <c r="D4" i="106"/>
  <c r="B270" i="79"/>
  <c r="AH267" i="79"/>
  <c r="AH266" i="79"/>
  <c r="X264" i="79"/>
  <c r="W264" i="79"/>
  <c r="V264" i="79"/>
  <c r="U264" i="79"/>
  <c r="Q264" i="79"/>
  <c r="P264" i="79"/>
  <c r="O264" i="79"/>
  <c r="G264" i="79"/>
  <c r="F264" i="79"/>
  <c r="E264" i="79"/>
  <c r="AI263" i="79"/>
  <c r="AH263" i="79"/>
  <c r="AI262" i="79"/>
  <c r="AH262" i="79"/>
  <c r="X262" i="79"/>
  <c r="S262" i="79"/>
  <c r="R262" i="79"/>
  <c r="Q262" i="79"/>
  <c r="P262" i="79"/>
  <c r="O262" i="79"/>
  <c r="N262" i="79"/>
  <c r="M262" i="79"/>
  <c r="H262" i="79"/>
  <c r="D262" i="79"/>
  <c r="C262" i="79"/>
  <c r="AI261" i="79"/>
  <c r="AH261" i="79"/>
  <c r="AH260" i="79"/>
  <c r="Z260" i="79"/>
  <c r="X260" i="79"/>
  <c r="W260" i="79"/>
  <c r="V260" i="79"/>
  <c r="U260" i="79"/>
  <c r="M260" i="79"/>
  <c r="K260" i="79"/>
  <c r="J260" i="79"/>
  <c r="G260" i="79"/>
  <c r="F260" i="79"/>
  <c r="E260" i="79"/>
  <c r="AH259" i="79"/>
  <c r="Z259" i="79"/>
  <c r="Y259" i="79"/>
  <c r="R259" i="79"/>
  <c r="Q259" i="79"/>
  <c r="J259" i="79"/>
  <c r="I259" i="79"/>
  <c r="G259" i="79"/>
  <c r="F259" i="79"/>
  <c r="AH257" i="79"/>
  <c r="V257" i="79"/>
  <c r="L257" i="79"/>
  <c r="K257" i="79"/>
  <c r="F257" i="79"/>
  <c r="AH256" i="79"/>
  <c r="Z256" i="79"/>
  <c r="Y256" i="79"/>
  <c r="X256" i="79"/>
  <c r="Q256" i="79"/>
  <c r="K256" i="79"/>
  <c r="J256" i="79"/>
  <c r="H256" i="79"/>
  <c r="D256" i="79"/>
  <c r="AH255" i="79"/>
  <c r="S255" i="79"/>
  <c r="O255" i="79"/>
  <c r="N255" i="79"/>
  <c r="J255" i="79"/>
  <c r="I255" i="79"/>
  <c r="C255" i="79"/>
  <c r="AH254" i="79"/>
  <c r="Z254" i="79"/>
  <c r="Y254" i="79"/>
  <c r="S254" i="79"/>
  <c r="R254" i="79"/>
  <c r="Q254" i="79"/>
  <c r="P254" i="79"/>
  <c r="O254" i="79"/>
  <c r="N254" i="79"/>
  <c r="K254" i="79"/>
  <c r="J254" i="79"/>
  <c r="I254" i="79"/>
  <c r="AH253" i="79"/>
  <c r="Z253" i="79"/>
  <c r="Y253" i="79"/>
  <c r="X253" i="79"/>
  <c r="V253" i="79"/>
  <c r="T253" i="79"/>
  <c r="S253" i="79"/>
  <c r="R253" i="79"/>
  <c r="Q253" i="79"/>
  <c r="K253" i="79"/>
  <c r="J253" i="79"/>
  <c r="I253" i="79"/>
  <c r="H253" i="79"/>
  <c r="F253" i="79"/>
  <c r="AH252" i="79"/>
  <c r="Z252" i="79"/>
  <c r="W252" i="79"/>
  <c r="V252" i="79"/>
  <c r="U252" i="79"/>
  <c r="T252" i="79"/>
  <c r="S252" i="79"/>
  <c r="R252" i="79"/>
  <c r="Q252" i="79"/>
  <c r="O252" i="79"/>
  <c r="I252" i="79"/>
  <c r="H252" i="79"/>
  <c r="G252" i="79"/>
  <c r="F252" i="79"/>
  <c r="E252" i="79"/>
  <c r="D252" i="79"/>
  <c r="C252" i="79"/>
  <c r="AH251" i="79"/>
  <c r="Z251" i="79"/>
  <c r="Y251" i="79"/>
  <c r="R251" i="79"/>
  <c r="N251" i="79"/>
  <c r="M251" i="79"/>
  <c r="K251" i="79"/>
  <c r="J251" i="79"/>
  <c r="I251" i="79"/>
  <c r="H251" i="79"/>
  <c r="G251" i="79"/>
  <c r="F251" i="79"/>
  <c r="C251" i="79"/>
  <c r="AH250" i="79"/>
  <c r="U250" i="79"/>
  <c r="T250" i="79"/>
  <c r="N250" i="79"/>
  <c r="M250" i="79"/>
  <c r="L250" i="79"/>
  <c r="K250" i="79"/>
  <c r="J250" i="79"/>
  <c r="F250" i="79"/>
  <c r="E250" i="79"/>
  <c r="D250" i="79"/>
  <c r="AH249" i="79"/>
  <c r="Z249" i="79"/>
  <c r="Y249" i="79"/>
  <c r="X249" i="79"/>
  <c r="W249" i="79"/>
  <c r="U249" i="79"/>
  <c r="T249" i="79"/>
  <c r="S249" i="79"/>
  <c r="R249" i="79"/>
  <c r="N249" i="79"/>
  <c r="M249" i="79"/>
  <c r="J249" i="79"/>
  <c r="I249" i="79"/>
  <c r="H249" i="79"/>
  <c r="G249" i="79"/>
  <c r="F249" i="79"/>
  <c r="E249" i="79"/>
  <c r="D249" i="79"/>
  <c r="C249" i="79"/>
  <c r="AH248" i="79"/>
  <c r="S248" i="79"/>
  <c r="N248" i="79"/>
  <c r="M248" i="79"/>
  <c r="L248" i="79"/>
  <c r="J248" i="79"/>
  <c r="I248" i="79"/>
  <c r="H248" i="79"/>
  <c r="G248" i="79"/>
  <c r="F248" i="79"/>
  <c r="C248" i="79"/>
  <c r="AH247" i="79"/>
  <c r="X247" i="79"/>
  <c r="W247" i="79"/>
  <c r="V247" i="79"/>
  <c r="U247" i="79"/>
  <c r="T247" i="79"/>
  <c r="Q247" i="79"/>
  <c r="P247" i="79"/>
  <c r="O247" i="79"/>
  <c r="N247" i="79"/>
  <c r="M247" i="79"/>
  <c r="L247" i="79"/>
  <c r="K247" i="79"/>
  <c r="J247" i="79"/>
  <c r="G247" i="79"/>
  <c r="F247" i="79"/>
  <c r="E247" i="79"/>
  <c r="D247" i="79"/>
  <c r="AH246" i="79"/>
  <c r="U246" i="79"/>
  <c r="T246" i="79"/>
  <c r="S246" i="79"/>
  <c r="R246" i="79"/>
  <c r="Q246" i="79"/>
  <c r="N246" i="79"/>
  <c r="M246" i="79"/>
  <c r="L246" i="79"/>
  <c r="K246" i="79"/>
  <c r="H246" i="79"/>
  <c r="G246" i="79"/>
  <c r="D246" i="79"/>
  <c r="C246" i="79"/>
  <c r="AH245" i="79"/>
  <c r="X245" i="79"/>
  <c r="V245" i="79"/>
  <c r="U245" i="79"/>
  <c r="T245" i="79"/>
  <c r="R245" i="79"/>
  <c r="Q245" i="79"/>
  <c r="P245" i="79"/>
  <c r="O245" i="79"/>
  <c r="M245" i="79"/>
  <c r="L245" i="79"/>
  <c r="K245" i="79"/>
  <c r="H245" i="79"/>
  <c r="F245" i="79"/>
  <c r="E245" i="79"/>
  <c r="D245" i="79"/>
  <c r="AH244" i="79"/>
  <c r="V244" i="79"/>
  <c r="S244" i="79"/>
  <c r="P244" i="79"/>
  <c r="O244" i="79"/>
  <c r="N244" i="79"/>
  <c r="M244" i="79"/>
  <c r="L244" i="79"/>
  <c r="G244" i="79"/>
  <c r="F244" i="79"/>
  <c r="C244" i="79"/>
  <c r="AH243" i="79"/>
  <c r="Z243" i="79"/>
  <c r="Y243" i="79"/>
  <c r="V243" i="79"/>
  <c r="U243" i="79"/>
  <c r="T243" i="79"/>
  <c r="S243" i="79"/>
  <c r="R243" i="79"/>
  <c r="P243" i="79"/>
  <c r="O243" i="79"/>
  <c r="M243" i="79"/>
  <c r="L243" i="79"/>
  <c r="K243" i="79"/>
  <c r="J243" i="79"/>
  <c r="I243" i="79"/>
  <c r="H243" i="79"/>
  <c r="F243" i="79"/>
  <c r="E243" i="79"/>
  <c r="D243" i="79"/>
  <c r="C243" i="79"/>
  <c r="AH242" i="79"/>
  <c r="Z242" i="79"/>
  <c r="V242" i="79"/>
  <c r="U242" i="79"/>
  <c r="T242" i="79"/>
  <c r="S242" i="79"/>
  <c r="R242" i="79"/>
  <c r="O242" i="79"/>
  <c r="N242" i="79"/>
  <c r="M242" i="79"/>
  <c r="L242" i="79"/>
  <c r="H242" i="79"/>
  <c r="G242" i="79"/>
  <c r="F242" i="79"/>
  <c r="E242" i="79"/>
  <c r="D242" i="79"/>
  <c r="C242" i="79"/>
  <c r="AH241" i="79"/>
  <c r="X241" i="79"/>
  <c r="W241" i="79"/>
  <c r="V241" i="79"/>
  <c r="P241" i="79"/>
  <c r="O241" i="79"/>
  <c r="N241" i="79"/>
  <c r="H241" i="79"/>
  <c r="F241" i="79"/>
  <c r="AH240" i="79"/>
  <c r="Z240" i="79"/>
  <c r="X240" i="79"/>
  <c r="Q240" i="79"/>
  <c r="N240" i="79"/>
  <c r="K240" i="79"/>
  <c r="J240" i="79"/>
  <c r="I240" i="79"/>
  <c r="H240" i="79"/>
  <c r="AH239" i="79"/>
  <c r="Z239" i="79"/>
  <c r="W239" i="79"/>
  <c r="V239" i="79"/>
  <c r="T239" i="79"/>
  <c r="O239" i="79"/>
  <c r="N239" i="79"/>
  <c r="M239" i="79"/>
  <c r="L239" i="79"/>
  <c r="K239" i="79"/>
  <c r="I239" i="79"/>
  <c r="H239" i="79"/>
  <c r="G239" i="79"/>
  <c r="F239" i="79"/>
  <c r="AH238" i="79"/>
  <c r="X238" i="79"/>
  <c r="W238" i="79"/>
  <c r="R238" i="79"/>
  <c r="Q238" i="79"/>
  <c r="P238" i="79"/>
  <c r="L238" i="79"/>
  <c r="K238" i="79"/>
  <c r="J238" i="79"/>
  <c r="H238" i="79"/>
  <c r="G238" i="79"/>
  <c r="AH237" i="79"/>
  <c r="Z237" i="79"/>
  <c r="W237" i="79"/>
  <c r="V237" i="79"/>
  <c r="P237" i="79"/>
  <c r="O237" i="79"/>
  <c r="M237" i="79"/>
  <c r="L237" i="79"/>
  <c r="K237" i="79"/>
  <c r="J237" i="79"/>
  <c r="I237" i="79"/>
  <c r="G237" i="79"/>
  <c r="F237" i="79"/>
  <c r="D237" i="79"/>
  <c r="AH236" i="79"/>
  <c r="Y236" i="79"/>
  <c r="X236" i="79"/>
  <c r="W236" i="79"/>
  <c r="V236" i="79"/>
  <c r="R236" i="79"/>
  <c r="O236" i="79"/>
  <c r="L236" i="79"/>
  <c r="K236" i="79"/>
  <c r="I236" i="79"/>
  <c r="H236" i="79"/>
  <c r="G236" i="79"/>
  <c r="F236" i="79"/>
  <c r="D236" i="79"/>
  <c r="C236" i="79"/>
  <c r="AH235" i="79"/>
  <c r="X235" i="79"/>
  <c r="W235" i="79"/>
  <c r="Q235" i="79"/>
  <c r="O235" i="79"/>
  <c r="N235" i="79"/>
  <c r="L235" i="79"/>
  <c r="K235" i="79"/>
  <c r="H235" i="79"/>
  <c r="G235" i="79"/>
  <c r="D235" i="79"/>
  <c r="C235" i="79"/>
  <c r="AH234" i="79"/>
  <c r="P234" i="79"/>
  <c r="L234" i="79"/>
  <c r="J234" i="79"/>
  <c r="H234" i="79"/>
  <c r="E234" i="79"/>
  <c r="D234" i="79"/>
  <c r="AH233" i="79"/>
  <c r="Z233" i="79"/>
  <c r="Y233" i="79"/>
  <c r="X233" i="79"/>
  <c r="P233" i="79"/>
  <c r="O233" i="79"/>
  <c r="N233" i="79"/>
  <c r="J233" i="79"/>
  <c r="I233" i="79"/>
  <c r="H233" i="79"/>
  <c r="AH232" i="79"/>
  <c r="Z232" i="79"/>
  <c r="Y232" i="79"/>
  <c r="X232" i="79"/>
  <c r="S232" i="79"/>
  <c r="R232" i="79"/>
  <c r="K232" i="79"/>
  <c r="J232" i="79"/>
  <c r="I232" i="79"/>
  <c r="H232" i="79"/>
  <c r="F232" i="79"/>
  <c r="E232" i="79"/>
  <c r="D232" i="79"/>
  <c r="C232" i="79"/>
  <c r="AH231" i="79"/>
  <c r="Y231" i="79"/>
  <c r="S231" i="79"/>
  <c r="R231" i="79"/>
  <c r="Q231" i="79"/>
  <c r="P231" i="79"/>
  <c r="N231" i="79"/>
  <c r="D231" i="79"/>
  <c r="C231" i="79"/>
  <c r="AH230" i="79"/>
  <c r="Z230" i="79"/>
  <c r="Y230" i="79"/>
  <c r="X230" i="79"/>
  <c r="U230" i="79"/>
  <c r="T230" i="79"/>
  <c r="K230" i="79"/>
  <c r="J230" i="79"/>
  <c r="I230" i="79"/>
  <c r="H230" i="79"/>
  <c r="E230" i="79"/>
  <c r="AH229" i="79"/>
  <c r="Z229" i="79"/>
  <c r="Y229" i="79"/>
  <c r="V229" i="79"/>
  <c r="U229" i="79"/>
  <c r="T229" i="79"/>
  <c r="S229" i="79"/>
  <c r="R229" i="79"/>
  <c r="Q229" i="79"/>
  <c r="J229" i="79"/>
  <c r="I229" i="79"/>
  <c r="D229" i="79"/>
  <c r="C229" i="79"/>
  <c r="AH228" i="79"/>
  <c r="Z228" i="79"/>
  <c r="V228" i="79"/>
  <c r="U228" i="79"/>
  <c r="T228" i="79"/>
  <c r="S228" i="79"/>
  <c r="R228" i="79"/>
  <c r="Q228" i="79"/>
  <c r="D228" i="79"/>
  <c r="C228" i="79"/>
  <c r="AH227" i="79"/>
  <c r="Z227" i="79"/>
  <c r="Y227" i="79"/>
  <c r="V227" i="79"/>
  <c r="P227" i="79"/>
  <c r="N227" i="79"/>
  <c r="M227" i="79"/>
  <c r="L227" i="79"/>
  <c r="K227" i="79"/>
  <c r="J227" i="79"/>
  <c r="I227" i="79"/>
  <c r="AH226" i="79"/>
  <c r="Z226" i="79"/>
  <c r="X226" i="79"/>
  <c r="W226" i="79"/>
  <c r="V226" i="79"/>
  <c r="U226" i="79"/>
  <c r="T226" i="79"/>
  <c r="S226" i="79"/>
  <c r="R226" i="79"/>
  <c r="Q226" i="79"/>
  <c r="K226" i="79"/>
  <c r="J226" i="79"/>
  <c r="F226" i="79"/>
  <c r="E226" i="79"/>
  <c r="D226" i="79"/>
  <c r="C226" i="79"/>
  <c r="AH225" i="79"/>
  <c r="Z225" i="79"/>
  <c r="Y225" i="79"/>
  <c r="V225" i="79"/>
  <c r="U225" i="79"/>
  <c r="T225" i="79"/>
  <c r="S225" i="79"/>
  <c r="R225" i="79"/>
  <c r="Q225" i="79"/>
  <c r="M225" i="79"/>
  <c r="L225" i="79"/>
  <c r="K225" i="79"/>
  <c r="J225" i="79"/>
  <c r="I225" i="79"/>
  <c r="H225" i="79"/>
  <c r="F225" i="79"/>
  <c r="E225" i="79"/>
  <c r="D225" i="79"/>
  <c r="C225" i="79"/>
  <c r="AH224" i="79"/>
  <c r="S224" i="79"/>
  <c r="Q224" i="79"/>
  <c r="K224" i="79"/>
  <c r="J224" i="79"/>
  <c r="I224" i="79"/>
  <c r="H224" i="79"/>
  <c r="E224" i="79"/>
  <c r="D224" i="79"/>
  <c r="C224" i="79"/>
  <c r="AH223" i="79"/>
  <c r="Z223" i="79"/>
  <c r="Y223" i="79"/>
  <c r="Q223" i="79"/>
  <c r="N223" i="79"/>
  <c r="L223" i="79"/>
  <c r="K223" i="79"/>
  <c r="J223" i="79"/>
  <c r="I223" i="79"/>
  <c r="AH222" i="79"/>
  <c r="Z222" i="79"/>
  <c r="Y222" i="79"/>
  <c r="V222" i="79"/>
  <c r="U222" i="79"/>
  <c r="S222" i="79"/>
  <c r="R222" i="79"/>
  <c r="Q222" i="79"/>
  <c r="M222" i="79"/>
  <c r="L222" i="79"/>
  <c r="K222" i="79"/>
  <c r="J222" i="79"/>
  <c r="I222" i="79"/>
  <c r="F222" i="79"/>
  <c r="C222" i="79"/>
  <c r="AH221" i="79"/>
  <c r="Y221" i="79"/>
  <c r="T221" i="79"/>
  <c r="S221" i="79"/>
  <c r="R221" i="79"/>
  <c r="Q221" i="79"/>
  <c r="N221" i="79"/>
  <c r="M221" i="79"/>
  <c r="K221" i="79"/>
  <c r="I221" i="79"/>
  <c r="F221" i="79"/>
  <c r="C221" i="79"/>
  <c r="AH220" i="79"/>
  <c r="Y220" i="79"/>
  <c r="W220" i="79"/>
  <c r="V220" i="79"/>
  <c r="U220" i="79"/>
  <c r="T220" i="79"/>
  <c r="S220" i="79"/>
  <c r="R220" i="79"/>
  <c r="L220" i="79"/>
  <c r="K220" i="79"/>
  <c r="J220" i="79"/>
  <c r="I220" i="79"/>
  <c r="F220" i="79"/>
  <c r="E220" i="79"/>
  <c r="C220" i="79"/>
  <c r="AH219" i="79"/>
  <c r="V219" i="79"/>
  <c r="T219" i="79"/>
  <c r="S219" i="79"/>
  <c r="R219" i="79"/>
  <c r="Q219" i="79"/>
  <c r="P219" i="79"/>
  <c r="N219" i="79"/>
  <c r="M219" i="79"/>
  <c r="L219" i="79"/>
  <c r="K219" i="79"/>
  <c r="AH218" i="79"/>
  <c r="Z218" i="79"/>
  <c r="Y218" i="79"/>
  <c r="X218" i="79"/>
  <c r="R218" i="79"/>
  <c r="Q218" i="79"/>
  <c r="N218" i="79"/>
  <c r="M218" i="79"/>
  <c r="L218" i="79"/>
  <c r="K218" i="79"/>
  <c r="J218" i="79"/>
  <c r="I218" i="79"/>
  <c r="F218" i="79"/>
  <c r="D218" i="79"/>
  <c r="AH217" i="79"/>
  <c r="Y217" i="79"/>
  <c r="V217" i="79"/>
  <c r="U217" i="79"/>
  <c r="T217" i="79"/>
  <c r="S217" i="79"/>
  <c r="R217" i="79"/>
  <c r="Q217" i="79"/>
  <c r="P217" i="79"/>
  <c r="L217" i="79"/>
  <c r="I217" i="79"/>
  <c r="D217" i="79"/>
  <c r="C217" i="79"/>
  <c r="AH216" i="79"/>
  <c r="Z216" i="79"/>
  <c r="Y216" i="79"/>
  <c r="X216" i="79"/>
  <c r="W216" i="79"/>
  <c r="V216" i="79"/>
  <c r="U216" i="79"/>
  <c r="Q216" i="79"/>
  <c r="M216" i="79"/>
  <c r="L216" i="79"/>
  <c r="K216" i="79"/>
  <c r="J216" i="79"/>
  <c r="I216" i="79"/>
  <c r="F216" i="79"/>
  <c r="E216" i="79"/>
  <c r="D216" i="79"/>
  <c r="AH215" i="79"/>
  <c r="Z215" i="79"/>
  <c r="U215" i="79"/>
  <c r="T215" i="79"/>
  <c r="S215" i="79"/>
  <c r="R215" i="79"/>
  <c r="Q215" i="79"/>
  <c r="P215" i="79"/>
  <c r="M215" i="79"/>
  <c r="L215" i="79"/>
  <c r="K215" i="79"/>
  <c r="J215" i="79"/>
  <c r="F215" i="79"/>
  <c r="E215" i="79"/>
  <c r="D215" i="79"/>
  <c r="C215" i="79"/>
  <c r="AH214" i="79"/>
  <c r="Y214" i="79"/>
  <c r="X214" i="79"/>
  <c r="W214" i="79"/>
  <c r="V214" i="79"/>
  <c r="U214" i="79"/>
  <c r="T214" i="79"/>
  <c r="S214" i="79"/>
  <c r="N214" i="79"/>
  <c r="M214" i="79"/>
  <c r="L214" i="79"/>
  <c r="D214" i="79"/>
  <c r="C214" i="79"/>
  <c r="AH213" i="79"/>
  <c r="Z213" i="79"/>
  <c r="V213" i="79"/>
  <c r="S213" i="79"/>
  <c r="R213" i="79"/>
  <c r="Q213" i="79"/>
  <c r="N213" i="79"/>
  <c r="M213" i="79"/>
  <c r="L213" i="79"/>
  <c r="K213" i="79"/>
  <c r="F213" i="79"/>
  <c r="C213" i="79"/>
  <c r="AH212" i="79"/>
  <c r="AH211" i="79"/>
  <c r="Z211" i="79"/>
  <c r="Y211" i="79"/>
  <c r="X211" i="79"/>
  <c r="W211" i="79"/>
  <c r="V211" i="79"/>
  <c r="U211" i="79"/>
  <c r="Q211" i="79"/>
  <c r="P211" i="79"/>
  <c r="O211" i="79"/>
  <c r="N211" i="79"/>
  <c r="M211" i="79"/>
  <c r="L211" i="79"/>
  <c r="K211" i="79"/>
  <c r="J211" i="79"/>
  <c r="I211" i="79"/>
  <c r="H211" i="79"/>
  <c r="G211" i="79"/>
  <c r="F211" i="79"/>
  <c r="AH210" i="79"/>
  <c r="Z210" i="79"/>
  <c r="Y210" i="79"/>
  <c r="X210" i="79"/>
  <c r="W210" i="79"/>
  <c r="V210" i="79"/>
  <c r="U210" i="79"/>
  <c r="Q210" i="79"/>
  <c r="P210" i="79"/>
  <c r="O210" i="79"/>
  <c r="N210" i="79"/>
  <c r="J210" i="79"/>
  <c r="I210" i="79"/>
  <c r="H210" i="79"/>
  <c r="G210" i="79"/>
  <c r="F210" i="79"/>
  <c r="E210" i="79"/>
  <c r="AH209" i="79"/>
  <c r="Z209" i="79"/>
  <c r="Y209" i="79"/>
  <c r="X209" i="79"/>
  <c r="W209" i="79"/>
  <c r="V209" i="79"/>
  <c r="R209" i="79"/>
  <c r="Q209" i="79"/>
  <c r="P209" i="79"/>
  <c r="O209" i="79"/>
  <c r="J209" i="79"/>
  <c r="I209" i="79"/>
  <c r="H209" i="79"/>
  <c r="G209" i="79"/>
  <c r="F209" i="79"/>
  <c r="AH208" i="79"/>
  <c r="Z208" i="79"/>
  <c r="Y208" i="79"/>
  <c r="V208" i="79"/>
  <c r="U208" i="79"/>
  <c r="R208" i="79"/>
  <c r="Q208" i="79"/>
  <c r="P208" i="79"/>
  <c r="O208" i="79"/>
  <c r="J208" i="79"/>
  <c r="I208" i="79"/>
  <c r="H208" i="79"/>
  <c r="F208" i="79"/>
  <c r="E208" i="79"/>
  <c r="AH207" i="79"/>
  <c r="Y207" i="79"/>
  <c r="X207" i="79"/>
  <c r="W207" i="79"/>
  <c r="V207" i="79"/>
  <c r="R207" i="79"/>
  <c r="Q207" i="79"/>
  <c r="P207" i="79"/>
  <c r="M207" i="79"/>
  <c r="L207" i="79"/>
  <c r="K207" i="79"/>
  <c r="J207" i="79"/>
  <c r="I207" i="79"/>
  <c r="H207" i="79"/>
  <c r="G207" i="79"/>
  <c r="F207" i="79"/>
  <c r="AH206" i="79"/>
  <c r="Z206" i="79"/>
  <c r="U206" i="79"/>
  <c r="R206" i="79"/>
  <c r="Q206" i="79"/>
  <c r="P206" i="79"/>
  <c r="O206" i="79"/>
  <c r="N206" i="79"/>
  <c r="J206" i="79"/>
  <c r="G206" i="79"/>
  <c r="F206" i="79"/>
  <c r="E206" i="79"/>
  <c r="AH205" i="79"/>
  <c r="Z205" i="79"/>
  <c r="Y205" i="79"/>
  <c r="X205" i="79"/>
  <c r="W205" i="79"/>
  <c r="Q205" i="79"/>
  <c r="P205" i="79"/>
  <c r="O205" i="79"/>
  <c r="N205" i="79"/>
  <c r="M205" i="79"/>
  <c r="L205" i="79"/>
  <c r="I205" i="79"/>
  <c r="H205" i="79"/>
  <c r="G205" i="79"/>
  <c r="F205" i="79"/>
  <c r="AH204" i="79"/>
  <c r="Z204" i="79"/>
  <c r="Y204" i="79"/>
  <c r="V204" i="79"/>
  <c r="U204" i="79"/>
  <c r="T204" i="79"/>
  <c r="Q204" i="79"/>
  <c r="P204" i="79"/>
  <c r="O204" i="79"/>
  <c r="N204" i="79"/>
  <c r="K204" i="79"/>
  <c r="J204" i="79"/>
  <c r="I204" i="79"/>
  <c r="F204" i="79"/>
  <c r="E204" i="79"/>
  <c r="AH203" i="79"/>
  <c r="Y203" i="79"/>
  <c r="X203" i="79"/>
  <c r="W203" i="79"/>
  <c r="V203" i="79"/>
  <c r="T203" i="79"/>
  <c r="R203" i="79"/>
  <c r="Q203" i="79"/>
  <c r="O203" i="79"/>
  <c r="N203" i="79"/>
  <c r="M203" i="79"/>
  <c r="J203" i="79"/>
  <c r="I203" i="79"/>
  <c r="H203" i="79"/>
  <c r="G203" i="79"/>
  <c r="F203" i="79"/>
  <c r="AH202" i="79"/>
  <c r="Y202" i="79"/>
  <c r="X202" i="79"/>
  <c r="W202" i="79"/>
  <c r="V202" i="79"/>
  <c r="U202" i="79"/>
  <c r="R202" i="79"/>
  <c r="Q202" i="79"/>
  <c r="P202" i="79"/>
  <c r="O202" i="79"/>
  <c r="I202" i="79"/>
  <c r="H202" i="79"/>
  <c r="G202" i="79"/>
  <c r="F202" i="79"/>
  <c r="E202" i="79"/>
  <c r="D202" i="79"/>
  <c r="C202" i="79"/>
  <c r="AH201" i="79"/>
  <c r="Z201" i="79"/>
  <c r="Y201" i="79"/>
  <c r="X201" i="79"/>
  <c r="W201" i="79"/>
  <c r="Q201" i="79"/>
  <c r="O201" i="79"/>
  <c r="N201" i="79"/>
  <c r="M201" i="79"/>
  <c r="J201" i="79"/>
  <c r="I201" i="79"/>
  <c r="H201" i="79"/>
  <c r="G201" i="79"/>
  <c r="F201" i="79"/>
  <c r="AH200" i="79"/>
  <c r="AH199" i="79"/>
  <c r="Y199" i="79"/>
  <c r="W199" i="79"/>
  <c r="S199" i="79"/>
  <c r="R199" i="79"/>
  <c r="Q199" i="79"/>
  <c r="P199" i="79"/>
  <c r="L199" i="79"/>
  <c r="K199" i="79"/>
  <c r="J199" i="79"/>
  <c r="I199" i="79"/>
  <c r="H199" i="79"/>
  <c r="G199" i="79"/>
  <c r="F199" i="79"/>
  <c r="E199" i="79"/>
  <c r="D199" i="79"/>
  <c r="C199" i="79"/>
  <c r="AH198" i="79"/>
  <c r="Z198" i="79"/>
  <c r="Y198" i="79"/>
  <c r="X198" i="79"/>
  <c r="U198" i="79"/>
  <c r="T198" i="79"/>
  <c r="S198" i="79"/>
  <c r="R198" i="79"/>
  <c r="Q198" i="79"/>
  <c r="P198" i="79"/>
  <c r="O198" i="79"/>
  <c r="L198" i="79"/>
  <c r="K198" i="79"/>
  <c r="J198" i="79"/>
  <c r="I198" i="79"/>
  <c r="E198" i="79"/>
  <c r="D198" i="79"/>
  <c r="C198" i="79"/>
  <c r="AH197" i="79"/>
  <c r="Z197" i="79"/>
  <c r="Y197" i="79"/>
  <c r="X197" i="79"/>
  <c r="W197" i="79"/>
  <c r="T197" i="79"/>
  <c r="S197" i="79"/>
  <c r="R197" i="79"/>
  <c r="Q197" i="79"/>
  <c r="M197" i="79"/>
  <c r="L197" i="79"/>
  <c r="K197" i="79"/>
  <c r="I197" i="79"/>
  <c r="H197" i="79"/>
  <c r="G197" i="79"/>
  <c r="F197" i="79"/>
  <c r="D197" i="79"/>
  <c r="C197" i="79"/>
  <c r="AH196" i="79"/>
  <c r="X196" i="79"/>
  <c r="U196" i="79"/>
  <c r="T196" i="79"/>
  <c r="S196" i="79"/>
  <c r="Q196" i="79"/>
  <c r="P196" i="79"/>
  <c r="O196" i="79"/>
  <c r="N196" i="79"/>
  <c r="M196" i="79"/>
  <c r="L196" i="79"/>
  <c r="H196" i="79"/>
  <c r="E196" i="79"/>
  <c r="D196" i="79"/>
  <c r="C196" i="79"/>
  <c r="AH195" i="79"/>
  <c r="Y195" i="79"/>
  <c r="X195" i="79"/>
  <c r="W195" i="79"/>
  <c r="U195" i="79"/>
  <c r="S195" i="79"/>
  <c r="R195" i="79"/>
  <c r="Q195" i="79"/>
  <c r="P195" i="79"/>
  <c r="M195" i="79"/>
  <c r="L195" i="79"/>
  <c r="K195" i="79"/>
  <c r="I195" i="79"/>
  <c r="H195" i="79"/>
  <c r="G195" i="79"/>
  <c r="C195" i="79"/>
  <c r="AH194" i="79"/>
  <c r="Z194" i="79"/>
  <c r="Y194" i="79"/>
  <c r="X194" i="79"/>
  <c r="U194" i="79"/>
  <c r="T194" i="79"/>
  <c r="R194" i="79"/>
  <c r="P194" i="79"/>
  <c r="O194" i="79"/>
  <c r="L194" i="79"/>
  <c r="K194" i="79"/>
  <c r="J194" i="79"/>
  <c r="I194" i="79"/>
  <c r="E194" i="79"/>
  <c r="D194" i="79"/>
  <c r="AH193" i="79"/>
  <c r="Z193" i="79"/>
  <c r="X193" i="79"/>
  <c r="W193" i="79"/>
  <c r="S193" i="79"/>
  <c r="R193" i="79"/>
  <c r="Q193" i="79"/>
  <c r="P193" i="79"/>
  <c r="M193" i="79"/>
  <c r="L193" i="79"/>
  <c r="K193" i="79"/>
  <c r="J193" i="79"/>
  <c r="I193" i="79"/>
  <c r="G193" i="79"/>
  <c r="F193" i="79"/>
  <c r="E193" i="79"/>
  <c r="C193" i="79"/>
  <c r="AH192" i="79"/>
  <c r="Z192" i="79"/>
  <c r="Y192" i="79"/>
  <c r="U192" i="79"/>
  <c r="T192" i="79"/>
  <c r="S192" i="79"/>
  <c r="Q192" i="79"/>
  <c r="P192" i="79"/>
  <c r="N192" i="79"/>
  <c r="M192" i="79"/>
  <c r="K192" i="79"/>
  <c r="J192" i="79"/>
  <c r="I192" i="79"/>
  <c r="E192" i="79"/>
  <c r="D192" i="79"/>
  <c r="C192" i="79"/>
  <c r="AH191" i="79"/>
  <c r="Z191" i="79"/>
  <c r="Y191" i="79"/>
  <c r="X191" i="79"/>
  <c r="W191" i="79"/>
  <c r="T191" i="79"/>
  <c r="S191" i="79"/>
  <c r="R191" i="79"/>
  <c r="Q191" i="79"/>
  <c r="P191" i="79"/>
  <c r="M191" i="79"/>
  <c r="K191" i="79"/>
  <c r="J191" i="79"/>
  <c r="I191" i="79"/>
  <c r="H191" i="79"/>
  <c r="G191" i="79"/>
  <c r="F191" i="79"/>
  <c r="E191" i="79"/>
  <c r="C191" i="79"/>
  <c r="AH190" i="79"/>
  <c r="Z190" i="79"/>
  <c r="Y190" i="79"/>
  <c r="V190" i="79"/>
  <c r="U190" i="79"/>
  <c r="T190" i="79"/>
  <c r="Q190" i="79"/>
  <c r="P190" i="79"/>
  <c r="O190" i="79"/>
  <c r="N190" i="79"/>
  <c r="M190" i="79"/>
  <c r="L190" i="79"/>
  <c r="K190" i="79"/>
  <c r="J190" i="79"/>
  <c r="I190" i="79"/>
  <c r="F190" i="79"/>
  <c r="E190" i="79"/>
  <c r="D190" i="79"/>
  <c r="AH189" i="79"/>
  <c r="AH188" i="79"/>
  <c r="Z188" i="79"/>
  <c r="Y188" i="79"/>
  <c r="T188" i="79"/>
  <c r="R188" i="79"/>
  <c r="P188" i="79"/>
  <c r="O188" i="79"/>
  <c r="N188" i="79"/>
  <c r="M188" i="79"/>
  <c r="L188" i="79"/>
  <c r="K188" i="79"/>
  <c r="J188" i="79"/>
  <c r="I188" i="79"/>
  <c r="D188" i="79"/>
  <c r="AH187" i="79"/>
  <c r="X187" i="79"/>
  <c r="W187" i="79"/>
  <c r="V187" i="79"/>
  <c r="U187" i="79"/>
  <c r="T187" i="79"/>
  <c r="S187" i="79"/>
  <c r="P187" i="79"/>
  <c r="L187" i="79"/>
  <c r="K187" i="79"/>
  <c r="J187" i="79"/>
  <c r="I187" i="79"/>
  <c r="H187" i="79"/>
  <c r="G187" i="79"/>
  <c r="F187" i="79"/>
  <c r="C187" i="79"/>
  <c r="AH186" i="79"/>
  <c r="Z186" i="79"/>
  <c r="Y186" i="79"/>
  <c r="V186" i="79"/>
  <c r="U186" i="79"/>
  <c r="T186" i="79"/>
  <c r="S186" i="79"/>
  <c r="R186" i="79"/>
  <c r="Q186" i="79"/>
  <c r="P186" i="79"/>
  <c r="O186" i="79"/>
  <c r="N186" i="79"/>
  <c r="K186" i="79"/>
  <c r="J186" i="79"/>
  <c r="I186" i="79"/>
  <c r="F186" i="79"/>
  <c r="E186" i="79"/>
  <c r="D186" i="79"/>
  <c r="C186" i="79"/>
  <c r="AH185" i="79"/>
  <c r="Z185" i="79"/>
  <c r="X185" i="79"/>
  <c r="W185" i="79"/>
  <c r="V185" i="79"/>
  <c r="S185" i="79"/>
  <c r="R185" i="79"/>
  <c r="Q185" i="79"/>
  <c r="N185" i="79"/>
  <c r="M185" i="79"/>
  <c r="L185" i="79"/>
  <c r="K185" i="79"/>
  <c r="J185" i="79"/>
  <c r="H185" i="79"/>
  <c r="G185" i="79"/>
  <c r="F185" i="79"/>
  <c r="D185" i="79"/>
  <c r="C185" i="79"/>
  <c r="AH184" i="79"/>
  <c r="X184" i="79"/>
  <c r="W184" i="79"/>
  <c r="V184" i="79"/>
  <c r="U184" i="79"/>
  <c r="T184" i="79"/>
  <c r="R184" i="79"/>
  <c r="Q184" i="79"/>
  <c r="P184" i="79"/>
  <c r="K184" i="79"/>
  <c r="J184" i="79"/>
  <c r="I184" i="79"/>
  <c r="H184" i="79"/>
  <c r="G184" i="79"/>
  <c r="F184" i="79"/>
  <c r="D184" i="79"/>
  <c r="C184" i="79"/>
  <c r="AH183" i="79"/>
  <c r="U183" i="79"/>
  <c r="T183" i="79"/>
  <c r="Q183" i="79"/>
  <c r="P183" i="79"/>
  <c r="O183" i="79"/>
  <c r="N183" i="79"/>
  <c r="M183" i="79"/>
  <c r="L183" i="79"/>
  <c r="K183" i="79"/>
  <c r="J183" i="79"/>
  <c r="I183" i="79"/>
  <c r="F183" i="79"/>
  <c r="E183" i="79"/>
  <c r="D183" i="79"/>
  <c r="C183" i="79"/>
  <c r="AH182" i="79"/>
  <c r="Y182" i="79"/>
  <c r="X182" i="79"/>
  <c r="W182" i="79"/>
  <c r="V182" i="79"/>
  <c r="U182" i="79"/>
  <c r="T182" i="79"/>
  <c r="S182" i="79"/>
  <c r="R182" i="79"/>
  <c r="Q182" i="79"/>
  <c r="N182" i="79"/>
  <c r="L182" i="79"/>
  <c r="K182" i="79"/>
  <c r="J182" i="79"/>
  <c r="I182" i="79"/>
  <c r="H182" i="79"/>
  <c r="G182" i="79"/>
  <c r="F182" i="79"/>
  <c r="E182" i="79"/>
  <c r="D182" i="79"/>
  <c r="C182" i="79"/>
  <c r="AH181" i="79"/>
  <c r="Y181" i="79"/>
  <c r="V181" i="79"/>
  <c r="U181" i="79"/>
  <c r="T181" i="79"/>
  <c r="S181" i="79"/>
  <c r="R181" i="79"/>
  <c r="Q181" i="79"/>
  <c r="P181" i="79"/>
  <c r="O181" i="79"/>
  <c r="N181" i="79"/>
  <c r="M181" i="79"/>
  <c r="L181" i="79"/>
  <c r="K181" i="79"/>
  <c r="I181" i="79"/>
  <c r="G181" i="79"/>
  <c r="F181" i="79"/>
  <c r="E181" i="79"/>
  <c r="D181" i="79"/>
  <c r="C181" i="79"/>
  <c r="AH180" i="79"/>
  <c r="AH179" i="79"/>
  <c r="Y179" i="79"/>
  <c r="X179" i="79"/>
  <c r="W179" i="79"/>
  <c r="V179" i="79"/>
  <c r="U179" i="79"/>
  <c r="Q179" i="79"/>
  <c r="O179" i="79"/>
  <c r="M179" i="79"/>
  <c r="L179" i="79"/>
  <c r="K179" i="79"/>
  <c r="I179" i="79"/>
  <c r="E179" i="79"/>
  <c r="AH178" i="79"/>
  <c r="X178" i="79"/>
  <c r="W178" i="79"/>
  <c r="V178" i="79"/>
  <c r="U178" i="79"/>
  <c r="T178" i="79"/>
  <c r="O178" i="79"/>
  <c r="N178" i="79"/>
  <c r="H178" i="79"/>
  <c r="G178" i="79"/>
  <c r="F178" i="79"/>
  <c r="E178" i="79"/>
  <c r="D178" i="79"/>
  <c r="AH177" i="79"/>
  <c r="AH176" i="79"/>
  <c r="AH175" i="79"/>
  <c r="U175" i="79"/>
  <c r="T175" i="79"/>
  <c r="S175" i="79"/>
  <c r="R175" i="79"/>
  <c r="Q175" i="79"/>
  <c r="P175" i="79"/>
  <c r="O175" i="79"/>
  <c r="M175" i="79"/>
  <c r="L175" i="79"/>
  <c r="K175" i="79"/>
  <c r="E175" i="79"/>
  <c r="D175" i="79"/>
  <c r="C175" i="79"/>
  <c r="AH174" i="79"/>
  <c r="W174" i="79"/>
  <c r="V174" i="79"/>
  <c r="U174" i="79"/>
  <c r="S174" i="79"/>
  <c r="N174" i="79"/>
  <c r="M174" i="79"/>
  <c r="L174" i="79"/>
  <c r="K174" i="79"/>
  <c r="G174" i="79"/>
  <c r="F174" i="79"/>
  <c r="E174" i="79"/>
  <c r="D174" i="79"/>
  <c r="C174" i="79"/>
  <c r="AH173" i="79"/>
  <c r="V173" i="79"/>
  <c r="U173" i="79"/>
  <c r="R173" i="79"/>
  <c r="Q173" i="79"/>
  <c r="P173" i="79"/>
  <c r="O173" i="79"/>
  <c r="N173" i="79"/>
  <c r="M173" i="79"/>
  <c r="F173" i="79"/>
  <c r="AH172" i="79"/>
  <c r="Z172" i="79"/>
  <c r="Y172" i="79"/>
  <c r="X172" i="79"/>
  <c r="W172" i="79"/>
  <c r="V172" i="79"/>
  <c r="U172" i="79"/>
  <c r="T172" i="79"/>
  <c r="S172" i="79"/>
  <c r="N172" i="79"/>
  <c r="K172" i="79"/>
  <c r="J172" i="79"/>
  <c r="I172" i="79"/>
  <c r="H172" i="79"/>
  <c r="G172" i="79"/>
  <c r="F172" i="79"/>
  <c r="E172" i="79"/>
  <c r="D172" i="79"/>
  <c r="C172" i="79"/>
  <c r="AH171" i="79"/>
  <c r="W171" i="79"/>
  <c r="V171" i="79"/>
  <c r="T171" i="79"/>
  <c r="S171" i="79"/>
  <c r="R171" i="79"/>
  <c r="Q171" i="79"/>
  <c r="P171" i="79"/>
  <c r="O171" i="79"/>
  <c r="N171" i="79"/>
  <c r="M171" i="79"/>
  <c r="L171" i="79"/>
  <c r="K171" i="79"/>
  <c r="J171" i="79"/>
  <c r="G171" i="79"/>
  <c r="F171" i="79"/>
  <c r="D171" i="79"/>
  <c r="C171" i="79"/>
  <c r="AH170" i="79"/>
  <c r="Z170" i="79"/>
  <c r="W170" i="79"/>
  <c r="V170" i="79"/>
  <c r="U170" i="79"/>
  <c r="T170" i="79"/>
  <c r="O170" i="79"/>
  <c r="N170" i="79"/>
  <c r="M170" i="79"/>
  <c r="L170" i="79"/>
  <c r="K170" i="79"/>
  <c r="J170" i="79"/>
  <c r="G170" i="79"/>
  <c r="E170" i="79"/>
  <c r="D170" i="79"/>
  <c r="AH169" i="79"/>
  <c r="W169" i="79"/>
  <c r="V169" i="79"/>
  <c r="U169" i="79"/>
  <c r="T169" i="79"/>
  <c r="S169" i="79"/>
  <c r="O169" i="79"/>
  <c r="N169" i="79"/>
  <c r="K169" i="79"/>
  <c r="G169" i="79"/>
  <c r="F169" i="79"/>
  <c r="E169" i="79"/>
  <c r="D169" i="79"/>
  <c r="C169" i="79"/>
  <c r="AH168" i="79"/>
  <c r="Z168" i="79"/>
  <c r="Y168" i="79"/>
  <c r="X168" i="79"/>
  <c r="W168" i="79"/>
  <c r="K168" i="79"/>
  <c r="J168" i="79"/>
  <c r="I168" i="79"/>
  <c r="H168" i="79"/>
  <c r="G168" i="79"/>
  <c r="F168" i="79"/>
  <c r="D168" i="79"/>
  <c r="AH167" i="79"/>
  <c r="T167" i="79"/>
  <c r="S167" i="79"/>
  <c r="R167" i="79"/>
  <c r="Q167" i="79"/>
  <c r="P167" i="79"/>
  <c r="O167" i="79"/>
  <c r="N167" i="79"/>
  <c r="M167" i="79"/>
  <c r="L167" i="79"/>
  <c r="D167" i="79"/>
  <c r="C167" i="79"/>
  <c r="AH166" i="79"/>
  <c r="Z166" i="79"/>
  <c r="Y166" i="79"/>
  <c r="X166" i="79"/>
  <c r="N166" i="79"/>
  <c r="M166" i="79"/>
  <c r="L166" i="79"/>
  <c r="K166" i="79"/>
  <c r="J166" i="79"/>
  <c r="I166" i="79"/>
  <c r="G166" i="79"/>
  <c r="F166" i="79"/>
  <c r="E166" i="79"/>
  <c r="D166" i="79"/>
  <c r="AH165" i="79"/>
  <c r="W165" i="79"/>
  <c r="V165" i="79"/>
  <c r="U165" i="79"/>
  <c r="T165" i="79"/>
  <c r="S165" i="79"/>
  <c r="R165" i="79"/>
  <c r="Q165" i="79"/>
  <c r="M165" i="79"/>
  <c r="G165" i="79"/>
  <c r="F165" i="79"/>
  <c r="E165" i="79"/>
  <c r="D165" i="79"/>
  <c r="C165" i="79"/>
  <c r="AH164" i="79"/>
  <c r="X164" i="79"/>
  <c r="W164" i="79"/>
  <c r="V164" i="79"/>
  <c r="U164" i="79"/>
  <c r="T164" i="79"/>
  <c r="O164" i="79"/>
  <c r="N164" i="79"/>
  <c r="M164" i="79"/>
  <c r="L164" i="79"/>
  <c r="K164" i="79"/>
  <c r="H164" i="79"/>
  <c r="G164" i="79"/>
  <c r="F164" i="79"/>
  <c r="AH163" i="79"/>
  <c r="X163" i="79"/>
  <c r="W163" i="79"/>
  <c r="V163" i="79"/>
  <c r="U163" i="79"/>
  <c r="T163" i="79"/>
  <c r="S163" i="79"/>
  <c r="R163" i="79"/>
  <c r="Q163" i="79"/>
  <c r="P163" i="79"/>
  <c r="G163" i="79"/>
  <c r="F163" i="79"/>
  <c r="E163" i="79"/>
  <c r="D163" i="79"/>
  <c r="C163" i="79"/>
  <c r="AH162" i="79"/>
  <c r="Z162" i="79"/>
  <c r="Y162" i="79"/>
  <c r="T162" i="79"/>
  <c r="N162" i="79"/>
  <c r="M162" i="79"/>
  <c r="L162" i="79"/>
  <c r="K162" i="79"/>
  <c r="J162" i="79"/>
  <c r="E162" i="79"/>
  <c r="D162" i="79"/>
  <c r="AH161" i="79"/>
  <c r="W161" i="79"/>
  <c r="V161" i="79"/>
  <c r="U161" i="79"/>
  <c r="T161" i="79"/>
  <c r="S161" i="79"/>
  <c r="Q161" i="79"/>
  <c r="P161" i="79"/>
  <c r="O161" i="79"/>
  <c r="N161" i="79"/>
  <c r="M161" i="79"/>
  <c r="L161" i="79"/>
  <c r="G161" i="79"/>
  <c r="F161" i="79"/>
  <c r="E161" i="79"/>
  <c r="D161" i="79"/>
  <c r="C161" i="79"/>
  <c r="AH160" i="79"/>
  <c r="W160" i="79"/>
  <c r="V160" i="79"/>
  <c r="Q160" i="79"/>
  <c r="P160" i="79"/>
  <c r="O160" i="79"/>
  <c r="N160" i="79"/>
  <c r="M160" i="79"/>
  <c r="L160" i="79"/>
  <c r="K160" i="79"/>
  <c r="G160" i="79"/>
  <c r="F160" i="79"/>
  <c r="D160" i="79"/>
  <c r="AH159" i="79"/>
  <c r="W159" i="79"/>
  <c r="S159" i="79"/>
  <c r="R159" i="79"/>
  <c r="Q159" i="79"/>
  <c r="L159" i="79"/>
  <c r="K159" i="79"/>
  <c r="J159" i="79"/>
  <c r="G159" i="79"/>
  <c r="C159" i="79"/>
  <c r="AH158" i="79"/>
  <c r="Z158" i="79"/>
  <c r="Y158" i="79"/>
  <c r="X158" i="79"/>
  <c r="W158" i="79"/>
  <c r="O158" i="79"/>
  <c r="M158" i="79"/>
  <c r="K158" i="79"/>
  <c r="J158" i="79"/>
  <c r="I158" i="79"/>
  <c r="H158" i="79"/>
  <c r="G158" i="79"/>
  <c r="E158" i="79"/>
  <c r="D158" i="79"/>
  <c r="AH157" i="79"/>
  <c r="V157" i="79"/>
  <c r="U157" i="79"/>
  <c r="S157" i="79"/>
  <c r="R157" i="79"/>
  <c r="Q157" i="79"/>
  <c r="P157" i="79"/>
  <c r="O157" i="79"/>
  <c r="N157" i="79"/>
  <c r="M157" i="79"/>
  <c r="L157" i="79"/>
  <c r="K157" i="79"/>
  <c r="F157" i="79"/>
  <c r="E157" i="79"/>
  <c r="C157" i="79"/>
  <c r="AH156" i="79"/>
  <c r="Z156" i="79"/>
  <c r="Y156" i="79"/>
  <c r="X156" i="79"/>
  <c r="W156" i="79"/>
  <c r="U156" i="79"/>
  <c r="T156" i="79"/>
  <c r="O156" i="79"/>
  <c r="N156" i="79"/>
  <c r="M156" i="79"/>
  <c r="K156" i="79"/>
  <c r="J156" i="79"/>
  <c r="I156" i="79"/>
  <c r="H156" i="79"/>
  <c r="D156" i="79"/>
  <c r="AH155" i="79"/>
  <c r="W155" i="79"/>
  <c r="V155" i="79"/>
  <c r="T155" i="79"/>
  <c r="S155" i="79"/>
  <c r="R155" i="79"/>
  <c r="Q155" i="79"/>
  <c r="P155" i="79"/>
  <c r="O155" i="79"/>
  <c r="G155" i="79"/>
  <c r="F155" i="79"/>
  <c r="D155" i="79"/>
  <c r="C155" i="79"/>
  <c r="AH154" i="79"/>
  <c r="Z154" i="79"/>
  <c r="Y154" i="79"/>
  <c r="X154" i="79"/>
  <c r="W154" i="79"/>
  <c r="T154" i="79"/>
  <c r="O154" i="79"/>
  <c r="N154" i="79"/>
  <c r="M154" i="79"/>
  <c r="L154" i="79"/>
  <c r="K154" i="79"/>
  <c r="J154" i="79"/>
  <c r="I154" i="79"/>
  <c r="H154" i="79"/>
  <c r="G154" i="79"/>
  <c r="D154" i="79"/>
  <c r="AH153" i="79"/>
  <c r="Y153" i="79"/>
  <c r="X153" i="79"/>
  <c r="W153" i="79"/>
  <c r="V153" i="79"/>
  <c r="U153" i="79"/>
  <c r="T153" i="79"/>
  <c r="S153" i="79"/>
  <c r="R153" i="79"/>
  <c r="Q153" i="79"/>
  <c r="P153" i="79"/>
  <c r="I153" i="79"/>
  <c r="H153" i="79"/>
  <c r="G153" i="79"/>
  <c r="F153" i="79"/>
  <c r="E153" i="79"/>
  <c r="D153" i="79"/>
  <c r="C153" i="79"/>
  <c r="AH152" i="79"/>
  <c r="R152" i="79"/>
  <c r="Q152" i="79"/>
  <c r="O152" i="79"/>
  <c r="N152" i="79"/>
  <c r="L152" i="79"/>
  <c r="K152" i="79"/>
  <c r="J152" i="79"/>
  <c r="I152" i="79"/>
  <c r="H152" i="79"/>
  <c r="D152" i="79"/>
  <c r="AH151" i="79"/>
  <c r="Z151" i="79"/>
  <c r="X151" i="79"/>
  <c r="U151" i="79"/>
  <c r="S151" i="79"/>
  <c r="R151" i="79"/>
  <c r="Q151" i="79"/>
  <c r="P151" i="79"/>
  <c r="O151" i="79"/>
  <c r="K151" i="79"/>
  <c r="J151" i="79"/>
  <c r="H151" i="79"/>
  <c r="E151" i="79"/>
  <c r="C151" i="79"/>
  <c r="AH150" i="79"/>
  <c r="Z150" i="79"/>
  <c r="Y150" i="79"/>
  <c r="X150" i="79"/>
  <c r="W150" i="79"/>
  <c r="P150" i="79"/>
  <c r="O150" i="79"/>
  <c r="N150" i="79"/>
  <c r="M150" i="79"/>
  <c r="L150" i="79"/>
  <c r="K150" i="79"/>
  <c r="J150" i="79"/>
  <c r="I150" i="79"/>
  <c r="H150" i="79"/>
  <c r="G150" i="79"/>
  <c r="F150" i="79"/>
  <c r="AH149" i="79"/>
  <c r="Z149" i="79"/>
  <c r="Y149" i="79"/>
  <c r="W149" i="79"/>
  <c r="V149" i="79"/>
  <c r="S149" i="79"/>
  <c r="R149" i="79"/>
  <c r="Q149" i="79"/>
  <c r="I149" i="79"/>
  <c r="H149" i="79"/>
  <c r="G149" i="79"/>
  <c r="F149" i="79"/>
  <c r="E149" i="79"/>
  <c r="D149" i="79"/>
  <c r="C149" i="79"/>
  <c r="AH148" i="79"/>
  <c r="Z148" i="79"/>
  <c r="S148" i="79"/>
  <c r="P148" i="79"/>
  <c r="O148" i="79"/>
  <c r="N148" i="79"/>
  <c r="M148" i="79"/>
  <c r="K148" i="79"/>
  <c r="J148" i="79"/>
  <c r="I148" i="79"/>
  <c r="C148" i="79"/>
  <c r="AH147" i="79"/>
  <c r="Z147" i="79"/>
  <c r="Y147" i="79"/>
  <c r="X147" i="79"/>
  <c r="W147" i="79"/>
  <c r="S147" i="79"/>
  <c r="R147" i="79"/>
  <c r="Q147" i="79"/>
  <c r="O147" i="79"/>
  <c r="L147" i="79"/>
  <c r="K147" i="79"/>
  <c r="J147" i="79"/>
  <c r="I147" i="79"/>
  <c r="H147" i="79"/>
  <c r="E147" i="79"/>
  <c r="D147" i="79"/>
  <c r="AH146" i="79"/>
  <c r="Z146" i="79"/>
  <c r="W146" i="79"/>
  <c r="V146" i="79"/>
  <c r="U146" i="79"/>
  <c r="T146" i="79"/>
  <c r="S146" i="79"/>
  <c r="P146" i="79"/>
  <c r="O146" i="79"/>
  <c r="N146" i="79"/>
  <c r="K146" i="79"/>
  <c r="F146" i="79"/>
  <c r="E146" i="79"/>
  <c r="D146" i="79"/>
  <c r="C146" i="79"/>
  <c r="AH145" i="79"/>
  <c r="Z145" i="79"/>
  <c r="W145" i="79"/>
  <c r="V145" i="79"/>
  <c r="T145" i="79"/>
  <c r="S145" i="79"/>
  <c r="R145" i="79"/>
  <c r="Q145" i="79"/>
  <c r="M145" i="79"/>
  <c r="L145" i="79"/>
  <c r="K145" i="79"/>
  <c r="J145" i="79"/>
  <c r="G145" i="79"/>
  <c r="C145" i="79"/>
  <c r="AH144" i="79"/>
  <c r="Z144" i="79"/>
  <c r="Y144" i="79"/>
  <c r="X144" i="79"/>
  <c r="W144" i="79"/>
  <c r="V144" i="79"/>
  <c r="U144" i="79"/>
  <c r="T144" i="79"/>
  <c r="S144" i="79"/>
  <c r="R144" i="79"/>
  <c r="M144" i="79"/>
  <c r="L144" i="79"/>
  <c r="K144" i="79"/>
  <c r="J144" i="79"/>
  <c r="F144" i="79"/>
  <c r="E144" i="79"/>
  <c r="D144" i="79"/>
  <c r="C144" i="79"/>
  <c r="AH143" i="79"/>
  <c r="Y143" i="79"/>
  <c r="X143" i="79"/>
  <c r="U143" i="79"/>
  <c r="T143" i="79"/>
  <c r="S143" i="79"/>
  <c r="N143" i="79"/>
  <c r="M143" i="79"/>
  <c r="I143" i="79"/>
  <c r="H143" i="79"/>
  <c r="G143" i="79"/>
  <c r="F143" i="79"/>
  <c r="E143" i="79"/>
  <c r="D143" i="79"/>
  <c r="C143" i="79"/>
  <c r="AH142" i="79"/>
  <c r="Y142" i="79"/>
  <c r="V142" i="79"/>
  <c r="U142" i="79"/>
  <c r="T142" i="79"/>
  <c r="S142" i="79"/>
  <c r="R142" i="79"/>
  <c r="Q142" i="79"/>
  <c r="P142" i="79"/>
  <c r="O142" i="79"/>
  <c r="N142" i="79"/>
  <c r="K142" i="79"/>
  <c r="I142" i="79"/>
  <c r="F142" i="79"/>
  <c r="E142" i="79"/>
  <c r="D142" i="79"/>
  <c r="C142" i="79"/>
  <c r="AH141" i="79"/>
  <c r="Z141" i="79"/>
  <c r="Y141" i="79"/>
  <c r="W141" i="79"/>
  <c r="U141" i="79"/>
  <c r="N141" i="79"/>
  <c r="M141" i="79"/>
  <c r="L141" i="79"/>
  <c r="K141" i="79"/>
  <c r="J141" i="79"/>
  <c r="I141" i="79"/>
  <c r="H141" i="79"/>
  <c r="E141" i="79"/>
  <c r="AH140" i="79"/>
  <c r="W140" i="79"/>
  <c r="U140" i="79"/>
  <c r="T140" i="79"/>
  <c r="S140" i="79"/>
  <c r="Q140" i="79"/>
  <c r="O140" i="79"/>
  <c r="N140" i="79"/>
  <c r="L140" i="79"/>
  <c r="K140" i="79"/>
  <c r="J140" i="79"/>
  <c r="G140" i="79"/>
  <c r="E140" i="79"/>
  <c r="D140" i="79"/>
  <c r="C140" i="79"/>
  <c r="AH139" i="79"/>
  <c r="Y139" i="79"/>
  <c r="X139" i="79"/>
  <c r="V139" i="79"/>
  <c r="U139" i="79"/>
  <c r="T139" i="79"/>
  <c r="S139" i="79"/>
  <c r="P139" i="79"/>
  <c r="O139" i="79"/>
  <c r="N139" i="79"/>
  <c r="M139" i="79"/>
  <c r="L139" i="79"/>
  <c r="K139" i="79"/>
  <c r="I139" i="79"/>
  <c r="H139" i="79"/>
  <c r="G139" i="79"/>
  <c r="F139" i="79"/>
  <c r="D139" i="79"/>
  <c r="C139" i="79"/>
  <c r="AH138" i="79"/>
  <c r="AH137" i="79"/>
  <c r="Z137" i="79"/>
  <c r="Y137" i="79"/>
  <c r="X137" i="79"/>
  <c r="P137" i="79"/>
  <c r="O137" i="79"/>
  <c r="N137" i="79"/>
  <c r="M137" i="79"/>
  <c r="K137" i="79"/>
  <c r="J137" i="79"/>
  <c r="I137" i="79"/>
  <c r="H137" i="79"/>
  <c r="D137" i="79"/>
  <c r="C137" i="79"/>
  <c r="AH136" i="79"/>
  <c r="Z136" i="79"/>
  <c r="V136" i="79"/>
  <c r="S136" i="79"/>
  <c r="R136" i="79"/>
  <c r="N136" i="79"/>
  <c r="M136" i="79"/>
  <c r="K136" i="79"/>
  <c r="J136" i="79"/>
  <c r="G136" i="79"/>
  <c r="F136" i="79"/>
  <c r="E136" i="79"/>
  <c r="C136" i="79"/>
  <c r="AH135" i="79"/>
  <c r="Z135" i="79"/>
  <c r="Y135" i="79"/>
  <c r="X135" i="79"/>
  <c r="W135" i="79"/>
  <c r="Q135" i="79"/>
  <c r="P135" i="79"/>
  <c r="O135" i="79"/>
  <c r="N135" i="79"/>
  <c r="J135" i="79"/>
  <c r="I135" i="79"/>
  <c r="H135" i="79"/>
  <c r="G135" i="79"/>
  <c r="D135" i="79"/>
  <c r="C135" i="79"/>
  <c r="AH134" i="79"/>
  <c r="Y134" i="79"/>
  <c r="X134" i="79"/>
  <c r="S134" i="79"/>
  <c r="R134" i="79"/>
  <c r="Q134" i="79"/>
  <c r="P134" i="79"/>
  <c r="L134" i="79"/>
  <c r="K134" i="79"/>
  <c r="I134" i="79"/>
  <c r="H134" i="79"/>
  <c r="G134" i="79"/>
  <c r="F134" i="79"/>
  <c r="C134" i="79"/>
  <c r="AH133" i="79"/>
  <c r="Z133" i="79"/>
  <c r="Y133" i="79"/>
  <c r="X133" i="79"/>
  <c r="W133" i="79"/>
  <c r="R133" i="79"/>
  <c r="Q133" i="79"/>
  <c r="P133" i="79"/>
  <c r="O133" i="79"/>
  <c r="N133" i="79"/>
  <c r="M133" i="79"/>
  <c r="L133" i="79"/>
  <c r="J133" i="79"/>
  <c r="I133" i="79"/>
  <c r="H133" i="79"/>
  <c r="G133" i="79"/>
  <c r="AH132" i="79"/>
  <c r="Y132" i="79"/>
  <c r="X132" i="79"/>
  <c r="W132" i="79"/>
  <c r="V132" i="79"/>
  <c r="U132" i="79"/>
  <c r="T132" i="79"/>
  <c r="S132" i="79"/>
  <c r="R132" i="79"/>
  <c r="Q132" i="79"/>
  <c r="O132" i="79"/>
  <c r="N132" i="79"/>
  <c r="L132" i="79"/>
  <c r="I132" i="79"/>
  <c r="H132" i="79"/>
  <c r="G132" i="79"/>
  <c r="F132" i="79"/>
  <c r="E132" i="79"/>
  <c r="C132" i="79"/>
  <c r="AH131" i="79"/>
  <c r="Y131" i="79"/>
  <c r="X131" i="79"/>
  <c r="W131" i="79"/>
  <c r="T131" i="79"/>
  <c r="S131" i="79"/>
  <c r="R131" i="79"/>
  <c r="P131" i="79"/>
  <c r="N131" i="79"/>
  <c r="H131" i="79"/>
  <c r="G131" i="79"/>
  <c r="C131" i="79"/>
  <c r="AH130" i="79"/>
  <c r="Z130" i="79"/>
  <c r="Y130" i="79"/>
  <c r="X130" i="79"/>
  <c r="S130" i="79"/>
  <c r="R130" i="79"/>
  <c r="Q130" i="79"/>
  <c r="L130" i="79"/>
  <c r="K130" i="79"/>
  <c r="I130" i="79"/>
  <c r="H130" i="79"/>
  <c r="G130" i="79"/>
  <c r="C130" i="79"/>
  <c r="AH129" i="79"/>
  <c r="Z129" i="79"/>
  <c r="Y129" i="79"/>
  <c r="W129" i="79"/>
  <c r="S129" i="79"/>
  <c r="O129" i="79"/>
  <c r="N129" i="79"/>
  <c r="K129" i="79"/>
  <c r="J129" i="79"/>
  <c r="I129" i="79"/>
  <c r="G129" i="79"/>
  <c r="C129" i="79"/>
  <c r="AH128" i="79"/>
  <c r="Z128" i="79"/>
  <c r="V128" i="79"/>
  <c r="U128" i="79"/>
  <c r="S128" i="79"/>
  <c r="R128" i="79"/>
  <c r="Q128" i="79"/>
  <c r="P128" i="79"/>
  <c r="O128" i="79"/>
  <c r="K128" i="79"/>
  <c r="C128" i="79"/>
  <c r="AH127" i="79"/>
  <c r="Z127" i="79"/>
  <c r="Y127" i="79"/>
  <c r="W127" i="79"/>
  <c r="Q127" i="79"/>
  <c r="N127" i="79"/>
  <c r="M127" i="79"/>
  <c r="K127" i="79"/>
  <c r="J127" i="79"/>
  <c r="I127" i="79"/>
  <c r="G127" i="79"/>
  <c r="AH126" i="79"/>
  <c r="Y126" i="79"/>
  <c r="W126" i="79"/>
  <c r="U126" i="79"/>
  <c r="S126" i="79"/>
  <c r="Q126" i="79"/>
  <c r="O126" i="79"/>
  <c r="M126" i="79"/>
  <c r="K126" i="79"/>
  <c r="I126" i="79"/>
  <c r="G126" i="79"/>
  <c r="E126" i="79"/>
  <c r="D126" i="79"/>
  <c r="C126" i="79"/>
  <c r="AH125" i="79"/>
  <c r="Z125" i="79"/>
  <c r="V125" i="79"/>
  <c r="U125" i="79"/>
  <c r="T125" i="79"/>
  <c r="S125" i="79"/>
  <c r="R125" i="79"/>
  <c r="N125" i="79"/>
  <c r="M125" i="79"/>
  <c r="L125" i="79"/>
  <c r="K125" i="79"/>
  <c r="J125" i="79"/>
  <c r="F125" i="79"/>
  <c r="E125" i="79"/>
  <c r="D125" i="79"/>
  <c r="C125" i="79"/>
  <c r="AH124" i="79"/>
  <c r="V124" i="79"/>
  <c r="U124" i="79"/>
  <c r="S124" i="79"/>
  <c r="R124" i="79"/>
  <c r="Q124" i="79"/>
  <c r="P124" i="79"/>
  <c r="O124" i="79"/>
  <c r="N124" i="79"/>
  <c r="M124" i="79"/>
  <c r="L124" i="79"/>
  <c r="K124" i="79"/>
  <c r="F124" i="79"/>
  <c r="D124" i="79"/>
  <c r="C124" i="79"/>
  <c r="AH123" i="79"/>
  <c r="Z123" i="79"/>
  <c r="Y123" i="79"/>
  <c r="W123" i="79"/>
  <c r="R123" i="79"/>
  <c r="O123" i="79"/>
  <c r="N123" i="79"/>
  <c r="L123" i="79"/>
  <c r="J123" i="79"/>
  <c r="AH122" i="79"/>
  <c r="W122" i="79"/>
  <c r="V122" i="79"/>
  <c r="U122" i="79"/>
  <c r="S122" i="79"/>
  <c r="R122" i="79"/>
  <c r="Q122" i="79"/>
  <c r="P122" i="79"/>
  <c r="O122" i="79"/>
  <c r="N122" i="79"/>
  <c r="M122" i="79"/>
  <c r="L122" i="79"/>
  <c r="K122" i="79"/>
  <c r="E122" i="79"/>
  <c r="D122" i="79"/>
  <c r="C122" i="79"/>
  <c r="AH121" i="79"/>
  <c r="Y121" i="79"/>
  <c r="X121" i="79"/>
  <c r="V121" i="79"/>
  <c r="U121" i="79"/>
  <c r="O121" i="79"/>
  <c r="J121" i="79"/>
  <c r="F121" i="79"/>
  <c r="E121" i="79"/>
  <c r="C121" i="79"/>
  <c r="AH120" i="79"/>
  <c r="W120" i="79"/>
  <c r="V120" i="79"/>
  <c r="Q120" i="79"/>
  <c r="P120" i="79"/>
  <c r="O120" i="79"/>
  <c r="L120" i="79"/>
  <c r="K120" i="79"/>
  <c r="G120" i="79"/>
  <c r="F120" i="79"/>
  <c r="D120" i="79"/>
  <c r="C120" i="79"/>
  <c r="AH119" i="79"/>
  <c r="W119" i="79"/>
  <c r="V119" i="79"/>
  <c r="U119" i="79"/>
  <c r="T119" i="79"/>
  <c r="S119" i="79"/>
  <c r="M119" i="79"/>
  <c r="L119" i="79"/>
  <c r="G119" i="79"/>
  <c r="F119" i="79"/>
  <c r="E119" i="79"/>
  <c r="D119" i="79"/>
  <c r="C119" i="79"/>
  <c r="AH118" i="79"/>
  <c r="W118" i="79"/>
  <c r="V118" i="79"/>
  <c r="T118" i="79"/>
  <c r="R118" i="79"/>
  <c r="Q118" i="79"/>
  <c r="P118" i="79"/>
  <c r="O118" i="79"/>
  <c r="N118" i="79"/>
  <c r="M118" i="79"/>
  <c r="L118" i="79"/>
  <c r="K118" i="79"/>
  <c r="G118" i="79"/>
  <c r="F118" i="79"/>
  <c r="E118" i="79"/>
  <c r="D118" i="79"/>
  <c r="AH117" i="79"/>
  <c r="Z117" i="79"/>
  <c r="W117" i="79"/>
  <c r="V117" i="79"/>
  <c r="U117" i="79"/>
  <c r="T117" i="79"/>
  <c r="S117" i="79"/>
  <c r="R117" i="79"/>
  <c r="Q117" i="79"/>
  <c r="P117" i="79"/>
  <c r="N117" i="79"/>
  <c r="M117" i="79"/>
  <c r="L117" i="79"/>
  <c r="K117" i="79"/>
  <c r="J117" i="79"/>
  <c r="G117" i="79"/>
  <c r="F117" i="79"/>
  <c r="E117" i="79"/>
  <c r="D117" i="79"/>
  <c r="C117" i="79"/>
  <c r="AH116" i="79"/>
  <c r="V116" i="79"/>
  <c r="U116" i="79"/>
  <c r="T116" i="79"/>
  <c r="P116" i="79"/>
  <c r="O116" i="79"/>
  <c r="N116" i="79"/>
  <c r="M116" i="79"/>
  <c r="L116" i="79"/>
  <c r="K116" i="79"/>
  <c r="G116" i="79"/>
  <c r="F116" i="79"/>
  <c r="E116" i="79"/>
  <c r="C116" i="79"/>
  <c r="AH115" i="79"/>
  <c r="AH114" i="79"/>
  <c r="Y114" i="79"/>
  <c r="X114" i="79"/>
  <c r="W114" i="79"/>
  <c r="S114" i="79"/>
  <c r="R114" i="79"/>
  <c r="O114" i="79"/>
  <c r="N114" i="79"/>
  <c r="L114" i="79"/>
  <c r="H114" i="79"/>
  <c r="G114" i="79"/>
  <c r="F114" i="79"/>
  <c r="AH113" i="79"/>
  <c r="Z113" i="79"/>
  <c r="Y113" i="79"/>
  <c r="X113" i="79"/>
  <c r="W113" i="79"/>
  <c r="V113" i="79"/>
  <c r="S113" i="79"/>
  <c r="R113" i="79"/>
  <c r="I113" i="79"/>
  <c r="H113" i="79"/>
  <c r="G113" i="79"/>
  <c r="F113" i="79"/>
  <c r="C113" i="79"/>
  <c r="AH112" i="79"/>
  <c r="Z112" i="79"/>
  <c r="Y112" i="79"/>
  <c r="W112" i="79"/>
  <c r="O112" i="79"/>
  <c r="L112" i="79"/>
  <c r="J112" i="79"/>
  <c r="I112" i="79"/>
  <c r="G112" i="79"/>
  <c r="AH111" i="79"/>
  <c r="Z111" i="79"/>
  <c r="Y111" i="79"/>
  <c r="X111" i="79"/>
  <c r="V111" i="79"/>
  <c r="S111" i="79"/>
  <c r="R111" i="79"/>
  <c r="Q111" i="79"/>
  <c r="P111" i="79"/>
  <c r="O111" i="79"/>
  <c r="J111" i="79"/>
  <c r="I111" i="79"/>
  <c r="H111" i="79"/>
  <c r="F111" i="79"/>
  <c r="E111" i="79"/>
  <c r="D111" i="79"/>
  <c r="C111" i="79"/>
  <c r="AH110" i="79"/>
  <c r="Z110" i="79"/>
  <c r="Y110" i="79"/>
  <c r="X110" i="79"/>
  <c r="W110" i="79"/>
  <c r="R110" i="79"/>
  <c r="Q110" i="79"/>
  <c r="N110" i="79"/>
  <c r="M110" i="79"/>
  <c r="K110" i="79"/>
  <c r="J110" i="79"/>
  <c r="I110" i="79"/>
  <c r="H110" i="79"/>
  <c r="G110" i="79"/>
  <c r="AH109" i="79"/>
  <c r="W109" i="79"/>
  <c r="V109" i="79"/>
  <c r="U109" i="79"/>
  <c r="T109" i="79"/>
  <c r="S109" i="79"/>
  <c r="R109" i="79"/>
  <c r="Q109" i="79"/>
  <c r="O109" i="79"/>
  <c r="G109" i="79"/>
  <c r="C109" i="79"/>
  <c r="AH108" i="79"/>
  <c r="Z108" i="79"/>
  <c r="Y108" i="79"/>
  <c r="X108" i="79"/>
  <c r="W108" i="79"/>
  <c r="R108" i="79"/>
  <c r="Q108" i="79"/>
  <c r="P108" i="79"/>
  <c r="N108" i="79"/>
  <c r="J108" i="79"/>
  <c r="I108" i="79"/>
  <c r="H108" i="79"/>
  <c r="G108" i="79"/>
  <c r="E108" i="79"/>
  <c r="D108" i="79"/>
  <c r="C108" i="79"/>
  <c r="AH107" i="79"/>
  <c r="X107" i="79"/>
  <c r="W107" i="79"/>
  <c r="V107" i="79"/>
  <c r="U107" i="79"/>
  <c r="R107" i="79"/>
  <c r="Q107" i="79"/>
  <c r="P107" i="79"/>
  <c r="O107" i="79"/>
  <c r="H107" i="79"/>
  <c r="G107" i="79"/>
  <c r="F107" i="79"/>
  <c r="E107" i="79"/>
  <c r="AH106" i="79"/>
  <c r="AH105" i="79"/>
  <c r="Z105" i="79"/>
  <c r="Z103" i="79" s="1"/>
  <c r="Y105" i="79"/>
  <c r="V105" i="79"/>
  <c r="S105" i="79"/>
  <c r="P105" i="79"/>
  <c r="O105" i="79"/>
  <c r="N105" i="79"/>
  <c r="K105" i="79"/>
  <c r="J105" i="79"/>
  <c r="D105" i="79"/>
  <c r="C105" i="79"/>
  <c r="AH104" i="79"/>
  <c r="Z104" i="79"/>
  <c r="V104" i="79"/>
  <c r="U104" i="79"/>
  <c r="T104" i="79"/>
  <c r="S104" i="79"/>
  <c r="L104" i="79"/>
  <c r="K104" i="79"/>
  <c r="J104" i="79"/>
  <c r="F104" i="79"/>
  <c r="E104" i="79"/>
  <c r="D104" i="79"/>
  <c r="C104" i="79"/>
  <c r="AH103" i="79"/>
  <c r="AH101" i="79"/>
  <c r="Y101" i="79"/>
  <c r="X101" i="79"/>
  <c r="W101" i="79"/>
  <c r="V101" i="79"/>
  <c r="U101" i="79"/>
  <c r="S101" i="79"/>
  <c r="L101" i="79"/>
  <c r="J101" i="79"/>
  <c r="I101" i="79"/>
  <c r="H101" i="79"/>
  <c r="G101" i="79"/>
  <c r="F101" i="79"/>
  <c r="E101" i="79"/>
  <c r="C101" i="79"/>
  <c r="AH100" i="79"/>
  <c r="T100" i="79"/>
  <c r="S100" i="79"/>
  <c r="Q100" i="79"/>
  <c r="O100" i="79"/>
  <c r="L100" i="79"/>
  <c r="K100" i="79"/>
  <c r="C100" i="79"/>
  <c r="AH99" i="79"/>
  <c r="Y99" i="79"/>
  <c r="X99" i="79"/>
  <c r="W99" i="79"/>
  <c r="T99" i="79"/>
  <c r="S99" i="79"/>
  <c r="I99" i="79"/>
  <c r="H99" i="79"/>
  <c r="G99" i="79"/>
  <c r="F99" i="79"/>
  <c r="AH98" i="79"/>
  <c r="Y98" i="79"/>
  <c r="W98" i="79"/>
  <c r="V98" i="79"/>
  <c r="U98" i="79"/>
  <c r="Q98" i="79"/>
  <c r="P98" i="79"/>
  <c r="O98" i="79"/>
  <c r="N98" i="79"/>
  <c r="M98" i="79"/>
  <c r="L98" i="79"/>
  <c r="K98" i="79"/>
  <c r="AH97" i="79"/>
  <c r="Z97" i="79"/>
  <c r="Y97" i="79"/>
  <c r="X97" i="79"/>
  <c r="W97" i="79"/>
  <c r="V97" i="79"/>
  <c r="U97" i="79"/>
  <c r="S97" i="79"/>
  <c r="R97" i="79"/>
  <c r="Q97" i="79"/>
  <c r="K97" i="79"/>
  <c r="J97" i="79"/>
  <c r="I97" i="79"/>
  <c r="H97" i="79"/>
  <c r="G97" i="79"/>
  <c r="F97" i="79"/>
  <c r="E97" i="79"/>
  <c r="D97" i="79"/>
  <c r="AH96" i="79"/>
  <c r="S96" i="79"/>
  <c r="R96" i="79"/>
  <c r="Q96" i="79"/>
  <c r="P96" i="79"/>
  <c r="O96" i="79"/>
  <c r="N96" i="79"/>
  <c r="M96" i="79"/>
  <c r="L96" i="79"/>
  <c r="D96" i="79"/>
  <c r="C96" i="79"/>
  <c r="AH95" i="79"/>
  <c r="Z95" i="79"/>
  <c r="W95" i="79"/>
  <c r="V95" i="79"/>
  <c r="U95" i="79"/>
  <c r="L95" i="79"/>
  <c r="K95" i="79"/>
  <c r="J95" i="79"/>
  <c r="G95" i="79"/>
  <c r="F95" i="79"/>
  <c r="E95" i="79"/>
  <c r="AH94" i="79"/>
  <c r="U94" i="79"/>
  <c r="S94" i="79"/>
  <c r="R94" i="79"/>
  <c r="Q94" i="79"/>
  <c r="N94" i="79"/>
  <c r="M94" i="79"/>
  <c r="L94" i="79"/>
  <c r="F94" i="79"/>
  <c r="E94" i="79"/>
  <c r="C94" i="79"/>
  <c r="AH93" i="79"/>
  <c r="W93" i="79"/>
  <c r="V93" i="79"/>
  <c r="N93" i="79"/>
  <c r="L93" i="79"/>
  <c r="F93" i="79"/>
  <c r="AH92" i="79"/>
  <c r="V92" i="79"/>
  <c r="U92" i="79"/>
  <c r="T92" i="79"/>
  <c r="R92" i="79"/>
  <c r="Q92" i="79"/>
  <c r="P92" i="79"/>
  <c r="O92" i="79"/>
  <c r="N92" i="79"/>
  <c r="H92" i="79"/>
  <c r="F92" i="79"/>
  <c r="E92" i="79"/>
  <c r="C92" i="79"/>
  <c r="AH91" i="79"/>
  <c r="Z91" i="79"/>
  <c r="Y91" i="79"/>
  <c r="X91" i="79"/>
  <c r="W91" i="79"/>
  <c r="N91" i="79"/>
  <c r="M91" i="79"/>
  <c r="L91" i="79"/>
  <c r="K91" i="79"/>
  <c r="J91" i="79"/>
  <c r="I91" i="79"/>
  <c r="H91" i="79"/>
  <c r="G91" i="79"/>
  <c r="F91" i="79"/>
  <c r="AH90" i="79"/>
  <c r="V90" i="79"/>
  <c r="U90" i="79"/>
  <c r="T90" i="79"/>
  <c r="S90" i="79"/>
  <c r="R90" i="79"/>
  <c r="Q90" i="79"/>
  <c r="P90" i="79"/>
  <c r="O90" i="79"/>
  <c r="N90" i="79"/>
  <c r="M90" i="79"/>
  <c r="L90" i="79"/>
  <c r="H90" i="79"/>
  <c r="F90" i="79"/>
  <c r="E90" i="79"/>
  <c r="D90" i="79"/>
  <c r="C90" i="79"/>
  <c r="AH89" i="79"/>
  <c r="Z89" i="79"/>
  <c r="Y89" i="79"/>
  <c r="X89" i="79"/>
  <c r="W89" i="79"/>
  <c r="S89" i="79"/>
  <c r="R89" i="79"/>
  <c r="Q89" i="79"/>
  <c r="N89" i="79"/>
  <c r="M89" i="79"/>
  <c r="L89" i="79"/>
  <c r="K89" i="79"/>
  <c r="J89" i="79"/>
  <c r="I89" i="79"/>
  <c r="H89" i="79"/>
  <c r="G89" i="79"/>
  <c r="AH88" i="79"/>
  <c r="U88" i="79"/>
  <c r="T88" i="79"/>
  <c r="S88" i="79"/>
  <c r="R88" i="79"/>
  <c r="Q88" i="79"/>
  <c r="P88" i="79"/>
  <c r="O88" i="79"/>
  <c r="F88" i="79"/>
  <c r="D88" i="79"/>
  <c r="C88" i="79"/>
  <c r="AH87" i="79"/>
  <c r="Z87" i="79"/>
  <c r="Y87" i="79"/>
  <c r="N87" i="79"/>
  <c r="M87" i="79"/>
  <c r="L87" i="79"/>
  <c r="K87" i="79"/>
  <c r="J87" i="79"/>
  <c r="I87" i="79"/>
  <c r="AH86" i="79"/>
  <c r="V86" i="79"/>
  <c r="U86" i="79"/>
  <c r="T86" i="79"/>
  <c r="S86" i="79"/>
  <c r="R86" i="79"/>
  <c r="Q86" i="79"/>
  <c r="P86" i="79"/>
  <c r="N86" i="79"/>
  <c r="F86" i="79"/>
  <c r="E86" i="79"/>
  <c r="D86" i="79"/>
  <c r="C86" i="79"/>
  <c r="AH85" i="79"/>
  <c r="Z85" i="79"/>
  <c r="Y85" i="79"/>
  <c r="X85" i="79"/>
  <c r="W85" i="79"/>
  <c r="V85" i="79"/>
  <c r="J85" i="79"/>
  <c r="I85" i="79"/>
  <c r="H85" i="79"/>
  <c r="G85" i="79"/>
  <c r="F85" i="79"/>
  <c r="AH84" i="79"/>
  <c r="V84" i="79"/>
  <c r="T84" i="79"/>
  <c r="S84" i="79"/>
  <c r="R84" i="79"/>
  <c r="Q84" i="79"/>
  <c r="O84" i="79"/>
  <c r="N84" i="79"/>
  <c r="M84" i="79"/>
  <c r="F84" i="79"/>
  <c r="D84" i="79"/>
  <c r="C84" i="79"/>
  <c r="AH83" i="79"/>
  <c r="Z83" i="79"/>
  <c r="Y83" i="79"/>
  <c r="X83" i="79"/>
  <c r="W83" i="79"/>
  <c r="V83" i="79"/>
  <c r="T83" i="79"/>
  <c r="S83" i="79"/>
  <c r="N83" i="79"/>
  <c r="M83" i="79"/>
  <c r="J83" i="79"/>
  <c r="I83" i="79"/>
  <c r="H83" i="79"/>
  <c r="G83" i="79"/>
  <c r="F83" i="79"/>
  <c r="AH82" i="79"/>
  <c r="T82" i="79"/>
  <c r="S82" i="79"/>
  <c r="Q82" i="79"/>
  <c r="P82" i="79"/>
  <c r="O82" i="79"/>
  <c r="N82" i="79"/>
  <c r="D82" i="79"/>
  <c r="C82" i="79"/>
  <c r="AH81" i="79"/>
  <c r="Z81" i="79"/>
  <c r="Y81" i="79"/>
  <c r="X81" i="79"/>
  <c r="W81" i="79"/>
  <c r="N81" i="79"/>
  <c r="M81" i="79"/>
  <c r="L81" i="79"/>
  <c r="K81" i="79"/>
  <c r="J81" i="79"/>
  <c r="I81" i="79"/>
  <c r="H81" i="79"/>
  <c r="G81" i="79"/>
  <c r="E81" i="79"/>
  <c r="D81" i="79"/>
  <c r="C81" i="79"/>
  <c r="AH80" i="79"/>
  <c r="U80" i="79"/>
  <c r="T80" i="79"/>
  <c r="S80" i="79"/>
  <c r="R80" i="79"/>
  <c r="Q80" i="79"/>
  <c r="E80" i="79"/>
  <c r="D80" i="79"/>
  <c r="C80" i="79"/>
  <c r="AH79" i="79"/>
  <c r="Z79" i="79"/>
  <c r="Y79" i="79"/>
  <c r="X79" i="79"/>
  <c r="W79" i="79"/>
  <c r="V79" i="79"/>
  <c r="U79" i="79"/>
  <c r="N79" i="79"/>
  <c r="M79" i="79"/>
  <c r="L79" i="79"/>
  <c r="K79" i="79"/>
  <c r="J79" i="79"/>
  <c r="I79" i="79"/>
  <c r="H79" i="79"/>
  <c r="G79" i="79"/>
  <c r="F79" i="79"/>
  <c r="E79" i="79"/>
  <c r="AH78" i="79"/>
  <c r="Y78" i="79"/>
  <c r="X78" i="79"/>
  <c r="W78" i="79"/>
  <c r="V78" i="79"/>
  <c r="U78" i="79"/>
  <c r="T78" i="79"/>
  <c r="S78" i="79"/>
  <c r="R78" i="79"/>
  <c r="Q78" i="79"/>
  <c r="P78" i="79"/>
  <c r="O78" i="79"/>
  <c r="G78" i="79"/>
  <c r="F78" i="79"/>
  <c r="E78" i="79"/>
  <c r="D78" i="79"/>
  <c r="C78" i="79"/>
  <c r="AH77" i="79"/>
  <c r="Y77" i="79"/>
  <c r="X77" i="79"/>
  <c r="O77" i="79"/>
  <c r="N77" i="79"/>
  <c r="M77" i="79"/>
  <c r="L77" i="79"/>
  <c r="I77" i="79"/>
  <c r="H77" i="79"/>
  <c r="AH76" i="79"/>
  <c r="W76" i="79"/>
  <c r="V76" i="79"/>
  <c r="U76" i="79"/>
  <c r="T76" i="79"/>
  <c r="R76" i="79"/>
  <c r="Q76" i="79"/>
  <c r="P76" i="79"/>
  <c r="G76" i="79"/>
  <c r="F76" i="79"/>
  <c r="E76" i="79"/>
  <c r="D76" i="79"/>
  <c r="AH75" i="79"/>
  <c r="Z75" i="79"/>
  <c r="Y75" i="79"/>
  <c r="X75" i="79"/>
  <c r="W75" i="79"/>
  <c r="Q75" i="79"/>
  <c r="K75" i="79"/>
  <c r="J75" i="79"/>
  <c r="I75" i="79"/>
  <c r="H75" i="79"/>
  <c r="G75" i="79"/>
  <c r="AH74" i="79"/>
  <c r="S74" i="79"/>
  <c r="R74" i="79"/>
  <c r="Q74" i="79"/>
  <c r="P74" i="79"/>
  <c r="O74" i="79"/>
  <c r="L74" i="79"/>
  <c r="K74" i="79"/>
  <c r="J74" i="79"/>
  <c r="I74" i="79"/>
  <c r="C74" i="79"/>
  <c r="AH73" i="79"/>
  <c r="Z73" i="79"/>
  <c r="Y73" i="79"/>
  <c r="X73" i="79"/>
  <c r="W73" i="79"/>
  <c r="M73" i="79"/>
  <c r="L73" i="79"/>
  <c r="K73" i="79"/>
  <c r="J73" i="79"/>
  <c r="I73" i="79"/>
  <c r="H73" i="79"/>
  <c r="G73" i="79"/>
  <c r="AH72" i="79"/>
  <c r="W72" i="79"/>
  <c r="V72" i="79"/>
  <c r="U72" i="79"/>
  <c r="T72" i="79"/>
  <c r="S72" i="79"/>
  <c r="R72" i="79"/>
  <c r="Q72" i="79"/>
  <c r="P72" i="79"/>
  <c r="O72" i="79"/>
  <c r="G72" i="79"/>
  <c r="F72" i="79"/>
  <c r="E72" i="79"/>
  <c r="D72" i="79"/>
  <c r="C72" i="79"/>
  <c r="AH71" i="79"/>
  <c r="Z71" i="79"/>
  <c r="Y71" i="79"/>
  <c r="O71" i="79"/>
  <c r="N71" i="79"/>
  <c r="M71" i="79"/>
  <c r="L71" i="79"/>
  <c r="K71" i="79"/>
  <c r="J71" i="79"/>
  <c r="I71" i="79"/>
  <c r="E71" i="79"/>
  <c r="AH70" i="79"/>
  <c r="Y70" i="79"/>
  <c r="X70" i="79"/>
  <c r="W70" i="79"/>
  <c r="V70" i="79"/>
  <c r="U70" i="79"/>
  <c r="T70" i="79"/>
  <c r="S70" i="79"/>
  <c r="R70" i="79"/>
  <c r="O70" i="79"/>
  <c r="G70" i="79"/>
  <c r="F70" i="79"/>
  <c r="E70" i="79"/>
  <c r="D70" i="79"/>
  <c r="C70" i="79"/>
  <c r="AH69" i="79"/>
  <c r="Z69" i="79"/>
  <c r="Y69" i="79"/>
  <c r="X69" i="79"/>
  <c r="W69" i="79"/>
  <c r="O69" i="79"/>
  <c r="K69" i="79"/>
  <c r="J69" i="79"/>
  <c r="I69" i="79"/>
  <c r="H69" i="79"/>
  <c r="G69" i="79"/>
  <c r="AH68" i="79"/>
  <c r="W68" i="79"/>
  <c r="V68" i="79"/>
  <c r="U68" i="79"/>
  <c r="T68" i="79"/>
  <c r="S68" i="79"/>
  <c r="Q68" i="79"/>
  <c r="P68" i="79"/>
  <c r="O68" i="79"/>
  <c r="G68" i="79"/>
  <c r="F68" i="79"/>
  <c r="E68" i="79"/>
  <c r="D68" i="79"/>
  <c r="C68" i="79"/>
  <c r="AH67" i="79"/>
  <c r="Y67" i="79"/>
  <c r="X67" i="79"/>
  <c r="W67" i="79"/>
  <c r="Q67" i="79"/>
  <c r="P67" i="79"/>
  <c r="N67" i="79"/>
  <c r="M67" i="79"/>
  <c r="L67" i="79"/>
  <c r="K67" i="79"/>
  <c r="I67" i="79"/>
  <c r="H67" i="79"/>
  <c r="G67" i="79"/>
  <c r="AH66" i="79"/>
  <c r="W66" i="79"/>
  <c r="V66" i="79"/>
  <c r="U66" i="79"/>
  <c r="T66" i="79"/>
  <c r="Q66" i="79"/>
  <c r="P66" i="79"/>
  <c r="O66" i="79"/>
  <c r="N66" i="79"/>
  <c r="G66" i="79"/>
  <c r="F66" i="79"/>
  <c r="E66" i="79"/>
  <c r="D66" i="79"/>
  <c r="AH65" i="79"/>
  <c r="AH64" i="79"/>
  <c r="Z64" i="79"/>
  <c r="S64" i="79"/>
  <c r="R64" i="79"/>
  <c r="Q64" i="79"/>
  <c r="P64" i="79"/>
  <c r="O64" i="79"/>
  <c r="N64" i="79"/>
  <c r="M64" i="79"/>
  <c r="L64" i="79"/>
  <c r="J64" i="79"/>
  <c r="C64" i="79"/>
  <c r="AH63" i="79"/>
  <c r="Z63" i="79"/>
  <c r="Y63" i="79"/>
  <c r="X63" i="79"/>
  <c r="W63" i="79"/>
  <c r="V63" i="79"/>
  <c r="T63" i="79"/>
  <c r="L63" i="79"/>
  <c r="K63" i="79"/>
  <c r="J63" i="79"/>
  <c r="I63" i="79"/>
  <c r="H63" i="79"/>
  <c r="G63" i="79"/>
  <c r="F63" i="79"/>
  <c r="D63" i="79"/>
  <c r="AH62" i="79"/>
  <c r="Z62" i="79"/>
  <c r="S62" i="79"/>
  <c r="R62" i="79"/>
  <c r="P62" i="79"/>
  <c r="K62" i="79"/>
  <c r="J62" i="79"/>
  <c r="I62" i="79"/>
  <c r="H62" i="79"/>
  <c r="G62" i="79"/>
  <c r="C62" i="79"/>
  <c r="AH61" i="79"/>
  <c r="T61" i="79"/>
  <c r="S61" i="79"/>
  <c r="Q61" i="79"/>
  <c r="P61" i="79"/>
  <c r="K61" i="79"/>
  <c r="E61" i="79"/>
  <c r="D61" i="79"/>
  <c r="C61" i="79"/>
  <c r="AH60" i="79"/>
  <c r="Z60" i="79"/>
  <c r="S60" i="79"/>
  <c r="Q60" i="79"/>
  <c r="P60" i="79"/>
  <c r="L60" i="79"/>
  <c r="K60" i="79"/>
  <c r="J60" i="79"/>
  <c r="I60" i="79"/>
  <c r="H60" i="79"/>
  <c r="C60" i="79"/>
  <c r="AH59" i="79"/>
  <c r="V59" i="79"/>
  <c r="U59" i="79"/>
  <c r="T59" i="79"/>
  <c r="S59" i="79"/>
  <c r="R59" i="79"/>
  <c r="N59" i="79"/>
  <c r="M59" i="79"/>
  <c r="L59" i="79"/>
  <c r="F59" i="79"/>
  <c r="D59" i="79"/>
  <c r="C59" i="79"/>
  <c r="AH58" i="79"/>
  <c r="Z58" i="79"/>
  <c r="Q58" i="79"/>
  <c r="P58" i="79"/>
  <c r="O58" i="79"/>
  <c r="N58" i="79"/>
  <c r="L58" i="79"/>
  <c r="K58" i="79"/>
  <c r="J58" i="79"/>
  <c r="F58" i="79"/>
  <c r="E58" i="79"/>
  <c r="D58" i="79"/>
  <c r="AH57" i="79"/>
  <c r="Z57" i="79"/>
  <c r="Y57" i="79"/>
  <c r="X57" i="79"/>
  <c r="W57" i="79"/>
  <c r="U57" i="79"/>
  <c r="T57" i="79"/>
  <c r="S57" i="79"/>
  <c r="Q57" i="79"/>
  <c r="K57" i="79"/>
  <c r="J57" i="79"/>
  <c r="I57" i="79"/>
  <c r="H57" i="79"/>
  <c r="G57" i="79"/>
  <c r="E57" i="79"/>
  <c r="D57" i="79"/>
  <c r="C57" i="79"/>
  <c r="AH56" i="79"/>
  <c r="T56" i="79"/>
  <c r="S56" i="79"/>
  <c r="R56" i="79"/>
  <c r="Q56" i="79"/>
  <c r="P56" i="79"/>
  <c r="O56" i="79"/>
  <c r="M56" i="79"/>
  <c r="L56" i="79"/>
  <c r="K56" i="79"/>
  <c r="J56" i="79"/>
  <c r="I56" i="79"/>
  <c r="D56" i="79"/>
  <c r="C56" i="79"/>
  <c r="AH55" i="79"/>
  <c r="Z55" i="79"/>
  <c r="Y55" i="79"/>
  <c r="U55" i="79"/>
  <c r="T55" i="79"/>
  <c r="S55" i="79"/>
  <c r="R55" i="79"/>
  <c r="Q55" i="79"/>
  <c r="P55" i="79"/>
  <c r="O55" i="79"/>
  <c r="N55" i="79"/>
  <c r="L55" i="79"/>
  <c r="K55" i="79"/>
  <c r="J55" i="79"/>
  <c r="I55" i="79"/>
  <c r="D55" i="79"/>
  <c r="C55" i="79"/>
  <c r="AH54" i="79"/>
  <c r="U54" i="79"/>
  <c r="T54" i="79"/>
  <c r="S54" i="79"/>
  <c r="R54" i="79"/>
  <c r="O54" i="79"/>
  <c r="N54" i="79"/>
  <c r="L54" i="79"/>
  <c r="K54" i="79"/>
  <c r="D54" i="79"/>
  <c r="C54" i="79"/>
  <c r="AH53" i="79"/>
  <c r="AH52" i="79"/>
  <c r="Z52" i="79"/>
  <c r="Y52" i="79"/>
  <c r="X52" i="79"/>
  <c r="W52" i="79"/>
  <c r="T52" i="79"/>
  <c r="S52" i="79"/>
  <c r="R52" i="79"/>
  <c r="P52" i="79"/>
  <c r="O52" i="79"/>
  <c r="N52" i="79"/>
  <c r="L52" i="79"/>
  <c r="K52" i="79"/>
  <c r="J52" i="79"/>
  <c r="I52" i="79"/>
  <c r="H52" i="79"/>
  <c r="G52" i="79"/>
  <c r="D52" i="79"/>
  <c r="C52" i="79"/>
  <c r="AH51" i="79"/>
  <c r="Z51" i="79"/>
  <c r="X51" i="79"/>
  <c r="V51" i="79"/>
  <c r="T51" i="79"/>
  <c r="S51" i="79"/>
  <c r="P51" i="79"/>
  <c r="O51" i="79"/>
  <c r="N51" i="79"/>
  <c r="M51" i="79"/>
  <c r="L51" i="79"/>
  <c r="K51" i="79"/>
  <c r="I51" i="79"/>
  <c r="H51" i="79"/>
  <c r="F51" i="79"/>
  <c r="E51" i="79"/>
  <c r="D51" i="79"/>
  <c r="C51" i="79"/>
  <c r="AH50" i="79"/>
  <c r="Z50" i="79"/>
  <c r="W50" i="79"/>
  <c r="V50" i="79"/>
  <c r="U50" i="79"/>
  <c r="T50" i="79"/>
  <c r="S50" i="79"/>
  <c r="P50" i="79"/>
  <c r="O50" i="79"/>
  <c r="N50" i="79"/>
  <c r="M50" i="79"/>
  <c r="L50" i="79"/>
  <c r="K50" i="79"/>
  <c r="J50" i="79"/>
  <c r="G50" i="79"/>
  <c r="F50" i="79"/>
  <c r="E50" i="79"/>
  <c r="D50" i="79"/>
  <c r="C50" i="79"/>
  <c r="AH49" i="79"/>
  <c r="Y49" i="79"/>
  <c r="X49" i="79"/>
  <c r="W49" i="79"/>
  <c r="S49" i="79"/>
  <c r="R49" i="79"/>
  <c r="Q49" i="79"/>
  <c r="P49" i="79"/>
  <c r="O49" i="79"/>
  <c r="N49" i="79"/>
  <c r="M49" i="79"/>
  <c r="L49" i="79"/>
  <c r="I49" i="79"/>
  <c r="H49" i="79"/>
  <c r="G49" i="79"/>
  <c r="C49" i="79"/>
  <c r="AH48" i="79"/>
  <c r="Z48" i="79"/>
  <c r="X48" i="79"/>
  <c r="W48" i="79"/>
  <c r="V48" i="79"/>
  <c r="U48" i="79"/>
  <c r="T48" i="79"/>
  <c r="S48" i="79"/>
  <c r="Q48" i="79"/>
  <c r="P48" i="79"/>
  <c r="O48" i="79"/>
  <c r="M48" i="79"/>
  <c r="L48" i="79"/>
  <c r="J48" i="79"/>
  <c r="H48" i="79"/>
  <c r="G48" i="79"/>
  <c r="F48" i="79"/>
  <c r="E48" i="79"/>
  <c r="D48" i="79"/>
  <c r="C48" i="79"/>
  <c r="AH47" i="79"/>
  <c r="Z47" i="79"/>
  <c r="Y47" i="79"/>
  <c r="X47" i="79"/>
  <c r="S47" i="79"/>
  <c r="R47" i="79"/>
  <c r="P47" i="79"/>
  <c r="O47" i="79"/>
  <c r="N47" i="79"/>
  <c r="M47" i="79"/>
  <c r="L47" i="79"/>
  <c r="K47" i="79"/>
  <c r="I47" i="79"/>
  <c r="H47" i="79"/>
  <c r="AH46" i="79"/>
  <c r="Z46" i="79"/>
  <c r="Y46" i="79"/>
  <c r="X46" i="79"/>
  <c r="W46" i="79"/>
  <c r="V46" i="79"/>
  <c r="S46" i="79"/>
  <c r="R46" i="79"/>
  <c r="L46" i="79"/>
  <c r="K46" i="79"/>
  <c r="J46" i="79"/>
  <c r="I46" i="79"/>
  <c r="H46" i="79"/>
  <c r="G46" i="79"/>
  <c r="F46" i="79"/>
  <c r="E46" i="79"/>
  <c r="D46" i="79"/>
  <c r="C46" i="79"/>
  <c r="AH45" i="79"/>
  <c r="U45" i="79"/>
  <c r="T45" i="79"/>
  <c r="S45" i="79"/>
  <c r="R45" i="79"/>
  <c r="Q45" i="79"/>
  <c r="P45" i="79"/>
  <c r="O45" i="79"/>
  <c r="N45" i="79"/>
  <c r="E45" i="79"/>
  <c r="D45" i="79"/>
  <c r="C45" i="79"/>
  <c r="AH44" i="79"/>
  <c r="Z44" i="79"/>
  <c r="Y44" i="79"/>
  <c r="X44" i="79"/>
  <c r="W44" i="79"/>
  <c r="V44" i="79"/>
  <c r="M44" i="79"/>
  <c r="L44" i="79"/>
  <c r="K44" i="79"/>
  <c r="J44" i="79"/>
  <c r="I44" i="79"/>
  <c r="H44" i="79"/>
  <c r="G44" i="79"/>
  <c r="F44" i="79"/>
  <c r="E44" i="79"/>
  <c r="AH43" i="79"/>
  <c r="U43" i="79"/>
  <c r="T43" i="79"/>
  <c r="S43" i="79"/>
  <c r="R43" i="79"/>
  <c r="E43" i="79"/>
  <c r="D43" i="79"/>
  <c r="C43" i="79"/>
  <c r="AH42" i="79"/>
  <c r="AH41" i="79"/>
  <c r="Z41" i="79"/>
  <c r="Y41" i="79"/>
  <c r="X41" i="79"/>
  <c r="W41" i="79"/>
  <c r="V41" i="79"/>
  <c r="U41" i="79"/>
  <c r="P41" i="79"/>
  <c r="N41" i="79"/>
  <c r="M41" i="79"/>
  <c r="L41" i="79"/>
  <c r="K41" i="79"/>
  <c r="J41" i="79"/>
  <c r="I41" i="79"/>
  <c r="H41" i="79"/>
  <c r="G41" i="79"/>
  <c r="F41" i="79"/>
  <c r="E41" i="79"/>
  <c r="AH40" i="79"/>
  <c r="X40" i="79"/>
  <c r="W40" i="79"/>
  <c r="V40" i="79"/>
  <c r="U40" i="79"/>
  <c r="T40" i="79"/>
  <c r="S40" i="79"/>
  <c r="R40" i="79"/>
  <c r="Q40" i="79"/>
  <c r="P40" i="79"/>
  <c r="O40" i="79"/>
  <c r="N40" i="79"/>
  <c r="M40" i="79"/>
  <c r="H40" i="79"/>
  <c r="G40" i="79"/>
  <c r="F40" i="79"/>
  <c r="E40" i="79"/>
  <c r="D40" i="79"/>
  <c r="C40" i="79"/>
  <c r="AH39" i="79"/>
  <c r="Z39" i="79"/>
  <c r="W39" i="79"/>
  <c r="V39" i="79"/>
  <c r="U39" i="79"/>
  <c r="T39" i="79"/>
  <c r="P39" i="79"/>
  <c r="O39" i="79"/>
  <c r="N39" i="79"/>
  <c r="M39" i="79"/>
  <c r="L39" i="79"/>
  <c r="K39" i="79"/>
  <c r="J39" i="79"/>
  <c r="G39" i="79"/>
  <c r="F39" i="79"/>
  <c r="E39" i="79"/>
  <c r="AH38" i="79"/>
  <c r="Z38" i="79"/>
  <c r="Y38" i="79"/>
  <c r="X38" i="79"/>
  <c r="W38" i="79"/>
  <c r="V38" i="79"/>
  <c r="U38" i="79"/>
  <c r="Q38" i="79"/>
  <c r="P38" i="79"/>
  <c r="K38" i="79"/>
  <c r="J38" i="79"/>
  <c r="I38" i="79"/>
  <c r="H38" i="79"/>
  <c r="G38" i="79"/>
  <c r="F38" i="79"/>
  <c r="E38" i="79"/>
  <c r="D38" i="79"/>
  <c r="C38" i="79"/>
  <c r="AH37" i="79"/>
  <c r="Z37" i="79"/>
  <c r="U37" i="79"/>
  <c r="R37" i="79"/>
  <c r="Q37" i="79"/>
  <c r="P37" i="79"/>
  <c r="O37" i="79"/>
  <c r="N37" i="79"/>
  <c r="M37" i="79"/>
  <c r="L37" i="79"/>
  <c r="K37" i="79"/>
  <c r="AH36" i="79"/>
  <c r="Z36" i="79"/>
  <c r="Y36" i="79"/>
  <c r="X36" i="79"/>
  <c r="W36" i="79"/>
  <c r="V36" i="79"/>
  <c r="U36" i="79"/>
  <c r="T36" i="79"/>
  <c r="S36" i="79"/>
  <c r="R36" i="79"/>
  <c r="Q36" i="79"/>
  <c r="O36" i="79"/>
  <c r="J36" i="79"/>
  <c r="I36" i="79"/>
  <c r="H36" i="79"/>
  <c r="G36" i="79"/>
  <c r="F36" i="79"/>
  <c r="E36" i="79"/>
  <c r="D36" i="79"/>
  <c r="C36" i="79"/>
  <c r="AH35" i="79"/>
  <c r="V35" i="79"/>
  <c r="R35" i="79"/>
  <c r="Q35" i="79"/>
  <c r="P35" i="79"/>
  <c r="O35" i="79"/>
  <c r="N35" i="79"/>
  <c r="M35" i="79"/>
  <c r="D35" i="79"/>
  <c r="AH34" i="79"/>
  <c r="Z34" i="79"/>
  <c r="Y34" i="79"/>
  <c r="X34" i="79"/>
  <c r="W34" i="79"/>
  <c r="Q34" i="79"/>
  <c r="P34" i="79"/>
  <c r="O34" i="79"/>
  <c r="J34" i="79"/>
  <c r="I34" i="79"/>
  <c r="H34" i="79"/>
  <c r="G34" i="79"/>
  <c r="AH33" i="79"/>
  <c r="AH32" i="79"/>
  <c r="Z32" i="79"/>
  <c r="Y32" i="79"/>
  <c r="X32" i="79"/>
  <c r="W32" i="79"/>
  <c r="V32" i="79"/>
  <c r="U32" i="79"/>
  <c r="T32" i="79"/>
  <c r="Q32" i="79"/>
  <c r="P32" i="79"/>
  <c r="O32" i="79"/>
  <c r="J32" i="79"/>
  <c r="I32" i="79"/>
  <c r="H32" i="79"/>
  <c r="G32" i="79"/>
  <c r="F32" i="79"/>
  <c r="E32" i="79"/>
  <c r="D32" i="79"/>
  <c r="AH31" i="79"/>
  <c r="U31" i="79"/>
  <c r="S31" i="79"/>
  <c r="N31" i="79"/>
  <c r="M31" i="79"/>
  <c r="L31" i="79"/>
  <c r="E31" i="79"/>
  <c r="C31" i="79"/>
  <c r="AH30" i="79"/>
  <c r="AH29" i="79"/>
  <c r="AH28" i="79"/>
  <c r="W28" i="79"/>
  <c r="AH27" i="79"/>
  <c r="AH26" i="79"/>
  <c r="AH25" i="79"/>
  <c r="Z25" i="79"/>
  <c r="Y25" i="79"/>
  <c r="X25" i="79"/>
  <c r="W25" i="79"/>
  <c r="R25" i="79"/>
  <c r="O25" i="79"/>
  <c r="M25" i="79"/>
  <c r="L25" i="79"/>
  <c r="K25" i="79"/>
  <c r="I25" i="79"/>
  <c r="H25" i="79"/>
  <c r="G25" i="79"/>
  <c r="AH24" i="79"/>
  <c r="J24" i="79"/>
  <c r="G24" i="79"/>
  <c r="F24" i="79"/>
  <c r="E24" i="79"/>
  <c r="D24" i="79"/>
  <c r="C24" i="79"/>
  <c r="AH23" i="79"/>
  <c r="R23" i="79"/>
  <c r="O23" i="79"/>
  <c r="N23" i="79"/>
  <c r="M23" i="79"/>
  <c r="L23" i="79"/>
  <c r="K23" i="79"/>
  <c r="J23" i="79"/>
  <c r="I23" i="79"/>
  <c r="H23" i="79"/>
  <c r="AH22" i="79"/>
  <c r="W22" i="79"/>
  <c r="G22" i="79"/>
  <c r="F22" i="79"/>
  <c r="E22" i="79"/>
  <c r="D22" i="79"/>
  <c r="C22" i="79"/>
  <c r="AH21" i="79"/>
  <c r="Z21" i="79"/>
  <c r="Y21" i="79"/>
  <c r="R21" i="79"/>
  <c r="C21" i="79"/>
  <c r="AH20" i="79"/>
  <c r="Z20" i="79"/>
  <c r="L20" i="79"/>
  <c r="K20" i="79"/>
  <c r="J20" i="79"/>
  <c r="I20" i="79"/>
  <c r="G20" i="79"/>
  <c r="F20" i="79"/>
  <c r="AH19" i="79"/>
  <c r="T19" i="79"/>
  <c r="S19" i="79"/>
  <c r="R19" i="79"/>
  <c r="Q19" i="79"/>
  <c r="P19" i="79"/>
  <c r="O19" i="79"/>
  <c r="N19" i="79"/>
  <c r="D19" i="79"/>
  <c r="C19" i="79"/>
  <c r="AH18" i="79"/>
  <c r="X18" i="79"/>
  <c r="W18" i="79"/>
  <c r="V18" i="79"/>
  <c r="U18" i="79"/>
  <c r="T18" i="79"/>
  <c r="S18" i="79"/>
  <c r="AH17" i="79"/>
  <c r="S17" i="79"/>
  <c r="P17" i="79"/>
  <c r="O17" i="79"/>
  <c r="N17" i="79"/>
  <c r="D17" i="79"/>
  <c r="C17" i="79"/>
  <c r="AH16" i="79"/>
  <c r="AH15" i="79"/>
  <c r="Z15" i="79"/>
  <c r="Y15" i="79"/>
  <c r="X15" i="79"/>
  <c r="W15" i="79"/>
  <c r="V15" i="79"/>
  <c r="S15" i="79"/>
  <c r="R15" i="79"/>
  <c r="P15" i="79"/>
  <c r="O15" i="79"/>
  <c r="N15" i="79"/>
  <c r="J15" i="79"/>
  <c r="I15" i="79"/>
  <c r="H15" i="79"/>
  <c r="G15" i="79"/>
  <c r="F15" i="79"/>
  <c r="E15" i="79"/>
  <c r="C15" i="79"/>
  <c r="AH14" i="79"/>
  <c r="Z14" i="79"/>
  <c r="Y14" i="79"/>
  <c r="X14" i="79"/>
  <c r="W14" i="79"/>
  <c r="V14" i="79"/>
  <c r="U14" i="79"/>
  <c r="T14" i="79"/>
  <c r="S14" i="79"/>
  <c r="R14" i="79"/>
  <c r="Q14" i="79"/>
  <c r="P14" i="79"/>
  <c r="O14" i="79"/>
  <c r="N14" i="79"/>
  <c r="M14" i="79"/>
  <c r="L14" i="79"/>
  <c r="K14" i="79"/>
  <c r="J14" i="79"/>
  <c r="I14" i="79"/>
  <c r="H14" i="79"/>
  <c r="G14" i="79"/>
  <c r="F14" i="79"/>
  <c r="E14" i="79"/>
  <c r="D14" i="79"/>
  <c r="C14" i="79"/>
  <c r="AH13" i="79"/>
  <c r="Y13" i="79"/>
  <c r="X13" i="79"/>
  <c r="T13" i="79"/>
  <c r="S13" i="79"/>
  <c r="R13" i="79"/>
  <c r="Q13" i="79"/>
  <c r="P13" i="79"/>
  <c r="O13" i="79"/>
  <c r="D13" i="79"/>
  <c r="C13" i="79"/>
  <c r="AH12" i="79"/>
  <c r="L12" i="79"/>
  <c r="K12" i="79"/>
  <c r="AH11" i="79"/>
  <c r="T11" i="79"/>
  <c r="S11" i="79"/>
  <c r="D11" i="79"/>
  <c r="C11" i="79"/>
  <c r="AH10" i="79"/>
  <c r="Y10" i="79"/>
  <c r="X10" i="79"/>
  <c r="W10" i="79"/>
  <c r="V10" i="79"/>
  <c r="T10" i="79"/>
  <c r="AH9" i="79"/>
  <c r="T9" i="79"/>
  <c r="S9" i="79"/>
  <c r="O9" i="79"/>
  <c r="M9" i="79"/>
  <c r="L9" i="79"/>
  <c r="I9" i="79"/>
  <c r="H9" i="79"/>
  <c r="E9" i="79"/>
  <c r="D9" i="79"/>
  <c r="C9" i="79"/>
  <c r="AH8" i="79"/>
  <c r="L8" i="79"/>
  <c r="K8" i="79"/>
  <c r="D8" i="79"/>
  <c r="AH7" i="79"/>
  <c r="Y7" i="79"/>
  <c r="X7" i="79"/>
  <c r="S7" i="79"/>
  <c r="R7" i="79"/>
  <c r="Q7" i="79"/>
  <c r="P7" i="79"/>
  <c r="O7" i="79"/>
  <c r="N7" i="79"/>
  <c r="C7" i="79"/>
  <c r="AH6" i="79"/>
  <c r="AG23" i="100" l="1"/>
  <c r="AF24" i="82"/>
  <c r="AF21" i="103"/>
  <c r="C26" i="82"/>
  <c r="C27" i="82" s="1"/>
  <c r="AG20" i="100"/>
  <c r="AF18" i="103"/>
  <c r="S26" i="103"/>
  <c r="S27" i="103" s="1"/>
  <c r="AG23" i="103"/>
  <c r="AG18" i="100"/>
  <c r="AF22" i="100"/>
  <c r="Q26" i="82"/>
  <c r="Q27" i="82" s="1"/>
  <c r="AG17" i="103"/>
  <c r="AG18" i="103"/>
  <c r="AG17" i="100"/>
  <c r="Z26" i="82"/>
  <c r="Z27" i="82" s="1"/>
  <c r="M258" i="103"/>
  <c r="M261" i="103" s="1"/>
  <c r="M263" i="103" s="1"/>
  <c r="M265" i="103" s="1"/>
  <c r="AG22" i="100"/>
  <c r="AF24" i="103"/>
  <c r="AF19" i="100"/>
  <c r="W26" i="103"/>
  <c r="W27" i="103" s="1"/>
  <c r="AG20" i="103"/>
  <c r="AG19" i="100"/>
  <c r="S26" i="82"/>
  <c r="S27" i="82" s="1"/>
  <c r="P26" i="100"/>
  <c r="P27" i="100" s="1"/>
  <c r="T267" i="82"/>
  <c r="W258" i="103"/>
  <c r="W261" i="103" s="1"/>
  <c r="W263" i="103" s="1"/>
  <c r="U26" i="82"/>
  <c r="U27" i="82" s="1"/>
  <c r="I258" i="103"/>
  <c r="I261" i="103" s="1"/>
  <c r="I263" i="103" s="1"/>
  <c r="AG13" i="103"/>
  <c r="H28" i="103"/>
  <c r="L267" i="100"/>
  <c r="G26" i="103"/>
  <c r="G27" i="103" s="1"/>
  <c r="AE6" i="100"/>
  <c r="AE267" i="100" s="1"/>
  <c r="V6" i="106"/>
  <c r="E28" i="100"/>
  <c r="E258" i="100" s="1"/>
  <c r="E261" i="100" s="1"/>
  <c r="E263" i="100" s="1"/>
  <c r="H267" i="103"/>
  <c r="Q26" i="100"/>
  <c r="Q27" i="100" s="1"/>
  <c r="B4" i="106"/>
  <c r="AM5" i="106" s="1"/>
  <c r="H5" i="106"/>
  <c r="AG8" i="82"/>
  <c r="X28" i="103"/>
  <c r="AF11" i="100"/>
  <c r="K26" i="100"/>
  <c r="K27" i="100" s="1"/>
  <c r="AG11" i="100"/>
  <c r="I258" i="82"/>
  <c r="I261" i="82" s="1"/>
  <c r="I263" i="82" s="1"/>
  <c r="I266" i="82" s="1"/>
  <c r="D267" i="82"/>
  <c r="Z26" i="103"/>
  <c r="Z27" i="103" s="1"/>
  <c r="P267" i="100"/>
  <c r="AF12" i="100"/>
  <c r="W4" i="106"/>
  <c r="AF5" i="106"/>
  <c r="AF13" i="82"/>
  <c r="Z258" i="82"/>
  <c r="Z261" i="82" s="1"/>
  <c r="Z263" i="82" s="1"/>
  <c r="Y4" i="106"/>
  <c r="AB4" i="106"/>
  <c r="P267" i="103"/>
  <c r="F267" i="82"/>
  <c r="P6" i="106"/>
  <c r="AF7" i="82"/>
  <c r="AG10" i="82"/>
  <c r="Z267" i="82"/>
  <c r="W26" i="100"/>
  <c r="W27" i="100" s="1"/>
  <c r="D26" i="100"/>
  <c r="D27" i="100" s="1"/>
  <c r="AG7" i="82"/>
  <c r="F28" i="82"/>
  <c r="AB28" i="82" s="1"/>
  <c r="E26" i="100"/>
  <c r="E27" i="100" s="1"/>
  <c r="AG24" i="120"/>
  <c r="W26" i="121"/>
  <c r="W27" i="121" s="1"/>
  <c r="AG23" i="121"/>
  <c r="AF19" i="120"/>
  <c r="P26" i="121"/>
  <c r="P27" i="121" s="1"/>
  <c r="AG23" i="120"/>
  <c r="AF19" i="121"/>
  <c r="Z26" i="121"/>
  <c r="Z27" i="121" s="1"/>
  <c r="K26" i="121"/>
  <c r="K27" i="121" s="1"/>
  <c r="AD24" i="101"/>
  <c r="AF18" i="121"/>
  <c r="Q26" i="121"/>
  <c r="Q27" i="121" s="1"/>
  <c r="W26" i="120"/>
  <c r="W27" i="120" s="1"/>
  <c r="AE19" i="101"/>
  <c r="AG19" i="121"/>
  <c r="I26" i="120"/>
  <c r="I27" i="120" s="1"/>
  <c r="Y26" i="120"/>
  <c r="Y27" i="120" s="1"/>
  <c r="Z267" i="120"/>
  <c r="F26" i="120"/>
  <c r="F27" i="120" s="1"/>
  <c r="H26" i="120"/>
  <c r="H27" i="120" s="1"/>
  <c r="X26" i="120"/>
  <c r="X27" i="120" s="1"/>
  <c r="AF15" i="120"/>
  <c r="M258" i="120"/>
  <c r="M261" i="120" s="1"/>
  <c r="M263" i="120" s="1"/>
  <c r="H267" i="121"/>
  <c r="AG15" i="120"/>
  <c r="G258" i="120"/>
  <c r="G261" i="120" s="1"/>
  <c r="G263" i="120" s="1"/>
  <c r="J267" i="121"/>
  <c r="T26" i="121"/>
  <c r="T27" i="121" s="1"/>
  <c r="T267" i="121"/>
  <c r="D28" i="121"/>
  <c r="S258" i="121"/>
  <c r="S261" i="121" s="1"/>
  <c r="S263" i="121" s="1"/>
  <c r="S266" i="121" s="1"/>
  <c r="G26" i="120"/>
  <c r="G27" i="120" s="1"/>
  <c r="S26" i="121"/>
  <c r="S27" i="121" s="1"/>
  <c r="N267" i="120"/>
  <c r="W258" i="120"/>
  <c r="W261" i="120" s="1"/>
  <c r="W263" i="120" s="1"/>
  <c r="I26" i="121"/>
  <c r="I27" i="121" s="1"/>
  <c r="AB13" i="101"/>
  <c r="J26" i="121"/>
  <c r="J27" i="121" s="1"/>
  <c r="I6" i="101"/>
  <c r="K7" i="106" s="1"/>
  <c r="AG9" i="120"/>
  <c r="N28" i="101"/>
  <c r="X28" i="101"/>
  <c r="H28" i="121"/>
  <c r="H28" i="101" s="1"/>
  <c r="AB6" i="120"/>
  <c r="AB267" i="120" s="1"/>
  <c r="Z28" i="120"/>
  <c r="Z28" i="101" s="1"/>
  <c r="Z28" i="79" s="1"/>
  <c r="J28" i="121"/>
  <c r="J28" i="101" s="1"/>
  <c r="X26" i="121"/>
  <c r="X27" i="121" s="1"/>
  <c r="K28" i="121"/>
  <c r="K28" i="101" s="1"/>
  <c r="J26" i="120"/>
  <c r="J27" i="120" s="1"/>
  <c r="X258" i="120"/>
  <c r="X261" i="120" s="1"/>
  <c r="X263" i="120" s="1"/>
  <c r="X265" i="120" s="1"/>
  <c r="Y26" i="121"/>
  <c r="Y27" i="121" s="1"/>
  <c r="Y258" i="120"/>
  <c r="Y261" i="120" s="1"/>
  <c r="Y263" i="120" s="1"/>
  <c r="Y266" i="120" s="1"/>
  <c r="N26" i="120"/>
  <c r="N27" i="120" s="1"/>
  <c r="Z28" i="121"/>
  <c r="Z267" i="121"/>
  <c r="G6" i="101"/>
  <c r="H7" i="106" s="1"/>
  <c r="AF12" i="120"/>
  <c r="Z26" i="120"/>
  <c r="Z27" i="120" s="1"/>
  <c r="H6" i="101"/>
  <c r="J7" i="106" s="1"/>
  <c r="AG12" i="120"/>
  <c r="J267" i="120"/>
  <c r="W266" i="120"/>
  <c r="W265" i="120"/>
  <c r="Y265" i="120"/>
  <c r="Z30" i="79"/>
  <c r="AE213" i="101"/>
  <c r="H213" i="79"/>
  <c r="H212" i="79" s="1"/>
  <c r="N189" i="101"/>
  <c r="N193" i="79"/>
  <c r="N189" i="79" s="1"/>
  <c r="AE153" i="101"/>
  <c r="AE72" i="101"/>
  <c r="J72" i="79"/>
  <c r="AE72" i="79" s="1"/>
  <c r="AE171" i="101"/>
  <c r="AD72" i="101"/>
  <c r="K72" i="79"/>
  <c r="AE90" i="101"/>
  <c r="I78" i="79"/>
  <c r="AB69" i="101"/>
  <c r="AB94" i="101"/>
  <c r="AD146" i="101"/>
  <c r="G146" i="79"/>
  <c r="AD146" i="79" s="1"/>
  <c r="AB138" i="120"/>
  <c r="AE138" i="120"/>
  <c r="AE94" i="101"/>
  <c r="AG94" i="101" s="1"/>
  <c r="H146" i="79"/>
  <c r="AE146" i="79" s="1"/>
  <c r="AB146" i="101"/>
  <c r="AG200" i="120"/>
  <c r="P16" i="101"/>
  <c r="R6" i="101"/>
  <c r="AD152" i="101"/>
  <c r="C152" i="79"/>
  <c r="AB171" i="101"/>
  <c r="Z65" i="101"/>
  <c r="Z66" i="79"/>
  <c r="AB66" i="79" s="1"/>
  <c r="R30" i="101"/>
  <c r="R29" i="101" s="1"/>
  <c r="R32" i="79"/>
  <c r="AB45" i="101"/>
  <c r="J139" i="79"/>
  <c r="AB139" i="79" s="1"/>
  <c r="AE106" i="120"/>
  <c r="J258" i="120"/>
  <c r="J261" i="120" s="1"/>
  <c r="J263" i="120" s="1"/>
  <c r="AA42" i="120"/>
  <c r="AD42" i="120"/>
  <c r="Z138" i="101"/>
  <c r="Z139" i="79"/>
  <c r="J177" i="101"/>
  <c r="J178" i="79"/>
  <c r="Z177" i="101"/>
  <c r="Z178" i="79"/>
  <c r="AA88" i="101"/>
  <c r="G88" i="79"/>
  <c r="N101" i="79"/>
  <c r="AE101" i="101"/>
  <c r="AB178" i="101"/>
  <c r="AG178" i="101" s="1"/>
  <c r="T177" i="101"/>
  <c r="T176" i="101" s="1"/>
  <c r="T179" i="79"/>
  <c r="T177" i="79" s="1"/>
  <c r="AD168" i="101"/>
  <c r="AF168" i="101" s="1"/>
  <c r="C168" i="79"/>
  <c r="AA168" i="79" s="1"/>
  <c r="K65" i="101"/>
  <c r="K66" i="79"/>
  <c r="AA70" i="101"/>
  <c r="K70" i="79"/>
  <c r="V43" i="79"/>
  <c r="AA96" i="101"/>
  <c r="I96" i="79"/>
  <c r="G265" i="120"/>
  <c r="G266" i="120"/>
  <c r="W43" i="79"/>
  <c r="W42" i="79" s="1"/>
  <c r="AE81" i="101"/>
  <c r="AD94" i="101"/>
  <c r="D69" i="79"/>
  <c r="AB69" i="79" s="1"/>
  <c r="AE56" i="101"/>
  <c r="F56" i="79"/>
  <c r="AE56" i="79" s="1"/>
  <c r="AE63" i="101"/>
  <c r="N63" i="79"/>
  <c r="V65" i="101"/>
  <c r="V67" i="79"/>
  <c r="H16" i="101"/>
  <c r="H22" i="79"/>
  <c r="H16" i="79" s="1"/>
  <c r="O53" i="101"/>
  <c r="O57" i="79"/>
  <c r="C29" i="120"/>
  <c r="AD30" i="120"/>
  <c r="AA30" i="120"/>
  <c r="AF30" i="120" s="1"/>
  <c r="S29" i="120"/>
  <c r="S258" i="120" s="1"/>
  <c r="S261" i="120" s="1"/>
  <c r="S263" i="120" s="1"/>
  <c r="I68" i="79"/>
  <c r="AA68" i="79" s="1"/>
  <c r="P214" i="79"/>
  <c r="AB214" i="79" s="1"/>
  <c r="D29" i="120"/>
  <c r="AB30" i="120"/>
  <c r="AE30" i="120"/>
  <c r="AB103" i="120"/>
  <c r="AG103" i="120" s="1"/>
  <c r="AA217" i="101"/>
  <c r="G217" i="79"/>
  <c r="N103" i="101"/>
  <c r="N104" i="79"/>
  <c r="AD69" i="101"/>
  <c r="U53" i="101"/>
  <c r="M65" i="101"/>
  <c r="M66" i="79"/>
  <c r="M65" i="79" s="1"/>
  <c r="AD32" i="101"/>
  <c r="C30" i="101"/>
  <c r="C32" i="79"/>
  <c r="AD32" i="79" s="1"/>
  <c r="I171" i="79"/>
  <c r="G225" i="79"/>
  <c r="AD225" i="79" s="1"/>
  <c r="L28" i="120"/>
  <c r="L258" i="120" s="1"/>
  <c r="L261" i="120" s="1"/>
  <c r="L263" i="120" s="1"/>
  <c r="L26" i="120"/>
  <c r="L27" i="120" s="1"/>
  <c r="L267" i="120"/>
  <c r="M266" i="120"/>
  <c r="M265" i="120"/>
  <c r="AD10" i="101"/>
  <c r="AE21" i="101"/>
  <c r="N33" i="101"/>
  <c r="AE46" i="101"/>
  <c r="AG46" i="101" s="1"/>
  <c r="R177" i="101"/>
  <c r="AD21" i="101"/>
  <c r="P30" i="101"/>
  <c r="P29" i="101" s="1"/>
  <c r="P31" i="79"/>
  <c r="P30" i="79" s="1"/>
  <c r="AB56" i="101"/>
  <c r="V189" i="101"/>
  <c r="V191" i="79"/>
  <c r="H212" i="101"/>
  <c r="H214" i="79"/>
  <c r="H186" i="79"/>
  <c r="N36" i="79"/>
  <c r="I54" i="79"/>
  <c r="T180" i="101"/>
  <c r="T185" i="79"/>
  <c r="T180" i="79" s="1"/>
  <c r="R189" i="101"/>
  <c r="R190" i="79"/>
  <c r="AA252" i="101"/>
  <c r="AF252" i="101" s="1"/>
  <c r="AE200" i="120"/>
  <c r="AE17" i="101"/>
  <c r="AG17" i="101" s="1"/>
  <c r="H53" i="101"/>
  <c r="AE10" i="101"/>
  <c r="V6" i="101"/>
  <c r="AE7" i="106" s="1"/>
  <c r="AE9" i="106" s="1"/>
  <c r="T44" i="79"/>
  <c r="T42" i="101"/>
  <c r="AE204" i="101"/>
  <c r="E28" i="120"/>
  <c r="U26" i="120"/>
  <c r="U27" i="120" s="1"/>
  <c r="AB151" i="101"/>
  <c r="D151" i="79"/>
  <c r="AE151" i="79" s="1"/>
  <c r="F258" i="120"/>
  <c r="F261" i="120" s="1"/>
  <c r="F263" i="120" s="1"/>
  <c r="F267" i="120"/>
  <c r="AD16" i="120"/>
  <c r="AA16" i="120"/>
  <c r="AF16" i="120" s="1"/>
  <c r="H54" i="79"/>
  <c r="AE54" i="79" s="1"/>
  <c r="O31" i="79"/>
  <c r="O30" i="79" s="1"/>
  <c r="R16" i="101"/>
  <c r="R20" i="79"/>
  <c r="AD129" i="101"/>
  <c r="AA131" i="101"/>
  <c r="P138" i="101"/>
  <c r="P140" i="79"/>
  <c r="AD190" i="101"/>
  <c r="C190" i="79"/>
  <c r="AD190" i="79" s="1"/>
  <c r="C241" i="79"/>
  <c r="AA241" i="79" s="1"/>
  <c r="AD241" i="101"/>
  <c r="E29" i="120"/>
  <c r="E258" i="120" s="1"/>
  <c r="E261" i="120" s="1"/>
  <c r="E263" i="120" s="1"/>
  <c r="AD33" i="120"/>
  <c r="AA33" i="120"/>
  <c r="AF33" i="120" s="1"/>
  <c r="U29" i="120"/>
  <c r="U258" i="120" s="1"/>
  <c r="U261" i="120" s="1"/>
  <c r="U263" i="120" s="1"/>
  <c r="AF43" i="120"/>
  <c r="AA53" i="120"/>
  <c r="AF53" i="120" s="1"/>
  <c r="AF119" i="120"/>
  <c r="Z176" i="120"/>
  <c r="AF187" i="120"/>
  <c r="AA65" i="120"/>
  <c r="AF65" i="120" s="1"/>
  <c r="AB135" i="101"/>
  <c r="I140" i="79"/>
  <c r="I138" i="79" s="1"/>
  <c r="AD140" i="101"/>
  <c r="AE25" i="101"/>
  <c r="AD195" i="101"/>
  <c r="E195" i="79"/>
  <c r="AA195" i="79" s="1"/>
  <c r="AA205" i="101"/>
  <c r="K205" i="79"/>
  <c r="AA205" i="79" s="1"/>
  <c r="D258" i="120"/>
  <c r="AB189" i="120"/>
  <c r="AG189" i="120" s="1"/>
  <c r="AE189" i="120"/>
  <c r="Y54" i="79"/>
  <c r="W6" i="101"/>
  <c r="AF7" i="106" s="1"/>
  <c r="AB17" i="101"/>
  <c r="AD46" i="101"/>
  <c r="X212" i="101"/>
  <c r="AB42" i="120"/>
  <c r="AG42" i="120" s="1"/>
  <c r="AE149" i="101"/>
  <c r="V267" i="120"/>
  <c r="V26" i="120"/>
  <c r="V27" i="120" s="1"/>
  <c r="V28" i="120"/>
  <c r="R30" i="79"/>
  <c r="U33" i="101"/>
  <c r="AB16" i="120"/>
  <c r="AE16" i="120"/>
  <c r="AF102" i="101"/>
  <c r="J107" i="79"/>
  <c r="J106" i="101"/>
  <c r="AE215" i="101"/>
  <c r="AB241" i="101"/>
  <c r="AA264" i="101"/>
  <c r="AA6" i="120"/>
  <c r="AE33" i="120"/>
  <c r="F29" i="120"/>
  <c r="AB33" i="120"/>
  <c r="AG33" i="120" s="1"/>
  <c r="R29" i="120"/>
  <c r="AB53" i="120"/>
  <c r="AG53" i="120" s="1"/>
  <c r="AE65" i="120"/>
  <c r="AG65" i="120" s="1"/>
  <c r="AG119" i="120"/>
  <c r="AG174" i="120"/>
  <c r="AG245" i="120"/>
  <c r="N126" i="101"/>
  <c r="N126" i="79" s="1"/>
  <c r="X103" i="101"/>
  <c r="N106" i="101"/>
  <c r="AA152" i="101"/>
  <c r="AE184" i="101"/>
  <c r="AE222" i="101"/>
  <c r="D222" i="79"/>
  <c r="AE226" i="101"/>
  <c r="O258" i="120"/>
  <c r="O261" i="120" s="1"/>
  <c r="O263" i="120" s="1"/>
  <c r="AG7" i="120"/>
  <c r="AE180" i="120"/>
  <c r="AB180" i="120"/>
  <c r="AG180" i="120" s="1"/>
  <c r="AG181" i="120"/>
  <c r="AG229" i="120"/>
  <c r="AB119" i="101"/>
  <c r="AG119" i="101" s="1"/>
  <c r="AA130" i="101"/>
  <c r="F200" i="101"/>
  <c r="E253" i="79"/>
  <c r="AD253" i="101"/>
  <c r="AB115" i="120"/>
  <c r="AE115" i="120"/>
  <c r="AE212" i="120"/>
  <c r="AD184" i="101"/>
  <c r="AE126" i="120"/>
  <c r="AB126" i="120"/>
  <c r="AG126" i="120" s="1"/>
  <c r="AE49" i="101"/>
  <c r="AD82" i="101"/>
  <c r="AE97" i="101"/>
  <c r="AB128" i="101"/>
  <c r="AB141" i="101"/>
  <c r="AG141" i="101" s="1"/>
  <c r="AA214" i="101"/>
  <c r="E214" i="79"/>
  <c r="AA214" i="79" s="1"/>
  <c r="AD232" i="101"/>
  <c r="AA239" i="101"/>
  <c r="AA245" i="101"/>
  <c r="P267" i="120"/>
  <c r="P28" i="120"/>
  <c r="P258" i="120" s="1"/>
  <c r="P261" i="120" s="1"/>
  <c r="P263" i="120" s="1"/>
  <c r="H29" i="120"/>
  <c r="Z102" i="120"/>
  <c r="R176" i="120"/>
  <c r="AB168" i="101"/>
  <c r="V200" i="101"/>
  <c r="AB152" i="101"/>
  <c r="AD43" i="101"/>
  <c r="U42" i="101"/>
  <c r="AE51" i="101"/>
  <c r="AB51" i="101"/>
  <c r="AD101" i="101"/>
  <c r="AE120" i="101"/>
  <c r="AD145" i="101"/>
  <c r="AD149" i="101"/>
  <c r="N212" i="101"/>
  <c r="Q258" i="120"/>
  <c r="Q261" i="120" s="1"/>
  <c r="Q263" i="120" s="1"/>
  <c r="Q26" i="120"/>
  <c r="Q27" i="120" s="1"/>
  <c r="I29" i="120"/>
  <c r="I258" i="120" s="1"/>
  <c r="I261" i="120" s="1"/>
  <c r="I263" i="120" s="1"/>
  <c r="AF51" i="120"/>
  <c r="AB106" i="120"/>
  <c r="F34" i="79"/>
  <c r="F33" i="101"/>
  <c r="AA56" i="101"/>
  <c r="R53" i="101"/>
  <c r="Z103" i="101"/>
  <c r="AE103" i="101" s="1"/>
  <c r="N179" i="79"/>
  <c r="N177" i="79" s="1"/>
  <c r="N177" i="101"/>
  <c r="N176" i="101" s="1"/>
  <c r="AD186" i="101"/>
  <c r="AD191" i="101"/>
  <c r="R26" i="120"/>
  <c r="R27" i="120" s="1"/>
  <c r="R28" i="120"/>
  <c r="R28" i="101" s="1"/>
  <c r="R267" i="120"/>
  <c r="K29" i="120"/>
  <c r="K258" i="120" s="1"/>
  <c r="K261" i="120" s="1"/>
  <c r="K263" i="120" s="1"/>
  <c r="H102" i="120"/>
  <c r="AE102" i="120" s="1"/>
  <c r="O177" i="79"/>
  <c r="P6" i="101"/>
  <c r="V7" i="106" s="1"/>
  <c r="AA46" i="101"/>
  <c r="AA48" i="101"/>
  <c r="L53" i="101"/>
  <c r="AA62" i="101"/>
  <c r="P65" i="101"/>
  <c r="P189" i="101"/>
  <c r="AD259" i="101"/>
  <c r="C259" i="79"/>
  <c r="C26" i="120"/>
  <c r="AD6" i="120"/>
  <c r="S26" i="120"/>
  <c r="S27" i="120" s="1"/>
  <c r="L29" i="120"/>
  <c r="J102" i="120"/>
  <c r="AB102" i="120" s="1"/>
  <c r="AF222" i="120"/>
  <c r="AG231" i="120"/>
  <c r="AG246" i="120"/>
  <c r="Q6" i="101"/>
  <c r="W7" i="106" s="1"/>
  <c r="AB43" i="101"/>
  <c r="AB46" i="101"/>
  <c r="AD56" i="101"/>
  <c r="Q65" i="101"/>
  <c r="AD135" i="101"/>
  <c r="H177" i="101"/>
  <c r="X177" i="101"/>
  <c r="F180" i="101"/>
  <c r="V180" i="101"/>
  <c r="AD193" i="101"/>
  <c r="AE259" i="101"/>
  <c r="AG259" i="101" s="1"/>
  <c r="D259" i="79"/>
  <c r="AB259" i="79" s="1"/>
  <c r="D26" i="120"/>
  <c r="AE6" i="120"/>
  <c r="D28" i="120"/>
  <c r="T26" i="120"/>
  <c r="T27" i="120" s="1"/>
  <c r="T28" i="120"/>
  <c r="T28" i="101" s="1"/>
  <c r="T267" i="120"/>
  <c r="AF8" i="120"/>
  <c r="AF92" i="120"/>
  <c r="L102" i="120"/>
  <c r="AF169" i="120"/>
  <c r="F176" i="120"/>
  <c r="AG222" i="120"/>
  <c r="AD14" i="101"/>
  <c r="S16" i="101"/>
  <c r="S30" i="101"/>
  <c r="S29" i="101" s="1"/>
  <c r="R65" i="101"/>
  <c r="J65" i="101"/>
  <c r="AD174" i="101"/>
  <c r="AB248" i="101"/>
  <c r="X267" i="120"/>
  <c r="N102" i="120"/>
  <c r="N258" i="120" s="1"/>
  <c r="N261" i="120" s="1"/>
  <c r="N263" i="120" s="1"/>
  <c r="N6" i="101"/>
  <c r="S7" i="106" s="1"/>
  <c r="AB32" i="101"/>
  <c r="AD51" i="101"/>
  <c r="P106" i="101"/>
  <c r="AB112" i="101"/>
  <c r="AD121" i="101"/>
  <c r="P180" i="101"/>
  <c r="H200" i="101"/>
  <c r="X200" i="101"/>
  <c r="AA211" i="101"/>
  <c r="AD243" i="101"/>
  <c r="AG31" i="120"/>
  <c r="AG96" i="120"/>
  <c r="AF99" i="120"/>
  <c r="AG161" i="120"/>
  <c r="AF230" i="120"/>
  <c r="AG248" i="120"/>
  <c r="O6" i="101"/>
  <c r="T7" i="106" s="1"/>
  <c r="S44" i="79"/>
  <c r="S42" i="101"/>
  <c r="AE75" i="101"/>
  <c r="AG25" i="120"/>
  <c r="AG173" i="120"/>
  <c r="L176" i="120"/>
  <c r="AB212" i="120"/>
  <c r="AG212" i="120" s="1"/>
  <c r="AG230" i="120"/>
  <c r="AF245" i="120"/>
  <c r="AG68" i="120"/>
  <c r="V102" i="120"/>
  <c r="AG145" i="120"/>
  <c r="AG254" i="120"/>
  <c r="V138" i="101"/>
  <c r="AD142" i="101"/>
  <c r="AD150" i="101"/>
  <c r="AD167" i="101"/>
  <c r="AB253" i="101"/>
  <c r="D253" i="79"/>
  <c r="AF31" i="120"/>
  <c r="AF64" i="120"/>
  <c r="AG136" i="120"/>
  <c r="AF262" i="120"/>
  <c r="G16" i="101"/>
  <c r="AD75" i="101"/>
  <c r="AA139" i="101"/>
  <c r="AB206" i="101"/>
  <c r="AA224" i="101"/>
  <c r="Q16" i="101"/>
  <c r="Q33" i="101"/>
  <c r="F42" i="101"/>
  <c r="AA81" i="101"/>
  <c r="V103" i="101"/>
  <c r="R106" i="101"/>
  <c r="F115" i="101"/>
  <c r="AB139" i="101"/>
  <c r="AA141" i="101"/>
  <c r="AE143" i="101"/>
  <c r="AA206" i="101"/>
  <c r="AA249" i="101"/>
  <c r="AF249" i="101" s="1"/>
  <c r="R33" i="101"/>
  <c r="AB81" i="101"/>
  <c r="AG81" i="101" s="1"/>
  <c r="AD85" i="101"/>
  <c r="AD97" i="101"/>
  <c r="AD104" i="101"/>
  <c r="AD112" i="101"/>
  <c r="AA168" i="101"/>
  <c r="AE174" i="101"/>
  <c r="F212" i="101"/>
  <c r="V212" i="101"/>
  <c r="AF88" i="101"/>
  <c r="E16" i="101"/>
  <c r="AA17" i="101"/>
  <c r="E17" i="79"/>
  <c r="T30" i="101"/>
  <c r="T31" i="79"/>
  <c r="I164" i="79"/>
  <c r="AA164" i="101"/>
  <c r="AD164" i="101"/>
  <c r="AB190" i="101"/>
  <c r="H189" i="101"/>
  <c r="H190" i="79"/>
  <c r="H189" i="79" s="1"/>
  <c r="AA201" i="101"/>
  <c r="AD201" i="101"/>
  <c r="C201" i="79"/>
  <c r="AD201" i="79" s="1"/>
  <c r="AD208" i="101"/>
  <c r="G208" i="79"/>
  <c r="AE164" i="101"/>
  <c r="J164" i="79"/>
  <c r="AB164" i="79" s="1"/>
  <c r="AB164" i="101"/>
  <c r="AG164" i="101" s="1"/>
  <c r="AD188" i="101"/>
  <c r="AA188" i="101"/>
  <c r="C188" i="79"/>
  <c r="AD188" i="79" s="1"/>
  <c r="AB131" i="101"/>
  <c r="J40" i="79"/>
  <c r="AB47" i="101"/>
  <c r="AE47" i="101"/>
  <c r="D47" i="79"/>
  <c r="AE47" i="79" s="1"/>
  <c r="R26" i="101"/>
  <c r="R27" i="101" s="1"/>
  <c r="AE78" i="101"/>
  <c r="AE89" i="101"/>
  <c r="AB89" i="101"/>
  <c r="AG89" i="101" s="1"/>
  <c r="F89" i="79"/>
  <c r="AE89" i="79" s="1"/>
  <c r="V126" i="101"/>
  <c r="V126" i="79" s="1"/>
  <c r="V130" i="79"/>
  <c r="P177" i="101"/>
  <c r="P179" i="79"/>
  <c r="P177" i="79" s="1"/>
  <c r="N187" i="79"/>
  <c r="AE187" i="79" s="1"/>
  <c r="AE187" i="101"/>
  <c r="X42" i="101"/>
  <c r="AD79" i="101"/>
  <c r="C79" i="79"/>
  <c r="AA79" i="101"/>
  <c r="AF79" i="101" s="1"/>
  <c r="AE107" i="101"/>
  <c r="AB107" i="101"/>
  <c r="D107" i="79"/>
  <c r="L180" i="101"/>
  <c r="L184" i="79"/>
  <c r="AE184" i="79" s="1"/>
  <c r="AE193" i="101"/>
  <c r="AB193" i="101"/>
  <c r="AG193" i="101" s="1"/>
  <c r="D193" i="79"/>
  <c r="AB193" i="79" s="1"/>
  <c r="AE15" i="101"/>
  <c r="AB15" i="101"/>
  <c r="AB31" i="101"/>
  <c r="AE31" i="101"/>
  <c r="D31" i="79"/>
  <c r="D30" i="79" s="1"/>
  <c r="L42" i="101"/>
  <c r="L43" i="79"/>
  <c r="AA12" i="101"/>
  <c r="AD12" i="101"/>
  <c r="AA13" i="101"/>
  <c r="AF13" i="101" s="1"/>
  <c r="H26" i="101"/>
  <c r="H27" i="101" s="1"/>
  <c r="P53" i="101"/>
  <c r="P54" i="79"/>
  <c r="Z126" i="101"/>
  <c r="AE232" i="101"/>
  <c r="V267" i="121"/>
  <c r="V26" i="121"/>
  <c r="V27" i="121" s="1"/>
  <c r="V28" i="121"/>
  <c r="AB50" i="101"/>
  <c r="AE50" i="101"/>
  <c r="AB83" i="101"/>
  <c r="AA233" i="101"/>
  <c r="AD233" i="101"/>
  <c r="AD13" i="101"/>
  <c r="AD39" i="101"/>
  <c r="AA39" i="101"/>
  <c r="AA40" i="101"/>
  <c r="AD44" i="101"/>
  <c r="AA44" i="101"/>
  <c r="AF44" i="101" s="1"/>
  <c r="C44" i="79"/>
  <c r="C42" i="79" s="1"/>
  <c r="AA45" i="101"/>
  <c r="AF45" i="101" s="1"/>
  <c r="H231" i="79"/>
  <c r="AB231" i="79" s="1"/>
  <c r="AB231" i="101"/>
  <c r="AG231" i="101" s="1"/>
  <c r="AB233" i="101"/>
  <c r="AE233" i="101"/>
  <c r="D233" i="79"/>
  <c r="AB233" i="79" s="1"/>
  <c r="AB98" i="101"/>
  <c r="AE98" i="101"/>
  <c r="D98" i="79"/>
  <c r="AD229" i="101"/>
  <c r="AE262" i="101"/>
  <c r="E10" i="79"/>
  <c r="AA7" i="101"/>
  <c r="C6" i="101"/>
  <c r="B7" i="106" s="1"/>
  <c r="AD7" i="101"/>
  <c r="AD45" i="101"/>
  <c r="AB127" i="101"/>
  <c r="AE127" i="101"/>
  <c r="AB80" i="101"/>
  <c r="AE80" i="101"/>
  <c r="F80" i="79"/>
  <c r="AB192" i="101"/>
  <c r="H192" i="79"/>
  <c r="N42" i="101"/>
  <c r="AB244" i="101"/>
  <c r="AE244" i="101"/>
  <c r="AG244" i="101" s="1"/>
  <c r="D244" i="79"/>
  <c r="AE244" i="79" s="1"/>
  <c r="AE13" i="101"/>
  <c r="AG13" i="101" s="1"/>
  <c r="P42" i="101"/>
  <c r="AB44" i="101"/>
  <c r="AE44" i="101"/>
  <c r="D42" i="101"/>
  <c r="D44" i="79"/>
  <c r="D42" i="79" s="1"/>
  <c r="Y30" i="101"/>
  <c r="Y31" i="79"/>
  <c r="Y30" i="79" s="1"/>
  <c r="O67" i="79"/>
  <c r="O65" i="79" s="1"/>
  <c r="O65" i="101"/>
  <c r="AE195" i="101"/>
  <c r="D195" i="79"/>
  <c r="AE8" i="101"/>
  <c r="AB23" i="101"/>
  <c r="AE23" i="101"/>
  <c r="AB24" i="101"/>
  <c r="Y42" i="101"/>
  <c r="AB62" i="101"/>
  <c r="AG62" i="101" s="1"/>
  <c r="L106" i="101"/>
  <c r="L108" i="79"/>
  <c r="AB108" i="79" s="1"/>
  <c r="AB108" i="101"/>
  <c r="AA186" i="101"/>
  <c r="AF186" i="101" s="1"/>
  <c r="H128" i="79"/>
  <c r="AE128" i="79" s="1"/>
  <c r="U6" i="101"/>
  <c r="U26" i="101" s="1"/>
  <c r="U27" i="101" s="1"/>
  <c r="U7" i="79"/>
  <c r="AD7" i="79" s="1"/>
  <c r="K6" i="101"/>
  <c r="N7" i="106" s="1"/>
  <c r="K10" i="79"/>
  <c r="K6" i="79" s="1"/>
  <c r="AA10" i="101"/>
  <c r="C42" i="101"/>
  <c r="AE61" i="101"/>
  <c r="AB61" i="101"/>
  <c r="AG61" i="101" s="1"/>
  <c r="F61" i="79"/>
  <c r="AE61" i="79" s="1"/>
  <c r="AE68" i="101"/>
  <c r="H68" i="79"/>
  <c r="AB68" i="101"/>
  <c r="AG68" i="101" s="1"/>
  <c r="AA223" i="101"/>
  <c r="AD223" i="101"/>
  <c r="C223" i="79"/>
  <c r="AA223" i="79" s="1"/>
  <c r="L32" i="79"/>
  <c r="L30" i="79" s="1"/>
  <c r="L30" i="101"/>
  <c r="L29" i="101" s="1"/>
  <c r="H42" i="101"/>
  <c r="H45" i="79"/>
  <c r="H42" i="79" s="1"/>
  <c r="E26" i="121"/>
  <c r="E27" i="121" s="1"/>
  <c r="E28" i="121"/>
  <c r="AD6" i="121"/>
  <c r="AE67" i="101"/>
  <c r="AD71" i="101"/>
  <c r="AA71" i="101"/>
  <c r="AF71" i="101" s="1"/>
  <c r="AD155" i="101"/>
  <c r="E155" i="79"/>
  <c r="AA155" i="79" s="1"/>
  <c r="AA155" i="101"/>
  <c r="AF155" i="101" s="1"/>
  <c r="AE157" i="101"/>
  <c r="AB157" i="101"/>
  <c r="AG157" i="101" s="1"/>
  <c r="D157" i="79"/>
  <c r="AB159" i="101"/>
  <c r="D159" i="79"/>
  <c r="AB202" i="101"/>
  <c r="AA240" i="101"/>
  <c r="AD240" i="101"/>
  <c r="F28" i="121"/>
  <c r="F28" i="101" s="1"/>
  <c r="F28" i="79" s="1"/>
  <c r="AB6" i="121"/>
  <c r="F26" i="121"/>
  <c r="AE6" i="121"/>
  <c r="F267" i="121"/>
  <c r="AD19" i="101"/>
  <c r="E19" i="79"/>
  <c r="AD19" i="79" s="1"/>
  <c r="AA229" i="101"/>
  <c r="AF229" i="101" s="1"/>
  <c r="O42" i="101"/>
  <c r="AA89" i="101"/>
  <c r="E89" i="79"/>
  <c r="AA89" i="79" s="1"/>
  <c r="M187" i="79"/>
  <c r="AA187" i="79" s="1"/>
  <c r="AD187" i="101"/>
  <c r="AB229" i="101"/>
  <c r="R26" i="121"/>
  <c r="R27" i="121" s="1"/>
  <c r="J13" i="79"/>
  <c r="AE13" i="79" s="1"/>
  <c r="N43" i="79"/>
  <c r="AE82" i="101"/>
  <c r="AB85" i="101"/>
  <c r="AD107" i="101"/>
  <c r="C107" i="79"/>
  <c r="AD114" i="101"/>
  <c r="AA114" i="101"/>
  <c r="AD127" i="101"/>
  <c r="AA127" i="101"/>
  <c r="AF127" i="101" s="1"/>
  <c r="AA178" i="101"/>
  <c r="AF178" i="101" s="1"/>
  <c r="AE236" i="101"/>
  <c r="AG236" i="101" s="1"/>
  <c r="AD260" i="101"/>
  <c r="AA260" i="101"/>
  <c r="AD8" i="101"/>
  <c r="AD84" i="101"/>
  <c r="AA84" i="101"/>
  <c r="AD128" i="101"/>
  <c r="AE256" i="101"/>
  <c r="N256" i="79"/>
  <c r="AE256" i="79" s="1"/>
  <c r="AE260" i="101"/>
  <c r="AB260" i="101"/>
  <c r="AG260" i="101" s="1"/>
  <c r="J67" i="79"/>
  <c r="N16" i="101"/>
  <c r="N26" i="101" s="1"/>
  <c r="N27" i="101" s="1"/>
  <c r="AD62" i="101"/>
  <c r="AD111" i="101"/>
  <c r="AA111" i="101"/>
  <c r="AE146" i="101"/>
  <c r="AG146" i="101" s="1"/>
  <c r="AE221" i="101"/>
  <c r="AB221" i="101"/>
  <c r="D221" i="79"/>
  <c r="R66" i="79"/>
  <c r="K135" i="79"/>
  <c r="G231" i="79"/>
  <c r="AA231" i="79" s="1"/>
  <c r="AE93" i="101"/>
  <c r="H93" i="79"/>
  <c r="AB93" i="79" s="1"/>
  <c r="AB148" i="101"/>
  <c r="AG148" i="101" s="1"/>
  <c r="AD183" i="101"/>
  <c r="AA183" i="101"/>
  <c r="AF183" i="101" s="1"/>
  <c r="G183" i="79"/>
  <c r="AD226" i="101"/>
  <c r="P25" i="79"/>
  <c r="P16" i="79" s="1"/>
  <c r="R127" i="79"/>
  <c r="C233" i="79"/>
  <c r="AD20" i="101"/>
  <c r="AA20" i="101"/>
  <c r="C16" i="101"/>
  <c r="G30" i="101"/>
  <c r="E33" i="101"/>
  <c r="E34" i="79"/>
  <c r="E33" i="79" s="1"/>
  <c r="G53" i="101"/>
  <c r="AD63" i="101"/>
  <c r="AA63" i="101"/>
  <c r="AF63" i="101" s="1"/>
  <c r="C63" i="79"/>
  <c r="AA64" i="101"/>
  <c r="AF64" i="101" s="1"/>
  <c r="E74" i="79"/>
  <c r="AD74" i="79" s="1"/>
  <c r="AA74" i="101"/>
  <c r="AE168" i="101"/>
  <c r="AG168" i="101" s="1"/>
  <c r="I24" i="79"/>
  <c r="AA24" i="79" s="1"/>
  <c r="V140" i="79"/>
  <c r="AD18" i="101"/>
  <c r="AA18" i="101"/>
  <c r="AB38" i="101"/>
  <c r="AE64" i="101"/>
  <c r="AA105" i="101"/>
  <c r="G105" i="79"/>
  <c r="AA105" i="79" s="1"/>
  <c r="H117" i="79"/>
  <c r="AE117" i="79" s="1"/>
  <c r="H115" i="101"/>
  <c r="AD125" i="101"/>
  <c r="AA125" i="101"/>
  <c r="AF125" i="101" s="1"/>
  <c r="AB142" i="101"/>
  <c r="AE142" i="101"/>
  <c r="H206" i="79"/>
  <c r="AB206" i="79" s="1"/>
  <c r="I245" i="79"/>
  <c r="AA245" i="79" s="1"/>
  <c r="AE58" i="101"/>
  <c r="AB58" i="101"/>
  <c r="F147" i="79"/>
  <c r="AE147" i="101"/>
  <c r="AB165" i="101"/>
  <c r="C173" i="79"/>
  <c r="AD173" i="101"/>
  <c r="AA173" i="101"/>
  <c r="AF173" i="101" s="1"/>
  <c r="AA182" i="101"/>
  <c r="AF182" i="101" s="1"/>
  <c r="AB204" i="101"/>
  <c r="AG204" i="101" s="1"/>
  <c r="D204" i="79"/>
  <c r="AE204" i="79" s="1"/>
  <c r="AD247" i="101"/>
  <c r="AA247" i="101"/>
  <c r="AE254" i="101"/>
  <c r="D254" i="79"/>
  <c r="AB254" i="79" s="1"/>
  <c r="AB254" i="101"/>
  <c r="AG254" i="101" s="1"/>
  <c r="AD65" i="121"/>
  <c r="AA65" i="121"/>
  <c r="AF65" i="121" s="1"/>
  <c r="E18" i="79"/>
  <c r="D127" i="79"/>
  <c r="E167" i="79"/>
  <c r="AD167" i="79" s="1"/>
  <c r="H174" i="79"/>
  <c r="AE174" i="79" s="1"/>
  <c r="I206" i="79"/>
  <c r="AD206" i="79" s="1"/>
  <c r="V30" i="101"/>
  <c r="AE36" i="101"/>
  <c r="AD54" i="101"/>
  <c r="AA60" i="101"/>
  <c r="AF60" i="101" s="1"/>
  <c r="AD60" i="101"/>
  <c r="AA61" i="101"/>
  <c r="L65" i="101"/>
  <c r="D85" i="79"/>
  <c r="AE85" i="79" s="1"/>
  <c r="AE85" i="101"/>
  <c r="AE92" i="101"/>
  <c r="AB92" i="101"/>
  <c r="AB93" i="101"/>
  <c r="AE100" i="101"/>
  <c r="AA107" i="101"/>
  <c r="H109" i="79"/>
  <c r="H106" i="79" s="1"/>
  <c r="AB109" i="101"/>
  <c r="R115" i="101"/>
  <c r="R116" i="79"/>
  <c r="AE116" i="79" s="1"/>
  <c r="AE145" i="101"/>
  <c r="G147" i="79"/>
  <c r="AA147" i="79" s="1"/>
  <c r="AD147" i="101"/>
  <c r="AE150" i="101"/>
  <c r="AD165" i="101"/>
  <c r="AE173" i="101"/>
  <c r="AG173" i="101" s="1"/>
  <c r="D173" i="79"/>
  <c r="AB173" i="101"/>
  <c r="AB195" i="101"/>
  <c r="AG195" i="101" s="1"/>
  <c r="AA209" i="101"/>
  <c r="AE211" i="101"/>
  <c r="AB211" i="101"/>
  <c r="AG211" i="101" s="1"/>
  <c r="R214" i="79"/>
  <c r="R212" i="79" s="1"/>
  <c r="R212" i="101"/>
  <c r="AE247" i="101"/>
  <c r="AB247" i="101"/>
  <c r="AG247" i="101" s="1"/>
  <c r="AB16" i="121"/>
  <c r="AB88" i="101"/>
  <c r="T200" i="101"/>
  <c r="T201" i="79"/>
  <c r="T200" i="79" s="1"/>
  <c r="AB12" i="101"/>
  <c r="AE12" i="101"/>
  <c r="AE43" i="101"/>
  <c r="AE130" i="101"/>
  <c r="AB130" i="101"/>
  <c r="D130" i="79"/>
  <c r="AA85" i="101"/>
  <c r="AA99" i="101"/>
  <c r="AE104" i="101"/>
  <c r="H103" i="101"/>
  <c r="AB104" i="101"/>
  <c r="AA135" i="101"/>
  <c r="AF135" i="101" s="1"/>
  <c r="AD244" i="101"/>
  <c r="E244" i="79"/>
  <c r="AD244" i="79" s="1"/>
  <c r="AA244" i="101"/>
  <c r="S6" i="101"/>
  <c r="S26" i="101" s="1"/>
  <c r="S27" i="101" s="1"/>
  <c r="AA24" i="101"/>
  <c r="AF24" i="101" s="1"/>
  <c r="I30" i="101"/>
  <c r="I31" i="79"/>
  <c r="I30" i="79" s="1"/>
  <c r="M33" i="101"/>
  <c r="H33" i="101"/>
  <c r="H35" i="79"/>
  <c r="AB35" i="79" s="1"/>
  <c r="AD80" i="101"/>
  <c r="AA108" i="101"/>
  <c r="T126" i="101"/>
  <c r="AA145" i="101"/>
  <c r="AF145" i="101" s="1"/>
  <c r="E145" i="79"/>
  <c r="AA145" i="79" s="1"/>
  <c r="F10" i="79"/>
  <c r="AB10" i="79" s="1"/>
  <c r="P43" i="79"/>
  <c r="P109" i="79"/>
  <c r="AB109" i="79" s="1"/>
  <c r="D6" i="101"/>
  <c r="AE7" i="101"/>
  <c r="AB7" i="101"/>
  <c r="D7" i="79"/>
  <c r="D30" i="101"/>
  <c r="H65" i="101"/>
  <c r="H66" i="79"/>
  <c r="X65" i="101"/>
  <c r="X66" i="79"/>
  <c r="AE79" i="101"/>
  <c r="D79" i="79"/>
  <c r="AB79" i="101"/>
  <c r="AG79" i="101" s="1"/>
  <c r="AA134" i="101"/>
  <c r="E134" i="79"/>
  <c r="AD221" i="101"/>
  <c r="AA221" i="101"/>
  <c r="AD228" i="101"/>
  <c r="AA228" i="101"/>
  <c r="AF228" i="101" s="1"/>
  <c r="AA230" i="101"/>
  <c r="AD230" i="101"/>
  <c r="C230" i="79"/>
  <c r="AD230" i="79" s="1"/>
  <c r="AA231" i="101"/>
  <c r="AF231" i="101" s="1"/>
  <c r="AA75" i="101"/>
  <c r="AD93" i="101"/>
  <c r="G93" i="79"/>
  <c r="AE185" i="101"/>
  <c r="AB185" i="101"/>
  <c r="AG185" i="101" s="1"/>
  <c r="H228" i="79"/>
  <c r="AE228" i="79" s="1"/>
  <c r="AE228" i="101"/>
  <c r="AB228" i="101"/>
  <c r="AG228" i="101" s="1"/>
  <c r="M16" i="101"/>
  <c r="AE62" i="101"/>
  <c r="AB74" i="101"/>
  <c r="AE74" i="101"/>
  <c r="D74" i="79"/>
  <c r="AE74" i="79" s="1"/>
  <c r="AB75" i="101"/>
  <c r="AG75" i="101" s="1"/>
  <c r="C123" i="79"/>
  <c r="AA123" i="79" s="1"/>
  <c r="AD123" i="101"/>
  <c r="AA123" i="101"/>
  <c r="E219" i="79"/>
  <c r="AD219" i="101"/>
  <c r="L135" i="79"/>
  <c r="AE57" i="101"/>
  <c r="AB96" i="101"/>
  <c r="AB183" i="101"/>
  <c r="H183" i="79"/>
  <c r="H180" i="79" s="1"/>
  <c r="AE217" i="101"/>
  <c r="AB217" i="101"/>
  <c r="AE41" i="101"/>
  <c r="X117" i="79"/>
  <c r="X115" i="79" s="1"/>
  <c r="X115" i="101"/>
  <c r="AE179" i="101"/>
  <c r="AB179" i="101"/>
  <c r="J180" i="101"/>
  <c r="J181" i="79"/>
  <c r="AD254" i="101"/>
  <c r="C254" i="79"/>
  <c r="AD254" i="79" s="1"/>
  <c r="AA254" i="101"/>
  <c r="AF254" i="101" s="1"/>
  <c r="X104" i="79"/>
  <c r="X103" i="79" s="1"/>
  <c r="F137" i="79"/>
  <c r="AE137" i="79" s="1"/>
  <c r="AA41" i="101"/>
  <c r="AB97" i="101"/>
  <c r="AG97" i="101" s="1"/>
  <c r="AD100" i="101"/>
  <c r="AA100" i="101"/>
  <c r="D23" i="79"/>
  <c r="AB23" i="79" s="1"/>
  <c r="D12" i="79"/>
  <c r="AB12" i="79" s="1"/>
  <c r="I48" i="79"/>
  <c r="AD48" i="79" s="1"/>
  <c r="Y66" i="79"/>
  <c r="G71" i="79"/>
  <c r="AD71" i="79" s="1"/>
  <c r="E84" i="79"/>
  <c r="J90" i="79"/>
  <c r="AB90" i="79" s="1"/>
  <c r="G104" i="79"/>
  <c r="AA104" i="79" s="1"/>
  <c r="J143" i="79"/>
  <c r="AB143" i="79" s="1"/>
  <c r="I174" i="79"/>
  <c r="U16" i="101"/>
  <c r="W30" i="101"/>
  <c r="W29" i="101" s="1"/>
  <c r="P33" i="101"/>
  <c r="AA50" i="101"/>
  <c r="AD50" i="101"/>
  <c r="AG51" i="101"/>
  <c r="AB60" i="101"/>
  <c r="AE60" i="101"/>
  <c r="AE69" i="101"/>
  <c r="AG69" i="101" s="1"/>
  <c r="AA72" i="101"/>
  <c r="R103" i="101"/>
  <c r="R104" i="79"/>
  <c r="R103" i="79" s="1"/>
  <c r="I109" i="79"/>
  <c r="AA109" i="101"/>
  <c r="AA116" i="101"/>
  <c r="AD116" i="101"/>
  <c r="C118" i="79"/>
  <c r="AA118" i="79" s="1"/>
  <c r="AD118" i="101"/>
  <c r="AA118" i="101"/>
  <c r="AE119" i="101"/>
  <c r="AE140" i="101"/>
  <c r="AD144" i="101"/>
  <c r="AA144" i="101"/>
  <c r="AF144" i="101" s="1"/>
  <c r="AE165" i="101"/>
  <c r="AE194" i="101"/>
  <c r="AB194" i="101"/>
  <c r="AD199" i="101"/>
  <c r="AB208" i="101"/>
  <c r="D208" i="79"/>
  <c r="AE208" i="101"/>
  <c r="AB209" i="101"/>
  <c r="AA232" i="101"/>
  <c r="AA236" i="101"/>
  <c r="AF236" i="101" s="1"/>
  <c r="E236" i="79"/>
  <c r="AA238" i="101"/>
  <c r="AD238" i="101"/>
  <c r="C238" i="79"/>
  <c r="AD238" i="79" s="1"/>
  <c r="AF73" i="121"/>
  <c r="AF166" i="121"/>
  <c r="AE71" i="101"/>
  <c r="AB71" i="101"/>
  <c r="AA202" i="101"/>
  <c r="U258" i="121"/>
  <c r="U261" i="121" s="1"/>
  <c r="U263" i="121" s="1"/>
  <c r="U26" i="121"/>
  <c r="U27" i="121" s="1"/>
  <c r="M32" i="79"/>
  <c r="M30" i="79" s="1"/>
  <c r="M30" i="101"/>
  <c r="S65" i="101"/>
  <c r="S66" i="79"/>
  <c r="S65" i="79" s="1"/>
  <c r="AD87" i="101"/>
  <c r="E87" i="79"/>
  <c r="AA87" i="79" s="1"/>
  <c r="AB201" i="101"/>
  <c r="AG201" i="101" s="1"/>
  <c r="AE201" i="101"/>
  <c r="D201" i="79"/>
  <c r="D200" i="79" s="1"/>
  <c r="AE32" i="101"/>
  <c r="AG32" i="101" s="1"/>
  <c r="AD47" i="101"/>
  <c r="AA47" i="101"/>
  <c r="AD90" i="101"/>
  <c r="AD159" i="101"/>
  <c r="E159" i="79"/>
  <c r="AA159" i="101"/>
  <c r="AB245" i="101"/>
  <c r="J245" i="79"/>
  <c r="AB245" i="79" s="1"/>
  <c r="AA98" i="101"/>
  <c r="AD98" i="101"/>
  <c r="C98" i="79"/>
  <c r="AA98" i="79" s="1"/>
  <c r="AA133" i="101"/>
  <c r="AF133" i="101" s="1"/>
  <c r="AD196" i="101"/>
  <c r="AA196" i="101"/>
  <c r="I196" i="79"/>
  <c r="AA42" i="121"/>
  <c r="AD42" i="121"/>
  <c r="C29" i="121"/>
  <c r="Z6" i="101"/>
  <c r="AE37" i="101"/>
  <c r="F37" i="79"/>
  <c r="AB49" i="101"/>
  <c r="D49" i="79"/>
  <c r="AB49" i="79" s="1"/>
  <c r="AB99" i="101"/>
  <c r="AE188" i="101"/>
  <c r="AB188" i="101"/>
  <c r="O43" i="79"/>
  <c r="O42" i="79" s="1"/>
  <c r="L177" i="101"/>
  <c r="AE177" i="101" s="1"/>
  <c r="L178" i="79"/>
  <c r="AB178" i="79" s="1"/>
  <c r="AD237" i="101"/>
  <c r="AA237" i="101"/>
  <c r="C237" i="79"/>
  <c r="AD237" i="79" s="1"/>
  <c r="AD17" i="101"/>
  <c r="AE128" i="101"/>
  <c r="AD178" i="101"/>
  <c r="AD185" i="101"/>
  <c r="AA185" i="101"/>
  <c r="AD213" i="101"/>
  <c r="AA213" i="101"/>
  <c r="E213" i="79"/>
  <c r="AD213" i="79" s="1"/>
  <c r="C39" i="79"/>
  <c r="AD39" i="79" s="1"/>
  <c r="P127" i="79"/>
  <c r="C33" i="101"/>
  <c r="C29" i="101" s="1"/>
  <c r="AD34" i="101"/>
  <c r="AF34" i="101" s="1"/>
  <c r="C34" i="79"/>
  <c r="S33" i="101"/>
  <c r="S34" i="79"/>
  <c r="AA112" i="101"/>
  <c r="F189" i="101"/>
  <c r="AB191" i="101"/>
  <c r="H50" i="79"/>
  <c r="T33" i="101"/>
  <c r="T34" i="79"/>
  <c r="W53" i="101"/>
  <c r="AD95" i="101"/>
  <c r="AA95" i="101"/>
  <c r="AF95" i="101" s="1"/>
  <c r="AE111" i="101"/>
  <c r="AB111" i="101"/>
  <c r="AG111" i="101" s="1"/>
  <c r="AA143" i="101"/>
  <c r="AF143" i="101" s="1"/>
  <c r="AB223" i="101"/>
  <c r="AG223" i="101" s="1"/>
  <c r="AE223" i="101"/>
  <c r="K85" i="79"/>
  <c r="AD85" i="79" s="1"/>
  <c r="D16" i="101"/>
  <c r="AA38" i="101"/>
  <c r="AF38" i="101" s="1"/>
  <c r="AD89" i="101"/>
  <c r="AB143" i="101"/>
  <c r="AE167" i="101"/>
  <c r="AB167" i="101"/>
  <c r="AG167" i="101" s="1"/>
  <c r="AE253" i="101"/>
  <c r="AG253" i="101" s="1"/>
  <c r="E137" i="79"/>
  <c r="AD137" i="79" s="1"/>
  <c r="AE20" i="101"/>
  <c r="AB20" i="101"/>
  <c r="AG20" i="101" s="1"/>
  <c r="AB21" i="101"/>
  <c r="AG21" i="101" s="1"/>
  <c r="V33" i="101"/>
  <c r="V34" i="79"/>
  <c r="V33" i="79" s="1"/>
  <c r="AA58" i="101"/>
  <c r="C53" i="101"/>
  <c r="C58" i="79"/>
  <c r="AD58" i="79" s="1"/>
  <c r="AD58" i="101"/>
  <c r="AA59" i="101"/>
  <c r="AD143" i="101"/>
  <c r="AA165" i="101"/>
  <c r="AD169" i="101"/>
  <c r="AA169" i="101"/>
  <c r="Z180" i="101"/>
  <c r="Z181" i="79"/>
  <c r="Z180" i="79" s="1"/>
  <c r="AA256" i="101"/>
  <c r="AD256" i="101"/>
  <c r="J102" i="121"/>
  <c r="AG180" i="121"/>
  <c r="F179" i="79"/>
  <c r="F177" i="79" s="1"/>
  <c r="AE59" i="101"/>
  <c r="AA93" i="101"/>
  <c r="AF93" i="101" s="1"/>
  <c r="Z107" i="79"/>
  <c r="Z106" i="101"/>
  <c r="AE125" i="101"/>
  <c r="AB125" i="101"/>
  <c r="AB212" i="121"/>
  <c r="AG212" i="121" s="1"/>
  <c r="AE212" i="121"/>
  <c r="C12" i="79"/>
  <c r="AA12" i="79" s="1"/>
  <c r="M17" i="79"/>
  <c r="M16" i="79" s="1"/>
  <c r="D21" i="79"/>
  <c r="D16" i="79" s="1"/>
  <c r="G51" i="79"/>
  <c r="AA51" i="79" s="1"/>
  <c r="E82" i="79"/>
  <c r="AD82" i="79" s="1"/>
  <c r="C95" i="79"/>
  <c r="AA95" i="79" s="1"/>
  <c r="H104" i="79"/>
  <c r="AB104" i="79" s="1"/>
  <c r="H119" i="79"/>
  <c r="AB119" i="79" s="1"/>
  <c r="E240" i="79"/>
  <c r="AA240" i="79" s="1"/>
  <c r="E6" i="101"/>
  <c r="L6" i="101"/>
  <c r="AE14" i="101"/>
  <c r="I18" i="79"/>
  <c r="I16" i="101"/>
  <c r="I26" i="101" s="1"/>
  <c r="I27" i="101" s="1"/>
  <c r="X30" i="101"/>
  <c r="J42" i="101"/>
  <c r="J43" i="79"/>
  <c r="Z43" i="79"/>
  <c r="Z42" i="79" s="1"/>
  <c r="Z42" i="101"/>
  <c r="M53" i="101"/>
  <c r="M54" i="79"/>
  <c r="AA54" i="79" s="1"/>
  <c r="AB55" i="101"/>
  <c r="AE55" i="101"/>
  <c r="AB72" i="101"/>
  <c r="AG72" i="101" s="1"/>
  <c r="AD86" i="101"/>
  <c r="AB101" i="101"/>
  <c r="D101" i="79"/>
  <c r="AB105" i="101"/>
  <c r="AB116" i="101"/>
  <c r="AE116" i="101"/>
  <c r="T115" i="101"/>
  <c r="AE118" i="101"/>
  <c r="AB118" i="101"/>
  <c r="AA120" i="101"/>
  <c r="AD120" i="101"/>
  <c r="J126" i="101"/>
  <c r="J102" i="101" s="1"/>
  <c r="AE132" i="101"/>
  <c r="AB149" i="101"/>
  <c r="AG149" i="101" s="1"/>
  <c r="AE160" i="101"/>
  <c r="AB160" i="101"/>
  <c r="AG160" i="101" s="1"/>
  <c r="H160" i="79"/>
  <c r="AE160" i="79" s="1"/>
  <c r="AA166" i="101"/>
  <c r="AD166" i="101"/>
  <c r="C166" i="79"/>
  <c r="AA167" i="101"/>
  <c r="AF167" i="101" s="1"/>
  <c r="AD209" i="101"/>
  <c r="AE238" i="101"/>
  <c r="D238" i="79"/>
  <c r="AD242" i="101"/>
  <c r="AD251" i="101"/>
  <c r="AA251" i="101"/>
  <c r="AG166" i="121"/>
  <c r="X189" i="101"/>
  <c r="X176" i="101" s="1"/>
  <c r="X190" i="79"/>
  <c r="AB240" i="101"/>
  <c r="AE240" i="101"/>
  <c r="AG240" i="101" s="1"/>
  <c r="M42" i="101"/>
  <c r="M43" i="79"/>
  <c r="M42" i="79" s="1"/>
  <c r="AD66" i="101"/>
  <c r="C65" i="101"/>
  <c r="AA66" i="101"/>
  <c r="C66" i="79"/>
  <c r="AA83" i="101"/>
  <c r="AB53" i="121"/>
  <c r="F87" i="79"/>
  <c r="AE87" i="79" s="1"/>
  <c r="AE87" i="101"/>
  <c r="R150" i="79"/>
  <c r="AB150" i="101"/>
  <c r="AD203" i="101"/>
  <c r="AA203" i="101"/>
  <c r="AF203" i="101" s="1"/>
  <c r="C203" i="79"/>
  <c r="AA203" i="79" s="1"/>
  <c r="AD77" i="101"/>
  <c r="C77" i="79"/>
  <c r="AA77" i="101"/>
  <c r="AE114" i="101"/>
  <c r="AB114" i="101"/>
  <c r="J6" i="101"/>
  <c r="M7" i="106" s="1"/>
  <c r="AA22" i="101"/>
  <c r="H30" i="101"/>
  <c r="H31" i="79"/>
  <c r="AE77" i="101"/>
  <c r="AB77" i="101"/>
  <c r="AG77" i="101" s="1"/>
  <c r="AE112" i="101"/>
  <c r="AG112" i="101" s="1"/>
  <c r="H112" i="79"/>
  <c r="AE112" i="79" s="1"/>
  <c r="AE196" i="101"/>
  <c r="J189" i="101"/>
  <c r="J176" i="101" s="1"/>
  <c r="J196" i="79"/>
  <c r="AB196" i="79" s="1"/>
  <c r="AB196" i="101"/>
  <c r="AG196" i="101" s="1"/>
  <c r="AA23" i="101"/>
  <c r="AD23" i="101"/>
  <c r="Q42" i="101"/>
  <c r="T106" i="101"/>
  <c r="T107" i="79"/>
  <c r="L126" i="101"/>
  <c r="AE229" i="101"/>
  <c r="AG229" i="101" s="1"/>
  <c r="AA235" i="101"/>
  <c r="AD235" i="101"/>
  <c r="AB238" i="101"/>
  <c r="AG238" i="101" s="1"/>
  <c r="T6" i="101"/>
  <c r="T26" i="101" s="1"/>
  <c r="T27" i="101" s="1"/>
  <c r="T7" i="79"/>
  <c r="T6" i="79" s="1"/>
  <c r="AB10" i="101"/>
  <c r="AG10" i="101" s="1"/>
  <c r="F30" i="101"/>
  <c r="AB30" i="101" s="1"/>
  <c r="D33" i="101"/>
  <c r="D34" i="79"/>
  <c r="AE34" i="101"/>
  <c r="AG34" i="101" s="1"/>
  <c r="AB34" i="101"/>
  <c r="AB35" i="101"/>
  <c r="F53" i="101"/>
  <c r="N53" i="101"/>
  <c r="AE121" i="101"/>
  <c r="D121" i="79"/>
  <c r="AB121" i="101"/>
  <c r="AE159" i="101"/>
  <c r="R57" i="79"/>
  <c r="R53" i="79" s="1"/>
  <c r="AA21" i="101"/>
  <c r="AE95" i="101"/>
  <c r="AB95" i="101"/>
  <c r="AE123" i="101"/>
  <c r="AB123" i="101"/>
  <c r="AG123" i="101" s="1"/>
  <c r="H126" i="101"/>
  <c r="H127" i="79"/>
  <c r="C127" i="79"/>
  <c r="W33" i="101"/>
  <c r="AD92" i="101"/>
  <c r="AA92" i="101"/>
  <c r="AD99" i="101"/>
  <c r="C99" i="79"/>
  <c r="R138" i="101"/>
  <c r="R139" i="79"/>
  <c r="R138" i="79" s="1"/>
  <c r="AE252" i="101"/>
  <c r="AB252" i="101"/>
  <c r="AG252" i="101" s="1"/>
  <c r="D15" i="79"/>
  <c r="AB15" i="79" s="1"/>
  <c r="E21" i="79"/>
  <c r="AD21" i="79" s="1"/>
  <c r="G23" i="79"/>
  <c r="G16" i="79" s="1"/>
  <c r="I66" i="79"/>
  <c r="F82" i="79"/>
  <c r="D95" i="79"/>
  <c r="AB95" i="79" s="1"/>
  <c r="K112" i="79"/>
  <c r="Q150" i="79"/>
  <c r="R178" i="79"/>
  <c r="D223" i="79"/>
  <c r="E235" i="79"/>
  <c r="C256" i="79"/>
  <c r="C264" i="79"/>
  <c r="F6" i="101"/>
  <c r="M6" i="101"/>
  <c r="Q7" i="106" s="1"/>
  <c r="AD15" i="101"/>
  <c r="AA15" i="101"/>
  <c r="AF15" i="101" s="1"/>
  <c r="J16" i="101"/>
  <c r="J18" i="79"/>
  <c r="J16" i="79" s="1"/>
  <c r="AE18" i="101"/>
  <c r="AB18" i="101"/>
  <c r="AD31" i="101"/>
  <c r="AA31" i="101"/>
  <c r="AA32" i="101"/>
  <c r="K33" i="101"/>
  <c r="AA34" i="101"/>
  <c r="R42" i="101"/>
  <c r="K42" i="101"/>
  <c r="K43" i="79"/>
  <c r="AA43" i="101"/>
  <c r="AA55" i="101"/>
  <c r="AF55" i="101" s="1"/>
  <c r="E55" i="79"/>
  <c r="E53" i="79" s="1"/>
  <c r="AA80" i="101"/>
  <c r="AA94" i="101"/>
  <c r="AF94" i="101" s="1"/>
  <c r="AD105" i="101"/>
  <c r="AF105" i="101" s="1"/>
  <c r="AB120" i="101"/>
  <c r="AG120" i="101" s="1"/>
  <c r="AA121" i="101"/>
  <c r="AF121" i="101" s="1"/>
  <c r="AA129" i="101"/>
  <c r="AF129" i="101" s="1"/>
  <c r="AB129" i="101"/>
  <c r="AD136" i="101"/>
  <c r="AA149" i="101"/>
  <c r="AF149" i="101" s="1"/>
  <c r="AB156" i="101"/>
  <c r="AD160" i="101"/>
  <c r="AA160" i="101"/>
  <c r="I160" i="79"/>
  <c r="AA190" i="101"/>
  <c r="AF190" i="101" s="1"/>
  <c r="G190" i="79"/>
  <c r="G189" i="79" s="1"/>
  <c r="R200" i="101"/>
  <c r="R201" i="79"/>
  <c r="R200" i="79" s="1"/>
  <c r="J200" i="101"/>
  <c r="J202" i="79"/>
  <c r="J200" i="79" s="1"/>
  <c r="Z202" i="79"/>
  <c r="Z200" i="79" s="1"/>
  <c r="Z200" i="101"/>
  <c r="Z176" i="101" s="1"/>
  <c r="AE209" i="101"/>
  <c r="AB232" i="101"/>
  <c r="AA241" i="101"/>
  <c r="AE251" i="101"/>
  <c r="AB251" i="101"/>
  <c r="D251" i="79"/>
  <c r="AB259" i="101"/>
  <c r="I29" i="121"/>
  <c r="Y29" i="121"/>
  <c r="Y258" i="121" s="1"/>
  <c r="Y261" i="121" s="1"/>
  <c r="Y263" i="121" s="1"/>
  <c r="AF44" i="121"/>
  <c r="AF70" i="121"/>
  <c r="AA184" i="101"/>
  <c r="AF184" i="101" s="1"/>
  <c r="AD216" i="101"/>
  <c r="C216" i="79"/>
  <c r="AD216" i="79" s="1"/>
  <c r="AA216" i="101"/>
  <c r="AB9" i="101"/>
  <c r="Q53" i="101"/>
  <c r="Q29" i="101" s="1"/>
  <c r="Q54" i="79"/>
  <c r="AA76" i="101"/>
  <c r="AD76" i="101"/>
  <c r="C76" i="79"/>
  <c r="AD91" i="101"/>
  <c r="AA91" i="101"/>
  <c r="AE99" i="101"/>
  <c r="D99" i="79"/>
  <c r="AB99" i="79" s="1"/>
  <c r="AE205" i="101"/>
  <c r="AB205" i="101"/>
  <c r="AG205" i="101" s="1"/>
  <c r="M26" i="121"/>
  <c r="M27" i="121" s="1"/>
  <c r="M28" i="121"/>
  <c r="AB25" i="101"/>
  <c r="AG25" i="101" s="1"/>
  <c r="G42" i="101"/>
  <c r="AD70" i="101"/>
  <c r="AF70" i="101" s="1"/>
  <c r="AE91" i="101"/>
  <c r="AB91" i="101"/>
  <c r="AG91" i="101" s="1"/>
  <c r="AE227" i="101"/>
  <c r="AB227" i="101"/>
  <c r="D227" i="79"/>
  <c r="X16" i="101"/>
  <c r="AD25" i="101"/>
  <c r="AA25" i="101"/>
  <c r="AD40" i="101"/>
  <c r="AA51" i="101"/>
  <c r="AF51" i="101" s="1"/>
  <c r="Z53" i="101"/>
  <c r="AD59" i="101"/>
  <c r="AB67" i="101"/>
  <c r="AG67" i="101" s="1"/>
  <c r="D67" i="79"/>
  <c r="D65" i="79" s="1"/>
  <c r="AA68" i="101"/>
  <c r="AF68" i="101" s="1"/>
  <c r="AB70" i="101"/>
  <c r="AE70" i="101"/>
  <c r="AD73" i="101"/>
  <c r="AA73" i="101"/>
  <c r="AB100" i="101"/>
  <c r="F106" i="101"/>
  <c r="V106" i="101"/>
  <c r="AA113" i="101"/>
  <c r="AF113" i="101" s="1"/>
  <c r="J115" i="101"/>
  <c r="Z115" i="101"/>
  <c r="L138" i="101"/>
  <c r="AD139" i="101"/>
  <c r="AE154" i="101"/>
  <c r="AB154" i="101"/>
  <c r="AG154" i="101" s="1"/>
  <c r="AD156" i="101"/>
  <c r="AA156" i="101"/>
  <c r="AF156" i="101" s="1"/>
  <c r="AD163" i="101"/>
  <c r="AA163" i="101"/>
  <c r="AB199" i="101"/>
  <c r="AE199" i="101"/>
  <c r="AD224" i="101"/>
  <c r="AE225" i="101"/>
  <c r="F246" i="79"/>
  <c r="AE246" i="101"/>
  <c r="AB246" i="101"/>
  <c r="AG246" i="101" s="1"/>
  <c r="AB249" i="101"/>
  <c r="AG249" i="101" s="1"/>
  <c r="AA253" i="101"/>
  <c r="AF253" i="101" s="1"/>
  <c r="G253" i="79"/>
  <c r="AA253" i="79" s="1"/>
  <c r="AD262" i="101"/>
  <c r="AA262" i="101"/>
  <c r="AF262" i="101" s="1"/>
  <c r="AB264" i="101"/>
  <c r="O28" i="121"/>
  <c r="O28" i="101" s="1"/>
  <c r="O28" i="79" s="1"/>
  <c r="O258" i="121"/>
  <c r="O261" i="121" s="1"/>
  <c r="O263" i="121" s="1"/>
  <c r="O26" i="121"/>
  <c r="O27" i="121" s="1"/>
  <c r="N176" i="121"/>
  <c r="F16" i="101"/>
  <c r="V16" i="101"/>
  <c r="AE84" i="101"/>
  <c r="AB84" i="101"/>
  <c r="AD161" i="101"/>
  <c r="AA161" i="101"/>
  <c r="AF161" i="101" s="1"/>
  <c r="AB175" i="101"/>
  <c r="AE175" i="101"/>
  <c r="F175" i="79"/>
  <c r="AE175" i="79" s="1"/>
  <c r="AA227" i="101"/>
  <c r="AD227" i="101"/>
  <c r="C227" i="79"/>
  <c r="AD227" i="79" s="1"/>
  <c r="AE22" i="101"/>
  <c r="AB22" i="101"/>
  <c r="AE40" i="101"/>
  <c r="AG40" i="101" s="1"/>
  <c r="AA52" i="101"/>
  <c r="AD108" i="101"/>
  <c r="AD246" i="101"/>
  <c r="AA246" i="101"/>
  <c r="E246" i="79"/>
  <c r="N267" i="121"/>
  <c r="N26" i="121"/>
  <c r="N27" i="121" s="1"/>
  <c r="AE138" i="121"/>
  <c r="AB138" i="121"/>
  <c r="AG138" i="121" s="1"/>
  <c r="AA8" i="101"/>
  <c r="X6" i="101"/>
  <c r="Y16" i="101"/>
  <c r="O33" i="101"/>
  <c r="AD35" i="101"/>
  <c r="AA35" i="101"/>
  <c r="I42" i="101"/>
  <c r="I29" i="101" s="1"/>
  <c r="AB57" i="101"/>
  <c r="F57" i="79"/>
  <c r="AD64" i="101"/>
  <c r="AD67" i="101"/>
  <c r="AA67" i="101"/>
  <c r="AB73" i="101"/>
  <c r="AE73" i="101"/>
  <c r="AE76" i="101"/>
  <c r="AB76" i="101"/>
  <c r="E96" i="79"/>
  <c r="AD96" i="101"/>
  <c r="AF96" i="101" s="1"/>
  <c r="AA97" i="101"/>
  <c r="AD110" i="101"/>
  <c r="AA110" i="101"/>
  <c r="C110" i="79"/>
  <c r="AD110" i="79" s="1"/>
  <c r="AB113" i="101"/>
  <c r="AG113" i="101" s="1"/>
  <c r="AE113" i="101"/>
  <c r="D113" i="79"/>
  <c r="AD117" i="101"/>
  <c r="AA117" i="101"/>
  <c r="AD133" i="101"/>
  <c r="C133" i="79"/>
  <c r="AD133" i="79" s="1"/>
  <c r="AA151" i="101"/>
  <c r="AD151" i="101"/>
  <c r="AB163" i="101"/>
  <c r="AE163" i="101"/>
  <c r="AG163" i="101" s="1"/>
  <c r="H180" i="101"/>
  <c r="H176" i="101" s="1"/>
  <c r="AA199" i="101"/>
  <c r="AF199" i="101" s="1"/>
  <c r="AA225" i="101"/>
  <c r="AF225" i="101" s="1"/>
  <c r="AB262" i="101"/>
  <c r="F262" i="79"/>
  <c r="AE262" i="79" s="1"/>
  <c r="P28" i="121"/>
  <c r="P28" i="101" s="1"/>
  <c r="P28" i="79" s="1"/>
  <c r="P267" i="121"/>
  <c r="AE33" i="121"/>
  <c r="AB33" i="121"/>
  <c r="AG33" i="121" s="1"/>
  <c r="AE108" i="101"/>
  <c r="AA154" i="101"/>
  <c r="AD154" i="101"/>
  <c r="AE161" i="101"/>
  <c r="AB161" i="101"/>
  <c r="AG161" i="101" s="1"/>
  <c r="F9" i="79"/>
  <c r="F17" i="79"/>
  <c r="F16" i="79" s="1"/>
  <c r="V17" i="79"/>
  <c r="V16" i="79" s="1"/>
  <c r="C154" i="79"/>
  <c r="AA154" i="79" s="1"/>
  <c r="J126" i="79"/>
  <c r="AB8" i="101"/>
  <c r="Y6" i="101"/>
  <c r="AI7" i="106" s="1"/>
  <c r="Z16" i="101"/>
  <c r="AE24" i="101"/>
  <c r="N30" i="101"/>
  <c r="E53" i="101"/>
  <c r="AB64" i="101"/>
  <c r="F65" i="101"/>
  <c r="AD88" i="101"/>
  <c r="AE96" i="101"/>
  <c r="AB110" i="101"/>
  <c r="AE110" i="101"/>
  <c r="D110" i="79"/>
  <c r="N115" i="101"/>
  <c r="AE117" i="101"/>
  <c r="AB117" i="101"/>
  <c r="M132" i="79"/>
  <c r="AA132" i="79" s="1"/>
  <c r="AD132" i="101"/>
  <c r="AE133" i="101"/>
  <c r="AG133" i="101" s="1"/>
  <c r="D133" i="79"/>
  <c r="AE133" i="79" s="1"/>
  <c r="AB133" i="101"/>
  <c r="H136" i="79"/>
  <c r="AE136" i="101"/>
  <c r="AE148" i="101"/>
  <c r="D148" i="79"/>
  <c r="AB148" i="79" s="1"/>
  <c r="AE151" i="101"/>
  <c r="AE158" i="101"/>
  <c r="AB158" i="101"/>
  <c r="AG158" i="101" s="1"/>
  <c r="L189" i="101"/>
  <c r="L191" i="79"/>
  <c r="Z212" i="101"/>
  <c r="Z214" i="79"/>
  <c r="Z212" i="79" s="1"/>
  <c r="AB225" i="101"/>
  <c r="AG225" i="101" s="1"/>
  <c r="AD257" i="101"/>
  <c r="AF257" i="101" s="1"/>
  <c r="C257" i="79"/>
  <c r="AA257" i="79" s="1"/>
  <c r="AA257" i="101"/>
  <c r="AA259" i="101"/>
  <c r="Q258" i="121"/>
  <c r="Q261" i="121" s="1"/>
  <c r="Q263" i="121" s="1"/>
  <c r="R267" i="121"/>
  <c r="AE16" i="121"/>
  <c r="H26" i="121"/>
  <c r="H27" i="121" s="1"/>
  <c r="AA33" i="121"/>
  <c r="AF33" i="121" s="1"/>
  <c r="AG147" i="121"/>
  <c r="R176" i="121"/>
  <c r="AF252" i="121"/>
  <c r="AD205" i="101"/>
  <c r="AE230" i="101"/>
  <c r="AB230" i="101"/>
  <c r="D230" i="79"/>
  <c r="AB230" i="79" s="1"/>
  <c r="AA16" i="121"/>
  <c r="AD16" i="121"/>
  <c r="AB42" i="121"/>
  <c r="AE42" i="121"/>
  <c r="D29" i="121"/>
  <c r="P102" i="121"/>
  <c r="P258" i="121" s="1"/>
  <c r="P261" i="121" s="1"/>
  <c r="P263" i="121" s="1"/>
  <c r="AD22" i="101"/>
  <c r="AF22" i="101" s="1"/>
  <c r="L33" i="101"/>
  <c r="AA49" i="101"/>
  <c r="AF49" i="101" s="1"/>
  <c r="AD9" i="101"/>
  <c r="AA9" i="101"/>
  <c r="AF9" i="101" s="1"/>
  <c r="W16" i="101"/>
  <c r="AA171" i="101"/>
  <c r="AF171" i="101" s="1"/>
  <c r="K249" i="79"/>
  <c r="AD249" i="101"/>
  <c r="G9" i="79"/>
  <c r="AA9" i="79" s="1"/>
  <c r="W17" i="79"/>
  <c r="W16" i="79" s="1"/>
  <c r="H259" i="79"/>
  <c r="AE259" i="79" s="1"/>
  <c r="AE9" i="101"/>
  <c r="K16" i="101"/>
  <c r="AB19" i="101"/>
  <c r="AD37" i="101"/>
  <c r="AA37" i="101"/>
  <c r="AF37" i="101" s="1"/>
  <c r="V53" i="101"/>
  <c r="AD61" i="101"/>
  <c r="AE88" i="101"/>
  <c r="AA101" i="101"/>
  <c r="F126" i="101"/>
  <c r="AE135" i="101"/>
  <c r="AG135" i="101" s="1"/>
  <c r="AA140" i="101"/>
  <c r="AF140" i="101" s="1"/>
  <c r="AB145" i="101"/>
  <c r="AD148" i="101"/>
  <c r="E148" i="79"/>
  <c r="AD148" i="79" s="1"/>
  <c r="AA148" i="101"/>
  <c r="AF148" i="101" s="1"/>
  <c r="AE156" i="101"/>
  <c r="F156" i="79"/>
  <c r="AA194" i="101"/>
  <c r="AD194" i="101"/>
  <c r="C194" i="79"/>
  <c r="AD194" i="79" s="1"/>
  <c r="AA195" i="101"/>
  <c r="AB213" i="101"/>
  <c r="AG213" i="101" s="1"/>
  <c r="D213" i="79"/>
  <c r="T213" i="79"/>
  <c r="T212" i="79" s="1"/>
  <c r="T212" i="101"/>
  <c r="H220" i="79"/>
  <c r="AB220" i="79" s="1"/>
  <c r="AE220" i="101"/>
  <c r="AB236" i="101"/>
  <c r="AE243" i="101"/>
  <c r="AB243" i="101"/>
  <c r="AD252" i="101"/>
  <c r="AE257" i="101"/>
  <c r="D257" i="79"/>
  <c r="AB257" i="79" s="1"/>
  <c r="AB257" i="101"/>
  <c r="I258" i="121"/>
  <c r="I261" i="121" s="1"/>
  <c r="I263" i="121" s="1"/>
  <c r="AF59" i="121"/>
  <c r="H102" i="121"/>
  <c r="AE106" i="121"/>
  <c r="AG106" i="121" s="1"/>
  <c r="AF117" i="121"/>
  <c r="AG225" i="121"/>
  <c r="AF232" i="121"/>
  <c r="AF249" i="121"/>
  <c r="AD11" i="101"/>
  <c r="AA11" i="101"/>
  <c r="AA14" i="101"/>
  <c r="J30" i="101"/>
  <c r="Z30" i="101"/>
  <c r="X33" i="101"/>
  <c r="X29" i="101" s="1"/>
  <c r="AD36" i="101"/>
  <c r="AA36" i="101"/>
  <c r="AD48" i="101"/>
  <c r="AD57" i="101"/>
  <c r="AA57" i="101"/>
  <c r="AD83" i="101"/>
  <c r="AB86" i="101"/>
  <c r="AE86" i="101"/>
  <c r="AG86" i="101" s="1"/>
  <c r="AA104" i="101"/>
  <c r="AF104" i="101" s="1"/>
  <c r="AD131" i="101"/>
  <c r="AF131" i="101" s="1"/>
  <c r="AE134" i="101"/>
  <c r="AB134" i="101"/>
  <c r="AG134" i="101" s="1"/>
  <c r="AD141" i="101"/>
  <c r="AF141" i="101" s="1"/>
  <c r="C141" i="79"/>
  <c r="C138" i="79" s="1"/>
  <c r="AA147" i="101"/>
  <c r="AF147" i="101" s="1"/>
  <c r="AA150" i="101"/>
  <c r="C150" i="79"/>
  <c r="AA150" i="79" s="1"/>
  <c r="AB153" i="101"/>
  <c r="AE182" i="101"/>
  <c r="AB182" i="101"/>
  <c r="AG182" i="101" s="1"/>
  <c r="AA187" i="101"/>
  <c r="AA192" i="101"/>
  <c r="AE224" i="101"/>
  <c r="F224" i="79"/>
  <c r="AB224" i="101"/>
  <c r="J29" i="121"/>
  <c r="AB126" i="121"/>
  <c r="AG126" i="121" s="1"/>
  <c r="AF137" i="121"/>
  <c r="AB11" i="101"/>
  <c r="AE11" i="101"/>
  <c r="AB14" i="101"/>
  <c r="AB36" i="101"/>
  <c r="AE39" i="101"/>
  <c r="AB39" i="101"/>
  <c r="AB48" i="101"/>
  <c r="AE48" i="101"/>
  <c r="AA54" i="101"/>
  <c r="AE83" i="101"/>
  <c r="P115" i="101"/>
  <c r="AD119" i="101"/>
  <c r="AA119" i="101"/>
  <c r="AB122" i="101"/>
  <c r="AE131" i="101"/>
  <c r="AE141" i="101"/>
  <c r="D141" i="79"/>
  <c r="AE141" i="79" s="1"/>
  <c r="T141" i="79"/>
  <c r="T138" i="79" s="1"/>
  <c r="T138" i="101"/>
  <c r="AB147" i="101"/>
  <c r="AG147" i="101" s="1"/>
  <c r="AE169" i="101"/>
  <c r="AB187" i="101"/>
  <c r="AG187" i="101" s="1"/>
  <c r="AD206" i="101"/>
  <c r="AA219" i="101"/>
  <c r="C219" i="79"/>
  <c r="AE242" i="101"/>
  <c r="AB242" i="101"/>
  <c r="AG242" i="101" s="1"/>
  <c r="AG31" i="121"/>
  <c r="AF79" i="121"/>
  <c r="X102" i="121"/>
  <c r="AG137" i="121"/>
  <c r="J33" i="101"/>
  <c r="Z33" i="101"/>
  <c r="AD41" i="101"/>
  <c r="AE54" i="101"/>
  <c r="D53" i="101"/>
  <c r="AB54" i="101"/>
  <c r="T53" i="101"/>
  <c r="G65" i="101"/>
  <c r="AD74" i="101"/>
  <c r="AF115" i="101"/>
  <c r="AD122" i="101"/>
  <c r="AA122" i="101"/>
  <c r="AF122" i="101" s="1"/>
  <c r="AA124" i="101"/>
  <c r="AD124" i="101"/>
  <c r="AF124" i="101" s="1"/>
  <c r="AA128" i="101"/>
  <c r="AF128" i="101" s="1"/>
  <c r="AE139" i="101"/>
  <c r="AG139" i="101" s="1"/>
  <c r="AB144" i="101"/>
  <c r="AE144" i="101"/>
  <c r="AE155" i="101"/>
  <c r="AB155" i="101"/>
  <c r="AG155" i="101" s="1"/>
  <c r="AA172" i="101"/>
  <c r="AD172" i="101"/>
  <c r="N197" i="79"/>
  <c r="AE197" i="101"/>
  <c r="AE206" i="101"/>
  <c r="D206" i="79"/>
  <c r="AD211" i="101"/>
  <c r="AE219" i="101"/>
  <c r="AB219" i="101"/>
  <c r="D219" i="79"/>
  <c r="AB235" i="101"/>
  <c r="L26" i="121"/>
  <c r="L27" i="121" s="1"/>
  <c r="L267" i="121"/>
  <c r="L28" i="121"/>
  <c r="L28" i="101" s="1"/>
  <c r="Z102" i="121"/>
  <c r="Z258" i="121" s="1"/>
  <c r="Z261" i="121" s="1"/>
  <c r="Z263" i="121" s="1"/>
  <c r="AB115" i="121"/>
  <c r="AG115" i="121" s="1"/>
  <c r="AE115" i="121"/>
  <c r="AF134" i="121"/>
  <c r="F176" i="121"/>
  <c r="AE180" i="121"/>
  <c r="K30" i="101"/>
  <c r="AE35" i="101"/>
  <c r="AG35" i="101" s="1"/>
  <c r="AD52" i="101"/>
  <c r="AB66" i="101"/>
  <c r="D65" i="101"/>
  <c r="AE66" i="101"/>
  <c r="T65" i="101"/>
  <c r="AA69" i="101"/>
  <c r="AF69" i="101" s="1"/>
  <c r="AB124" i="101"/>
  <c r="AE124" i="101"/>
  <c r="AA146" i="101"/>
  <c r="AF146" i="101" s="1"/>
  <c r="R180" i="101"/>
  <c r="R176" i="101" s="1"/>
  <c r="AB184" i="101"/>
  <c r="AA226" i="101"/>
  <c r="AE241" i="101"/>
  <c r="AG241" i="101" s="1"/>
  <c r="D241" i="79"/>
  <c r="AB256" i="101"/>
  <c r="AE53" i="121"/>
  <c r="R102" i="121"/>
  <c r="AB200" i="121"/>
  <c r="AE200" i="121"/>
  <c r="M177" i="79"/>
  <c r="AB52" i="101"/>
  <c r="AG52" i="101" s="1"/>
  <c r="AE52" i="101"/>
  <c r="E65" i="101"/>
  <c r="U65" i="101"/>
  <c r="U29" i="101" s="1"/>
  <c r="AA78" i="101"/>
  <c r="AF78" i="101" s="1"/>
  <c r="AD81" i="101"/>
  <c r="AF81" i="101" s="1"/>
  <c r="AA87" i="101"/>
  <c r="AA90" i="101"/>
  <c r="AF90" i="101" s="1"/>
  <c r="AA137" i="101"/>
  <c r="AA170" i="101"/>
  <c r="AD170" i="101"/>
  <c r="AD181" i="101"/>
  <c r="AA181" i="101"/>
  <c r="AF181" i="101" s="1"/>
  <c r="AE191" i="101"/>
  <c r="T189" i="101"/>
  <c r="AD198" i="101"/>
  <c r="AA198" i="101"/>
  <c r="AF198" i="101" s="1"/>
  <c r="AE202" i="101"/>
  <c r="AG202" i="101" s="1"/>
  <c r="AE203" i="101"/>
  <c r="AB203" i="101"/>
  <c r="AD218" i="101"/>
  <c r="C218" i="79"/>
  <c r="AD218" i="79" s="1"/>
  <c r="AA218" i="101"/>
  <c r="AF41" i="121"/>
  <c r="AD53" i="121"/>
  <c r="AF53" i="121" s="1"/>
  <c r="AG101" i="121"/>
  <c r="AF129" i="121"/>
  <c r="AG171" i="121"/>
  <c r="T16" i="101"/>
  <c r="AE45" i="101"/>
  <c r="AB78" i="101"/>
  <c r="AG78" i="101" s="1"/>
  <c r="AB87" i="101"/>
  <c r="AG87" i="101" s="1"/>
  <c r="AB90" i="101"/>
  <c r="AG90" i="101" s="1"/>
  <c r="X106" i="101"/>
  <c r="X102" i="101" s="1"/>
  <c r="AD109" i="101"/>
  <c r="L115" i="101"/>
  <c r="L102" i="101" s="1"/>
  <c r="AB137" i="101"/>
  <c r="AG137" i="101" s="1"/>
  <c r="AB140" i="101"/>
  <c r="AG140" i="101" s="1"/>
  <c r="AA157" i="101"/>
  <c r="AD157" i="101"/>
  <c r="AB170" i="101"/>
  <c r="AE170" i="101"/>
  <c r="AD175" i="101"/>
  <c r="AF175" i="101" s="1"/>
  <c r="AA175" i="101"/>
  <c r="AA179" i="101"/>
  <c r="AE181" i="101"/>
  <c r="AB181" i="101"/>
  <c r="AG181" i="101" s="1"/>
  <c r="AA191" i="101"/>
  <c r="AF191" i="101" s="1"/>
  <c r="AE198" i="101"/>
  <c r="AB198" i="101"/>
  <c r="AE216" i="101"/>
  <c r="AB216" i="101"/>
  <c r="AB218" i="101"/>
  <c r="AE218" i="101"/>
  <c r="AE248" i="101"/>
  <c r="D248" i="79"/>
  <c r="AE249" i="101"/>
  <c r="E29" i="121"/>
  <c r="AG41" i="121"/>
  <c r="V102" i="121"/>
  <c r="AG129" i="121"/>
  <c r="AF150" i="121"/>
  <c r="AG257" i="121"/>
  <c r="AB41" i="101"/>
  <c r="AB63" i="101"/>
  <c r="AA86" i="101"/>
  <c r="AF86" i="101" s="1"/>
  <c r="AE109" i="101"/>
  <c r="AA136" i="101"/>
  <c r="AF136" i="101" s="1"/>
  <c r="AB166" i="101"/>
  <c r="AE166" i="101"/>
  <c r="AB169" i="101"/>
  <c r="AE192" i="101"/>
  <c r="N200" i="101"/>
  <c r="AD207" i="101"/>
  <c r="AA207" i="101"/>
  <c r="AA210" i="101"/>
  <c r="AA215" i="101"/>
  <c r="AB237" i="101"/>
  <c r="AE237" i="101"/>
  <c r="N29" i="121"/>
  <c r="N258" i="121" s="1"/>
  <c r="N261" i="121" s="1"/>
  <c r="N263" i="121" s="1"/>
  <c r="AE105" i="101"/>
  <c r="AE129" i="101"/>
  <c r="H138" i="101"/>
  <c r="AD162" i="101"/>
  <c r="AA162" i="101"/>
  <c r="AF162" i="101" s="1"/>
  <c r="AD192" i="101"/>
  <c r="AB207" i="101"/>
  <c r="AE207" i="101"/>
  <c r="AE231" i="101"/>
  <c r="AA234" i="101"/>
  <c r="AD234" i="101"/>
  <c r="C234" i="79"/>
  <c r="X267" i="121"/>
  <c r="AA30" i="121"/>
  <c r="AF30" i="121" s="1"/>
  <c r="AB189" i="121"/>
  <c r="AG189" i="121" s="1"/>
  <c r="L16" i="101"/>
  <c r="AA19" i="101"/>
  <c r="AF19" i="101" s="1"/>
  <c r="I33" i="101"/>
  <c r="Y33" i="101"/>
  <c r="AB37" i="101"/>
  <c r="AG37" i="101" s="1"/>
  <c r="AB59" i="101"/>
  <c r="AA82" i="101"/>
  <c r="AF82" i="101" s="1"/>
  <c r="P103" i="101"/>
  <c r="AE122" i="101"/>
  <c r="AA132" i="101"/>
  <c r="AE162" i="101"/>
  <c r="AB162" i="101"/>
  <c r="AB172" i="101"/>
  <c r="AE172" i="101"/>
  <c r="X180" i="101"/>
  <c r="AA197" i="101"/>
  <c r="AD197" i="101"/>
  <c r="P200" i="101"/>
  <c r="L212" i="101"/>
  <c r="AE234" i="101"/>
  <c r="AG234" i="101" s="1"/>
  <c r="AD239" i="101"/>
  <c r="AF239" i="101" s="1"/>
  <c r="AD245" i="101"/>
  <c r="AF245" i="101" s="1"/>
  <c r="AD250" i="101"/>
  <c r="AA250" i="101"/>
  <c r="C250" i="79"/>
  <c r="AF17" i="121"/>
  <c r="G26" i="121"/>
  <c r="G27" i="121" s="1"/>
  <c r="AE30" i="121"/>
  <c r="AB30" i="121"/>
  <c r="AG30" i="121" s="1"/>
  <c r="T29" i="121"/>
  <c r="T258" i="121" s="1"/>
  <c r="T261" i="121" s="1"/>
  <c r="T263" i="121" s="1"/>
  <c r="AG52" i="121"/>
  <c r="AG57" i="121"/>
  <c r="AF132" i="121"/>
  <c r="AG146" i="121"/>
  <c r="AF162" i="121"/>
  <c r="AF172" i="121"/>
  <c r="AF183" i="121"/>
  <c r="AF201" i="121"/>
  <c r="AF255" i="121"/>
  <c r="AD55" i="101"/>
  <c r="AB82" i="101"/>
  <c r="AG82" i="101" s="1"/>
  <c r="AF103" i="101"/>
  <c r="AB132" i="101"/>
  <c r="AB136" i="101"/>
  <c r="F138" i="101"/>
  <c r="AE152" i="101"/>
  <c r="AD158" i="101"/>
  <c r="AA158" i="101"/>
  <c r="AB197" i="101"/>
  <c r="AG197" i="101" s="1"/>
  <c r="AF200" i="101"/>
  <c r="AD204" i="101"/>
  <c r="AA204" i="101"/>
  <c r="AF204" i="101" s="1"/>
  <c r="AD217" i="101"/>
  <c r="AF217" i="101" s="1"/>
  <c r="AE239" i="101"/>
  <c r="AB239" i="101"/>
  <c r="AG239" i="101" s="1"/>
  <c r="AE245" i="101"/>
  <c r="AB250" i="101"/>
  <c r="AG17" i="121"/>
  <c r="U29" i="121"/>
  <c r="AG162" i="121"/>
  <c r="AG255" i="121"/>
  <c r="AD134" i="101"/>
  <c r="AA142" i="101"/>
  <c r="AF142" i="101" s="1"/>
  <c r="N180" i="101"/>
  <c r="AD214" i="101"/>
  <c r="AB220" i="101"/>
  <c r="G29" i="121"/>
  <c r="G258" i="121" s="1"/>
  <c r="G261" i="121" s="1"/>
  <c r="G263" i="121" s="1"/>
  <c r="W29" i="121"/>
  <c r="W258" i="121" s="1"/>
  <c r="W261" i="121" s="1"/>
  <c r="W263" i="121" s="1"/>
  <c r="AF56" i="121"/>
  <c r="AE65" i="121"/>
  <c r="AG65" i="121" s="1"/>
  <c r="AE103" i="121"/>
  <c r="AG103" i="121" s="1"/>
  <c r="AF139" i="121"/>
  <c r="AG207" i="121"/>
  <c r="AG210" i="121"/>
  <c r="AG236" i="121"/>
  <c r="AF239" i="121"/>
  <c r="AD130" i="101"/>
  <c r="X138" i="101"/>
  <c r="AA153" i="101"/>
  <c r="AF153" i="101" s="1"/>
  <c r="AE178" i="101"/>
  <c r="V177" i="101"/>
  <c r="V176" i="101" s="1"/>
  <c r="AA208" i="101"/>
  <c r="AB214" i="101"/>
  <c r="AE214" i="101"/>
  <c r="AD220" i="101"/>
  <c r="AA220" i="101"/>
  <c r="AF220" i="101" s="1"/>
  <c r="AA243" i="101"/>
  <c r="AF243" i="101" s="1"/>
  <c r="AE255" i="101"/>
  <c r="AB255" i="101"/>
  <c r="AF20" i="121"/>
  <c r="H29" i="121"/>
  <c r="X29" i="121"/>
  <c r="X258" i="121" s="1"/>
  <c r="X261" i="121" s="1"/>
  <c r="X263" i="121" s="1"/>
  <c r="AG56" i="121"/>
  <c r="AF126" i="101"/>
  <c r="AE183" i="101"/>
  <c r="AD222" i="101"/>
  <c r="AA222" i="101"/>
  <c r="AF222" i="101" s="1"/>
  <c r="AB226" i="101"/>
  <c r="AG226" i="101" s="1"/>
  <c r="AG10" i="121"/>
  <c r="AF13" i="121"/>
  <c r="AF21" i="121"/>
  <c r="AF74" i="121"/>
  <c r="AG120" i="121"/>
  <c r="AF256" i="121"/>
  <c r="AA174" i="101"/>
  <c r="AD179" i="101"/>
  <c r="AB186" i="101"/>
  <c r="AG186" i="101" s="1"/>
  <c r="AE190" i="101"/>
  <c r="AD215" i="101"/>
  <c r="AB222" i="101"/>
  <c r="AG222" i="101" s="1"/>
  <c r="AA6" i="121"/>
  <c r="C26" i="121"/>
  <c r="K29" i="121"/>
  <c r="AF45" i="121"/>
  <c r="AG74" i="121"/>
  <c r="AF192" i="121"/>
  <c r="AF202" i="121"/>
  <c r="AF247" i="121"/>
  <c r="AB174" i="101"/>
  <c r="AG174" i="101" s="1"/>
  <c r="AA193" i="101"/>
  <c r="AD202" i="101"/>
  <c r="J212" i="101"/>
  <c r="AB215" i="101"/>
  <c r="AG215" i="101" s="1"/>
  <c r="AD248" i="101"/>
  <c r="AF248" i="101" s="1"/>
  <c r="AD255" i="101"/>
  <c r="AA255" i="101"/>
  <c r="AG18" i="121"/>
  <c r="AG45" i="121"/>
  <c r="AF146" i="121"/>
  <c r="AF164" i="121"/>
  <c r="AG192" i="121"/>
  <c r="AG202" i="121"/>
  <c r="AF215" i="121"/>
  <c r="AG247" i="121"/>
  <c r="D267" i="121"/>
  <c r="AD210" i="101"/>
  <c r="AG69" i="121"/>
  <c r="AG114" i="121"/>
  <c r="AF170" i="121"/>
  <c r="AF223" i="121"/>
  <c r="Z189" i="101"/>
  <c r="L200" i="101"/>
  <c r="AE210" i="101"/>
  <c r="AG210" i="101" s="1"/>
  <c r="AE235" i="101"/>
  <c r="AA242" i="101"/>
  <c r="AF57" i="121"/>
  <c r="AG170" i="121"/>
  <c r="H176" i="121"/>
  <c r="AG223" i="121"/>
  <c r="AG121" i="101"/>
  <c r="AG250" i="101"/>
  <c r="AF116" i="101"/>
  <c r="AG143" i="101"/>
  <c r="AF170" i="101"/>
  <c r="Y7" i="106"/>
  <c r="F29" i="101"/>
  <c r="AF46" i="101"/>
  <c r="AG221" i="101"/>
  <c r="AG38" i="101"/>
  <c r="AD160" i="79"/>
  <c r="R177" i="79"/>
  <c r="O180" i="79"/>
  <c r="G212" i="79"/>
  <c r="W212" i="79"/>
  <c r="L126" i="79"/>
  <c r="AF99" i="101"/>
  <c r="AF106" i="101"/>
  <c r="AF169" i="101"/>
  <c r="AG199" i="101"/>
  <c r="AF7" i="101"/>
  <c r="E29" i="101"/>
  <c r="AF187" i="101"/>
  <c r="S177" i="79"/>
  <c r="S200" i="79"/>
  <c r="AF259" i="101"/>
  <c r="AG48" i="101"/>
  <c r="AF52" i="101"/>
  <c r="AF119" i="101"/>
  <c r="AF137" i="101"/>
  <c r="AG150" i="101"/>
  <c r="AF179" i="101"/>
  <c r="AF212" i="101"/>
  <c r="AF240" i="101"/>
  <c r="N30" i="79"/>
  <c r="E177" i="79"/>
  <c r="U177" i="79"/>
  <c r="P267" i="101"/>
  <c r="AF25" i="101"/>
  <c r="AF39" i="101"/>
  <c r="AB42" i="101"/>
  <c r="AG64" i="101"/>
  <c r="AF76" i="101"/>
  <c r="AF150" i="101"/>
  <c r="AF154" i="101"/>
  <c r="AG184" i="101"/>
  <c r="AF193" i="101"/>
  <c r="AF211" i="101"/>
  <c r="AF234" i="101"/>
  <c r="K29" i="101"/>
  <c r="AA13" i="79"/>
  <c r="AF73" i="101"/>
  <c r="AF177" i="101"/>
  <c r="AF201" i="101"/>
  <c r="AF242" i="101"/>
  <c r="AE241" i="79"/>
  <c r="AD195" i="79"/>
  <c r="L212" i="79"/>
  <c r="G7" i="106"/>
  <c r="V267" i="101"/>
  <c r="V26" i="101"/>
  <c r="V27" i="101" s="1"/>
  <c r="N180" i="79"/>
  <c r="M212" i="79"/>
  <c r="AF255" i="101"/>
  <c r="AE100" i="79"/>
  <c r="AB105" i="79"/>
  <c r="R33" i="79"/>
  <c r="T103" i="79"/>
  <c r="Y29" i="101"/>
  <c r="AE139" i="79"/>
  <c r="S33" i="79"/>
  <c r="U103" i="79"/>
  <c r="AB96" i="79"/>
  <c r="Y33" i="79"/>
  <c r="Q138" i="79"/>
  <c r="AF209" i="101"/>
  <c r="AG251" i="101"/>
  <c r="T65" i="79"/>
  <c r="AG49" i="101"/>
  <c r="AF56" i="101"/>
  <c r="V102" i="101"/>
  <c r="N65" i="79"/>
  <c r="AA30" i="100"/>
  <c r="P258" i="100"/>
  <c r="P261" i="100" s="1"/>
  <c r="AF115" i="100"/>
  <c r="AG52" i="100"/>
  <c r="AF201" i="100"/>
  <c r="M29" i="100"/>
  <c r="R26" i="100"/>
  <c r="R27" i="100" s="1"/>
  <c r="R28" i="100"/>
  <c r="R258" i="100" s="1"/>
  <c r="R261" i="100" s="1"/>
  <c r="R267" i="100"/>
  <c r="AA33" i="100"/>
  <c r="AF33" i="100" s="1"/>
  <c r="AG111" i="100"/>
  <c r="AB200" i="100"/>
  <c r="AE200" i="100"/>
  <c r="F176" i="100"/>
  <c r="L29" i="100"/>
  <c r="L258" i="100" s="1"/>
  <c r="L261" i="100" s="1"/>
  <c r="AE30" i="100"/>
  <c r="AG30" i="100" s="1"/>
  <c r="AD30" i="100"/>
  <c r="C26" i="100"/>
  <c r="B6" i="106"/>
  <c r="AA6" i="100"/>
  <c r="AD6" i="100"/>
  <c r="S26" i="100"/>
  <c r="S27" i="100" s="1"/>
  <c r="S258" i="100"/>
  <c r="S261" i="100" s="1"/>
  <c r="S263" i="100" s="1"/>
  <c r="Z6" i="106"/>
  <c r="C28" i="100"/>
  <c r="C258" i="100" s="1"/>
  <c r="AG49" i="100"/>
  <c r="H176" i="100"/>
  <c r="AE180" i="100"/>
  <c r="AB180" i="100"/>
  <c r="AG180" i="100" s="1"/>
  <c r="K9" i="106"/>
  <c r="AB6" i="106"/>
  <c r="T28" i="100"/>
  <c r="T258" i="100" s="1"/>
  <c r="T261" i="100" s="1"/>
  <c r="T267" i="100"/>
  <c r="AC6" i="106"/>
  <c r="M200" i="79"/>
  <c r="AD42" i="100"/>
  <c r="AA42" i="100"/>
  <c r="AA153" i="79"/>
  <c r="O138" i="79"/>
  <c r="AE83" i="79"/>
  <c r="S106" i="79"/>
  <c r="AE76" i="79"/>
  <c r="T106" i="79"/>
  <c r="AG13" i="100"/>
  <c r="U26" i="100"/>
  <c r="U27" i="100" s="1"/>
  <c r="AA53" i="100"/>
  <c r="AF53" i="100" s="1"/>
  <c r="AF63" i="100"/>
  <c r="R102" i="100"/>
  <c r="AB102" i="100" s="1"/>
  <c r="AF151" i="100"/>
  <c r="Z176" i="100"/>
  <c r="Z258" i="100"/>
  <c r="Z261" i="100" s="1"/>
  <c r="AB6" i="100"/>
  <c r="D6" i="106"/>
  <c r="Q29" i="100"/>
  <c r="Q258" i="100" s="1"/>
  <c r="Q261" i="100" s="1"/>
  <c r="Q263" i="100" s="1"/>
  <c r="E6" i="106"/>
  <c r="O29" i="100"/>
  <c r="O258" i="100" s="1"/>
  <c r="O261" i="100" s="1"/>
  <c r="O263" i="100" s="1"/>
  <c r="AA65" i="100"/>
  <c r="AD65" i="100"/>
  <c r="AB65" i="100"/>
  <c r="AE65" i="100"/>
  <c r="O115" i="79"/>
  <c r="AB209" i="79"/>
  <c r="H102" i="100"/>
  <c r="AB103" i="100"/>
  <c r="AG103" i="100" s="1"/>
  <c r="O200" i="79"/>
  <c r="AA16" i="100"/>
  <c r="AD16" i="100"/>
  <c r="D267" i="100"/>
  <c r="X138" i="79"/>
  <c r="AB153" i="79"/>
  <c r="AB16" i="100"/>
  <c r="AE16" i="100"/>
  <c r="O33" i="79"/>
  <c r="AA86" i="79"/>
  <c r="Q33" i="79"/>
  <c r="M26" i="100"/>
  <c r="M27" i="100" s="1"/>
  <c r="M28" i="100"/>
  <c r="AG25" i="100"/>
  <c r="J29" i="100"/>
  <c r="AF60" i="100"/>
  <c r="AG98" i="100"/>
  <c r="T102" i="100"/>
  <c r="AF118" i="100"/>
  <c r="L176" i="100"/>
  <c r="N29" i="100"/>
  <c r="AE106" i="100"/>
  <c r="AB106" i="100"/>
  <c r="AG106" i="100" s="1"/>
  <c r="J176" i="100"/>
  <c r="K200" i="79"/>
  <c r="AA100" i="79"/>
  <c r="AE198" i="79"/>
  <c r="AE42" i="100"/>
  <c r="AB42" i="100"/>
  <c r="AG42" i="100" s="1"/>
  <c r="AE38" i="79"/>
  <c r="K258" i="100"/>
  <c r="K261" i="100" s="1"/>
  <c r="K263" i="100" s="1"/>
  <c r="T26" i="100"/>
  <c r="T27" i="100" s="1"/>
  <c r="AB189" i="100"/>
  <c r="AE189" i="100"/>
  <c r="N267" i="100"/>
  <c r="N26" i="100"/>
  <c r="N28" i="100"/>
  <c r="N258" i="100" s="1"/>
  <c r="N261" i="100" s="1"/>
  <c r="G29" i="100"/>
  <c r="AD53" i="100"/>
  <c r="AG57" i="100"/>
  <c r="AG60" i="100"/>
  <c r="V102" i="100"/>
  <c r="AF148" i="100"/>
  <c r="AF236" i="100"/>
  <c r="G28" i="100"/>
  <c r="W258" i="100"/>
  <c r="W261" i="100" s="1"/>
  <c r="W263" i="100" s="1"/>
  <c r="X267" i="100"/>
  <c r="H258" i="100"/>
  <c r="H261" i="100" s="1"/>
  <c r="J6" i="106"/>
  <c r="J9" i="106" s="1"/>
  <c r="AH6" i="106"/>
  <c r="E138" i="79"/>
  <c r="K6" i="106"/>
  <c r="I28" i="100"/>
  <c r="I28" i="79" s="1"/>
  <c r="AE25" i="79"/>
  <c r="F28" i="100"/>
  <c r="N138" i="79"/>
  <c r="AE20" i="79"/>
  <c r="Z53" i="79"/>
  <c r="G6" i="106"/>
  <c r="I258" i="100"/>
  <c r="I261" i="100" s="1"/>
  <c r="I263" i="100" s="1"/>
  <c r="V30" i="79"/>
  <c r="AB38" i="79"/>
  <c r="E65" i="79"/>
  <c r="H6" i="106"/>
  <c r="X126" i="79"/>
  <c r="J267" i="100"/>
  <c r="J28" i="100"/>
  <c r="U29" i="100"/>
  <c r="U258" i="100" s="1"/>
  <c r="U261" i="100" s="1"/>
  <c r="U263" i="100" s="1"/>
  <c r="AE33" i="100"/>
  <c r="AG33" i="100" s="1"/>
  <c r="AE126" i="100"/>
  <c r="AB126" i="100"/>
  <c r="AG126" i="100" s="1"/>
  <c r="AB132" i="79"/>
  <c r="AA255" i="79"/>
  <c r="M6" i="106"/>
  <c r="Z126" i="79"/>
  <c r="AF15" i="100"/>
  <c r="V29" i="100"/>
  <c r="AF35" i="100"/>
  <c r="AG80" i="100"/>
  <c r="AF102" i="100"/>
  <c r="AG123" i="100"/>
  <c r="AF262" i="100"/>
  <c r="AE55" i="79"/>
  <c r="V258" i="100"/>
  <c r="V261" i="100" s="1"/>
  <c r="AE212" i="100"/>
  <c r="AG212" i="100" s="1"/>
  <c r="V267" i="100"/>
  <c r="C29" i="100"/>
  <c r="J53" i="79"/>
  <c r="X180" i="79"/>
  <c r="AI6" i="106"/>
  <c r="Y258" i="100"/>
  <c r="Y261" i="100" s="1"/>
  <c r="Y263" i="100" s="1"/>
  <c r="D29" i="100"/>
  <c r="D258" i="100" s="1"/>
  <c r="AA130" i="79"/>
  <c r="P103" i="79"/>
  <c r="X28" i="100"/>
  <c r="X258" i="100" s="1"/>
  <c r="X261" i="100" s="1"/>
  <c r="AG72" i="100"/>
  <c r="AF177" i="100"/>
  <c r="AG220" i="100"/>
  <c r="AF223" i="100"/>
  <c r="AG259" i="100"/>
  <c r="AE46" i="79"/>
  <c r="X53" i="79"/>
  <c r="O53" i="79"/>
  <c r="AA78" i="79"/>
  <c r="AD107" i="79"/>
  <c r="W106" i="79"/>
  <c r="AE188" i="79"/>
  <c r="AG38" i="100"/>
  <c r="AF41" i="100"/>
  <c r="AG215" i="100"/>
  <c r="AF218" i="100"/>
  <c r="K42" i="79"/>
  <c r="R65" i="79"/>
  <c r="AB107" i="79"/>
  <c r="X106" i="79"/>
  <c r="M138" i="79"/>
  <c r="AF96" i="100"/>
  <c r="AF132" i="100"/>
  <c r="AG255" i="100"/>
  <c r="Y103" i="79"/>
  <c r="AD75" i="79"/>
  <c r="C103" i="79"/>
  <c r="S103" i="79"/>
  <c r="J103" i="79"/>
  <c r="G115" i="79"/>
  <c r="AB121" i="79"/>
  <c r="AD122" i="79"/>
  <c r="AE125" i="79"/>
  <c r="Q212" i="79"/>
  <c r="AA237" i="79"/>
  <c r="AD249" i="79"/>
  <c r="AF42" i="103"/>
  <c r="AG200" i="103"/>
  <c r="AF14" i="106"/>
  <c r="W266" i="103"/>
  <c r="W265" i="103"/>
  <c r="I265" i="103"/>
  <c r="I266" i="103"/>
  <c r="K14" i="106"/>
  <c r="M266" i="103"/>
  <c r="AB86" i="79"/>
  <c r="AE132" i="79"/>
  <c r="G42" i="79"/>
  <c r="AA175" i="79"/>
  <c r="AB65" i="103"/>
  <c r="AG65" i="103" s="1"/>
  <c r="AE115" i="103"/>
  <c r="Q26" i="103"/>
  <c r="Q27" i="103" s="1"/>
  <c r="Q258" i="103"/>
  <c r="Q261" i="103" s="1"/>
  <c r="Q263" i="103" s="1"/>
  <c r="W5" i="106"/>
  <c r="AE177" i="103"/>
  <c r="AB177" i="103"/>
  <c r="AG177" i="103" s="1"/>
  <c r="AE52" i="79"/>
  <c r="AB145" i="79"/>
  <c r="AB5" i="106"/>
  <c r="T28" i="103"/>
  <c r="P28" i="103"/>
  <c r="AD220" i="79"/>
  <c r="V267" i="103"/>
  <c r="U258" i="103"/>
  <c r="U261" i="103" s="1"/>
  <c r="U263" i="103" s="1"/>
  <c r="AC5" i="106"/>
  <c r="N29" i="103"/>
  <c r="AA225" i="79"/>
  <c r="AB138" i="103"/>
  <c r="AG138" i="103" s="1"/>
  <c r="R29" i="103"/>
  <c r="P180" i="79"/>
  <c r="U26" i="103"/>
  <c r="U27" i="103" s="1"/>
  <c r="D29" i="103"/>
  <c r="AB30" i="103"/>
  <c r="AG30" i="103" s="1"/>
  <c r="AE65" i="103"/>
  <c r="AE11" i="79"/>
  <c r="M6" i="79"/>
  <c r="Q16" i="79"/>
  <c r="AE19" i="79"/>
  <c r="AB24" i="79"/>
  <c r="P53" i="79"/>
  <c r="AD57" i="79"/>
  <c r="K65" i="79"/>
  <c r="U115" i="79"/>
  <c r="AA163" i="79"/>
  <c r="V177" i="79"/>
  <c r="J180" i="79"/>
  <c r="Q180" i="79"/>
  <c r="AB16" i="103"/>
  <c r="AE16" i="103"/>
  <c r="AD53" i="103"/>
  <c r="AA53" i="103"/>
  <c r="AF53" i="103" s="1"/>
  <c r="AF124" i="103"/>
  <c r="AG150" i="103"/>
  <c r="AF235" i="103"/>
  <c r="R267" i="103"/>
  <c r="AB115" i="103"/>
  <c r="AD65" i="103"/>
  <c r="AA65" i="103"/>
  <c r="D5" i="106"/>
  <c r="AE6" i="103"/>
  <c r="AB6" i="103"/>
  <c r="E26" i="103"/>
  <c r="E27" i="103" s="1"/>
  <c r="AE106" i="103"/>
  <c r="AB106" i="103"/>
  <c r="AG106" i="103" s="1"/>
  <c r="J42" i="79"/>
  <c r="AB48" i="79"/>
  <c r="I115" i="79"/>
  <c r="L200" i="79"/>
  <c r="AE249" i="79"/>
  <c r="P29" i="103"/>
  <c r="Q115" i="79"/>
  <c r="AE242" i="79"/>
  <c r="Q29" i="103"/>
  <c r="AA36" i="79"/>
  <c r="AD197" i="79"/>
  <c r="P200" i="79"/>
  <c r="AA33" i="103"/>
  <c r="AF33" i="103" s="1"/>
  <c r="F267" i="103"/>
  <c r="F33" i="79"/>
  <c r="L115" i="79"/>
  <c r="T26" i="103"/>
  <c r="T27" i="103" s="1"/>
  <c r="S29" i="103"/>
  <c r="F102" i="103"/>
  <c r="AE103" i="103"/>
  <c r="AB103" i="103"/>
  <c r="AG103" i="103" s="1"/>
  <c r="AA170" i="79"/>
  <c r="I180" i="79"/>
  <c r="T29" i="103"/>
  <c r="F258" i="103"/>
  <c r="F261" i="103" s="1"/>
  <c r="N6" i="79"/>
  <c r="K16" i="79"/>
  <c r="D53" i="79"/>
  <c r="T53" i="79"/>
  <c r="L65" i="79"/>
  <c r="AE77" i="79"/>
  <c r="AD87" i="79"/>
  <c r="O106" i="79"/>
  <c r="V115" i="79"/>
  <c r="K180" i="79"/>
  <c r="AB182" i="79"/>
  <c r="AE211" i="79"/>
  <c r="AA16" i="103"/>
  <c r="AD16" i="103"/>
  <c r="AB53" i="103"/>
  <c r="AE53" i="103"/>
  <c r="AG124" i="103"/>
  <c r="AG143" i="103"/>
  <c r="AF161" i="103"/>
  <c r="AB212" i="103"/>
  <c r="AG212" i="103" s="1"/>
  <c r="H258" i="103"/>
  <c r="H261" i="103" s="1"/>
  <c r="T267" i="103"/>
  <c r="P26" i="103"/>
  <c r="P27" i="103" s="1"/>
  <c r="V5" i="106"/>
  <c r="P258" i="103"/>
  <c r="P261" i="103" s="1"/>
  <c r="AB147" i="79"/>
  <c r="C258" i="103"/>
  <c r="B5" i="106"/>
  <c r="AA6" i="103"/>
  <c r="AD6" i="103"/>
  <c r="D26" i="103"/>
  <c r="AB126" i="103"/>
  <c r="F126" i="79"/>
  <c r="AE126" i="103"/>
  <c r="I42" i="79"/>
  <c r="AD251" i="79"/>
  <c r="Z29" i="103"/>
  <c r="Z258" i="103" s="1"/>
  <c r="Z261" i="103" s="1"/>
  <c r="O6" i="79"/>
  <c r="U53" i="79"/>
  <c r="Y53" i="79"/>
  <c r="AA62" i="79"/>
  <c r="AA70" i="79"/>
  <c r="AB75" i="79"/>
  <c r="AD169" i="79"/>
  <c r="Y200" i="79"/>
  <c r="AG7" i="103"/>
  <c r="AF10" i="103"/>
  <c r="V258" i="103"/>
  <c r="V261" i="103" s="1"/>
  <c r="D28" i="103"/>
  <c r="D258" i="103" s="1"/>
  <c r="AF50" i="103"/>
  <c r="AF121" i="103"/>
  <c r="AG147" i="103"/>
  <c r="AG205" i="103"/>
  <c r="AF239" i="103"/>
  <c r="AE154" i="79"/>
  <c r="R26" i="103"/>
  <c r="R27" i="103" s="1"/>
  <c r="Y5" i="106"/>
  <c r="R258" i="103"/>
  <c r="R261" i="103" s="1"/>
  <c r="Z5" i="106"/>
  <c r="S258" i="103"/>
  <c r="S261" i="103" s="1"/>
  <c r="S263" i="103" s="1"/>
  <c r="C26" i="103"/>
  <c r="AD241" i="79"/>
  <c r="AE254" i="79"/>
  <c r="O29" i="103"/>
  <c r="O258" i="103" s="1"/>
  <c r="O261" i="103" s="1"/>
  <c r="O263" i="103" s="1"/>
  <c r="Y115" i="79"/>
  <c r="T176" i="103"/>
  <c r="AB42" i="103"/>
  <c r="AG42" i="103" s="1"/>
  <c r="D267" i="103"/>
  <c r="G33" i="79"/>
  <c r="J176" i="103"/>
  <c r="AE176" i="103" s="1"/>
  <c r="K212" i="79"/>
  <c r="AA30" i="103"/>
  <c r="AF30" i="103" s="1"/>
  <c r="AE62" i="79"/>
  <c r="J65" i="79"/>
  <c r="Q65" i="79"/>
  <c r="Y180" i="79"/>
  <c r="AA11" i="79"/>
  <c r="M33" i="79"/>
  <c r="AB55" i="79"/>
  <c r="AA56" i="79"/>
  <c r="AD61" i="79"/>
  <c r="P138" i="79"/>
  <c r="Y189" i="79"/>
  <c r="T5" i="106"/>
  <c r="AF23" i="103"/>
  <c r="E28" i="103"/>
  <c r="E258" i="103" s="1"/>
  <c r="E261" i="103" s="1"/>
  <c r="E263" i="103" s="1"/>
  <c r="AD42" i="103"/>
  <c r="AG50" i="103"/>
  <c r="AG121" i="103"/>
  <c r="AD14" i="79"/>
  <c r="AA94" i="79"/>
  <c r="E29" i="103"/>
  <c r="AA29" i="103" s="1"/>
  <c r="U29" i="103"/>
  <c r="F29" i="103"/>
  <c r="X30" i="79"/>
  <c r="AE90" i="79"/>
  <c r="N115" i="79"/>
  <c r="G103" i="79"/>
  <c r="K106" i="79"/>
  <c r="AA120" i="79"/>
  <c r="AD156" i="79"/>
  <c r="Z189" i="79"/>
  <c r="AE200" i="103"/>
  <c r="N42" i="79"/>
  <c r="AB52" i="79"/>
  <c r="AD131" i="79"/>
  <c r="AB142" i="79"/>
  <c r="AE147" i="79"/>
  <c r="AE156" i="79"/>
  <c r="F180" i="79"/>
  <c r="AD193" i="79"/>
  <c r="AA242" i="79"/>
  <c r="L28" i="103"/>
  <c r="L267" i="103"/>
  <c r="L26" i="103"/>
  <c r="L27" i="103" s="1"/>
  <c r="H29" i="103"/>
  <c r="X29" i="103"/>
  <c r="X258" i="103" s="1"/>
  <c r="X261" i="103" s="1"/>
  <c r="M106" i="79"/>
  <c r="M115" i="79"/>
  <c r="AE161" i="79"/>
  <c r="AE24" i="79"/>
  <c r="H30" i="79"/>
  <c r="U65" i="79"/>
  <c r="AE118" i="79"/>
  <c r="AA131" i="79"/>
  <c r="AA173" i="79"/>
  <c r="V180" i="79"/>
  <c r="AE229" i="79"/>
  <c r="M5" i="106"/>
  <c r="J267" i="103"/>
  <c r="J28" i="103"/>
  <c r="Z267" i="103"/>
  <c r="AK5" i="106"/>
  <c r="G29" i="103"/>
  <c r="G258" i="103" s="1"/>
  <c r="G261" i="103" s="1"/>
  <c r="G263" i="103" s="1"/>
  <c r="W103" i="79"/>
  <c r="AE131" i="79"/>
  <c r="AD164" i="79"/>
  <c r="W180" i="79"/>
  <c r="N5" i="106"/>
  <c r="K28" i="103"/>
  <c r="AB46" i="79"/>
  <c r="F65" i="79"/>
  <c r="V65" i="79"/>
  <c r="I103" i="79"/>
  <c r="AB234" i="79"/>
  <c r="AE234" i="79"/>
  <c r="M26" i="103"/>
  <c r="M27" i="103" s="1"/>
  <c r="Y29" i="103"/>
  <c r="Y258" i="103" s="1"/>
  <c r="Y261" i="103" s="1"/>
  <c r="Y263" i="103" s="1"/>
  <c r="H102" i="103"/>
  <c r="AF107" i="103"/>
  <c r="AG157" i="103"/>
  <c r="AG197" i="103"/>
  <c r="AE114" i="79"/>
  <c r="AE148" i="79"/>
  <c r="AA164" i="79"/>
  <c r="AF164" i="79" s="1"/>
  <c r="AE138" i="103"/>
  <c r="AE14" i="79"/>
  <c r="Z115" i="79"/>
  <c r="AA152" i="79"/>
  <c r="J26" i="103"/>
  <c r="J27" i="103" s="1"/>
  <c r="AB180" i="103"/>
  <c r="AE180" i="103"/>
  <c r="T115" i="79"/>
  <c r="AA142" i="79"/>
  <c r="K26" i="103"/>
  <c r="K27" i="103" s="1"/>
  <c r="W6" i="79"/>
  <c r="R16" i="79"/>
  <c r="E30" i="79"/>
  <c r="U30" i="79"/>
  <c r="W65" i="79"/>
  <c r="AE71" i="79"/>
  <c r="AE88" i="79"/>
  <c r="AA126" i="79"/>
  <c r="X189" i="79"/>
  <c r="F189" i="79"/>
  <c r="V189" i="79"/>
  <c r="AA228" i="79"/>
  <c r="AD234" i="79"/>
  <c r="AE237" i="79"/>
  <c r="AE251" i="79"/>
  <c r="N267" i="103"/>
  <c r="N28" i="103"/>
  <c r="N258" i="103" s="1"/>
  <c r="N261" i="103" s="1"/>
  <c r="AG15" i="103"/>
  <c r="N26" i="103"/>
  <c r="N27" i="103" s="1"/>
  <c r="AB33" i="103"/>
  <c r="AG33" i="103" s="1"/>
  <c r="AF92" i="103"/>
  <c r="J102" i="103"/>
  <c r="AG107" i="103"/>
  <c r="AF214" i="103"/>
  <c r="AG243" i="103"/>
  <c r="AF246" i="103"/>
  <c r="S16" i="79"/>
  <c r="Y42" i="79"/>
  <c r="AA52" i="79"/>
  <c r="L53" i="79"/>
  <c r="AA117" i="79"/>
  <c r="AB168" i="79"/>
  <c r="AE172" i="79"/>
  <c r="O212" i="79"/>
  <c r="AB225" i="79"/>
  <c r="AB246" i="79"/>
  <c r="AG246" i="79" s="1"/>
  <c r="AF113" i="103"/>
  <c r="AG227" i="103"/>
  <c r="AF230" i="103"/>
  <c r="S30" i="79"/>
  <c r="AA41" i="79"/>
  <c r="Q106" i="79"/>
  <c r="AD143" i="79"/>
  <c r="AE165" i="79"/>
  <c r="AD172" i="79"/>
  <c r="AD207" i="79"/>
  <c r="I212" i="79"/>
  <c r="Y212" i="79"/>
  <c r="P212" i="79"/>
  <c r="AD217" i="79"/>
  <c r="AD248" i="79"/>
  <c r="H26" i="103"/>
  <c r="H27" i="103" s="1"/>
  <c r="X267" i="103"/>
  <c r="X26" i="103"/>
  <c r="X27" i="103" s="1"/>
  <c r="AF56" i="103"/>
  <c r="AG104" i="103"/>
  <c r="AG113" i="103"/>
  <c r="AG166" i="103"/>
  <c r="AF169" i="103"/>
  <c r="AF262" i="103"/>
  <c r="L6" i="79"/>
  <c r="T30" i="79"/>
  <c r="T42" i="79"/>
  <c r="AD56" i="79"/>
  <c r="R106" i="79"/>
  <c r="AD114" i="79"/>
  <c r="AA185" i="79"/>
  <c r="AE194" i="79"/>
  <c r="AD211" i="79"/>
  <c r="X212" i="79"/>
  <c r="AE217" i="79"/>
  <c r="AD224" i="79"/>
  <c r="I26" i="103"/>
  <c r="I27" i="103" s="1"/>
  <c r="Y26" i="103"/>
  <c r="Y27" i="103" s="1"/>
  <c r="Z176" i="103"/>
  <c r="AG219" i="103"/>
  <c r="AF222" i="103"/>
  <c r="Y6" i="79"/>
  <c r="P42" i="79"/>
  <c r="AA46" i="79"/>
  <c r="AB63" i="79"/>
  <c r="AB81" i="79"/>
  <c r="U106" i="79"/>
  <c r="M180" i="79"/>
  <c r="W189" i="79"/>
  <c r="AB238" i="79"/>
  <c r="S6" i="79"/>
  <c r="Z6" i="79"/>
  <c r="K30" i="79"/>
  <c r="P65" i="79"/>
  <c r="K103" i="79"/>
  <c r="AB110" i="79"/>
  <c r="V106" i="79"/>
  <c r="AA122" i="79"/>
  <c r="AF122" i="79" s="1"/>
  <c r="AA136" i="79"/>
  <c r="E180" i="79"/>
  <c r="U180" i="79"/>
  <c r="U212" i="79"/>
  <c r="AE113" i="79"/>
  <c r="AB113" i="79"/>
  <c r="AD228" i="79"/>
  <c r="AA149" i="79"/>
  <c r="AD149" i="79"/>
  <c r="AB192" i="79"/>
  <c r="AE192" i="79"/>
  <c r="AE86" i="79"/>
  <c r="X33" i="79"/>
  <c r="AD12" i="79"/>
  <c r="R6" i="79"/>
  <c r="AB20" i="79"/>
  <c r="V42" i="79"/>
  <c r="AE84" i="79"/>
  <c r="AB84" i="79"/>
  <c r="AA85" i="79"/>
  <c r="AD117" i="79"/>
  <c r="AF117" i="79" s="1"/>
  <c r="AE166" i="79"/>
  <c r="AB166" i="79"/>
  <c r="K189" i="79"/>
  <c r="AD13" i="79"/>
  <c r="AD11" i="79"/>
  <c r="AE32" i="79"/>
  <c r="K115" i="79"/>
  <c r="AA116" i="79"/>
  <c r="AB205" i="79"/>
  <c r="AE205" i="79"/>
  <c r="AD259" i="79"/>
  <c r="AA259" i="79"/>
  <c r="AD22" i="79"/>
  <c r="AA22" i="79"/>
  <c r="C16" i="79"/>
  <c r="AD99" i="79"/>
  <c r="AB116" i="79"/>
  <c r="AB131" i="79"/>
  <c r="AE162" i="79"/>
  <c r="AB162" i="79"/>
  <c r="AA193" i="79"/>
  <c r="Q6" i="79"/>
  <c r="AA48" i="79"/>
  <c r="C65" i="79"/>
  <c r="AB11" i="79"/>
  <c r="AE94" i="79"/>
  <c r="AB94" i="79"/>
  <c r="AD116" i="79"/>
  <c r="AE247" i="79"/>
  <c r="AB247" i="79"/>
  <c r="AA248" i="79"/>
  <c r="AD129" i="79"/>
  <c r="AA129" i="79"/>
  <c r="AE227" i="79"/>
  <c r="AB227" i="79"/>
  <c r="AG227" i="79" s="1"/>
  <c r="I33" i="79"/>
  <c r="AD37" i="79"/>
  <c r="AA37" i="79"/>
  <c r="AE36" i="79"/>
  <c r="AB36" i="79"/>
  <c r="AD86" i="79"/>
  <c r="AD50" i="79"/>
  <c r="AA50" i="79"/>
  <c r="AE50" i="79"/>
  <c r="AB50" i="79"/>
  <c r="H6" i="79"/>
  <c r="AE40" i="79"/>
  <c r="AB40" i="79"/>
  <c r="E42" i="79"/>
  <c r="AD130" i="79"/>
  <c r="AF130" i="79" s="1"/>
  <c r="AA182" i="79"/>
  <c r="AD182" i="79"/>
  <c r="AD202" i="79"/>
  <c r="AA202" i="79"/>
  <c r="AD209" i="79"/>
  <c r="AA209" i="79"/>
  <c r="L26" i="82"/>
  <c r="L27" i="82" s="1"/>
  <c r="L258" i="82"/>
  <c r="L261" i="82" s="1"/>
  <c r="AB195" i="79"/>
  <c r="AE195" i="79"/>
  <c r="K53" i="79"/>
  <c r="AD15" i="79"/>
  <c r="AA15" i="79"/>
  <c r="AA192" i="79"/>
  <c r="AD192" i="79"/>
  <c r="P6" i="79"/>
  <c r="AA134" i="79"/>
  <c r="AD134" i="79"/>
  <c r="I6" i="79"/>
  <c r="AD25" i="79"/>
  <c r="AA162" i="79"/>
  <c r="AD162" i="79"/>
  <c r="AD159" i="79"/>
  <c r="AA159" i="79"/>
  <c r="AD226" i="79"/>
  <c r="AA226" i="79"/>
  <c r="N53" i="79"/>
  <c r="Q200" i="79"/>
  <c r="AE223" i="79"/>
  <c r="AB223" i="79"/>
  <c r="AA239" i="79"/>
  <c r="AD239" i="79"/>
  <c r="P189" i="79"/>
  <c r="AA264" i="79"/>
  <c r="AE186" i="79"/>
  <c r="AB186" i="79"/>
  <c r="AG186" i="79" s="1"/>
  <c r="T189" i="79"/>
  <c r="AB213" i="79"/>
  <c r="AB134" i="79"/>
  <c r="AE134" i="79"/>
  <c r="N200" i="79"/>
  <c r="AD68" i="79"/>
  <c r="Z16" i="79"/>
  <c r="AE144" i="79"/>
  <c r="AB144" i="79"/>
  <c r="AB62" i="79"/>
  <c r="N106" i="79"/>
  <c r="AD35" i="79"/>
  <c r="AA35" i="79"/>
  <c r="AD38" i="79"/>
  <c r="AA38" i="79"/>
  <c r="AA67" i="79"/>
  <c r="AD67" i="79"/>
  <c r="AB80" i="79"/>
  <c r="AE80" i="79"/>
  <c r="AB87" i="79"/>
  <c r="AA114" i="79"/>
  <c r="AB171" i="79"/>
  <c r="AE171" i="79"/>
  <c r="AE183" i="79"/>
  <c r="AB183" i="79"/>
  <c r="AA232" i="79"/>
  <c r="AB236" i="79"/>
  <c r="AE236" i="79"/>
  <c r="AF128" i="82"/>
  <c r="E103" i="79"/>
  <c r="AD104" i="79"/>
  <c r="U200" i="79"/>
  <c r="AE129" i="79"/>
  <c r="AB129" i="79"/>
  <c r="M189" i="79"/>
  <c r="AD223" i="79"/>
  <c r="O189" i="79"/>
  <c r="AE215" i="79"/>
  <c r="N212" i="79"/>
  <c r="T16" i="79"/>
  <c r="AB123" i="79"/>
  <c r="AE123" i="79"/>
  <c r="AD113" i="79"/>
  <c r="AA113" i="79"/>
  <c r="AB120" i="79"/>
  <c r="AE120" i="79"/>
  <c r="R189" i="79"/>
  <c r="AA236" i="79"/>
  <c r="AD236" i="79"/>
  <c r="P33" i="79"/>
  <c r="L33" i="79"/>
  <c r="Q42" i="79"/>
  <c r="AB70" i="79"/>
  <c r="AB114" i="79"/>
  <c r="AD204" i="79"/>
  <c r="AD215" i="79"/>
  <c r="AA215" i="79"/>
  <c r="AB232" i="79"/>
  <c r="AA233" i="79"/>
  <c r="AD233" i="79"/>
  <c r="AA249" i="79"/>
  <c r="AA91" i="79"/>
  <c r="AD91" i="79"/>
  <c r="AE226" i="79"/>
  <c r="AB226" i="79"/>
  <c r="AA25" i="79"/>
  <c r="AD47" i="79"/>
  <c r="AA58" i="79"/>
  <c r="C53" i="79"/>
  <c r="AB167" i="79"/>
  <c r="AE167" i="79"/>
  <c r="Q189" i="79"/>
  <c r="AE199" i="79"/>
  <c r="AB199" i="79"/>
  <c r="V212" i="79"/>
  <c r="AA90" i="79"/>
  <c r="AD90" i="79"/>
  <c r="AA171" i="79"/>
  <c r="AD171" i="79"/>
  <c r="J6" i="79"/>
  <c r="R42" i="79"/>
  <c r="G53" i="79"/>
  <c r="AA60" i="79"/>
  <c r="AD60" i="79"/>
  <c r="AD69" i="79"/>
  <c r="AA69" i="79"/>
  <c r="AA92" i="79"/>
  <c r="AD92" i="79"/>
  <c r="AD135" i="79"/>
  <c r="AA135" i="79"/>
  <c r="AB150" i="79"/>
  <c r="AE150" i="79"/>
  <c r="AA181" i="79"/>
  <c r="AD196" i="79"/>
  <c r="J212" i="79"/>
  <c r="AD260" i="79"/>
  <c r="AA260" i="79"/>
  <c r="AD179" i="79"/>
  <c r="AA179" i="79"/>
  <c r="N258" i="82"/>
  <c r="N261" i="82" s="1"/>
  <c r="S4" i="106"/>
  <c r="N267" i="82"/>
  <c r="N26" i="82"/>
  <c r="N27" i="82" s="1"/>
  <c r="X16" i="79"/>
  <c r="AB39" i="79"/>
  <c r="AE39" i="79"/>
  <c r="AB216" i="79"/>
  <c r="AE216" i="79"/>
  <c r="AE78" i="79"/>
  <c r="AB78" i="79"/>
  <c r="AG78" i="79" s="1"/>
  <c r="AD128" i="79"/>
  <c r="AA128" i="79"/>
  <c r="AF128" i="79" s="1"/>
  <c r="AD144" i="79"/>
  <c r="AA144" i="79"/>
  <c r="AA44" i="79"/>
  <c r="AD44" i="79"/>
  <c r="AB88" i="79"/>
  <c r="AD88" i="79"/>
  <c r="U16" i="79"/>
  <c r="U189" i="79"/>
  <c r="S42" i="79"/>
  <c r="AE60" i="79"/>
  <c r="AB60" i="79"/>
  <c r="AA61" i="79"/>
  <c r="AF61" i="79" s="1"/>
  <c r="AA80" i="79"/>
  <c r="AB92" i="79"/>
  <c r="AE92" i="79"/>
  <c r="AE105" i="79"/>
  <c r="AE108" i="79"/>
  <c r="AA148" i="79"/>
  <c r="AA213" i="79"/>
  <c r="AD256" i="79"/>
  <c r="AA256" i="79"/>
  <c r="G26" i="82"/>
  <c r="G27" i="82" s="1"/>
  <c r="H4" i="106"/>
  <c r="G28" i="82"/>
  <c r="G258" i="82" s="1"/>
  <c r="G261" i="82" s="1"/>
  <c r="G263" i="82" s="1"/>
  <c r="W26" i="82"/>
  <c r="W27" i="82" s="1"/>
  <c r="W258" i="82"/>
  <c r="W261" i="82" s="1"/>
  <c r="W263" i="82" s="1"/>
  <c r="AF4" i="106"/>
  <c r="AG57" i="82"/>
  <c r="D115" i="79"/>
  <c r="E200" i="79"/>
  <c r="AA73" i="79"/>
  <c r="AD73" i="79"/>
  <c r="AD81" i="79"/>
  <c r="AA81" i="79"/>
  <c r="AA84" i="79"/>
  <c r="AD84" i="79"/>
  <c r="AE91" i="79"/>
  <c r="AB91" i="79"/>
  <c r="Y138" i="79"/>
  <c r="AA191" i="79"/>
  <c r="AD191" i="79"/>
  <c r="AB207" i="79"/>
  <c r="N33" i="79"/>
  <c r="AD125" i="79"/>
  <c r="AA125" i="79"/>
  <c r="AB14" i="79"/>
  <c r="H33" i="79"/>
  <c r="AD108" i="79"/>
  <c r="J115" i="79"/>
  <c r="AB133" i="79"/>
  <c r="AE149" i="79"/>
  <c r="AB149" i="79"/>
  <c r="AE152" i="79"/>
  <c r="AB152" i="79"/>
  <c r="AD163" i="79"/>
  <c r="AA166" i="79"/>
  <c r="AD166" i="79"/>
  <c r="AB194" i="79"/>
  <c r="AA198" i="79"/>
  <c r="AD198" i="79"/>
  <c r="F212" i="79"/>
  <c r="AD229" i="79"/>
  <c r="AE6" i="82"/>
  <c r="AD64" i="79"/>
  <c r="AA64" i="79"/>
  <c r="AB71" i="79"/>
  <c r="AE73" i="79"/>
  <c r="AB73" i="79"/>
  <c r="O258" i="82"/>
  <c r="O261" i="82" s="1"/>
  <c r="O263" i="82" s="1"/>
  <c r="T4" i="106"/>
  <c r="O26" i="82"/>
  <c r="O27" i="82" s="1"/>
  <c r="Y16" i="79"/>
  <c r="W53" i="79"/>
  <c r="AE101" i="79"/>
  <c r="AA140" i="79"/>
  <c r="AD140" i="79"/>
  <c r="AD262" i="79"/>
  <c r="AA262" i="79"/>
  <c r="AB264" i="79"/>
  <c r="AE8" i="79"/>
  <c r="AB8" i="79"/>
  <c r="V6" i="79"/>
  <c r="G30" i="79"/>
  <c r="AB100" i="79"/>
  <c r="M103" i="79"/>
  <c r="AE121" i="79"/>
  <c r="K138" i="79"/>
  <c r="AD161" i="79"/>
  <c r="AA161" i="79"/>
  <c r="C177" i="79"/>
  <c r="AD178" i="79"/>
  <c r="AA178" i="79"/>
  <c r="AA207" i="79"/>
  <c r="AE230" i="79"/>
  <c r="AD250" i="79"/>
  <c r="AE252" i="79"/>
  <c r="AB252" i="79"/>
  <c r="AA124" i="79"/>
  <c r="AD124" i="79"/>
  <c r="AE240" i="79"/>
  <c r="AB240" i="79"/>
  <c r="AG240" i="79" s="1"/>
  <c r="AB241" i="79"/>
  <c r="AD247" i="79"/>
  <c r="AA247" i="79"/>
  <c r="AD53" i="82"/>
  <c r="L16" i="79"/>
  <c r="T33" i="79"/>
  <c r="AD41" i="79"/>
  <c r="AF41" i="79" s="1"/>
  <c r="AE49" i="79"/>
  <c r="AD59" i="79"/>
  <c r="AA59" i="79"/>
  <c r="AD70" i="79"/>
  <c r="AD72" i="79"/>
  <c r="AA72" i="79"/>
  <c r="O103" i="79"/>
  <c r="G106" i="79"/>
  <c r="AE111" i="79"/>
  <c r="AB111" i="79"/>
  <c r="AE136" i="79"/>
  <c r="AB136" i="79"/>
  <c r="AG136" i="79" s="1"/>
  <c r="F138" i="79"/>
  <c r="AD150" i="79"/>
  <c r="AB158" i="79"/>
  <c r="AB229" i="79"/>
  <c r="AD246" i="79"/>
  <c r="AA246" i="79"/>
  <c r="AA16" i="82"/>
  <c r="AF16" i="82" s="1"/>
  <c r="C258" i="82"/>
  <c r="AF99" i="82"/>
  <c r="AG196" i="82"/>
  <c r="W30" i="79"/>
  <c r="AA111" i="79"/>
  <c r="AD111" i="79"/>
  <c r="R115" i="79"/>
  <c r="AB161" i="79"/>
  <c r="AD20" i="79"/>
  <c r="AA20" i="79"/>
  <c r="U33" i="79"/>
  <c r="AD45" i="79"/>
  <c r="AA45" i="79"/>
  <c r="AB59" i="79"/>
  <c r="AE59" i="79"/>
  <c r="AA75" i="79"/>
  <c r="AE79" i="79"/>
  <c r="AB79" i="79"/>
  <c r="AA88" i="79"/>
  <c r="AB89" i="79"/>
  <c r="G138" i="79"/>
  <c r="AD151" i="79"/>
  <c r="AA151" i="79"/>
  <c r="AA219" i="79"/>
  <c r="AD219" i="79"/>
  <c r="AB244" i="79"/>
  <c r="AB249" i="79"/>
  <c r="D258" i="82"/>
  <c r="AE33" i="82"/>
  <c r="AB33" i="82"/>
  <c r="AG33" i="82" s="1"/>
  <c r="D29" i="82"/>
  <c r="AB140" i="79"/>
  <c r="AE140" i="79"/>
  <c r="AE35" i="79"/>
  <c r="F106" i="79"/>
  <c r="AD136" i="79"/>
  <c r="AE170" i="79"/>
  <c r="AB170" i="79"/>
  <c r="AE203" i="79"/>
  <c r="AB203" i="79"/>
  <c r="AE255" i="79"/>
  <c r="AB255" i="79"/>
  <c r="X6" i="79"/>
  <c r="N16" i="79"/>
  <c r="AA40" i="79"/>
  <c r="AD40" i="79"/>
  <c r="I53" i="79"/>
  <c r="AE66" i="79"/>
  <c r="AE75" i="79"/>
  <c r="AB76" i="79"/>
  <c r="Y106" i="79"/>
  <c r="AE124" i="79"/>
  <c r="H138" i="79"/>
  <c r="G177" i="79"/>
  <c r="AE219" i="79"/>
  <c r="AB219" i="79"/>
  <c r="AD243" i="79"/>
  <c r="AA243" i="79"/>
  <c r="AD33" i="82"/>
  <c r="E29" i="82"/>
  <c r="AA33" i="82"/>
  <c r="F29" i="82"/>
  <c r="AB42" i="82"/>
  <c r="AD83" i="79"/>
  <c r="AA83" i="79"/>
  <c r="AF83" i="79" s="1"/>
  <c r="AD101" i="79"/>
  <c r="AA101" i="79"/>
  <c r="AB165" i="79"/>
  <c r="AE209" i="79"/>
  <c r="AD8" i="79"/>
  <c r="AA8" i="79"/>
  <c r="F30" i="79"/>
  <c r="AB41" i="79"/>
  <c r="AE41" i="79"/>
  <c r="AE64" i="79"/>
  <c r="AB64" i="79"/>
  <c r="AB83" i="79"/>
  <c r="L103" i="79"/>
  <c r="P115" i="79"/>
  <c r="AB118" i="79"/>
  <c r="AD165" i="79"/>
  <c r="AA165" i="79"/>
  <c r="AB184" i="79"/>
  <c r="V4" i="106"/>
  <c r="P26" i="82"/>
  <c r="P27" i="82" s="1"/>
  <c r="P267" i="82"/>
  <c r="P258" i="82"/>
  <c r="P261" i="82" s="1"/>
  <c r="AD97" i="79"/>
  <c r="AA97" i="79"/>
  <c r="E106" i="79"/>
  <c r="AB155" i="79"/>
  <c r="AE155" i="79"/>
  <c r="AD170" i="79"/>
  <c r="AB53" i="82"/>
  <c r="AE53" i="82"/>
  <c r="AD49" i="79"/>
  <c r="AA49" i="79"/>
  <c r="V53" i="79"/>
  <c r="AE97" i="79"/>
  <c r="AB97" i="79"/>
  <c r="N103" i="79"/>
  <c r="AD119" i="79"/>
  <c r="AE225" i="79"/>
  <c r="U6" i="79"/>
  <c r="AA14" i="79"/>
  <c r="O16" i="79"/>
  <c r="W33" i="79"/>
  <c r="AD36" i="79"/>
  <c r="U42" i="79"/>
  <c r="AB68" i="79"/>
  <c r="AE68" i="79"/>
  <c r="AD78" i="79"/>
  <c r="J106" i="79"/>
  <c r="Z106" i="79"/>
  <c r="AD120" i="79"/>
  <c r="AE145" i="79"/>
  <c r="AB154" i="79"/>
  <c r="AD175" i="79"/>
  <c r="D177" i="79"/>
  <c r="AD186" i="79"/>
  <c r="AA222" i="79"/>
  <c r="AA229" i="79"/>
  <c r="AE250" i="79"/>
  <c r="AA254" i="79"/>
  <c r="AE260" i="79"/>
  <c r="AB260" i="79"/>
  <c r="AF72" i="82"/>
  <c r="W177" i="79"/>
  <c r="G29" i="82"/>
  <c r="AD42" i="82"/>
  <c r="AB58" i="79"/>
  <c r="AE58" i="79"/>
  <c r="AD100" i="79"/>
  <c r="S115" i="79"/>
  <c r="AD185" i="79"/>
  <c r="AA47" i="79"/>
  <c r="AA57" i="79"/>
  <c r="AE70" i="79"/>
  <c r="Q103" i="79"/>
  <c r="AE122" i="79"/>
  <c r="AB122" i="79"/>
  <c r="AE153" i="79"/>
  <c r="AD173" i="79"/>
  <c r="I177" i="79"/>
  <c r="Y177" i="79"/>
  <c r="D180" i="79"/>
  <c r="AA188" i="79"/>
  <c r="AA197" i="79"/>
  <c r="AB218" i="79"/>
  <c r="AE218" i="79"/>
  <c r="AB221" i="79"/>
  <c r="AE221" i="79"/>
  <c r="AD232" i="79"/>
  <c r="AA235" i="79"/>
  <c r="AD235" i="79"/>
  <c r="AB239" i="79"/>
  <c r="AB243" i="79"/>
  <c r="AB250" i="79"/>
  <c r="AA158" i="79"/>
  <c r="C115" i="79"/>
  <c r="S138" i="79"/>
  <c r="AE207" i="79"/>
  <c r="AE253" i="79"/>
  <c r="AB253" i="79"/>
  <c r="AB19" i="79"/>
  <c r="J33" i="79"/>
  <c r="Z33" i="79"/>
  <c r="X42" i="79"/>
  <c r="AD52" i="79"/>
  <c r="Q53" i="79"/>
  <c r="G65" i="79"/>
  <c r="AB77" i="79"/>
  <c r="E115" i="79"/>
  <c r="AD126" i="79"/>
  <c r="U138" i="79"/>
  <c r="AD142" i="79"/>
  <c r="AA169" i="79"/>
  <c r="J177" i="79"/>
  <c r="Z177" i="79"/>
  <c r="AE193" i="79"/>
  <c r="F200" i="79"/>
  <c r="V200" i="79"/>
  <c r="AA221" i="79"/>
  <c r="AD231" i="79"/>
  <c r="AE232" i="79"/>
  <c r="AE235" i="79"/>
  <c r="AB235" i="79"/>
  <c r="AE238" i="79"/>
  <c r="K29" i="82"/>
  <c r="K258" i="82" s="1"/>
  <c r="K261" i="82" s="1"/>
  <c r="K263" i="82" s="1"/>
  <c r="AG71" i="82"/>
  <c r="AG156" i="82"/>
  <c r="AF163" i="82"/>
  <c r="AE185" i="79"/>
  <c r="AD253" i="79"/>
  <c r="H267" i="82"/>
  <c r="AH4" i="106"/>
  <c r="X267" i="82"/>
  <c r="X28" i="82"/>
  <c r="X258" i="82" s="1"/>
  <c r="X261" i="82" s="1"/>
  <c r="D26" i="82"/>
  <c r="AE16" i="82"/>
  <c r="AG16" i="82" s="1"/>
  <c r="T26" i="82"/>
  <c r="T27" i="82" s="1"/>
  <c r="T258" i="82"/>
  <c r="T261" i="82" s="1"/>
  <c r="AD65" i="82"/>
  <c r="AF65" i="82" s="1"/>
  <c r="X177" i="79"/>
  <c r="AB198" i="79"/>
  <c r="AE37" i="79"/>
  <c r="AB37" i="79"/>
  <c r="H65" i="79"/>
  <c r="X65" i="79"/>
  <c r="AA99" i="79"/>
  <c r="F115" i="79"/>
  <c r="V138" i="79"/>
  <c r="AE142" i="79"/>
  <c r="AE169" i="79"/>
  <c r="AB169" i="79"/>
  <c r="K177" i="79"/>
  <c r="G200" i="79"/>
  <c r="W200" i="79"/>
  <c r="AD210" i="79"/>
  <c r="AA210" i="79"/>
  <c r="AA211" i="79"/>
  <c r="AB215" i="79"/>
  <c r="AA244" i="79"/>
  <c r="AD245" i="79"/>
  <c r="AA42" i="82"/>
  <c r="AG75" i="82"/>
  <c r="AG146" i="82"/>
  <c r="AF160" i="82"/>
  <c r="AF205" i="82"/>
  <c r="AF251" i="82"/>
  <c r="H258" i="82"/>
  <c r="H261" i="82" s="1"/>
  <c r="AA133" i="79"/>
  <c r="AA143" i="79"/>
  <c r="AD157" i="79"/>
  <c r="AA157" i="79"/>
  <c r="K33" i="79"/>
  <c r="F42" i="79"/>
  <c r="AD62" i="79"/>
  <c r="AA139" i="79"/>
  <c r="AD139" i="79"/>
  <c r="AD153" i="79"/>
  <c r="H177" i="79"/>
  <c r="AB222" i="79"/>
  <c r="E258" i="82"/>
  <c r="E261" i="82" s="1"/>
  <c r="E263" i="82" s="1"/>
  <c r="E26" i="82"/>
  <c r="E27" i="82" s="1"/>
  <c r="U258" i="82"/>
  <c r="U261" i="82" s="1"/>
  <c r="U263" i="82" s="1"/>
  <c r="AD46" i="79"/>
  <c r="AE51" i="79"/>
  <c r="AB51" i="79"/>
  <c r="S53" i="79"/>
  <c r="Y65" i="79"/>
  <c r="AA76" i="79"/>
  <c r="AD76" i="79"/>
  <c r="AE81" i="79"/>
  <c r="AD94" i="79"/>
  <c r="W115" i="79"/>
  <c r="AD121" i="79"/>
  <c r="AA121" i="79"/>
  <c r="W138" i="79"/>
  <c r="AD152" i="79"/>
  <c r="AA156" i="79"/>
  <c r="AE163" i="79"/>
  <c r="AB163" i="79"/>
  <c r="AD184" i="79"/>
  <c r="AA184" i="79"/>
  <c r="AA199" i="79"/>
  <c r="AD199" i="79"/>
  <c r="AE210" i="79"/>
  <c r="AB210" i="79"/>
  <c r="AG210" i="79" s="1"/>
  <c r="AB211" i="79"/>
  <c r="S212" i="79"/>
  <c r="AA234" i="79"/>
  <c r="AD252" i="79"/>
  <c r="AA252" i="79"/>
  <c r="Q4" i="106"/>
  <c r="M26" i="82"/>
  <c r="M27" i="82" s="1"/>
  <c r="M258" i="82"/>
  <c r="M261" i="82" s="1"/>
  <c r="M263" i="82" s="1"/>
  <c r="Y258" i="82"/>
  <c r="Y261" i="82" s="1"/>
  <c r="Y263" i="82" s="1"/>
  <c r="AG24" i="82"/>
  <c r="AF34" i="82"/>
  <c r="AG68" i="82"/>
  <c r="AF79" i="82"/>
  <c r="AG160" i="82"/>
  <c r="AG235" i="82"/>
  <c r="AF238" i="82"/>
  <c r="AE168" i="79"/>
  <c r="AE182" i="79"/>
  <c r="AB188" i="79"/>
  <c r="S189" i="79"/>
  <c r="H200" i="79"/>
  <c r="X200" i="79"/>
  <c r="AA204" i="79"/>
  <c r="AA220" i="79"/>
  <c r="AA251" i="79"/>
  <c r="AE48" i="79"/>
  <c r="AB61" i="79"/>
  <c r="AD80" i="79"/>
  <c r="D103" i="79"/>
  <c r="AA119" i="79"/>
  <c r="Z138" i="79"/>
  <c r="AB156" i="79"/>
  <c r="AA224" i="79"/>
  <c r="AE246" i="79"/>
  <c r="R29" i="82"/>
  <c r="AA160" i="79"/>
  <c r="AB172" i="79"/>
  <c r="R180" i="79"/>
  <c r="AA208" i="79"/>
  <c r="AD208" i="79"/>
  <c r="AE245" i="79"/>
  <c r="C29" i="82"/>
  <c r="AG195" i="82"/>
  <c r="AG252" i="82"/>
  <c r="AF256" i="82"/>
  <c r="F103" i="79"/>
  <c r="V103" i="79"/>
  <c r="AB124" i="79"/>
  <c r="AG124" i="79" s="1"/>
  <c r="L138" i="79"/>
  <c r="AD145" i="79"/>
  <c r="C180" i="79"/>
  <c r="AD181" i="79"/>
  <c r="S180" i="79"/>
  <c r="F26" i="82"/>
  <c r="F27" i="82" s="1"/>
  <c r="G4" i="106"/>
  <c r="AB6" i="82"/>
  <c r="V267" i="82"/>
  <c r="V26" i="82"/>
  <c r="V27" i="82" s="1"/>
  <c r="V258" i="82"/>
  <c r="V261" i="82" s="1"/>
  <c r="AG43" i="82"/>
  <c r="AF142" i="82"/>
  <c r="AG256" i="82"/>
  <c r="AB173" i="79"/>
  <c r="AE173" i="79"/>
  <c r="AB187" i="79"/>
  <c r="AE190" i="79"/>
  <c r="AA201" i="79"/>
  <c r="I200" i="79"/>
  <c r="AE243" i="79"/>
  <c r="AB251" i="79"/>
  <c r="AF47" i="82"/>
  <c r="AF62" i="82"/>
  <c r="AB65" i="82"/>
  <c r="AG65" i="82" s="1"/>
  <c r="AG139" i="82"/>
  <c r="Q258" i="82"/>
  <c r="Q261" i="82" s="1"/>
  <c r="Q263" i="82" s="1"/>
  <c r="AE143" i="79"/>
  <c r="Q177" i="79"/>
  <c r="AA186" i="79"/>
  <c r="AA217" i="79"/>
  <c r="AD222" i="79"/>
  <c r="AD242" i="79"/>
  <c r="AA250" i="79"/>
  <c r="AE42" i="82"/>
  <c r="AF44" i="82"/>
  <c r="AA53" i="82"/>
  <c r="AG56" i="82"/>
  <c r="AF152" i="82"/>
  <c r="AG253" i="82"/>
  <c r="R258" i="82"/>
  <c r="R261" i="82" s="1"/>
  <c r="R267" i="82"/>
  <c r="AA172" i="79"/>
  <c r="AB217" i="79"/>
  <c r="AE222" i="79"/>
  <c r="AB237" i="79"/>
  <c r="AG237" i="79" s="1"/>
  <c r="AB242" i="79"/>
  <c r="AA6" i="82"/>
  <c r="C28" i="82"/>
  <c r="AD6" i="82"/>
  <c r="S258" i="82"/>
  <c r="S261" i="82" s="1"/>
  <c r="S263" i="82" s="1"/>
  <c r="AF8" i="82"/>
  <c r="AF11" i="82"/>
  <c r="AF31" i="82"/>
  <c r="AG44" i="82"/>
  <c r="AF71" i="82"/>
  <c r="AG107" i="82"/>
  <c r="AF110" i="82"/>
  <c r="AF149" i="82"/>
  <c r="AG228" i="82"/>
  <c r="AB125" i="79"/>
  <c r="AD158" i="79"/>
  <c r="AE239" i="79"/>
  <c r="AG12" i="82"/>
  <c r="AF15" i="82"/>
  <c r="AG38" i="82"/>
  <c r="AF41" i="82"/>
  <c r="AG85" i="82"/>
  <c r="AG88" i="82"/>
  <c r="AF126" i="82"/>
  <c r="AF173" i="82"/>
  <c r="AE63" i="79"/>
  <c r="AE96" i="79"/>
  <c r="AA108" i="79"/>
  <c r="AE158" i="79"/>
  <c r="AD221" i="79"/>
  <c r="J29" i="82"/>
  <c r="AG123" i="82"/>
  <c r="AF141" i="82"/>
  <c r="AG170" i="82"/>
  <c r="AG173" i="82"/>
  <c r="AG203" i="82"/>
  <c r="AF230" i="82"/>
  <c r="Y26" i="82"/>
  <c r="Y27" i="82" s="1"/>
  <c r="AE30" i="82"/>
  <c r="AG30" i="82" s="1"/>
  <c r="AG50" i="82"/>
  <c r="AG55" i="82"/>
  <c r="AF64" i="82"/>
  <c r="AG131" i="82"/>
  <c r="AF134" i="82"/>
  <c r="AF191" i="82"/>
  <c r="AF246" i="82"/>
  <c r="J28" i="82"/>
  <c r="J267" i="82"/>
  <c r="M4" i="106"/>
  <c r="AF19" i="82"/>
  <c r="AG188" i="82"/>
  <c r="AG191" i="82"/>
  <c r="AG243" i="82"/>
  <c r="AD255" i="79"/>
  <c r="AG83" i="82"/>
  <c r="AF86" i="82"/>
  <c r="AG147" i="82"/>
  <c r="AF150" i="82"/>
  <c r="AG211" i="82"/>
  <c r="AF214" i="82"/>
  <c r="K13" i="106" l="1"/>
  <c r="I265" i="82"/>
  <c r="AD24" i="79"/>
  <c r="Q14" i="106"/>
  <c r="AD17" i="79"/>
  <c r="H28" i="79"/>
  <c r="F258" i="82"/>
  <c r="F261" i="82" s="1"/>
  <c r="F263" i="82" s="1"/>
  <c r="AB28" i="100"/>
  <c r="AE26" i="100"/>
  <c r="AE27" i="100" s="1"/>
  <c r="R28" i="79"/>
  <c r="AE28" i="82"/>
  <c r="AF13" i="79"/>
  <c r="AA10" i="79"/>
  <c r="AF10" i="79" s="1"/>
  <c r="AB13" i="79"/>
  <c r="AG13" i="79" s="1"/>
  <c r="AI9" i="106"/>
  <c r="G258" i="100"/>
  <c r="G261" i="100" s="1"/>
  <c r="G263" i="100" s="1"/>
  <c r="AF21" i="101"/>
  <c r="AA21" i="79"/>
  <c r="AG19" i="101"/>
  <c r="AG16" i="121"/>
  <c r="AE22" i="79"/>
  <c r="AE21" i="79"/>
  <c r="AB22" i="79"/>
  <c r="I258" i="101"/>
  <c r="I261" i="101" s="1"/>
  <c r="I263" i="101" s="1"/>
  <c r="Q258" i="101"/>
  <c r="Q261" i="101" s="1"/>
  <c r="Q263" i="101" s="1"/>
  <c r="Q265" i="101" s="1"/>
  <c r="AF23" i="101"/>
  <c r="AG18" i="101"/>
  <c r="W26" i="101"/>
  <c r="W27" i="101" s="1"/>
  <c r="S265" i="121"/>
  <c r="D267" i="101"/>
  <c r="H267" i="101"/>
  <c r="D258" i="121"/>
  <c r="D261" i="121" s="1"/>
  <c r="Z26" i="101"/>
  <c r="Z27" i="101" s="1"/>
  <c r="M9" i="106"/>
  <c r="S258" i="101"/>
  <c r="S261" i="101" s="1"/>
  <c r="S263" i="101" s="1"/>
  <c r="AG11" i="101"/>
  <c r="Z258" i="120"/>
  <c r="Z261" i="120" s="1"/>
  <c r="Z263" i="120" s="1"/>
  <c r="Z268" i="120" s="1"/>
  <c r="V9" i="106"/>
  <c r="X266" i="120"/>
  <c r="J26" i="101"/>
  <c r="J27" i="101" s="1"/>
  <c r="AG7" i="101"/>
  <c r="X268" i="120"/>
  <c r="J267" i="101"/>
  <c r="AG9" i="101"/>
  <c r="C258" i="101"/>
  <c r="O26" i="101"/>
  <c r="O27" i="101" s="1"/>
  <c r="J258" i="121"/>
  <c r="J261" i="121" s="1"/>
  <c r="J263" i="121" s="1"/>
  <c r="J266" i="121" s="1"/>
  <c r="K258" i="121"/>
  <c r="K261" i="121" s="1"/>
  <c r="K263" i="121" s="1"/>
  <c r="K266" i="121" s="1"/>
  <c r="AF8" i="101"/>
  <c r="C26" i="101"/>
  <c r="G26" i="101"/>
  <c r="G27" i="101" s="1"/>
  <c r="S266" i="120"/>
  <c r="S265" i="120"/>
  <c r="U265" i="120"/>
  <c r="U266" i="120"/>
  <c r="P266" i="120"/>
  <c r="P268" i="120"/>
  <c r="P265" i="120"/>
  <c r="N266" i="120"/>
  <c r="N265" i="120"/>
  <c r="N268" i="120"/>
  <c r="L265" i="120"/>
  <c r="L266" i="120"/>
  <c r="L268" i="120"/>
  <c r="AG102" i="120"/>
  <c r="K265" i="120"/>
  <c r="K266" i="120"/>
  <c r="E266" i="120"/>
  <c r="E265" i="120"/>
  <c r="AF163" i="101"/>
  <c r="AG70" i="101"/>
  <c r="AE178" i="79"/>
  <c r="AG178" i="79" s="1"/>
  <c r="Z29" i="101"/>
  <c r="Z258" i="101" s="1"/>
  <c r="Z261" i="101" s="1"/>
  <c r="AD203" i="79"/>
  <c r="AF203" i="79" s="1"/>
  <c r="AF62" i="101"/>
  <c r="AE267" i="120"/>
  <c r="AG267" i="120" s="1"/>
  <c r="AA17" i="79"/>
  <c r="AF17" i="79" s="1"/>
  <c r="AG230" i="101"/>
  <c r="AD205" i="79"/>
  <c r="AA32" i="79"/>
  <c r="N102" i="101"/>
  <c r="H53" i="79"/>
  <c r="AB262" i="79"/>
  <c r="AD98" i="79"/>
  <c r="AF98" i="79" s="1"/>
  <c r="AD54" i="79"/>
  <c r="AF54" i="79" s="1"/>
  <c r="AF120" i="101"/>
  <c r="V29" i="101"/>
  <c r="V258" i="101" s="1"/>
  <c r="V261" i="101" s="1"/>
  <c r="AG106" i="120"/>
  <c r="J138" i="79"/>
  <c r="AE138" i="79" s="1"/>
  <c r="AE69" i="79"/>
  <c r="AB21" i="79"/>
  <c r="AG21" i="79" s="1"/>
  <c r="AA137" i="79"/>
  <c r="AD168" i="79"/>
  <c r="AF168" i="79" s="1"/>
  <c r="E189" i="79"/>
  <c r="E176" i="79" s="1"/>
  <c r="AA31" i="79"/>
  <c r="AB85" i="79"/>
  <c r="AA146" i="79"/>
  <c r="AF146" i="79" s="1"/>
  <c r="AB146" i="79"/>
  <c r="C30" i="79"/>
  <c r="AD118" i="79"/>
  <c r="H103" i="79"/>
  <c r="AE57" i="79"/>
  <c r="P102" i="101"/>
  <c r="P258" i="101" s="1"/>
  <c r="P261" i="101" s="1"/>
  <c r="AG248" i="101"/>
  <c r="AF87" i="101"/>
  <c r="AG57" i="101"/>
  <c r="AG232" i="101"/>
  <c r="AF77" i="101"/>
  <c r="AG101" i="101"/>
  <c r="AF196" i="101"/>
  <c r="AF230" i="101"/>
  <c r="D6" i="79"/>
  <c r="D267" i="79" s="1"/>
  <c r="AF260" i="101"/>
  <c r="V28" i="101"/>
  <c r="V28" i="79" s="1"/>
  <c r="AG15" i="101"/>
  <c r="AG56" i="101"/>
  <c r="AE201" i="79"/>
  <c r="AB141" i="79"/>
  <c r="AG141" i="79" s="1"/>
  <c r="AG16" i="120"/>
  <c r="J265" i="120"/>
  <c r="J266" i="120"/>
  <c r="J268" i="120"/>
  <c r="AD132" i="79"/>
  <c r="AF132" i="79" s="1"/>
  <c r="AE138" i="101"/>
  <c r="J29" i="101"/>
  <c r="AG249" i="79"/>
  <c r="V258" i="120"/>
  <c r="V261" i="120" s="1"/>
  <c r="V263" i="120" s="1"/>
  <c r="L177" i="79"/>
  <c r="AD9" i="79"/>
  <c r="AF9" i="79" s="1"/>
  <c r="AF139" i="101"/>
  <c r="AD240" i="79"/>
  <c r="AF240" i="79" s="1"/>
  <c r="P26" i="101"/>
  <c r="P27" i="101" s="1"/>
  <c r="AE164" i="79"/>
  <c r="AF40" i="101"/>
  <c r="AF43" i="101"/>
  <c r="AG109" i="101"/>
  <c r="AE220" i="79"/>
  <c r="AG220" i="79" s="1"/>
  <c r="AB117" i="79"/>
  <c r="AG117" i="79" s="1"/>
  <c r="L106" i="79"/>
  <c r="L102" i="79" s="1"/>
  <c r="B9" i="106"/>
  <c r="Z7" i="106"/>
  <c r="Z9" i="106" s="1"/>
  <c r="AG152" i="101"/>
  <c r="AG151" i="101"/>
  <c r="AF109" i="101"/>
  <c r="AF108" i="101"/>
  <c r="AG85" i="101"/>
  <c r="AF12" i="101"/>
  <c r="AB176" i="120"/>
  <c r="AE176" i="120"/>
  <c r="I265" i="120"/>
  <c r="I266" i="120"/>
  <c r="AG231" i="79"/>
  <c r="D261" i="120"/>
  <c r="AA74" i="79"/>
  <c r="AD141" i="79"/>
  <c r="AB54" i="79"/>
  <c r="AF208" i="101"/>
  <c r="P176" i="101"/>
  <c r="AE95" i="79"/>
  <c r="AD155" i="79"/>
  <c r="AF155" i="79" s="1"/>
  <c r="G6" i="79"/>
  <c r="G26" i="79" s="1"/>
  <c r="G27" i="79" s="1"/>
  <c r="AG175" i="101"/>
  <c r="AA110" i="79"/>
  <c r="AF110" i="79" s="1"/>
  <c r="AB112" i="79"/>
  <c r="AG112" i="79" s="1"/>
  <c r="AB256" i="79"/>
  <c r="AG256" i="79" s="1"/>
  <c r="AD147" i="79"/>
  <c r="AF147" i="79" s="1"/>
  <c r="AA238" i="79"/>
  <c r="AF238" i="79" s="1"/>
  <c r="AB177" i="101"/>
  <c r="AG177" i="101" s="1"/>
  <c r="AF130" i="101"/>
  <c r="F102" i="101"/>
  <c r="AG172" i="101"/>
  <c r="AF57" i="101"/>
  <c r="AF195" i="101"/>
  <c r="AF160" i="101"/>
  <c r="AF165" i="101"/>
  <c r="AG128" i="101"/>
  <c r="AF159" i="101"/>
  <c r="AF85" i="101"/>
  <c r="AF107" i="101"/>
  <c r="AA30" i="101"/>
  <c r="H258" i="120"/>
  <c r="H261" i="120" s="1"/>
  <c r="H263" i="120" s="1"/>
  <c r="AF6" i="120"/>
  <c r="AD28" i="120"/>
  <c r="AD266" i="120" s="1"/>
  <c r="AA28" i="120"/>
  <c r="AA258" i="120" s="1"/>
  <c r="AG171" i="101"/>
  <c r="AB74" i="79"/>
  <c r="AD42" i="101"/>
  <c r="AE212" i="101"/>
  <c r="AA39" i="79"/>
  <c r="AG63" i="101"/>
  <c r="AG138" i="120"/>
  <c r="AB151" i="79"/>
  <c r="AG151" i="79" s="1"/>
  <c r="AF214" i="101"/>
  <c r="F53" i="79"/>
  <c r="AE53" i="79" s="1"/>
  <c r="AB17" i="79"/>
  <c r="AA141" i="79"/>
  <c r="AE30" i="101"/>
  <c r="AG30" i="101" s="1"/>
  <c r="AF101" i="101"/>
  <c r="AF232" i="101"/>
  <c r="C106" i="79"/>
  <c r="AE10" i="79"/>
  <c r="AG10" i="79" s="1"/>
  <c r="R267" i="101"/>
  <c r="AG45" i="101"/>
  <c r="O266" i="120"/>
  <c r="O265" i="120"/>
  <c r="AA206" i="79"/>
  <c r="AF206" i="79" s="1"/>
  <c r="AA55" i="79"/>
  <c r="AF55" i="79" s="1"/>
  <c r="AD10" i="79"/>
  <c r="AB185" i="79"/>
  <c r="Z65" i="79"/>
  <c r="AB138" i="101"/>
  <c r="AG138" i="101" s="1"/>
  <c r="AG206" i="101"/>
  <c r="AF219" i="101"/>
  <c r="AE65" i="101"/>
  <c r="AF202" i="101"/>
  <c r="AE130" i="79"/>
  <c r="AG8" i="101"/>
  <c r="N29" i="101"/>
  <c r="Q266" i="120"/>
  <c r="Q265" i="120"/>
  <c r="AE206" i="79"/>
  <c r="AF110" i="101"/>
  <c r="AB201" i="79"/>
  <c r="AG201" i="79" s="1"/>
  <c r="AB72" i="79"/>
  <c r="AG72" i="79" s="1"/>
  <c r="L180" i="79"/>
  <c r="AG220" i="101"/>
  <c r="Q26" i="101"/>
  <c r="Q27" i="101" s="1"/>
  <c r="AG244" i="79"/>
  <c r="AG41" i="101"/>
  <c r="AE23" i="79"/>
  <c r="AG46" i="79"/>
  <c r="AB25" i="79"/>
  <c r="P106" i="79"/>
  <c r="AB7" i="106"/>
  <c r="AB9" i="106" s="1"/>
  <c r="AB175" i="79"/>
  <c r="AG207" i="79"/>
  <c r="AB190" i="79"/>
  <c r="AG190" i="79" s="1"/>
  <c r="AG63" i="79"/>
  <c r="Q9" i="106"/>
  <c r="AF152" i="79"/>
  <c r="E212" i="79"/>
  <c r="AF255" i="79"/>
  <c r="AB204" i="79"/>
  <c r="AG204" i="79" s="1"/>
  <c r="AG153" i="79"/>
  <c r="E6" i="79"/>
  <c r="C6" i="79"/>
  <c r="C26" i="79" s="1"/>
  <c r="AA43" i="79"/>
  <c r="AD55" i="79"/>
  <c r="AD51" i="79"/>
  <c r="M53" i="79"/>
  <c r="AB32" i="79"/>
  <c r="AE231" i="79"/>
  <c r="AF206" i="101"/>
  <c r="AF48" i="101"/>
  <c r="AF194" i="101"/>
  <c r="AG136" i="101"/>
  <c r="AF117" i="101"/>
  <c r="AF246" i="101"/>
  <c r="AG116" i="101"/>
  <c r="AF59" i="101"/>
  <c r="AF112" i="101"/>
  <c r="AG71" i="101"/>
  <c r="AF123" i="101"/>
  <c r="AF75" i="101"/>
  <c r="H29" i="101"/>
  <c r="AG130" i="101"/>
  <c r="AF18" i="101"/>
  <c r="AF10" i="101"/>
  <c r="D189" i="79"/>
  <c r="AG83" i="101"/>
  <c r="AG131" i="101"/>
  <c r="C27" i="120"/>
  <c r="AD264" i="120" s="1"/>
  <c r="AD26" i="120"/>
  <c r="AA26" i="120"/>
  <c r="AA27" i="120" s="1"/>
  <c r="R258" i="120"/>
  <c r="R261" i="120" s="1"/>
  <c r="R263" i="120" s="1"/>
  <c r="AG59" i="101"/>
  <c r="AF42" i="120"/>
  <c r="U258" i="101"/>
  <c r="U261" i="101" s="1"/>
  <c r="U263" i="101" s="1"/>
  <c r="AC16" i="106" s="1"/>
  <c r="AE29" i="120"/>
  <c r="AG29" i="120" s="1"/>
  <c r="AB29" i="120"/>
  <c r="AG124" i="101"/>
  <c r="AD33" i="101"/>
  <c r="AG142" i="101"/>
  <c r="AF97" i="101"/>
  <c r="D27" i="120"/>
  <c r="AE26" i="120"/>
  <c r="AB26" i="120"/>
  <c r="AB27" i="120" s="1"/>
  <c r="AB180" i="101"/>
  <c r="AG180" i="101" s="1"/>
  <c r="D7" i="106"/>
  <c r="D9" i="106" s="1"/>
  <c r="AA19" i="79"/>
  <c r="AB103" i="101"/>
  <c r="AG103" i="101" s="1"/>
  <c r="AD29" i="120"/>
  <c r="AF29" i="120" s="1"/>
  <c r="C258" i="120"/>
  <c r="AA29" i="120"/>
  <c r="AD43" i="79"/>
  <c r="AB47" i="79"/>
  <c r="AF59" i="79"/>
  <c r="AD257" i="79"/>
  <c r="AB56" i="79"/>
  <c r="AG223" i="79"/>
  <c r="AD89" i="79"/>
  <c r="AB137" i="79"/>
  <c r="AG137" i="79" s="1"/>
  <c r="AF132" i="101"/>
  <c r="T29" i="101"/>
  <c r="AG39" i="101"/>
  <c r="AG153" i="101"/>
  <c r="AF36" i="101"/>
  <c r="AG257" i="101"/>
  <c r="AF224" i="101"/>
  <c r="Z102" i="101"/>
  <c r="AF47" i="101"/>
  <c r="AG194" i="101"/>
  <c r="AF72" i="101"/>
  <c r="M29" i="101"/>
  <c r="AG92" i="101"/>
  <c r="AG192" i="101"/>
  <c r="AG31" i="101"/>
  <c r="AG115" i="120"/>
  <c r="AF152" i="101"/>
  <c r="AG30" i="120"/>
  <c r="D28" i="101"/>
  <c r="AE28" i="120"/>
  <c r="AE266" i="120" s="1"/>
  <c r="AB28" i="120"/>
  <c r="AG28" i="120" s="1"/>
  <c r="AF238" i="101"/>
  <c r="F266" i="120"/>
  <c r="F268" i="120"/>
  <c r="F265" i="120"/>
  <c r="AF205" i="101"/>
  <c r="AF197" i="101"/>
  <c r="AG8" i="79"/>
  <c r="AD214" i="79"/>
  <c r="AD31" i="79"/>
  <c r="D138" i="79"/>
  <c r="AB138" i="79" s="1"/>
  <c r="AB57" i="79"/>
  <c r="AF174" i="101"/>
  <c r="AF157" i="101"/>
  <c r="AF226" i="101"/>
  <c r="AG54" i="101"/>
  <c r="AF241" i="101"/>
  <c r="AF32" i="101"/>
  <c r="AB101" i="79"/>
  <c r="AE107" i="79"/>
  <c r="AF237" i="101"/>
  <c r="N267" i="101"/>
  <c r="AG43" i="101"/>
  <c r="AA65" i="101"/>
  <c r="AF65" i="101" s="1"/>
  <c r="T258" i="120"/>
  <c r="T261" i="120" s="1"/>
  <c r="T263" i="120" s="1"/>
  <c r="AG6" i="120"/>
  <c r="AG218" i="101"/>
  <c r="O265" i="121"/>
  <c r="O266" i="121"/>
  <c r="H126" i="79"/>
  <c r="AB126" i="79" s="1"/>
  <c r="AE126" i="101"/>
  <c r="G265" i="121"/>
  <c r="G266" i="121"/>
  <c r="M28" i="101"/>
  <c r="M28" i="79" s="1"/>
  <c r="M258" i="121"/>
  <c r="M261" i="121" s="1"/>
  <c r="M263" i="121" s="1"/>
  <c r="N268" i="121" s="1"/>
  <c r="AB200" i="101"/>
  <c r="AA183" i="79"/>
  <c r="AD183" i="79"/>
  <c r="L189" i="79"/>
  <c r="AE191" i="79"/>
  <c r="AB191" i="79"/>
  <c r="AB115" i="101"/>
  <c r="AE115" i="101"/>
  <c r="AB126" i="101"/>
  <c r="AG126" i="101" s="1"/>
  <c r="AA53" i="101"/>
  <c r="AF53" i="101" s="1"/>
  <c r="R258" i="121"/>
  <c r="R261" i="121" s="1"/>
  <c r="R263" i="121" s="1"/>
  <c r="AF192" i="101"/>
  <c r="AG209" i="101"/>
  <c r="T126" i="79"/>
  <c r="T102" i="79" s="1"/>
  <c r="T102" i="101"/>
  <c r="H102" i="101"/>
  <c r="H258" i="101" s="1"/>
  <c r="H261" i="101" s="1"/>
  <c r="AD187" i="79"/>
  <c r="AG110" i="101"/>
  <c r="AA174" i="79"/>
  <c r="AF174" i="79" s="1"/>
  <c r="AD174" i="79"/>
  <c r="AE135" i="79"/>
  <c r="AB135" i="79"/>
  <c r="AB228" i="79"/>
  <c r="AG228" i="79" s="1"/>
  <c r="AD65" i="101"/>
  <c r="AF54" i="101"/>
  <c r="AB102" i="121"/>
  <c r="AE102" i="121"/>
  <c r="H258" i="121"/>
  <c r="H261" i="121" s="1"/>
  <c r="H263" i="121" s="1"/>
  <c r="AG148" i="79"/>
  <c r="AF104" i="79"/>
  <c r="AD77" i="79"/>
  <c r="AA77" i="79"/>
  <c r="Z268" i="121"/>
  <c r="Z266" i="121"/>
  <c r="Z265" i="121"/>
  <c r="AB34" i="79"/>
  <c r="AG34" i="79" s="1"/>
  <c r="AE34" i="79"/>
  <c r="D33" i="79"/>
  <c r="AE33" i="79" s="1"/>
  <c r="AE233" i="79"/>
  <c r="AB157" i="79"/>
  <c r="AE157" i="79"/>
  <c r="W265" i="121"/>
  <c r="W266" i="121"/>
  <c r="Y26" i="101"/>
  <c r="Y27" i="101" s="1"/>
  <c r="Y258" i="101"/>
  <c r="Y261" i="101" s="1"/>
  <c r="Y263" i="101" s="1"/>
  <c r="Y266" i="101" s="1"/>
  <c r="AE17" i="79"/>
  <c r="AA227" i="79"/>
  <c r="AF227" i="79" s="1"/>
  <c r="AA96" i="79"/>
  <c r="AD96" i="79"/>
  <c r="AA42" i="101"/>
  <c r="AF42" i="101" s="1"/>
  <c r="AF89" i="101"/>
  <c r="AB189" i="101"/>
  <c r="AE189" i="101"/>
  <c r="AG189" i="101" s="1"/>
  <c r="F176" i="101"/>
  <c r="AE176" i="101" s="1"/>
  <c r="AD29" i="121"/>
  <c r="AF29" i="121" s="1"/>
  <c r="AA29" i="121"/>
  <c r="C258" i="121"/>
  <c r="U266" i="121"/>
  <c r="U265" i="121"/>
  <c r="AB208" i="79"/>
  <c r="AE208" i="79"/>
  <c r="AD109" i="79"/>
  <c r="AA109" i="79"/>
  <c r="AF109" i="79" s="1"/>
  <c r="I106" i="79"/>
  <c r="I102" i="79" s="1"/>
  <c r="AG90" i="79"/>
  <c r="AE181" i="79"/>
  <c r="AB181" i="79"/>
  <c r="AD93" i="79"/>
  <c r="AA93" i="79"/>
  <c r="AF93" i="79" s="1"/>
  <c r="AG107" i="101"/>
  <c r="AB82" i="79"/>
  <c r="AG82" i="79" s="1"/>
  <c r="AE82" i="79"/>
  <c r="AG22" i="101"/>
  <c r="AE67" i="79"/>
  <c r="AB67" i="79"/>
  <c r="AG67" i="79" s="1"/>
  <c r="AH7" i="106"/>
  <c r="AH9" i="106" s="1"/>
  <c r="X267" i="101"/>
  <c r="AA16" i="101"/>
  <c r="AA218" i="79"/>
  <c r="AF218" i="79" s="1"/>
  <c r="AB224" i="79"/>
  <c r="AE224" i="79"/>
  <c r="AG224" i="79" s="1"/>
  <c r="AE9" i="79"/>
  <c r="AB9" i="79"/>
  <c r="F6" i="79"/>
  <c r="AE45" i="79"/>
  <c r="AB45" i="79"/>
  <c r="AG45" i="79" s="1"/>
  <c r="AE200" i="101"/>
  <c r="AB212" i="101"/>
  <c r="AG212" i="101" s="1"/>
  <c r="P268" i="121"/>
  <c r="P265" i="121"/>
  <c r="P266" i="121"/>
  <c r="AF66" i="101"/>
  <c r="AA18" i="79"/>
  <c r="AD18" i="79"/>
  <c r="I16" i="79"/>
  <c r="I26" i="79" s="1"/>
  <c r="I27" i="79" s="1"/>
  <c r="AG208" i="101"/>
  <c r="AB127" i="79"/>
  <c r="J189" i="79"/>
  <c r="AE196" i="79"/>
  <c r="AG196" i="79" s="1"/>
  <c r="AA63" i="79"/>
  <c r="AF63" i="79" s="1"/>
  <c r="AD63" i="79"/>
  <c r="N265" i="121"/>
  <c r="N266" i="121"/>
  <c r="AE110" i="79"/>
  <c r="AG110" i="79" s="1"/>
  <c r="D106" i="79"/>
  <c r="AE213" i="79"/>
  <c r="AG213" i="79" s="1"/>
  <c r="D212" i="79"/>
  <c r="AE212" i="79" s="1"/>
  <c r="AD154" i="79"/>
  <c r="N9" i="106"/>
  <c r="AE197" i="79"/>
  <c r="AB197" i="79"/>
  <c r="AG197" i="79" s="1"/>
  <c r="AG114" i="101"/>
  <c r="AE16" i="101"/>
  <c r="D26" i="101"/>
  <c r="AB16" i="101"/>
  <c r="AG16" i="101" s="1"/>
  <c r="AF42" i="121"/>
  <c r="R102" i="101"/>
  <c r="R258" i="101" s="1"/>
  <c r="R261" i="101" s="1"/>
  <c r="E28" i="101"/>
  <c r="AA28" i="121"/>
  <c r="AA258" i="121" s="1"/>
  <c r="AD28" i="121"/>
  <c r="AD266" i="121" s="1"/>
  <c r="AB98" i="79"/>
  <c r="AE98" i="79"/>
  <c r="AE106" i="101"/>
  <c r="AE159" i="79"/>
  <c r="AB159" i="79"/>
  <c r="AG159" i="79" s="1"/>
  <c r="AA66" i="79"/>
  <c r="AF66" i="79" s="1"/>
  <c r="AD66" i="79"/>
  <c r="I65" i="79"/>
  <c r="I29" i="79" s="1"/>
  <c r="AE33" i="101"/>
  <c r="AB33" i="101"/>
  <c r="AG33" i="101" s="1"/>
  <c r="O29" i="101"/>
  <c r="C212" i="79"/>
  <c r="AD212" i="79" s="1"/>
  <c r="AA216" i="79"/>
  <c r="AF216" i="79" s="1"/>
  <c r="AD16" i="101"/>
  <c r="AE248" i="79"/>
  <c r="AB248" i="79"/>
  <c r="AG248" i="79" s="1"/>
  <c r="AG101" i="79"/>
  <c r="P7" i="106"/>
  <c r="P9" i="106" s="1"/>
  <c r="AE6" i="101"/>
  <c r="AE267" i="101" s="1"/>
  <c r="L267" i="101"/>
  <c r="AB6" i="101"/>
  <c r="AB267" i="101" s="1"/>
  <c r="AA196" i="79"/>
  <c r="AF196" i="79" s="1"/>
  <c r="I189" i="79"/>
  <c r="I176" i="79" s="1"/>
  <c r="AF233" i="101"/>
  <c r="L42" i="79"/>
  <c r="L29" i="79" s="1"/>
  <c r="AE43" i="79"/>
  <c r="AB43" i="79"/>
  <c r="AG43" i="79" s="1"/>
  <c r="AA79" i="79"/>
  <c r="AD79" i="79"/>
  <c r="AG47" i="101"/>
  <c r="AG166" i="101"/>
  <c r="AB202" i="79"/>
  <c r="AE180" i="101"/>
  <c r="G180" i="79"/>
  <c r="AF250" i="101"/>
  <c r="AG169" i="101"/>
  <c r="AF218" i="101"/>
  <c r="AE53" i="101"/>
  <c r="AG53" i="101" s="1"/>
  <c r="AF31" i="101"/>
  <c r="AD112" i="79"/>
  <c r="AA112" i="79"/>
  <c r="AF112" i="79" s="1"/>
  <c r="AD127" i="79"/>
  <c r="AA127" i="79"/>
  <c r="AF127" i="79" s="1"/>
  <c r="AF166" i="101"/>
  <c r="AD6" i="101"/>
  <c r="E26" i="101"/>
  <c r="E27" i="101" s="1"/>
  <c r="AA6" i="101"/>
  <c r="AF6" i="101" s="1"/>
  <c r="E7" i="106"/>
  <c r="E9" i="106" s="1"/>
  <c r="AD53" i="101"/>
  <c r="AA34" i="79"/>
  <c r="AF34" i="79" s="1"/>
  <c r="D29" i="101"/>
  <c r="E258" i="121"/>
  <c r="E261" i="121" s="1"/>
  <c r="E263" i="121" s="1"/>
  <c r="AG98" i="101"/>
  <c r="AF172" i="101"/>
  <c r="AG203" i="101"/>
  <c r="AA167" i="79"/>
  <c r="AF167" i="79" s="1"/>
  <c r="AF80" i="101"/>
  <c r="AE214" i="79"/>
  <c r="AG214" i="79" s="1"/>
  <c r="H115" i="79"/>
  <c r="AE115" i="79" s="1"/>
  <c r="L258" i="121"/>
  <c r="L261" i="121" s="1"/>
  <c r="L263" i="121" s="1"/>
  <c r="AE31" i="79"/>
  <c r="K26" i="101"/>
  <c r="K27" i="101" s="1"/>
  <c r="AE267" i="121"/>
  <c r="AD34" i="79"/>
  <c r="AB179" i="79"/>
  <c r="AG179" i="79" s="1"/>
  <c r="AB44" i="79"/>
  <c r="AG44" i="79" s="1"/>
  <c r="AE202" i="79"/>
  <c r="AE15" i="79"/>
  <c r="AG15" i="79" s="1"/>
  <c r="C200" i="79"/>
  <c r="AD200" i="79" s="1"/>
  <c r="AE119" i="79"/>
  <c r="AB31" i="79"/>
  <c r="AG31" i="79" s="1"/>
  <c r="AE104" i="79"/>
  <c r="AG104" i="79" s="1"/>
  <c r="AB130" i="79"/>
  <c r="AG130" i="79" s="1"/>
  <c r="T267" i="101"/>
  <c r="G29" i="101"/>
  <c r="G258" i="101" s="1"/>
  <c r="G261" i="101" s="1"/>
  <c r="G263" i="101" s="1"/>
  <c r="G266" i="101" s="1"/>
  <c r="AF158" i="101"/>
  <c r="AG42" i="121"/>
  <c r="Q265" i="121"/>
  <c r="Q266" i="121"/>
  <c r="AF67" i="101"/>
  <c r="Y266" i="121"/>
  <c r="Y265" i="121"/>
  <c r="F267" i="101"/>
  <c r="F26" i="101"/>
  <c r="F27" i="101" s="1"/>
  <c r="AG159" i="101"/>
  <c r="AF256" i="101"/>
  <c r="AG188" i="101"/>
  <c r="AF98" i="101"/>
  <c r="AG60" i="101"/>
  <c r="AG12" i="101"/>
  <c r="F27" i="121"/>
  <c r="AE26" i="121"/>
  <c r="AF223" i="101"/>
  <c r="AG214" i="101"/>
  <c r="AF216" i="101"/>
  <c r="AE42" i="101"/>
  <c r="AG42" i="101" s="1"/>
  <c r="AE109" i="79"/>
  <c r="AG109" i="79" s="1"/>
  <c r="AF114" i="101"/>
  <c r="E16" i="79"/>
  <c r="AB29" i="121"/>
  <c r="AE29" i="121"/>
  <c r="AG29" i="121" s="1"/>
  <c r="AA107" i="79"/>
  <c r="AF107" i="79" s="1"/>
  <c r="AG169" i="79"/>
  <c r="AE127" i="79"/>
  <c r="AG122" i="79"/>
  <c r="AG83" i="79"/>
  <c r="AB7" i="79"/>
  <c r="AB128" i="79"/>
  <c r="AG128" i="79" s="1"/>
  <c r="AE179" i="79"/>
  <c r="AE44" i="79"/>
  <c r="AD105" i="79"/>
  <c r="Y9" i="106"/>
  <c r="AF24" i="79"/>
  <c r="W9" i="106"/>
  <c r="AG105" i="79"/>
  <c r="AA33" i="101"/>
  <c r="AF33" i="101" s="1"/>
  <c r="T268" i="121"/>
  <c r="T266" i="121"/>
  <c r="T265" i="121"/>
  <c r="AG237" i="101"/>
  <c r="AG200" i="121"/>
  <c r="AG66" i="101"/>
  <c r="AG235" i="101"/>
  <c r="AG122" i="101"/>
  <c r="AG243" i="101"/>
  <c r="AG84" i="101"/>
  <c r="X26" i="101"/>
  <c r="X27" i="101" s="1"/>
  <c r="AF91" i="101"/>
  <c r="AF235" i="101"/>
  <c r="AF251" i="101"/>
  <c r="AF213" i="101"/>
  <c r="AG99" i="101"/>
  <c r="AF100" i="101"/>
  <c r="AG217" i="101"/>
  <c r="AG58" i="101"/>
  <c r="AF20" i="101"/>
  <c r="AB267" i="121"/>
  <c r="AG6" i="121"/>
  <c r="AG44" i="101"/>
  <c r="AG50" i="101"/>
  <c r="AG129" i="101"/>
  <c r="I266" i="121"/>
  <c r="I265" i="121"/>
  <c r="AG76" i="101"/>
  <c r="AF133" i="79"/>
  <c r="L26" i="101"/>
  <c r="L27" i="101" s="1"/>
  <c r="AG73" i="101"/>
  <c r="V258" i="121"/>
  <c r="V261" i="121" s="1"/>
  <c r="V263" i="121" s="1"/>
  <c r="AF169" i="79"/>
  <c r="AG139" i="79"/>
  <c r="AE99" i="79"/>
  <c r="AG99" i="79" s="1"/>
  <c r="AE7" i="79"/>
  <c r="AA82" i="79"/>
  <c r="AF82" i="79" s="1"/>
  <c r="AF9" i="106"/>
  <c r="AB174" i="79"/>
  <c r="AG174" i="79" s="1"/>
  <c r="AB18" i="79"/>
  <c r="AE12" i="79"/>
  <c r="AG12" i="79" s="1"/>
  <c r="AA23" i="79"/>
  <c r="AG190" i="101"/>
  <c r="X268" i="121"/>
  <c r="X266" i="121"/>
  <c r="X265" i="121"/>
  <c r="AF215" i="101"/>
  <c r="AB106" i="101"/>
  <c r="AG106" i="101" s="1"/>
  <c r="AG74" i="101"/>
  <c r="AF244" i="101"/>
  <c r="AF84" i="101"/>
  <c r="AF227" i="101"/>
  <c r="AG105" i="101"/>
  <c r="L176" i="101"/>
  <c r="L258" i="101" s="1"/>
  <c r="L261" i="101" s="1"/>
  <c r="AG80" i="101"/>
  <c r="AB53" i="101"/>
  <c r="AG55" i="101"/>
  <c r="AB26" i="121"/>
  <c r="AB27" i="121" s="1"/>
  <c r="AG144" i="101"/>
  <c r="AF188" i="101"/>
  <c r="AF160" i="79"/>
  <c r="AA230" i="79"/>
  <c r="AF230" i="79" s="1"/>
  <c r="AE93" i="79"/>
  <c r="AG93" i="79" s="1"/>
  <c r="AA7" i="79"/>
  <c r="AF7" i="79" s="1"/>
  <c r="AE257" i="79"/>
  <c r="AG257" i="79" s="1"/>
  <c r="AA71" i="79"/>
  <c r="AF71" i="79" s="1"/>
  <c r="AG162" i="101"/>
  <c r="AF210" i="101"/>
  <c r="AG219" i="101"/>
  <c r="AF11" i="101"/>
  <c r="AG145" i="101"/>
  <c r="AF16" i="121"/>
  <c r="AG100" i="101"/>
  <c r="AG227" i="101"/>
  <c r="AG118" i="101"/>
  <c r="AF185" i="101"/>
  <c r="AG245" i="101"/>
  <c r="AF50" i="101"/>
  <c r="AF221" i="101"/>
  <c r="AG88" i="101"/>
  <c r="F258" i="121"/>
  <c r="F261" i="121" s="1"/>
  <c r="F263" i="121" s="1"/>
  <c r="AF17" i="101"/>
  <c r="AG216" i="101"/>
  <c r="AD23" i="79"/>
  <c r="AG198" i="101"/>
  <c r="AG71" i="79"/>
  <c r="AG108" i="101"/>
  <c r="AD95" i="79"/>
  <c r="AD123" i="79"/>
  <c r="AF123" i="79" s="1"/>
  <c r="C33" i="79"/>
  <c r="AD33" i="79" s="1"/>
  <c r="AB160" i="79"/>
  <c r="AG160" i="79" s="1"/>
  <c r="AE18" i="79"/>
  <c r="AA190" i="79"/>
  <c r="W258" i="101"/>
  <c r="W261" i="101" s="1"/>
  <c r="W263" i="101" s="1"/>
  <c r="W266" i="101" s="1"/>
  <c r="AB65" i="101"/>
  <c r="AG132" i="101"/>
  <c r="AG256" i="101"/>
  <c r="AB28" i="121"/>
  <c r="AG156" i="101"/>
  <c r="AF92" i="101"/>
  <c r="AG53" i="121"/>
  <c r="AF118" i="101"/>
  <c r="AF41" i="101"/>
  <c r="AG183" i="101"/>
  <c r="M26" i="101"/>
  <c r="M27" i="101" s="1"/>
  <c r="AF61" i="101"/>
  <c r="AG24" i="101"/>
  <c r="AA194" i="79"/>
  <c r="AF151" i="101"/>
  <c r="AG179" i="101"/>
  <c r="C189" i="79"/>
  <c r="AF148" i="79"/>
  <c r="AD26" i="121"/>
  <c r="C27" i="121"/>
  <c r="AA26" i="121"/>
  <c r="AA27" i="121" s="1"/>
  <c r="AG127" i="101"/>
  <c r="AD30" i="101"/>
  <c r="AF30" i="101" s="1"/>
  <c r="AG255" i="101"/>
  <c r="AF207" i="101"/>
  <c r="AE28" i="121"/>
  <c r="AF35" i="101"/>
  <c r="AF83" i="101"/>
  <c r="AG96" i="101"/>
  <c r="AF74" i="101"/>
  <c r="AF58" i="101"/>
  <c r="AG36" i="101"/>
  <c r="AG233" i="101"/>
  <c r="AG95" i="101"/>
  <c r="AF164" i="101"/>
  <c r="AG93" i="101"/>
  <c r="K258" i="101"/>
  <c r="K261" i="101" s="1"/>
  <c r="K263" i="101" s="1"/>
  <c r="K265" i="101" s="1"/>
  <c r="AF6" i="121"/>
  <c r="AG165" i="101"/>
  <c r="AF243" i="79"/>
  <c r="AF72" i="79"/>
  <c r="H9" i="106"/>
  <c r="AF195" i="79"/>
  <c r="AC7" i="106"/>
  <c r="AG207" i="101"/>
  <c r="AG170" i="101"/>
  <c r="AE176" i="121"/>
  <c r="AB176" i="121"/>
  <c r="AG176" i="121" s="1"/>
  <c r="AG224" i="101"/>
  <c r="AG117" i="101"/>
  <c r="AG125" i="101"/>
  <c r="AG191" i="101"/>
  <c r="Z267" i="101"/>
  <c r="AK7" i="106"/>
  <c r="AF134" i="101"/>
  <c r="AG104" i="101"/>
  <c r="AF247" i="101"/>
  <c r="AF111" i="101"/>
  <c r="AG23" i="101"/>
  <c r="AF57" i="79"/>
  <c r="S9" i="106"/>
  <c r="AF154" i="79"/>
  <c r="AG84" i="79"/>
  <c r="AF126" i="79"/>
  <c r="AF131" i="79"/>
  <c r="AG86" i="79"/>
  <c r="AF70" i="79"/>
  <c r="AG234" i="79"/>
  <c r="O102" i="79"/>
  <c r="AG75" i="79"/>
  <c r="X258" i="101"/>
  <c r="X261" i="101" s="1"/>
  <c r="AF52" i="79"/>
  <c r="F258" i="101"/>
  <c r="F261" i="101" s="1"/>
  <c r="AB65" i="79"/>
  <c r="M29" i="79"/>
  <c r="AF19" i="79"/>
  <c r="AF170" i="79"/>
  <c r="T29" i="79"/>
  <c r="AF64" i="79"/>
  <c r="AG226" i="79"/>
  <c r="AF22" i="79"/>
  <c r="AF51" i="79"/>
  <c r="AG168" i="79"/>
  <c r="J258" i="101"/>
  <c r="J261" i="101" s="1"/>
  <c r="AF214" i="79"/>
  <c r="W16" i="106"/>
  <c r="AG251" i="79"/>
  <c r="AG35" i="79"/>
  <c r="AF262" i="79"/>
  <c r="AF69" i="79"/>
  <c r="AF38" i="79"/>
  <c r="AF259" i="79"/>
  <c r="S176" i="79"/>
  <c r="AF234" i="79"/>
  <c r="M176" i="79"/>
  <c r="AF105" i="79"/>
  <c r="N29" i="79"/>
  <c r="AF95" i="79"/>
  <c r="AF94" i="79"/>
  <c r="AF153" i="79"/>
  <c r="AG238" i="79"/>
  <c r="AF178" i="79"/>
  <c r="AG113" i="79"/>
  <c r="AG89" i="79"/>
  <c r="AG132" i="79"/>
  <c r="AF21" i="79"/>
  <c r="AG107" i="79"/>
  <c r="AF99" i="79"/>
  <c r="AG219" i="79"/>
  <c r="AG79" i="79"/>
  <c r="AG60" i="79"/>
  <c r="AG52" i="79"/>
  <c r="AG77" i="79"/>
  <c r="AG32" i="79"/>
  <c r="AG242" i="79"/>
  <c r="AG125" i="79"/>
  <c r="AG96" i="79"/>
  <c r="AG156" i="79"/>
  <c r="AG37" i="79"/>
  <c r="Z102" i="79"/>
  <c r="AG241" i="79"/>
  <c r="AF58" i="79"/>
  <c r="AG87" i="79"/>
  <c r="AG36" i="79"/>
  <c r="AG24" i="79"/>
  <c r="AG38" i="79"/>
  <c r="AE29" i="101"/>
  <c r="AB29" i="101"/>
  <c r="AF137" i="79"/>
  <c r="AF89" i="79"/>
  <c r="I266" i="101"/>
  <c r="K16" i="106"/>
  <c r="I265" i="101"/>
  <c r="AF241" i="79"/>
  <c r="AF100" i="79"/>
  <c r="AG209" i="79"/>
  <c r="AG121" i="79"/>
  <c r="AF163" i="79"/>
  <c r="P29" i="79"/>
  <c r="AF245" i="79"/>
  <c r="AF145" i="79"/>
  <c r="AG225" i="79"/>
  <c r="AG165" i="79"/>
  <c r="AG175" i="79"/>
  <c r="M102" i="79"/>
  <c r="AF144" i="79"/>
  <c r="AF37" i="79"/>
  <c r="AG166" i="79"/>
  <c r="S26" i="79"/>
  <c r="S27" i="79" s="1"/>
  <c r="AG55" i="79"/>
  <c r="AG25" i="79"/>
  <c r="AG233" i="79"/>
  <c r="C27" i="101"/>
  <c r="C261" i="101"/>
  <c r="AF143" i="79"/>
  <c r="AG198" i="79"/>
  <c r="AF78" i="79"/>
  <c r="AF97" i="79"/>
  <c r="AF101" i="79"/>
  <c r="AG100" i="79"/>
  <c r="AF179" i="79"/>
  <c r="AG54" i="79"/>
  <c r="AG114" i="79"/>
  <c r="AF113" i="79"/>
  <c r="O176" i="79"/>
  <c r="M26" i="79"/>
  <c r="M27" i="79" s="1"/>
  <c r="AF175" i="79"/>
  <c r="S266" i="101"/>
  <c r="S265" i="101"/>
  <c r="Z16" i="106"/>
  <c r="R263" i="100"/>
  <c r="U266" i="100"/>
  <c r="U265" i="100"/>
  <c r="AC15" i="106"/>
  <c r="D261" i="100"/>
  <c r="T263" i="100"/>
  <c r="G265" i="100"/>
  <c r="H15" i="106"/>
  <c r="G266" i="100"/>
  <c r="L263" i="100"/>
  <c r="H263" i="100"/>
  <c r="N27" i="100"/>
  <c r="AB26" i="100"/>
  <c r="AB27" i="100" s="1"/>
  <c r="AF194" i="79"/>
  <c r="U102" i="79"/>
  <c r="J258" i="100"/>
  <c r="J261" i="100" s="1"/>
  <c r="AF224" i="79"/>
  <c r="X102" i="79"/>
  <c r="AG235" i="79"/>
  <c r="AG154" i="79"/>
  <c r="AG41" i="79"/>
  <c r="AG76" i="79"/>
  <c r="AG203" i="79"/>
  <c r="AF20" i="79"/>
  <c r="AF246" i="79"/>
  <c r="AF207" i="79"/>
  <c r="Y265" i="100"/>
  <c r="Y266" i="100"/>
  <c r="AI15" i="106"/>
  <c r="AG200" i="100"/>
  <c r="AG181" i="79"/>
  <c r="AF25" i="79"/>
  <c r="C102" i="79"/>
  <c r="AG145" i="79"/>
  <c r="L26" i="79"/>
  <c r="L27" i="79" s="1"/>
  <c r="T176" i="79"/>
  <c r="AF12" i="79"/>
  <c r="AD30" i="79"/>
  <c r="AF46" i="79"/>
  <c r="AG147" i="79"/>
  <c r="AF16" i="100"/>
  <c r="AG6" i="100"/>
  <c r="AB267" i="100"/>
  <c r="AG267" i="100" s="1"/>
  <c r="AD28" i="100"/>
  <c r="AD266" i="100" s="1"/>
  <c r="AA28" i="100"/>
  <c r="AF28" i="100" s="1"/>
  <c r="AG65" i="100"/>
  <c r="AE28" i="100"/>
  <c r="AG28" i="100" s="1"/>
  <c r="W15" i="106"/>
  <c r="Q266" i="100"/>
  <c r="Q265" i="100"/>
  <c r="AG217" i="79"/>
  <c r="AG187" i="79"/>
  <c r="AF62" i="79"/>
  <c r="AF244" i="79"/>
  <c r="X28" i="79"/>
  <c r="AF197" i="79"/>
  <c r="AF120" i="79"/>
  <c r="AG170" i="79"/>
  <c r="AF260" i="79"/>
  <c r="AG199" i="79"/>
  <c r="AF74" i="79"/>
  <c r="Z267" i="79"/>
  <c r="AG142" i="79"/>
  <c r="M258" i="100"/>
  <c r="M261" i="100" s="1"/>
  <c r="M263" i="100" s="1"/>
  <c r="Z263" i="100"/>
  <c r="P263" i="100"/>
  <c r="X263" i="100"/>
  <c r="AG16" i="100"/>
  <c r="W265" i="100"/>
  <c r="W266" i="100"/>
  <c r="AF15" i="106"/>
  <c r="U176" i="79"/>
  <c r="AF231" i="79"/>
  <c r="AF188" i="79"/>
  <c r="AG229" i="79"/>
  <c r="G28" i="79"/>
  <c r="AF56" i="79"/>
  <c r="AF42" i="100"/>
  <c r="Z15" i="106"/>
  <c r="S265" i="100"/>
  <c r="S266" i="100"/>
  <c r="AF30" i="100"/>
  <c r="N263" i="100"/>
  <c r="V263" i="100"/>
  <c r="AF124" i="79"/>
  <c r="AF237" i="79"/>
  <c r="K266" i="100"/>
  <c r="K265" i="100"/>
  <c r="N15" i="106"/>
  <c r="AF211" i="79"/>
  <c r="L267" i="79"/>
  <c r="AF136" i="79"/>
  <c r="AF247" i="79"/>
  <c r="AF161" i="79"/>
  <c r="AF249" i="79"/>
  <c r="P176" i="79"/>
  <c r="AG11" i="79"/>
  <c r="AE102" i="100"/>
  <c r="I265" i="100"/>
  <c r="K15" i="106"/>
  <c r="I266" i="100"/>
  <c r="N26" i="79"/>
  <c r="N27" i="79" s="1"/>
  <c r="AF228" i="79"/>
  <c r="AD26" i="100"/>
  <c r="C27" i="100"/>
  <c r="AE264" i="100" s="1"/>
  <c r="AG264" i="100" s="1"/>
  <c r="AA26" i="100"/>
  <c r="AA27" i="100" s="1"/>
  <c r="AF86" i="79"/>
  <c r="N267" i="79"/>
  <c r="O265" i="100"/>
  <c r="T15" i="106"/>
  <c r="O266" i="100"/>
  <c r="Y102" i="79"/>
  <c r="E266" i="100"/>
  <c r="E265" i="100"/>
  <c r="E15" i="106"/>
  <c r="AE176" i="100"/>
  <c r="AB176" i="100"/>
  <c r="O29" i="79"/>
  <c r="F258" i="100"/>
  <c r="F261" i="100" s="1"/>
  <c r="AF205" i="79"/>
  <c r="AG143" i="79"/>
  <c r="AF75" i="79"/>
  <c r="AD29" i="100"/>
  <c r="AF29" i="100" s="1"/>
  <c r="AA29" i="100"/>
  <c r="AF26" i="100"/>
  <c r="AG211" i="79"/>
  <c r="C261" i="100"/>
  <c r="AF65" i="100"/>
  <c r="AG189" i="100"/>
  <c r="T28" i="79"/>
  <c r="AG20" i="79"/>
  <c r="AE29" i="100"/>
  <c r="AG29" i="100" s="1"/>
  <c r="AB29" i="100"/>
  <c r="AF172" i="79"/>
  <c r="AG188" i="79"/>
  <c r="AF156" i="79"/>
  <c r="AF166" i="79"/>
  <c r="R29" i="79"/>
  <c r="AF50" i="79"/>
  <c r="AF129" i="79"/>
  <c r="AF85" i="79"/>
  <c r="Y29" i="79"/>
  <c r="AF6" i="100"/>
  <c r="T14" i="106"/>
  <c r="O266" i="103"/>
  <c r="O265" i="103"/>
  <c r="Y265" i="103"/>
  <c r="AI14" i="106"/>
  <c r="Y266" i="103"/>
  <c r="G265" i="103"/>
  <c r="G266" i="103"/>
  <c r="H14" i="106"/>
  <c r="D261" i="103"/>
  <c r="AE258" i="103"/>
  <c r="AB258" i="103"/>
  <c r="X263" i="103"/>
  <c r="N263" i="103"/>
  <c r="AA138" i="79"/>
  <c r="AL5" i="106"/>
  <c r="E14" i="106"/>
  <c r="E265" i="103"/>
  <c r="E266" i="103"/>
  <c r="Y176" i="79"/>
  <c r="AG239" i="79"/>
  <c r="AG194" i="79"/>
  <c r="AG123" i="79"/>
  <c r="AF257" i="79"/>
  <c r="AG62" i="79"/>
  <c r="AF248" i="79"/>
  <c r="AF190" i="79"/>
  <c r="D27" i="103"/>
  <c r="AE26" i="103"/>
  <c r="AB26" i="103"/>
  <c r="AB27" i="103" s="1"/>
  <c r="AE102" i="103"/>
  <c r="AB102" i="103"/>
  <c r="AG102" i="103" s="1"/>
  <c r="AB176" i="103"/>
  <c r="AG176" i="103" s="1"/>
  <c r="F263" i="103"/>
  <c r="Z263" i="103"/>
  <c r="AF250" i="79"/>
  <c r="AF225" i="79"/>
  <c r="AF11" i="79"/>
  <c r="O26" i="79"/>
  <c r="O27" i="79" s="1"/>
  <c r="AG119" i="79"/>
  <c r="V176" i="79"/>
  <c r="AD138" i="79"/>
  <c r="AE267" i="103"/>
  <c r="AM6" i="106"/>
  <c r="AN6" i="106"/>
  <c r="AG61" i="79"/>
  <c r="X176" i="79"/>
  <c r="AF108" i="79"/>
  <c r="AF186" i="79"/>
  <c r="AN5" i="106"/>
  <c r="AG108" i="79"/>
  <c r="AG172" i="79"/>
  <c r="AG48" i="79"/>
  <c r="AG185" i="79"/>
  <c r="J176" i="79"/>
  <c r="Z29" i="79"/>
  <c r="AF150" i="79"/>
  <c r="AG97" i="79"/>
  <c r="AG69" i="79"/>
  <c r="AG161" i="79"/>
  <c r="Y26" i="79"/>
  <c r="Y27" i="79" s="1"/>
  <c r="AG74" i="79"/>
  <c r="AG129" i="79"/>
  <c r="AF226" i="79"/>
  <c r="AF202" i="79"/>
  <c r="AG50" i="79"/>
  <c r="AG131" i="79"/>
  <c r="R263" i="103"/>
  <c r="N28" i="79"/>
  <c r="AD28" i="103"/>
  <c r="AD266" i="103" s="1"/>
  <c r="AG250" i="79"/>
  <c r="AF141" i="79"/>
  <c r="AF201" i="79"/>
  <c r="J29" i="79"/>
  <c r="Q29" i="79"/>
  <c r="J258" i="103"/>
  <c r="J261" i="103" s="1"/>
  <c r="AG53" i="103"/>
  <c r="AF65" i="103"/>
  <c r="AE29" i="103"/>
  <c r="AG29" i="103" s="1"/>
  <c r="AB29" i="103"/>
  <c r="T258" i="103"/>
  <c r="T261" i="103" s="1"/>
  <c r="AA28" i="103"/>
  <c r="AA258" i="103" s="1"/>
  <c r="P263" i="103"/>
  <c r="AF242" i="79"/>
  <c r="AE65" i="79"/>
  <c r="AG65" i="79" s="1"/>
  <c r="Q266" i="103"/>
  <c r="W14" i="106"/>
  <c r="Q265" i="103"/>
  <c r="AF114" i="79"/>
  <c r="AF217" i="79"/>
  <c r="AF208" i="79"/>
  <c r="C27" i="103"/>
  <c r="AA26" i="103"/>
  <c r="AA27" i="103" s="1"/>
  <c r="AD26" i="103"/>
  <c r="AF173" i="79"/>
  <c r="AF118" i="79"/>
  <c r="Q176" i="79"/>
  <c r="R102" i="79"/>
  <c r="F102" i="79"/>
  <c r="AF251" i="79"/>
  <c r="H176" i="79"/>
  <c r="AF142" i="79"/>
  <c r="AG19" i="79"/>
  <c r="W176" i="79"/>
  <c r="V29" i="79"/>
  <c r="T9" i="106"/>
  <c r="AG88" i="79"/>
  <c r="AG205" i="79"/>
  <c r="AF6" i="103"/>
  <c r="K28" i="79"/>
  <c r="K258" i="103"/>
  <c r="K261" i="103" s="1"/>
  <c r="K263" i="103" s="1"/>
  <c r="AF236" i="79"/>
  <c r="K29" i="79"/>
  <c r="AB28" i="103"/>
  <c r="AE28" i="103"/>
  <c r="S102" i="79"/>
  <c r="AG180" i="103"/>
  <c r="AA30" i="79"/>
  <c r="AG259" i="79"/>
  <c r="AF18" i="79"/>
  <c r="AG216" i="79"/>
  <c r="AF87" i="79"/>
  <c r="AF193" i="79"/>
  <c r="V102" i="79"/>
  <c r="U29" i="79"/>
  <c r="AF220" i="79"/>
  <c r="AG253" i="79"/>
  <c r="AF36" i="79"/>
  <c r="AF49" i="79"/>
  <c r="AG64" i="79"/>
  <c r="AF125" i="79"/>
  <c r="AF256" i="79"/>
  <c r="S29" i="79"/>
  <c r="E29" i="79"/>
  <c r="Z26" i="79"/>
  <c r="Z27" i="79" s="1"/>
  <c r="AG164" i="79"/>
  <c r="X29" i="79"/>
  <c r="AF16" i="103"/>
  <c r="AD29" i="103"/>
  <c r="AF29" i="103" s="1"/>
  <c r="L28" i="79"/>
  <c r="L258" i="103"/>
  <c r="L261" i="103" s="1"/>
  <c r="AG182" i="79"/>
  <c r="V263" i="103"/>
  <c r="AG70" i="79"/>
  <c r="AL6" i="106"/>
  <c r="AG118" i="79"/>
  <c r="AE266" i="103"/>
  <c r="AG193" i="79"/>
  <c r="AG80" i="79"/>
  <c r="S266" i="103"/>
  <c r="Z14" i="106"/>
  <c r="S265" i="103"/>
  <c r="AG254" i="79"/>
  <c r="AF204" i="79"/>
  <c r="AF184" i="79"/>
  <c r="AG81" i="79"/>
  <c r="Q102" i="79"/>
  <c r="AF81" i="79"/>
  <c r="AF181" i="79"/>
  <c r="AG144" i="79"/>
  <c r="AG94" i="79"/>
  <c r="C261" i="103"/>
  <c r="AG115" i="103"/>
  <c r="AF185" i="79"/>
  <c r="AC14" i="106"/>
  <c r="U266" i="103"/>
  <c r="U265" i="103"/>
  <c r="H263" i="103"/>
  <c r="AB267" i="103"/>
  <c r="AG267" i="103" s="1"/>
  <c r="AG6" i="103"/>
  <c r="AM7" i="106"/>
  <c r="W102" i="79"/>
  <c r="N176" i="79"/>
  <c r="P102" i="79"/>
  <c r="AG126" i="103"/>
  <c r="AG16" i="103"/>
  <c r="AG260" i="79"/>
  <c r="AF32" i="79"/>
  <c r="G102" i="79"/>
  <c r="AG252" i="79"/>
  <c r="AG149" i="79"/>
  <c r="AF213" i="79"/>
  <c r="AG183" i="79"/>
  <c r="AF39" i="79"/>
  <c r="K102" i="79"/>
  <c r="D261" i="82"/>
  <c r="AF253" i="79"/>
  <c r="AG68" i="79"/>
  <c r="AG202" i="79"/>
  <c r="Q266" i="82"/>
  <c r="Q265" i="82"/>
  <c r="W13" i="106"/>
  <c r="AG133" i="79"/>
  <c r="AF73" i="79"/>
  <c r="AB177" i="79"/>
  <c r="AE177" i="79"/>
  <c r="P263" i="82"/>
  <c r="J267" i="79"/>
  <c r="J26" i="79"/>
  <c r="J27" i="79" s="1"/>
  <c r="AG140" i="79"/>
  <c r="AF198" i="79"/>
  <c r="AG135" i="79"/>
  <c r="AF233" i="79"/>
  <c r="AG85" i="79"/>
  <c r="AG146" i="79"/>
  <c r="H26" i="79"/>
  <c r="H27" i="79" s="1"/>
  <c r="AF60" i="79"/>
  <c r="AG158" i="79"/>
  <c r="AE16" i="79"/>
  <c r="AB16" i="79"/>
  <c r="K265" i="82"/>
  <c r="N13" i="106"/>
  <c r="K266" i="82"/>
  <c r="AG53" i="82"/>
  <c r="S265" i="82"/>
  <c r="S266" i="82"/>
  <c r="Z13" i="106"/>
  <c r="AF187" i="79"/>
  <c r="AF252" i="79"/>
  <c r="AG163" i="79"/>
  <c r="AG215" i="79"/>
  <c r="D27" i="82"/>
  <c r="AE26" i="82"/>
  <c r="AB26" i="82"/>
  <c r="AB27" i="82" s="1"/>
  <c r="AD115" i="79"/>
  <c r="AA115" i="79"/>
  <c r="AG218" i="79"/>
  <c r="AA26" i="82"/>
  <c r="AA27" i="82" s="1"/>
  <c r="AG59" i="79"/>
  <c r="AG95" i="79"/>
  <c r="AG150" i="79"/>
  <c r="AG232" i="79"/>
  <c r="AF223" i="79"/>
  <c r="AF35" i="79"/>
  <c r="AF192" i="79"/>
  <c r="AG192" i="79"/>
  <c r="G265" i="82"/>
  <c r="H13" i="106"/>
  <c r="G266" i="82"/>
  <c r="AC13" i="106"/>
  <c r="U266" i="82"/>
  <c r="U265" i="82"/>
  <c r="AG58" i="79"/>
  <c r="AG236" i="79"/>
  <c r="R263" i="82"/>
  <c r="AF219" i="79"/>
  <c r="AG206" i="79"/>
  <c r="AG28" i="82"/>
  <c r="AF140" i="79"/>
  <c r="AF182" i="79"/>
  <c r="N263" i="82"/>
  <c r="W26" i="79"/>
  <c r="W27" i="79" s="1"/>
  <c r="AF76" i="79"/>
  <c r="AB267" i="82"/>
  <c r="AG6" i="82"/>
  <c r="AD29" i="82"/>
  <c r="AF29" i="82" s="1"/>
  <c r="AA29" i="82"/>
  <c r="AF47" i="79"/>
  <c r="AF254" i="79"/>
  <c r="AD26" i="82"/>
  <c r="F176" i="79"/>
  <c r="AF45" i="79"/>
  <c r="AF111" i="79"/>
  <c r="AG111" i="79"/>
  <c r="AG49" i="79"/>
  <c r="AF135" i="79"/>
  <c r="AF171" i="79"/>
  <c r="AF215" i="79"/>
  <c r="AG171" i="79"/>
  <c r="AA33" i="79"/>
  <c r="AF159" i="79"/>
  <c r="AF15" i="79"/>
  <c r="AG22" i="79"/>
  <c r="AA65" i="79"/>
  <c r="AD65" i="79"/>
  <c r="AG116" i="79"/>
  <c r="C261" i="82"/>
  <c r="AD258" i="82"/>
  <c r="R176" i="79"/>
  <c r="K176" i="79"/>
  <c r="AF31" i="79"/>
  <c r="AF134" i="79"/>
  <c r="AF199" i="79"/>
  <c r="AF43" i="79"/>
  <c r="AF91" i="79"/>
  <c r="AG120" i="79"/>
  <c r="G176" i="79"/>
  <c r="AF40" i="79"/>
  <c r="AF191" i="79"/>
  <c r="AF139" i="79"/>
  <c r="AG221" i="79"/>
  <c r="AD28" i="82"/>
  <c r="AD266" i="82" s="1"/>
  <c r="AA28" i="82"/>
  <c r="C28" i="79"/>
  <c r="G9" i="106"/>
  <c r="AN4" i="106"/>
  <c r="AG245" i="79"/>
  <c r="AG51" i="79"/>
  <c r="AF157" i="79"/>
  <c r="AF210" i="79"/>
  <c r="AF158" i="79"/>
  <c r="AG42" i="82"/>
  <c r="X26" i="79"/>
  <c r="X27" i="79" s="1"/>
  <c r="X267" i="79"/>
  <c r="AF151" i="79"/>
  <c r="G29" i="79"/>
  <c r="W265" i="82"/>
  <c r="AF13" i="106"/>
  <c r="W266" i="82"/>
  <c r="E102" i="79"/>
  <c r="AG56" i="79"/>
  <c r="L263" i="82"/>
  <c r="AG40" i="79"/>
  <c r="AF48" i="79"/>
  <c r="AF149" i="79"/>
  <c r="AE30" i="79"/>
  <c r="AB30" i="79"/>
  <c r="Z176" i="79"/>
  <c r="AF84" i="79"/>
  <c r="E13" i="106"/>
  <c r="E266" i="82"/>
  <c r="E265" i="82"/>
  <c r="AG173" i="79"/>
  <c r="AF88" i="79"/>
  <c r="AF79" i="79"/>
  <c r="AF44" i="79"/>
  <c r="AG167" i="79"/>
  <c r="AF162" i="79"/>
  <c r="AD42" i="79"/>
  <c r="AA42" i="79"/>
  <c r="AD53" i="79"/>
  <c r="AA53" i="79"/>
  <c r="AF42" i="82"/>
  <c r="T263" i="82"/>
  <c r="AF6" i="82"/>
  <c r="AD180" i="79"/>
  <c r="AA180" i="79"/>
  <c r="AG230" i="79"/>
  <c r="AF229" i="79"/>
  <c r="K26" i="79"/>
  <c r="K27" i="79" s="1"/>
  <c r="AG184" i="79"/>
  <c r="AB29" i="82"/>
  <c r="AE29" i="82"/>
  <c r="AG29" i="82" s="1"/>
  <c r="W29" i="79"/>
  <c r="V267" i="79"/>
  <c r="V26" i="79"/>
  <c r="V27" i="79" s="1"/>
  <c r="H29" i="79"/>
  <c r="AA106" i="79"/>
  <c r="AG247" i="79"/>
  <c r="AF239" i="79"/>
  <c r="AB200" i="79"/>
  <c r="AE200" i="79"/>
  <c r="AF116" i="79"/>
  <c r="N102" i="79"/>
  <c r="AG222" i="79"/>
  <c r="Z266" i="82"/>
  <c r="AK13" i="106"/>
  <c r="Z265" i="82"/>
  <c r="Z268" i="82"/>
  <c r="AG195" i="79"/>
  <c r="R26" i="79"/>
  <c r="R27" i="79" s="1"/>
  <c r="R267" i="79"/>
  <c r="Y266" i="82"/>
  <c r="AI13" i="106"/>
  <c r="Y265" i="82"/>
  <c r="P267" i="79"/>
  <c r="P26" i="79"/>
  <c r="P27" i="79" s="1"/>
  <c r="M266" i="82"/>
  <c r="M265" i="82"/>
  <c r="Q13" i="106"/>
  <c r="AG66" i="79"/>
  <c r="X263" i="82"/>
  <c r="AF221" i="79"/>
  <c r="AG243" i="79"/>
  <c r="AE180" i="79"/>
  <c r="AB180" i="79"/>
  <c r="AG180" i="79" s="1"/>
  <c r="AF222" i="79"/>
  <c r="U26" i="79"/>
  <c r="U27" i="79" s="1"/>
  <c r="AF33" i="82"/>
  <c r="O266" i="82"/>
  <c r="O265" i="82"/>
  <c r="T13" i="106"/>
  <c r="AG92" i="79"/>
  <c r="AA103" i="79"/>
  <c r="AF92" i="79"/>
  <c r="Q26" i="79"/>
  <c r="Q27" i="79" s="1"/>
  <c r="AE103" i="79"/>
  <c r="AB103" i="79"/>
  <c r="H263" i="82"/>
  <c r="AG155" i="79"/>
  <c r="AG39" i="79"/>
  <c r="AF67" i="79"/>
  <c r="AF235" i="79"/>
  <c r="AE267" i="82"/>
  <c r="AF232" i="79"/>
  <c r="AD177" i="79"/>
  <c r="AA177" i="79"/>
  <c r="T26" i="79"/>
  <c r="T27" i="79" s="1"/>
  <c r="T267" i="79"/>
  <c r="AG134" i="79"/>
  <c r="AF53" i="82"/>
  <c r="V263" i="82"/>
  <c r="J28" i="79"/>
  <c r="J258" i="82"/>
  <c r="J261" i="82" s="1"/>
  <c r="AL4" i="106"/>
  <c r="AF119" i="79"/>
  <c r="AF121" i="79"/>
  <c r="AG47" i="79"/>
  <c r="AF165" i="79"/>
  <c r="AF8" i="79"/>
  <c r="AG255" i="79"/>
  <c r="AG73" i="79"/>
  <c r="AG152" i="79"/>
  <c r="AG91" i="79"/>
  <c r="AF80" i="79"/>
  <c r="AG191" i="79"/>
  <c r="AD103" i="79"/>
  <c r="AF90" i="79"/>
  <c r="AF68" i="79"/>
  <c r="AF209" i="79"/>
  <c r="AG162" i="79"/>
  <c r="AG23" i="79"/>
  <c r="K18" i="106" l="1"/>
  <c r="AG18" i="79"/>
  <c r="AG27" i="100"/>
  <c r="AE264" i="103"/>
  <c r="AG264" i="103" s="1"/>
  <c r="AE258" i="82"/>
  <c r="AB258" i="82"/>
  <c r="AD258" i="100"/>
  <c r="AG26" i="100"/>
  <c r="AF23" i="79"/>
  <c r="J265" i="121"/>
  <c r="Q266" i="101"/>
  <c r="J268" i="121"/>
  <c r="X263" i="101"/>
  <c r="AD264" i="121"/>
  <c r="AE28" i="101"/>
  <c r="H267" i="79"/>
  <c r="AE6" i="79"/>
  <c r="AG26" i="120"/>
  <c r="U266" i="101"/>
  <c r="Z266" i="120"/>
  <c r="Z265" i="120"/>
  <c r="D26" i="79"/>
  <c r="D27" i="79" s="1"/>
  <c r="AG267" i="121"/>
  <c r="AE264" i="120"/>
  <c r="AN8" i="106"/>
  <c r="AF26" i="121"/>
  <c r="D258" i="101"/>
  <c r="D261" i="101" s="1"/>
  <c r="K265" i="121"/>
  <c r="AG6" i="101"/>
  <c r="AE264" i="121"/>
  <c r="AB6" i="79"/>
  <c r="AB258" i="120"/>
  <c r="AD6" i="79"/>
  <c r="AE267" i="79" s="1"/>
  <c r="U265" i="101"/>
  <c r="AB26" i="101"/>
  <c r="AB27" i="101" s="1"/>
  <c r="Z263" i="101"/>
  <c r="Z265" i="101" s="1"/>
  <c r="P263" i="101"/>
  <c r="P266" i="101" s="1"/>
  <c r="AE264" i="79"/>
  <c r="AD29" i="101"/>
  <c r="AB53" i="79"/>
  <c r="AG65" i="101"/>
  <c r="E26" i="79"/>
  <c r="E27" i="79" s="1"/>
  <c r="L176" i="79"/>
  <c r="L258" i="79" s="1"/>
  <c r="L261" i="79" s="1"/>
  <c r="L263" i="79" s="1"/>
  <c r="L266" i="79" s="1"/>
  <c r="AG176" i="120"/>
  <c r="J102" i="79"/>
  <c r="AE102" i="79" s="1"/>
  <c r="K266" i="101"/>
  <c r="F29" i="79"/>
  <c r="AG16" i="79"/>
  <c r="AF96" i="79"/>
  <c r="AB261" i="120"/>
  <c r="AB263" i="120" s="1"/>
  <c r="R266" i="120"/>
  <c r="R268" i="120"/>
  <c r="R265" i="120"/>
  <c r="AE258" i="120"/>
  <c r="AG258" i="120" s="1"/>
  <c r="AG7" i="79"/>
  <c r="H265" i="120"/>
  <c r="H266" i="120"/>
  <c r="H268" i="120"/>
  <c r="M258" i="101"/>
  <c r="M261" i="101" s="1"/>
  <c r="M263" i="101" s="1"/>
  <c r="H16" i="106"/>
  <c r="H18" i="106" s="1"/>
  <c r="T266" i="120"/>
  <c r="T268" i="120"/>
  <c r="T265" i="120"/>
  <c r="D28" i="79"/>
  <c r="AE28" i="79" s="1"/>
  <c r="AK9" i="106"/>
  <c r="AF26" i="120"/>
  <c r="AD258" i="120"/>
  <c r="AF258" i="120" s="1"/>
  <c r="C261" i="120"/>
  <c r="D263" i="120"/>
  <c r="AE261" i="120"/>
  <c r="C176" i="79"/>
  <c r="AE27" i="120"/>
  <c r="AG27" i="120" s="1"/>
  <c r="AB28" i="101"/>
  <c r="AG28" i="101" s="1"/>
  <c r="N16" i="106"/>
  <c r="AB33" i="79"/>
  <c r="AG33" i="79" s="1"/>
  <c r="D29" i="79"/>
  <c r="AE29" i="79" s="1"/>
  <c r="AG29" i="79" s="1"/>
  <c r="AG127" i="79"/>
  <c r="AA212" i="79"/>
  <c r="AF212" i="79" s="1"/>
  <c r="F26" i="79"/>
  <c r="F27" i="79" s="1"/>
  <c r="AA6" i="79"/>
  <c r="AB176" i="101"/>
  <c r="J263" i="101"/>
  <c r="AG17" i="79"/>
  <c r="T258" i="101"/>
  <c r="T261" i="101" s="1"/>
  <c r="T263" i="101" s="1"/>
  <c r="AF183" i="79"/>
  <c r="V265" i="120"/>
  <c r="V268" i="120"/>
  <c r="V266" i="120"/>
  <c r="N258" i="101"/>
  <c r="N261" i="101" s="1"/>
  <c r="AA261" i="120"/>
  <c r="AA263" i="120" s="1"/>
  <c r="AD264" i="79"/>
  <c r="AD27" i="120"/>
  <c r="AF27" i="120" s="1"/>
  <c r="F267" i="79"/>
  <c r="AG98" i="79"/>
  <c r="T258" i="79"/>
  <c r="T261" i="79" s="1"/>
  <c r="T263" i="79" s="1"/>
  <c r="T266" i="79" s="1"/>
  <c r="AG200" i="101"/>
  <c r="AG57" i="79"/>
  <c r="AM8" i="106"/>
  <c r="AE106" i="79"/>
  <c r="AG208" i="79"/>
  <c r="AF28" i="120"/>
  <c r="AA261" i="121"/>
  <c r="AA263" i="121" s="1"/>
  <c r="AD106" i="79"/>
  <c r="AF106" i="79" s="1"/>
  <c r="AA28" i="101"/>
  <c r="AA258" i="101" s="1"/>
  <c r="AD28" i="101"/>
  <c r="AD266" i="101" s="1"/>
  <c r="AF16" i="101"/>
  <c r="V265" i="121"/>
  <c r="V268" i="121"/>
  <c r="V266" i="121"/>
  <c r="H266" i="121"/>
  <c r="H268" i="121"/>
  <c r="H265" i="121"/>
  <c r="AL8" i="106"/>
  <c r="L263" i="101"/>
  <c r="P16" i="106" s="1"/>
  <c r="AG30" i="79"/>
  <c r="AA200" i="79"/>
  <c r="AF200" i="79" s="1"/>
  <c r="W265" i="101"/>
  <c r="AE26" i="101"/>
  <c r="AE27" i="101" s="1"/>
  <c r="AG157" i="79"/>
  <c r="AB189" i="79"/>
  <c r="AG189" i="79" s="1"/>
  <c r="AG102" i="121"/>
  <c r="AD258" i="121"/>
  <c r="AF258" i="121" s="1"/>
  <c r="C261" i="121"/>
  <c r="AL7" i="106"/>
  <c r="D263" i="121"/>
  <c r="AE261" i="121"/>
  <c r="O258" i="101"/>
  <c r="O261" i="101" s="1"/>
  <c r="O263" i="101" s="1"/>
  <c r="AB115" i="79"/>
  <c r="AF30" i="79"/>
  <c r="AG29" i="101"/>
  <c r="R263" i="101"/>
  <c r="R268" i="101" s="1"/>
  <c r="AC9" i="106"/>
  <c r="E266" i="121"/>
  <c r="E265" i="121"/>
  <c r="AA189" i="79"/>
  <c r="AE126" i="79"/>
  <c r="AG126" i="79" s="1"/>
  <c r="C29" i="79"/>
  <c r="AA29" i="79" s="1"/>
  <c r="H102" i="79"/>
  <c r="H258" i="79" s="1"/>
  <c r="H261" i="79" s="1"/>
  <c r="H263" i="79" s="1"/>
  <c r="AF16" i="106"/>
  <c r="AF18" i="106" s="1"/>
  <c r="D27" i="101"/>
  <c r="D102" i="79"/>
  <c r="AD189" i="79"/>
  <c r="AE42" i="79"/>
  <c r="G265" i="101"/>
  <c r="AA29" i="101"/>
  <c r="E28" i="79"/>
  <c r="E258" i="79" s="1"/>
  <c r="E261" i="79" s="1"/>
  <c r="E263" i="79" s="1"/>
  <c r="AB258" i="121"/>
  <c r="AG115" i="101"/>
  <c r="AF28" i="121"/>
  <c r="AB102" i="101"/>
  <c r="AG102" i="101" s="1"/>
  <c r="AE266" i="121"/>
  <c r="R268" i="121"/>
  <c r="R266" i="121"/>
  <c r="R265" i="121"/>
  <c r="AD16" i="79"/>
  <c r="AB42" i="79"/>
  <c r="AG26" i="121"/>
  <c r="AE258" i="121"/>
  <c r="E258" i="101"/>
  <c r="F265" i="121"/>
  <c r="F268" i="121"/>
  <c r="F266" i="121"/>
  <c r="AE189" i="79"/>
  <c r="AF77" i="79"/>
  <c r="O258" i="79"/>
  <c r="O261" i="79" s="1"/>
  <c r="O263" i="79" s="1"/>
  <c r="O265" i="79" s="1"/>
  <c r="AB212" i="79"/>
  <c r="AG212" i="79" s="1"/>
  <c r="AA16" i="79"/>
  <c r="D176" i="79"/>
  <c r="AE176" i="79" s="1"/>
  <c r="AN7" i="106"/>
  <c r="AD26" i="101"/>
  <c r="AG176" i="101"/>
  <c r="AI16" i="106"/>
  <c r="AI18" i="106" s="1"/>
  <c r="F263" i="101"/>
  <c r="F265" i="101" s="1"/>
  <c r="AB106" i="79"/>
  <c r="AA26" i="101"/>
  <c r="AA27" i="101" s="1"/>
  <c r="Y265" i="101"/>
  <c r="AE27" i="121"/>
  <c r="AG27" i="121" s="1"/>
  <c r="AG9" i="79"/>
  <c r="AE102" i="101"/>
  <c r="AE266" i="101" s="1"/>
  <c r="M258" i="79"/>
  <c r="M261" i="79" s="1"/>
  <c r="M263" i="79" s="1"/>
  <c r="M266" i="79" s="1"/>
  <c r="M265" i="121"/>
  <c r="M266" i="121"/>
  <c r="AD27" i="121"/>
  <c r="AF27" i="121" s="1"/>
  <c r="AG28" i="121"/>
  <c r="L265" i="121"/>
  <c r="L266" i="121"/>
  <c r="L268" i="121"/>
  <c r="V263" i="101"/>
  <c r="AE16" i="106" s="1"/>
  <c r="W18" i="106"/>
  <c r="AG115" i="79"/>
  <c r="AG267" i="101"/>
  <c r="U258" i="79"/>
  <c r="U261" i="79" s="1"/>
  <c r="U263" i="79" s="1"/>
  <c r="U266" i="79" s="1"/>
  <c r="C263" i="101"/>
  <c r="AF29" i="101"/>
  <c r="AG103" i="79"/>
  <c r="AF53" i="79"/>
  <c r="X266" i="101"/>
  <c r="AH16" i="106"/>
  <c r="X265" i="101"/>
  <c r="X268" i="101"/>
  <c r="AF115" i="79"/>
  <c r="H263" i="101"/>
  <c r="AG138" i="79"/>
  <c r="AF177" i="79"/>
  <c r="AF42" i="79"/>
  <c r="AC18" i="106"/>
  <c r="AG26" i="101"/>
  <c r="J268" i="101"/>
  <c r="J266" i="101"/>
  <c r="M16" i="106"/>
  <c r="J265" i="101"/>
  <c r="AG102" i="100"/>
  <c r="AD27" i="100"/>
  <c r="AF27" i="100" s="1"/>
  <c r="AE258" i="100"/>
  <c r="V266" i="100"/>
  <c r="V265" i="100"/>
  <c r="AE15" i="106"/>
  <c r="V268" i="100"/>
  <c r="AA258" i="100"/>
  <c r="X258" i="79"/>
  <c r="X261" i="79" s="1"/>
  <c r="X263" i="79" s="1"/>
  <c r="X266" i="79" s="1"/>
  <c r="V258" i="79"/>
  <c r="V261" i="79" s="1"/>
  <c r="V263" i="79" s="1"/>
  <c r="V266" i="79" s="1"/>
  <c r="AG176" i="100"/>
  <c r="Z266" i="100"/>
  <c r="AK15" i="106"/>
  <c r="Z265" i="100"/>
  <c r="Z268" i="100"/>
  <c r="X265" i="100"/>
  <c r="AH15" i="106"/>
  <c r="X266" i="100"/>
  <c r="X268" i="100"/>
  <c r="AE261" i="100"/>
  <c r="D263" i="100"/>
  <c r="R258" i="79"/>
  <c r="R261" i="79" s="1"/>
  <c r="R263" i="79" s="1"/>
  <c r="R265" i="79" s="1"/>
  <c r="M266" i="100"/>
  <c r="Q15" i="106"/>
  <c r="M265" i="100"/>
  <c r="T265" i="100"/>
  <c r="T266" i="100"/>
  <c r="AB15" i="106"/>
  <c r="T268" i="100"/>
  <c r="P268" i="100"/>
  <c r="P266" i="100"/>
  <c r="V15" i="106"/>
  <c r="P265" i="100"/>
  <c r="P258" i="79"/>
  <c r="P261" i="79" s="1"/>
  <c r="P263" i="79" s="1"/>
  <c r="Q258" i="79"/>
  <c r="Q261" i="79" s="1"/>
  <c r="Q263" i="79" s="1"/>
  <c r="Q265" i="79" s="1"/>
  <c r="Y258" i="79"/>
  <c r="Y261" i="79" s="1"/>
  <c r="Y263" i="79" s="1"/>
  <c r="Y266" i="79" s="1"/>
  <c r="AE266" i="100"/>
  <c r="H268" i="100"/>
  <c r="J15" i="106"/>
  <c r="H265" i="100"/>
  <c r="H266" i="100"/>
  <c r="AB258" i="100"/>
  <c r="K258" i="79"/>
  <c r="K261" i="79" s="1"/>
  <c r="K263" i="79" s="1"/>
  <c r="K266" i="79" s="1"/>
  <c r="AD261" i="100"/>
  <c r="C263" i="100"/>
  <c r="N268" i="100"/>
  <c r="S15" i="106"/>
  <c r="N266" i="100"/>
  <c r="N265" i="100"/>
  <c r="J263" i="100"/>
  <c r="F263" i="100"/>
  <c r="S258" i="79"/>
  <c r="S261" i="79" s="1"/>
  <c r="S263" i="79" s="1"/>
  <c r="S265" i="79" s="1"/>
  <c r="L268" i="100"/>
  <c r="L266" i="100"/>
  <c r="L265" i="100"/>
  <c r="P15" i="106"/>
  <c r="R265" i="100"/>
  <c r="Y15" i="106"/>
  <c r="R266" i="100"/>
  <c r="R268" i="100"/>
  <c r="X265" i="103"/>
  <c r="X268" i="103"/>
  <c r="X266" i="103"/>
  <c r="AH14" i="106"/>
  <c r="C263" i="103"/>
  <c r="AD261" i="103"/>
  <c r="AG258" i="103"/>
  <c r="AB261" i="103"/>
  <c r="AB263" i="103" s="1"/>
  <c r="AF28" i="103"/>
  <c r="R266" i="103"/>
  <c r="R268" i="103"/>
  <c r="Y14" i="106"/>
  <c r="R265" i="103"/>
  <c r="Z265" i="103"/>
  <c r="Z266" i="103"/>
  <c r="Z268" i="103"/>
  <c r="AK14" i="106"/>
  <c r="D263" i="103"/>
  <c r="AE261" i="103"/>
  <c r="AD27" i="103"/>
  <c r="AF27" i="103" s="1"/>
  <c r="P268" i="103"/>
  <c r="V14" i="106"/>
  <c r="P265" i="103"/>
  <c r="P266" i="103"/>
  <c r="N258" i="79"/>
  <c r="N261" i="79" s="1"/>
  <c r="N263" i="79" s="1"/>
  <c r="N266" i="79" s="1"/>
  <c r="AE14" i="106"/>
  <c r="V268" i="103"/>
  <c r="V266" i="103"/>
  <c r="V265" i="103"/>
  <c r="F258" i="79"/>
  <c r="F261" i="79" s="1"/>
  <c r="F263" i="79" s="1"/>
  <c r="F265" i="79" s="1"/>
  <c r="Z258" i="79"/>
  <c r="Z261" i="79" s="1"/>
  <c r="Z263" i="79" s="1"/>
  <c r="G258" i="79"/>
  <c r="G261" i="79" s="1"/>
  <c r="G263" i="79" s="1"/>
  <c r="AF33" i="79"/>
  <c r="AD258" i="103"/>
  <c r="AF258" i="103" s="1"/>
  <c r="W258" i="79"/>
  <c r="W261" i="79" s="1"/>
  <c r="W263" i="79" s="1"/>
  <c r="W265" i="79" s="1"/>
  <c r="AE27" i="103"/>
  <c r="AG27" i="103" s="1"/>
  <c r="AF103" i="79"/>
  <c r="AG53" i="79"/>
  <c r="Z18" i="106"/>
  <c r="L263" i="103"/>
  <c r="AF138" i="79"/>
  <c r="G14" i="106"/>
  <c r="F268" i="103"/>
  <c r="F266" i="103"/>
  <c r="F265" i="103"/>
  <c r="AF26" i="103"/>
  <c r="K266" i="103"/>
  <c r="K265" i="103"/>
  <c r="N14" i="106"/>
  <c r="AA261" i="103"/>
  <c r="AA263" i="103" s="1"/>
  <c r="T263" i="103"/>
  <c r="AG26" i="103"/>
  <c r="J263" i="103"/>
  <c r="I258" i="79"/>
  <c r="I261" i="79" s="1"/>
  <c r="I263" i="79" s="1"/>
  <c r="I265" i="79" s="1"/>
  <c r="AA102" i="79"/>
  <c r="H265" i="103"/>
  <c r="H268" i="103"/>
  <c r="H266" i="103"/>
  <c r="J14" i="106"/>
  <c r="AG28" i="103"/>
  <c r="N268" i="103"/>
  <c r="N265" i="103"/>
  <c r="S14" i="106"/>
  <c r="N266" i="103"/>
  <c r="L265" i="82"/>
  <c r="P13" i="106"/>
  <c r="L266" i="82"/>
  <c r="L268" i="82"/>
  <c r="AB261" i="82"/>
  <c r="AB263" i="82" s="1"/>
  <c r="AG258" i="82"/>
  <c r="H265" i="82"/>
  <c r="H268" i="82"/>
  <c r="H266" i="82"/>
  <c r="J13" i="106"/>
  <c r="AD176" i="79"/>
  <c r="AA176" i="79"/>
  <c r="AB29" i="79"/>
  <c r="J263" i="82"/>
  <c r="AG26" i="82"/>
  <c r="AF180" i="79"/>
  <c r="AF28" i="82"/>
  <c r="AG200" i="79"/>
  <c r="AE27" i="82"/>
  <c r="AG27" i="82" s="1"/>
  <c r="AD102" i="79"/>
  <c r="V268" i="82"/>
  <c r="V266" i="82"/>
  <c r="V265" i="82"/>
  <c r="AE13" i="106"/>
  <c r="G13" i="106"/>
  <c r="F268" i="82"/>
  <c r="F266" i="82"/>
  <c r="F265" i="82"/>
  <c r="AE266" i="82"/>
  <c r="C263" i="82"/>
  <c r="AD261" i="82"/>
  <c r="J258" i="79"/>
  <c r="J261" i="79" s="1"/>
  <c r="J263" i="79" s="1"/>
  <c r="X268" i="82"/>
  <c r="X265" i="82"/>
  <c r="AH13" i="106"/>
  <c r="X266" i="82"/>
  <c r="N268" i="82"/>
  <c r="N266" i="82"/>
  <c r="N265" i="82"/>
  <c r="S13" i="106"/>
  <c r="D263" i="82"/>
  <c r="AE261" i="82"/>
  <c r="P268" i="82"/>
  <c r="P265" i="82"/>
  <c r="P266" i="82"/>
  <c r="V13" i="106"/>
  <c r="AB13" i="106"/>
  <c r="T265" i="82"/>
  <c r="T266" i="82"/>
  <c r="T268" i="82"/>
  <c r="AG177" i="79"/>
  <c r="AF65" i="79"/>
  <c r="AD27" i="82"/>
  <c r="AF27" i="82" s="1"/>
  <c r="C27" i="79"/>
  <c r="AG267" i="82"/>
  <c r="R266" i="82"/>
  <c r="R265" i="82"/>
  <c r="Y13" i="106"/>
  <c r="R268" i="82"/>
  <c r="AA258" i="82"/>
  <c r="AF26" i="82"/>
  <c r="AB28" i="79" l="1"/>
  <c r="AF261" i="103"/>
  <c r="N18" i="106"/>
  <c r="T265" i="79"/>
  <c r="AF261" i="121"/>
  <c r="AE26" i="79"/>
  <c r="AB26" i="79"/>
  <c r="AG26" i="79" s="1"/>
  <c r="V16" i="106"/>
  <c r="V18" i="106" s="1"/>
  <c r="AF6" i="79"/>
  <c r="P265" i="101"/>
  <c r="P268" i="79"/>
  <c r="AG6" i="79"/>
  <c r="AK16" i="106"/>
  <c r="AK18" i="106" s="1"/>
  <c r="Y16" i="106"/>
  <c r="Y18" i="106" s="1"/>
  <c r="AB267" i="79"/>
  <c r="AG267" i="79" s="1"/>
  <c r="R265" i="101"/>
  <c r="U265" i="79"/>
  <c r="K265" i="79"/>
  <c r="Z268" i="101"/>
  <c r="Z266" i="101"/>
  <c r="R266" i="101"/>
  <c r="Z268" i="79"/>
  <c r="AG27" i="101"/>
  <c r="AG261" i="120"/>
  <c r="AM9" i="106"/>
  <c r="AN9" i="106"/>
  <c r="N263" i="101"/>
  <c r="AG106" i="79"/>
  <c r="D266" i="120"/>
  <c r="AE263" i="120"/>
  <c r="AG263" i="120" s="1"/>
  <c r="D265" i="120"/>
  <c r="L266" i="101"/>
  <c r="AF189" i="79"/>
  <c r="C263" i="120"/>
  <c r="D268" i="120" s="1"/>
  <c r="AD261" i="120"/>
  <c r="Q16" i="106"/>
  <c r="Q18" i="106" s="1"/>
  <c r="M265" i="101"/>
  <c r="M266" i="101"/>
  <c r="AB102" i="79"/>
  <c r="AG102" i="79" s="1"/>
  <c r="C258" i="79"/>
  <c r="AD258" i="79" s="1"/>
  <c r="AD26" i="79"/>
  <c r="AD27" i="79" s="1"/>
  <c r="D258" i="79"/>
  <c r="D261" i="79" s="1"/>
  <c r="AA266" i="120"/>
  <c r="AF266" i="120" s="1"/>
  <c r="O266" i="79"/>
  <c r="AA26" i="79"/>
  <c r="AA27" i="79" s="1"/>
  <c r="AB176" i="79"/>
  <c r="AG176" i="79" s="1"/>
  <c r="AG42" i="79"/>
  <c r="AL9" i="106"/>
  <c r="AB268" i="120"/>
  <c r="AB266" i="120"/>
  <c r="AG266" i="120" s="1"/>
  <c r="AB258" i="101"/>
  <c r="AF16" i="79"/>
  <c r="AE258" i="101"/>
  <c r="AF261" i="120"/>
  <c r="H266" i="79"/>
  <c r="H265" i="79"/>
  <c r="L268" i="101"/>
  <c r="L265" i="101"/>
  <c r="AE263" i="121"/>
  <c r="D268" i="121"/>
  <c r="D266" i="121"/>
  <c r="D265" i="121"/>
  <c r="G16" i="106"/>
  <c r="E261" i="101"/>
  <c r="AD258" i="101"/>
  <c r="AF258" i="101" s="1"/>
  <c r="AA28" i="79"/>
  <c r="AD28" i="79"/>
  <c r="AD266" i="79" s="1"/>
  <c r="V266" i="101"/>
  <c r="AD29" i="79"/>
  <c r="AF29" i="79" s="1"/>
  <c r="F268" i="79"/>
  <c r="V265" i="101"/>
  <c r="AF28" i="101"/>
  <c r="V268" i="101"/>
  <c r="N265" i="79"/>
  <c r="M265" i="79"/>
  <c r="O266" i="101"/>
  <c r="O265" i="101"/>
  <c r="T16" i="106"/>
  <c r="T18" i="106" s="1"/>
  <c r="H268" i="79"/>
  <c r="R268" i="79"/>
  <c r="N268" i="79"/>
  <c r="Y265" i="79"/>
  <c r="AE264" i="101"/>
  <c r="AD264" i="101"/>
  <c r="F266" i="101"/>
  <c r="C263" i="121"/>
  <c r="AD261" i="121"/>
  <c r="AD27" i="101"/>
  <c r="AF27" i="101" s="1"/>
  <c r="P268" i="101"/>
  <c r="AA261" i="101"/>
  <c r="AA263" i="101" s="1"/>
  <c r="AA266" i="121"/>
  <c r="AF266" i="121" s="1"/>
  <c r="AB261" i="121"/>
  <c r="AG258" i="121"/>
  <c r="AF26" i="101"/>
  <c r="AE18" i="106"/>
  <c r="AH18" i="106"/>
  <c r="D263" i="101"/>
  <c r="AE261" i="101"/>
  <c r="C266" i="101"/>
  <c r="C265" i="101"/>
  <c r="B16" i="106"/>
  <c r="AF176" i="79"/>
  <c r="Z266" i="79"/>
  <c r="AF102" i="79"/>
  <c r="H268" i="101"/>
  <c r="H266" i="101"/>
  <c r="J16" i="106"/>
  <c r="J18" i="106" s="1"/>
  <c r="H265" i="101"/>
  <c r="AA266" i="101"/>
  <c r="AF266" i="101" s="1"/>
  <c r="T266" i="101"/>
  <c r="T265" i="101"/>
  <c r="AB16" i="106"/>
  <c r="T268" i="101"/>
  <c r="S266" i="79"/>
  <c r="I266" i="79"/>
  <c r="T268" i="79"/>
  <c r="W266" i="79"/>
  <c r="V265" i="79"/>
  <c r="AG28" i="79"/>
  <c r="Z265" i="79"/>
  <c r="B15" i="106"/>
  <c r="C265" i="100"/>
  <c r="AD263" i="100"/>
  <c r="C266" i="100"/>
  <c r="D265" i="100"/>
  <c r="D266" i="100"/>
  <c r="D268" i="100"/>
  <c r="D15" i="106"/>
  <c r="AE263" i="100"/>
  <c r="L268" i="79"/>
  <c r="P265" i="79"/>
  <c r="J268" i="100"/>
  <c r="M15" i="106"/>
  <c r="J266" i="100"/>
  <c r="J265" i="100"/>
  <c r="AA261" i="100"/>
  <c r="AF258" i="100"/>
  <c r="R266" i="79"/>
  <c r="L265" i="79"/>
  <c r="P266" i="79"/>
  <c r="V268" i="79"/>
  <c r="Q266" i="79"/>
  <c r="X268" i="79"/>
  <c r="AB261" i="100"/>
  <c r="AG258" i="100"/>
  <c r="X265" i="79"/>
  <c r="G266" i="79"/>
  <c r="F266" i="100"/>
  <c r="F268" i="100"/>
  <c r="G15" i="106"/>
  <c r="F265" i="100"/>
  <c r="J265" i="103"/>
  <c r="J268" i="103"/>
  <c r="M14" i="106"/>
  <c r="J266" i="103"/>
  <c r="F266" i="79"/>
  <c r="AB268" i="103"/>
  <c r="AB266" i="103"/>
  <c r="AG266" i="103" s="1"/>
  <c r="B14" i="106"/>
  <c r="C266" i="103"/>
  <c r="AD263" i="103"/>
  <c r="AF263" i="103" s="1"/>
  <c r="C265" i="103"/>
  <c r="G265" i="79"/>
  <c r="T268" i="103"/>
  <c r="AB14" i="106"/>
  <c r="T265" i="103"/>
  <c r="T266" i="103"/>
  <c r="L266" i="103"/>
  <c r="L265" i="103"/>
  <c r="L268" i="103"/>
  <c r="P14" i="106"/>
  <c r="P18" i="106" s="1"/>
  <c r="AA266" i="103"/>
  <c r="AF266" i="103" s="1"/>
  <c r="AG261" i="103"/>
  <c r="AE263" i="103"/>
  <c r="AG263" i="103" s="1"/>
  <c r="D14" i="106"/>
  <c r="D266" i="103"/>
  <c r="D265" i="103"/>
  <c r="D268" i="103"/>
  <c r="AE266" i="79"/>
  <c r="J266" i="82"/>
  <c r="M13" i="106"/>
  <c r="J268" i="82"/>
  <c r="J265" i="82"/>
  <c r="D13" i="106"/>
  <c r="D265" i="82"/>
  <c r="AE263" i="82"/>
  <c r="AE268" i="82" s="1"/>
  <c r="D266" i="82"/>
  <c r="D268" i="82"/>
  <c r="E265" i="79"/>
  <c r="E266" i="79"/>
  <c r="AF258" i="82"/>
  <c r="AA261" i="82"/>
  <c r="AB266" i="82"/>
  <c r="AG266" i="82" s="1"/>
  <c r="AG261" i="82"/>
  <c r="B13" i="106"/>
  <c r="C265" i="82"/>
  <c r="AD263" i="82"/>
  <c r="C266" i="82"/>
  <c r="AB27" i="79"/>
  <c r="AE27" i="79"/>
  <c r="J265" i="79"/>
  <c r="J268" i="79"/>
  <c r="J266" i="79"/>
  <c r="AG263" i="82" l="1"/>
  <c r="AB18" i="106"/>
  <c r="AE268" i="100"/>
  <c r="AF27" i="79"/>
  <c r="AB258" i="79"/>
  <c r="AB261" i="79" s="1"/>
  <c r="AF26" i="79"/>
  <c r="AG258" i="101"/>
  <c r="AF28" i="79"/>
  <c r="C261" i="79"/>
  <c r="C263" i="79" s="1"/>
  <c r="C265" i="120"/>
  <c r="AD263" i="120"/>
  <c r="AF263" i="120" s="1"/>
  <c r="C266" i="120"/>
  <c r="AE265" i="120"/>
  <c r="AB265" i="120"/>
  <c r="AE268" i="120"/>
  <c r="AE258" i="79"/>
  <c r="AB261" i="101"/>
  <c r="AG261" i="101" s="1"/>
  <c r="N268" i="101"/>
  <c r="N265" i="101"/>
  <c r="S16" i="106"/>
  <c r="S18" i="106" s="1"/>
  <c r="N266" i="101"/>
  <c r="AB263" i="121"/>
  <c r="AG261" i="121"/>
  <c r="C266" i="121"/>
  <c r="AD263" i="121"/>
  <c r="AF263" i="121" s="1"/>
  <c r="C265" i="121"/>
  <c r="G18" i="106"/>
  <c r="AA258" i="79"/>
  <c r="AA261" i="79" s="1"/>
  <c r="AA263" i="79" s="1"/>
  <c r="AA266" i="79" s="1"/>
  <c r="AF266" i="79" s="1"/>
  <c r="E263" i="101"/>
  <c r="AD261" i="101"/>
  <c r="AE265" i="121"/>
  <c r="AB265" i="121"/>
  <c r="AF261" i="101"/>
  <c r="D266" i="101"/>
  <c r="D268" i="101"/>
  <c r="D16" i="106"/>
  <c r="D18" i="106" s="1"/>
  <c r="AE263" i="101"/>
  <c r="D265" i="101"/>
  <c r="AF258" i="79"/>
  <c r="AE265" i="100"/>
  <c r="AB265" i="100"/>
  <c r="AA263" i="100"/>
  <c r="AF261" i="100"/>
  <c r="AA265" i="100"/>
  <c r="AD265" i="100"/>
  <c r="AG27" i="79"/>
  <c r="AB263" i="100"/>
  <c r="AG261" i="100"/>
  <c r="M18" i="106"/>
  <c r="AD265" i="103"/>
  <c r="AA265" i="103"/>
  <c r="AE265" i="103"/>
  <c r="AB265" i="103"/>
  <c r="AE268" i="103"/>
  <c r="AE265" i="82"/>
  <c r="AB265" i="82"/>
  <c r="AN13" i="106"/>
  <c r="D263" i="79"/>
  <c r="AE261" i="79"/>
  <c r="AA263" i="82"/>
  <c r="AF261" i="82"/>
  <c r="AD265" i="82"/>
  <c r="AA265" i="82"/>
  <c r="AN14" i="106"/>
  <c r="AL13" i="106"/>
  <c r="AN15" i="106"/>
  <c r="AM15" i="106"/>
  <c r="AL15" i="106"/>
  <c r="B18" i="106"/>
  <c r="AM16" i="106"/>
  <c r="AM14" i="106"/>
  <c r="AL14" i="106"/>
  <c r="AG265" i="103" l="1"/>
  <c r="AG265" i="82"/>
  <c r="AF265" i="103"/>
  <c r="AF265" i="82"/>
  <c r="AN16" i="106"/>
  <c r="AG258" i="79"/>
  <c r="AD261" i="79"/>
  <c r="AB263" i="101"/>
  <c r="AB268" i="101" s="1"/>
  <c r="AA265" i="120"/>
  <c r="AD265" i="120"/>
  <c r="AF261" i="79"/>
  <c r="AE268" i="121"/>
  <c r="E265" i="101"/>
  <c r="E16" i="106"/>
  <c r="E266" i="101"/>
  <c r="F268" i="101"/>
  <c r="AD263" i="101"/>
  <c r="AF263" i="101" s="1"/>
  <c r="AD265" i="121"/>
  <c r="AA265" i="121"/>
  <c r="AG263" i="121"/>
  <c r="AB266" i="121"/>
  <c r="AG266" i="121" s="1"/>
  <c r="AB268" i="121"/>
  <c r="AE265" i="101"/>
  <c r="AB265" i="101"/>
  <c r="AB266" i="101"/>
  <c r="AG266" i="101" s="1"/>
  <c r="AF265" i="100"/>
  <c r="AB266" i="100"/>
  <c r="AG266" i="100" s="1"/>
  <c r="AB268" i="100"/>
  <c r="AG263" i="100"/>
  <c r="AG262" i="121"/>
  <c r="AF263" i="100"/>
  <c r="AA266" i="100"/>
  <c r="AF266" i="100" s="1"/>
  <c r="AG265" i="100"/>
  <c r="C265" i="79"/>
  <c r="AD263" i="79"/>
  <c r="AF263" i="79" s="1"/>
  <c r="C266" i="79"/>
  <c r="D265" i="79"/>
  <c r="D268" i="79"/>
  <c r="AE263" i="79"/>
  <c r="D266" i="79"/>
  <c r="AB263" i="79"/>
  <c r="AG261" i="79"/>
  <c r="AA266" i="82"/>
  <c r="AF266" i="82" s="1"/>
  <c r="AF263" i="82"/>
  <c r="AB268" i="82"/>
  <c r="AG262" i="100" l="1"/>
  <c r="AG263" i="101"/>
  <c r="E18" i="106"/>
  <c r="AM17" i="106"/>
  <c r="AL16" i="106"/>
  <c r="AN17" i="106"/>
  <c r="AL17" i="106"/>
  <c r="AA265" i="101"/>
  <c r="AD265" i="101"/>
  <c r="AE268" i="101"/>
  <c r="AG262" i="103"/>
  <c r="AG262" i="101"/>
  <c r="AG262" i="120"/>
  <c r="AG262" i="82"/>
  <c r="AD265" i="79"/>
  <c r="AA265" i="79"/>
  <c r="AE268" i="79"/>
  <c r="AB268" i="79"/>
  <c r="AB266" i="79"/>
  <c r="AG266" i="79" s="1"/>
  <c r="AG263" i="79"/>
  <c r="AB265" i="79"/>
  <c r="AE265" i="79"/>
  <c r="AL18" i="106" l="1"/>
  <c r="AN18" i="106"/>
  <c r="AM18" i="106"/>
  <c r="AG262" i="7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王涛</author>
  </authors>
  <commentList>
    <comment ref="D32" authorId="0" shapeId="0" xr:uid="{00000000-0006-0000-0300-000001000000}">
      <text>
        <r>
          <rPr>
            <b/>
            <sz val="9"/>
            <rFont val="宋体"/>
            <family val="3"/>
            <charset val="134"/>
          </rPr>
          <t xml:space="preserve">王涛:
</t>
        </r>
        <r>
          <rPr>
            <sz val="9"/>
            <rFont val="宋体"/>
            <family val="3"/>
            <charset val="134"/>
          </rPr>
          <t xml:space="preserve">已剔除
江苏分部1月计提分红28056
</t>
        </r>
      </text>
    </comment>
    <comment ref="F32" authorId="0" shapeId="0" xr:uid="{00000000-0006-0000-0300-000002000000}">
      <text>
        <r>
          <rPr>
            <b/>
            <sz val="9"/>
            <rFont val="宋体"/>
            <family val="3"/>
            <charset val="134"/>
          </rPr>
          <t xml:space="preserve">王涛:
</t>
        </r>
        <r>
          <rPr>
            <sz val="9"/>
            <rFont val="宋体"/>
            <family val="3"/>
            <charset val="134"/>
          </rPr>
          <t xml:space="preserve">已剔除
销售1中心（张焕）2月计提分红19239
江苏分部2月计提分红11236
浙江分部2月计提分红10083
上海分部2月计提分红14324
赣皖区域2月计提分红1081
</t>
        </r>
      </text>
    </comment>
    <comment ref="H32" authorId="0" shapeId="0" xr:uid="{00000000-0006-0000-0300-000003000000}">
      <text>
        <r>
          <rPr>
            <b/>
            <sz val="9"/>
            <rFont val="宋体"/>
            <family val="3"/>
            <charset val="134"/>
          </rPr>
          <t xml:space="preserve">王涛:
</t>
        </r>
        <r>
          <rPr>
            <sz val="9"/>
            <rFont val="宋体"/>
            <family val="3"/>
            <charset val="134"/>
          </rPr>
          <t xml:space="preserve">已剔除
销售1中心（张焕）3月计提分红2677
江苏分部3月计提分红3368
浙江分部3月计提分红7019
上海分部3月计提分红2894
</t>
        </r>
      </text>
    </comment>
    <comment ref="J32" authorId="0" shapeId="0" xr:uid="{00000000-0006-0000-0300-000004000000}">
      <text>
        <r>
          <rPr>
            <b/>
            <sz val="9"/>
            <rFont val="宋体"/>
            <family val="3"/>
            <charset val="134"/>
          </rPr>
          <t xml:space="preserve">王涛:
</t>
        </r>
        <r>
          <rPr>
            <sz val="9"/>
            <rFont val="宋体"/>
            <family val="3"/>
            <charset val="134"/>
          </rPr>
          <t xml:space="preserve">已剔除
销售1中心（张焕）4月计提分红9556
江苏分部4月计提分红13351
浙江分部4月计提分红4467
上海分部4月计提分红8846
</t>
        </r>
      </text>
    </comment>
    <comment ref="L32" authorId="0" shapeId="0" xr:uid="{00000000-0006-0000-0300-000005000000}">
      <text>
        <r>
          <rPr>
            <b/>
            <sz val="9"/>
            <rFont val="宋体"/>
            <family val="3"/>
            <charset val="134"/>
          </rPr>
          <t xml:space="preserve">王涛:
</t>
        </r>
        <r>
          <rPr>
            <sz val="9"/>
            <rFont val="宋体"/>
            <family val="3"/>
            <charset val="134"/>
          </rPr>
          <t xml:space="preserve">已剔除
江苏分部5月计提分红15857
浙江分部5月计提分红14045
赣皖区域5月计提分红9114
</t>
        </r>
      </text>
    </comment>
    <comment ref="N32" authorId="0" shapeId="0" xr:uid="{00000000-0006-0000-0300-000006000000}">
      <text>
        <r>
          <rPr>
            <b/>
            <sz val="9"/>
            <rFont val="宋体"/>
            <family val="3"/>
            <charset val="134"/>
          </rPr>
          <t xml:space="preserve">王涛:
</t>
        </r>
        <r>
          <rPr>
            <sz val="9"/>
            <rFont val="宋体"/>
            <family val="3"/>
            <charset val="134"/>
          </rPr>
          <t xml:space="preserve">已剔除
销售1中心（张焕）：2月冲回多计提分红2354，3月补提分红11842，4月冲回多计提分红1212，6月计提分红13937；
江苏分部：1-2月补提分红4236，3月补提分红6785，4月补提分红10469，5月冲回多计提分红11201，6月计提分红29661；
浙江分部：2月冲回多提分红5791，3月补提分红7912，4月冲回多提分红2248，5月补提分红4243，
6月计提分红5896；
上海分部：2月冲回多计提分红14324，3月补提分红8906，4月冲回多计提分红8846；
赣皖区域：2月补提分红5986，4月补提分红23962，5月冲回多计提分红9114，6月计提分红13574；
</t>
        </r>
      </text>
    </comment>
    <comment ref="P32" authorId="0" shapeId="0" xr:uid="{00000000-0006-0000-0300-000007000000}">
      <text>
        <r>
          <rPr>
            <b/>
            <sz val="9"/>
            <rFont val="宋体"/>
            <family val="3"/>
            <charset val="134"/>
          </rPr>
          <t xml:space="preserve">王涛:
</t>
        </r>
        <r>
          <rPr>
            <sz val="9"/>
            <rFont val="宋体"/>
            <family val="3"/>
            <charset val="134"/>
          </rPr>
          <t xml:space="preserve">已剔除
销售1中心（张焕）：6月补提分红3827，7月计提分红9072；
江苏分部：6月冲回多计提分红5416，7月计提分红8685；
浙江分部：6月补提分红2621，7月计提分红692；
赣皖区域：6月补提分红7907，7月计提分红4528；
</t>
        </r>
      </text>
    </comment>
    <comment ref="R32" authorId="0" shapeId="0" xr:uid="{00000000-0006-0000-0300-000008000000}">
      <text>
        <r>
          <rPr>
            <b/>
            <sz val="9"/>
            <rFont val="宋体"/>
            <family val="3"/>
            <charset val="134"/>
          </rPr>
          <t xml:space="preserve">王涛:
</t>
        </r>
        <r>
          <rPr>
            <sz val="9"/>
            <rFont val="宋体"/>
            <family val="3"/>
            <charset val="134"/>
          </rPr>
          <t xml:space="preserve">已剔除
江苏分部：7月冲回多计提分红8685；
浙江分部：7月冲回多计提分红692；
赣皖区域：7月补提分红9599；
</t>
        </r>
      </text>
    </comment>
    <comment ref="T32" authorId="0" shapeId="0" xr:uid="{00000000-0006-0000-0300-000009000000}">
      <text>
        <r>
          <rPr>
            <b/>
            <sz val="9"/>
            <rFont val="宋体"/>
            <family val="3"/>
            <charset val="134"/>
          </rPr>
          <t xml:space="preserve">王涛:
</t>
        </r>
        <r>
          <rPr>
            <sz val="9"/>
            <rFont val="宋体"/>
            <family val="3"/>
            <charset val="134"/>
          </rPr>
          <t xml:space="preserve">已剔除
销售1中心（张焕）：9月计提分红15867；
江苏分部：9月计提分红13008；
上海分部：9月计提分红33360；
赣皖区域：8月补提分红2903，9月计提分红10532；
</t>
        </r>
      </text>
    </comment>
    <comment ref="V32" authorId="0" shapeId="0" xr:uid="{00000000-0006-0000-0300-00000A000000}">
      <text>
        <r>
          <rPr>
            <b/>
            <sz val="9"/>
            <rFont val="宋体"/>
            <family val="3"/>
            <charset val="134"/>
          </rPr>
          <t xml:space="preserve">王涛:
</t>
        </r>
        <r>
          <rPr>
            <sz val="9"/>
            <rFont val="宋体"/>
            <family val="3"/>
            <charset val="134"/>
          </rPr>
          <t xml:space="preserve">已剔除
销售1中心（张焕）：补提9月少计提分红1439；
江苏分部：冲减9月多计提分红1348，10月计提分红659；
上海分部：补提9月少计提分红5749；
赣皖区域：补提9月少计提分红768，10月计提分红18647；
</t>
        </r>
      </text>
    </comment>
    <comment ref="X32" authorId="0" shapeId="0" xr:uid="{00000000-0006-0000-0300-00000B000000}">
      <text>
        <r>
          <rPr>
            <b/>
            <sz val="9"/>
            <rFont val="宋体"/>
            <family val="3"/>
            <charset val="134"/>
          </rPr>
          <t xml:space="preserve">王涛:
</t>
        </r>
        <r>
          <rPr>
            <sz val="9"/>
            <rFont val="宋体"/>
            <family val="3"/>
            <charset val="134"/>
          </rPr>
          <t xml:space="preserve">已剔除
销售1中心（张焕）：补提10月少计提分红4723；
江苏分部：补提10月少计提分红5382；
赣皖区域：补提10月少计提分红9708；
</t>
        </r>
      </text>
    </comment>
    <comment ref="Z32" authorId="0" shapeId="0" xr:uid="{00000000-0006-0000-0300-00000C000000}">
      <text>
        <r>
          <rPr>
            <b/>
            <sz val="9"/>
            <rFont val="宋体"/>
            <family val="3"/>
            <charset val="134"/>
          </rPr>
          <t xml:space="preserve">王涛:
</t>
        </r>
        <r>
          <rPr>
            <sz val="9"/>
            <rFont val="宋体"/>
            <family val="3"/>
            <charset val="134"/>
          </rPr>
          <t>已剔除
销售1中心（张焕）：冲减1-2月多计提分红350，冲回1-11月已计提未发放的分红23862，冲回年度清算利润分红未发放部分10568；
江苏分部：补提11月少计提分红3559，冲回1-11月已计提未发放的利润分红38296，补提年度清算利润分红未发放部分17887；
浙江分部：补提11月少计提分红6109，冲回1-11月已计提未发放的利润分红16307，冲回年度清算利润分红未发放部分38049；
上海分部：冲回1-11月已计提未发放的利润分红15273，冲回年度清算利润分红未发放部分35636；
赣皖区域：补提11月少计提分红1978，冲回1-11月已计提未发放的利润分红33351，补提年度清算利润分红未发放部分30913；</t>
        </r>
      </text>
    </comment>
    <comment ref="D54" authorId="0" shapeId="0" xr:uid="{00000000-0006-0000-0300-00000D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已加分摊应用部4871.33元</t>
        </r>
      </text>
    </comment>
    <comment ref="F54" authorId="0" shapeId="0" xr:uid="{00000000-0006-0000-0300-00000E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已加分摊应用部5360.89元</t>
        </r>
      </text>
    </comment>
    <comment ref="H54" authorId="0" shapeId="0" xr:uid="{00000000-0006-0000-0300-00000F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已加分摊应用部6472.54元</t>
        </r>
      </text>
    </comment>
    <comment ref="J54" authorId="0" shapeId="0" xr:uid="{00000000-0006-0000-0300-000010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已加分摊应用部15316.92元</t>
        </r>
      </text>
    </comment>
    <comment ref="L54" authorId="0" shapeId="0" xr:uid="{00000000-0006-0000-0300-000011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已加分摊应用部13826.71元</t>
        </r>
      </text>
    </comment>
    <comment ref="N54" authorId="0" shapeId="0" xr:uid="{00000000-0006-0000-0300-000012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已加分摊应用部6914元
</t>
        </r>
      </text>
    </comment>
    <comment ref="P54" authorId="0" shapeId="0" xr:uid="{00000000-0006-0000-0300-000013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已加分摊应用部6865.3元
</t>
        </r>
      </text>
    </comment>
    <comment ref="R54" authorId="0" shapeId="0" xr:uid="{00000000-0006-0000-0300-000014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已加分摊应用部7580.04元</t>
        </r>
      </text>
    </comment>
    <comment ref="T54" authorId="0" shapeId="0" xr:uid="{00000000-0006-0000-0300-000015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已加分摊应用部10718.21元
</t>
        </r>
      </text>
    </comment>
    <comment ref="V54" authorId="0" shapeId="0" xr:uid="{00000000-0006-0000-0300-000016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已加分摊应用部3207.12元</t>
        </r>
      </text>
    </comment>
    <comment ref="X54" authorId="0" shapeId="0" xr:uid="{00000000-0006-0000-0300-000017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已加分摊应用部11398.25元</t>
        </r>
      </text>
    </comment>
    <comment ref="Z54" authorId="0" shapeId="0" xr:uid="{00000000-0006-0000-0300-000018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已加分摊应用部6245.64元
</t>
        </r>
      </text>
    </comment>
    <comment ref="P74" authorId="0" shapeId="0" xr:uid="{00000000-0006-0000-0300-000019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减酸小七诉讼费50493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王涛</author>
  </authors>
  <commentList>
    <comment ref="Z24" authorId="0" shapeId="0" xr:uid="{00000000-0006-0000-0400-000001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12月成本调整6.92</t>
        </r>
      </text>
    </comment>
    <comment ref="D31" authorId="0" shapeId="0" xr:uid="{00000000-0006-0000-0400-000002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张焕1月工资</t>
        </r>
      </text>
    </comment>
    <comment ref="F31" authorId="0" shapeId="0" xr:uid="{00000000-0006-0000-0400-000003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张焕2月工资
</t>
        </r>
      </text>
    </comment>
    <comment ref="H31" authorId="0" shapeId="0" xr:uid="{00000000-0006-0000-0400-000004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调整张焕1-2月工资</t>
        </r>
      </text>
    </comment>
    <comment ref="F32" authorId="0" shapeId="0" xr:uid="{00000000-0006-0000-0400-000005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剔除
2月计提分红19239
</t>
        </r>
      </text>
    </comment>
    <comment ref="H32" authorId="0" shapeId="0" xr:uid="{00000000-0006-0000-0400-000006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剔除
3月计提分红2677
</t>
        </r>
      </text>
    </comment>
    <comment ref="J32" authorId="0" shapeId="0" xr:uid="{00000000-0006-0000-0400-000007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剔除
4月计提分红9556
</t>
        </r>
      </text>
    </comment>
    <comment ref="N32" authorId="0" shapeId="0" xr:uid="{00000000-0006-0000-0400-000008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已剔除
2月冲回多计提分红2354
3月补提分红11842
4月冲回多计提分红1212
6月计提分红13937
</t>
        </r>
      </text>
    </comment>
    <comment ref="P32" authorId="0" shapeId="0" xr:uid="{00000000-0006-0000-0400-000009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已剔除
6月补提分红3827</t>
        </r>
      </text>
    </comment>
    <comment ref="T32" authorId="0" shapeId="0" xr:uid="{00000000-0006-0000-0400-00000A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已剔除
9月计提分红15867</t>
        </r>
      </text>
    </comment>
    <comment ref="V32" authorId="0" shapeId="0" xr:uid="{00000000-0006-0000-0400-00000B000000}">
      <text>
        <r>
          <rPr>
            <b/>
            <sz val="9"/>
            <rFont val="宋体"/>
            <family val="3"/>
            <charset val="134"/>
          </rPr>
          <t xml:space="preserve">王涛:
</t>
        </r>
        <r>
          <rPr>
            <sz val="9"/>
            <rFont val="宋体"/>
            <family val="3"/>
            <charset val="134"/>
          </rPr>
          <t xml:space="preserve">已剔除
补提9月少计提分红1439
</t>
        </r>
      </text>
    </comment>
    <comment ref="X32" authorId="0" shapeId="0" xr:uid="{00000000-0006-0000-0400-00000C000000}">
      <text>
        <r>
          <rPr>
            <sz val="9"/>
            <rFont val="宋体"/>
            <family val="3"/>
            <charset val="134"/>
          </rPr>
          <t xml:space="preserve">王涛:
已剔除
补提10月少计提分红4723
</t>
        </r>
      </text>
    </comment>
    <comment ref="Z32" authorId="0" shapeId="0" xr:uid="{00000000-0006-0000-0400-00000D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已剔除
1、冲减1-2月多计提分红350；
2、冲回1-11月已计提未发放的分红23862；
3、冲回年度清算利润分红未发放部分10568；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王涛</author>
  </authors>
  <commentList>
    <comment ref="L24" authorId="0" shapeId="0" xr:uid="{00000000-0006-0000-0500-000001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毛利率低于15%客户调整-1739</t>
        </r>
      </text>
    </comment>
    <comment ref="N24" authorId="0" shapeId="0" xr:uid="{00000000-0006-0000-0500-000002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毛利率低于15%客户调整-833.73
</t>
        </r>
      </text>
    </comment>
    <comment ref="P24" authorId="0" shapeId="0" xr:uid="{00000000-0006-0000-0500-000003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毛利率低于15%客户调整-2692.44
</t>
        </r>
      </text>
    </comment>
    <comment ref="R24" authorId="0" shapeId="0" xr:uid="{00000000-0006-0000-0500-000004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1、毛利率低于15%客户调整-7387.2
2、成本调增25550.41</t>
        </r>
      </text>
    </comment>
    <comment ref="T24" authorId="0" shapeId="0" xr:uid="{00000000-0006-0000-0500-000005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1、毛利率低于15%客户调整-2846.96
2、8月成本调整差异2.38
3、9月成本调整49179.14</t>
        </r>
      </text>
    </comment>
    <comment ref="V24" authorId="0" shapeId="0" xr:uid="{00000000-0006-0000-0500-000006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1、毛利率低于15%客户调整-1255.99
2、10月成本调整11026.02
</t>
        </r>
      </text>
    </comment>
    <comment ref="X24" authorId="0" shapeId="0" xr:uid="{00000000-0006-0000-0500-000007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1、毛利率低于15%客户调整-6011.68
2、11月成本调整9898.61
</t>
        </r>
      </text>
    </comment>
    <comment ref="Z24" authorId="0" shapeId="0" xr:uid="{00000000-0006-0000-0500-000008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1、毛利率低于15%客户调整-856.59
2、12月成本调整12798.14</t>
        </r>
      </text>
    </comment>
    <comment ref="D32" authorId="0" shapeId="0" xr:uid="{00000000-0006-0000-0500-000009000000}">
      <text>
        <r>
          <rPr>
            <b/>
            <sz val="9"/>
            <rFont val="宋体"/>
            <family val="3"/>
            <charset val="134"/>
          </rPr>
          <t xml:space="preserve">王涛:
</t>
        </r>
        <r>
          <rPr>
            <sz val="9"/>
            <rFont val="宋体"/>
            <family val="3"/>
            <charset val="134"/>
          </rPr>
          <t>剔除
1月计提分红28056</t>
        </r>
      </text>
    </comment>
    <comment ref="F32" authorId="0" shapeId="0" xr:uid="{00000000-0006-0000-0500-00000A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剔除
2月计提分红11236</t>
        </r>
      </text>
    </comment>
    <comment ref="H32" authorId="0" shapeId="0" xr:uid="{00000000-0006-0000-0500-00000B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剔除
3月计提分红3368
</t>
        </r>
      </text>
    </comment>
    <comment ref="J32" authorId="0" shapeId="0" xr:uid="{00000000-0006-0000-0500-00000C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剔除
4月计提分红13351
</t>
        </r>
      </text>
    </comment>
    <comment ref="L32" authorId="0" shapeId="0" xr:uid="{00000000-0006-0000-0500-00000D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剔除
5月计提分红15857</t>
        </r>
      </text>
    </comment>
    <comment ref="N32" authorId="0" shapeId="0" xr:uid="{00000000-0006-0000-0500-00000E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已剔除
1-2月补提分红4236
3月补提分红6785
4月补提分红10469
5月冲回多计提分红11201
6月计提分红29661
</t>
        </r>
      </text>
    </comment>
    <comment ref="P32" authorId="0" shapeId="0" xr:uid="{00000000-0006-0000-0500-00000F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已剔除
6月冲回多计提分红5416
7月计提分红8685</t>
        </r>
      </text>
    </comment>
    <comment ref="R32" authorId="0" shapeId="0" xr:uid="{00000000-0006-0000-0500-000010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已剔除
7月冲回多计提分红8685</t>
        </r>
      </text>
    </comment>
    <comment ref="T32" authorId="0" shapeId="0" xr:uid="{00000000-0006-0000-0500-000011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已剔除
9月计提分红13008</t>
        </r>
      </text>
    </comment>
    <comment ref="V32" authorId="0" shapeId="0" xr:uid="{00000000-0006-0000-0500-000012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已剔除
冲回9月多计提分红1348
10月计提分红659</t>
        </r>
      </text>
    </comment>
    <comment ref="X32" authorId="0" shapeId="0" xr:uid="{00000000-0006-0000-0500-000013000000}">
      <text>
        <r>
          <rPr>
            <b/>
            <sz val="9"/>
            <rFont val="宋体"/>
            <family val="3"/>
            <charset val="134"/>
          </rPr>
          <t xml:space="preserve">王涛:
</t>
        </r>
        <r>
          <rPr>
            <sz val="9"/>
            <rFont val="宋体"/>
            <family val="3"/>
            <charset val="134"/>
          </rPr>
          <t>已剔除
补提10月少计提分红5382</t>
        </r>
      </text>
    </comment>
    <comment ref="Z32" authorId="0" shapeId="0" xr:uid="{00000000-0006-0000-0500-000014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已剔除
1、补提11月少计提分红3559；
2、冲回1-11月已计提未发放的利润分红38296；
3、补提年度清算利润分红未发放部分17887；
</t>
        </r>
      </text>
    </comment>
    <comment ref="D54" authorId="0" shapeId="0" xr:uid="{00000000-0006-0000-0500-000015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应用部555</t>
        </r>
      </text>
    </comment>
    <comment ref="F54" authorId="0" shapeId="0" xr:uid="{00000000-0006-0000-0500-000016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应用部1639.37</t>
        </r>
      </text>
    </comment>
    <comment ref="H54" authorId="0" shapeId="0" xr:uid="{00000000-0006-0000-0500-000017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应用部2063.08</t>
        </r>
      </text>
    </comment>
    <comment ref="J54" authorId="0" shapeId="0" xr:uid="{00000000-0006-0000-0500-000018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应用部5432.86</t>
        </r>
      </text>
    </comment>
    <comment ref="L54" authorId="0" shapeId="0" xr:uid="{00000000-0006-0000-0500-000019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应用部860.3</t>
        </r>
      </text>
    </comment>
    <comment ref="N54" authorId="0" shapeId="0" xr:uid="{00000000-0006-0000-0500-00001A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应用部459.54</t>
        </r>
      </text>
    </comment>
    <comment ref="P54" authorId="0" shapeId="0" xr:uid="{00000000-0006-0000-0500-00001B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应用部1108.6</t>
        </r>
      </text>
    </comment>
    <comment ref="R54" authorId="0" shapeId="0" xr:uid="{00000000-0006-0000-0500-00001C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应用部1207.29</t>
        </r>
      </text>
    </comment>
    <comment ref="T54" authorId="0" shapeId="0" xr:uid="{00000000-0006-0000-0500-00001D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1、调整2月区域统计错误，少记应用部费用820.2元
2、应用部1530.02元</t>
        </r>
      </text>
    </comment>
    <comment ref="X54" authorId="0" shapeId="0" xr:uid="{00000000-0006-0000-0500-00001E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应用部3024.28</t>
        </r>
      </text>
    </comment>
    <comment ref="Z54" authorId="0" shapeId="0" xr:uid="{00000000-0006-0000-0500-00001F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应用部1777.55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王涛</author>
  </authors>
  <commentList>
    <comment ref="L24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毛利率低于15%客户调整-1782.68</t>
        </r>
      </text>
    </comment>
    <comment ref="N24" authorId="0" shapeId="0" xr:uid="{00000000-0006-0000-0600-000002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毛利率低于15%客户调整-1011.69
</t>
        </r>
      </text>
    </comment>
    <comment ref="P24" authorId="0" shapeId="0" xr:uid="{00000000-0006-0000-0600-000003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毛利率低于15%客户调整-7317.93</t>
        </r>
      </text>
    </comment>
    <comment ref="R24" authorId="0" shapeId="0" xr:uid="{00000000-0006-0000-0600-000004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1、成本调整65959.62</t>
        </r>
      </text>
    </comment>
    <comment ref="T24" authorId="0" shapeId="0" xr:uid="{00000000-0006-0000-0600-000005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1、毛利率低于15%客户调整-4086.61
2、8月成本调整差异6.07
3、9月成本调整60657.61
</t>
        </r>
      </text>
    </comment>
    <comment ref="V24" authorId="0" shapeId="0" xr:uid="{00000000-0006-0000-0600-000006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10月成本调整13535.34</t>
        </r>
      </text>
    </comment>
    <comment ref="X24" authorId="0" shapeId="0" xr:uid="{00000000-0006-0000-0600-000007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1、毛利率低于15%客户调整-622.57
2、11月成本调整13045.7
</t>
        </r>
      </text>
    </comment>
    <comment ref="Z24" authorId="0" shapeId="0" xr:uid="{00000000-0006-0000-0600-000008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1、毛利率低于15%客户调整-957.4
2、12月成本调整15186.55
</t>
        </r>
      </text>
    </comment>
    <comment ref="F32" authorId="0" shapeId="0" xr:uid="{00000000-0006-0000-0600-000009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剔除
2月计提分红10083
</t>
        </r>
      </text>
    </comment>
    <comment ref="H32" authorId="0" shapeId="0" xr:uid="{00000000-0006-0000-0600-00000A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剔除
3月计提分红7019
</t>
        </r>
      </text>
    </comment>
    <comment ref="J32" authorId="0" shapeId="0" xr:uid="{00000000-0006-0000-0600-00000B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剔除
4月计提分红4467
</t>
        </r>
      </text>
    </comment>
    <comment ref="L32" authorId="0" shapeId="0" xr:uid="{00000000-0006-0000-0600-00000C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剔除
5月计提分红14045</t>
        </r>
      </text>
    </comment>
    <comment ref="N32" authorId="0" shapeId="0" xr:uid="{00000000-0006-0000-0600-00000D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已剔除
2月冲回多提分红5791
3月补提分红7912
4月冲回多提分红2248
5月补提分红4243
6月计提分红5896
</t>
        </r>
      </text>
    </comment>
    <comment ref="P32" authorId="0" shapeId="0" xr:uid="{00000000-0006-0000-0600-00000E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已剔除
6月补提分红2621
7月计提分红692</t>
        </r>
      </text>
    </comment>
    <comment ref="R32" authorId="0" shapeId="0" xr:uid="{00000000-0006-0000-0600-00000F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已剔除
7月冲回多计提分红692
</t>
        </r>
      </text>
    </comment>
    <comment ref="Z32" authorId="0" shapeId="0" xr:uid="{00000000-0006-0000-0600-000010000000}">
      <text>
        <r>
          <rPr>
            <b/>
            <sz val="9"/>
            <rFont val="宋体"/>
            <family val="3"/>
            <charset val="134"/>
          </rPr>
          <t xml:space="preserve">王涛:
</t>
        </r>
        <r>
          <rPr>
            <sz val="9"/>
            <rFont val="宋体"/>
            <family val="3"/>
            <charset val="134"/>
          </rPr>
          <t>已剔除
1、补提11月少计提分红6109；
2、冲回1-11月已计提未发放的利润分红16307；
3、冲回年度清算利润分红未发放部分38049；</t>
        </r>
      </text>
    </comment>
    <comment ref="D54" authorId="0" shapeId="0" xr:uid="{00000000-0006-0000-0600-000011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应用部548.9</t>
        </r>
      </text>
    </comment>
    <comment ref="F54" authorId="0" shapeId="0" xr:uid="{00000000-0006-0000-0600-000012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应用部1916.53</t>
        </r>
      </text>
    </comment>
    <comment ref="H54" authorId="0" shapeId="0" xr:uid="{00000000-0006-0000-0600-000013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应用部576</t>
        </r>
      </text>
    </comment>
    <comment ref="J54" authorId="0" shapeId="0" xr:uid="{00000000-0006-0000-0600-000014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应用部1686.42</t>
        </r>
      </text>
    </comment>
    <comment ref="L54" authorId="0" shapeId="0" xr:uid="{00000000-0006-0000-0600-000015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应用部4678.74</t>
        </r>
      </text>
    </comment>
    <comment ref="N54" authorId="0" shapeId="0" xr:uid="{00000000-0006-0000-0600-000016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应用部982.8</t>
        </r>
      </text>
    </comment>
    <comment ref="P54" authorId="0" shapeId="0" xr:uid="{00000000-0006-0000-0600-000017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应用部380.1</t>
        </r>
      </text>
    </comment>
    <comment ref="R54" authorId="0" shapeId="0" xr:uid="{00000000-0006-0000-0600-000018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应用部1008.8</t>
        </r>
      </text>
    </comment>
    <comment ref="T54" authorId="0" shapeId="0" xr:uid="{00000000-0006-0000-0600-000019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1、调整2月区域统计错误，多记应用部费用1916.53元
2、调整2月区域统计错误，少记应用部费用257.49元
3、应用部1945.5元</t>
        </r>
      </text>
    </comment>
    <comment ref="V54" authorId="0" shapeId="0" xr:uid="{00000000-0006-0000-0600-00001A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应用部1867.8元
</t>
        </r>
      </text>
    </comment>
    <comment ref="X54" authorId="0" shapeId="0" xr:uid="{00000000-0006-0000-0600-00001B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应用部2083</t>
        </r>
      </text>
    </comment>
    <comment ref="Z54" authorId="0" shapeId="0" xr:uid="{00000000-0006-0000-0600-00001C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应用部2394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王涛</author>
  </authors>
  <commentList>
    <comment ref="L24" authorId="0" shapeId="0" xr:uid="{00000000-0006-0000-0700-000001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毛利率低于15%客户调整-5702.13</t>
        </r>
      </text>
    </comment>
    <comment ref="N24" authorId="0" shapeId="0" xr:uid="{00000000-0006-0000-0700-000002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毛利率低于15%客户调整-12149.57
</t>
        </r>
      </text>
    </comment>
    <comment ref="P24" authorId="0" shapeId="0" xr:uid="{00000000-0006-0000-0700-000003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毛利率低于15%客户调整-4548.62
</t>
        </r>
      </text>
    </comment>
    <comment ref="R24" authorId="0" shapeId="0" xr:uid="{00000000-0006-0000-0700-000004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成本调增31632.81</t>
        </r>
      </text>
    </comment>
    <comment ref="T24" authorId="0" shapeId="0" xr:uid="{00000000-0006-0000-0700-000005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1、8月成本调整差异2.93
2、9月成本调整55626.62
</t>
        </r>
      </text>
    </comment>
    <comment ref="V24" authorId="0" shapeId="0" xr:uid="{00000000-0006-0000-0700-000006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10月成本调整13907.99
</t>
        </r>
      </text>
    </comment>
    <comment ref="X24" authorId="0" shapeId="0" xr:uid="{00000000-0006-0000-0700-000007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1、毛利率低于15%客户调整-27488.24
2、11月成本调整11369.32</t>
        </r>
      </text>
    </comment>
    <comment ref="Z24" authorId="0" shapeId="0" xr:uid="{00000000-0006-0000-0700-000008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1、毛利率低于15%客户调整-50090.39
2、12月成本调整14411.45
</t>
        </r>
      </text>
    </comment>
    <comment ref="F32" authorId="0" shapeId="0" xr:uid="{00000000-0006-0000-0700-000009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剔除
2月计提分红14324
</t>
        </r>
      </text>
    </comment>
    <comment ref="H32" authorId="0" shapeId="0" xr:uid="{00000000-0006-0000-0700-00000A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剔除
3月计提分红2894
</t>
        </r>
      </text>
    </comment>
    <comment ref="J32" authorId="0" shapeId="0" xr:uid="{00000000-0006-0000-0700-00000B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剔除
4月计提分红8846
</t>
        </r>
      </text>
    </comment>
    <comment ref="N32" authorId="0" shapeId="0" xr:uid="{00000000-0006-0000-0700-00000C000000}">
      <text>
        <r>
          <rPr>
            <b/>
            <sz val="9"/>
            <rFont val="宋体"/>
            <family val="3"/>
            <charset val="134"/>
          </rPr>
          <t xml:space="preserve">王涛:
</t>
        </r>
        <r>
          <rPr>
            <sz val="9"/>
            <rFont val="宋体"/>
            <family val="3"/>
            <charset val="134"/>
          </rPr>
          <t xml:space="preserve">已剔除
2月冲回多计提分红14324
3月补提分红8906
4月冲回多计提分红8846
</t>
        </r>
      </text>
    </comment>
    <comment ref="T32" authorId="0" shapeId="0" xr:uid="{00000000-0006-0000-0700-00000D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已剔除
9月计提分红33360</t>
        </r>
      </text>
    </comment>
    <comment ref="V32" authorId="0" shapeId="0" xr:uid="{00000000-0006-0000-0700-00000E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已剔除
补提9月少计提分红5749
</t>
        </r>
      </text>
    </comment>
    <comment ref="Z32" authorId="0" shapeId="0" xr:uid="{00000000-0006-0000-0700-00000F000000}">
      <text>
        <r>
          <rPr>
            <b/>
            <sz val="9"/>
            <rFont val="宋体"/>
            <family val="3"/>
            <charset val="134"/>
          </rPr>
          <t xml:space="preserve">王涛:
</t>
        </r>
        <r>
          <rPr>
            <sz val="9"/>
            <rFont val="宋体"/>
            <family val="3"/>
            <charset val="134"/>
          </rPr>
          <t>已剔除
1、冲回1-11月已计提未发放的利润分红15273；
3、冲回年度清算利润分红未发放部分35636；</t>
        </r>
      </text>
    </comment>
    <comment ref="D54" authorId="0" shapeId="0" xr:uid="{00000000-0006-0000-0700-000010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应用部2460.6</t>
        </r>
      </text>
    </comment>
    <comment ref="F54" authorId="0" shapeId="0" xr:uid="{00000000-0006-0000-0700-000011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应用部1804.99</t>
        </r>
      </text>
    </comment>
    <comment ref="H54" authorId="0" shapeId="0" xr:uid="{00000000-0006-0000-0700-000012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应用部2950.61</t>
        </r>
      </text>
    </comment>
    <comment ref="J54" authorId="0" shapeId="0" xr:uid="{00000000-0006-0000-0700-000013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应用部1956.67</t>
        </r>
      </text>
    </comment>
    <comment ref="L54" authorId="0" shapeId="0" xr:uid="{00000000-0006-0000-0700-000014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应用部6342.73</t>
        </r>
      </text>
    </comment>
    <comment ref="N54" authorId="0" shapeId="0" xr:uid="{00000000-0006-0000-0700-000015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应用部2769.83</t>
        </r>
      </text>
    </comment>
    <comment ref="P54" authorId="0" shapeId="0" xr:uid="{00000000-0006-0000-0700-000016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应用部3128.82</t>
        </r>
      </text>
    </comment>
    <comment ref="R54" authorId="0" shapeId="0" xr:uid="{00000000-0006-0000-0700-000017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应用部4825.73</t>
        </r>
      </text>
    </comment>
    <comment ref="T54" authorId="0" shapeId="0" xr:uid="{00000000-0006-0000-0700-000018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1、调整2月区域统计错误，多记应用部费用820.2元
2、调整2月区域统计错误，少记应用部费用1916.53元
3、调整2月区域统计错误，多记应用部费用257.49元
4、应用部3979.69元
</t>
        </r>
      </text>
    </comment>
    <comment ref="V54" authorId="0" shapeId="0" xr:uid="{00000000-0006-0000-0700-000019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应用部1339.32元</t>
        </r>
      </text>
    </comment>
    <comment ref="X54" authorId="0" shapeId="0" xr:uid="{00000000-0006-0000-0700-00001A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应用部5237.11</t>
        </r>
      </text>
    </comment>
    <comment ref="Z54" authorId="0" shapeId="0" xr:uid="{00000000-0006-0000-0700-00001B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应用部2074.09</t>
        </r>
      </text>
    </comment>
    <comment ref="P74" authorId="0" shapeId="0" xr:uid="{00000000-0006-0000-0700-00001C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减酸小七诉讼费50493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王涛</author>
  </authors>
  <commentList>
    <comment ref="R24" authorId="0" shapeId="0" xr:uid="{00000000-0006-0000-0800-000001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1、毛利率低于15%客户调整-18289.33
2、成本调增20673.05
</t>
        </r>
      </text>
    </comment>
    <comment ref="T24" authorId="0" shapeId="0" xr:uid="{00000000-0006-0000-0800-000002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1、毛利率低于15%客户调整-20369.15
2、8月成本调整差异1.95
3、9月成本调整22468.04</t>
        </r>
      </text>
    </comment>
    <comment ref="V24" authorId="0" shapeId="0" xr:uid="{00000000-0006-0000-0800-000003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1、毛利率低于15%客户调整-11926.03
2、10月成本调整7913.54
</t>
        </r>
      </text>
    </comment>
    <comment ref="X24" authorId="0" shapeId="0" xr:uid="{00000000-0006-0000-0800-000004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1、毛利率低于15%客户调整-12250.82
2、11月成本调整5253.84</t>
        </r>
      </text>
    </comment>
    <comment ref="Z24" authorId="0" shapeId="0" xr:uid="{00000000-0006-0000-0800-000005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1、毛利率低于15%客户调整-14737.58
2、12月成本调整6703.01
</t>
        </r>
      </text>
    </comment>
    <comment ref="N32" authorId="0" shapeId="0" xr:uid="{00000000-0006-0000-0800-000006000000}">
      <text>
        <r>
          <rPr>
            <b/>
            <sz val="9"/>
            <rFont val="宋体"/>
            <family val="3"/>
            <charset val="134"/>
          </rPr>
          <t xml:space="preserve">王涛:
</t>
        </r>
        <r>
          <rPr>
            <sz val="9"/>
            <rFont val="宋体"/>
            <family val="3"/>
            <charset val="134"/>
          </rPr>
          <t>已剔除
2月补提分红5986
4月补提分红23962
5月冲回多计提分红9114
6月计提分红13574</t>
        </r>
      </text>
    </comment>
    <comment ref="P32" authorId="0" shapeId="0" xr:uid="{00000000-0006-0000-0800-000007000000}">
      <text>
        <r>
          <rPr>
            <b/>
            <sz val="9"/>
            <rFont val="宋体"/>
            <family val="3"/>
            <charset val="134"/>
          </rPr>
          <t xml:space="preserve">王涛:
</t>
        </r>
        <r>
          <rPr>
            <sz val="9"/>
            <rFont val="宋体"/>
            <family val="3"/>
            <charset val="134"/>
          </rPr>
          <t xml:space="preserve">已剔除
6月补提分红7907
7月计提分红4528
</t>
        </r>
      </text>
    </comment>
    <comment ref="R32" authorId="0" shapeId="0" xr:uid="{00000000-0006-0000-0800-000008000000}">
      <text>
        <r>
          <rPr>
            <b/>
            <sz val="9"/>
            <rFont val="宋体"/>
            <family val="3"/>
            <charset val="134"/>
          </rPr>
          <t xml:space="preserve">王涛:
</t>
        </r>
        <r>
          <rPr>
            <sz val="9"/>
            <rFont val="宋体"/>
            <family val="3"/>
            <charset val="134"/>
          </rPr>
          <t>已剔除
7月补提分红9599</t>
        </r>
      </text>
    </comment>
    <comment ref="T32" authorId="0" shapeId="0" xr:uid="{00000000-0006-0000-0800-000009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已剔除
9月计提分红10532</t>
        </r>
      </text>
    </comment>
    <comment ref="V32" authorId="0" shapeId="0" xr:uid="{00000000-0006-0000-0800-00000A000000}">
      <text>
        <r>
          <rPr>
            <b/>
            <sz val="9"/>
            <rFont val="宋体"/>
            <family val="3"/>
            <charset val="134"/>
          </rPr>
          <t xml:space="preserve">王涛:
</t>
        </r>
        <r>
          <rPr>
            <sz val="9"/>
            <rFont val="宋体"/>
            <family val="3"/>
            <charset val="134"/>
          </rPr>
          <t>已剔除
补提9月少计提分红768
10月计提分红18647</t>
        </r>
      </text>
    </comment>
    <comment ref="X32" authorId="0" shapeId="0" xr:uid="{00000000-0006-0000-0800-00000B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已剔除
补提10月少计提分红9708</t>
        </r>
      </text>
    </comment>
    <comment ref="Z32" authorId="0" shapeId="0" xr:uid="{00000000-0006-0000-0800-00000C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已剔除
1、补提11月少计提分红1978；
2、冲回1-11月已计提未发放的利润分红33351；
3、补提年度清算利润分红未发放部分30913；
</t>
        </r>
      </text>
    </comment>
    <comment ref="P54" authorId="0" shapeId="0" xr:uid="{00000000-0006-0000-0800-00000D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应用部2247.78</t>
        </r>
      </text>
    </comment>
    <comment ref="R54" authorId="0" shapeId="0" xr:uid="{00000000-0006-0000-0800-00000E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应用部538.22</t>
        </r>
      </text>
    </comment>
    <comment ref="T54" authorId="0" shapeId="0" xr:uid="{00000000-0006-0000-0800-00000F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应用部3263元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王涛</author>
  </authors>
  <commentList>
    <comment ref="L24" authorId="0" shapeId="0" xr:uid="{00000000-0006-0000-0900-000001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毛利率低于15%客户调整-14815.37</t>
        </r>
      </text>
    </comment>
    <comment ref="N24" authorId="0" shapeId="0" xr:uid="{00000000-0006-0000-0900-000002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毛利率低于15%客户调整-20928.5
</t>
        </r>
      </text>
    </comment>
    <comment ref="P24" authorId="0" shapeId="0" xr:uid="{00000000-0006-0000-0900-000003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毛利率低于15%客户调整-9181.14
</t>
        </r>
      </text>
    </comment>
    <comment ref="R24" authorId="0" shapeId="0" xr:uid="{00000000-0006-0000-0900-000004000000}">
      <text>
        <r>
          <rPr>
            <b/>
            <sz val="9"/>
            <rFont val="宋体"/>
            <family val="3"/>
            <charset val="134"/>
          </rPr>
          <t>王涛:
1、</t>
        </r>
        <r>
          <rPr>
            <sz val="9"/>
            <rFont val="宋体"/>
            <family val="3"/>
            <charset val="134"/>
          </rPr>
          <t>毛利率低于15%客户调整-14996.71
2、成本调增9108.06</t>
        </r>
      </text>
    </comment>
    <comment ref="T24" authorId="0" shapeId="0" xr:uid="{00000000-0006-0000-0900-000005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1、毛利率低于15%客户调整-20369.15
2、8月成本调整差异0.85
3、9月成本调整9724.01
</t>
        </r>
      </text>
    </comment>
    <comment ref="V24" authorId="0" shapeId="0" xr:uid="{00000000-0006-0000-0900-000006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1、毛利率低于15%客户调整-11926.03
2、10月成本调整3339.13
</t>
        </r>
      </text>
    </comment>
    <comment ref="X24" authorId="0" shapeId="0" xr:uid="{00000000-0006-0000-0900-000007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1、毛利率低于15%客户调整-12250.82
2、11月成本调整2557.41
</t>
        </r>
      </text>
    </comment>
    <comment ref="Z24" authorId="0" shapeId="0" xr:uid="{00000000-0006-0000-0900-000008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1、毛利率低于15%客户调整-14737.58
2、12月成本调整2887.01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王涛</author>
  </authors>
  <commentList>
    <comment ref="R24" authorId="0" shapeId="0" xr:uid="{00000000-0006-0000-0A00-000001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1、毛利率低于15%客户调整-3292.62
2、成本调增11564.99</t>
        </r>
      </text>
    </comment>
    <comment ref="T24" authorId="0" shapeId="0" xr:uid="{00000000-0006-0000-0A00-000002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1、8月成本调整差异1.1
2、9月成本调整12744.03</t>
        </r>
      </text>
    </comment>
    <comment ref="V24" authorId="0" shapeId="0" xr:uid="{00000000-0006-0000-0A00-000003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10月成本调整4574.41
</t>
        </r>
      </text>
    </comment>
    <comment ref="X24" authorId="0" shapeId="0" xr:uid="{00000000-0006-0000-0A00-000004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11月成本调整2696.43</t>
        </r>
      </text>
    </comment>
    <comment ref="Z24" authorId="0" shapeId="0" xr:uid="{00000000-0006-0000-0A00-000005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12月成本调整3816</t>
        </r>
      </text>
    </comment>
    <comment ref="F32" authorId="0" shapeId="0" xr:uid="{00000000-0006-0000-0A00-000006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剔除
2月计提分红1081
</t>
        </r>
      </text>
    </comment>
    <comment ref="L32" authorId="0" shapeId="0" xr:uid="{00000000-0006-0000-0A00-000007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剔除
5月计提分红9114
</t>
        </r>
      </text>
    </comment>
    <comment ref="N32" authorId="0" shapeId="0" xr:uid="{00000000-0006-0000-0A00-000008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已剔除
2月补提分红5986
4月补提分红23962
5月冲回多计提分红9114
6月计提分红13574
</t>
        </r>
      </text>
    </comment>
    <comment ref="P32" authorId="0" shapeId="0" xr:uid="{00000000-0006-0000-0A00-000009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已剔除
6月补提分红7907
7月计提分红4528
</t>
        </r>
      </text>
    </comment>
    <comment ref="R32" authorId="0" shapeId="0" xr:uid="{00000000-0006-0000-0A00-00000A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已剔除
7月补提分红9599
</t>
        </r>
      </text>
    </comment>
    <comment ref="T32" authorId="0" shapeId="0" xr:uid="{00000000-0006-0000-0A00-00000B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已剔除
8月补提分红2903
9月计提分红10532</t>
        </r>
      </text>
    </comment>
    <comment ref="V32" authorId="0" shapeId="0" xr:uid="{00000000-0006-0000-0A00-00000C000000}">
      <text>
        <r>
          <rPr>
            <b/>
            <sz val="9"/>
            <rFont val="宋体"/>
            <family val="3"/>
            <charset val="134"/>
          </rPr>
          <t xml:space="preserve">王涛:
</t>
        </r>
        <r>
          <rPr>
            <sz val="9"/>
            <rFont val="宋体"/>
            <family val="3"/>
            <charset val="134"/>
          </rPr>
          <t>已剔除
补提9月少计提分红768
10月计提分红18647</t>
        </r>
      </text>
    </comment>
    <comment ref="X32" authorId="0" shapeId="0" xr:uid="{00000000-0006-0000-0A00-00000D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已剔除
补提10月少计提分红9708</t>
        </r>
      </text>
    </comment>
    <comment ref="Z32" authorId="0" shapeId="0" xr:uid="{00000000-0006-0000-0A00-00000E000000}">
      <text>
        <r>
          <rPr>
            <b/>
            <sz val="9"/>
            <rFont val="宋体"/>
            <family val="3"/>
            <charset val="134"/>
          </rPr>
          <t xml:space="preserve">王涛:
</t>
        </r>
        <r>
          <rPr>
            <sz val="9"/>
            <rFont val="宋体"/>
            <family val="3"/>
            <charset val="134"/>
          </rPr>
          <t>已剔除
1、补提11月少计提分红1978；
2、冲回1-11月已计提未发放的利润分红33351；
3、补提年度清算利润分红未发放部分30913；</t>
        </r>
      </text>
    </comment>
    <comment ref="D54" authorId="0" shapeId="0" xr:uid="{00000000-0006-0000-0A00-00000F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应用部1306.83</t>
        </r>
      </text>
    </comment>
    <comment ref="J54" authorId="0" shapeId="0" xr:uid="{00000000-0006-0000-0A00-000010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应用部6240.97</t>
        </r>
      </text>
    </comment>
    <comment ref="L54" authorId="0" shapeId="0" xr:uid="{00000000-0006-0000-0A00-000011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应用部1944.94</t>
        </r>
      </text>
    </comment>
    <comment ref="N54" authorId="0" shapeId="0" xr:uid="{00000000-0006-0000-0A00-000012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应用部2701.83
</t>
        </r>
      </text>
    </comment>
    <comment ref="P54" authorId="0" shapeId="0" xr:uid="{00000000-0006-0000-0A00-000013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应用部2247.78</t>
        </r>
      </text>
    </comment>
    <comment ref="R54" authorId="0" shapeId="0" xr:uid="{00000000-0006-0000-0A00-000014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应用部538.22</t>
        </r>
      </text>
    </comment>
    <comment ref="T54" authorId="0" shapeId="0" xr:uid="{00000000-0006-0000-0A00-000015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应用部3263元</t>
        </r>
      </text>
    </comment>
    <comment ref="X54" authorId="0" shapeId="0" xr:uid="{00000000-0006-0000-0A00-000016000000}">
      <text>
        <r>
          <rPr>
            <b/>
            <sz val="9"/>
            <rFont val="宋体"/>
            <family val="3"/>
            <charset val="134"/>
          </rPr>
          <t>王涛:</t>
        </r>
        <r>
          <rPr>
            <sz val="9"/>
            <rFont val="宋体"/>
            <family val="3"/>
            <charset val="134"/>
          </rPr>
          <t xml:space="preserve">
应用部1053.86</t>
        </r>
      </text>
    </comment>
  </commentList>
</comments>
</file>

<file path=xl/sharedStrings.xml><?xml version="1.0" encoding="utf-8"?>
<sst xmlns="http://schemas.openxmlformats.org/spreadsheetml/2006/main" count="2924" uniqueCount="307">
  <si>
    <t>中心经营口径报表索引</t>
  </si>
  <si>
    <t>序号</t>
  </si>
  <si>
    <t>索引</t>
  </si>
  <si>
    <t>报表编制说明</t>
  </si>
  <si>
    <t>净利简表</t>
  </si>
  <si>
    <t>1、分部及区域的预算净利及实际净利，数据来源为本文件中分部利润表、区域利润表中的预算净利润和实际净利润；
2、总监费用，预算净利数据来源为2025年中心利润表中的预算净利润及预算销售费用；实际净利为2025年中心利润表中的实际销售费用+计入到美鑫的总监工资及社保公积金费用之和；
3、因为净利简表中加了总监在美鑫的费用，所以净利简表中的汇总金额和2025年销售1中心利润表汇总有差异，差额为额外增加的这部分。</t>
  </si>
  <si>
    <t>所得税分摊</t>
  </si>
  <si>
    <t>1、所得税以财务口径（出库签收收入）进行计提；
2、所得税分摊的前提是基于谁受益谁承担的原则，盈利才分摊，亏损不分摊；
3、锅圈应分摊的所得税由2中心承担；
4、所得税总额为宁波味觉账面当期所得税余额，2025年销售1中心利润表中的所得税扣除锅圈承担部分的余额，两个数据有差异；
5、所得税分摊，按照各分部、区域的利润表中的正利润总额及锅圈的盈利，分别占合计利润总额的比例来分摊。</t>
  </si>
  <si>
    <t>2025年销售1中心利润表</t>
  </si>
  <si>
    <t>1、为中心、分部、区域的合计；
2、所得税为扣除二中心承担的税费后的余额。</t>
  </si>
  <si>
    <t xml:space="preserve">2025年中心利润表 </t>
  </si>
  <si>
    <t>1、销售费用中为总监的费用，差旅费、招待费、样品费等挂到中心的费用。</t>
  </si>
  <si>
    <t>2025年江苏分部利润表</t>
  </si>
  <si>
    <t>1、营业收入的取数来源为2025年1-12月销售明细表中的金额-2025年1-12月客户计提返利的金额；
2、营业成本的取数来源为2025年1-12月销售明细表中销售结算成本+运费核对表中的运费+销售的原材料的成本；
3、税金及附加核算的是城建税、教育费附加、印花税，城建和教育费附加为当月收入的0.85%，印花税为收入的0.03%；
4、销售费用为分部人员的费用及后台职能协助挂到分部的费用（如有）；
5、所得税与所得税分摊表中数据一致。</t>
  </si>
  <si>
    <t>2025年浙江分部利润表</t>
  </si>
  <si>
    <t>编制规则同江苏分部利润表</t>
  </si>
  <si>
    <t>2025年上海分部利润表</t>
  </si>
  <si>
    <t>2025年赣皖区域利润表</t>
  </si>
  <si>
    <t>2025年安徽省区利润表</t>
  </si>
  <si>
    <t>2025年江西省区利润表</t>
  </si>
  <si>
    <t>2025年1-12月客户计提返利</t>
  </si>
  <si>
    <t>1、返利范围为经销商或有返利的直销客户，当销售额达到返利条款约定的50%时，预计很有可能实现返利的当月，开始计提返利，后续每月根据最新的销售额变动；
2、合同期限内，如果未完成返利约定销售额，该预提返利费用将冲回；如果实现返利，则该返利费用实现。</t>
  </si>
  <si>
    <t>产品毛利</t>
  </si>
  <si>
    <t>取数来源为2025年1-12月销售明细表</t>
  </si>
  <si>
    <t>客户毛利</t>
  </si>
  <si>
    <t>业务人员毛利</t>
  </si>
  <si>
    <t>省区、大区毛利率</t>
  </si>
  <si>
    <r>
      <rPr>
        <u/>
        <sz val="11"/>
        <color rgb="FF800080"/>
        <rFont val="黑体"/>
        <family val="3"/>
        <charset val="134"/>
      </rPr>
      <t>各省区各月销售额</t>
    </r>
    <r>
      <rPr>
        <u/>
        <sz val="11"/>
        <color rgb="FF800080"/>
        <rFont val="黑体"/>
        <family val="3"/>
        <charset val="134"/>
      </rPr>
      <t>&amp;</t>
    </r>
    <r>
      <rPr>
        <u/>
        <sz val="11"/>
        <color rgb="FF800080"/>
        <rFont val="黑体"/>
        <family val="3"/>
        <charset val="134"/>
      </rPr>
      <t>番茄各月销售额</t>
    </r>
  </si>
  <si>
    <t>经销客户销售明细</t>
  </si>
  <si>
    <t>运费明细表</t>
  </si>
  <si>
    <t>取数来源为储运提供的运费明细表</t>
  </si>
  <si>
    <t>费用结构占比（同比及环比）</t>
  </si>
  <si>
    <t>1、利润表中的销售费用等于费用结构占比中销售费用的金额；
2、利润表中的收入的本年实际、本月实际分别等于结构表中的全年总体概况收入、月份收入。</t>
  </si>
  <si>
    <t>招待费用明细表</t>
  </si>
  <si>
    <t>1、取数来源为ERP财务总账
2、金额与利润表中的招待费金额一致</t>
  </si>
  <si>
    <t>样品费用明细表</t>
  </si>
  <si>
    <t>取数来源为ERP其他出库单发出的样品明细</t>
  </si>
  <si>
    <t>折扣明细表</t>
  </si>
  <si>
    <t>折扣取数来源为销售明细表中折扣额一列的汇总。</t>
  </si>
  <si>
    <t>2025年1-12月1中心出库明细</t>
  </si>
  <si>
    <t>1、取数来源为ERP销售出库单列表
2、毛利率低于20%牛油系列产品，工厂与中心五五分成毛利，调整月份为2024年8月</t>
  </si>
  <si>
    <t>毛利率低于15%客户调整明细</t>
  </si>
  <si>
    <t>1、取数来源为ERP销售出库单列表
2、客户毛利率低于或等于15%牛油系列产品，工厂与中心五五分成毛利，调整月份为2025年5月</t>
  </si>
  <si>
    <t>销售1中心2025年各分部及区域收入&amp;净利简表</t>
  </si>
  <si>
    <t>区域</t>
  </si>
  <si>
    <r>
      <rPr>
        <sz val="12"/>
        <rFont val="微软雅黑"/>
        <family val="2"/>
        <charset val="134"/>
      </rPr>
      <t>1</t>
    </r>
    <r>
      <rPr>
        <sz val="12"/>
        <rFont val="微软雅黑"/>
        <family val="2"/>
        <charset val="134"/>
      </rPr>
      <t>月</t>
    </r>
  </si>
  <si>
    <r>
      <rPr>
        <sz val="12"/>
        <rFont val="微软雅黑"/>
        <family val="2"/>
        <charset val="134"/>
      </rPr>
      <t>2</t>
    </r>
    <r>
      <rPr>
        <sz val="12"/>
        <rFont val="微软雅黑"/>
        <family val="2"/>
        <charset val="134"/>
      </rPr>
      <t>月</t>
    </r>
  </si>
  <si>
    <r>
      <rPr>
        <sz val="12"/>
        <rFont val="微软雅黑"/>
        <family val="2"/>
        <charset val="134"/>
      </rPr>
      <t>3</t>
    </r>
    <r>
      <rPr>
        <sz val="12"/>
        <rFont val="微软雅黑"/>
        <family val="2"/>
        <charset val="134"/>
      </rPr>
      <t>月</t>
    </r>
  </si>
  <si>
    <r>
      <rPr>
        <sz val="12"/>
        <rFont val="微软雅黑"/>
        <family val="2"/>
        <charset val="134"/>
      </rPr>
      <t>4</t>
    </r>
    <r>
      <rPr>
        <sz val="12"/>
        <rFont val="微软雅黑"/>
        <family val="2"/>
        <charset val="134"/>
      </rPr>
      <t>月</t>
    </r>
  </si>
  <si>
    <r>
      <rPr>
        <sz val="12"/>
        <rFont val="微软雅黑"/>
        <family val="2"/>
        <charset val="134"/>
      </rPr>
      <t>5</t>
    </r>
    <r>
      <rPr>
        <sz val="12"/>
        <rFont val="微软雅黑"/>
        <family val="2"/>
        <charset val="134"/>
      </rPr>
      <t>月</t>
    </r>
  </si>
  <si>
    <r>
      <rPr>
        <sz val="12"/>
        <rFont val="微软雅黑"/>
        <family val="2"/>
        <charset val="134"/>
      </rPr>
      <t>6</t>
    </r>
    <r>
      <rPr>
        <sz val="12"/>
        <rFont val="微软雅黑"/>
        <family val="2"/>
        <charset val="134"/>
      </rPr>
      <t>月</t>
    </r>
  </si>
  <si>
    <r>
      <rPr>
        <sz val="12"/>
        <rFont val="微软雅黑"/>
        <family val="2"/>
        <charset val="134"/>
      </rPr>
      <t>7</t>
    </r>
    <r>
      <rPr>
        <sz val="12"/>
        <rFont val="微软雅黑"/>
        <family val="2"/>
        <charset val="134"/>
      </rPr>
      <t>月</t>
    </r>
  </si>
  <si>
    <r>
      <rPr>
        <sz val="12"/>
        <rFont val="微软雅黑"/>
        <family val="2"/>
        <charset val="134"/>
      </rPr>
      <t>8</t>
    </r>
    <r>
      <rPr>
        <sz val="12"/>
        <rFont val="微软雅黑"/>
        <family val="2"/>
        <charset val="134"/>
      </rPr>
      <t>月</t>
    </r>
  </si>
  <si>
    <r>
      <rPr>
        <sz val="12"/>
        <rFont val="微软雅黑"/>
        <family val="2"/>
        <charset val="134"/>
      </rPr>
      <t>9</t>
    </r>
    <r>
      <rPr>
        <sz val="12"/>
        <rFont val="微软雅黑"/>
        <family val="2"/>
        <charset val="134"/>
      </rPr>
      <t>月</t>
    </r>
  </si>
  <si>
    <r>
      <rPr>
        <sz val="12"/>
        <rFont val="微软雅黑"/>
        <family val="2"/>
        <charset val="134"/>
      </rPr>
      <t>10</t>
    </r>
    <r>
      <rPr>
        <sz val="12"/>
        <rFont val="微软雅黑"/>
        <family val="2"/>
        <charset val="134"/>
      </rPr>
      <t>月</t>
    </r>
  </si>
  <si>
    <r>
      <rPr>
        <sz val="12"/>
        <rFont val="微软雅黑"/>
        <family val="2"/>
        <charset val="134"/>
      </rPr>
      <t>11</t>
    </r>
    <r>
      <rPr>
        <sz val="12"/>
        <rFont val="微软雅黑"/>
        <family val="2"/>
        <charset val="134"/>
      </rPr>
      <t>月</t>
    </r>
  </si>
  <si>
    <r>
      <rPr>
        <sz val="12"/>
        <rFont val="微软雅黑"/>
        <family val="2"/>
        <charset val="134"/>
      </rPr>
      <t>12</t>
    </r>
    <r>
      <rPr>
        <sz val="12"/>
        <rFont val="微软雅黑"/>
        <family val="2"/>
        <charset val="134"/>
      </rPr>
      <t>月</t>
    </r>
  </si>
  <si>
    <t>合计</t>
  </si>
  <si>
    <t>预算收入</t>
  </si>
  <si>
    <t>24年同期实际</t>
  </si>
  <si>
    <t>实际收入</t>
  </si>
  <si>
    <t>江苏分部</t>
  </si>
  <si>
    <t>浙江分部</t>
  </si>
  <si>
    <t>上海分部</t>
  </si>
  <si>
    <t>赣皖区域</t>
  </si>
  <si>
    <r>
      <rPr>
        <sz val="12"/>
        <rFont val="微软雅黑"/>
        <family val="2"/>
        <charset val="134"/>
      </rPr>
      <t>1</t>
    </r>
    <r>
      <rPr>
        <sz val="12"/>
        <rFont val="微软雅黑"/>
        <family val="2"/>
        <charset val="134"/>
      </rPr>
      <t>中心总监费用</t>
    </r>
  </si>
  <si>
    <t>预算净利</t>
  </si>
  <si>
    <t>实际净利</t>
  </si>
  <si>
    <t>备注：</t>
  </si>
  <si>
    <t>本表收入为扣除返利后收入，利润为分红前利润，与销售1中心利润表中收入及净利润数据相等；</t>
  </si>
  <si>
    <t>1中心总监费用：是指包含该总监报销与业务相关的差旅、招待、样品费等发生的一切费用，也包含其工资、社保及宁波味觉发生的残疾人工资及社保等；</t>
  </si>
  <si>
    <t>目的：主要是表明该BU下总体净利完成情况（即该公司组织目标净利的完成情况）</t>
  </si>
  <si>
    <t>编制说明：</t>
  </si>
  <si>
    <t xml:space="preserve">宁波味觉销售1中心利润表 </t>
  </si>
  <si>
    <r>
      <rPr>
        <b/>
        <sz val="9"/>
        <rFont val="仿宋"/>
        <family val="3"/>
        <charset val="134"/>
      </rPr>
      <t>会企</t>
    </r>
    <r>
      <rPr>
        <b/>
        <sz val="9"/>
        <rFont val="Arial"/>
        <family val="2"/>
      </rPr>
      <t>01</t>
    </r>
    <r>
      <rPr>
        <b/>
        <sz val="9"/>
        <rFont val="仿宋"/>
        <family val="3"/>
        <charset val="134"/>
      </rPr>
      <t>表</t>
    </r>
  </si>
  <si>
    <r>
      <rPr>
        <b/>
        <sz val="11"/>
        <rFont val="宋体"/>
        <family val="3"/>
        <charset val="134"/>
      </rPr>
      <t>编制单位：江苏美鑫食品科技有限公司</t>
    </r>
  </si>
  <si>
    <r>
      <rPr>
        <b/>
        <sz val="9"/>
        <rFont val="仿宋"/>
        <family val="3"/>
        <charset val="134"/>
      </rPr>
      <t>单位：元</t>
    </r>
  </si>
  <si>
    <r>
      <rPr>
        <b/>
        <sz val="10"/>
        <rFont val="宋体"/>
        <family val="3"/>
        <charset val="134"/>
      </rPr>
      <t>项　　　</t>
    </r>
    <r>
      <rPr>
        <b/>
        <sz val="10"/>
        <rFont val="Arial"/>
        <family val="2"/>
      </rPr>
      <t xml:space="preserve">  </t>
    </r>
    <r>
      <rPr>
        <b/>
        <sz val="10"/>
        <rFont val="宋体"/>
        <family val="3"/>
        <charset val="134"/>
      </rPr>
      <t>　目　</t>
    </r>
  </si>
  <si>
    <r>
      <rPr>
        <b/>
        <sz val="10"/>
        <rFont val="宋体"/>
        <family val="3"/>
        <charset val="134"/>
      </rPr>
      <t>行次</t>
    </r>
  </si>
  <si>
    <r>
      <rPr>
        <b/>
        <sz val="10"/>
        <rFont val="Arial"/>
        <family val="2"/>
      </rPr>
      <t>2025</t>
    </r>
    <r>
      <rPr>
        <b/>
        <sz val="10"/>
        <rFont val="宋体"/>
        <family val="3"/>
        <charset val="134"/>
      </rPr>
      <t>年合计</t>
    </r>
  </si>
  <si>
    <r>
      <rPr>
        <b/>
        <sz val="11"/>
        <rFont val="Arial"/>
        <family val="2"/>
      </rPr>
      <t>2025</t>
    </r>
    <r>
      <rPr>
        <b/>
        <sz val="11"/>
        <rFont val="微软雅黑"/>
        <family val="2"/>
        <charset val="134"/>
      </rPr>
      <t>年合计逆向验证</t>
    </r>
  </si>
  <si>
    <t>检验结果</t>
  </si>
  <si>
    <r>
      <rPr>
        <b/>
        <sz val="10"/>
        <rFont val="宋体"/>
        <family val="3"/>
        <charset val="134"/>
      </rPr>
      <t>预算数</t>
    </r>
  </si>
  <si>
    <r>
      <rPr>
        <b/>
        <sz val="10"/>
        <rFont val="宋体"/>
        <family val="3"/>
        <charset val="134"/>
      </rPr>
      <t>本月实际</t>
    </r>
  </si>
  <si>
    <t>预算数</t>
  </si>
  <si>
    <t>本月实际</t>
  </si>
  <si>
    <r>
      <rPr>
        <b/>
        <sz val="10"/>
        <rFont val="宋体"/>
        <family val="3"/>
        <charset val="134"/>
      </rPr>
      <t>本年实际</t>
    </r>
  </si>
  <si>
    <r>
      <rPr>
        <b/>
        <sz val="10"/>
        <rFont val="仿宋"/>
        <family val="3"/>
        <charset val="134"/>
      </rPr>
      <t>一、营业收入</t>
    </r>
  </si>
  <si>
    <t>1</t>
  </si>
  <si>
    <t>中式汤底</t>
  </si>
  <si>
    <t>酱料</t>
  </si>
  <si>
    <t>川味底料</t>
  </si>
  <si>
    <t>调味汁</t>
  </si>
  <si>
    <t>复合调味粉</t>
  </si>
  <si>
    <t>团餐</t>
  </si>
  <si>
    <t>预制菜</t>
  </si>
  <si>
    <t>返利</t>
  </si>
  <si>
    <t>其他</t>
  </si>
  <si>
    <r>
      <rPr>
        <b/>
        <sz val="10"/>
        <rFont val="Arial"/>
        <family val="2"/>
      </rPr>
      <t xml:space="preserve">   </t>
    </r>
    <r>
      <rPr>
        <b/>
        <sz val="10"/>
        <rFont val="仿宋"/>
        <family val="3"/>
        <charset val="134"/>
      </rPr>
      <t>减：营业成本</t>
    </r>
  </si>
  <si>
    <t>2</t>
  </si>
  <si>
    <t>运费</t>
  </si>
  <si>
    <r>
      <rPr>
        <b/>
        <sz val="10"/>
        <rFont val="Arial"/>
        <family val="2"/>
      </rPr>
      <t xml:space="preserve">   </t>
    </r>
    <r>
      <rPr>
        <b/>
        <sz val="10"/>
        <rFont val="宋体"/>
        <family val="3"/>
        <charset val="134"/>
      </rPr>
      <t>毛利</t>
    </r>
  </si>
  <si>
    <t>3</t>
  </si>
  <si>
    <r>
      <rPr>
        <b/>
        <sz val="10"/>
        <rFont val="Arial"/>
        <family val="2"/>
      </rPr>
      <t xml:space="preserve">   </t>
    </r>
    <r>
      <rPr>
        <b/>
        <sz val="10"/>
        <rFont val="宋体"/>
        <family val="3"/>
        <charset val="134"/>
      </rPr>
      <t>毛利率</t>
    </r>
  </si>
  <si>
    <t>4</t>
  </si>
  <si>
    <r>
      <rPr>
        <sz val="10"/>
        <rFont val="Arial"/>
        <family val="2"/>
      </rPr>
      <t xml:space="preserve">     </t>
    </r>
    <r>
      <rPr>
        <sz val="10"/>
        <rFont val="仿宋"/>
        <family val="3"/>
        <charset val="134"/>
      </rPr>
      <t>税金及附加</t>
    </r>
  </si>
  <si>
    <r>
      <rPr>
        <b/>
        <sz val="10"/>
        <rFont val="Arial"/>
        <family val="2"/>
      </rPr>
      <t xml:space="preserve">     </t>
    </r>
    <r>
      <rPr>
        <b/>
        <sz val="10"/>
        <rFont val="仿宋"/>
        <family val="3"/>
        <charset val="134"/>
      </rPr>
      <t>销售费用</t>
    </r>
  </si>
  <si>
    <t>职工薪酬</t>
  </si>
  <si>
    <t>工资</t>
  </si>
  <si>
    <t>奖金及提成</t>
  </si>
  <si>
    <t>社保</t>
  </si>
  <si>
    <t>养老</t>
  </si>
  <si>
    <t>医疗</t>
  </si>
  <si>
    <t>工伤</t>
  </si>
  <si>
    <t>失业</t>
  </si>
  <si>
    <t>生育</t>
  </si>
  <si>
    <t>公积金</t>
  </si>
  <si>
    <t>工会经费</t>
  </si>
  <si>
    <t>职工教育经费</t>
  </si>
  <si>
    <t>福利费</t>
  </si>
  <si>
    <t>职工房租</t>
  </si>
  <si>
    <t>水电物业费</t>
  </si>
  <si>
    <t>员工餐</t>
  </si>
  <si>
    <t>节日礼品</t>
  </si>
  <si>
    <t>生日礼品</t>
  </si>
  <si>
    <t>体检</t>
  </si>
  <si>
    <t>其他福利支出</t>
  </si>
  <si>
    <t>招聘费</t>
  </si>
  <si>
    <t>办公费</t>
  </si>
  <si>
    <t>市内交通费</t>
  </si>
  <si>
    <t>差旅费</t>
  </si>
  <si>
    <t>交通费</t>
  </si>
  <si>
    <t>住宿费</t>
  </si>
  <si>
    <t>餐费</t>
  </si>
  <si>
    <t>交通补助</t>
  </si>
  <si>
    <t>通讯补助</t>
  </si>
  <si>
    <t>招待费</t>
  </si>
  <si>
    <t>通讯费</t>
  </si>
  <si>
    <t>网络费</t>
  </si>
  <si>
    <t>修理费</t>
  </si>
  <si>
    <t>车辆费</t>
  </si>
  <si>
    <t>租赁费</t>
  </si>
  <si>
    <t>能源费</t>
  </si>
  <si>
    <t>水费</t>
  </si>
  <si>
    <t>电费</t>
  </si>
  <si>
    <t>燃气费</t>
  </si>
  <si>
    <t>蒸汽费</t>
  </si>
  <si>
    <t>物业费</t>
  </si>
  <si>
    <t>劳动保护费</t>
  </si>
  <si>
    <t>顾问费</t>
  </si>
  <si>
    <t>快递费</t>
  </si>
  <si>
    <t>诉讼费</t>
  </si>
  <si>
    <t>会员费</t>
  </si>
  <si>
    <t>广告宣传费</t>
  </si>
  <si>
    <t>会务费</t>
  </si>
  <si>
    <t>装修费</t>
  </si>
  <si>
    <t>推广费</t>
  </si>
  <si>
    <t>展会费</t>
  </si>
  <si>
    <t>设计费</t>
  </si>
  <si>
    <t>折旧费</t>
  </si>
  <si>
    <t>认证费</t>
  </si>
  <si>
    <t>样品费</t>
  </si>
  <si>
    <t>劳务费</t>
  </si>
  <si>
    <t>销售佣金</t>
  </si>
  <si>
    <t>检测费</t>
  </si>
  <si>
    <t>质量赔偿</t>
  </si>
  <si>
    <t>保险费</t>
  </si>
  <si>
    <t>清洁费</t>
  </si>
  <si>
    <t>低值易耗品</t>
  </si>
  <si>
    <t>物料消耗</t>
  </si>
  <si>
    <t>盘盈盘亏</t>
  </si>
  <si>
    <t>平台服务费</t>
  </si>
  <si>
    <t>无形资产摊销</t>
  </si>
  <si>
    <t>研发材料</t>
  </si>
  <si>
    <t>项目名称</t>
  </si>
  <si>
    <t>研发费</t>
  </si>
  <si>
    <t>残保金</t>
  </si>
  <si>
    <t>环保费</t>
  </si>
  <si>
    <t>报废损失</t>
  </si>
  <si>
    <r>
      <rPr>
        <b/>
        <sz val="10"/>
        <rFont val="Arial"/>
        <family val="2"/>
      </rPr>
      <t xml:space="preserve">     </t>
    </r>
    <r>
      <rPr>
        <b/>
        <sz val="10"/>
        <rFont val="仿宋"/>
        <family val="3"/>
        <charset val="134"/>
      </rPr>
      <t>管理费用</t>
    </r>
  </si>
  <si>
    <t>餐补</t>
  </si>
  <si>
    <r>
      <rPr>
        <b/>
        <sz val="10"/>
        <rFont val="Arial"/>
        <family val="2"/>
      </rPr>
      <t xml:space="preserve">     </t>
    </r>
    <r>
      <rPr>
        <b/>
        <sz val="10"/>
        <rFont val="宋体"/>
        <family val="3"/>
        <charset val="134"/>
      </rPr>
      <t>研发费用</t>
    </r>
  </si>
  <si>
    <r>
      <rPr>
        <sz val="10"/>
        <rFont val="Arial"/>
        <family val="2"/>
      </rPr>
      <t xml:space="preserve">     </t>
    </r>
    <r>
      <rPr>
        <sz val="10"/>
        <rFont val="仿宋"/>
        <family val="3"/>
        <charset val="134"/>
      </rPr>
      <t>财务费用</t>
    </r>
  </si>
  <si>
    <r>
      <rPr>
        <sz val="10"/>
        <rFont val="Arial"/>
        <family val="2"/>
      </rPr>
      <t xml:space="preserve">     </t>
    </r>
    <r>
      <rPr>
        <sz val="10"/>
        <rFont val="仿宋"/>
        <family val="3"/>
        <charset val="134"/>
      </rPr>
      <t>资产减值损失</t>
    </r>
  </si>
  <si>
    <r>
      <rPr>
        <sz val="10"/>
        <rFont val="Arial"/>
        <family val="2"/>
      </rPr>
      <t xml:space="preserve">     </t>
    </r>
    <r>
      <rPr>
        <sz val="10"/>
        <rFont val="宋体"/>
        <family val="3"/>
        <charset val="134"/>
      </rPr>
      <t>信用减值损失</t>
    </r>
  </si>
  <si>
    <r>
      <rPr>
        <sz val="10"/>
        <rFont val="Arial"/>
        <family val="2"/>
      </rPr>
      <t xml:space="preserve">  </t>
    </r>
    <r>
      <rPr>
        <sz val="10"/>
        <rFont val="仿宋"/>
        <family val="3"/>
        <charset val="134"/>
      </rPr>
      <t>加：公允价值变动收益（损失以</t>
    </r>
    <r>
      <rPr>
        <sz val="10"/>
        <rFont val="Arial"/>
        <family val="2"/>
      </rPr>
      <t>“-”</t>
    </r>
    <r>
      <rPr>
        <sz val="10"/>
        <rFont val="仿宋"/>
        <family val="3"/>
        <charset val="134"/>
      </rPr>
      <t>号填列）</t>
    </r>
  </si>
  <si>
    <r>
      <rPr>
        <sz val="10"/>
        <rFont val="Arial"/>
        <family val="2"/>
      </rPr>
      <t xml:space="preserve">     </t>
    </r>
    <r>
      <rPr>
        <sz val="10"/>
        <rFont val="仿宋"/>
        <family val="3"/>
        <charset val="134"/>
      </rPr>
      <t>投资收益（损失以</t>
    </r>
    <r>
      <rPr>
        <sz val="10"/>
        <rFont val="Arial"/>
        <family val="2"/>
      </rPr>
      <t>“-”</t>
    </r>
    <r>
      <rPr>
        <sz val="10"/>
        <rFont val="仿宋"/>
        <family val="3"/>
        <charset val="134"/>
      </rPr>
      <t>号填列）</t>
    </r>
  </si>
  <si>
    <r>
      <rPr>
        <sz val="10"/>
        <rFont val="Arial"/>
        <family val="2"/>
      </rPr>
      <t xml:space="preserve">     </t>
    </r>
    <r>
      <rPr>
        <sz val="10"/>
        <rFont val="仿宋"/>
        <family val="3"/>
        <charset val="134"/>
      </rPr>
      <t>其中：对联营企业和合营企业的投资收益</t>
    </r>
  </si>
  <si>
    <r>
      <rPr>
        <sz val="10"/>
        <rFont val="Arial"/>
        <family val="2"/>
      </rPr>
      <t xml:space="preserve">    </t>
    </r>
    <r>
      <rPr>
        <sz val="10"/>
        <rFont val="仿宋"/>
        <family val="3"/>
        <charset val="134"/>
      </rPr>
      <t>资产处置收益（损失以</t>
    </r>
    <r>
      <rPr>
        <sz val="10"/>
        <rFont val="Arial"/>
        <family val="2"/>
      </rPr>
      <t>“-”</t>
    </r>
    <r>
      <rPr>
        <sz val="10"/>
        <rFont val="仿宋"/>
        <family val="3"/>
        <charset val="134"/>
      </rPr>
      <t>号填列）</t>
    </r>
  </si>
  <si>
    <r>
      <rPr>
        <sz val="10"/>
        <rFont val="Arial"/>
        <family val="2"/>
      </rPr>
      <t xml:space="preserve">    </t>
    </r>
    <r>
      <rPr>
        <sz val="10"/>
        <rFont val="仿宋"/>
        <family val="3"/>
        <charset val="134"/>
      </rPr>
      <t>其他收益</t>
    </r>
  </si>
  <si>
    <r>
      <rPr>
        <b/>
        <sz val="10"/>
        <rFont val="仿宋"/>
        <family val="3"/>
        <charset val="134"/>
      </rPr>
      <t>二、营业利润（亏损以</t>
    </r>
    <r>
      <rPr>
        <b/>
        <sz val="10"/>
        <rFont val="Arial"/>
        <family val="2"/>
      </rPr>
      <t>“-”</t>
    </r>
    <r>
      <rPr>
        <b/>
        <sz val="10"/>
        <rFont val="仿宋"/>
        <family val="3"/>
        <charset val="134"/>
      </rPr>
      <t>号填列）</t>
    </r>
  </si>
  <si>
    <r>
      <rPr>
        <sz val="10"/>
        <rFont val="Arial"/>
        <family val="2"/>
      </rPr>
      <t xml:space="preserve">   </t>
    </r>
    <r>
      <rPr>
        <sz val="10"/>
        <rFont val="仿宋"/>
        <family val="3"/>
        <charset val="134"/>
      </rPr>
      <t>加：营业外收入</t>
    </r>
  </si>
  <si>
    <r>
      <rPr>
        <sz val="10"/>
        <rFont val="Arial"/>
        <family val="2"/>
      </rPr>
      <t xml:space="preserve">   </t>
    </r>
    <r>
      <rPr>
        <sz val="10"/>
        <rFont val="仿宋"/>
        <family val="3"/>
        <charset val="134"/>
      </rPr>
      <t>减：营业外支出</t>
    </r>
  </si>
  <si>
    <r>
      <rPr>
        <b/>
        <sz val="10"/>
        <rFont val="仿宋"/>
        <family val="3"/>
        <charset val="134"/>
      </rPr>
      <t>三、利润总额（亏损总额以</t>
    </r>
    <r>
      <rPr>
        <b/>
        <sz val="10"/>
        <rFont val="Arial"/>
        <family val="2"/>
      </rPr>
      <t>“-”</t>
    </r>
    <r>
      <rPr>
        <b/>
        <sz val="10"/>
        <rFont val="仿宋"/>
        <family val="3"/>
        <charset val="134"/>
      </rPr>
      <t>号填列）</t>
    </r>
  </si>
  <si>
    <r>
      <rPr>
        <sz val="10"/>
        <rFont val="Arial"/>
        <family val="2"/>
      </rPr>
      <t xml:space="preserve">   </t>
    </r>
    <r>
      <rPr>
        <sz val="10"/>
        <rFont val="仿宋"/>
        <family val="3"/>
        <charset val="134"/>
      </rPr>
      <t>减：所得税费用</t>
    </r>
  </si>
  <si>
    <t>详见所得税分摊规则</t>
  </si>
  <si>
    <r>
      <rPr>
        <b/>
        <sz val="10"/>
        <rFont val="仿宋"/>
        <family val="3"/>
        <charset val="134"/>
      </rPr>
      <t>四、净利润（净亏损以</t>
    </r>
    <r>
      <rPr>
        <b/>
        <sz val="10"/>
        <rFont val="Arial"/>
        <family val="2"/>
      </rPr>
      <t>“-”</t>
    </r>
    <r>
      <rPr>
        <b/>
        <sz val="10"/>
        <rFont val="仿宋"/>
        <family val="3"/>
        <charset val="134"/>
      </rPr>
      <t>号填列）</t>
    </r>
  </si>
  <si>
    <t>五、分红</t>
  </si>
  <si>
    <t>六、分红后净利润（净亏损以“-”号填列）</t>
  </si>
  <si>
    <r>
      <rPr>
        <b/>
        <sz val="10"/>
        <rFont val="宋体"/>
        <family val="3"/>
        <charset val="134"/>
      </rPr>
      <t>净利率</t>
    </r>
  </si>
  <si>
    <r>
      <rPr>
        <b/>
        <sz val="10"/>
        <rFont val="宋体"/>
        <family val="3"/>
        <charset val="134"/>
      </rPr>
      <t>销售达成率</t>
    </r>
  </si>
  <si>
    <t>净利达成率</t>
  </si>
  <si>
    <t xml:space="preserve">中心利润表 </t>
  </si>
  <si>
    <t>会企01表</t>
  </si>
  <si>
    <t>编制单位：江苏美鑫食品科技有限公司</t>
  </si>
  <si>
    <t>单位：元</t>
  </si>
  <si>
    <t>项　　　  　目　</t>
  </si>
  <si>
    <t>行次</t>
  </si>
  <si>
    <t>本年实际</t>
  </si>
  <si>
    <t>一、营业收入</t>
  </si>
  <si>
    <t xml:space="preserve">   毛利率</t>
  </si>
  <si>
    <t>净利率</t>
  </si>
  <si>
    <t>销售达成率</t>
  </si>
  <si>
    <t xml:space="preserve">江苏分部利润表 </t>
  </si>
  <si>
    <t xml:space="preserve">浙江分部利润表 </t>
  </si>
  <si>
    <t xml:space="preserve">上海分部利润表 </t>
  </si>
  <si>
    <t xml:space="preserve">赣皖区域利润表 </t>
  </si>
  <si>
    <t xml:space="preserve">安徽省区利润表 </t>
  </si>
  <si>
    <t xml:space="preserve">江西省区利润表 </t>
  </si>
  <si>
    <t>日期</t>
  </si>
  <si>
    <t>月份</t>
  </si>
  <si>
    <t>摘要</t>
  </si>
  <si>
    <t>贷方金额</t>
  </si>
  <si>
    <t>业务员</t>
  </si>
  <si>
    <t>2024-01-17</t>
  </si>
  <si>
    <t>2024-01</t>
  </si>
  <si>
    <t>钟楼区凌家塘市场京功冷冻食品批发部经销商返点实现7025</t>
  </si>
  <si>
    <t>张瑞恒</t>
  </si>
  <si>
    <t>上海淼沃实业有限公司经销商返点实现2036</t>
  </si>
  <si>
    <t>李耀</t>
  </si>
  <si>
    <t>上海佳简神厨食品有限公司经销商返点实现</t>
  </si>
  <si>
    <t>武佳鑫</t>
  </si>
  <si>
    <t>冲减计提泉山区奥澈冷冻食品店经销商返点</t>
  </si>
  <si>
    <t>泉山区奥澈冷冻食品店经销商返点实现8613</t>
  </si>
  <si>
    <t>2024-01-19</t>
  </si>
  <si>
    <t>衢州市衢江区大匠食品商行经销商返利实现2930</t>
  </si>
  <si>
    <t>单树锋</t>
  </si>
  <si>
    <t>杭州杭天供应链管理有限公司经销商返利实现10270</t>
  </si>
  <si>
    <t>程耀辉</t>
  </si>
  <si>
    <t>冲减计提金华市鼎品食品有限公司经销商返利</t>
  </si>
  <si>
    <t>马威</t>
  </si>
  <si>
    <t>金华市鼎品食品有限公司经销商返利实现6220</t>
  </si>
  <si>
    <t>朱明星经销商返利实现3441</t>
  </si>
  <si>
    <t>2024-01-26</t>
  </si>
  <si>
    <t>冲减计提南昌市恒旺肉食品有限责任公司经销商返点</t>
  </si>
  <si>
    <t>江西省区</t>
  </si>
  <si>
    <t>李超</t>
  </si>
  <si>
    <t>南昌市恒旺肉食品有限责任公司经销商返点实现53728</t>
  </si>
  <si>
    <t>2024-01-31</t>
  </si>
  <si>
    <t>上海辇路实业有限公司</t>
  </si>
  <si>
    <t>王希雷</t>
  </si>
  <si>
    <t>2024-03-31</t>
  </si>
  <si>
    <t>2024-03</t>
  </si>
  <si>
    <t>南通玖荣食品有限公司</t>
  </si>
  <si>
    <t>高亮</t>
  </si>
  <si>
    <t>2024-05-31</t>
  </si>
  <si>
    <t>2024-05</t>
  </si>
  <si>
    <t>温州鑫隆供应链管理有限公司</t>
  </si>
  <si>
    <t>杭州问渔供应链有限公司</t>
  </si>
  <si>
    <t>冲减计提钟楼区凌家塘市场京功冷冻食品批发部经销商返点</t>
  </si>
  <si>
    <t>钟楼区凌家塘市场京功冷冻食品批发部经销商返点实现7085</t>
  </si>
  <si>
    <t>上海淼沃实业有限公司经销商返点实现3603</t>
  </si>
  <si>
    <t>冲减计提上海佳简神厨食品有限公司经销商返点</t>
  </si>
  <si>
    <t>上海佳简神厨食品有限公司经销商返点实现2482</t>
  </si>
  <si>
    <t>泉山区奥澈冷冻食品店经销商返点实现34868</t>
  </si>
  <si>
    <t>衢州市衢江区大匠食品商行经销商返利实现3562</t>
  </si>
  <si>
    <t>冲减计提杭州杭天供应链管理有限公司经销商返点</t>
  </si>
  <si>
    <t>杭州杭天供应链管理有限公司经销商返点实现30704</t>
  </si>
  <si>
    <t>冲减计提金华市鼎品食品有限公司返点</t>
  </si>
  <si>
    <t>金华市鼎品食品有限公司返点实现6606</t>
  </si>
  <si>
    <t>冲减计提朱明星经销商返点</t>
  </si>
  <si>
    <t>朱明星经销商返点实现1630</t>
  </si>
  <si>
    <t>2024-01-23</t>
  </si>
  <si>
    <t>冲减计提上海豪厨食品有限公司返利</t>
  </si>
  <si>
    <t>周恩辉</t>
  </si>
  <si>
    <t>上海豪厨食品有限公司返利实现</t>
  </si>
  <si>
    <t>扬州佰嘉赢食品有限公司</t>
  </si>
  <si>
    <t>南通雷麦食品科技有限公司</t>
  </si>
  <si>
    <t>吴中区南环桥市场慧坤食品经营部</t>
  </si>
  <si>
    <t>刘伟</t>
  </si>
  <si>
    <t>宁波涌航食品有限公司</t>
  </si>
  <si>
    <t>朱元超</t>
  </si>
  <si>
    <t>嘉兴佰业贸易有限公司</t>
  </si>
  <si>
    <t>薛帅帅</t>
  </si>
  <si>
    <t>合肥大厨之家贸易有限公司</t>
  </si>
  <si>
    <t>安徽省区</t>
  </si>
  <si>
    <t>陈训诰</t>
  </si>
  <si>
    <t>2024-03-01</t>
  </si>
  <si>
    <t>冲减计提合肥大厨之家经销商返点</t>
  </si>
  <si>
    <t>合肥大厨之家经销商返点实现46473</t>
  </si>
  <si>
    <t>2024-03-26</t>
  </si>
  <si>
    <t>冲减计提温州鑫隆供应链管理有限公司返利</t>
  </si>
  <si>
    <t>温州鑫隆供应链管理有限公司返利实现3631</t>
  </si>
  <si>
    <t>冲减计提吴中区南环桥市场慧坤食品经营部返利</t>
  </si>
  <si>
    <t>吴中区南环桥市场慧坤食品经营部返利实现11701</t>
  </si>
  <si>
    <t>冲减计提宁波涌航食品有限公司返利</t>
  </si>
  <si>
    <t>宁波涌航食品有限公司返利实现2755</t>
  </si>
  <si>
    <t>冲减计提南通玖荣食品有限公司返利</t>
  </si>
  <si>
    <t>南通玖荣食品有限公司返利实现4494</t>
  </si>
  <si>
    <t>冲减计提嘉兴佰业贸易有限公司返利</t>
  </si>
  <si>
    <t>嘉兴佰业贸易有限公司返利实现4499</t>
  </si>
  <si>
    <t>冲减计提南通雷麦食品科技有限公司返利</t>
  </si>
  <si>
    <t>南通雷麦食品科技有限公司返利实现2000</t>
  </si>
  <si>
    <t>2024-04-19</t>
  </si>
  <si>
    <t>2024-04</t>
  </si>
  <si>
    <t>冲减计提扬州佰嘉赢食品有限公司经销商返点</t>
  </si>
  <si>
    <t>扬州佰嘉赢食品有限公司经销商返点实现2313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</si>
</sst>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76" formatCode="yyyy&quot;年&quot;m&quot;月&quot;;@"/>
    <numFmt numFmtId="177" formatCode="0.00_ "/>
    <numFmt numFmtId="185" formatCode="0_ "/>
  </numFmts>
  <fonts count="45" x14ac:knownFonts="1">
    <font>
      <sz val="12"/>
      <name val="宋体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2"/>
      <name val="微软雅黑"/>
      <family val="2"/>
      <charset val="134"/>
    </font>
    <font>
      <b/>
      <sz val="10"/>
      <name val="微软雅黑"/>
      <family val="2"/>
      <charset val="134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黑体"/>
      <family val="3"/>
      <charset val="134"/>
    </font>
    <font>
      <u/>
      <sz val="16"/>
      <color rgb="FF800080"/>
      <name val="宋体"/>
      <family val="3"/>
      <charset val="134"/>
      <scheme val="minor"/>
    </font>
    <font>
      <sz val="10"/>
      <name val="黑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u/>
      <sz val="11"/>
      <color rgb="FF0000FF"/>
      <name val="宋体"/>
      <family val="3"/>
      <charset val="134"/>
      <scheme val="minor"/>
    </font>
    <font>
      <b/>
      <sz val="11"/>
      <name val="微软雅黑"/>
      <family val="2"/>
      <charset val="134"/>
    </font>
    <font>
      <b/>
      <sz val="14"/>
      <name val="Arial"/>
      <family val="2"/>
    </font>
    <font>
      <b/>
      <sz val="10"/>
      <name val="Arial"/>
      <family val="2"/>
    </font>
    <font>
      <b/>
      <sz val="16"/>
      <name val="宋体"/>
      <family val="3"/>
      <charset val="134"/>
    </font>
    <font>
      <b/>
      <sz val="9"/>
      <name val="仿宋"/>
      <family val="3"/>
      <charset val="134"/>
    </font>
    <font>
      <b/>
      <sz val="10"/>
      <name val="仿宋"/>
      <family val="3"/>
      <charset val="134"/>
    </font>
    <font>
      <b/>
      <sz val="11"/>
      <color rgb="FFFF0000"/>
      <name val="Arial"/>
      <family val="2"/>
    </font>
    <font>
      <sz val="11"/>
      <name val="微软雅黑"/>
      <family val="2"/>
      <charset val="134"/>
    </font>
    <font>
      <b/>
      <sz val="16"/>
      <name val="Arial"/>
      <family val="2"/>
    </font>
    <font>
      <b/>
      <sz val="9"/>
      <name val="Arial"/>
      <family val="2"/>
    </font>
    <font>
      <b/>
      <sz val="10"/>
      <color rgb="FF0000FF"/>
      <name val="微软雅黑"/>
      <family val="2"/>
      <charset val="134"/>
    </font>
    <font>
      <b/>
      <sz val="12"/>
      <name val="微软雅黑"/>
      <family val="2"/>
      <charset val="134"/>
    </font>
    <font>
      <u/>
      <sz val="16"/>
      <color rgb="FF800080"/>
      <name val="微软雅黑"/>
      <family val="2"/>
      <charset val="134"/>
    </font>
    <font>
      <sz val="16"/>
      <name val="微软雅黑"/>
      <family val="2"/>
      <charset val="134"/>
    </font>
    <font>
      <sz val="10"/>
      <color rgb="FFFF0000"/>
      <name val="黑体"/>
      <family val="3"/>
      <charset val="134"/>
    </font>
    <font>
      <b/>
      <sz val="20"/>
      <name val="黑体"/>
      <family val="3"/>
      <charset val="134"/>
    </font>
    <font>
      <b/>
      <sz val="14"/>
      <name val="黑体"/>
      <family val="3"/>
      <charset val="134"/>
    </font>
    <font>
      <b/>
      <sz val="10"/>
      <color rgb="FFFF0000"/>
      <name val="黑体"/>
      <family val="3"/>
      <charset val="134"/>
    </font>
    <font>
      <sz val="11"/>
      <name val="黑体"/>
      <family val="3"/>
      <charset val="134"/>
    </font>
    <font>
      <u/>
      <sz val="11"/>
      <color rgb="FF800080"/>
      <name val="黑体"/>
      <family val="3"/>
      <charset val="134"/>
    </font>
    <font>
      <sz val="11"/>
      <color rgb="FFFF0000"/>
      <name val="黑体"/>
      <family val="3"/>
      <charset val="134"/>
    </font>
    <font>
      <sz val="9"/>
      <name val="宋体"/>
      <family val="3"/>
      <charset val="134"/>
    </font>
    <font>
      <b/>
      <u/>
      <sz val="11"/>
      <color indexed="12"/>
      <name val="Arial"/>
      <family val="2"/>
    </font>
    <font>
      <sz val="10"/>
      <name val="仿宋"/>
      <family val="3"/>
      <charset val="134"/>
    </font>
    <font>
      <b/>
      <sz val="9"/>
      <name val="宋体"/>
      <family val="3"/>
      <charset val="134"/>
    </font>
    <font>
      <sz val="12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79995117038483843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>
      <alignment vertical="center"/>
    </xf>
    <xf numFmtId="43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0" fillId="0" borderId="0">
      <alignment vertical="top"/>
      <protection locked="0"/>
    </xf>
    <xf numFmtId="0" fontId="12" fillId="0" borderId="0">
      <alignment vertical="center"/>
    </xf>
    <xf numFmtId="0" fontId="44" fillId="0" borderId="0"/>
    <xf numFmtId="43" fontId="44" fillId="0" borderId="0" applyFont="0" applyFill="0" applyBorder="0" applyAlignment="0" applyProtection="0"/>
    <xf numFmtId="43" fontId="11" fillId="0" borderId="0" applyFont="0" applyFill="0" applyBorder="0" applyAlignment="0" applyProtection="0">
      <alignment vertical="center"/>
    </xf>
    <xf numFmtId="0" fontId="41" fillId="0" borderId="0">
      <alignment horizontal="left" vertical="center" indent="1"/>
    </xf>
  </cellStyleXfs>
  <cellXfs count="208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43" fontId="3" fillId="0" borderId="0" xfId="0" applyNumberFormat="1" applyFont="1">
      <alignment vertical="center"/>
    </xf>
    <xf numFmtId="43" fontId="3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43" fontId="4" fillId="0" borderId="0" xfId="0" applyNumberFormat="1" applyFont="1">
      <alignment vertical="center"/>
    </xf>
    <xf numFmtId="10" fontId="8" fillId="0" borderId="0" xfId="2" applyNumberFormat="1" applyFont="1" applyFill="1" applyAlignment="1">
      <alignment horizontal="right" vertical="center"/>
    </xf>
    <xf numFmtId="0" fontId="13" fillId="0" borderId="0" xfId="0" applyFont="1">
      <alignment vertical="center"/>
    </xf>
    <xf numFmtId="43" fontId="0" fillId="0" borderId="0" xfId="0" applyNumberFormat="1">
      <alignment vertical="center"/>
    </xf>
    <xf numFmtId="0" fontId="1" fillId="3" borderId="1" xfId="0" applyFont="1" applyFill="1" applyBorder="1" applyAlignment="1">
      <alignment horizontal="center" vertical="center"/>
    </xf>
    <xf numFmtId="43" fontId="1" fillId="3" borderId="1" xfId="0" applyNumberFormat="1" applyFont="1" applyFill="1" applyBorder="1" applyAlignment="1">
      <alignment horizontal="center" vertical="center"/>
    </xf>
    <xf numFmtId="43" fontId="1" fillId="0" borderId="1" xfId="0" applyNumberFormat="1" applyFont="1" applyBorder="1" applyAlignment="1">
      <alignment horizontal="right" vertical="center"/>
    </xf>
    <xf numFmtId="0" fontId="19" fillId="3" borderId="3" xfId="0" applyFont="1" applyFill="1" applyBorder="1">
      <alignment vertical="center"/>
    </xf>
    <xf numFmtId="43" fontId="19" fillId="3" borderId="3" xfId="0" applyNumberFormat="1" applyFont="1" applyFill="1" applyBorder="1">
      <alignment vertical="center"/>
    </xf>
    <xf numFmtId="0" fontId="19" fillId="3" borderId="4" xfId="0" applyFont="1" applyFill="1" applyBorder="1">
      <alignment vertical="center"/>
    </xf>
    <xf numFmtId="43" fontId="20" fillId="0" borderId="0" xfId="0" applyNumberFormat="1" applyFont="1">
      <alignment vertical="center"/>
    </xf>
    <xf numFmtId="43" fontId="8" fillId="0" borderId="0" xfId="0" applyNumberFormat="1" applyFont="1">
      <alignment vertical="center"/>
    </xf>
    <xf numFmtId="176" fontId="8" fillId="0" borderId="0" xfId="0" applyNumberFormat="1" applyFont="1">
      <alignment vertical="center"/>
    </xf>
    <xf numFmtId="43" fontId="7" fillId="0" borderId="0" xfId="0" applyNumberFormat="1" applyFont="1">
      <alignment vertical="center"/>
    </xf>
    <xf numFmtId="10" fontId="7" fillId="0" borderId="0" xfId="2" applyNumberFormat="1" applyFont="1" applyFill="1" applyBorder="1" applyAlignment="1">
      <alignment vertical="center"/>
    </xf>
    <xf numFmtId="43" fontId="21" fillId="0" borderId="0" xfId="0" applyNumberFormat="1" applyFont="1">
      <alignment vertical="center"/>
    </xf>
    <xf numFmtId="43" fontId="6" fillId="0" borderId="0" xfId="0" applyNumberFormat="1" applyFont="1">
      <alignment vertical="center"/>
    </xf>
    <xf numFmtId="43" fontId="6" fillId="0" borderId="0" xfId="0" applyNumberFormat="1" applyFont="1" applyAlignment="1">
      <alignment horizontal="center" vertical="center"/>
    </xf>
    <xf numFmtId="43" fontId="6" fillId="0" borderId="0" xfId="0" applyNumberFormat="1" applyFont="1" applyAlignment="1">
      <alignment horizontal="right" vertical="center"/>
    </xf>
    <xf numFmtId="43" fontId="6" fillId="0" borderId="0" xfId="0" applyNumberFormat="1" applyFont="1" applyAlignment="1">
      <alignment horizontal="right" vertical="center" shrinkToFit="1"/>
    </xf>
    <xf numFmtId="176" fontId="8" fillId="0" borderId="0" xfId="0" applyNumberFormat="1" applyFont="1" applyAlignment="1">
      <alignment horizontal="left" vertical="center"/>
    </xf>
    <xf numFmtId="43" fontId="10" fillId="0" borderId="0" xfId="0" applyNumberFormat="1" applyFont="1">
      <alignment vertical="center"/>
    </xf>
    <xf numFmtId="43" fontId="10" fillId="0" borderId="0" xfId="0" applyNumberFormat="1" applyFont="1" applyAlignment="1">
      <alignment horizontal="right" vertical="center"/>
    </xf>
    <xf numFmtId="43" fontId="23" fillId="0" borderId="0" xfId="0" applyNumberFormat="1" applyFont="1" applyAlignment="1">
      <alignment horizontal="right" vertical="center" shrinkToFit="1"/>
    </xf>
    <xf numFmtId="43" fontId="10" fillId="0" borderId="0" xfId="6" applyNumberFormat="1" applyFont="1" applyAlignment="1">
      <alignment vertical="center"/>
    </xf>
    <xf numFmtId="43" fontId="8" fillId="0" borderId="0" xfId="0" applyNumberFormat="1" applyFont="1" applyAlignment="1">
      <alignment horizontal="center" vertical="center"/>
    </xf>
    <xf numFmtId="43" fontId="8" fillId="0" borderId="0" xfId="0" applyNumberFormat="1" applyFont="1" applyAlignment="1">
      <alignment horizontal="right" vertical="center"/>
    </xf>
    <xf numFmtId="43" fontId="21" fillId="0" borderId="1" xfId="0" applyNumberFormat="1" applyFont="1" applyBorder="1" applyAlignment="1">
      <alignment horizontal="center" vertical="center" shrinkToFit="1"/>
    </xf>
    <xf numFmtId="176" fontId="21" fillId="0" borderId="1" xfId="0" applyNumberFormat="1" applyFont="1" applyBorder="1" applyAlignment="1">
      <alignment horizontal="center" vertical="center"/>
    </xf>
    <xf numFmtId="176" fontId="21" fillId="6" borderId="1" xfId="0" applyNumberFormat="1" applyFont="1" applyFill="1" applyBorder="1" applyAlignment="1">
      <alignment horizontal="center" vertical="center"/>
    </xf>
    <xf numFmtId="176" fontId="21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/>
    </xf>
    <xf numFmtId="176" fontId="16" fillId="6" borderId="1" xfId="0" applyNumberFormat="1" applyFont="1" applyFill="1" applyBorder="1" applyAlignment="1">
      <alignment horizontal="center" vertical="center" shrinkToFit="1"/>
    </xf>
    <xf numFmtId="176" fontId="16" fillId="6" borderId="1" xfId="0" applyNumberFormat="1" applyFont="1" applyFill="1" applyBorder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176" fontId="19" fillId="0" borderId="0" xfId="0" applyNumberFormat="1" applyFont="1" applyAlignment="1">
      <alignment horizontal="center" vertical="center"/>
    </xf>
    <xf numFmtId="176" fontId="6" fillId="0" borderId="0" xfId="0" applyNumberFormat="1" applyFont="1">
      <alignment vertical="center"/>
    </xf>
    <xf numFmtId="43" fontId="24" fillId="0" borderId="1" xfId="0" applyNumberFormat="1" applyFont="1" applyBorder="1" applyAlignment="1">
      <alignment horizontal="left" vertical="center" wrapText="1" shrinkToFit="1"/>
    </xf>
    <xf numFmtId="185" fontId="21" fillId="0" borderId="1" xfId="0" applyNumberFormat="1" applyFont="1" applyBorder="1" applyAlignment="1">
      <alignment horizontal="center" vertical="center" shrinkToFit="1"/>
    </xf>
    <xf numFmtId="43" fontId="21" fillId="0" borderId="1" xfId="4" applyNumberFormat="1" applyFont="1" applyBorder="1" applyAlignment="1">
      <alignment horizontal="right" vertical="center"/>
      <protection locked="0"/>
    </xf>
    <xf numFmtId="43" fontId="21" fillId="6" borderId="1" xfId="4" applyNumberFormat="1" applyFont="1" applyFill="1" applyBorder="1" applyAlignment="1">
      <alignment horizontal="right" vertical="center"/>
      <protection locked="0"/>
    </xf>
    <xf numFmtId="43" fontId="17" fillId="0" borderId="1" xfId="0" applyNumberFormat="1" applyFont="1" applyBorder="1" applyAlignment="1">
      <alignment horizontal="left" vertical="center" wrapText="1" shrinkToFit="1"/>
    </xf>
    <xf numFmtId="43" fontId="6" fillId="0" borderId="1" xfId="0" applyNumberFormat="1" applyFont="1" applyBorder="1" applyAlignment="1">
      <alignment horizontal="right" vertical="center" shrinkToFit="1"/>
    </xf>
    <xf numFmtId="43" fontId="6" fillId="0" borderId="1" xfId="4" applyNumberFormat="1" applyFont="1" applyBorder="1" applyAlignment="1">
      <alignment horizontal="right" vertical="center"/>
      <protection locked="0"/>
    </xf>
    <xf numFmtId="43" fontId="6" fillId="6" borderId="1" xfId="4" applyNumberFormat="1" applyFont="1" applyFill="1" applyBorder="1" applyAlignment="1">
      <alignment horizontal="right" vertical="center"/>
      <protection locked="0"/>
    </xf>
    <xf numFmtId="43" fontId="21" fillId="0" borderId="1" xfId="0" applyNumberFormat="1" applyFont="1" applyBorder="1" applyAlignment="1">
      <alignment horizontal="left" vertical="center" wrapText="1" shrinkToFit="1"/>
    </xf>
    <xf numFmtId="185" fontId="6" fillId="0" borderId="1" xfId="0" applyNumberFormat="1" applyFont="1" applyBorder="1" applyAlignment="1">
      <alignment horizontal="center" vertical="center" shrinkToFit="1"/>
    </xf>
    <xf numFmtId="43" fontId="21" fillId="0" borderId="1" xfId="4" applyNumberFormat="1" applyFont="1" applyBorder="1" applyAlignment="1">
      <alignment vertical="center"/>
      <protection locked="0"/>
    </xf>
    <xf numFmtId="43" fontId="25" fillId="2" borderId="0" xfId="0" applyNumberFormat="1" applyFont="1" applyFill="1">
      <alignment vertical="center"/>
    </xf>
    <xf numFmtId="10" fontId="21" fillId="0" borderId="1" xfId="2" applyNumberFormat="1" applyFont="1" applyFill="1" applyBorder="1" applyAlignment="1">
      <alignment horizontal="left" vertical="center" wrapText="1" shrinkToFit="1"/>
    </xf>
    <xf numFmtId="185" fontId="21" fillId="0" borderId="1" xfId="2" applyNumberFormat="1" applyFont="1" applyFill="1" applyBorder="1" applyAlignment="1">
      <alignment horizontal="center" vertical="center" shrinkToFit="1"/>
    </xf>
    <xf numFmtId="10" fontId="21" fillId="0" borderId="1" xfId="2" applyNumberFormat="1" applyFont="1" applyFill="1" applyBorder="1" applyAlignment="1" applyProtection="1">
      <alignment horizontal="right" vertical="center" shrinkToFit="1"/>
    </xf>
    <xf numFmtId="10" fontId="21" fillId="0" borderId="1" xfId="2" applyNumberFormat="1" applyFont="1" applyFill="1" applyBorder="1" applyAlignment="1" applyProtection="1">
      <alignment vertical="center" shrinkToFit="1"/>
    </xf>
    <xf numFmtId="10" fontId="21" fillId="6" borderId="1" xfId="2" applyNumberFormat="1" applyFont="1" applyFill="1" applyBorder="1" applyAlignment="1" applyProtection="1">
      <alignment horizontal="right" vertical="center" shrinkToFit="1"/>
    </xf>
    <xf numFmtId="10" fontId="6" fillId="0" borderId="0" xfId="2" applyNumberFormat="1" applyFont="1" applyFill="1" applyBorder="1" applyAlignment="1">
      <alignment vertical="center"/>
    </xf>
    <xf numFmtId="10" fontId="8" fillId="0" borderId="0" xfId="2" applyNumberFormat="1" applyFont="1" applyAlignment="1">
      <alignment horizontal="right" vertical="center"/>
    </xf>
    <xf numFmtId="43" fontId="6" fillId="0" borderId="1" xfId="0" applyNumberFormat="1" applyFont="1" applyBorder="1" applyAlignment="1">
      <alignment horizontal="left" vertical="center" wrapText="1" shrinkToFit="1"/>
    </xf>
    <xf numFmtId="43" fontId="6" fillId="0" borderId="1" xfId="0" applyNumberFormat="1" applyFont="1" applyBorder="1" applyAlignment="1">
      <alignment horizontal="center" vertical="center" shrinkToFit="1"/>
    </xf>
    <xf numFmtId="43" fontId="21" fillId="0" borderId="1" xfId="0" applyNumberFormat="1" applyFont="1" applyBorder="1" applyAlignment="1">
      <alignment horizontal="right" vertical="center"/>
    </xf>
    <xf numFmtId="10" fontId="21" fillId="0" borderId="0" xfId="2" applyNumberFormat="1" applyFont="1" applyFill="1" applyBorder="1" applyAlignment="1">
      <alignment vertical="center"/>
    </xf>
    <xf numFmtId="43" fontId="16" fillId="0" borderId="1" xfId="0" applyNumberFormat="1" applyFont="1" applyBorder="1" applyAlignment="1">
      <alignment horizontal="left" vertical="center" wrapText="1" shrinkToFit="1"/>
    </xf>
    <xf numFmtId="43" fontId="6" fillId="0" borderId="1" xfId="0" applyNumberFormat="1" applyFont="1" applyBorder="1" applyAlignment="1">
      <alignment horizontal="right" vertical="center"/>
    </xf>
    <xf numFmtId="43" fontId="21" fillId="0" borderId="1" xfId="0" applyNumberFormat="1" applyFont="1" applyBorder="1" applyAlignment="1">
      <alignment horizontal="right" vertical="center" shrinkToFit="1"/>
    </xf>
    <xf numFmtId="43" fontId="6" fillId="6" borderId="1" xfId="0" applyNumberFormat="1" applyFont="1" applyFill="1" applyBorder="1" applyAlignment="1">
      <alignment horizontal="right" vertical="center"/>
    </xf>
    <xf numFmtId="185" fontId="21" fillId="0" borderId="1" xfId="0" applyNumberFormat="1" applyFont="1" applyBorder="1" applyAlignment="1">
      <alignment horizontal="right" vertical="center"/>
    </xf>
    <xf numFmtId="43" fontId="6" fillId="0" borderId="1" xfId="1" applyFont="1" applyFill="1" applyBorder="1" applyAlignment="1" applyProtection="1">
      <alignment horizontal="right" vertical="center"/>
    </xf>
    <xf numFmtId="43" fontId="6" fillId="0" borderId="1" xfId="1" applyFont="1" applyFill="1" applyBorder="1" applyAlignment="1" applyProtection="1">
      <alignment vertical="center"/>
    </xf>
    <xf numFmtId="43" fontId="6" fillId="0" borderId="1" xfId="1" applyFont="1" applyFill="1" applyBorder="1" applyAlignment="1" applyProtection="1">
      <alignment horizontal="right" vertical="center" shrinkToFit="1"/>
    </xf>
    <xf numFmtId="43" fontId="6" fillId="0" borderId="1" xfId="1" applyFont="1" applyFill="1" applyBorder="1" applyAlignment="1" applyProtection="1">
      <alignment vertical="center" shrinkToFit="1"/>
    </xf>
    <xf numFmtId="43" fontId="21" fillId="0" borderId="1" xfId="1" applyFont="1" applyFill="1" applyBorder="1" applyAlignment="1" applyProtection="1">
      <alignment horizontal="right" vertical="center" shrinkToFit="1"/>
    </xf>
    <xf numFmtId="43" fontId="21" fillId="0" borderId="1" xfId="1" applyFont="1" applyFill="1" applyBorder="1" applyAlignment="1" applyProtection="1">
      <alignment vertical="center" shrinkToFit="1"/>
    </xf>
    <xf numFmtId="43" fontId="21" fillId="6" borderId="1" xfId="0" applyNumberFormat="1" applyFont="1" applyFill="1" applyBorder="1" applyAlignment="1">
      <alignment horizontal="right" vertical="center"/>
    </xf>
    <xf numFmtId="10" fontId="16" fillId="0" borderId="1" xfId="2" applyNumberFormat="1" applyFont="1" applyFill="1" applyBorder="1" applyAlignment="1">
      <alignment vertical="center"/>
    </xf>
    <xf numFmtId="43" fontId="8" fillId="0" borderId="0" xfId="0" applyNumberFormat="1" applyFont="1" applyAlignment="1">
      <alignment horizontal="left" vertical="center"/>
    </xf>
    <xf numFmtId="10" fontId="16" fillId="0" borderId="3" xfId="2" applyNumberFormat="1" applyFont="1" applyFill="1" applyBorder="1" applyAlignment="1">
      <alignment vertical="center" wrapText="1"/>
    </xf>
    <xf numFmtId="10" fontId="21" fillId="0" borderId="1" xfId="2" applyNumberFormat="1" applyFont="1" applyFill="1" applyBorder="1" applyAlignment="1">
      <alignment vertical="center"/>
    </xf>
    <xf numFmtId="10" fontId="21" fillId="0" borderId="1" xfId="2" applyNumberFormat="1" applyFont="1" applyFill="1" applyBorder="1" applyAlignment="1">
      <alignment horizontal="center" vertical="center"/>
    </xf>
    <xf numFmtId="10" fontId="21" fillId="2" borderId="1" xfId="2" applyNumberFormat="1" applyFont="1" applyFill="1" applyBorder="1" applyAlignment="1">
      <alignment horizontal="right" vertical="center" shrinkToFit="1"/>
    </xf>
    <xf numFmtId="10" fontId="21" fillId="6" borderId="1" xfId="2" applyNumberFormat="1" applyFont="1" applyFill="1" applyBorder="1" applyAlignment="1">
      <alignment horizontal="right" vertical="center"/>
    </xf>
    <xf numFmtId="10" fontId="21" fillId="6" borderId="2" xfId="2" applyNumberFormat="1" applyFont="1" applyFill="1" applyBorder="1" applyAlignment="1">
      <alignment horizontal="right" vertical="center"/>
    </xf>
    <xf numFmtId="10" fontId="8" fillId="0" borderId="0" xfId="2" applyNumberFormat="1" applyFont="1" applyFill="1" applyBorder="1" applyAlignment="1">
      <alignment vertical="center"/>
    </xf>
    <xf numFmtId="10" fontId="16" fillId="0" borderId="3" xfId="2" applyNumberFormat="1" applyFont="1" applyFill="1" applyBorder="1" applyAlignment="1">
      <alignment vertical="center"/>
    </xf>
    <xf numFmtId="10" fontId="21" fillId="0" borderId="3" xfId="2" applyNumberFormat="1" applyFont="1" applyFill="1" applyBorder="1" applyAlignment="1">
      <alignment horizontal="center" vertical="center"/>
    </xf>
    <xf numFmtId="10" fontId="21" fillId="2" borderId="3" xfId="2" applyNumberFormat="1" applyFont="1" applyFill="1" applyBorder="1" applyAlignment="1">
      <alignment horizontal="right" vertical="center" shrinkToFit="1"/>
    </xf>
    <xf numFmtId="10" fontId="21" fillId="6" borderId="3" xfId="2" applyNumberFormat="1" applyFont="1" applyFill="1" applyBorder="1" applyAlignment="1">
      <alignment horizontal="right" vertical="center"/>
    </xf>
    <xf numFmtId="10" fontId="21" fillId="6" borderId="4" xfId="2" applyNumberFormat="1" applyFont="1" applyFill="1" applyBorder="1" applyAlignment="1">
      <alignment horizontal="right" vertical="center"/>
    </xf>
    <xf numFmtId="43" fontId="19" fillId="0" borderId="0" xfId="0" applyNumberFormat="1" applyFont="1" applyAlignment="1">
      <alignment vertical="top"/>
    </xf>
    <xf numFmtId="43" fontId="7" fillId="0" borderId="0" xfId="0" applyNumberFormat="1" applyFont="1" applyAlignment="1">
      <alignment horizontal="center" vertical="center"/>
    </xf>
    <xf numFmtId="43" fontId="7" fillId="0" borderId="0" xfId="0" applyNumberFormat="1" applyFont="1" applyAlignment="1">
      <alignment horizontal="right" vertical="center"/>
    </xf>
    <xf numFmtId="43" fontId="7" fillId="0" borderId="0" xfId="0" applyNumberFormat="1" applyFont="1" applyAlignment="1">
      <alignment horizontal="right" vertical="center" shrinkToFit="1"/>
    </xf>
    <xf numFmtId="10" fontId="7" fillId="0" borderId="0" xfId="2" applyNumberFormat="1" applyFont="1" applyFill="1" applyAlignment="1">
      <alignment horizontal="right" vertical="center" shrinkToFit="1"/>
    </xf>
    <xf numFmtId="43" fontId="6" fillId="0" borderId="0" xfId="0" applyNumberFormat="1" applyFont="1" applyAlignment="1">
      <alignment vertical="center" shrinkToFit="1"/>
    </xf>
    <xf numFmtId="10" fontId="8" fillId="0" borderId="0" xfId="2" applyNumberFormat="1" applyFont="1" applyFill="1" applyAlignment="1">
      <alignment vertical="center"/>
    </xf>
    <xf numFmtId="177" fontId="7" fillId="0" borderId="0" xfId="0" applyNumberFormat="1" applyFont="1">
      <alignment vertical="center"/>
    </xf>
    <xf numFmtId="10" fontId="21" fillId="6" borderId="1" xfId="2" applyNumberFormat="1" applyFont="1" applyFill="1" applyBorder="1" applyAlignment="1" applyProtection="1">
      <alignment vertical="center" shrinkToFit="1"/>
    </xf>
    <xf numFmtId="177" fontId="6" fillId="0" borderId="0" xfId="2" applyNumberFormat="1" applyFont="1" applyFill="1" applyBorder="1" applyAlignment="1">
      <alignment vertical="center"/>
    </xf>
    <xf numFmtId="177" fontId="21" fillId="0" borderId="0" xfId="0" applyNumberFormat="1" applyFont="1">
      <alignment vertical="center"/>
    </xf>
    <xf numFmtId="177" fontId="6" fillId="0" borderId="0" xfId="0" applyNumberFormat="1" applyFont="1">
      <alignment vertical="center"/>
    </xf>
    <xf numFmtId="43" fontId="6" fillId="6" borderId="1" xfId="0" applyNumberFormat="1" applyFont="1" applyFill="1" applyBorder="1">
      <alignment vertical="center"/>
    </xf>
    <xf numFmtId="43" fontId="21" fillId="6" borderId="1" xfId="0" applyNumberFormat="1" applyFont="1" applyFill="1" applyBorder="1">
      <alignment vertical="center"/>
    </xf>
    <xf numFmtId="10" fontId="21" fillId="6" borderId="1" xfId="2" applyNumberFormat="1" applyFont="1" applyFill="1" applyBorder="1" applyAlignment="1">
      <alignment vertical="center"/>
    </xf>
    <xf numFmtId="10" fontId="21" fillId="6" borderId="2" xfId="2" applyNumberFormat="1" applyFont="1" applyFill="1" applyBorder="1" applyAlignment="1">
      <alignment vertical="center"/>
    </xf>
    <xf numFmtId="10" fontId="21" fillId="6" borderId="3" xfId="2" applyNumberFormat="1" applyFont="1" applyFill="1" applyBorder="1" applyAlignment="1">
      <alignment vertical="center"/>
    </xf>
    <xf numFmtId="10" fontId="21" fillId="6" borderId="4" xfId="2" applyNumberFormat="1" applyFont="1" applyFill="1" applyBorder="1" applyAlignment="1">
      <alignment vertical="center"/>
    </xf>
    <xf numFmtId="43" fontId="7" fillId="0" borderId="0" xfId="0" applyNumberFormat="1" applyFont="1" applyAlignment="1">
      <alignment vertical="center" shrinkToFit="1"/>
    </xf>
    <xf numFmtId="43" fontId="6" fillId="4" borderId="1" xfId="0" applyNumberFormat="1" applyFont="1" applyFill="1" applyBorder="1" applyAlignment="1">
      <alignment horizontal="right" vertical="center"/>
    </xf>
    <xf numFmtId="43" fontId="26" fillId="0" borderId="0" xfId="0" applyNumberFormat="1" applyFont="1">
      <alignment vertical="center"/>
    </xf>
    <xf numFmtId="43" fontId="7" fillId="0" borderId="3" xfId="0" applyNumberFormat="1" applyFont="1" applyBorder="1" applyAlignment="1">
      <alignment horizontal="center" vertical="center"/>
    </xf>
    <xf numFmtId="10" fontId="21" fillId="6" borderId="3" xfId="2" applyNumberFormat="1" applyFont="1" applyFill="1" applyBorder="1" applyAlignment="1">
      <alignment horizontal="right" vertical="center" shrinkToFit="1"/>
    </xf>
    <xf numFmtId="43" fontId="5" fillId="0" borderId="0" xfId="0" applyNumberFormat="1" applyFont="1" applyAlignment="1">
      <alignment vertical="top"/>
    </xf>
    <xf numFmtId="10" fontId="7" fillId="0" borderId="0" xfId="2" applyNumberFormat="1" applyFont="1" applyFill="1" applyAlignment="1">
      <alignment vertical="center"/>
    </xf>
    <xf numFmtId="43" fontId="6" fillId="0" borderId="0" xfId="0" applyNumberFormat="1" applyFont="1" applyAlignment="1">
      <alignment horizontal="left" vertical="center"/>
    </xf>
    <xf numFmtId="43" fontId="20" fillId="0" borderId="0" xfId="0" applyNumberFormat="1" applyFont="1" applyAlignment="1">
      <alignment horizontal="center" vertical="center"/>
    </xf>
    <xf numFmtId="43" fontId="28" fillId="0" borderId="0" xfId="0" applyNumberFormat="1" applyFont="1" applyAlignment="1">
      <alignment horizontal="right" vertical="center" shrinkToFit="1"/>
    </xf>
    <xf numFmtId="43" fontId="8" fillId="0" borderId="0" xfId="6" applyNumberFormat="1" applyFont="1" applyAlignment="1">
      <alignment vertical="center"/>
    </xf>
    <xf numFmtId="176" fontId="21" fillId="6" borderId="1" xfId="0" applyNumberFormat="1" applyFont="1" applyFill="1" applyBorder="1" applyAlignment="1">
      <alignment horizontal="center" vertical="center" shrinkToFit="1"/>
    </xf>
    <xf numFmtId="176" fontId="10" fillId="0" borderId="0" xfId="0" applyNumberFormat="1" applyFont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10" fontId="7" fillId="0" borderId="0" xfId="2" applyNumberFormat="1" applyFont="1" applyFill="1" applyBorder="1" applyAlignment="1">
      <alignment horizontal="center" vertical="center"/>
    </xf>
    <xf numFmtId="177" fontId="7" fillId="0" borderId="0" xfId="2" applyNumberFormat="1" applyFont="1" applyFill="1" applyBorder="1" applyAlignment="1">
      <alignment horizontal="center" vertical="center"/>
    </xf>
    <xf numFmtId="10" fontId="21" fillId="0" borderId="1" xfId="2" applyNumberFormat="1" applyFont="1" applyFill="1" applyBorder="1" applyAlignment="1">
      <alignment horizontal="right" vertical="center" shrinkToFit="1"/>
    </xf>
    <xf numFmtId="10" fontId="21" fillId="6" borderId="1" xfId="2" applyNumberFormat="1" applyFont="1" applyFill="1" applyBorder="1" applyAlignment="1" applyProtection="1">
      <alignment horizontal="right" vertical="center"/>
      <protection locked="0"/>
    </xf>
    <xf numFmtId="10" fontId="21" fillId="0" borderId="0" xfId="2" applyNumberFormat="1" applyFont="1" applyFill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21" fillId="0" borderId="0" xfId="0" applyNumberFormat="1" applyFont="1" applyAlignment="1">
      <alignment horizontal="center" vertical="center"/>
    </xf>
    <xf numFmtId="43" fontId="21" fillId="0" borderId="0" xfId="0" applyNumberFormat="1" applyFont="1" applyAlignment="1">
      <alignment horizontal="center" vertical="center"/>
    </xf>
    <xf numFmtId="43" fontId="9" fillId="0" borderId="0" xfId="0" applyNumberFormat="1" applyFont="1" applyAlignment="1">
      <alignment horizontal="center" vertical="center"/>
    </xf>
    <xf numFmtId="177" fontId="6" fillId="0" borderId="0" xfId="2" applyNumberFormat="1" applyFont="1" applyFill="1" applyBorder="1" applyAlignment="1">
      <alignment horizontal="center" vertical="center"/>
    </xf>
    <xf numFmtId="10" fontId="8" fillId="0" borderId="0" xfId="0" applyNumberFormat="1" applyFont="1">
      <alignment vertical="center"/>
    </xf>
    <xf numFmtId="43" fontId="6" fillId="0" borderId="3" xfId="0" applyNumberFormat="1" applyFont="1" applyBorder="1" applyAlignment="1">
      <alignment horizontal="center" vertical="center"/>
    </xf>
    <xf numFmtId="0" fontId="30" fillId="0" borderId="0" xfId="0" applyFont="1" applyAlignment="1">
      <alignment vertical="top"/>
    </xf>
    <xf numFmtId="0" fontId="3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57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3" fontId="4" fillId="0" borderId="1" xfId="1" applyFont="1" applyBorder="1" applyAlignment="1">
      <alignment horizontal="center" vertical="center"/>
    </xf>
    <xf numFmtId="43" fontId="4" fillId="0" borderId="1" xfId="0" applyNumberFormat="1" applyFont="1" applyBorder="1" applyAlignment="1">
      <alignment horizontal="center" vertical="center"/>
    </xf>
    <xf numFmtId="43" fontId="4" fillId="0" borderId="1" xfId="1" applyFont="1" applyFill="1" applyBorder="1" applyAlignment="1">
      <alignment horizontal="center" vertical="center"/>
    </xf>
    <xf numFmtId="43" fontId="4" fillId="0" borderId="1" xfId="0" applyNumberFormat="1" applyFont="1" applyBorder="1">
      <alignment vertical="center"/>
    </xf>
    <xf numFmtId="0" fontId="4" fillId="6" borderId="1" xfId="0" applyFont="1" applyFill="1" applyBorder="1" applyAlignment="1">
      <alignment horizontal="left" vertical="center"/>
    </xf>
    <xf numFmtId="43" fontId="4" fillId="6" borderId="1" xfId="0" applyNumberFormat="1" applyFont="1" applyFill="1" applyBorder="1">
      <alignment vertical="center"/>
    </xf>
    <xf numFmtId="43" fontId="4" fillId="6" borderId="1" xfId="1" applyFont="1" applyFill="1" applyBorder="1" applyAlignment="1">
      <alignment horizontal="center" vertical="center"/>
    </xf>
    <xf numFmtId="0" fontId="31" fillId="0" borderId="0" xfId="3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43" fontId="4" fillId="0" borderId="2" xfId="1" applyFont="1" applyBorder="1" applyAlignment="1">
      <alignment horizontal="center" vertical="center"/>
    </xf>
    <xf numFmtId="43" fontId="4" fillId="0" borderId="2" xfId="1" applyFont="1" applyFill="1" applyBorder="1" applyAlignment="1">
      <alignment horizontal="center" vertical="center"/>
    </xf>
    <xf numFmtId="43" fontId="4" fillId="6" borderId="2" xfId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>
      <alignment vertical="center"/>
    </xf>
    <xf numFmtId="0" fontId="4" fillId="0" borderId="10" xfId="0" applyFont="1" applyBorder="1">
      <alignment vertical="center"/>
    </xf>
    <xf numFmtId="0" fontId="15" fillId="0" borderId="0" xfId="0" applyFont="1">
      <alignment vertical="center"/>
    </xf>
    <xf numFmtId="0" fontId="33" fillId="0" borderId="0" xfId="0" applyFont="1">
      <alignment vertical="center"/>
    </xf>
    <xf numFmtId="0" fontId="35" fillId="5" borderId="1" xfId="0" applyFont="1" applyFill="1" applyBorder="1" applyAlignment="1">
      <alignment horizontal="center" vertical="center"/>
    </xf>
    <xf numFmtId="0" fontId="35" fillId="5" borderId="2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9" applyFont="1" applyBorder="1" applyAlignment="1">
      <alignment horizontal="left" vertical="center"/>
    </xf>
    <xf numFmtId="0" fontId="37" fillId="0" borderId="2" xfId="0" applyFont="1" applyBorder="1" applyAlignment="1">
      <alignment horizontal="left" vertical="center" wrapText="1"/>
    </xf>
    <xf numFmtId="0" fontId="39" fillId="0" borderId="0" xfId="0" applyFont="1">
      <alignment vertical="center"/>
    </xf>
    <xf numFmtId="0" fontId="37" fillId="0" borderId="2" xfId="0" applyFont="1" applyBorder="1" applyAlignment="1">
      <alignment horizontal="left" vertical="center"/>
    </xf>
    <xf numFmtId="0" fontId="39" fillId="0" borderId="0" xfId="0" applyFont="1" applyAlignment="1">
      <alignment vertical="center" wrapText="1"/>
    </xf>
    <xf numFmtId="0" fontId="38" fillId="0" borderId="1" xfId="3" applyNumberFormat="1" applyFont="1" applyFill="1" applyBorder="1" applyAlignment="1" applyProtection="1">
      <alignment horizontal="left" vertical="center"/>
    </xf>
    <xf numFmtId="0" fontId="37" fillId="0" borderId="3" xfId="0" applyFont="1" applyBorder="1" applyAlignment="1">
      <alignment horizontal="center" vertical="center"/>
    </xf>
    <xf numFmtId="0" fontId="37" fillId="0" borderId="4" xfId="0" applyFont="1" applyBorder="1" applyAlignment="1">
      <alignment horizontal="left" vertical="center" wrapText="1"/>
    </xf>
    <xf numFmtId="0" fontId="37" fillId="0" borderId="4" xfId="0" applyFont="1" applyBorder="1" applyAlignment="1">
      <alignment horizontal="left" vertical="center"/>
    </xf>
    <xf numFmtId="0" fontId="38" fillId="0" borderId="3" xfId="9" applyFont="1" applyBorder="1" applyAlignment="1">
      <alignment horizontal="left" vertical="center"/>
    </xf>
    <xf numFmtId="0" fontId="38" fillId="0" borderId="1" xfId="9" quotePrefix="1" applyFont="1" applyBorder="1" applyAlignment="1">
      <alignment horizontal="left" vertical="center"/>
    </xf>
    <xf numFmtId="0" fontId="38" fillId="0" borderId="3" xfId="9" quotePrefix="1" applyFont="1" applyBorder="1" applyAlignment="1">
      <alignment horizontal="left" vertical="center"/>
    </xf>
    <xf numFmtId="10" fontId="4" fillId="0" borderId="0" xfId="2" applyNumberFormat="1" applyFo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1" fillId="0" borderId="0" xfId="3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34" fillId="0" borderId="0" xfId="0" applyFont="1" applyAlignment="1">
      <alignment horizontal="center" vertical="center"/>
    </xf>
    <xf numFmtId="43" fontId="14" fillId="0" borderId="0" xfId="3" applyNumberFormat="1" applyFont="1" applyFill="1" applyAlignment="1">
      <alignment horizontal="center" vertical="center"/>
    </xf>
    <xf numFmtId="43" fontId="27" fillId="0" borderId="0" xfId="0" applyNumberFormat="1" applyFont="1" applyAlignment="1">
      <alignment horizontal="center" vertical="center"/>
    </xf>
    <xf numFmtId="43" fontId="27" fillId="0" borderId="0" xfId="0" applyNumberFormat="1" applyFont="1" applyAlignment="1">
      <alignment horizontal="right" vertical="center"/>
    </xf>
    <xf numFmtId="43" fontId="22" fillId="0" borderId="0" xfId="0" applyNumberFormat="1" applyFont="1" applyAlignment="1">
      <alignment horizontal="right" vertical="center"/>
    </xf>
    <xf numFmtId="176" fontId="21" fillId="0" borderId="1" xfId="0" applyNumberFormat="1" applyFont="1" applyBorder="1" applyAlignment="1">
      <alignment horizontal="center" vertical="center"/>
    </xf>
    <xf numFmtId="176" fontId="21" fillId="6" borderId="1" xfId="0" applyNumberFormat="1" applyFont="1" applyFill="1" applyBorder="1" applyAlignment="1">
      <alignment horizontal="center" vertical="center"/>
    </xf>
    <xf numFmtId="43" fontId="8" fillId="0" borderId="0" xfId="0" applyNumberFormat="1" applyFont="1" applyAlignment="1">
      <alignment horizontal="center" vertical="center"/>
    </xf>
    <xf numFmtId="43" fontId="10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 wrapText="1"/>
    </xf>
    <xf numFmtId="49" fontId="29" fillId="0" borderId="0" xfId="0" applyNumberFormat="1" applyFont="1" applyAlignment="1">
      <alignment horizontal="left" vertical="center" wrapText="1"/>
    </xf>
    <xf numFmtId="43" fontId="3" fillId="0" borderId="0" xfId="0" applyNumberFormat="1" applyFont="1" applyAlignment="1">
      <alignment horizontal="left" vertical="center" wrapText="1"/>
    </xf>
    <xf numFmtId="43" fontId="21" fillId="0" borderId="1" xfId="0" applyNumberFormat="1" applyFont="1" applyBorder="1" applyAlignment="1">
      <alignment horizontal="center" vertical="center" shrinkToFit="1"/>
    </xf>
    <xf numFmtId="176" fontId="21" fillId="0" borderId="1" xfId="0" applyNumberFormat="1" applyFont="1" applyBorder="1" applyAlignment="1">
      <alignment horizontal="center" vertical="center" shrinkToFit="1"/>
    </xf>
    <xf numFmtId="43" fontId="2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 wrapText="1"/>
    </xf>
    <xf numFmtId="43" fontId="26" fillId="0" borderId="0" xfId="0" applyNumberFormat="1" applyFont="1" applyAlignment="1">
      <alignment horizontal="left" vertical="center" wrapText="1"/>
    </xf>
    <xf numFmtId="49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/>
    </xf>
  </cellXfs>
  <cellStyles count="10">
    <cellStyle name="Normal" xfId="4" xr:uid="{00000000-0005-0000-0000-000031000000}"/>
    <cellStyle name="百分比" xfId="2" builtinId="5"/>
    <cellStyle name="常规" xfId="0" builtinId="0"/>
    <cellStyle name="常规 2" xfId="5" xr:uid="{00000000-0005-0000-0000-000032000000}"/>
    <cellStyle name="常规_一般企业资产负债表、利润表、现金流量表和所有者权益变动表格式" xfId="6" xr:uid="{00000000-0005-0000-0000-000033000000}"/>
    <cellStyle name="超链接" xfId="3" builtinId="8"/>
    <cellStyle name="千位分隔" xfId="1" builtinId="3"/>
    <cellStyle name="千位分隔 12 2" xfId="7" xr:uid="{00000000-0005-0000-0000-000034000000}"/>
    <cellStyle name="千位分隔 2" xfId="8" xr:uid="{00000000-0005-0000-0000-000035000000}"/>
    <cellStyle name="索引超链接" xfId="9" xr:uid="{00000000-0005-0000-0000-000036000000}"/>
  </cellStyles>
  <dxfs count="0"/>
  <tableStyles count="1" defaultTableStyle="TableStyleMedium2" defaultPivotStyle="PivotStyleLight16">
    <tableStyle name="Invisible" pivot="0" table="0" count="0" xr9:uid="{2997FB8B-26E4-4269-B4EC-10F50D7FDB9A}"/>
  </tableStyles>
  <colors>
    <mruColors>
      <color rgb="FFA9D08E"/>
      <color rgb="FFB4C6E7"/>
      <color rgb="FF9BC2E6"/>
      <color rgb="FFFFFFFF"/>
      <color rgb="FFE2EFDA"/>
      <color rgb="FFBFBFBF"/>
      <color rgb="FFBDD7EE"/>
      <color rgb="FFFFFF00"/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844;&#25991;&#21253;/&#39044;&#31639;&#31649;&#29702;&#21450;&#39044;&#27979;/2024&#24180;&#39044;&#31639;&#30456;&#20851;/2024&#24180;&#39044;&#31639;&#32534;&#21046;2024&#24180;1&#26376;13&#26085;&#30830;&#35748;&#29256;/2024&#24180;&#38144;&#21806;1&#20013;&#24515;&#21508;&#20998;&#37096;&#21450;&#30465;&#21306;&#39044;&#31639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4年全面预算利润表 (销售1中心)2.8亿"/>
      <sheetName val="验证表2.8亿"/>
      <sheetName val="2024年全面预算利润表 (江苏）2.8亿"/>
      <sheetName val="2024年全面预算利润表 (浙江）2.8亿"/>
      <sheetName val="2024年全面预算利润表 (上海）2.8亿"/>
      <sheetName val="2024年全面预算利润表 (安徽）2.8亿"/>
      <sheetName val="2024年全面预算利润表 (江西）2.8亿"/>
      <sheetName val="2024年全面预算利润表 (1中心）2.8亿"/>
      <sheetName val="2024年全面预算利润表 (销售1中心)3.2亿"/>
      <sheetName val="验证表3.2亿"/>
      <sheetName val="2024年全面预算利润表 (江苏）3.2亿"/>
      <sheetName val="2024年全面预算利润表 (浙江）3.2亿"/>
      <sheetName val="2024年全面预算利润表 (上海）3.2亿"/>
      <sheetName val="2024年全面预算利润表 (安徽）3.2亿"/>
      <sheetName val="2024年全面预算利润表 (江西）3.2亿"/>
      <sheetName val="2024年全面预算利润表 (1中心）3.2亿"/>
    </sheetNames>
    <sheetDataSet>
      <sheetData sheetId="0">
        <row r="10">
          <cell r="E10">
            <v>8628256.2300000004</v>
          </cell>
          <cell r="F10">
            <v>7937217.3978761099</v>
          </cell>
          <cell r="G10">
            <v>8877401.5453097392</v>
          </cell>
          <cell r="H10">
            <v>10875498.151769901</v>
          </cell>
        </row>
        <row r="11">
          <cell r="E11">
            <v>0</v>
          </cell>
          <cell r="F11">
            <v>0</v>
          </cell>
          <cell r="G11">
            <v>0</v>
          </cell>
          <cell r="H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E14">
            <v>8628256.2300000004</v>
          </cell>
          <cell r="F14">
            <v>7937217.3978761099</v>
          </cell>
          <cell r="G14">
            <v>8877401.5453097392</v>
          </cell>
          <cell r="H14">
            <v>10875498.151769901</v>
          </cell>
        </row>
        <row r="16">
          <cell r="E16">
            <v>6863084.0742450003</v>
          </cell>
          <cell r="F16">
            <v>6912961.8362295497</v>
          </cell>
          <cell r="G16">
            <v>7249132.1916282102</v>
          </cell>
          <cell r="H16">
            <v>8559880.2158054691</v>
          </cell>
        </row>
        <row r="17">
          <cell r="E17">
            <v>0</v>
          </cell>
          <cell r="F17">
            <v>0</v>
          </cell>
          <cell r="G17">
            <v>0</v>
          </cell>
          <cell r="H17">
            <v>0</v>
          </cell>
        </row>
        <row r="18"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20">
          <cell r="E20">
            <v>6719780.6042449996</v>
          </cell>
          <cell r="F20">
            <v>6792299.1462295502</v>
          </cell>
          <cell r="G20">
            <v>7106408.0816282099</v>
          </cell>
          <cell r="H20">
            <v>8386913.4158054702</v>
          </cell>
        </row>
        <row r="21">
          <cell r="E21">
            <v>143303.47</v>
          </cell>
          <cell r="F21">
            <v>120662.69</v>
          </cell>
          <cell r="G21">
            <v>142724.10999999999</v>
          </cell>
          <cell r="H21">
            <v>172966.8</v>
          </cell>
        </row>
        <row r="22"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E23">
            <v>1765172.155755</v>
          </cell>
          <cell r="F23">
            <v>1024255.56164656</v>
          </cell>
          <cell r="G23">
            <v>1628269.3536815301</v>
          </cell>
          <cell r="H23">
            <v>2315617.9359644302</v>
          </cell>
        </row>
        <row r="24"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E27">
            <v>1908475.6257549999</v>
          </cell>
          <cell r="F27">
            <v>1144918.2516465599</v>
          </cell>
          <cell r="G27">
            <v>1770993.46368153</v>
          </cell>
          <cell r="H27">
            <v>2488584.73596443</v>
          </cell>
        </row>
        <row r="28">
          <cell r="E28">
            <v>0.2046</v>
          </cell>
          <cell r="F28">
            <v>0.129</v>
          </cell>
          <cell r="G28">
            <v>0.18340000000000001</v>
          </cell>
          <cell r="H28">
            <v>0.21290000000000001</v>
          </cell>
        </row>
        <row r="33">
          <cell r="E33">
            <v>75928.654823999997</v>
          </cell>
          <cell r="F33">
            <v>69847.5131013098</v>
          </cell>
          <cell r="G33">
            <v>78121.133598725602</v>
          </cell>
          <cell r="H33">
            <v>95704.383735575306</v>
          </cell>
        </row>
        <row r="34">
          <cell r="E34">
            <v>763102.26</v>
          </cell>
          <cell r="F34">
            <v>598957.32775862096</v>
          </cell>
          <cell r="G34">
            <v>738172.2</v>
          </cell>
          <cell r="H34">
            <v>809556.53</v>
          </cell>
        </row>
        <row r="35">
          <cell r="E35">
            <v>496736</v>
          </cell>
          <cell r="F35">
            <v>437169</v>
          </cell>
          <cell r="G35">
            <v>475178</v>
          </cell>
          <cell r="H35">
            <v>570787</v>
          </cell>
        </row>
        <row r="36">
          <cell r="E36">
            <v>223400</v>
          </cell>
          <cell r="F36">
            <v>223400</v>
          </cell>
          <cell r="G36">
            <v>223400</v>
          </cell>
          <cell r="H36">
            <v>223400</v>
          </cell>
        </row>
        <row r="37">
          <cell r="E37">
            <v>273336</v>
          </cell>
          <cell r="F37">
            <v>213769</v>
          </cell>
          <cell r="G37">
            <v>251778</v>
          </cell>
          <cell r="H37">
            <v>347387</v>
          </cell>
        </row>
        <row r="38">
          <cell r="E38">
            <v>28466.5</v>
          </cell>
          <cell r="F38">
            <v>29605.16</v>
          </cell>
          <cell r="G38">
            <v>31882.48</v>
          </cell>
          <cell r="H38">
            <v>31882.48</v>
          </cell>
        </row>
        <row r="39">
          <cell r="E39">
            <v>17178</v>
          </cell>
          <cell r="F39">
            <v>17865.12</v>
          </cell>
          <cell r="G39">
            <v>19239.36</v>
          </cell>
          <cell r="H39">
            <v>19239.36</v>
          </cell>
        </row>
        <row r="40">
          <cell r="E40">
            <v>10429.5</v>
          </cell>
          <cell r="F40">
            <v>10846.68</v>
          </cell>
          <cell r="G40">
            <v>11681.04</v>
          </cell>
          <cell r="H40">
            <v>11681.04</v>
          </cell>
        </row>
        <row r="41">
          <cell r="E41">
            <v>245.5</v>
          </cell>
          <cell r="F41">
            <v>255.32</v>
          </cell>
          <cell r="G41">
            <v>274.95999999999998</v>
          </cell>
          <cell r="H41">
            <v>274.95999999999998</v>
          </cell>
        </row>
        <row r="42">
          <cell r="E42">
            <v>613.5</v>
          </cell>
          <cell r="F42">
            <v>638.04</v>
          </cell>
          <cell r="G42">
            <v>687.12</v>
          </cell>
          <cell r="H42">
            <v>687.12</v>
          </cell>
        </row>
        <row r="43">
          <cell r="E43">
            <v>0</v>
          </cell>
          <cell r="F43">
            <v>0</v>
          </cell>
          <cell r="G43">
            <v>0</v>
          </cell>
          <cell r="H43">
            <v>0</v>
          </cell>
        </row>
        <row r="44">
          <cell r="E44">
            <v>6456</v>
          </cell>
          <cell r="F44">
            <v>6725</v>
          </cell>
          <cell r="G44">
            <v>7263</v>
          </cell>
          <cell r="H44">
            <v>7263</v>
          </cell>
        </row>
        <row r="45">
          <cell r="E45">
            <v>0</v>
          </cell>
          <cell r="F45">
            <v>0</v>
          </cell>
          <cell r="G45">
            <v>0</v>
          </cell>
          <cell r="H45">
            <v>0</v>
          </cell>
        </row>
        <row r="46"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E47">
            <v>4800</v>
          </cell>
          <cell r="F47">
            <v>4900</v>
          </cell>
          <cell r="G47">
            <v>600</v>
          </cell>
          <cell r="H47">
            <v>600</v>
          </cell>
        </row>
        <row r="48">
          <cell r="E48">
            <v>0</v>
          </cell>
          <cell r="F48">
            <v>0</v>
          </cell>
          <cell r="G48">
            <v>0</v>
          </cell>
          <cell r="H48">
            <v>0</v>
          </cell>
        </row>
        <row r="49">
          <cell r="E49">
            <v>500</v>
          </cell>
          <cell r="F49">
            <v>500</v>
          </cell>
          <cell r="G49">
            <v>500</v>
          </cell>
          <cell r="H49">
            <v>500</v>
          </cell>
        </row>
        <row r="50"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E51">
            <v>1200</v>
          </cell>
          <cell r="F51">
            <v>4400</v>
          </cell>
          <cell r="G51">
            <v>0</v>
          </cell>
          <cell r="H51">
            <v>0</v>
          </cell>
        </row>
        <row r="52">
          <cell r="E52">
            <v>100</v>
          </cell>
          <cell r="F52">
            <v>0</v>
          </cell>
          <cell r="G52">
            <v>100</v>
          </cell>
          <cell r="H52">
            <v>100</v>
          </cell>
        </row>
        <row r="53">
          <cell r="E53">
            <v>0</v>
          </cell>
          <cell r="F53">
            <v>0</v>
          </cell>
          <cell r="G53">
            <v>0</v>
          </cell>
          <cell r="H53">
            <v>0</v>
          </cell>
        </row>
        <row r="54">
          <cell r="E54">
            <v>3000</v>
          </cell>
          <cell r="F54">
            <v>0</v>
          </cell>
          <cell r="G54">
            <v>0</v>
          </cell>
          <cell r="H54">
            <v>0</v>
          </cell>
        </row>
        <row r="55"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E58">
            <v>122235</v>
          </cell>
          <cell r="F58">
            <v>66464.482758620696</v>
          </cell>
          <cell r="G58">
            <v>125465</v>
          </cell>
          <cell r="H58">
            <v>125465</v>
          </cell>
        </row>
        <row r="59">
          <cell r="E59">
            <v>28100</v>
          </cell>
          <cell r="F59">
            <v>15637.931034482801</v>
          </cell>
          <cell r="G59">
            <v>33100</v>
          </cell>
          <cell r="H59">
            <v>33100</v>
          </cell>
        </row>
        <row r="60">
          <cell r="E60">
            <v>47900</v>
          </cell>
          <cell r="F60">
            <v>30140</v>
          </cell>
          <cell r="G60">
            <v>47900</v>
          </cell>
          <cell r="H60">
            <v>47900</v>
          </cell>
        </row>
        <row r="61">
          <cell r="E61">
            <v>33435</v>
          </cell>
          <cell r="F61">
            <v>15390</v>
          </cell>
          <cell r="G61">
            <v>32265</v>
          </cell>
          <cell r="H61">
            <v>32265</v>
          </cell>
        </row>
        <row r="62">
          <cell r="E62">
            <v>10000</v>
          </cell>
          <cell r="F62">
            <v>4137.93103448275</v>
          </cell>
          <cell r="G62">
            <v>9500</v>
          </cell>
          <cell r="H62">
            <v>9500</v>
          </cell>
        </row>
        <row r="63">
          <cell r="E63">
            <v>2800</v>
          </cell>
          <cell r="F63">
            <v>1158.6206896551701</v>
          </cell>
          <cell r="G63">
            <v>2700</v>
          </cell>
          <cell r="H63">
            <v>2700</v>
          </cell>
        </row>
        <row r="64">
          <cell r="E64">
            <v>41800</v>
          </cell>
          <cell r="F64">
            <v>9000</v>
          </cell>
          <cell r="G64">
            <v>36000</v>
          </cell>
          <cell r="H64">
            <v>8000</v>
          </cell>
        </row>
        <row r="65"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E66">
            <v>50</v>
          </cell>
          <cell r="F66">
            <v>50</v>
          </cell>
          <cell r="G66">
            <v>50</v>
          </cell>
          <cell r="H66">
            <v>50</v>
          </cell>
        </row>
        <row r="67">
          <cell r="E67">
            <v>0</v>
          </cell>
          <cell r="F67">
            <v>0</v>
          </cell>
          <cell r="G67">
            <v>0</v>
          </cell>
          <cell r="H67">
            <v>0</v>
          </cell>
        </row>
        <row r="68">
          <cell r="E68">
            <v>0</v>
          </cell>
          <cell r="F68">
            <v>0</v>
          </cell>
          <cell r="G68">
            <v>0</v>
          </cell>
          <cell r="H68">
            <v>0</v>
          </cell>
        </row>
        <row r="69">
          <cell r="E69">
            <v>12100</v>
          </cell>
          <cell r="F69">
            <v>13100</v>
          </cell>
          <cell r="G69">
            <v>13100</v>
          </cell>
          <cell r="H69">
            <v>13700</v>
          </cell>
        </row>
        <row r="70">
          <cell r="E70">
            <v>0</v>
          </cell>
          <cell r="F70">
            <v>0</v>
          </cell>
          <cell r="G70">
            <v>0</v>
          </cell>
          <cell r="H70">
            <v>0</v>
          </cell>
        </row>
        <row r="71">
          <cell r="E71">
            <v>0</v>
          </cell>
          <cell r="F71">
            <v>0</v>
          </cell>
          <cell r="G71">
            <v>0</v>
          </cell>
          <cell r="H71">
            <v>0</v>
          </cell>
        </row>
        <row r="72">
          <cell r="E72">
            <v>0</v>
          </cell>
          <cell r="F72">
            <v>0</v>
          </cell>
          <cell r="G72">
            <v>0</v>
          </cell>
          <cell r="H72">
            <v>0</v>
          </cell>
        </row>
        <row r="73"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E74">
            <v>0</v>
          </cell>
          <cell r="F74">
            <v>0</v>
          </cell>
          <cell r="G74">
            <v>0</v>
          </cell>
          <cell r="H74">
            <v>0</v>
          </cell>
        </row>
        <row r="75">
          <cell r="E75">
            <v>0</v>
          </cell>
          <cell r="F75">
            <v>0</v>
          </cell>
          <cell r="G75">
            <v>0</v>
          </cell>
          <cell r="H75">
            <v>0</v>
          </cell>
        </row>
        <row r="76">
          <cell r="E76">
            <v>0</v>
          </cell>
          <cell r="F76">
            <v>0</v>
          </cell>
          <cell r="G76">
            <v>1600</v>
          </cell>
          <cell r="H76">
            <v>0</v>
          </cell>
        </row>
        <row r="77">
          <cell r="E77">
            <v>0</v>
          </cell>
          <cell r="F77">
            <v>0</v>
          </cell>
          <cell r="G77">
            <v>0</v>
          </cell>
          <cell r="H77">
            <v>0</v>
          </cell>
        </row>
        <row r="78">
          <cell r="E78">
            <v>6200</v>
          </cell>
          <cell r="F78">
            <v>5113.9250000000002</v>
          </cell>
          <cell r="G78">
            <v>8307.25</v>
          </cell>
          <cell r="H78">
            <v>7611.61</v>
          </cell>
        </row>
        <row r="79"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E80">
            <v>15600</v>
          </cell>
          <cell r="F80">
            <v>0</v>
          </cell>
          <cell r="G80">
            <v>0</v>
          </cell>
          <cell r="H80">
            <v>0</v>
          </cell>
        </row>
        <row r="81">
          <cell r="E81">
            <v>0</v>
          </cell>
          <cell r="F81">
            <v>0</v>
          </cell>
          <cell r="G81">
            <v>7000</v>
          </cell>
          <cell r="H81">
            <v>7000</v>
          </cell>
        </row>
        <row r="82">
          <cell r="E82">
            <v>0</v>
          </cell>
          <cell r="F82">
            <v>0</v>
          </cell>
          <cell r="G82">
            <v>0</v>
          </cell>
          <cell r="H82">
            <v>0</v>
          </cell>
        </row>
        <row r="83">
          <cell r="E83">
            <v>0</v>
          </cell>
          <cell r="F83">
            <v>0</v>
          </cell>
          <cell r="G83">
            <v>0</v>
          </cell>
          <cell r="H83">
            <v>0</v>
          </cell>
        </row>
        <row r="84">
          <cell r="E84">
            <v>3400</v>
          </cell>
          <cell r="F84">
            <v>4600</v>
          </cell>
          <cell r="G84">
            <v>5800</v>
          </cell>
          <cell r="H84">
            <v>5800</v>
          </cell>
        </row>
        <row r="85">
          <cell r="E85">
            <v>0</v>
          </cell>
          <cell r="F85">
            <v>0</v>
          </cell>
          <cell r="G85">
            <v>0</v>
          </cell>
          <cell r="H85">
            <v>0</v>
          </cell>
        </row>
        <row r="86">
          <cell r="E86">
            <v>0</v>
          </cell>
          <cell r="F86">
            <v>0</v>
          </cell>
          <cell r="G86">
            <v>0</v>
          </cell>
          <cell r="H86">
            <v>0</v>
          </cell>
        </row>
        <row r="87">
          <cell r="E87">
            <v>0</v>
          </cell>
          <cell r="F87">
            <v>0</v>
          </cell>
          <cell r="G87">
            <v>0</v>
          </cell>
          <cell r="H87">
            <v>0</v>
          </cell>
        </row>
        <row r="88">
          <cell r="E88">
            <v>0</v>
          </cell>
          <cell r="F88">
            <v>0</v>
          </cell>
          <cell r="G88">
            <v>0</v>
          </cell>
          <cell r="H88">
            <v>0</v>
          </cell>
        </row>
        <row r="89">
          <cell r="E89">
            <v>0</v>
          </cell>
          <cell r="F89">
            <v>0</v>
          </cell>
          <cell r="G89">
            <v>0</v>
          </cell>
          <cell r="H89">
            <v>0</v>
          </cell>
        </row>
        <row r="90">
          <cell r="E90">
            <v>24258.76</v>
          </cell>
          <cell r="F90">
            <v>21229.759999999998</v>
          </cell>
          <cell r="G90">
            <v>23926.47</v>
          </cell>
          <cell r="H90">
            <v>29397.439999999999</v>
          </cell>
        </row>
        <row r="91">
          <cell r="E91">
            <v>0</v>
          </cell>
          <cell r="F91">
            <v>0</v>
          </cell>
          <cell r="G91">
            <v>0</v>
          </cell>
          <cell r="H91">
            <v>0</v>
          </cell>
        </row>
        <row r="92">
          <cell r="E92">
            <v>0</v>
          </cell>
          <cell r="F92">
            <v>0</v>
          </cell>
          <cell r="G92">
            <v>0</v>
          </cell>
          <cell r="H92">
            <v>0</v>
          </cell>
        </row>
        <row r="93">
          <cell r="E93">
            <v>0</v>
          </cell>
          <cell r="F93">
            <v>0</v>
          </cell>
          <cell r="G93">
            <v>0</v>
          </cell>
          <cell r="H93">
            <v>0</v>
          </cell>
        </row>
        <row r="94">
          <cell r="E94">
            <v>0</v>
          </cell>
          <cell r="F94">
            <v>0</v>
          </cell>
          <cell r="G94">
            <v>0</v>
          </cell>
          <cell r="H94">
            <v>0</v>
          </cell>
        </row>
        <row r="95">
          <cell r="E95">
            <v>0</v>
          </cell>
          <cell r="F95">
            <v>0</v>
          </cell>
          <cell r="G95">
            <v>0</v>
          </cell>
          <cell r="H95">
            <v>0</v>
          </cell>
        </row>
        <row r="96">
          <cell r="E96">
            <v>0</v>
          </cell>
          <cell r="F96">
            <v>0</v>
          </cell>
          <cell r="G96">
            <v>0</v>
          </cell>
          <cell r="H96">
            <v>0</v>
          </cell>
        </row>
        <row r="97">
          <cell r="E97">
            <v>0</v>
          </cell>
          <cell r="F97">
            <v>0</v>
          </cell>
          <cell r="G97">
            <v>0</v>
          </cell>
          <cell r="H97">
            <v>0</v>
          </cell>
        </row>
        <row r="98">
          <cell r="E98">
            <v>0</v>
          </cell>
          <cell r="F98">
            <v>0</v>
          </cell>
          <cell r="G98">
            <v>0</v>
          </cell>
          <cell r="H98">
            <v>0</v>
          </cell>
        </row>
        <row r="99">
          <cell r="E99">
            <v>0</v>
          </cell>
          <cell r="F99">
            <v>0</v>
          </cell>
          <cell r="G99">
            <v>0</v>
          </cell>
          <cell r="H99">
            <v>0</v>
          </cell>
        </row>
        <row r="100">
          <cell r="E100">
            <v>0</v>
          </cell>
          <cell r="F100">
            <v>0</v>
          </cell>
          <cell r="G100">
            <v>0</v>
          </cell>
          <cell r="H100">
            <v>0</v>
          </cell>
        </row>
        <row r="101"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2">
          <cell r="E102">
            <v>0</v>
          </cell>
          <cell r="F102">
            <v>0</v>
          </cell>
          <cell r="G102">
            <v>0</v>
          </cell>
          <cell r="H102">
            <v>0</v>
          </cell>
        </row>
        <row r="103">
          <cell r="E103">
            <v>0</v>
          </cell>
          <cell r="F103">
            <v>0</v>
          </cell>
          <cell r="G103">
            <v>0</v>
          </cell>
          <cell r="H103">
            <v>0</v>
          </cell>
        </row>
        <row r="104">
          <cell r="E104">
            <v>0</v>
          </cell>
          <cell r="F104">
            <v>0</v>
          </cell>
          <cell r="G104">
            <v>0</v>
          </cell>
          <cell r="H104">
            <v>0</v>
          </cell>
        </row>
        <row r="105">
          <cell r="E105">
            <v>0</v>
          </cell>
          <cell r="F105">
            <v>0</v>
          </cell>
          <cell r="G105">
            <v>0</v>
          </cell>
          <cell r="H105">
            <v>0</v>
          </cell>
        </row>
        <row r="106">
          <cell r="E106">
            <v>0</v>
          </cell>
          <cell r="F106">
            <v>0</v>
          </cell>
          <cell r="G106">
            <v>0</v>
          </cell>
          <cell r="H106">
            <v>0</v>
          </cell>
        </row>
        <row r="108">
          <cell r="E108">
            <v>0</v>
          </cell>
          <cell r="F108">
            <v>0</v>
          </cell>
          <cell r="G108">
            <v>0</v>
          </cell>
          <cell r="H108">
            <v>0</v>
          </cell>
        </row>
        <row r="109">
          <cell r="E109">
            <v>0</v>
          </cell>
          <cell r="F109">
            <v>0</v>
          </cell>
          <cell r="G109">
            <v>0</v>
          </cell>
          <cell r="H109">
            <v>0</v>
          </cell>
        </row>
        <row r="112">
          <cell r="E112">
            <v>0</v>
          </cell>
          <cell r="F112">
            <v>0</v>
          </cell>
          <cell r="G112">
            <v>0</v>
          </cell>
          <cell r="H112">
            <v>0</v>
          </cell>
        </row>
        <row r="121">
          <cell r="E121">
            <v>0</v>
          </cell>
          <cell r="F121">
            <v>0</v>
          </cell>
          <cell r="G121">
            <v>0</v>
          </cell>
          <cell r="H121">
            <v>0</v>
          </cell>
        </row>
        <row r="132"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44"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82"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E183">
            <v>0</v>
          </cell>
          <cell r="F183">
            <v>0</v>
          </cell>
          <cell r="G183">
            <v>0</v>
          </cell>
          <cell r="H183">
            <v>0</v>
          </cell>
        </row>
        <row r="186"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95">
          <cell r="E195">
            <v>0</v>
          </cell>
          <cell r="F195">
            <v>0</v>
          </cell>
          <cell r="G195">
            <v>0</v>
          </cell>
          <cell r="H195">
            <v>0</v>
          </cell>
        </row>
        <row r="206"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18">
          <cell r="E218">
            <v>0</v>
          </cell>
          <cell r="F218">
            <v>0</v>
          </cell>
          <cell r="G218">
            <v>0</v>
          </cell>
          <cell r="H218">
            <v>0</v>
          </cell>
        </row>
        <row r="263">
          <cell r="E263">
            <v>926141.24093100103</v>
          </cell>
          <cell r="F263">
            <v>355450.72078662901</v>
          </cell>
          <cell r="G263">
            <v>811976.02008280298</v>
          </cell>
          <cell r="H263">
            <v>1410357.0222288501</v>
          </cell>
        </row>
        <row r="264">
          <cell r="E264">
            <v>46947.22</v>
          </cell>
          <cell r="F264">
            <v>33668.25</v>
          </cell>
          <cell r="G264">
            <v>45189.82</v>
          </cell>
          <cell r="H264">
            <v>65997.759999999995</v>
          </cell>
        </row>
        <row r="265">
          <cell r="E265">
            <v>879194.02093100199</v>
          </cell>
          <cell r="F265">
            <v>321782.47078662901</v>
          </cell>
          <cell r="G265">
            <v>766786.20008280303</v>
          </cell>
          <cell r="H265">
            <v>1344359.26222885</v>
          </cell>
        </row>
        <row r="267">
          <cell r="G267" t="str">
            <v>财务总监审核：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opLeftCell="A8" zoomScale="85" zoomScaleNormal="85" workbookViewId="0">
      <selection activeCell="C7" sqref="C7"/>
    </sheetView>
  </sheetViews>
  <sheetFormatPr defaultColWidth="9" defaultRowHeight="15" x14ac:dyDescent="0.25"/>
  <cols>
    <col min="1" max="1" width="6.83203125" style="8" customWidth="1"/>
    <col min="2" max="2" width="34.58203125" style="8" customWidth="1"/>
    <col min="3" max="3" width="88.83203125" style="157" customWidth="1"/>
    <col min="4" max="4" width="62.25" style="158" customWidth="1"/>
    <col min="5" max="16384" width="9" style="8"/>
  </cols>
  <sheetData>
    <row r="1" spans="1:4" ht="51" customHeight="1" x14ac:dyDescent="0.25">
      <c r="A1" s="188" t="s">
        <v>0</v>
      </c>
      <c r="B1" s="188"/>
      <c r="C1" s="188"/>
    </row>
    <row r="2" spans="1:4" ht="25" customHeight="1" x14ac:dyDescent="0.25">
      <c r="A2" s="159" t="s">
        <v>1</v>
      </c>
      <c r="B2" s="159" t="s">
        <v>2</v>
      </c>
      <c r="C2" s="160" t="s">
        <v>3</v>
      </c>
      <c r="D2" s="161"/>
    </row>
    <row r="3" spans="1:4" ht="89" customHeight="1" x14ac:dyDescent="0.25">
      <c r="A3" s="162">
        <v>1</v>
      </c>
      <c r="B3" s="173" t="s">
        <v>4</v>
      </c>
      <c r="C3" s="164" t="s">
        <v>5</v>
      </c>
      <c r="D3" s="165"/>
    </row>
    <row r="4" spans="1:4" ht="91" customHeight="1" x14ac:dyDescent="0.25">
      <c r="A4" s="162">
        <v>2</v>
      </c>
      <c r="B4" s="173" t="s">
        <v>6</v>
      </c>
      <c r="C4" s="164" t="s">
        <v>7</v>
      </c>
      <c r="D4" s="165"/>
    </row>
    <row r="5" spans="1:4" ht="36" customHeight="1" x14ac:dyDescent="0.25">
      <c r="A5" s="162">
        <v>3</v>
      </c>
      <c r="B5" s="173" t="s">
        <v>8</v>
      </c>
      <c r="C5" s="164" t="s">
        <v>9</v>
      </c>
      <c r="D5" s="165"/>
    </row>
    <row r="6" spans="1:4" ht="22" customHeight="1" x14ac:dyDescent="0.25">
      <c r="A6" s="162">
        <v>4</v>
      </c>
      <c r="B6" s="173" t="s">
        <v>10</v>
      </c>
      <c r="C6" s="166" t="s">
        <v>11</v>
      </c>
      <c r="D6" s="165"/>
    </row>
    <row r="7" spans="1:4" ht="99" customHeight="1" x14ac:dyDescent="0.25">
      <c r="A7" s="162">
        <v>5</v>
      </c>
      <c r="B7" s="173" t="s">
        <v>12</v>
      </c>
      <c r="C7" s="164" t="s">
        <v>13</v>
      </c>
      <c r="D7" s="167"/>
    </row>
    <row r="8" spans="1:4" ht="18" customHeight="1" x14ac:dyDescent="0.25">
      <c r="A8" s="162">
        <v>6</v>
      </c>
      <c r="B8" s="173" t="s">
        <v>14</v>
      </c>
      <c r="C8" s="166" t="s">
        <v>15</v>
      </c>
      <c r="D8" s="165"/>
    </row>
    <row r="9" spans="1:4" ht="18" customHeight="1" x14ac:dyDescent="0.25">
      <c r="A9" s="162">
        <v>7</v>
      </c>
      <c r="B9" s="173" t="s">
        <v>16</v>
      </c>
      <c r="C9" s="166" t="s">
        <v>15</v>
      </c>
      <c r="D9" s="165"/>
    </row>
    <row r="10" spans="1:4" ht="18" customHeight="1" x14ac:dyDescent="0.25">
      <c r="A10" s="162">
        <v>8</v>
      </c>
      <c r="B10" s="173" t="s">
        <v>17</v>
      </c>
      <c r="C10" s="166" t="s">
        <v>15</v>
      </c>
      <c r="D10" s="165"/>
    </row>
    <row r="11" spans="1:4" ht="18" customHeight="1" x14ac:dyDescent="0.25">
      <c r="A11" s="162">
        <v>9</v>
      </c>
      <c r="B11" s="173" t="s">
        <v>18</v>
      </c>
      <c r="C11" s="166" t="s">
        <v>15</v>
      </c>
      <c r="D11" s="165"/>
    </row>
    <row r="12" spans="1:4" ht="18" customHeight="1" x14ac:dyDescent="0.25">
      <c r="A12" s="162">
        <v>10</v>
      </c>
      <c r="B12" s="173" t="s">
        <v>19</v>
      </c>
      <c r="C12" s="166" t="s">
        <v>15</v>
      </c>
      <c r="D12" s="165"/>
    </row>
    <row r="13" spans="1:4" ht="42" x14ac:dyDescent="0.25">
      <c r="A13" s="162">
        <v>11</v>
      </c>
      <c r="B13" s="168" t="s">
        <v>20</v>
      </c>
      <c r="C13" s="164" t="s">
        <v>21</v>
      </c>
      <c r="D13" s="165"/>
    </row>
    <row r="14" spans="1:4" ht="22" customHeight="1" x14ac:dyDescent="0.25">
      <c r="A14" s="162">
        <v>12</v>
      </c>
      <c r="B14" s="173" t="s">
        <v>22</v>
      </c>
      <c r="C14" s="166" t="s">
        <v>23</v>
      </c>
      <c r="D14" s="165"/>
    </row>
    <row r="15" spans="1:4" ht="22" customHeight="1" x14ac:dyDescent="0.25">
      <c r="A15" s="162">
        <v>13</v>
      </c>
      <c r="B15" s="173" t="s">
        <v>24</v>
      </c>
      <c r="C15" s="166" t="s">
        <v>23</v>
      </c>
      <c r="D15" s="165"/>
    </row>
    <row r="16" spans="1:4" ht="22" customHeight="1" x14ac:dyDescent="0.25">
      <c r="A16" s="162">
        <v>14</v>
      </c>
      <c r="B16" s="173" t="s">
        <v>25</v>
      </c>
      <c r="C16" s="166" t="s">
        <v>23</v>
      </c>
      <c r="D16" s="165"/>
    </row>
    <row r="17" spans="1:4" ht="22" customHeight="1" x14ac:dyDescent="0.25">
      <c r="A17" s="162">
        <v>15</v>
      </c>
      <c r="B17" s="173" t="s">
        <v>26</v>
      </c>
      <c r="C17" s="166" t="s">
        <v>23</v>
      </c>
      <c r="D17" s="165"/>
    </row>
    <row r="18" spans="1:4" ht="22" customHeight="1" x14ac:dyDescent="0.25">
      <c r="A18" s="162">
        <v>16</v>
      </c>
      <c r="B18" s="173" t="s">
        <v>27</v>
      </c>
      <c r="C18" s="166" t="s">
        <v>23</v>
      </c>
      <c r="D18" s="165"/>
    </row>
    <row r="19" spans="1:4" ht="22" customHeight="1" x14ac:dyDescent="0.25">
      <c r="A19" s="162">
        <v>17</v>
      </c>
      <c r="B19" s="173" t="s">
        <v>28</v>
      </c>
      <c r="C19" s="166" t="s">
        <v>23</v>
      </c>
      <c r="D19" s="165"/>
    </row>
    <row r="20" spans="1:4" ht="22" customHeight="1" x14ac:dyDescent="0.25">
      <c r="A20" s="162">
        <v>18</v>
      </c>
      <c r="B20" s="163" t="s">
        <v>29</v>
      </c>
      <c r="C20" s="166" t="s">
        <v>30</v>
      </c>
      <c r="D20" s="165"/>
    </row>
    <row r="21" spans="1:4" ht="28" x14ac:dyDescent="0.25">
      <c r="A21" s="169">
        <v>19</v>
      </c>
      <c r="B21" s="163" t="s">
        <v>31</v>
      </c>
      <c r="C21" s="170" t="s">
        <v>32</v>
      </c>
      <c r="D21" s="165"/>
    </row>
    <row r="22" spans="1:4" ht="28" x14ac:dyDescent="0.25">
      <c r="A22" s="169">
        <v>20</v>
      </c>
      <c r="B22" s="163" t="s">
        <v>33</v>
      </c>
      <c r="C22" s="170" t="s">
        <v>34</v>
      </c>
      <c r="D22" s="165"/>
    </row>
    <row r="23" spans="1:4" ht="22" customHeight="1" x14ac:dyDescent="0.25">
      <c r="A23" s="169">
        <v>21</v>
      </c>
      <c r="B23" s="163" t="s">
        <v>35</v>
      </c>
      <c r="C23" s="171" t="s">
        <v>36</v>
      </c>
      <c r="D23" s="165"/>
    </row>
    <row r="24" spans="1:4" ht="22" customHeight="1" x14ac:dyDescent="0.25">
      <c r="A24" s="169">
        <v>22</v>
      </c>
      <c r="B24" s="163" t="s">
        <v>37</v>
      </c>
      <c r="C24" s="171" t="s">
        <v>38</v>
      </c>
      <c r="D24" s="165"/>
    </row>
    <row r="25" spans="1:4" ht="30" customHeight="1" x14ac:dyDescent="0.25">
      <c r="A25" s="169">
        <v>23</v>
      </c>
      <c r="B25" s="174" t="s">
        <v>39</v>
      </c>
      <c r="C25" s="170" t="s">
        <v>40</v>
      </c>
      <c r="D25" s="165"/>
    </row>
    <row r="26" spans="1:4" ht="28" x14ac:dyDescent="0.25">
      <c r="A26" s="169">
        <v>24</v>
      </c>
      <c r="B26" s="172" t="s">
        <v>41</v>
      </c>
      <c r="C26" s="170" t="s">
        <v>42</v>
      </c>
    </row>
  </sheetData>
  <mergeCells count="1">
    <mergeCell ref="A1:C1"/>
  </mergeCells>
  <phoneticPr fontId="40" type="noConversion"/>
  <hyperlinks>
    <hyperlink ref="B3" location="收入及净利简表!A1" tooltip="激活 净利简表" display="净利简表" xr:uid="{00000000-0004-0000-0000-000000000000}"/>
    <hyperlink ref="B4" location="所得税分摊!A1" tooltip="激活 所得税分摊" display="所得税分摊" xr:uid="{00000000-0004-0000-0000-000001000000}"/>
    <hyperlink ref="B5" location="'2025年销售1中心利润表'!A1" tooltip="激活 2024年销售1中心利润表" display="2025年销售1中心利润表" xr:uid="{00000000-0004-0000-0000-000002000000}"/>
    <hyperlink ref="B6" location="'2025年中心利润表 '!A1" tooltip="激活 2024年中心利润表 " display="2025年中心利润表 " xr:uid="{00000000-0004-0000-0000-000003000000}"/>
    <hyperlink ref="B7" location="'2025年江苏分部利润表'!A1" tooltip="激活 2024年江苏分部利润表" display="2025年江苏分部利润表" xr:uid="{00000000-0004-0000-0000-000004000000}"/>
    <hyperlink ref="B8" location="'2025年浙江分部利润表'!A1" tooltip="激活 2024年浙江分部利润表" display="2025年浙江分部利润表" xr:uid="{00000000-0004-0000-0000-000005000000}"/>
    <hyperlink ref="B9" location="'2025年上海分部利润表'!A1" tooltip="激活 2024年上海分部利润表" display="2025年上海分部利润表" xr:uid="{00000000-0004-0000-0000-000006000000}"/>
    <hyperlink ref="B11" location="'2025年安徽省区利润表'!A1" tooltip="激活 2024年安徽省区利润表" display="2025年安徽省区利润表" xr:uid="{00000000-0004-0000-0000-000007000000}"/>
    <hyperlink ref="B12" location="'2025年江西省区利润表'!A1" tooltip="激活 2024年江西省区利润表" display="2025年江西省区利润表" xr:uid="{00000000-0004-0000-0000-000008000000}"/>
    <hyperlink ref="B14" location="产品毛利!A1" tooltip="激活 产品毛利" display="产品毛利" xr:uid="{00000000-0004-0000-0000-000009000000}"/>
    <hyperlink ref="B15" location="客户毛利!A1" tooltip="激活 客户毛利" display="客户毛利" xr:uid="{00000000-0004-0000-0000-00000A000000}"/>
    <hyperlink ref="B16" location="业务人员毛利!A1" tooltip="激活 业务人员毛利" display="业务人员毛利" xr:uid="{00000000-0004-0000-0000-00000B000000}"/>
    <hyperlink ref="B17" location="省区、大区毛利率!A1" tooltip="激活 省区、大区毛利率" display="省区、大区毛利率" xr:uid="{00000000-0004-0000-0000-00000C000000}"/>
    <hyperlink ref="B18" location="'各省区各月销售额&amp;番茄各月销售额'!A1" tooltip="激活 各省区各月销售额&amp;番茄各月销售额" display="各省区各月销售额&amp;番茄各月销售额" xr:uid="{00000000-0004-0000-0000-00000D000000}"/>
    <hyperlink ref="B19" location="经销客户销售明细!A1" tooltip="激活 经销客户销售明细" display="经销客户销售明细" xr:uid="{00000000-0004-0000-0000-00000E000000}"/>
    <hyperlink ref="B25" location="'2025年1-12月1中心出库明细'!A1" tooltip="激活 2024年1-12月直销出库明细" display="2025年1-12月1中心出库明细" xr:uid="{00000000-0004-0000-0000-00000F000000}"/>
    <hyperlink ref="B13" location="'2025年1-12月客户计提返利 '!A1" display="2025年1-12月客户计提返利" xr:uid="{00000000-0004-0000-0000-000010000000}"/>
    <hyperlink ref="B10" location="'2025年赣皖区域利润表'!A1" tooltip="激活 2024年安徽省区利润表" display="2025年赣皖区域利润表" xr:uid="{00000000-0004-0000-0000-000011000000}"/>
    <hyperlink ref="B20" location="运费明细表!A1" display="运费明细表" xr:uid="{00000000-0004-0000-0000-000012000000}"/>
    <hyperlink ref="B21" location="费用明细表!A1" display="费用结构占比（同比及环比）" xr:uid="{00000000-0004-0000-0000-000013000000}"/>
    <hyperlink ref="B22" location="招待费用明细表!A1" display="招待费用明细表" xr:uid="{00000000-0004-0000-0000-000014000000}"/>
    <hyperlink ref="B24" location="折扣明细表!A1" display="折扣明细表" xr:uid="{00000000-0004-0000-0000-000015000000}"/>
    <hyperlink ref="B23" location="样品费用明细表!A1" display="样品费用明细表" xr:uid="{00000000-0004-0000-0000-000016000000}"/>
    <hyperlink ref="B26" location="'毛利率低于15%客户调整明细'!A1" display="毛利率低于15%客户调整明细" xr:uid="{00000000-0004-0000-0000-000017000000}"/>
  </hyperlink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24"/>
  <sheetViews>
    <sheetView showZeros="0" view="pageBreakPreview" zoomScale="70" zoomScaleNormal="100" workbookViewId="0">
      <pane xSplit="1" ySplit="3" topLeftCell="B4" activePane="bottomRight" state="frozen"/>
      <selection pane="topRight"/>
      <selection pane="bottomLeft"/>
      <selection pane="bottomRight" activeCell="D7" sqref="D7"/>
    </sheetView>
  </sheetViews>
  <sheetFormatPr defaultColWidth="9" defaultRowHeight="16.5" x14ac:dyDescent="0.25"/>
  <cols>
    <col min="1" max="2" width="14.75" style="5" customWidth="1"/>
    <col min="3" max="10" width="15.33203125" style="5" bestFit="1" customWidth="1"/>
    <col min="11" max="11" width="16.6640625" style="5" bestFit="1" customWidth="1"/>
    <col min="12" max="16" width="15.33203125" style="5" bestFit="1" customWidth="1"/>
    <col min="17" max="17" width="16.6640625" style="5" bestFit="1" customWidth="1"/>
    <col min="18" max="22" width="15.33203125" style="5" bestFit="1" customWidth="1"/>
    <col min="23" max="23" width="16.6640625" style="5" bestFit="1" customWidth="1"/>
    <col min="24" max="25" width="15.33203125" style="5" bestFit="1" customWidth="1"/>
    <col min="26" max="28" width="16.6640625" style="5" bestFit="1" customWidth="1"/>
    <col min="29" max="31" width="15.33203125" style="5" bestFit="1" customWidth="1"/>
    <col min="32" max="32" width="16.6640625" style="5" bestFit="1" customWidth="1"/>
    <col min="33" max="33" width="15.33203125" style="5" bestFit="1" customWidth="1"/>
    <col min="34" max="34" width="15.1640625" style="5" customWidth="1"/>
    <col min="35" max="35" width="16.08203125" style="5" customWidth="1"/>
    <col min="36" max="36" width="16" style="5" customWidth="1"/>
    <col min="37" max="37" width="16.25" style="5" customWidth="1"/>
    <col min="38" max="40" width="17.9140625" style="5" bestFit="1" customWidth="1"/>
    <col min="41" max="41" width="15.33203125" style="5" bestFit="1" customWidth="1"/>
    <col min="42" max="43" width="9" style="5"/>
    <col min="44" max="44" width="16" style="5" bestFit="1" customWidth="1"/>
    <col min="45" max="16384" width="9" style="5"/>
  </cols>
  <sheetData>
    <row r="1" spans="1:44" ht="22.5" customHeight="1" x14ac:dyDescent="0.25">
      <c r="A1" s="178" t="s">
        <v>43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</row>
    <row r="2" spans="1:44" ht="23.75" customHeight="1" x14ac:dyDescent="0.25">
      <c r="A2" s="176" t="s">
        <v>44</v>
      </c>
      <c r="B2" s="176" t="s">
        <v>45</v>
      </c>
      <c r="C2" s="176"/>
      <c r="D2" s="176"/>
      <c r="E2" s="176" t="s">
        <v>46</v>
      </c>
      <c r="F2" s="176"/>
      <c r="G2" s="176"/>
      <c r="H2" s="176" t="s">
        <v>47</v>
      </c>
      <c r="I2" s="176"/>
      <c r="J2" s="176"/>
      <c r="K2" s="176" t="s">
        <v>48</v>
      </c>
      <c r="L2" s="176"/>
      <c r="M2" s="176"/>
      <c r="N2" s="176" t="s">
        <v>49</v>
      </c>
      <c r="O2" s="176"/>
      <c r="P2" s="176"/>
      <c r="Q2" s="176" t="s">
        <v>50</v>
      </c>
      <c r="R2" s="176"/>
      <c r="S2" s="176"/>
      <c r="T2" s="176" t="s">
        <v>51</v>
      </c>
      <c r="U2" s="176"/>
      <c r="V2" s="176"/>
      <c r="W2" s="176" t="s">
        <v>52</v>
      </c>
      <c r="X2" s="176"/>
      <c r="Y2" s="176"/>
      <c r="Z2" s="176" t="s">
        <v>53</v>
      </c>
      <c r="AA2" s="176"/>
      <c r="AB2" s="176"/>
      <c r="AC2" s="176" t="s">
        <v>54</v>
      </c>
      <c r="AD2" s="176"/>
      <c r="AE2" s="176"/>
      <c r="AF2" s="176" t="s">
        <v>55</v>
      </c>
      <c r="AG2" s="176"/>
      <c r="AH2" s="176"/>
      <c r="AI2" s="176" t="s">
        <v>56</v>
      </c>
      <c r="AJ2" s="176"/>
      <c r="AK2" s="176"/>
      <c r="AL2" s="176" t="s">
        <v>57</v>
      </c>
      <c r="AM2" s="177"/>
      <c r="AN2" s="177"/>
    </row>
    <row r="3" spans="1:44" ht="23.75" customHeight="1" x14ac:dyDescent="0.25">
      <c r="A3" s="184"/>
      <c r="B3" s="139" t="s">
        <v>58</v>
      </c>
      <c r="C3" s="140" t="s">
        <v>59</v>
      </c>
      <c r="D3" s="139" t="s">
        <v>60</v>
      </c>
      <c r="E3" s="139" t="s">
        <v>58</v>
      </c>
      <c r="F3" s="140" t="s">
        <v>59</v>
      </c>
      <c r="G3" s="139" t="s">
        <v>60</v>
      </c>
      <c r="H3" s="139" t="s">
        <v>58</v>
      </c>
      <c r="I3" s="140" t="s">
        <v>59</v>
      </c>
      <c r="J3" s="139" t="s">
        <v>60</v>
      </c>
      <c r="K3" s="139" t="s">
        <v>58</v>
      </c>
      <c r="L3" s="140" t="s">
        <v>59</v>
      </c>
      <c r="M3" s="139" t="s">
        <v>60</v>
      </c>
      <c r="N3" s="139" t="s">
        <v>58</v>
      </c>
      <c r="O3" s="140" t="s">
        <v>59</v>
      </c>
      <c r="P3" s="139" t="s">
        <v>60</v>
      </c>
      <c r="Q3" s="139" t="s">
        <v>58</v>
      </c>
      <c r="R3" s="140" t="s">
        <v>59</v>
      </c>
      <c r="S3" s="139" t="s">
        <v>60</v>
      </c>
      <c r="T3" s="139" t="s">
        <v>58</v>
      </c>
      <c r="U3" s="140" t="s">
        <v>59</v>
      </c>
      <c r="V3" s="139" t="s">
        <v>60</v>
      </c>
      <c r="W3" s="139" t="s">
        <v>58</v>
      </c>
      <c r="X3" s="140" t="s">
        <v>59</v>
      </c>
      <c r="Y3" s="139" t="s">
        <v>60</v>
      </c>
      <c r="Z3" s="139" t="s">
        <v>58</v>
      </c>
      <c r="AA3" s="140" t="s">
        <v>59</v>
      </c>
      <c r="AB3" s="139" t="s">
        <v>60</v>
      </c>
      <c r="AC3" s="139" t="s">
        <v>58</v>
      </c>
      <c r="AD3" s="140" t="s">
        <v>59</v>
      </c>
      <c r="AE3" s="139" t="s">
        <v>60</v>
      </c>
      <c r="AF3" s="139" t="s">
        <v>58</v>
      </c>
      <c r="AG3" s="140" t="s">
        <v>59</v>
      </c>
      <c r="AH3" s="139" t="s">
        <v>60</v>
      </c>
      <c r="AI3" s="139" t="s">
        <v>58</v>
      </c>
      <c r="AJ3" s="140" t="s">
        <v>59</v>
      </c>
      <c r="AK3" s="139" t="s">
        <v>60</v>
      </c>
      <c r="AL3" s="139" t="s">
        <v>58</v>
      </c>
      <c r="AM3" s="140" t="s">
        <v>59</v>
      </c>
      <c r="AN3" s="139" t="s">
        <v>60</v>
      </c>
    </row>
    <row r="4" spans="1:44" ht="23.75" customHeight="1" x14ac:dyDescent="0.25">
      <c r="A4" s="141" t="s">
        <v>61</v>
      </c>
      <c r="B4" s="142">
        <f>'2025年江苏分部利润表'!C6</f>
        <v>685500</v>
      </c>
      <c r="C4" s="142">
        <v>2214348.4367999998</v>
      </c>
      <c r="D4" s="142">
        <f>'2025年江苏分部利润表'!D6</f>
        <v>2304694.7387999999</v>
      </c>
      <c r="E4" s="142">
        <f>'2025年江苏分部利润表'!E6</f>
        <v>816600</v>
      </c>
      <c r="F4" s="142">
        <v>293953.60619999998</v>
      </c>
      <c r="G4" s="142">
        <f>'2025年江苏分部利润表'!F6</f>
        <v>1666193.8895999996</v>
      </c>
      <c r="H4" s="142">
        <f>'2025年江苏分部利润表'!G6</f>
        <v>1474500</v>
      </c>
      <c r="I4" s="142">
        <v>1021703.2980000001</v>
      </c>
      <c r="J4" s="142">
        <f>'2025年江苏分部利润表'!H6</f>
        <v>1529599.9068000002</v>
      </c>
      <c r="K4" s="142">
        <f>'2025年江苏分部利润表'!I6</f>
        <v>1730500</v>
      </c>
      <c r="L4" s="142">
        <v>1191870.2856000001</v>
      </c>
      <c r="M4" s="142">
        <f>'2025年江苏分部利润表'!J6</f>
        <v>2841384.8423999986</v>
      </c>
      <c r="N4" s="142">
        <f>'2025年江苏分部利润表'!K6</f>
        <v>1505500</v>
      </c>
      <c r="O4" s="142">
        <v>1114968.936</v>
      </c>
      <c r="P4" s="142">
        <f>'2025年江苏分部利润表'!L6</f>
        <v>2071086.5299999989</v>
      </c>
      <c r="Q4" s="142">
        <f>'2025年江苏分部利润表'!M6</f>
        <v>1836000</v>
      </c>
      <c r="R4" s="142">
        <v>1445393.3256000001</v>
      </c>
      <c r="S4" s="142">
        <f>'2025年江苏分部利润表'!N6</f>
        <v>2606077.1535999989</v>
      </c>
      <c r="T4" s="142">
        <f>'2025年江苏分部利润表'!O6</f>
        <v>1948250</v>
      </c>
      <c r="U4" s="142">
        <v>1325365.8558</v>
      </c>
      <c r="V4" s="142">
        <f>'2025年江苏分部利润表'!P6</f>
        <v>2343337.7071999987</v>
      </c>
      <c r="W4" s="142">
        <f>'2025年江苏分部利润表'!Q6</f>
        <v>1944090.72</v>
      </c>
      <c r="X4" s="142">
        <v>1659134.4683999999</v>
      </c>
      <c r="Y4" s="142">
        <f>'2025年江苏分部利润表'!R6</f>
        <v>2089992.2992000002</v>
      </c>
      <c r="Z4" s="142">
        <f>'2025年江苏分部利润表'!S6</f>
        <v>2672284.2799999998</v>
      </c>
      <c r="AA4" s="142">
        <v>1986844.3320000002</v>
      </c>
      <c r="AB4" s="142">
        <f>'2025年江苏分部利润表'!T6</f>
        <v>3180499.2491999967</v>
      </c>
      <c r="AC4" s="142">
        <f>'2025年江苏分部利润表'!U6</f>
        <v>1776275</v>
      </c>
      <c r="AD4" s="142">
        <v>1512145.6037999999</v>
      </c>
      <c r="AE4" s="142">
        <f>'2025年江苏分部利润表'!V6</f>
        <v>1991424.2895999991</v>
      </c>
      <c r="AF4" s="142">
        <f>'2025年江苏分部利润表'!W6</f>
        <v>2043500</v>
      </c>
      <c r="AG4" s="142">
        <v>1635695.1233999999</v>
      </c>
      <c r="AH4" s="142">
        <f>'2025年江苏分部利润表'!X6</f>
        <v>2165174.3235999988</v>
      </c>
      <c r="AI4" s="142">
        <f>'2025年江苏分部利润表'!Y6</f>
        <v>3781275</v>
      </c>
      <c r="AJ4" s="142">
        <v>3653965.0128000001</v>
      </c>
      <c r="AK4" s="142">
        <f>'2025年江苏分部利润表'!Z6</f>
        <v>3611166.2204000009</v>
      </c>
      <c r="AL4" s="142">
        <f>SUMIF($B$3:AK3,AL$3,$B4:$AK4)</f>
        <v>22214275</v>
      </c>
      <c r="AM4" s="142">
        <f>SUMIF($B$3:AK3,AM$3,$B4:$AK4)</f>
        <v>19055388.284400001</v>
      </c>
      <c r="AN4" s="142">
        <f>SUMIF($B$3:AK3,AN$3,$B4:$AK4)</f>
        <v>28400631.150399994</v>
      </c>
      <c r="AO4" s="6"/>
      <c r="AR4" s="175"/>
    </row>
    <row r="5" spans="1:44" ht="23.75" customHeight="1" x14ac:dyDescent="0.25">
      <c r="A5" s="141" t="s">
        <v>62</v>
      </c>
      <c r="B5" s="143">
        <f>'2025年浙江分部利润表'!C6</f>
        <v>1350000</v>
      </c>
      <c r="C5" s="143">
        <v>1845184.6614000001</v>
      </c>
      <c r="D5" s="143">
        <f>'2025年浙江分部利润表'!D6</f>
        <v>2834280.8711999999</v>
      </c>
      <c r="E5" s="143">
        <f>'2025年浙江分部利润表'!E6</f>
        <v>1450000</v>
      </c>
      <c r="F5" s="143">
        <v>762753.82739999995</v>
      </c>
      <c r="G5" s="143">
        <f>'2025年浙江分部利润表'!F6</f>
        <v>1525913.7156000002</v>
      </c>
      <c r="H5" s="143">
        <f>'2025年浙江分部利润表'!G6</f>
        <v>2550000</v>
      </c>
      <c r="I5" s="143">
        <v>1399119.7098000001</v>
      </c>
      <c r="J5" s="143">
        <f>'2025年浙江分部利润表'!H6</f>
        <v>2030622.9768000001</v>
      </c>
      <c r="K5" s="143">
        <f>'2025年浙江分部利润表'!I6</f>
        <v>2550000</v>
      </c>
      <c r="L5" s="143">
        <v>1978039.7022000002</v>
      </c>
      <c r="M5" s="143">
        <f>'2025年浙江分部利润表'!J6</f>
        <v>2478134.2715999992</v>
      </c>
      <c r="N5" s="143">
        <f>'2025年浙江分部利润表'!K6</f>
        <v>2750000</v>
      </c>
      <c r="O5" s="143">
        <v>1891001.2254000001</v>
      </c>
      <c r="P5" s="143">
        <f>'2025年浙江分部利润表'!L6</f>
        <v>2181763.9827999999</v>
      </c>
      <c r="Q5" s="143">
        <f>'2025年浙江分部利润表'!M6</f>
        <v>2850000</v>
      </c>
      <c r="R5" s="143">
        <v>1823975.0568000001</v>
      </c>
      <c r="S5" s="143">
        <f>'2025年浙江分部利润表'!N6</f>
        <v>2540161.9539999999</v>
      </c>
      <c r="T5" s="143">
        <f>'2025年浙江分部利润表'!O6</f>
        <v>2194950</v>
      </c>
      <c r="U5" s="143">
        <v>1388214.0329999998</v>
      </c>
      <c r="V5" s="143">
        <f>'2025年浙江分部利润表'!P6</f>
        <v>2153150.8412000001</v>
      </c>
      <c r="W5" s="143">
        <f>'2025年浙江分部利润表'!Q6</f>
        <v>3059696.02</v>
      </c>
      <c r="X5" s="143">
        <v>2780645.8170000003</v>
      </c>
      <c r="Y5" s="143">
        <f>'2025年浙江分部利润表'!R6</f>
        <v>3020394.7952000005</v>
      </c>
      <c r="Z5" s="143">
        <f>'2025年浙江分部利润表'!S6</f>
        <v>3664703.98</v>
      </c>
      <c r="AA5" s="143">
        <v>2729408.3508000001</v>
      </c>
      <c r="AB5" s="143">
        <f>'2025年浙江分部利润表'!T6</f>
        <v>3721151.4176000003</v>
      </c>
      <c r="AC5" s="143">
        <f>'2025年浙江分部利润表'!U6</f>
        <v>2686850</v>
      </c>
      <c r="AD5" s="143">
        <v>3041280.0521999998</v>
      </c>
      <c r="AE5" s="143">
        <f>'2025年浙江分部利润表'!V6</f>
        <v>2340233.5716000004</v>
      </c>
      <c r="AF5" s="143">
        <f>'2025年浙江分部利润表'!W6</f>
        <v>2979000</v>
      </c>
      <c r="AG5" s="143">
        <v>2600701.5071999999</v>
      </c>
      <c r="AH5" s="143">
        <f>'2025年浙江分部利润表'!X6</f>
        <v>2814572.6739999992</v>
      </c>
      <c r="AI5" s="143">
        <f>'2025年浙江分部利润表'!Y6</f>
        <v>5599350</v>
      </c>
      <c r="AJ5" s="143">
        <v>5570531.2631999999</v>
      </c>
      <c r="AK5" s="143">
        <f>'2025年浙江分部利润表'!Z6</f>
        <v>4295169.2360000005</v>
      </c>
      <c r="AL5" s="144">
        <f ca="1">SUMIF($B$3:AK4,AL$3,$B5:$AK5)</f>
        <v>33684550</v>
      </c>
      <c r="AM5" s="142">
        <f ca="1">SUMIF($B$3:AK4,AM$3,$B5:$AK5)</f>
        <v>27810855.2064</v>
      </c>
      <c r="AN5" s="144">
        <f ca="1">SUMIF($B$3:AK4,AN$3,$B5:$AK5)</f>
        <v>31935550.307599999</v>
      </c>
      <c r="AO5" s="6"/>
      <c r="AR5" s="175"/>
    </row>
    <row r="6" spans="1:44" ht="23.75" customHeight="1" x14ac:dyDescent="0.25">
      <c r="A6" s="141" t="s">
        <v>63</v>
      </c>
      <c r="B6" s="143">
        <f>'2025年上海分部利润表'!C6</f>
        <v>1107000</v>
      </c>
      <c r="C6" s="143">
        <v>2942727.9887999999</v>
      </c>
      <c r="D6" s="143">
        <f>'2025年上海分部利润表'!D6</f>
        <v>2193436.4868000015</v>
      </c>
      <c r="E6" s="143">
        <f>'2025年上海分部利润表'!E6</f>
        <v>1826000</v>
      </c>
      <c r="F6" s="143">
        <v>939982.30560000008</v>
      </c>
      <c r="G6" s="143">
        <f>'2025年上海分部利润表'!F6</f>
        <v>1523858.8751999999</v>
      </c>
      <c r="H6" s="143">
        <f>'2025年上海分部利润表'!G6</f>
        <v>3300200</v>
      </c>
      <c r="I6" s="143">
        <v>2621394.6348000001</v>
      </c>
      <c r="J6" s="143">
        <f>'2025年上海分部利润表'!H6</f>
        <v>3225443.6736000003</v>
      </c>
      <c r="K6" s="143">
        <f>'2025年上海分部利润表'!I6</f>
        <v>4218200</v>
      </c>
      <c r="L6" s="143">
        <v>3768174.1374000004</v>
      </c>
      <c r="M6" s="143">
        <f>'2025年上海分部利润表'!J6</f>
        <v>3850614.7484000009</v>
      </c>
      <c r="N6" s="143">
        <f>'2025年上海分部利润表'!K6</f>
        <v>3815800</v>
      </c>
      <c r="O6" s="143">
        <v>3026870.2266000002</v>
      </c>
      <c r="P6" s="143">
        <f>'2025年上海分部利润表'!L6</f>
        <v>1812935.7660000003</v>
      </c>
      <c r="Q6" s="143">
        <f>'2025年上海分部利润表'!M6</f>
        <v>3800500</v>
      </c>
      <c r="R6" s="143">
        <v>3179086.6524</v>
      </c>
      <c r="S6" s="143">
        <f>'2025年上海分部利润表'!N6</f>
        <v>2841582.3747999999</v>
      </c>
      <c r="T6" s="143">
        <f>'2025年上海分部利润表'!O6</f>
        <v>3986520</v>
      </c>
      <c r="U6" s="143">
        <v>3484218.7344000004</v>
      </c>
      <c r="V6" s="143">
        <f>'2025年上海分部利润表'!P6</f>
        <v>2029987.7548000005</v>
      </c>
      <c r="W6" s="143">
        <f>'2025年上海分部利润表'!Q6</f>
        <v>4575627.8</v>
      </c>
      <c r="X6" s="143">
        <v>3621668.3040000005</v>
      </c>
      <c r="Y6" s="143">
        <f>'2025年上海分部利润表'!R6</f>
        <v>2538407.1072</v>
      </c>
      <c r="Z6" s="143">
        <f>'2025年上海分部利润表'!S6</f>
        <v>5227978.2</v>
      </c>
      <c r="AA6" s="143">
        <v>4068860.2944000005</v>
      </c>
      <c r="AB6" s="143">
        <f>'2025年上海分部利润表'!T6</f>
        <v>4157487.4392000004</v>
      </c>
      <c r="AC6" s="143">
        <f>'2025年上海分部利润表'!U6</f>
        <v>3221313</v>
      </c>
      <c r="AD6" s="143">
        <v>2096903.0358000002</v>
      </c>
      <c r="AE6" s="143">
        <f>'2025年上海分部利润表'!V6</f>
        <v>2466210.1256141597</v>
      </c>
      <c r="AF6" s="143">
        <f>'2025年上海分部利润表'!W6</f>
        <v>4178540</v>
      </c>
      <c r="AG6" s="143">
        <v>3130654.4004000002</v>
      </c>
      <c r="AH6" s="143">
        <f>'2025年上海分部利润表'!X6</f>
        <v>2502821.622</v>
      </c>
      <c r="AI6" s="143">
        <f>'2025年上海分部利润表'!Y6</f>
        <v>6218296</v>
      </c>
      <c r="AJ6" s="143">
        <v>6584204.4990000008</v>
      </c>
      <c r="AK6" s="143">
        <f>'2025年上海分部利润表'!Z6</f>
        <v>3686699.0356710004</v>
      </c>
      <c r="AL6" s="142">
        <f ca="1">SUMIF($B$3:AK5,AL$3,$B6:$AK6)</f>
        <v>45475975</v>
      </c>
      <c r="AM6" s="142">
        <f ca="1">SUMIF($B$3:AK5,AM$3,$B6:$AK6)</f>
        <v>39464745.213600002</v>
      </c>
      <c r="AN6" s="142">
        <f ca="1">SUMIF($B$3:AK5,AN$3,$B6:$AK6)</f>
        <v>32829485.009285163</v>
      </c>
      <c r="AO6" s="6"/>
      <c r="AR6" s="175"/>
    </row>
    <row r="7" spans="1:44" ht="23.75" customHeight="1" x14ac:dyDescent="0.25">
      <c r="A7" s="141" t="s">
        <v>64</v>
      </c>
      <c r="B7" s="143">
        <f>'2025年赣皖区域利润表'!C6</f>
        <v>844206.84000000008</v>
      </c>
      <c r="C7" s="143">
        <v>1798560.4920000001</v>
      </c>
      <c r="D7" s="143">
        <f>'2025年赣皖区域利润表'!D6</f>
        <v>1347836.9112000002</v>
      </c>
      <c r="E7" s="143">
        <f>'2025年赣皖区域利润表'!E6</f>
        <v>862515</v>
      </c>
      <c r="F7" s="143">
        <v>457734.38400000002</v>
      </c>
      <c r="G7" s="143">
        <f>'2025年赣皖区域利润表'!F6</f>
        <v>709642.25280000002</v>
      </c>
      <c r="H7" s="143">
        <f>'2025年赣皖区域利润表'!G6</f>
        <v>1375789.3200000003</v>
      </c>
      <c r="I7" s="143">
        <v>1003076.9658</v>
      </c>
      <c r="J7" s="143">
        <f>'2025年赣皖区域利润表'!H6</f>
        <v>748312.8624000001</v>
      </c>
      <c r="K7" s="143">
        <f>'2025年赣皖区域利润表'!I6</f>
        <v>1738544.04</v>
      </c>
      <c r="L7" s="143">
        <v>1007138.922</v>
      </c>
      <c r="M7" s="143">
        <f>'2025年赣皖区域利润表'!J6</f>
        <v>1364551.0343999998</v>
      </c>
      <c r="N7" s="143">
        <f>'2025年赣皖区域利润表'!K6</f>
        <v>1499640.48</v>
      </c>
      <c r="O7" s="143">
        <v>1087571.0220000001</v>
      </c>
      <c r="P7" s="143">
        <f>'2025年赣皖区域利润表'!L6</f>
        <v>741495.7816000001</v>
      </c>
      <c r="Q7" s="143">
        <f>'2025年赣皖区域利润表'!M6</f>
        <v>1695080.52</v>
      </c>
      <c r="R7" s="143">
        <v>1001681.3304000001</v>
      </c>
      <c r="S7" s="143">
        <f>'2025年赣皖区域利润表'!N6</f>
        <v>1166717.5628000002</v>
      </c>
      <c r="T7" s="143">
        <f>'2025年赣皖区域利润表'!O6</f>
        <v>1733322.96</v>
      </c>
      <c r="U7" s="143">
        <v>1233325.3398</v>
      </c>
      <c r="V7" s="143">
        <f>'2025年赣皖区域利润表'!P6</f>
        <v>949145.45720000018</v>
      </c>
      <c r="W7" s="143">
        <f>'2025年赣皖区域利润表'!Q6</f>
        <v>1740369.4800000002</v>
      </c>
      <c r="X7" s="143">
        <v>1470447.2796</v>
      </c>
      <c r="Y7" s="143">
        <f>'2025年赣皖区域利润表'!R6</f>
        <v>1278690.5144000002</v>
      </c>
      <c r="Z7" s="143">
        <f>'2025年赣皖区域利润表'!S6</f>
        <v>2498710.1000000006</v>
      </c>
      <c r="AA7" s="143">
        <v>1433756.1354</v>
      </c>
      <c r="AB7" s="143">
        <f>'2025年赣皖区域利润表'!T6</f>
        <v>1409395.0288000002</v>
      </c>
      <c r="AC7" s="143">
        <f>'2025年赣皖区域利润表'!U6</f>
        <v>1691063.6300000001</v>
      </c>
      <c r="AD7" s="143">
        <v>1064738.577</v>
      </c>
      <c r="AE7" s="143">
        <f>'2025年赣皖区域利润表'!V6</f>
        <v>1190690.2784000002</v>
      </c>
      <c r="AF7" s="143">
        <f>'2025年赣皖区域利润表'!W6</f>
        <v>2064346.27</v>
      </c>
      <c r="AG7" s="143">
        <v>1220051.4372</v>
      </c>
      <c r="AH7" s="143">
        <f>'2025年赣皖区域利润表'!X6</f>
        <v>1012299.0508000001</v>
      </c>
      <c r="AI7" s="143">
        <f>'2025年赣皖区域利润表'!Y6</f>
        <v>3005004.3200000003</v>
      </c>
      <c r="AJ7" s="143">
        <v>2083895.6285999999</v>
      </c>
      <c r="AK7" s="143">
        <f>'2025年赣皖区域利润表'!Z6</f>
        <v>1575318.8563999999</v>
      </c>
      <c r="AL7" s="142">
        <f ca="1">SUMIF($B$3:AK6,AL$3,$B7:$AK7)</f>
        <v>20748592.960000005</v>
      </c>
      <c r="AM7" s="142">
        <f ca="1">SUMIF($B$3:AK6,AM$3,$B7:$AK7)</f>
        <v>14861977.513799999</v>
      </c>
      <c r="AN7" s="142">
        <f ca="1">SUMIF($B$3:AK6,AN$3,$B7:$AK7)</f>
        <v>13494095.5912</v>
      </c>
      <c r="AO7" s="6"/>
      <c r="AR7" s="175"/>
    </row>
    <row r="8" spans="1:44" ht="23.75" customHeight="1" x14ac:dyDescent="0.25">
      <c r="A8" s="141" t="s">
        <v>65</v>
      </c>
      <c r="B8" s="143">
        <f>'2025年中心利润表 '!C6</f>
        <v>0</v>
      </c>
      <c r="C8" s="143">
        <v>0</v>
      </c>
      <c r="D8" s="143">
        <f>'2025年中心利润表 '!D6</f>
        <v>81119.48</v>
      </c>
      <c r="E8" s="143">
        <f>'2025年中心利润表 '!E6</f>
        <v>0</v>
      </c>
      <c r="F8" s="143">
        <v>0</v>
      </c>
      <c r="G8" s="143">
        <f>'2025年中心利润表 '!F6</f>
        <v>10464.61</v>
      </c>
      <c r="H8" s="143">
        <f>'2025年中心利润表 '!G6</f>
        <v>0</v>
      </c>
      <c r="I8" s="143">
        <v>0</v>
      </c>
      <c r="J8" s="143">
        <f>'2025年中心利润表 '!H6</f>
        <v>20687.61</v>
      </c>
      <c r="K8" s="145">
        <f>'2025年中心利润表 '!I6</f>
        <v>0</v>
      </c>
      <c r="L8" s="145">
        <v>0</v>
      </c>
      <c r="M8" s="145">
        <f>'2025年中心利润表 '!J6</f>
        <v>29819.47</v>
      </c>
      <c r="N8" s="145">
        <f>'2025年中心利润表 '!K6</f>
        <v>0</v>
      </c>
      <c r="O8" s="145">
        <v>0</v>
      </c>
      <c r="P8" s="145">
        <f>'2025年中心利润表 '!L6</f>
        <v>12482.3</v>
      </c>
      <c r="Q8" s="145">
        <f>'2025年中心利润表 '!M6</f>
        <v>0</v>
      </c>
      <c r="R8" s="145">
        <v>0</v>
      </c>
      <c r="S8" s="145">
        <f>'2025年中心利润表 '!N6</f>
        <v>18622.78</v>
      </c>
      <c r="T8" s="145">
        <f>'2025年中心利润表 '!O6</f>
        <v>0</v>
      </c>
      <c r="U8" s="145">
        <v>22949.092200000003</v>
      </c>
      <c r="V8" s="145">
        <f>'2025年中心利润表 '!P6</f>
        <v>12631.64</v>
      </c>
      <c r="W8" s="145">
        <f>'2025年中心利润表 '!Q6</f>
        <v>0</v>
      </c>
      <c r="X8" s="145">
        <v>12637.167599999999</v>
      </c>
      <c r="Y8" s="145">
        <f>'2025年中心利润表 '!R6</f>
        <v>2849.56</v>
      </c>
      <c r="Z8" s="145">
        <f>'2025年中心利润表 '!S6</f>
        <v>0</v>
      </c>
      <c r="AA8" s="145">
        <v>17894.227200000001</v>
      </c>
      <c r="AB8" s="145">
        <f>'2025年中心利润表 '!T6</f>
        <v>11571.24</v>
      </c>
      <c r="AC8" s="145">
        <f>'2025年中心利润表 '!U6</f>
        <v>0</v>
      </c>
      <c r="AD8" s="145">
        <v>0</v>
      </c>
      <c r="AE8" s="145">
        <f>'2025年中心利润表 '!V6</f>
        <v>0</v>
      </c>
      <c r="AF8" s="145">
        <f>'2025年中心利润表 '!W6</f>
        <v>0</v>
      </c>
      <c r="AG8" s="145">
        <v>0</v>
      </c>
      <c r="AH8" s="145">
        <f>'2025年中心利润表 '!X6</f>
        <v>12910.62</v>
      </c>
      <c r="AI8" s="145">
        <f>'2025年中心利润表 '!Y6</f>
        <v>0</v>
      </c>
      <c r="AJ8" s="145">
        <v>6639.027</v>
      </c>
      <c r="AK8" s="145">
        <f>'2025年中心利润表 '!Z6</f>
        <v>5973.45</v>
      </c>
      <c r="AL8" s="144">
        <f ca="1">SUMIF($B$3:AK7,AL$3,$B8:$AK8)</f>
        <v>0</v>
      </c>
      <c r="AM8" s="142">
        <f ca="1">SUMIF($B$3:AK7,AM$3,$B8:$AK8)</f>
        <v>60119.514000000003</v>
      </c>
      <c r="AN8" s="144">
        <f ca="1">SUMIF($B$3:AK7,AN$3,$B8:$AK8)</f>
        <v>219132.75999999995</v>
      </c>
      <c r="AO8" s="6"/>
      <c r="AR8" s="175"/>
    </row>
    <row r="9" spans="1:44" ht="23.75" customHeight="1" x14ac:dyDescent="0.25">
      <c r="A9" s="146" t="s">
        <v>57</v>
      </c>
      <c r="B9" s="147">
        <f t="shared" ref="B9:AK9" si="0">SUM(B4:B8)</f>
        <v>3986706.84</v>
      </c>
      <c r="C9" s="147">
        <f t="shared" si="0"/>
        <v>8800821.5789999999</v>
      </c>
      <c r="D9" s="147">
        <f t="shared" si="0"/>
        <v>8761368.4880000018</v>
      </c>
      <c r="E9" s="147">
        <f t="shared" si="0"/>
        <v>4955115</v>
      </c>
      <c r="F9" s="147">
        <f t="shared" si="0"/>
        <v>2454424.1231999998</v>
      </c>
      <c r="G9" s="147">
        <f t="shared" si="0"/>
        <v>5436073.3432</v>
      </c>
      <c r="H9" s="147">
        <f t="shared" si="0"/>
        <v>8700489.3200000003</v>
      </c>
      <c r="I9" s="147">
        <f t="shared" si="0"/>
        <v>6045294.6084000003</v>
      </c>
      <c r="J9" s="147">
        <f t="shared" si="0"/>
        <v>7554667.0296000009</v>
      </c>
      <c r="K9" s="147">
        <f t="shared" si="0"/>
        <v>10237244.039999999</v>
      </c>
      <c r="L9" s="147">
        <f t="shared" si="0"/>
        <v>7945223.0472000008</v>
      </c>
      <c r="M9" s="147">
        <f t="shared" si="0"/>
        <v>10564504.366799999</v>
      </c>
      <c r="N9" s="147">
        <f t="shared" si="0"/>
        <v>9570940.4800000004</v>
      </c>
      <c r="O9" s="147">
        <f t="shared" si="0"/>
        <v>7120411.4100000001</v>
      </c>
      <c r="P9" s="147">
        <f t="shared" si="0"/>
        <v>6819764.3603999997</v>
      </c>
      <c r="Q9" s="147">
        <f t="shared" si="0"/>
        <v>10181580.52</v>
      </c>
      <c r="R9" s="147">
        <f t="shared" si="0"/>
        <v>7450136.3652000008</v>
      </c>
      <c r="S9" s="147">
        <f t="shared" si="0"/>
        <v>9173161.8251999971</v>
      </c>
      <c r="T9" s="147">
        <f t="shared" si="0"/>
        <v>9863042.9600000009</v>
      </c>
      <c r="U9" s="147">
        <f t="shared" si="0"/>
        <v>7454073.0552000003</v>
      </c>
      <c r="V9" s="147">
        <f t="shared" si="0"/>
        <v>7488253.4003999988</v>
      </c>
      <c r="W9" s="147">
        <f t="shared" si="0"/>
        <v>11319784.02</v>
      </c>
      <c r="X9" s="147">
        <f t="shared" si="0"/>
        <v>9544533.0366000012</v>
      </c>
      <c r="Y9" s="147">
        <f t="shared" si="0"/>
        <v>8930334.2760000005</v>
      </c>
      <c r="Z9" s="147">
        <f t="shared" si="0"/>
        <v>14063676.560000002</v>
      </c>
      <c r="AA9" s="147">
        <f t="shared" si="0"/>
        <v>10236763.339800002</v>
      </c>
      <c r="AB9" s="147">
        <f t="shared" si="0"/>
        <v>12480104.374799997</v>
      </c>
      <c r="AC9" s="147">
        <f t="shared" si="0"/>
        <v>9375501.6300000008</v>
      </c>
      <c r="AD9" s="147">
        <f t="shared" si="0"/>
        <v>7715067.2687999997</v>
      </c>
      <c r="AE9" s="147">
        <f t="shared" si="0"/>
        <v>7988558.2652141592</v>
      </c>
      <c r="AF9" s="147">
        <f t="shared" si="0"/>
        <v>11265386.27</v>
      </c>
      <c r="AG9" s="147">
        <f t="shared" si="0"/>
        <v>8587102.4682</v>
      </c>
      <c r="AH9" s="147">
        <f t="shared" si="0"/>
        <v>8507778.2903999966</v>
      </c>
      <c r="AI9" s="147">
        <f t="shared" si="0"/>
        <v>18603925.32</v>
      </c>
      <c r="AJ9" s="147">
        <f t="shared" si="0"/>
        <v>17899235.430600002</v>
      </c>
      <c r="AK9" s="147">
        <f t="shared" si="0"/>
        <v>13174326.798471002</v>
      </c>
      <c r="AL9" s="148">
        <f ca="1">IF(ROUND(SUMIF($B3:AK$8,AL$3,$B9:$AK9),2)=ROUND(SUM(AL4:AL8),2),ROUND(SUMIF($B3:AK$8,AL$3,$B9:$AK9),2),"Check")</f>
        <v>122123392.95999999</v>
      </c>
      <c r="AM9" s="148">
        <f ca="1">IF(ROUND(SUMIF($B3:AK$8,AM$3,$B9:$AK9),2)=ROUND(SUM(AM4:AM8),2),ROUND(SUMIF($B3:AK$8,AM$3,$B9:$AK9),2),"Check")</f>
        <v>101253085.73</v>
      </c>
      <c r="AN9" s="148">
        <f ca="1">IF(ROUND(SUMIF($B3:AK$8,AN$3,$B9:$AK9),2)=ROUND(SUM(AN4:AN8),2),ROUND(SUMIF($B3:AK$8,AN$3,$B9:$AK9),2),"Check")</f>
        <v>106878894.81999999</v>
      </c>
      <c r="AO9" s="6"/>
      <c r="AR9" s="175"/>
    </row>
    <row r="10" spans="1:44" ht="23.75" customHeight="1" x14ac:dyDescent="0.25">
      <c r="A10" s="149"/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6"/>
      <c r="AR10" s="175"/>
    </row>
    <row r="11" spans="1:44" ht="23.75" customHeight="1" x14ac:dyDescent="0.25">
      <c r="A11" s="176" t="s">
        <v>44</v>
      </c>
      <c r="B11" s="176" t="s">
        <v>45</v>
      </c>
      <c r="C11" s="176"/>
      <c r="D11" s="176"/>
      <c r="E11" s="176" t="s">
        <v>46</v>
      </c>
      <c r="F11" s="176"/>
      <c r="G11" s="176"/>
      <c r="H11" s="176" t="s">
        <v>47</v>
      </c>
      <c r="I11" s="176"/>
      <c r="J11" s="176"/>
      <c r="K11" s="176" t="s">
        <v>48</v>
      </c>
      <c r="L11" s="176"/>
      <c r="M11" s="176"/>
      <c r="N11" s="176" t="s">
        <v>49</v>
      </c>
      <c r="O11" s="176"/>
      <c r="P11" s="176"/>
      <c r="Q11" s="176" t="s">
        <v>50</v>
      </c>
      <c r="R11" s="176"/>
      <c r="S11" s="176"/>
      <c r="T11" s="176" t="s">
        <v>51</v>
      </c>
      <c r="U11" s="176"/>
      <c r="V11" s="176"/>
      <c r="W11" s="176" t="s">
        <v>52</v>
      </c>
      <c r="X11" s="176"/>
      <c r="Y11" s="176"/>
      <c r="Z11" s="176" t="s">
        <v>53</v>
      </c>
      <c r="AA11" s="176"/>
      <c r="AB11" s="176"/>
      <c r="AC11" s="176" t="s">
        <v>54</v>
      </c>
      <c r="AD11" s="176"/>
      <c r="AE11" s="176"/>
      <c r="AF11" s="176" t="s">
        <v>55</v>
      </c>
      <c r="AG11" s="176"/>
      <c r="AH11" s="176"/>
      <c r="AI11" s="176" t="s">
        <v>56</v>
      </c>
      <c r="AJ11" s="176"/>
      <c r="AK11" s="176"/>
      <c r="AL11" s="176" t="s">
        <v>57</v>
      </c>
      <c r="AM11" s="177"/>
      <c r="AN11" s="177"/>
      <c r="AO11" s="6"/>
      <c r="AR11" s="175"/>
    </row>
    <row r="12" spans="1:44" ht="23.75" customHeight="1" x14ac:dyDescent="0.25">
      <c r="A12" s="184"/>
      <c r="B12" s="139" t="s">
        <v>66</v>
      </c>
      <c r="C12" s="140" t="s">
        <v>59</v>
      </c>
      <c r="D12" s="139" t="s">
        <v>67</v>
      </c>
      <c r="E12" s="139" t="s">
        <v>66</v>
      </c>
      <c r="F12" s="140" t="s">
        <v>59</v>
      </c>
      <c r="G12" s="139" t="s">
        <v>67</v>
      </c>
      <c r="H12" s="139" t="s">
        <v>66</v>
      </c>
      <c r="I12" s="140" t="s">
        <v>59</v>
      </c>
      <c r="J12" s="139" t="s">
        <v>67</v>
      </c>
      <c r="K12" s="139" t="s">
        <v>66</v>
      </c>
      <c r="L12" s="140" t="s">
        <v>59</v>
      </c>
      <c r="M12" s="139" t="s">
        <v>67</v>
      </c>
      <c r="N12" s="139" t="s">
        <v>66</v>
      </c>
      <c r="O12" s="140" t="s">
        <v>59</v>
      </c>
      <c r="P12" s="139" t="s">
        <v>67</v>
      </c>
      <c r="Q12" s="139" t="s">
        <v>66</v>
      </c>
      <c r="R12" s="140" t="s">
        <v>59</v>
      </c>
      <c r="S12" s="139" t="s">
        <v>67</v>
      </c>
      <c r="T12" s="139" t="s">
        <v>66</v>
      </c>
      <c r="U12" s="140" t="s">
        <v>59</v>
      </c>
      <c r="V12" s="139" t="s">
        <v>67</v>
      </c>
      <c r="W12" s="139" t="s">
        <v>66</v>
      </c>
      <c r="X12" s="140" t="s">
        <v>59</v>
      </c>
      <c r="Y12" s="139" t="s">
        <v>67</v>
      </c>
      <c r="Z12" s="139" t="s">
        <v>66</v>
      </c>
      <c r="AA12" s="140" t="s">
        <v>59</v>
      </c>
      <c r="AB12" s="139" t="s">
        <v>67</v>
      </c>
      <c r="AC12" s="139" t="s">
        <v>66</v>
      </c>
      <c r="AD12" s="140" t="s">
        <v>59</v>
      </c>
      <c r="AE12" s="139" t="s">
        <v>67</v>
      </c>
      <c r="AF12" s="139" t="s">
        <v>66</v>
      </c>
      <c r="AG12" s="140" t="s">
        <v>59</v>
      </c>
      <c r="AH12" s="139" t="s">
        <v>67</v>
      </c>
      <c r="AI12" s="139" t="s">
        <v>66</v>
      </c>
      <c r="AJ12" s="140" t="s">
        <v>59</v>
      </c>
      <c r="AK12" s="139" t="s">
        <v>67</v>
      </c>
      <c r="AL12" s="139" t="s">
        <v>66</v>
      </c>
      <c r="AM12" s="140" t="s">
        <v>59</v>
      </c>
      <c r="AN12" s="150" t="s">
        <v>67</v>
      </c>
      <c r="AO12" s="6"/>
      <c r="AR12" s="175"/>
    </row>
    <row r="13" spans="1:44" ht="23.75" customHeight="1" x14ac:dyDescent="0.25">
      <c r="A13" s="141" t="s">
        <v>61</v>
      </c>
      <c r="B13" s="142">
        <f>'2025年江苏分部利润表'!C263</f>
        <v>-35998.905999999988</v>
      </c>
      <c r="C13" s="142">
        <v>195425.55383024001</v>
      </c>
      <c r="D13" s="142">
        <f>'2025年江苏分部利润表'!D263</f>
        <v>374793.67239999864</v>
      </c>
      <c r="E13" s="142">
        <f>'2025年江苏分部利润表'!E263</f>
        <v>4922.0120000001189</v>
      </c>
      <c r="F13" s="142">
        <v>1758.5598621600002</v>
      </c>
      <c r="G13" s="142">
        <f>'2025年江苏分部利润表'!F263</f>
        <v>210007.02559999959</v>
      </c>
      <c r="H13" s="142">
        <f>'2025年江苏分部利润表'!G263</f>
        <v>68700.694000000003</v>
      </c>
      <c r="I13" s="142">
        <v>74229.993526399907</v>
      </c>
      <c r="J13" s="142">
        <f>'2025年江苏分部利润表'!H263</f>
        <v>191036.6772000005</v>
      </c>
      <c r="K13" s="142">
        <f>'2025年江苏分部利润表'!I263</f>
        <v>115713.74559999979</v>
      </c>
      <c r="L13" s="142">
        <v>67104.466562080313</v>
      </c>
      <c r="M13" s="142">
        <f>'2025年江苏分部利润表'!J263</f>
        <v>308362.77719999733</v>
      </c>
      <c r="N13" s="142">
        <f>'2025年江苏分部利润表'!K263</f>
        <v>88941.369999999966</v>
      </c>
      <c r="O13" s="142">
        <v>104695.27716480001</v>
      </c>
      <c r="P13" s="142">
        <f>'2025年江苏分部利润表'!L263</f>
        <v>215840.14879999889</v>
      </c>
      <c r="Q13" s="142">
        <f>'2025年江苏分部利润表'!M263</f>
        <v>161021.46000000002</v>
      </c>
      <c r="R13" s="142">
        <v>109033.75023408</v>
      </c>
      <c r="S13" s="142">
        <f>'2025年江苏分部利润表'!N263</f>
        <v>341174.47559999791</v>
      </c>
      <c r="T13" s="142">
        <f>'2025年江苏分部利润表'!O263</f>
        <v>188428.17360000001</v>
      </c>
      <c r="U13" s="142">
        <v>172924.77497944</v>
      </c>
      <c r="V13" s="142">
        <f>'2025年江苏分部利润表'!P263</f>
        <v>251237.75359999965</v>
      </c>
      <c r="W13" s="142">
        <f>'2025年江苏分部利润表'!Q263</f>
        <v>150857.0624</v>
      </c>
      <c r="X13" s="142">
        <v>220602.39106511898</v>
      </c>
      <c r="Y13" s="142">
        <f>'2025年江苏分部利润表'!R263</f>
        <v>268253.21520000009</v>
      </c>
      <c r="Z13" s="142">
        <f>'2025年江苏分部利润表'!S263</f>
        <v>234551.1607999999</v>
      </c>
      <c r="AA13" s="142">
        <v>270301.81635760004</v>
      </c>
      <c r="AB13" s="142">
        <f>'2025年江苏分部利润表'!T263</f>
        <v>460908.99519999459</v>
      </c>
      <c r="AC13" s="142">
        <f>'2025年江苏分部利润表'!U263</f>
        <v>122217.84280000004</v>
      </c>
      <c r="AD13" s="142">
        <v>147891.71356583899</v>
      </c>
      <c r="AE13" s="142">
        <f>'2025年江苏分部利润表'!V263</f>
        <v>261060.50319999899</v>
      </c>
      <c r="AF13" s="142">
        <f>'2025年江苏分部利润表'!W263</f>
        <v>190494.74199999997</v>
      </c>
      <c r="AG13" s="142">
        <v>189470.48841911589</v>
      </c>
      <c r="AH13" s="142">
        <f>'2025年江苏分部利润表'!X263</f>
        <v>298202.12399999902</v>
      </c>
      <c r="AI13" s="142">
        <f>'2025年江苏分部利润表'!Y263</f>
        <v>525986.92679999978</v>
      </c>
      <c r="AJ13" s="142">
        <v>490380.29724703997</v>
      </c>
      <c r="AK13" s="142">
        <f>'2025年江苏分部利润表'!Z263</f>
        <v>590435.62520000222</v>
      </c>
      <c r="AL13" s="142">
        <f>SUMIF($B$12:AK12,AL$12,$B13:$AK13)</f>
        <v>1815836.2839999998</v>
      </c>
      <c r="AM13" s="142">
        <f>SUMIF($B$12:AK12,AM$12,$B13:$AK13)</f>
        <v>2043819.0828139144</v>
      </c>
      <c r="AN13" s="151">
        <f>SUMIF($B$12:AK12,AN$12,$B13:$AK13)</f>
        <v>3771312.9931999873</v>
      </c>
      <c r="AO13" s="6"/>
    </row>
    <row r="14" spans="1:44" ht="23.75" customHeight="1" x14ac:dyDescent="0.25">
      <c r="A14" s="141" t="s">
        <v>62</v>
      </c>
      <c r="B14" s="143">
        <f>'2025年浙江分部利润表'!C263</f>
        <v>-10700.665599999929</v>
      </c>
      <c r="C14" s="143">
        <v>168110.41497536001</v>
      </c>
      <c r="D14" s="143">
        <f>'2025年浙江分部利润表'!D263</f>
        <v>242231.08559999836</v>
      </c>
      <c r="E14" s="143">
        <f>'2025年浙江分部利润表'!E263</f>
        <v>28309.249199999878</v>
      </c>
      <c r="F14" s="143">
        <v>24020.71229376</v>
      </c>
      <c r="G14" s="143">
        <f>'2025年浙江分部利润表'!F263</f>
        <v>148009.19760000121</v>
      </c>
      <c r="H14" s="143">
        <f>'2025年浙江分部利润表'!G263</f>
        <v>146442.67639999988</v>
      </c>
      <c r="I14" s="143">
        <v>98486.204219519059</v>
      </c>
      <c r="J14" s="143">
        <f>'2025年浙江分部利润表'!H263</f>
        <v>257658.82360000015</v>
      </c>
      <c r="K14" s="143">
        <f>'2025年浙江分部利润表'!I263</f>
        <v>157069.50559999997</v>
      </c>
      <c r="L14" s="143">
        <v>126772.95220928104</v>
      </c>
      <c r="M14" s="143">
        <f>'2025年浙江分部利润表'!J263</f>
        <v>238152.40759999826</v>
      </c>
      <c r="N14" s="143">
        <f>'2025年浙江分部利润表'!K263</f>
        <v>185095.24000000002</v>
      </c>
      <c r="O14" s="143">
        <v>54806.12760896</v>
      </c>
      <c r="P14" s="143">
        <f>'2025年浙江分部利润表'!L263</f>
        <v>236799.47119999968</v>
      </c>
      <c r="Q14" s="143">
        <f>'2025年浙江分部利润表'!M263</f>
        <v>199869.06</v>
      </c>
      <c r="R14" s="143">
        <v>148730.56079232003</v>
      </c>
      <c r="S14" s="143">
        <f>'2025年浙江分部利润表'!N263</f>
        <v>293683.554</v>
      </c>
      <c r="T14" s="143">
        <f>'2025年浙江分部利润表'!O263</f>
        <v>52040.946399999892</v>
      </c>
      <c r="U14" s="143">
        <v>128101.79353919999</v>
      </c>
      <c r="V14" s="143">
        <f>'2025年浙江分部利润表'!P263</f>
        <v>202467.84440000029</v>
      </c>
      <c r="W14" s="143">
        <f>'2025年浙江分部利润表'!Q263</f>
        <v>210383.21279999975</v>
      </c>
      <c r="X14" s="143">
        <v>430278.49750079896</v>
      </c>
      <c r="Y14" s="143">
        <f>'2025年浙江分部利润表'!R263</f>
        <v>321456.86439999985</v>
      </c>
      <c r="Z14" s="143">
        <f>'2025年浙江分部利润表'!S263</f>
        <v>229663.47639999987</v>
      </c>
      <c r="AA14" s="143">
        <v>341502.03697792004</v>
      </c>
      <c r="AB14" s="143">
        <f>'2025年浙江分部利润表'!T263</f>
        <v>480667.57520000072</v>
      </c>
      <c r="AC14" s="143">
        <f>'2025年浙江分部利润表'!U263</f>
        <v>149115.67199999982</v>
      </c>
      <c r="AD14" s="143">
        <v>356255.90564928</v>
      </c>
      <c r="AE14" s="143">
        <f>'2025年浙江分部利润表'!V263</f>
        <v>356088.60520000017</v>
      </c>
      <c r="AF14" s="143">
        <f>'2025年浙江分部利润表'!W263</f>
        <v>206122.95720000021</v>
      </c>
      <c r="AG14" s="143">
        <v>262567.29744128004</v>
      </c>
      <c r="AH14" s="143">
        <f>'2025年浙江分部利润表'!X263</f>
        <v>409662.20519999973</v>
      </c>
      <c r="AI14" s="143">
        <f>'2025年浙江分部利润表'!Y263</f>
        <v>706966.15999999992</v>
      </c>
      <c r="AJ14" s="143">
        <v>776097.07197567902</v>
      </c>
      <c r="AK14" s="143">
        <f>'2025年浙江分部利润表'!Z263</f>
        <v>642245.04920000012</v>
      </c>
      <c r="AL14" s="142">
        <f ca="1">SUMIF($B$12:AK13,AL$12,$B14:$AK14)</f>
        <v>2260377.4903999995</v>
      </c>
      <c r="AM14" s="142">
        <f ca="1">SUMIF($B$12:AK13,AM$12,$B14:$AK14)</f>
        <v>2915729.575183358</v>
      </c>
      <c r="AN14" s="151">
        <f ca="1">SUMIF($B$12:AK13,AN$12,$B14:$AK14)</f>
        <v>3829122.6831999985</v>
      </c>
      <c r="AO14" s="6"/>
    </row>
    <row r="15" spans="1:44" ht="23.75" customHeight="1" x14ac:dyDescent="0.25">
      <c r="A15" s="141" t="s">
        <v>63</v>
      </c>
      <c r="B15" s="143">
        <f>'2025年上海分部利润表'!C263</f>
        <v>-107697.31440000003</v>
      </c>
      <c r="C15" s="143">
        <v>338485.50929856003</v>
      </c>
      <c r="D15" s="143">
        <f>'2025年上海分部利润表'!D263</f>
        <v>263950.01440000115</v>
      </c>
      <c r="E15" s="143">
        <f>'2025年上海分部利润表'!E263</f>
        <v>78164.490000000005</v>
      </c>
      <c r="F15" s="143">
        <v>34440.645510720002</v>
      </c>
      <c r="G15" s="143">
        <f>'2025年上海分部利润表'!F263</f>
        <v>224899.54280000011</v>
      </c>
      <c r="H15" s="143">
        <f>'2025年上海分部利润表'!G263</f>
        <v>267281.49919999985</v>
      </c>
      <c r="I15" s="143">
        <v>248020.20761375999</v>
      </c>
      <c r="J15" s="143">
        <f>'2025年上海分部利润表'!H263</f>
        <v>441132.29440000013</v>
      </c>
      <c r="K15" s="143">
        <f>'2025年上海分部利润表'!I263</f>
        <v>476749.97560000024</v>
      </c>
      <c r="L15" s="143">
        <v>412791.15659087902</v>
      </c>
      <c r="M15" s="143">
        <f>'2025年上海分部利润表'!J263</f>
        <v>483311.6220000012</v>
      </c>
      <c r="N15" s="143">
        <f>'2025年上海分部利润表'!K263</f>
        <v>373734.62999999989</v>
      </c>
      <c r="O15" s="143">
        <v>330920.10500592005</v>
      </c>
      <c r="P15" s="143">
        <f>'2025年上海分部利润表'!L263</f>
        <v>249248.7972000002</v>
      </c>
      <c r="Q15" s="143">
        <f>'2025年上海分部利润表'!M263</f>
        <v>362498.94479999976</v>
      </c>
      <c r="R15" s="143">
        <v>335690.99205888005</v>
      </c>
      <c r="S15" s="143">
        <f>'2025年上海分部利润表'!N263</f>
        <v>438192.76199999999</v>
      </c>
      <c r="T15" s="143">
        <f>'2025年上海分部利润表'!O263</f>
        <v>306559.90560000035</v>
      </c>
      <c r="U15" s="143">
        <v>486536.22973727802</v>
      </c>
      <c r="V15" s="143">
        <f>'2025年上海分部利润表'!P263</f>
        <v>325454.57680000062</v>
      </c>
      <c r="W15" s="143">
        <f>'2025年上海分部利润表'!Q263</f>
        <v>458525.45919999992</v>
      </c>
      <c r="X15" s="143">
        <v>530868.17412480107</v>
      </c>
      <c r="Y15" s="143">
        <f>'2025年上海分部利润表'!R263</f>
        <v>488285.28080000024</v>
      </c>
      <c r="Z15" s="143">
        <f>'2025年上海分部利润表'!S263</f>
        <v>568259.29439999966</v>
      </c>
      <c r="AA15" s="143">
        <v>503556.65720928001</v>
      </c>
      <c r="AB15" s="143">
        <f>'2025年上海分部利润表'!T263</f>
        <v>740815.07959999982</v>
      </c>
      <c r="AC15" s="143">
        <f>'2025年上海分部利润表'!U263</f>
        <v>217650.08800000005</v>
      </c>
      <c r="AD15" s="143">
        <v>332455.74188495998</v>
      </c>
      <c r="AE15" s="143">
        <f>'2025年上海分部利润表'!V263</f>
        <v>387192.83801415941</v>
      </c>
      <c r="AF15" s="143">
        <f>'2025年上海分部利润表'!W263</f>
        <v>417019.94799999986</v>
      </c>
      <c r="AG15" s="143">
        <v>381189.70047648106</v>
      </c>
      <c r="AH15" s="143">
        <f>'2025年上海分部利润表'!X263</f>
        <v>314474.27959999989</v>
      </c>
      <c r="AI15" s="143">
        <f>'2025年上海分部利润表'!Y263</f>
        <v>786693.61920000007</v>
      </c>
      <c r="AJ15" s="143">
        <v>1039667.1794088001</v>
      </c>
      <c r="AK15" s="143">
        <f>'2025年上海分部利润表'!Z263</f>
        <v>620728.41167099983</v>
      </c>
      <c r="AL15" s="142">
        <f ca="1">SUMIF($B$12:AK14,AL$12,$B15:$AK15)</f>
        <v>4205440.5395999998</v>
      </c>
      <c r="AM15" s="142">
        <f ca="1">SUMIF($B$12:AK14,AM$12,$B15:$AK15)</f>
        <v>4974622.2989203194</v>
      </c>
      <c r="AN15" s="151">
        <f ca="1">SUMIF($B$12:AK14,AN$12,$B15:$AK15)</f>
        <v>4977685.4992851615</v>
      </c>
      <c r="AO15" s="6"/>
    </row>
    <row r="16" spans="1:44" ht="23.75" customHeight="1" x14ac:dyDescent="0.25">
      <c r="A16" s="141" t="s">
        <v>64</v>
      </c>
      <c r="B16" s="143">
        <f>'2025年赣皖区域利润表'!C263</f>
        <v>28385.019599999941</v>
      </c>
      <c r="C16" s="143">
        <v>155935.15089600001</v>
      </c>
      <c r="D16" s="143">
        <f>'2025年赣皖区域利润表'!D263</f>
        <v>203946.75360000005</v>
      </c>
      <c r="E16" s="143">
        <f>'2025年赣皖区域利润表'!E263</f>
        <v>14933.285600000047</v>
      </c>
      <c r="F16" s="143">
        <v>-35150.084508</v>
      </c>
      <c r="G16" s="143">
        <f>'2025年赣皖区域利润表'!F263</f>
        <v>66296.761400000076</v>
      </c>
      <c r="H16" s="143">
        <f>'2025年赣皖区域利润表'!G263</f>
        <v>77576.080200000113</v>
      </c>
      <c r="I16" s="143">
        <v>-15348.1412196</v>
      </c>
      <c r="J16" s="143">
        <f>'2025年赣皖区域利润表'!H263</f>
        <v>6519.5442000001785</v>
      </c>
      <c r="K16" s="143">
        <f>'2025年赣皖区域利润表'!I263</f>
        <v>167572.60940000028</v>
      </c>
      <c r="L16" s="143">
        <v>-11596.191263999999</v>
      </c>
      <c r="M16" s="143">
        <f>'2025年赣皖区域利润表'!J263</f>
        <v>188278.88659999982</v>
      </c>
      <c r="N16" s="143">
        <f>'2025年赣皖区域利润表'!K263</f>
        <v>122534.38560000001</v>
      </c>
      <c r="O16" s="143">
        <v>-27051.040463999896</v>
      </c>
      <c r="P16" s="143">
        <f>'2025年赣皖区域利润表'!L263</f>
        <v>38301.916800000152</v>
      </c>
      <c r="Q16" s="143">
        <f>'2025年赣皖区域利润表'!M263</f>
        <v>164008.09599999979</v>
      </c>
      <c r="R16" s="143">
        <v>-33985.335904799897</v>
      </c>
      <c r="S16" s="143">
        <f>'2025年赣皖区域利润表'!N263</f>
        <v>175806.15779999999</v>
      </c>
      <c r="T16" s="143">
        <f>'2025年赣皖区域利润表'!O263</f>
        <v>174993.23859999995</v>
      </c>
      <c r="U16" s="143">
        <v>24834.658892400104</v>
      </c>
      <c r="V16" s="143">
        <f>'2025年赣皖区域利润表'!P263</f>
        <v>150623.35200000033</v>
      </c>
      <c r="W16" s="143">
        <f>'2025年赣皖区域利润表'!Q263</f>
        <v>167896.32240000035</v>
      </c>
      <c r="X16" s="143">
        <v>111484.92408479896</v>
      </c>
      <c r="Y16" s="143">
        <f>'2025年赣皖区域利润表'!R263</f>
        <v>195980.66900000023</v>
      </c>
      <c r="Z16" s="143">
        <f>'2025年赣皖区域利润表'!S263</f>
        <v>282779.49640000064</v>
      </c>
      <c r="AA16" s="143">
        <v>70491.287185200214</v>
      </c>
      <c r="AB16" s="143">
        <f>'2025年赣皖区域利润表'!T263</f>
        <v>206798.57900000032</v>
      </c>
      <c r="AC16" s="143">
        <f>'2025年赣皖区域利润表'!U263</f>
        <v>146567.40979999994</v>
      </c>
      <c r="AD16" s="143">
        <v>-10086.55187399999</v>
      </c>
      <c r="AE16" s="143">
        <f>'2025年赣皖区域利润表'!V263</f>
        <v>214034.24920000019</v>
      </c>
      <c r="AF16" s="143">
        <f>'2025年赣皖区域利润表'!W263</f>
        <v>244024.14539999986</v>
      </c>
      <c r="AG16" s="143">
        <v>85390.762833600005</v>
      </c>
      <c r="AH16" s="143">
        <f>'2025年赣皖区域利润表'!X263</f>
        <v>152165.19920000009</v>
      </c>
      <c r="AI16" s="143">
        <f>'2025年赣皖区域利润表'!Y263</f>
        <v>432847.69260000048</v>
      </c>
      <c r="AJ16" s="143">
        <v>272419.3002468</v>
      </c>
      <c r="AK16" s="143">
        <f>'2025年赣皖区域利润表'!Z263</f>
        <v>300126.76919999992</v>
      </c>
      <c r="AL16" s="142">
        <f ca="1">SUMIF($B$12:AK15,AL$12,$B16:$AK16)</f>
        <v>2024117.7816000015</v>
      </c>
      <c r="AM16" s="142">
        <f ca="1">SUMIF($B$12:AK15,AM$12,$B16:$AK16)</f>
        <v>587338.73890439956</v>
      </c>
      <c r="AN16" s="151">
        <f ca="1">SUMIF($B$12:AK15,AN$12,$B16:$AK16)</f>
        <v>1898878.8380000014</v>
      </c>
      <c r="AO16" s="6"/>
    </row>
    <row r="17" spans="1:42" ht="23.75" customHeight="1" x14ac:dyDescent="0.25">
      <c r="A17" s="141" t="s">
        <v>65</v>
      </c>
      <c r="B17" s="143">
        <f>'2025年中心利润表 '!C263</f>
        <v>-44818.64</v>
      </c>
      <c r="C17" s="143">
        <v>-65461.455100000006</v>
      </c>
      <c r="D17" s="143">
        <f>'2025年中心利润表 '!D263</f>
        <v>-20457.675060000001</v>
      </c>
      <c r="E17" s="143">
        <f>'2025年中心利润表 '!E263</f>
        <v>-31652.799999999999</v>
      </c>
      <c r="F17" s="143">
        <v>-53686.08370000001</v>
      </c>
      <c r="G17" s="143">
        <f>'2025年中心利润表 '!F263</f>
        <v>-42905.843795000001</v>
      </c>
      <c r="H17" s="143">
        <f>'2025年中心利润表 '!G263</f>
        <v>-42310.19</v>
      </c>
      <c r="I17" s="143">
        <v>-72907.66</v>
      </c>
      <c r="J17" s="143">
        <f>'2025年中心利润表 '!H263</f>
        <v>50374.047704999997</v>
      </c>
      <c r="K17" s="145">
        <f>'2025年中心利润表 '!I263</f>
        <v>-46685.83</v>
      </c>
      <c r="L17" s="145">
        <v>-34657.503300000004</v>
      </c>
      <c r="M17" s="145">
        <f>'2025年中心利润表 '!J263</f>
        <v>-22108.104964999999</v>
      </c>
      <c r="N17" s="145">
        <f>'2025年中心利润表 '!K263</f>
        <v>-44255.839999999997</v>
      </c>
      <c r="O17" s="145">
        <v>-45424.378300000004</v>
      </c>
      <c r="P17" s="145">
        <f>'2025年中心利润表 '!L263</f>
        <v>-4723.9118500000004</v>
      </c>
      <c r="Q17" s="145">
        <f>'2025年中心利润表 '!M263</f>
        <v>-46437.06</v>
      </c>
      <c r="R17" s="145">
        <v>-47604.856399999997</v>
      </c>
      <c r="S17" s="145">
        <f>'2025年中心利润表 '!N263</f>
        <v>-3145.9164099999998</v>
      </c>
      <c r="T17" s="145">
        <f>'2025年中心利润表 '!O263</f>
        <v>-48740.24</v>
      </c>
      <c r="U17" s="145">
        <v>-47817.125319760002</v>
      </c>
      <c r="V17" s="145">
        <f>'2025年中心利润表 '!P263</f>
        <v>-8631.7205799999992</v>
      </c>
      <c r="W17" s="145">
        <f>'2025年中心利润表 '!Q263</f>
        <v>-52371.55</v>
      </c>
      <c r="X17" s="145">
        <v>-52718.158002080003</v>
      </c>
      <c r="Y17" s="145">
        <f>'2025年中心利润表 '!R265</f>
        <v>-7390.9408199999998</v>
      </c>
      <c r="Z17" s="145">
        <f>'2025年中心利润表 '!S263</f>
        <v>-61330.37</v>
      </c>
      <c r="AA17" s="145">
        <v>-45985.220477760005</v>
      </c>
      <c r="AB17" s="145">
        <f>'2025年中心利润表 '!T263</f>
        <v>-16701.196779999998</v>
      </c>
      <c r="AC17" s="145">
        <f>'2025年中心利润表 '!U263</f>
        <v>-52458.11</v>
      </c>
      <c r="AD17" s="145">
        <v>-50854.778100000003</v>
      </c>
      <c r="AE17" s="145">
        <f>'2025年中心利润表 '!V263</f>
        <v>-8644.85</v>
      </c>
      <c r="AF17" s="145">
        <f>'2025年中心利润表 '!W263</f>
        <v>-55890.62</v>
      </c>
      <c r="AG17" s="145">
        <v>-59095.0193</v>
      </c>
      <c r="AH17" s="145">
        <f>'2025年中心利润表 '!X263</f>
        <v>-6380.4008899999999</v>
      </c>
      <c r="AI17" s="145">
        <f>'2025年中心利润表 '!Y263</f>
        <v>-72508.75</v>
      </c>
      <c r="AJ17" s="145">
        <v>-52353.118231599998</v>
      </c>
      <c r="AK17" s="145">
        <f>'2025年中心利润表 '!Z263</f>
        <v>-18237.457774999999</v>
      </c>
      <c r="AL17" s="144">
        <f ca="1">SUMIF($B$12:AK16,AL$12,$B17:$AK17)</f>
        <v>-599460</v>
      </c>
      <c r="AM17" s="142">
        <f ca="1">SUMIF($B$12:AK16,AM$12,$B17:$AK17)</f>
        <v>-628565.35623120004</v>
      </c>
      <c r="AN17" s="152">
        <f ca="1">SUMIF($B$12:AK16,AN$12,$B17:$AK17)</f>
        <v>-108953.97122000002</v>
      </c>
      <c r="AO17" s="6"/>
    </row>
    <row r="18" spans="1:42" ht="23.75" customHeight="1" x14ac:dyDescent="0.25">
      <c r="A18" s="146" t="s">
        <v>57</v>
      </c>
      <c r="B18" s="147">
        <f t="shared" ref="B18:AK18" si="1">SUM(B13:B17)</f>
        <v>-170830.50640000001</v>
      </c>
      <c r="C18" s="147">
        <f t="shared" si="1"/>
        <v>792495.17390016001</v>
      </c>
      <c r="D18" s="147">
        <f t="shared" si="1"/>
        <v>1064463.8509399982</v>
      </c>
      <c r="E18" s="147">
        <f t="shared" si="1"/>
        <v>94676.236800000042</v>
      </c>
      <c r="F18" s="147">
        <f t="shared" si="1"/>
        <v>-28616.250541360008</v>
      </c>
      <c r="G18" s="147">
        <f t="shared" si="1"/>
        <v>606306.68360500108</v>
      </c>
      <c r="H18" s="147">
        <f t="shared" si="1"/>
        <v>517690.75979999983</v>
      </c>
      <c r="I18" s="147">
        <f t="shared" si="1"/>
        <v>332480.604140079</v>
      </c>
      <c r="J18" s="147">
        <f t="shared" si="1"/>
        <v>946721.3871050009</v>
      </c>
      <c r="K18" s="147">
        <f t="shared" si="1"/>
        <v>870420.00620000041</v>
      </c>
      <c r="L18" s="147">
        <f t="shared" si="1"/>
        <v>560414.88079824043</v>
      </c>
      <c r="M18" s="147">
        <f t="shared" si="1"/>
        <v>1195997.5884349968</v>
      </c>
      <c r="N18" s="147">
        <f t="shared" si="1"/>
        <v>726049.78559999994</v>
      </c>
      <c r="O18" s="147">
        <f t="shared" si="1"/>
        <v>417946.09101568017</v>
      </c>
      <c r="P18" s="147">
        <f t="shared" si="1"/>
        <v>735466.42214999895</v>
      </c>
      <c r="Q18" s="147">
        <f t="shared" si="1"/>
        <v>840960.50079999957</v>
      </c>
      <c r="R18" s="147">
        <f t="shared" si="1"/>
        <v>511865.11078048026</v>
      </c>
      <c r="S18" s="147">
        <f t="shared" si="1"/>
        <v>1245711.0329899976</v>
      </c>
      <c r="T18" s="147">
        <f t="shared" si="1"/>
        <v>673282.02420000022</v>
      </c>
      <c r="U18" s="147">
        <f t="shared" si="1"/>
        <v>764580.33182855812</v>
      </c>
      <c r="V18" s="147">
        <f t="shared" si="1"/>
        <v>921151.80622000096</v>
      </c>
      <c r="W18" s="147">
        <f t="shared" si="1"/>
        <v>935290.50680000009</v>
      </c>
      <c r="X18" s="147">
        <f t="shared" si="1"/>
        <v>1240515.828773438</v>
      </c>
      <c r="Y18" s="147">
        <f t="shared" si="1"/>
        <v>1266585.0885800004</v>
      </c>
      <c r="Z18" s="147">
        <f t="shared" si="1"/>
        <v>1253923.058</v>
      </c>
      <c r="AA18" s="147">
        <f t="shared" si="1"/>
        <v>1139866.5772522402</v>
      </c>
      <c r="AB18" s="147">
        <f t="shared" si="1"/>
        <v>1872489.0322199957</v>
      </c>
      <c r="AC18" s="147">
        <f t="shared" si="1"/>
        <v>583092.90259999991</v>
      </c>
      <c r="AD18" s="147">
        <f t="shared" si="1"/>
        <v>775662.03112607903</v>
      </c>
      <c r="AE18" s="147">
        <f t="shared" si="1"/>
        <v>1209731.3456141585</v>
      </c>
      <c r="AF18" s="147">
        <f t="shared" si="1"/>
        <v>1001771.1725999998</v>
      </c>
      <c r="AG18" s="147">
        <f t="shared" si="1"/>
        <v>859523.22987047699</v>
      </c>
      <c r="AH18" s="147">
        <f t="shared" si="1"/>
        <v>1168123.4071099989</v>
      </c>
      <c r="AI18" s="147">
        <f t="shared" si="1"/>
        <v>2379985.6486000004</v>
      </c>
      <c r="AJ18" s="147">
        <f t="shared" si="1"/>
        <v>2526210.7306467188</v>
      </c>
      <c r="AK18" s="147">
        <f t="shared" si="1"/>
        <v>2135298.3974960018</v>
      </c>
      <c r="AL18" s="148">
        <f ca="1">IF(ROUND(SUMIF($B$12:AK17,AL$12,$B18:$AK18),2)=ROUND(SUM(AL13:AL17),2),ROUND(SUMIF($B$12:AK17,AL$12,$B18:$AK18),2),"Check")</f>
        <v>9706312.0999999996</v>
      </c>
      <c r="AM18" s="148">
        <f ca="1">IF(ROUND(SUMIF($B$12:AK17,AM$12,$B18:$AK18),2)=ROUND(SUM(AM13:AM17),2),ROUND(SUMIF($B$12:AK17,AM$12,$B18:$AK18),2),"Check")</f>
        <v>9892944.3399999999</v>
      </c>
      <c r="AN18" s="153">
        <f ca="1">IF(ROUND(SUMIF($B$12:AK17,AN$12,$B18:$AK18),2)=ROUND(SUM(AN13:AN17),2),ROUND(SUMIF($B$12:AK17,AN$12,$B18:$AK18),2),"Check")</f>
        <v>14368046.039999999</v>
      </c>
      <c r="AO18" s="6"/>
      <c r="AP18" s="175"/>
    </row>
    <row r="19" spans="1:42" ht="18.5" customHeight="1" x14ac:dyDescent="0.25">
      <c r="A19" s="154" t="s">
        <v>68</v>
      </c>
      <c r="B19" s="155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55"/>
      <c r="AM19" s="155"/>
      <c r="AN19" s="156"/>
    </row>
    <row r="20" spans="1:42" ht="18.5" customHeight="1" x14ac:dyDescent="0.25">
      <c r="A20" s="185" t="s">
        <v>69</v>
      </c>
      <c r="B20" s="186"/>
      <c r="C20" s="186"/>
      <c r="D20" s="186"/>
      <c r="E20" s="186"/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  <c r="AC20" s="186"/>
      <c r="AD20" s="186"/>
      <c r="AE20" s="186"/>
      <c r="AF20" s="186"/>
      <c r="AG20" s="186"/>
      <c r="AH20" s="186"/>
      <c r="AI20" s="186"/>
      <c r="AJ20" s="186"/>
      <c r="AK20" s="186"/>
      <c r="AL20" s="186"/>
      <c r="AM20" s="186"/>
      <c r="AN20" s="187"/>
    </row>
    <row r="21" spans="1:42" ht="18.5" customHeight="1" x14ac:dyDescent="0.25">
      <c r="A21" s="185" t="s">
        <v>70</v>
      </c>
      <c r="B21" s="186"/>
      <c r="C21" s="186"/>
      <c r="D21" s="186"/>
      <c r="E21" s="186"/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  <c r="AA21" s="186"/>
      <c r="AB21" s="186"/>
      <c r="AC21" s="186"/>
      <c r="AD21" s="186"/>
      <c r="AE21" s="186"/>
      <c r="AF21" s="186"/>
      <c r="AG21" s="186"/>
      <c r="AH21" s="186"/>
      <c r="AI21" s="186"/>
      <c r="AJ21" s="186"/>
      <c r="AK21" s="186"/>
      <c r="AL21" s="186"/>
      <c r="AM21" s="186"/>
      <c r="AN21" s="187"/>
    </row>
    <row r="22" spans="1:42" ht="18.5" customHeight="1" x14ac:dyDescent="0.25">
      <c r="A22" s="180" t="s">
        <v>71</v>
      </c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  <c r="X22" s="181"/>
      <c r="Y22" s="181"/>
      <c r="Z22" s="181"/>
      <c r="AA22" s="181"/>
      <c r="AB22" s="181"/>
      <c r="AC22" s="181"/>
      <c r="AD22" s="181"/>
      <c r="AE22" s="181"/>
      <c r="AF22" s="181"/>
      <c r="AG22" s="181"/>
      <c r="AH22" s="181"/>
      <c r="AI22" s="181"/>
      <c r="AJ22" s="181"/>
      <c r="AK22" s="181"/>
      <c r="AL22" s="181"/>
      <c r="AM22" s="181"/>
      <c r="AN22" s="182"/>
    </row>
    <row r="23" spans="1:42" ht="78" customHeight="1" x14ac:dyDescent="0.25">
      <c r="A23" s="137" t="s">
        <v>72</v>
      </c>
      <c r="B23" s="183" t="str">
        <f>索引!C3</f>
        <v>1、分部及区域的预算净利及实际净利，数据来源为本文件中分部利润表、区域利润表中的预算净利润和实际净利润；
2、总监费用，预算净利数据来源为2025年中心利润表中的预算净利润及预算销售费用；实际净利为2025年中心利润表中的实际销售费用+计入到美鑫的总监工资及社保公积金费用之和；
3、因为净利简表中加了总监在美鑫的费用，所以净利简表中的汇总金额和2025年销售1中心利润表汇总有差异，差额为额外增加的这部分。</v>
      </c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183"/>
      <c r="AM23" s="183"/>
      <c r="AN23" s="183"/>
    </row>
    <row r="24" spans="1:42" x14ac:dyDescent="0.25">
      <c r="W24" s="5">
        <v>0</v>
      </c>
      <c r="Y24" s="5">
        <v>0</v>
      </c>
      <c r="Z24" s="5">
        <v>0</v>
      </c>
      <c r="AB24" s="5">
        <v>0</v>
      </c>
      <c r="AC24" s="5">
        <v>0</v>
      </c>
      <c r="AE24" s="5">
        <v>0</v>
      </c>
      <c r="AF24" s="5">
        <v>0</v>
      </c>
      <c r="AH24" s="5">
        <v>0</v>
      </c>
      <c r="AI24" s="5">
        <v>0</v>
      </c>
      <c r="AK24" s="5">
        <v>0</v>
      </c>
    </row>
  </sheetData>
  <mergeCells count="33">
    <mergeCell ref="E11:G11"/>
    <mergeCell ref="AI2:AK2"/>
    <mergeCell ref="A22:AN22"/>
    <mergeCell ref="B23:AN23"/>
    <mergeCell ref="A2:A3"/>
    <mergeCell ref="A11:A12"/>
    <mergeCell ref="AF11:AH11"/>
    <mergeCell ref="AI11:AK11"/>
    <mergeCell ref="AL11:AN11"/>
    <mergeCell ref="A20:AN20"/>
    <mergeCell ref="A21:AN21"/>
    <mergeCell ref="Q11:S11"/>
    <mergeCell ref="T11:V11"/>
    <mergeCell ref="W11:Y11"/>
    <mergeCell ref="Z11:AB11"/>
    <mergeCell ref="AC11:AE11"/>
    <mergeCell ref="B11:D11"/>
    <mergeCell ref="AL2:AN2"/>
    <mergeCell ref="H11:J11"/>
    <mergeCell ref="K11:M11"/>
    <mergeCell ref="N11:P11"/>
    <mergeCell ref="A1:AN1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</mergeCells>
  <phoneticPr fontId="40" type="noConversion"/>
  <hyperlinks>
    <hyperlink ref="A1" location="'索引'!A1" tooltip="返回索引" display="销售1中心2025年各分部及区域收入&amp;净利简表" xr:uid="{00000000-0004-0000-0100-000000000000}"/>
  </hyperlinks>
  <pageMargins left="0.47222222222222199" right="0.35416666666666702" top="0.59027777777777801" bottom="0.35416666666666702" header="0.5" footer="7.8472222222222193E-2"/>
  <pageSetup paperSize="9" scale="21" orientation="landscape" r:id="rId1"/>
  <headerFooter>
    <oddFooter>&amp;C第 &amp;P 页</oddFooter>
  </headerFooter>
  <colBreaks count="1" manualBreakCount="1">
    <brk id="4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G270"/>
  <sheetViews>
    <sheetView showZeros="0" view="pageBreakPreview" zoomScale="85" zoomScaleNormal="100" workbookViewId="0">
      <pane xSplit="2" ySplit="5" topLeftCell="S260" activePane="bottomRight" state="frozen"/>
      <selection activeCell="A269" sqref="A269:AB269"/>
      <selection pane="topRight" activeCell="A269" sqref="A269:AB269"/>
      <selection pane="bottomLeft" activeCell="A269" sqref="A269:AB269"/>
      <selection pane="bottomRight" activeCell="A269" sqref="A269:AB269"/>
    </sheetView>
  </sheetViews>
  <sheetFormatPr defaultColWidth="8.6640625" defaultRowHeight="21" customHeight="1" outlineLevelRow="2" outlineLevelCol="1" x14ac:dyDescent="0.25"/>
  <cols>
    <col min="1" max="1" width="19" style="22" customWidth="1"/>
    <col min="2" max="2" width="5.58203125" style="23" customWidth="1"/>
    <col min="3" max="3" width="12.83203125" style="24" customWidth="1"/>
    <col min="4" max="4" width="13.58203125" style="25" customWidth="1"/>
    <col min="5" max="5" width="13.1640625" style="25" customWidth="1"/>
    <col min="6" max="6" width="13.33203125" style="25" customWidth="1"/>
    <col min="7" max="8" width="13.58203125" style="25" customWidth="1"/>
    <col min="9" max="11" width="13.5" style="25" customWidth="1"/>
    <col min="12" max="18" width="13.4140625" style="25" customWidth="1"/>
    <col min="19" max="20" width="13.1640625" style="25" customWidth="1"/>
    <col min="21" max="22" width="13.4140625" style="25" customWidth="1"/>
    <col min="23" max="23" width="14.9140625" style="25" customWidth="1"/>
    <col min="24" max="24" width="13.4140625" style="25" customWidth="1"/>
    <col min="25" max="26" width="14.33203125" style="25" customWidth="1"/>
    <col min="27" max="27" width="14.4140625" style="25" customWidth="1"/>
    <col min="28" max="28" width="14.6640625" style="24" customWidth="1"/>
    <col min="29" max="29" width="18.08203125" style="23" customWidth="1"/>
    <col min="30" max="30" width="22.33203125" style="22" hidden="1" customWidth="1" outlineLevel="1"/>
    <col min="31" max="31" width="15.75" style="22" hidden="1" customWidth="1" outlineLevel="1"/>
    <col min="32" max="32" width="15" style="22" hidden="1" customWidth="1" outlineLevel="1"/>
    <col min="33" max="33" width="13.08203125" style="22" hidden="1" customWidth="1" outlineLevel="1"/>
    <col min="34" max="34" width="13.9140625" style="22" hidden="1" customWidth="1" outlineLevel="1"/>
    <col min="35" max="35" width="12.9140625" style="22" hidden="1" customWidth="1" outlineLevel="1"/>
    <col min="36" max="36" width="8.6640625" style="22" collapsed="1"/>
    <col min="37" max="16384" width="8.6640625" style="22"/>
  </cols>
  <sheetData>
    <row r="1" spans="1:53" s="16" customFormat="1" ht="28" customHeight="1" x14ac:dyDescent="0.25">
      <c r="A1" s="189" t="s">
        <v>73</v>
      </c>
      <c r="B1" s="190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1"/>
      <c r="W1" s="192"/>
      <c r="X1" s="192"/>
      <c r="Y1" s="192"/>
      <c r="Z1" s="192"/>
      <c r="AA1" s="191"/>
      <c r="AB1" s="191"/>
      <c r="AC1" s="119"/>
    </row>
    <row r="2" spans="1:53" s="16" customFormat="1" ht="21" customHeight="1" x14ac:dyDescent="0.25">
      <c r="A2" s="26">
        <v>46021</v>
      </c>
      <c r="B2" s="17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7"/>
      <c r="U2" s="32"/>
      <c r="V2" s="32"/>
      <c r="W2" s="28"/>
      <c r="X2" s="28"/>
      <c r="Y2" s="28"/>
      <c r="Z2" s="28"/>
      <c r="AA2" s="32"/>
      <c r="AB2" s="120" t="s">
        <v>74</v>
      </c>
      <c r="AC2" s="119"/>
    </row>
    <row r="3" spans="1:53" s="17" customFormat="1" ht="22" customHeight="1" x14ac:dyDescent="0.25">
      <c r="A3" s="121" t="s">
        <v>75</v>
      </c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7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120" t="s">
        <v>76</v>
      </c>
      <c r="AC3" s="31"/>
    </row>
    <row r="4" spans="1:53" s="17" customFormat="1" ht="24" customHeight="1" x14ac:dyDescent="0.25">
      <c r="A4" s="200" t="s">
        <v>77</v>
      </c>
      <c r="B4" s="200" t="s">
        <v>78</v>
      </c>
      <c r="C4" s="193">
        <v>45658</v>
      </c>
      <c r="D4" s="193"/>
      <c r="E4" s="193">
        <v>45689</v>
      </c>
      <c r="F4" s="193"/>
      <c r="G4" s="193">
        <v>45717</v>
      </c>
      <c r="H4" s="193"/>
      <c r="I4" s="193">
        <v>45748</v>
      </c>
      <c r="J4" s="193"/>
      <c r="K4" s="193">
        <v>45778</v>
      </c>
      <c r="L4" s="193"/>
      <c r="M4" s="193">
        <v>45809</v>
      </c>
      <c r="N4" s="193"/>
      <c r="O4" s="193">
        <v>45839</v>
      </c>
      <c r="P4" s="193"/>
      <c r="Q4" s="193">
        <v>45870</v>
      </c>
      <c r="R4" s="193"/>
      <c r="S4" s="193">
        <v>45901</v>
      </c>
      <c r="T4" s="193"/>
      <c r="U4" s="193">
        <v>45931</v>
      </c>
      <c r="V4" s="193"/>
      <c r="W4" s="193">
        <v>45962</v>
      </c>
      <c r="X4" s="193"/>
      <c r="Y4" s="193">
        <v>45992</v>
      </c>
      <c r="Z4" s="193"/>
      <c r="AA4" s="194" t="s">
        <v>79</v>
      </c>
      <c r="AB4" s="194"/>
      <c r="AC4" s="31"/>
      <c r="AD4" s="195" t="s">
        <v>80</v>
      </c>
      <c r="AE4" s="195"/>
      <c r="AF4" s="196" t="s">
        <v>81</v>
      </c>
      <c r="AG4" s="195"/>
    </row>
    <row r="5" spans="1:53" s="18" customFormat="1" ht="24" customHeight="1" x14ac:dyDescent="0.25">
      <c r="A5" s="201"/>
      <c r="B5" s="201"/>
      <c r="C5" s="36" t="s">
        <v>82</v>
      </c>
      <c r="D5" s="34" t="s">
        <v>83</v>
      </c>
      <c r="E5" s="36" t="s">
        <v>82</v>
      </c>
      <c r="F5" s="34" t="s">
        <v>83</v>
      </c>
      <c r="G5" s="36" t="s">
        <v>82</v>
      </c>
      <c r="H5" s="34" t="s">
        <v>83</v>
      </c>
      <c r="I5" s="36" t="s">
        <v>82</v>
      </c>
      <c r="J5" s="34" t="s">
        <v>83</v>
      </c>
      <c r="K5" s="36" t="s">
        <v>82</v>
      </c>
      <c r="L5" s="34" t="s">
        <v>83</v>
      </c>
      <c r="M5" s="36" t="s">
        <v>82</v>
      </c>
      <c r="N5" s="34" t="s">
        <v>83</v>
      </c>
      <c r="O5" s="36" t="s">
        <v>82</v>
      </c>
      <c r="P5" s="34" t="s">
        <v>83</v>
      </c>
      <c r="Q5" s="36" t="s">
        <v>82</v>
      </c>
      <c r="R5" s="34" t="s">
        <v>83</v>
      </c>
      <c r="S5" s="36" t="s">
        <v>82</v>
      </c>
      <c r="T5" s="34" t="s">
        <v>83</v>
      </c>
      <c r="U5" s="36" t="s">
        <v>82</v>
      </c>
      <c r="V5" s="34" t="s">
        <v>83</v>
      </c>
      <c r="W5" s="37" t="s">
        <v>84</v>
      </c>
      <c r="X5" s="38" t="s">
        <v>85</v>
      </c>
      <c r="Y5" s="37" t="s">
        <v>84</v>
      </c>
      <c r="Z5" s="38" t="s">
        <v>85</v>
      </c>
      <c r="AA5" s="122" t="s">
        <v>82</v>
      </c>
      <c r="AB5" s="35" t="s">
        <v>86</v>
      </c>
      <c r="AC5" s="123"/>
      <c r="AD5" s="41" t="s">
        <v>84</v>
      </c>
      <c r="AE5" s="42" t="s">
        <v>85</v>
      </c>
      <c r="AF5" s="41" t="s">
        <v>84</v>
      </c>
      <c r="AG5" s="42" t="s">
        <v>85</v>
      </c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</row>
    <row r="6" spans="1:53" s="17" customFormat="1" ht="20" customHeight="1" x14ac:dyDescent="0.25">
      <c r="A6" s="52" t="s">
        <v>87</v>
      </c>
      <c r="B6" s="45" t="s">
        <v>88</v>
      </c>
      <c r="C6" s="46">
        <f t="shared" ref="C6:Z6" si="0">SUM(C7:C13,C15,-C14)</f>
        <v>3986706.84</v>
      </c>
      <c r="D6" s="46">
        <f t="shared" si="0"/>
        <v>8761368.4880000018</v>
      </c>
      <c r="E6" s="46">
        <f t="shared" si="0"/>
        <v>4955115</v>
      </c>
      <c r="F6" s="46">
        <f t="shared" si="0"/>
        <v>5436073.3432</v>
      </c>
      <c r="G6" s="46">
        <f t="shared" si="0"/>
        <v>8700489.3200000003</v>
      </c>
      <c r="H6" s="46">
        <f t="shared" si="0"/>
        <v>7554667.0296000009</v>
      </c>
      <c r="I6" s="46">
        <f t="shared" si="0"/>
        <v>10237244.039999999</v>
      </c>
      <c r="J6" s="46">
        <f t="shared" si="0"/>
        <v>10564504.366800001</v>
      </c>
      <c r="K6" s="46">
        <f t="shared" si="0"/>
        <v>9570940.4800000004</v>
      </c>
      <c r="L6" s="46">
        <f t="shared" si="0"/>
        <v>6819764.3603999997</v>
      </c>
      <c r="M6" s="46">
        <f t="shared" si="0"/>
        <v>10181580.52</v>
      </c>
      <c r="N6" s="46">
        <f t="shared" si="0"/>
        <v>9173161.8251999989</v>
      </c>
      <c r="O6" s="46">
        <f t="shared" si="0"/>
        <v>9863042.9600000009</v>
      </c>
      <c r="P6" s="46">
        <f t="shared" si="0"/>
        <v>7488253.4004000006</v>
      </c>
      <c r="Q6" s="46">
        <f t="shared" si="0"/>
        <v>11319784.020000001</v>
      </c>
      <c r="R6" s="46">
        <f t="shared" si="0"/>
        <v>8930334.2759999987</v>
      </c>
      <c r="S6" s="46">
        <f t="shared" si="0"/>
        <v>14063676.560000001</v>
      </c>
      <c r="T6" s="46">
        <f t="shared" si="0"/>
        <v>12480104.374799998</v>
      </c>
      <c r="U6" s="46">
        <f t="shared" si="0"/>
        <v>9375501.629999999</v>
      </c>
      <c r="V6" s="46">
        <f t="shared" si="0"/>
        <v>7988558.2652141582</v>
      </c>
      <c r="W6" s="46">
        <f t="shared" si="0"/>
        <v>11265386.27</v>
      </c>
      <c r="X6" s="46">
        <f t="shared" si="0"/>
        <v>8507778.2903999984</v>
      </c>
      <c r="Y6" s="46">
        <f t="shared" si="0"/>
        <v>18603925.32</v>
      </c>
      <c r="Z6" s="46">
        <f t="shared" si="0"/>
        <v>13174326.798471004</v>
      </c>
      <c r="AA6" s="47">
        <f t="shared" ref="AA6:AA26" si="1">C6+E6+G6+I6+K6+M6+O6+Q6+S6+U6+W6+Y6</f>
        <v>122123392.96000001</v>
      </c>
      <c r="AB6" s="47">
        <f t="shared" ref="AB6:AB26" si="2">D6+F6+H6+J6+L6+N6+P6+R6+T6+V6+X6+Z6</f>
        <v>106878894.81848516</v>
      </c>
      <c r="AC6" s="31"/>
      <c r="AD6" s="31">
        <f t="shared" ref="AD6:AD26" si="3">SUMIF($C$5:$Z$5,$AD$5,C6:Z6)</f>
        <v>122123392.96000001</v>
      </c>
      <c r="AE6" s="31">
        <f t="shared" ref="AE6:AE26" si="4">SUMIF($C$5:$Z$5,$AD$5,D6:AA6)</f>
        <v>106878894.81848516</v>
      </c>
      <c r="AF6" s="17">
        <f t="shared" ref="AF6:AF13" si="5">AA6-AD6</f>
        <v>0</v>
      </c>
      <c r="AG6" s="17">
        <f t="shared" ref="AG6:AG13" si="6">AB6-AE6</f>
        <v>0</v>
      </c>
      <c r="AH6" s="17">
        <f>SUM('[1]2024年全面预算利润表 (销售1中心)2.8亿'!E10:H10)</f>
        <v>36318373.324955702</v>
      </c>
    </row>
    <row r="7" spans="1:53" s="17" customFormat="1" ht="20" hidden="1" customHeight="1" outlineLevel="1" x14ac:dyDescent="0.25">
      <c r="A7" s="48" t="s">
        <v>89</v>
      </c>
      <c r="B7" s="45"/>
      <c r="C7" s="49">
        <f>'2025年中心利润表 '!C7+'2025年江苏分部利润表'!C7+'2025年浙江分部利润表'!C7+'2025年上海分部利润表'!C7+'2025年赣皖区域利润表'!C7</f>
        <v>0</v>
      </c>
      <c r="D7" s="49">
        <f>'2025年中心利润表 '!D7+'2025年江苏分部利润表'!D7+'2025年浙江分部利润表'!D7+'2025年上海分部利润表'!D7+'2025年赣皖区域利润表'!D7</f>
        <v>2200703.0860000001</v>
      </c>
      <c r="E7" s="49">
        <f>'2025年中心利润表 '!E7+'2025年江苏分部利润表'!E7+'2025年浙江分部利润表'!E7+'2025年上海分部利润表'!E7+'2025年赣皖区域利润表'!E7</f>
        <v>0</v>
      </c>
      <c r="F7" s="49">
        <f>'2025年中心利润表 '!F7+'2025年江苏分部利润表'!F7+'2025年浙江分部利润表'!F7+'2025年上海分部利润表'!F7+'2025年赣皖区域利润表'!F7</f>
        <v>1492040.9448000002</v>
      </c>
      <c r="G7" s="49">
        <f>'2025年中心利润表 '!G7+'2025年江苏分部利润表'!G7+'2025年浙江分部利润表'!G7+'2025年上海分部利润表'!G7+'2025年赣皖区域利润表'!G7</f>
        <v>0</v>
      </c>
      <c r="H7" s="49">
        <f>'2025年中心利润表 '!H7+'2025年江苏分部利润表'!H7+'2025年浙江分部利润表'!H7+'2025年上海分部利润表'!H7+'2025年赣皖区域利润表'!H7</f>
        <v>2480280.4411999998</v>
      </c>
      <c r="I7" s="49">
        <f>'2025年中心利润表 '!I7+'2025年江苏分部利润表'!I7+'2025年浙江分部利润表'!I7+'2025年上海分部利润表'!I7+'2025年赣皖区域利润表'!I7</f>
        <v>0</v>
      </c>
      <c r="J7" s="49">
        <f>'2025年中心利润表 '!J7+'2025年江苏分部利润表'!J7+'2025年浙江分部利润表'!J7+'2025年上海分部利润表'!J7+'2025年赣皖区域利润表'!J7</f>
        <v>3379438.0979999993</v>
      </c>
      <c r="K7" s="49">
        <f>'2025年中心利润表 '!K7+'2025年江苏分部利润表'!K7+'2025年浙江分部利润表'!K7+'2025年上海分部利润表'!K7+'2025年赣皖区域利润表'!K7</f>
        <v>0</v>
      </c>
      <c r="L7" s="49">
        <f>'2025年中心利润表 '!L7+'2025年江苏分部利润表'!L7+'2025年浙江分部利润表'!L7+'2025年上海分部利润表'!L7+'2025年赣皖区域利润表'!L7</f>
        <v>2218049.2224000003</v>
      </c>
      <c r="M7" s="49">
        <f>'2025年中心利润表 '!M7+'2025年江苏分部利润表'!M7+'2025年浙江分部利润表'!M7+'2025年上海分部利润表'!M7+'2025年赣皖区域利润表'!M7</f>
        <v>0</v>
      </c>
      <c r="N7" s="49">
        <f>'2025年中心利润表 '!N7+'2025年江苏分部利润表'!N7+'2025年浙江分部利润表'!N7+'2025年上海分部利润表'!N7+'2025年赣皖区域利润表'!N7</f>
        <v>2572936.9523999994</v>
      </c>
      <c r="O7" s="49">
        <f>'2025年中心利润表 '!O7+'2025年江苏分部利润表'!O7+'2025年浙江分部利润表'!O7+'2025年上海分部利润表'!O7+'2025年赣皖区域利润表'!O7</f>
        <v>0</v>
      </c>
      <c r="P7" s="49">
        <f>'2025年中心利润表 '!P7+'2025年江苏分部利润表'!P7+'2025年浙江分部利润表'!P7+'2025年上海分部利润表'!P7+'2025年赣皖区域利润表'!P7</f>
        <v>2425573.6415999993</v>
      </c>
      <c r="Q7" s="49">
        <f>'2025年中心利润表 '!Q7+'2025年江苏分部利润表'!Q7+'2025年浙江分部利润表'!Q7+'2025年上海分部利润表'!Q7+'2025年赣皖区域利润表'!Q7</f>
        <v>0</v>
      </c>
      <c r="R7" s="49">
        <f>'2025年中心利润表 '!R7+'2025年江苏分部利润表'!R7+'2025年浙江分部利润表'!R7+'2025年上海分部利润表'!R7+'2025年赣皖区域利润表'!R7</f>
        <v>2706613.8336000005</v>
      </c>
      <c r="S7" s="49">
        <f>'2025年中心利润表 '!S7+'2025年江苏分部利润表'!S7+'2025年浙江分部利润表'!S7+'2025年上海分部利润表'!S7+'2025年赣皖区域利润表'!S7</f>
        <v>0</v>
      </c>
      <c r="T7" s="49">
        <f>'2025年中心利润表 '!T7+'2025年江苏分部利润表'!T7+'2025年浙江分部利润表'!T7+'2025年上海分部利润表'!T7+'2025年赣皖区域利润表'!T7</f>
        <v>3795764.1875999984</v>
      </c>
      <c r="U7" s="49">
        <f>'2025年中心利润表 '!U7+'2025年江苏分部利润表'!U7+'2025年浙江分部利润表'!U7+'2025年上海分部利润表'!U7+'2025年赣皖区域利润表'!U7</f>
        <v>0</v>
      </c>
      <c r="V7" s="49">
        <f>'2025年中心利润表 '!V7+'2025年江苏分部利润表'!V7+'2025年浙江分部利润表'!V7+'2025年上海分部利润表'!V7+'2025年赣皖区域利润表'!V7</f>
        <v>2274206.425199999</v>
      </c>
      <c r="W7" s="49">
        <f>'2025年中心利润表 '!W7+'2025年江苏分部利润表'!W7+'2025年浙江分部利润表'!W7+'2025年上海分部利润表'!W7+'2025年赣皖区域利润表'!W7</f>
        <v>0</v>
      </c>
      <c r="X7" s="49">
        <f>'2025年中心利润表 '!X7+'2025年江苏分部利润表'!X7+'2025年浙江分部利润表'!X7+'2025年上海分部利润表'!X7+'2025年赣皖区域利润表'!X7</f>
        <v>2523772.3067999985</v>
      </c>
      <c r="Y7" s="49">
        <f>'2025年中心利润表 '!Y7+'2025年江苏分部利润表'!Y7+'2025年浙江分部利润表'!Y7+'2025年上海分部利润表'!Y7+'2025年赣皖区域利润表'!Y7</f>
        <v>0</v>
      </c>
      <c r="Z7" s="49">
        <f>'2025年中心利润表 '!Z7+'2025年江苏分部利润表'!Z7+'2025年浙江分部利润表'!Z7+'2025年上海分部利润表'!Z7+'2025年赣皖区域利润表'!Z7</f>
        <v>3645704.3760000011</v>
      </c>
      <c r="AA7" s="51">
        <f t="shared" si="1"/>
        <v>0</v>
      </c>
      <c r="AB7" s="51">
        <f t="shared" si="2"/>
        <v>31715083.515599996</v>
      </c>
      <c r="AC7" s="31"/>
      <c r="AD7" s="31">
        <f t="shared" si="3"/>
        <v>0</v>
      </c>
      <c r="AE7" s="31">
        <f t="shared" si="4"/>
        <v>31715083.515599996</v>
      </c>
      <c r="AF7" s="17">
        <f t="shared" si="5"/>
        <v>0</v>
      </c>
      <c r="AG7" s="17">
        <f t="shared" si="6"/>
        <v>0</v>
      </c>
      <c r="AH7" s="17">
        <f>SUM('[1]2024年全面预算利润表 (销售1中心)2.8亿'!E11:H11)</f>
        <v>0</v>
      </c>
    </row>
    <row r="8" spans="1:53" s="17" customFormat="1" ht="20" hidden="1" customHeight="1" outlineLevel="1" x14ac:dyDescent="0.25">
      <c r="A8" s="48" t="s">
        <v>90</v>
      </c>
      <c r="B8" s="45"/>
      <c r="C8" s="49">
        <f>'2025年中心利润表 '!C8+'2025年江苏分部利润表'!C8+'2025年浙江分部利润表'!C8+'2025年上海分部利润表'!C8+'2025年赣皖区域利润表'!C8</f>
        <v>0</v>
      </c>
      <c r="D8" s="49">
        <f>'2025年中心利润表 '!D8+'2025年江苏分部利润表'!D8+'2025年浙江分部利润表'!D8+'2025年上海分部利润表'!D8+'2025年赣皖区域利润表'!D8</f>
        <v>3250736.080800001</v>
      </c>
      <c r="E8" s="49">
        <f>'2025年中心利润表 '!E8+'2025年江苏分部利润表'!E8+'2025年浙江分部利润表'!E8+'2025年上海分部利润表'!E8+'2025年赣皖区域利润表'!E8</f>
        <v>0</v>
      </c>
      <c r="F8" s="49">
        <f>'2025年中心利润表 '!F8+'2025年江苏分部利润表'!F8+'2025年浙江分部利润表'!F8+'2025年上海分部利润表'!F8+'2025年赣皖区域利润表'!F8</f>
        <v>2154125.9532000003</v>
      </c>
      <c r="G8" s="49">
        <f>'2025年中心利润表 '!G8+'2025年江苏分部利润表'!G8+'2025年浙江分部利润表'!G8+'2025年上海分部利润表'!G8+'2025年赣皖区域利润表'!G8</f>
        <v>0</v>
      </c>
      <c r="H8" s="49">
        <f>'2025年中心利润表 '!H8+'2025年江苏分部利润表'!H8+'2025年浙江分部利润表'!H8+'2025年上海分部利润表'!H8+'2025年赣皖区域利润表'!H8</f>
        <v>3353359.0276000001</v>
      </c>
      <c r="I8" s="49">
        <f>'2025年中心利润表 '!I8+'2025年江苏分部利润表'!I8+'2025年浙江分部利润表'!I8+'2025年上海分部利润表'!I8+'2025年赣皖区域利润表'!I8</f>
        <v>0</v>
      </c>
      <c r="J8" s="49">
        <f>'2025年中心利润表 '!J8+'2025年江苏分部利润表'!J8+'2025年浙江分部利润表'!J8+'2025年上海分部利润表'!J8+'2025年赣皖区域利润表'!J8</f>
        <v>3782683.9835999999</v>
      </c>
      <c r="K8" s="49">
        <f>'2025年中心利润表 '!K8+'2025年江苏分部利润表'!K8+'2025年浙江分部利润表'!K8+'2025年上海分部利润表'!K8+'2025年赣皖区域利润表'!K8</f>
        <v>0</v>
      </c>
      <c r="L8" s="49">
        <f>'2025年中心利润表 '!L8+'2025年江苏分部利润表'!L8+'2025年浙江分部利润表'!L8+'2025年上海分部利润表'!L8+'2025年赣皖区域利润表'!L8</f>
        <v>2190426.5699999989</v>
      </c>
      <c r="M8" s="49">
        <f>'2025年中心利润表 '!M8+'2025年江苏分部利润表'!M8+'2025年浙江分部利润表'!M8+'2025年上海分部利润表'!M8+'2025年赣皖区域利润表'!M8</f>
        <v>0</v>
      </c>
      <c r="N8" s="49">
        <f>'2025年中心利润表 '!N8+'2025年江苏分部利润表'!N8+'2025年浙江分部利润表'!N8+'2025年上海分部利润表'!N8+'2025年赣皖区域利润表'!N8</f>
        <v>3817352.4264000002</v>
      </c>
      <c r="O8" s="49">
        <f>'2025年中心利润表 '!O8+'2025年江苏分部利润表'!O8+'2025年浙江分部利润表'!O8+'2025年上海分部利润表'!O8+'2025年赣皖区域利润表'!O8</f>
        <v>0</v>
      </c>
      <c r="P8" s="49">
        <f>'2025年中心利润表 '!P8+'2025年江苏分部利润表'!P8+'2025年浙江分部利润表'!P8+'2025年上海分部利润表'!P8+'2025年赣皖区域利润表'!P8</f>
        <v>2139178.1724</v>
      </c>
      <c r="Q8" s="49">
        <f>'2025年中心利润表 '!Q8+'2025年江苏分部利润表'!Q8+'2025年浙江分部利润表'!Q8+'2025年上海分部利润表'!Q8+'2025年赣皖区域利润表'!Q8</f>
        <v>0</v>
      </c>
      <c r="R8" s="49">
        <f>'2025年中心利润表 '!R8+'2025年江苏分部利润表'!R8+'2025年浙江分部利润表'!R8+'2025年上海分部利润表'!R8+'2025年赣皖区域利润表'!R8</f>
        <v>3110492.4155999999</v>
      </c>
      <c r="S8" s="49">
        <f>'2025年中心利润表 '!S8+'2025年江苏分部利润表'!S8+'2025年浙江分部利润表'!S8+'2025年上海分部利润表'!S8+'2025年赣皖区域利润表'!S8</f>
        <v>0</v>
      </c>
      <c r="T8" s="49">
        <f>'2025年中心利润表 '!T8+'2025年江苏分部利润表'!T8+'2025年浙江分部利润表'!T8+'2025年上海分部利润表'!T8+'2025年赣皖区域利润表'!T8</f>
        <v>4814842.9968000008</v>
      </c>
      <c r="U8" s="49">
        <f>'2025年中心利润表 '!U8+'2025年江苏分部利润表'!U8+'2025年浙江分部利润表'!U8+'2025年上海分部利润表'!U8+'2025年赣皖区域利润表'!U8</f>
        <v>0</v>
      </c>
      <c r="V8" s="49">
        <f>'2025年中心利润表 '!V8+'2025年江苏分部利润表'!V8+'2025年浙江分部利润表'!V8+'2025年上海分部利润表'!V8+'2025年赣皖区域利润表'!V8</f>
        <v>3358841.0832000002</v>
      </c>
      <c r="W8" s="49">
        <f>'2025年中心利润表 '!W8+'2025年江苏分部利润表'!W8+'2025年浙江分部利润表'!W8+'2025年上海分部利润表'!W8+'2025年赣皖区域利润表'!W8</f>
        <v>0</v>
      </c>
      <c r="X8" s="49">
        <f>'2025年中心利润表 '!X8+'2025年江苏分部利润表'!X8+'2025年浙江分部利润表'!X8+'2025年上海分部利润表'!X8+'2025年赣皖区域利润表'!X8</f>
        <v>3020087.0088000004</v>
      </c>
      <c r="Y8" s="49">
        <f>'2025年中心利润表 '!Y8+'2025年江苏分部利润表'!Y8+'2025年浙江分部利润表'!Y8+'2025年上海分部利润表'!Y8+'2025年赣皖区域利润表'!Y8</f>
        <v>0</v>
      </c>
      <c r="Z8" s="49">
        <f>'2025年中心利润表 '!Z8+'2025年江苏分部利润表'!Z8+'2025年浙江分部利润表'!Z8+'2025年上海分部利润表'!Z8+'2025年赣皖区域利润表'!Z8</f>
        <v>5165090.9820000008</v>
      </c>
      <c r="AA8" s="51">
        <f t="shared" si="1"/>
        <v>0</v>
      </c>
      <c r="AB8" s="51">
        <f t="shared" si="2"/>
        <v>40157216.70040001</v>
      </c>
      <c r="AC8" s="31"/>
      <c r="AD8" s="31">
        <f t="shared" si="3"/>
        <v>0</v>
      </c>
      <c r="AE8" s="31">
        <f t="shared" si="4"/>
        <v>40157216.70040001</v>
      </c>
      <c r="AF8" s="17">
        <f t="shared" si="5"/>
        <v>0</v>
      </c>
      <c r="AG8" s="17">
        <f t="shared" si="6"/>
        <v>0</v>
      </c>
      <c r="AH8" s="17">
        <f>SUM('[1]2024年全面预算利润表 (销售1中心)2.8亿'!E12:H12)</f>
        <v>0</v>
      </c>
    </row>
    <row r="9" spans="1:53" s="17" customFormat="1" ht="20" hidden="1" customHeight="1" outlineLevel="1" x14ac:dyDescent="0.25">
      <c r="A9" s="48" t="s">
        <v>91</v>
      </c>
      <c r="B9" s="45"/>
      <c r="C9" s="49">
        <f>'2025年中心利润表 '!C9+'2025年江苏分部利润表'!C9+'2025年浙江分部利润表'!C9+'2025年上海分部利润表'!C9+'2025年赣皖区域利润表'!C9</f>
        <v>0</v>
      </c>
      <c r="D9" s="49">
        <f>'2025年中心利润表 '!D9+'2025年江苏分部利润表'!D9+'2025年浙江分部利润表'!D9+'2025年上海分部利润表'!D9+'2025年赣皖区域利润表'!D9</f>
        <v>2575914.3708000001</v>
      </c>
      <c r="E9" s="49">
        <f>'2025年中心利润表 '!E9+'2025年江苏分部利润表'!E9+'2025年浙江分部利润表'!E9+'2025年上海分部利润表'!E9+'2025年赣皖区域利润表'!E9</f>
        <v>0</v>
      </c>
      <c r="F9" s="49">
        <f>'2025年中心利润表 '!F9+'2025年江苏分部利润表'!F9+'2025年浙江分部利润表'!F9+'2025年上海分部利润表'!F9+'2025年赣皖区域利润表'!F9</f>
        <v>1516933.8736</v>
      </c>
      <c r="G9" s="49">
        <f>'2025年中心利润表 '!G9+'2025年江苏分部利润表'!G9+'2025年浙江分部利润表'!G9+'2025年上海分部利润表'!G9+'2025年赣皖区域利润表'!G9</f>
        <v>0</v>
      </c>
      <c r="H9" s="49">
        <f>'2025年中心利润表 '!H9+'2025年江苏分部利润表'!H9+'2025年浙江分部利润表'!H9+'2025年上海分部利润表'!H9+'2025年赣皖区域利润表'!H9</f>
        <v>1354693.2252</v>
      </c>
      <c r="I9" s="49">
        <f>'2025年中心利润表 '!I9+'2025年江苏分部利润表'!I9+'2025年浙江分部利润表'!I9+'2025年上海分部利润表'!I9+'2025年赣皖区域利润表'!I9</f>
        <v>0</v>
      </c>
      <c r="J9" s="49">
        <f>'2025年中心利润表 '!J9+'2025年江苏分部利润表'!J9+'2025年浙江分部利润表'!J9+'2025年上海分部利润表'!J9+'2025年赣皖区域利润表'!J9</f>
        <v>2686716.8555999994</v>
      </c>
      <c r="K9" s="49">
        <f>'2025年中心利润表 '!K9+'2025年江苏分部利润表'!K9+'2025年浙江分部利润表'!K9+'2025年上海分部利润表'!K9+'2025年赣皖区域利润表'!K9</f>
        <v>0</v>
      </c>
      <c r="L9" s="49">
        <f>'2025年中心利润表 '!L9+'2025年江苏分部利润表'!L9+'2025年浙江分部利润表'!L9+'2025年上海分部利润表'!L9+'2025年赣皖区域利润表'!L9</f>
        <v>2093178.9312000002</v>
      </c>
      <c r="M9" s="49">
        <f>'2025年中心利润表 '!M9+'2025年江苏分部利润表'!M9+'2025年浙江分部利润表'!M9+'2025年上海分部利润表'!M9+'2025年赣皖区域利润表'!M9</f>
        <v>0</v>
      </c>
      <c r="N9" s="49">
        <f>'2025年中心利润表 '!N9+'2025年江苏分部利润表'!N9+'2025年浙江分部利润表'!N9+'2025年上海分部利润表'!N9+'2025年赣皖区域利润表'!N9</f>
        <v>2371898.0567999999</v>
      </c>
      <c r="O9" s="49">
        <f>'2025年中心利润表 '!O9+'2025年江苏分部利润表'!O9+'2025年浙江分部利润表'!O9+'2025年上海分部利润表'!O9+'2025年赣皖区域利润表'!O9</f>
        <v>0</v>
      </c>
      <c r="P9" s="49">
        <f>'2025年中心利润表 '!P9+'2025年江苏分部利润表'!P9+'2025年浙江分部利润表'!P9+'2025年上海分部利润表'!P9+'2025年赣皖区域利润表'!P9</f>
        <v>2439015.6455999999</v>
      </c>
      <c r="Q9" s="49">
        <f>'2025年中心利润表 '!Q9+'2025年江苏分部利润表'!Q9+'2025年浙江分部利润表'!Q9+'2025年上海分部利润表'!Q9+'2025年赣皖区域利润表'!Q9</f>
        <v>0</v>
      </c>
      <c r="R9" s="49">
        <f>'2025年中心利润表 '!R9+'2025年江苏分部利润表'!R9+'2025年浙江分部利润表'!R9+'2025年上海分部利润表'!R9+'2025年赣皖区域利润表'!R9</f>
        <v>2548834.0540000005</v>
      </c>
      <c r="S9" s="49">
        <f>'2025年中心利润表 '!S9+'2025年江苏分部利润表'!S9+'2025年浙江分部利润表'!S9+'2025年上海分部利润表'!S9+'2025年赣皖区域利润表'!S9</f>
        <v>0</v>
      </c>
      <c r="T9" s="49">
        <f>'2025年中心利润表 '!T9+'2025年江苏分部利润表'!T9+'2025年浙江分部利润表'!T9+'2025年上海分部利润表'!T9+'2025年赣皖区域利润表'!T9</f>
        <v>3061605.062799999</v>
      </c>
      <c r="U9" s="49">
        <f>'2025年中心利润表 '!U9+'2025年江苏分部利润表'!U9+'2025年浙江分部利润表'!U9+'2025年上海分部利润表'!U9+'2025年赣皖区域利润表'!U9</f>
        <v>0</v>
      </c>
      <c r="V9" s="49">
        <f>'2025年中心利润表 '!V9+'2025年江苏分部利润表'!V9+'2025年浙江分部利润表'!V9+'2025年上海分部利润表'!V9+'2025年赣皖区域利润表'!V9</f>
        <v>1898187.2316000003</v>
      </c>
      <c r="W9" s="49">
        <f>'2025年中心利润表 '!W9+'2025年江苏分部利润表'!W9+'2025年浙江分部利润表'!W9+'2025年上海分部利润表'!W9+'2025年赣皖区域利润表'!W9</f>
        <v>0</v>
      </c>
      <c r="X9" s="49">
        <f>'2025年中心利润表 '!X9+'2025年江苏分部利润表'!X9+'2025年浙江分部利润表'!X9+'2025年上海分部利润表'!X9+'2025年赣皖区域利润表'!X9</f>
        <v>2590711.808399999</v>
      </c>
      <c r="Y9" s="49">
        <f>'2025年中心利润表 '!Y9+'2025年江苏分部利润表'!Y9+'2025年浙江分部利润表'!Y9+'2025年上海分部利润表'!Y9+'2025年赣皖区域利润表'!Y9</f>
        <v>0</v>
      </c>
      <c r="Z9" s="49">
        <f>'2025年中心利润表 '!Z9+'2025年江苏分部利润表'!Z9+'2025年浙江分部利润表'!Z9+'2025年上海分部利润表'!Z9+'2025年赣皖区域利润表'!Z9</f>
        <v>4042992.5928000002</v>
      </c>
      <c r="AA9" s="51">
        <f t="shared" si="1"/>
        <v>0</v>
      </c>
      <c r="AB9" s="51">
        <f t="shared" si="2"/>
        <v>29180681.708399996</v>
      </c>
      <c r="AC9" s="31"/>
      <c r="AD9" s="31">
        <f t="shared" si="3"/>
        <v>0</v>
      </c>
      <c r="AE9" s="31">
        <f t="shared" si="4"/>
        <v>29180681.708399996</v>
      </c>
      <c r="AF9" s="17">
        <f t="shared" si="5"/>
        <v>0</v>
      </c>
      <c r="AG9" s="17">
        <f t="shared" si="6"/>
        <v>0</v>
      </c>
      <c r="AH9" s="17">
        <f>SUM('[1]2024年全面预算利润表 (销售1中心)2.8亿'!E13:H13)</f>
        <v>0</v>
      </c>
    </row>
    <row r="10" spans="1:53" s="17" customFormat="1" ht="20" hidden="1" customHeight="1" outlineLevel="1" x14ac:dyDescent="0.25">
      <c r="A10" s="48" t="s">
        <v>92</v>
      </c>
      <c r="B10" s="45"/>
      <c r="C10" s="49">
        <f>'2025年中心利润表 '!C10+'2025年江苏分部利润表'!C10+'2025年浙江分部利润表'!C10+'2025年上海分部利润表'!C10+'2025年赣皖区域利润表'!C10</f>
        <v>0</v>
      </c>
      <c r="D10" s="49">
        <f>'2025年中心利润表 '!D10+'2025年江苏分部利润表'!D10+'2025年浙江分部利润表'!D10+'2025年上海分部利润表'!D10+'2025年赣皖区域利润表'!D10</f>
        <v>385252.79399999999</v>
      </c>
      <c r="E10" s="49">
        <f>'2025年中心利润表 '!E10+'2025年江苏分部利润表'!E10+'2025年浙江分部利润表'!E10+'2025年上海分部利润表'!E10+'2025年赣皖区域利润表'!E10</f>
        <v>0</v>
      </c>
      <c r="F10" s="49">
        <f>'2025年中心利润表 '!F10+'2025年江苏分部利润表'!F10+'2025年浙江分部利润表'!F10+'2025年上海分部利润表'!F10+'2025年赣皖区域利润表'!F10</f>
        <v>159188.91120000003</v>
      </c>
      <c r="G10" s="49">
        <f>'2025年中心利润表 '!G10+'2025年江苏分部利润表'!G10+'2025年浙江分部利润表'!G10+'2025年上海分部利润表'!G10+'2025年赣皖区域利润表'!G10</f>
        <v>0</v>
      </c>
      <c r="H10" s="49">
        <f>'2025年中心利润表 '!H10+'2025年江苏分部利润表'!H10+'2025年浙江分部利润表'!H10+'2025年上海分部利润表'!H10+'2025年赣皖区域利润表'!H10</f>
        <v>223817.74200000014</v>
      </c>
      <c r="I10" s="49">
        <f>'2025年中心利润表 '!I10+'2025年江苏分部利润表'!I10+'2025年浙江分部利润表'!I10+'2025年上海分部利润表'!I10+'2025年赣皖区域利润表'!I10</f>
        <v>0</v>
      </c>
      <c r="J10" s="49">
        <f>'2025年中心利润表 '!J10+'2025年江苏分部利润表'!J10+'2025年浙江分部利润表'!J10+'2025年上海分部利润表'!J10+'2025年赣皖区域利润表'!J10</f>
        <v>407827.3428000001</v>
      </c>
      <c r="K10" s="49">
        <f>'2025年中心利润表 '!K10+'2025年江苏分部利润表'!K10+'2025年浙江分部利润表'!K10+'2025年上海分部利润表'!K10+'2025年赣皖区域利润表'!K10</f>
        <v>0</v>
      </c>
      <c r="L10" s="49">
        <f>'2025年中心利润表 '!L10+'2025年江苏分部利润表'!L10+'2025年浙江分部利润表'!L10+'2025年上海分部利润表'!L10+'2025年赣皖区域利润表'!L10</f>
        <v>306043.57440000004</v>
      </c>
      <c r="M10" s="49">
        <f>'2025年中心利润表 '!M10+'2025年江苏分部利润表'!M10+'2025年浙江分部利润表'!M10+'2025年上海分部利润表'!M10+'2025年赣皖区域利润表'!M10</f>
        <v>0</v>
      </c>
      <c r="N10" s="49">
        <f>'2025年中心利润表 '!N10+'2025年江苏分部利润表'!N10+'2025年浙江分部利润表'!N10+'2025年上海分部利润表'!N10+'2025年赣皖区域利润表'!N10</f>
        <v>283331.21760000003</v>
      </c>
      <c r="O10" s="49">
        <f>'2025年中心利润表 '!O10+'2025年江苏分部利润表'!O10+'2025年浙江分部利润表'!O10+'2025年上海分部利润表'!O10+'2025年赣皖区域利润表'!O10</f>
        <v>0</v>
      </c>
      <c r="P10" s="49">
        <f>'2025年中心利润表 '!P10+'2025年江苏分部利润表'!P10+'2025年浙江分部利润表'!P10+'2025年上海分部利润表'!P10+'2025年赣皖区域利润表'!P10</f>
        <v>335201.88959999999</v>
      </c>
      <c r="Q10" s="49">
        <f>'2025年中心利润表 '!Q10+'2025年江苏分部利润表'!Q10+'2025年浙江分部利润表'!Q10+'2025年上海分部利润表'!Q10+'2025年赣皖区域利润表'!Q10</f>
        <v>0</v>
      </c>
      <c r="R10" s="49">
        <f>'2025年中心利润表 '!R10+'2025年江苏分部利润表'!R10+'2025年浙江分部利润表'!R10+'2025年上海分部利润表'!R10+'2025年赣皖区域利润表'!R10</f>
        <v>452168.06040000002</v>
      </c>
      <c r="S10" s="49">
        <f>'2025年中心利润表 '!S10+'2025年江苏分部利润表'!S10+'2025年浙江分部利润表'!S10+'2025年上海分部利润表'!S10+'2025年赣皖区域利润表'!S10</f>
        <v>0</v>
      </c>
      <c r="T10" s="49">
        <f>'2025年中心利润表 '!T10+'2025年江苏分部利润表'!T10+'2025年浙江分部利润表'!T10+'2025年上海分部利润表'!T10+'2025年赣皖区域利润表'!T10</f>
        <v>434757.7044000001</v>
      </c>
      <c r="U10" s="49">
        <f>'2025年中心利润表 '!U10+'2025年江苏分部利润表'!U10+'2025年浙江分部利润表'!U10+'2025年上海分部利润表'!U10+'2025年赣皖区域利润表'!U10</f>
        <v>0</v>
      </c>
      <c r="V10" s="49">
        <f>'2025年中心利润表 '!V10+'2025年江苏分部利润表'!V10+'2025年浙江分部利润表'!V10+'2025年上海分部利润表'!V10+'2025年赣皖区域利润表'!V10</f>
        <v>347782.59360000008</v>
      </c>
      <c r="W10" s="49">
        <f>'2025年中心利润表 '!W10+'2025年江苏分部利润表'!W10+'2025年浙江分部利润表'!W10+'2025年上海分部利润表'!W10+'2025年赣皖区域利润表'!W10</f>
        <v>0</v>
      </c>
      <c r="X10" s="49">
        <f>'2025年中心利润表 '!X10+'2025年江苏分部利润表'!X10+'2025年浙江分部利润表'!X10+'2025年上海分部利润表'!X10+'2025年赣皖区域利润表'!X10</f>
        <v>264587.73119999998</v>
      </c>
      <c r="Y10" s="49">
        <f>'2025年中心利润表 '!Y10+'2025年江苏分部利润表'!Y10+'2025年浙江分部利润表'!Y10+'2025年上海分部利润表'!Y10+'2025年赣皖区域利润表'!Y10</f>
        <v>0</v>
      </c>
      <c r="Z10" s="49">
        <f>'2025年中心利润表 '!Z10+'2025年江苏分部利润表'!Z10+'2025年浙江分部利润表'!Z10+'2025年上海分部利润表'!Z10+'2025年赣皖区域利润表'!Z10</f>
        <v>282549.14640000003</v>
      </c>
      <c r="AA10" s="51">
        <f t="shared" si="1"/>
        <v>0</v>
      </c>
      <c r="AB10" s="51">
        <f t="shared" si="2"/>
        <v>3882508.7076000003</v>
      </c>
      <c r="AC10" s="31"/>
      <c r="AD10" s="31">
        <f t="shared" si="3"/>
        <v>0</v>
      </c>
      <c r="AE10" s="31">
        <f t="shared" si="4"/>
        <v>3882508.7076000003</v>
      </c>
      <c r="AF10" s="17">
        <f t="shared" si="5"/>
        <v>0</v>
      </c>
      <c r="AG10" s="17">
        <f t="shared" si="6"/>
        <v>0</v>
      </c>
      <c r="AH10" s="17">
        <f>SUM('[1]2024年全面预算利润表 (销售1中心)2.8亿'!E14:H14)</f>
        <v>36318373.324955702</v>
      </c>
    </row>
    <row r="11" spans="1:53" s="17" customFormat="1" ht="20" hidden="1" customHeight="1" outlineLevel="1" x14ac:dyDescent="0.25">
      <c r="A11" s="48" t="s">
        <v>93</v>
      </c>
      <c r="B11" s="45"/>
      <c r="C11" s="49">
        <f>'2025年中心利润表 '!C11+'2025年江苏分部利润表'!C11+'2025年浙江分部利润表'!C11+'2025年上海分部利润表'!C11+'2025年赣皖区域利润表'!C11</f>
        <v>0</v>
      </c>
      <c r="D11" s="49">
        <f>'2025年中心利润表 '!D11+'2025年江苏分部利润表'!D11+'2025年浙江分部利润表'!D11+'2025年上海分部利润表'!D11+'2025年赣皖区域利润表'!D11</f>
        <v>296240.2632000001</v>
      </c>
      <c r="E11" s="49">
        <f>'2025年中心利润表 '!E11+'2025年江苏分部利润表'!E11+'2025年浙江分部利润表'!E11+'2025年上海分部利润表'!E11+'2025年赣皖区域利润表'!E11</f>
        <v>0</v>
      </c>
      <c r="F11" s="49">
        <f>'2025年中心利润表 '!F11+'2025年江苏分部利润表'!F11+'2025年浙江分部利润表'!F11+'2025年上海分部利润表'!F11+'2025年赣皖区域利润表'!F11</f>
        <v>88575.06600000005</v>
      </c>
      <c r="G11" s="49">
        <f>'2025年中心利润表 '!G11+'2025年江苏分部利润表'!G11+'2025年浙江分部利润表'!G11+'2025年上海分部利润表'!G11+'2025年赣皖区域利润表'!G11</f>
        <v>0</v>
      </c>
      <c r="H11" s="49">
        <f>'2025年中心利润表 '!H11+'2025年江苏分部利润表'!H11+'2025年浙江分部利润表'!H11+'2025年上海分部利润表'!H11+'2025年赣皖区域利润表'!H11</f>
        <v>110596.07160000001</v>
      </c>
      <c r="I11" s="49">
        <f>'2025年中心利润表 '!I11+'2025年江苏分部利润表'!I11+'2025年浙江分部利润表'!I11+'2025年上海分部利润表'!I11+'2025年赣皖区域利润表'!I11</f>
        <v>0</v>
      </c>
      <c r="J11" s="49">
        <f>'2025年中心利润表 '!J11+'2025年江苏分部利润表'!J11+'2025年浙江分部利润表'!J11+'2025年上海分部利润表'!J11+'2025年赣皖区域利润表'!J11</f>
        <v>370984.68720000004</v>
      </c>
      <c r="K11" s="49">
        <f>'2025年中心利润表 '!K11+'2025年江苏分部利润表'!K11+'2025年浙江分部利润表'!K11+'2025年上海分部利润表'!K11+'2025年赣皖区域利润表'!K11</f>
        <v>0</v>
      </c>
      <c r="L11" s="49">
        <f>'2025年中心利润表 '!L11+'2025年江苏分部利润表'!L11+'2025年浙江分部利润表'!L11+'2025年上海分部利润表'!L11+'2025年赣皖区域利润表'!L11</f>
        <v>103644.71640000002</v>
      </c>
      <c r="M11" s="49">
        <f>'2025年中心利润表 '!M11+'2025年江苏分部利润表'!M11+'2025年浙江分部利润表'!M11+'2025年上海分部利润表'!M11+'2025年赣皖区域利润表'!M11</f>
        <v>0</v>
      </c>
      <c r="N11" s="49">
        <f>'2025年中心利润表 '!N11+'2025年江苏分部利润表'!N11+'2025年浙江分部利润表'!N11+'2025年上海分部利润表'!N11+'2025年赣皖区域利润表'!N11</f>
        <v>204028.21080000003</v>
      </c>
      <c r="O11" s="49">
        <f>'2025年中心利润表 '!O11+'2025年江苏分部利润表'!O11+'2025年浙江分部利润表'!O11+'2025年上海分部利润表'!O11+'2025年赣皖区域利润表'!O11</f>
        <v>0</v>
      </c>
      <c r="P11" s="49">
        <f>'2025年中心利润表 '!P11+'2025年江苏分部利润表'!P11+'2025年浙江分部利润表'!P11+'2025年上海分部利润表'!P11+'2025年赣皖区域利润表'!P11</f>
        <v>246065.59080000001</v>
      </c>
      <c r="Q11" s="49">
        <f>'2025年中心利润表 '!Q11+'2025年江苏分部利润表'!Q11+'2025年浙江分部利润表'!Q11+'2025年上海分部利润表'!Q11+'2025年赣皖区域利润表'!Q11</f>
        <v>0</v>
      </c>
      <c r="R11" s="49">
        <f>'2025年中心利润表 '!R11+'2025年江苏分部利润表'!R11+'2025年浙江分部利润表'!R11+'2025年上海分部利润表'!R11+'2025年赣皖区域利润表'!R11</f>
        <v>206227.85760000002</v>
      </c>
      <c r="S11" s="49">
        <f>'2025年中心利润表 '!S11+'2025年江苏分部利润表'!S11+'2025年浙江分部利润表'!S11+'2025年上海分部利润表'!S11+'2025年赣皖区域利润表'!S11</f>
        <v>0</v>
      </c>
      <c r="T11" s="49">
        <f>'2025年中心利润表 '!T11+'2025年江苏分部利润表'!T11+'2025年浙江分部利润表'!T11+'2025年上海分部利润表'!T11+'2025年赣皖区域利润表'!T11</f>
        <v>452729.56320000003</v>
      </c>
      <c r="U11" s="49">
        <f>'2025年中心利润表 '!U11+'2025年江苏分部利润表'!U11+'2025年浙江分部利润表'!U11+'2025年上海分部利润表'!U11+'2025年赣皖区域利润表'!U11</f>
        <v>0</v>
      </c>
      <c r="V11" s="49">
        <f>'2025年中心利润表 '!V11+'2025年江苏分部利润表'!V11+'2025年浙江分部利润表'!V11+'2025年上海分部利润表'!V11+'2025年赣皖区域利润表'!V11</f>
        <v>170910.09720000002</v>
      </c>
      <c r="W11" s="49">
        <f>'2025年中心利润表 '!W11+'2025年江苏分部利润表'!W11+'2025年浙江分部利润表'!W11+'2025年上海分部利润表'!W11+'2025年赣皖区域利润表'!W11</f>
        <v>0</v>
      </c>
      <c r="X11" s="49">
        <f>'2025年中心利润表 '!X11+'2025年江苏分部利润表'!X11+'2025年浙江分部利润表'!X11+'2025年上海分部利润表'!X11+'2025年赣皖区域利润表'!X11</f>
        <v>201125.46239999999</v>
      </c>
      <c r="Y11" s="49">
        <f>'2025年中心利润表 '!Y11+'2025年江苏分部利润表'!Y11+'2025年浙江分部利润表'!Y11+'2025年上海分部利润表'!Y11+'2025年赣皖区域利润表'!Y11</f>
        <v>0</v>
      </c>
      <c r="Z11" s="49">
        <f>'2025年中心利润表 '!Z11+'2025年江苏分部利润表'!Z11+'2025年浙江分部利润表'!Z11+'2025年上海分部利润表'!Z11+'2025年赣皖区域利润表'!Z11</f>
        <v>106234.97760000001</v>
      </c>
      <c r="AA11" s="51">
        <f t="shared" si="1"/>
        <v>0</v>
      </c>
      <c r="AB11" s="51">
        <f t="shared" si="2"/>
        <v>2557362.5640000002</v>
      </c>
      <c r="AC11" s="31"/>
      <c r="AD11" s="31">
        <f t="shared" si="3"/>
        <v>0</v>
      </c>
      <c r="AE11" s="31">
        <f t="shared" si="4"/>
        <v>2557362.5640000002</v>
      </c>
      <c r="AF11" s="17">
        <f t="shared" si="5"/>
        <v>0</v>
      </c>
      <c r="AG11" s="17">
        <f t="shared" si="6"/>
        <v>0</v>
      </c>
      <c r="AH11" s="17">
        <f>SUM('[1]2024年全面预算利润表 (销售1中心)2.8亿'!E15:H15)</f>
        <v>0</v>
      </c>
    </row>
    <row r="12" spans="1:53" s="17" customFormat="1" ht="20" hidden="1" customHeight="1" outlineLevel="1" x14ac:dyDescent="0.25">
      <c r="A12" s="48" t="s">
        <v>94</v>
      </c>
      <c r="B12" s="45"/>
      <c r="C12" s="49">
        <f>'2025年中心利润表 '!C12+'2025年江苏分部利润表'!C12+'2025年浙江分部利润表'!C12+'2025年上海分部利润表'!C12+'2025年赣皖区域利润表'!C12</f>
        <v>0</v>
      </c>
      <c r="D12" s="49">
        <f>'2025年中心利润表 '!D12+'2025年江苏分部利润表'!D12+'2025年浙江分部利润表'!D12+'2025年上海分部利润表'!D12+'2025年赣皖区域利润表'!D12</f>
        <v>7176.7404000000006</v>
      </c>
      <c r="E12" s="49">
        <f>'2025年中心利润表 '!E12+'2025年江苏分部利润表'!E12+'2025年浙江分部利润表'!E12+'2025年上海分部利润表'!E12+'2025年赣皖区域利润表'!E12</f>
        <v>0</v>
      </c>
      <c r="F12" s="49">
        <f>'2025年中心利润表 '!F12+'2025年江苏分部利润表'!F12+'2025年浙江分部利润表'!F12+'2025年上海分部利润表'!F12+'2025年赣皖区域利润表'!F12</f>
        <v>15717.4344</v>
      </c>
      <c r="G12" s="49">
        <f>'2025年中心利润表 '!G12+'2025年江苏分部利润表'!G12+'2025年浙江分部利润表'!G12+'2025年上海分部利润表'!G12+'2025年赣皖区域利润表'!G12</f>
        <v>0</v>
      </c>
      <c r="H12" s="49">
        <f>'2025年中心利润表 '!H12+'2025年江苏分部利润表'!H12+'2025年浙江分部利润表'!H12+'2025年上海分部利润表'!H12+'2025年赣皖区域利润表'!H12</f>
        <v>11089.569600000003</v>
      </c>
      <c r="I12" s="49">
        <f>'2025年中心利润表 '!I12+'2025年江苏分部利润表'!I12+'2025年浙江分部利润表'!I12+'2025年上海分部利润表'!I12+'2025年赣皖区域利润表'!I12</f>
        <v>0</v>
      </c>
      <c r="J12" s="49">
        <f>'2025年中心利润表 '!J12+'2025年江苏分部利润表'!J12+'2025年浙江分部利润表'!J12+'2025年上海分部利润表'!J12+'2025年赣皖区域利润表'!J12</f>
        <v>7029.5472000000009</v>
      </c>
      <c r="K12" s="49">
        <f>'2025年中心利润表 '!K12+'2025年江苏分部利润表'!K12+'2025年浙江分部利润表'!K12+'2025年上海分部利润表'!K12+'2025年赣皖区域利润表'!K12</f>
        <v>0</v>
      </c>
      <c r="L12" s="49">
        <f>'2025年中心利润表 '!L12+'2025年江苏分部利润表'!L12+'2025年浙江分部利润表'!L12+'2025年上海分部利润表'!L12+'2025年赣皖区域利润表'!L12</f>
        <v>1146.9060000000002</v>
      </c>
      <c r="M12" s="49">
        <f>'2025年中心利润表 '!M12+'2025年江苏分部利润表'!M12+'2025年浙江分部利润表'!M12+'2025年上海分部利润表'!M12+'2025年赣皖区域利润表'!M12</f>
        <v>0</v>
      </c>
      <c r="N12" s="49">
        <f>'2025年中心利润表 '!N12+'2025年江苏分部利润表'!N12+'2025年浙江分部利润表'!N12+'2025年上海分部利润表'!N12+'2025年赣皖区域利润表'!N12</f>
        <v>2676.1212000000005</v>
      </c>
      <c r="O12" s="49">
        <f>'2025年中心利润表 '!O12+'2025年江苏分部利润表'!O12+'2025年浙江分部利润表'!O12+'2025年上海分部利润表'!O12+'2025年赣皖区域利润表'!O12</f>
        <v>0</v>
      </c>
      <c r="P12" s="49">
        <f>'2025年中心利润表 '!P12+'2025年江苏分部利润表'!P12+'2025年浙江分部利润表'!P12+'2025年上海分部利润表'!P12+'2025年赣皖区域利润表'!P12</f>
        <v>8726.0004000000008</v>
      </c>
      <c r="Q12" s="49">
        <f>'2025年中心利润表 '!Q12+'2025年江苏分部利润表'!Q12+'2025年浙江分部利润表'!Q12+'2025年上海分部利润表'!Q12+'2025年赣皖区域利润表'!Q12</f>
        <v>0</v>
      </c>
      <c r="R12" s="49">
        <f>'2025年中心利润表 '!R12+'2025年江苏分部利润表'!R12+'2025年浙江分部利润表'!R12+'2025年上海分部利润表'!R12+'2025年赣皖区域利润表'!R12</f>
        <v>243.71280000000002</v>
      </c>
      <c r="S12" s="49">
        <f>'2025年中心利润表 '!S12+'2025年江苏分部利润表'!S12+'2025年浙江分部利润表'!S12+'2025年上海分部利润表'!S12+'2025年赣皖区域利润表'!S12</f>
        <v>0</v>
      </c>
      <c r="T12" s="49">
        <f>'2025年中心利润表 '!T12+'2025年江苏分部利润表'!T12+'2025年浙江分部利润表'!T12+'2025年上海分部利润表'!T12+'2025年赣皖区域利润表'!T12</f>
        <v>0</v>
      </c>
      <c r="U12" s="49">
        <f>'2025年中心利润表 '!U12+'2025年江苏分部利润表'!U12+'2025年浙江分部利润表'!U12+'2025年上海分部利润表'!U12+'2025年赣皖区域利润表'!U12</f>
        <v>0</v>
      </c>
      <c r="V12" s="49">
        <f>'2025年中心利润表 '!V12+'2025年江苏分部利润表'!V12+'2025年浙江分部利润表'!V12+'2025年上海分部利润表'!V12+'2025年赣皖区域利润表'!V12</f>
        <v>716.81760000000008</v>
      </c>
      <c r="W12" s="49">
        <f>'2025年中心利润表 '!W12+'2025年江苏分部利润表'!W12+'2025年浙江分部利润表'!W12+'2025年上海分部利润表'!W12+'2025年赣皖区域利润表'!W12</f>
        <v>0</v>
      </c>
      <c r="X12" s="49">
        <f>'2025年中心利润表 '!X12+'2025年江苏分部利润表'!X12+'2025年浙江分部利润表'!X12+'2025年上海分部利润表'!X12+'2025年赣皖区域利润表'!X12</f>
        <v>6389.1828000000005</v>
      </c>
      <c r="Y12" s="49">
        <f>'2025年中心利润表 '!Y12+'2025年江苏分部利润表'!Y12+'2025年浙江分部利润表'!Y12+'2025年上海分部利润表'!Y12+'2025年赣皖区域利润表'!Y12</f>
        <v>0</v>
      </c>
      <c r="Z12" s="49">
        <f>'2025年中心利润表 '!Z12+'2025年江苏分部利润表'!Z12+'2025年浙江分部利润表'!Z12+'2025年上海分部利润表'!Z12+'2025年赣皖区域利润表'!Z12</f>
        <v>10082.890800000001</v>
      </c>
      <c r="AA12" s="51">
        <f t="shared" si="1"/>
        <v>0</v>
      </c>
      <c r="AB12" s="51">
        <f t="shared" si="2"/>
        <v>70994.923200000019</v>
      </c>
      <c r="AC12" s="31"/>
      <c r="AD12" s="31">
        <f t="shared" si="3"/>
        <v>0</v>
      </c>
      <c r="AE12" s="31">
        <f t="shared" si="4"/>
        <v>70994.923200000019</v>
      </c>
      <c r="AF12" s="17">
        <f t="shared" si="5"/>
        <v>0</v>
      </c>
      <c r="AG12" s="17">
        <f t="shared" si="6"/>
        <v>0</v>
      </c>
      <c r="AH12" s="17">
        <f>SUM('[1]2024年全面预算利润表 (销售1中心)2.8亿'!E16:H16)</f>
        <v>29585058.317908201</v>
      </c>
    </row>
    <row r="13" spans="1:53" s="17" customFormat="1" ht="20" hidden="1" customHeight="1" outlineLevel="1" x14ac:dyDescent="0.25">
      <c r="A13" s="48" t="s">
        <v>95</v>
      </c>
      <c r="B13" s="45"/>
      <c r="C13" s="49">
        <f>'2025年中心利润表 '!C13+'2025年江苏分部利润表'!C13+'2025年浙江分部利润表'!C13+'2025年上海分部利润表'!C13+'2025年赣皖区域利润表'!C13</f>
        <v>0</v>
      </c>
      <c r="D13" s="49">
        <f>'2025年中心利润表 '!D13+'2025年江苏分部利润表'!D13+'2025年浙江分部利润表'!D13+'2025年上海分部利润表'!D13+'2025年赣皖区域利润表'!D13</f>
        <v>44491.1728</v>
      </c>
      <c r="E13" s="49">
        <f>'2025年中心利润表 '!E13+'2025年江苏分部利润表'!E13+'2025年浙江分部利润表'!E13+'2025年上海分部利润表'!E13+'2025年赣皖区域利润表'!E13</f>
        <v>0</v>
      </c>
      <c r="F13" s="49">
        <f>'2025年中心利润表 '!F13+'2025年江苏分部利润表'!F13+'2025年浙江分部利润表'!F13+'2025年上海分部利润表'!F13+'2025年赣皖区域利润表'!F13</f>
        <v>8960.19</v>
      </c>
      <c r="G13" s="49">
        <f>'2025年中心利润表 '!G13+'2025年江苏分部利润表'!G13+'2025年浙江分部利润表'!G13+'2025年上海分部利润表'!G13+'2025年赣皖区域利润表'!G13</f>
        <v>0</v>
      </c>
      <c r="H13" s="49">
        <f>'2025年中心利润表 '!H13+'2025年江苏分部利润表'!H13+'2025年浙江分部利润表'!H13+'2025年上海分部利润表'!H13+'2025年赣皖区域利润表'!H13</f>
        <v>20830.952399999998</v>
      </c>
      <c r="I13" s="49">
        <f>'2025年中心利润表 '!I13+'2025年江苏分部利润表'!I13+'2025年浙江分部利润表'!I13+'2025年上海分部利润表'!I13+'2025年赣皖区域利润表'!I13</f>
        <v>0</v>
      </c>
      <c r="J13" s="49">
        <f>'2025年中心利润表 '!J13+'2025年江苏分部利润表'!J13+'2025年浙江分部利润表'!J13+'2025年上海分部利润表'!J13+'2025年赣皖区域利润表'!J13</f>
        <v>22105.362400000002</v>
      </c>
      <c r="K13" s="49">
        <f>'2025年中心利润表 '!K13+'2025年江苏分部利润表'!K13+'2025年浙江分部利润表'!K13+'2025年上海分部利润表'!K13+'2025年赣皖区域利润表'!K13</f>
        <v>0</v>
      </c>
      <c r="L13" s="49">
        <f>'2025年中心利润表 '!L13+'2025年江苏分部利润表'!L13+'2025年浙江分部利润表'!L13+'2025年上海分部利润表'!L13+'2025年赣皖区域利润表'!L13</f>
        <v>12482.3</v>
      </c>
      <c r="M13" s="49">
        <f>'2025年中心利润表 '!M13+'2025年江苏分部利润表'!M13+'2025年浙江分部利润表'!M13+'2025年上海分部利润表'!M13+'2025年赣皖区域利润表'!M13</f>
        <v>0</v>
      </c>
      <c r="N13" s="49">
        <f>'2025年中心利润表 '!N13+'2025年江苏分部利润表'!N13+'2025年浙江分部利润表'!N13+'2025年上海分部利润表'!N13+'2025年赣皖区域利润表'!N13</f>
        <v>11498.89</v>
      </c>
      <c r="O13" s="49">
        <f>'2025年中心利润表 '!O13+'2025年江苏分部利润表'!O13+'2025年浙江分部利润表'!O13+'2025年上海分部利润表'!O13+'2025年赣皖区域利润表'!O13</f>
        <v>0</v>
      </c>
      <c r="P13" s="49">
        <f>'2025年中心利润表 '!P13+'2025年江苏分部利润表'!P13+'2025年浙江分部利润表'!P13+'2025年上海分部利润表'!P13+'2025年赣皖区域利润表'!P13</f>
        <v>12631.64</v>
      </c>
      <c r="Q13" s="49">
        <f>'2025年中心利润表 '!Q13+'2025年江苏分部利润表'!Q13+'2025年浙江分部利润表'!Q13+'2025年上海分部利润表'!Q13+'2025年赣皖区域利润表'!Q13</f>
        <v>0</v>
      </c>
      <c r="R13" s="49">
        <f>'2025年中心利润表 '!R13+'2025年江苏分部利润表'!R13+'2025年浙江分部利润表'!R13+'2025年上海分部利润表'!R13+'2025年赣皖区域利润表'!R13</f>
        <v>45592.632000000005</v>
      </c>
      <c r="S13" s="49">
        <f>'2025年中心利润表 '!S13+'2025年江苏分部利润表'!S13+'2025年浙江分部利润表'!S13+'2025年上海分部利润表'!S13+'2025年赣皖区域利润表'!S13</f>
        <v>0</v>
      </c>
      <c r="T13" s="49">
        <f>'2025年中心利润表 '!T13+'2025年江苏分部利润表'!T13+'2025年浙江分部利润表'!T13+'2025年上海分部利润表'!T13+'2025年赣皖区域利润表'!T13</f>
        <v>6187.61</v>
      </c>
      <c r="U13" s="49">
        <f>'2025年中心利润表 '!U13+'2025年江苏分部利润表'!U13+'2025年浙江分部利润表'!U13+'2025年上海分部利润表'!U13+'2025年赣皖区域利润表'!U13</f>
        <v>0</v>
      </c>
      <c r="V13" s="49">
        <f>'2025年中心利润表 '!V13+'2025年江苏分部利润表'!V13+'2025年浙江分部利润表'!V13+'2025年上海分部利润表'!V13+'2025年赣皖区域利润表'!V13</f>
        <v>0</v>
      </c>
      <c r="W13" s="49">
        <f>'2025年中心利润表 '!W13+'2025年江苏分部利润表'!W13+'2025年浙江分部利润表'!W13+'2025年上海分部利润表'!W13+'2025年赣皖区域利润表'!W13</f>
        <v>0</v>
      </c>
      <c r="X13" s="49">
        <f>'2025年中心利润表 '!X13+'2025年江苏分部利润表'!X13+'2025年浙江分部利润表'!X13+'2025年上海分部利润表'!X13+'2025年赣皖区域利润表'!X13</f>
        <v>12910.62</v>
      </c>
      <c r="Y13" s="49">
        <f>'2025年中心利润表 '!Y13+'2025年江苏分部利润表'!Y13+'2025年浙江分部利润表'!Y13+'2025年上海分部利润表'!Y13+'2025年赣皖区域利润表'!Y13</f>
        <v>0</v>
      </c>
      <c r="Z13" s="49">
        <f>'2025年中心利润表 '!Z13+'2025年江苏分部利润表'!Z13+'2025年浙江分部利润表'!Z13+'2025年上海分部利润表'!Z13+'2025年赣皖区域利润表'!Z13</f>
        <v>5973.45</v>
      </c>
      <c r="AA13" s="51">
        <f t="shared" si="1"/>
        <v>0</v>
      </c>
      <c r="AB13" s="51">
        <f t="shared" si="2"/>
        <v>203664.81960000002</v>
      </c>
      <c r="AC13" s="31"/>
      <c r="AD13" s="31">
        <f t="shared" si="3"/>
        <v>0</v>
      </c>
      <c r="AE13" s="31">
        <f t="shared" si="4"/>
        <v>203664.81960000002</v>
      </c>
      <c r="AF13" s="17">
        <f t="shared" si="5"/>
        <v>0</v>
      </c>
      <c r="AG13" s="17">
        <f t="shared" si="6"/>
        <v>0</v>
      </c>
      <c r="AH13" s="17">
        <f>SUM('[1]2024年全面预算利润表 (销售1中心)2.8亿'!E17:H17)</f>
        <v>0</v>
      </c>
    </row>
    <row r="14" spans="1:53" s="17" customFormat="1" ht="20" hidden="1" customHeight="1" outlineLevel="1" x14ac:dyDescent="0.25">
      <c r="A14" s="48" t="s">
        <v>96</v>
      </c>
      <c r="B14" s="45"/>
      <c r="C14" s="49">
        <f>'2025年中心利润表 '!C14+'2025年江苏分部利润表'!C14+'2025年浙江分部利润表'!C14+'2025年上海分部利润表'!C14+'2025年赣皖区域利润表'!C14</f>
        <v>0</v>
      </c>
      <c r="D14" s="49">
        <f>'2025年中心利润表 '!D14+'2025年江苏分部利润表'!D14+'2025年浙江分部利润表'!D14+'2025年上海分部利润表'!D14+'2025年赣皖区域利润表'!D14</f>
        <v>0</v>
      </c>
      <c r="E14" s="49">
        <f>'2025年中心利润表 '!E14+'2025年江苏分部利润表'!E14+'2025年浙江分部利润表'!E14+'2025年上海分部利润表'!E14+'2025年赣皖区域利润表'!E14</f>
        <v>0</v>
      </c>
      <c r="F14" s="49">
        <f>'2025年中心利润表 '!F14+'2025年江苏分部利润表'!F14+'2025年浙江分部利润表'!F14+'2025年上海分部利润表'!F14+'2025年赣皖区域利润表'!F14</f>
        <v>0</v>
      </c>
      <c r="G14" s="49">
        <f>'2025年中心利润表 '!G14+'2025年江苏分部利润表'!G14+'2025年浙江分部利润表'!G14+'2025年上海分部利润表'!G14+'2025年赣皖区域利润表'!G14</f>
        <v>0</v>
      </c>
      <c r="H14" s="49">
        <f>'2025年中心利润表 '!H14+'2025年江苏分部利润表'!H14+'2025年浙江分部利润表'!H14+'2025年上海分部利润表'!H14+'2025年赣皖区域利润表'!H14</f>
        <v>0</v>
      </c>
      <c r="I14" s="49">
        <f>'2025年中心利润表 '!I14+'2025年江苏分部利润表'!I14+'2025年浙江分部利润表'!I14+'2025年上海分部利润表'!I14+'2025年赣皖区域利润表'!I14</f>
        <v>0</v>
      </c>
      <c r="J14" s="49">
        <f>'2025年中心利润表 '!J14+'2025年江苏分部利润表'!J14+'2025年浙江分部利润表'!J14+'2025年上海分部利润表'!J14+'2025年赣皖区域利润表'!J14</f>
        <v>92281.510000000009</v>
      </c>
      <c r="K14" s="49">
        <f>'2025年中心利润表 '!K14+'2025年江苏分部利润表'!K14+'2025年浙江分部利润表'!K14+'2025年上海分部利润表'!K14+'2025年赣皖区域利润表'!K14</f>
        <v>0</v>
      </c>
      <c r="L14" s="49">
        <f>'2025年中心利润表 '!L14+'2025年江苏分部利润表'!L14+'2025年浙江分部利润表'!L14+'2025年上海分部利润表'!L14+'2025年赣皖区域利润表'!L14</f>
        <v>105207.85999999999</v>
      </c>
      <c r="M14" s="49">
        <f>'2025年中心利润表 '!M14+'2025年江苏分部利润表'!M14+'2025年浙江分部利润表'!M14+'2025年上海分部利润表'!M14+'2025年赣皖区域利润表'!M14</f>
        <v>0</v>
      </c>
      <c r="N14" s="49">
        <f>'2025年中心利润表 '!N14+'2025年江苏分部利润表'!N14+'2025年浙江分部利润表'!N14+'2025年上海分部利润表'!N14+'2025年赣皖区域利润表'!N14</f>
        <v>90560.05</v>
      </c>
      <c r="O14" s="49">
        <f>'2025年中心利润表 '!O14+'2025年江苏分部利润表'!O14+'2025年浙江分部利润表'!O14+'2025年上海分部利润表'!O14+'2025年赣皖区域利润表'!O14</f>
        <v>197730</v>
      </c>
      <c r="P14" s="49">
        <f>'2025年中心利润表 '!P14+'2025年江苏分部利润表'!P14+'2025年浙江分部利润表'!P14+'2025年上海分部利润表'!P14+'2025年赣皖区域利润表'!P14</f>
        <v>118139.18000000001</v>
      </c>
      <c r="Q14" s="49">
        <f>'2025年中心利润表 '!Q14+'2025年江苏分部利润表'!Q14+'2025年浙江分部利润表'!Q14+'2025年上海分部利润表'!Q14+'2025年赣皖区域利润表'!Q14</f>
        <v>253415.26</v>
      </c>
      <c r="R14" s="49">
        <f>'2025年中心利润表 '!R14+'2025年江苏分部利润表'!R14+'2025年浙江分部利润表'!R14+'2025年上海分部利润表'!R14+'2025年赣皖区域利润表'!R14</f>
        <v>146099.37999999998</v>
      </c>
      <c r="S14" s="49">
        <f>'2025年中心利润表 '!S14+'2025年江苏分部利润表'!S14+'2025年浙江分部利润表'!S14+'2025年上海分部利润表'!S14+'2025年赣皖区域利润表'!S14</f>
        <v>406497.92</v>
      </c>
      <c r="T14" s="49">
        <f>'2025年中心利润表 '!T14+'2025年江苏分部利润表'!T14+'2025年浙江分部利润表'!T14+'2025年上海分部利润表'!T14+'2025年赣皖区域利润表'!T14</f>
        <v>85782.749999999985</v>
      </c>
      <c r="U14" s="49">
        <f>'2025年中心利润表 '!U14+'2025年江苏分部利润表'!U14+'2025年浙江分部利润表'!U14+'2025年上海分部利润表'!U14+'2025年赣皖区域利润表'!U14</f>
        <v>79944.210000000006</v>
      </c>
      <c r="V14" s="49">
        <f>'2025年中心利润表 '!V14+'2025年江苏分部利润表'!V14+'2025年浙江分部利润表'!V14+'2025年上海分部利润表'!V14+'2025年赣皖区域利润表'!V14</f>
        <v>62085.983185841098</v>
      </c>
      <c r="W14" s="49">
        <f>'2025年中心利润表 '!W14+'2025年江苏分部利润表'!W14+'2025年浙江分部利润表'!W14+'2025年上海分部利润表'!W14+'2025年赣皖区域利润表'!W14</f>
        <v>104665.65</v>
      </c>
      <c r="X14" s="49">
        <f>'2025年中心利润表 '!X14+'2025年江苏分部利润表'!X14+'2025年浙江分部利润表'!X14+'2025年上海分部利润表'!X14+'2025年赣皖区域利润表'!X14</f>
        <v>111805.83000000002</v>
      </c>
      <c r="Y14" s="49">
        <f>'2025年中心利润表 '!Y14+'2025年江苏分部利润表'!Y14+'2025年浙江分部利润表'!Y14+'2025年上海分部利润表'!Y14+'2025年赣皖区域利润表'!Y14</f>
        <v>178354</v>
      </c>
      <c r="Z14" s="49">
        <f>'2025年中心利润表 '!Z14+'2025年江苏分部利润表'!Z14+'2025年浙江分部利润表'!Z14+'2025年上海分部利润表'!Z14+'2025年赣皖区域利润表'!Z14</f>
        <v>84301.617128999904</v>
      </c>
      <c r="AA14" s="51">
        <f t="shared" si="1"/>
        <v>1220607.04</v>
      </c>
      <c r="AB14" s="51">
        <f t="shared" si="2"/>
        <v>896264.16031484096</v>
      </c>
      <c r="AC14" s="31"/>
      <c r="AD14" s="31">
        <f t="shared" si="3"/>
        <v>1220607.04</v>
      </c>
      <c r="AE14" s="31">
        <f t="shared" si="4"/>
        <v>896264.16031484096</v>
      </c>
      <c r="AH14" s="17">
        <f>SUM('[1]2024年全面预算利润表 (销售1中心)2.8亿'!E18:H18)</f>
        <v>0</v>
      </c>
    </row>
    <row r="15" spans="1:53" s="17" customFormat="1" ht="20" hidden="1" customHeight="1" outlineLevel="1" x14ac:dyDescent="0.25">
      <c r="A15" s="48" t="s">
        <v>97</v>
      </c>
      <c r="B15" s="45"/>
      <c r="C15" s="49">
        <f>'2025年中心利润表 '!C15+'2025年江苏分部利润表'!C15+'2025年浙江分部利润表'!C15+'2025年上海分部利润表'!C15+'2025年赣皖区域利润表'!C15</f>
        <v>3986706.84</v>
      </c>
      <c r="D15" s="49">
        <f>'2025年中心利润表 '!D15+'2025年江苏分部利润表'!D15+'2025年浙江分部利润表'!D15+'2025年上海分部利润表'!D15+'2025年赣皖区域利润表'!D15</f>
        <v>853.98</v>
      </c>
      <c r="E15" s="49">
        <f>'2025年中心利润表 '!E15+'2025年江苏分部利润表'!E15+'2025年浙江分部利润表'!E15+'2025年上海分部利润表'!E15+'2025年赣皖区域利润表'!E15</f>
        <v>4955115</v>
      </c>
      <c r="F15" s="49">
        <f>'2025年中心利润表 '!F15+'2025年江苏分部利润表'!F15+'2025年浙江分部利润表'!F15+'2025年上海分部利润表'!F15+'2025年赣皖区域利润表'!F15</f>
        <v>530.97</v>
      </c>
      <c r="G15" s="49">
        <f>'2025年中心利润表 '!G15+'2025年江苏分部利润表'!G15+'2025年浙江分部利润表'!G15+'2025年上海分部利润表'!G15+'2025年赣皖区域利润表'!G15</f>
        <v>8700489.3200000003</v>
      </c>
      <c r="H15" s="49">
        <f>'2025年中心利润表 '!H15+'2025年江苏分部利润表'!H15+'2025年浙江分部利润表'!H15+'2025年上海分部利润表'!H15+'2025年赣皖区域利润表'!H15</f>
        <v>0</v>
      </c>
      <c r="I15" s="49">
        <f>'2025年中心利润表 '!I15+'2025年江苏分部利润表'!I15+'2025年浙江分部利润表'!I15+'2025年上海分部利润表'!I15+'2025年赣皖区域利润表'!I15</f>
        <v>10237244.039999999</v>
      </c>
      <c r="J15" s="49">
        <f>'2025年中心利润表 '!J15+'2025年江苏分部利润表'!J15+'2025年浙江分部利润表'!J15+'2025年上海分部利润表'!J15+'2025年赣皖区域利润表'!J15</f>
        <v>0</v>
      </c>
      <c r="K15" s="49">
        <f>'2025年中心利润表 '!K15+'2025年江苏分部利润表'!K15+'2025年浙江分部利润表'!K15+'2025年上海分部利润表'!K15+'2025年赣皖区域利润表'!K15</f>
        <v>9570940.4800000004</v>
      </c>
      <c r="L15" s="49">
        <f>'2025年中心利润表 '!L15+'2025年江苏分部利润表'!L15+'2025年浙江分部利润表'!L15+'2025年上海分部利润表'!L15+'2025年赣皖区域利润表'!L15</f>
        <v>0</v>
      </c>
      <c r="M15" s="49">
        <f>'2025年中心利润表 '!M15+'2025年江苏分部利润表'!M15+'2025年浙江分部利润表'!M15+'2025年上海分部利润表'!M15+'2025年赣皖区域利润表'!M15</f>
        <v>10181580.52</v>
      </c>
      <c r="N15" s="49">
        <f>'2025年中心利润表 '!N15+'2025年江苏分部利润表'!N15+'2025年浙江分部利润表'!N15+'2025年上海分部利润表'!N15+'2025年赣皖区域利润表'!N15</f>
        <v>0</v>
      </c>
      <c r="O15" s="49">
        <f>'2025年中心利润表 '!O15+'2025年江苏分部利润表'!O15+'2025年浙江分部利润表'!O15+'2025年上海分部利润表'!O15+'2025年赣皖区域利润表'!O15</f>
        <v>10060772.960000001</v>
      </c>
      <c r="P15" s="49">
        <f>'2025年中心利润表 '!P15+'2025年江苏分部利润表'!P15+'2025年浙江分部利润表'!P15+'2025年上海分部利润表'!P15+'2025年赣皖区域利润表'!P15</f>
        <v>0</v>
      </c>
      <c r="Q15" s="49">
        <f>'2025年中心利润表 '!Q15+'2025年江苏分部利润表'!Q15+'2025年浙江分部利润表'!Q15+'2025年上海分部利润表'!Q15+'2025年赣皖区域利润表'!Q15</f>
        <v>11573199.280000001</v>
      </c>
      <c r="R15" s="49">
        <f>'2025年中心利润表 '!R15+'2025年江苏分部利润表'!R15+'2025年浙江分部利润表'!R15+'2025年上海分部利润表'!R15+'2025年赣皖区域利润表'!R15</f>
        <v>6261.09</v>
      </c>
      <c r="S15" s="49">
        <f>'2025年中心利润表 '!S15+'2025年江苏分部利润表'!S15+'2025年浙江分部利润表'!S15+'2025年上海分部利润表'!S15+'2025年赣皖区域利润表'!S15</f>
        <v>14470174.48</v>
      </c>
      <c r="T15" s="49">
        <f>'2025年中心利润表 '!T15+'2025年江苏分部利润表'!T15+'2025年浙江分部利润表'!T15+'2025年上海分部利润表'!T15+'2025年赣皖区域利润表'!T15</f>
        <v>0</v>
      </c>
      <c r="U15" s="49">
        <f>'2025年中心利润表 '!U15+'2025年江苏分部利润表'!U15+'2025年浙江分部利润表'!U15+'2025年上海分部利润表'!U15+'2025年赣皖区域利润表'!U15</f>
        <v>9455445.8399999999</v>
      </c>
      <c r="V15" s="49">
        <f>'2025年中心利润表 '!V15+'2025年江苏分部利润表'!V15+'2025年浙江分部利润表'!V15+'2025年上海分部利润表'!V15+'2025年赣皖区域利润表'!V15</f>
        <v>0</v>
      </c>
      <c r="W15" s="49">
        <f>'2025年中心利润表 '!W15+'2025年江苏分部利润表'!W15+'2025年浙江分部利润表'!W15+'2025年上海分部利润表'!W15+'2025年赣皖区域利润表'!W15</f>
        <v>11370051.92</v>
      </c>
      <c r="X15" s="49">
        <f>'2025年中心利润表 '!X15+'2025年江苏分部利润表'!X15+'2025年浙江分部利润表'!X15+'2025年上海分部利润表'!X15+'2025年赣皖区域利润表'!X15</f>
        <v>0</v>
      </c>
      <c r="Y15" s="49">
        <f>'2025年中心利润表 '!Y15+'2025年江苏分部利润表'!Y15+'2025年浙江分部利润表'!Y15+'2025年上海分部利润表'!Y15+'2025年赣皖区域利润表'!Y15</f>
        <v>18782279.32</v>
      </c>
      <c r="Z15" s="49">
        <f>'2025年中心利润表 '!Z15+'2025年江苏分部利润表'!Z15+'2025年浙江分部利润表'!Z15+'2025年上海分部利润表'!Z15+'2025年赣皖区域利润表'!Z15</f>
        <v>0</v>
      </c>
      <c r="AA15" s="51">
        <f t="shared" si="1"/>
        <v>123344000</v>
      </c>
      <c r="AB15" s="51">
        <f t="shared" si="2"/>
        <v>7646.04</v>
      </c>
      <c r="AC15" s="31"/>
      <c r="AD15" s="31">
        <f t="shared" si="3"/>
        <v>123344000</v>
      </c>
      <c r="AE15" s="31">
        <f t="shared" si="4"/>
        <v>7646.04</v>
      </c>
      <c r="AF15" s="17">
        <f t="shared" ref="AF15:AF25" si="7">AA15-AD15</f>
        <v>0</v>
      </c>
      <c r="AG15" s="17">
        <f t="shared" ref="AG15:AG25" si="8">AB15-AE15</f>
        <v>0</v>
      </c>
      <c r="AH15" s="17">
        <f>SUM('[1]2024年全面预算利润表 (销售1中心)2.8亿'!E18:H18)</f>
        <v>0</v>
      </c>
    </row>
    <row r="16" spans="1:53" s="17" customFormat="1" ht="18" customHeight="1" collapsed="1" x14ac:dyDescent="0.25">
      <c r="A16" s="52" t="s">
        <v>98</v>
      </c>
      <c r="B16" s="45" t="s">
        <v>99</v>
      </c>
      <c r="C16" s="46">
        <f t="shared" ref="C16:Z16" si="9">SUM(C17:C25)</f>
        <v>3382585.7863999996</v>
      </c>
      <c r="D16" s="46">
        <f t="shared" si="9"/>
        <v>6952652.4620000022</v>
      </c>
      <c r="E16" s="46">
        <f t="shared" si="9"/>
        <v>4215074.0432000002</v>
      </c>
      <c r="F16" s="46">
        <f t="shared" si="9"/>
        <v>4306755.4657999994</v>
      </c>
      <c r="G16" s="46">
        <f t="shared" si="9"/>
        <v>7282520.3701999998</v>
      </c>
      <c r="H16" s="46">
        <f t="shared" si="9"/>
        <v>6051909.7501999997</v>
      </c>
      <c r="I16" s="46">
        <f t="shared" si="9"/>
        <v>8454862.8937999997</v>
      </c>
      <c r="J16" s="46">
        <f t="shared" si="9"/>
        <v>8553557.4234000035</v>
      </c>
      <c r="K16" s="46">
        <f t="shared" si="9"/>
        <v>7973012.6843999997</v>
      </c>
      <c r="L16" s="46">
        <f t="shared" si="9"/>
        <v>5508275.4664000012</v>
      </c>
      <c r="M16" s="46">
        <f t="shared" si="9"/>
        <v>8434258.0292000007</v>
      </c>
      <c r="N16" s="46">
        <f t="shared" si="9"/>
        <v>7367687.0158000002</v>
      </c>
      <c r="O16" s="46">
        <f t="shared" si="9"/>
        <v>8279148.5557999993</v>
      </c>
      <c r="P16" s="46">
        <f t="shared" si="9"/>
        <v>6002495.7635999983</v>
      </c>
      <c r="Q16" s="46">
        <f t="shared" si="9"/>
        <v>9401282.2631999999</v>
      </c>
      <c r="R16" s="46">
        <f t="shared" si="9"/>
        <v>7089385.4166000001</v>
      </c>
      <c r="S16" s="46">
        <f t="shared" si="9"/>
        <v>11613692.702</v>
      </c>
      <c r="T16" s="46">
        <f t="shared" si="9"/>
        <v>9814830.9358000029</v>
      </c>
      <c r="U16" s="46">
        <f t="shared" si="9"/>
        <v>7859051.0273999991</v>
      </c>
      <c r="V16" s="46">
        <f t="shared" si="9"/>
        <v>6256066.4396000002</v>
      </c>
      <c r="W16" s="46">
        <f t="shared" si="9"/>
        <v>9250363.5473999996</v>
      </c>
      <c r="X16" s="46">
        <f t="shared" si="9"/>
        <v>6748158.5823999988</v>
      </c>
      <c r="Y16" s="46">
        <f t="shared" si="9"/>
        <v>14854157.361400001</v>
      </c>
      <c r="Z16" s="46">
        <f t="shared" si="9"/>
        <v>10405259.813199999</v>
      </c>
      <c r="AA16" s="47">
        <f t="shared" si="1"/>
        <v>101000009.26440001</v>
      </c>
      <c r="AB16" s="47">
        <f t="shared" si="2"/>
        <v>85057034.534800008</v>
      </c>
      <c r="AC16" s="124"/>
      <c r="AD16" s="31">
        <f t="shared" si="3"/>
        <v>101000009.26440001</v>
      </c>
      <c r="AE16" s="31">
        <f t="shared" si="4"/>
        <v>85057034.534800008</v>
      </c>
      <c r="AF16" s="17">
        <f t="shared" si="7"/>
        <v>0</v>
      </c>
      <c r="AG16" s="17">
        <f t="shared" si="8"/>
        <v>0</v>
      </c>
      <c r="AH16" s="17">
        <f>SUM('[1]2024年全面预算利润表 (销售1中心)2.8亿'!$E$16:$H$16)</f>
        <v>29585058.317908201</v>
      </c>
    </row>
    <row r="17" spans="1:59" s="19" customFormat="1" ht="18" hidden="1" customHeight="1" outlineLevel="1" x14ac:dyDescent="0.25">
      <c r="A17" s="48" t="s">
        <v>89</v>
      </c>
      <c r="B17" s="53"/>
      <c r="C17" s="49">
        <f>'2025年中心利润表 '!C17+'2025年江苏分部利润表'!C17+'2025年浙江分部利润表'!C17+'2025年上海分部利润表'!C17+'2025年赣皖区域利润表'!C17</f>
        <v>0</v>
      </c>
      <c r="D17" s="49">
        <f>'2025年中心利润表 '!D17+'2025年江苏分部利润表'!D17+'2025年浙江分部利润表'!D17+'2025年上海分部利润表'!D17+'2025年赣皖区域利润表'!D17</f>
        <v>1473240.3754000003</v>
      </c>
      <c r="E17" s="49">
        <f>'2025年中心利润表 '!E17+'2025年江苏分部利润表'!E17+'2025年浙江分部利润表'!E17+'2025年上海分部利润表'!E17+'2025年赣皖区域利润表'!E17</f>
        <v>0</v>
      </c>
      <c r="F17" s="49">
        <f>'2025年中心利润表 '!F17+'2025年江苏分部利润表'!F17+'2025年浙江分部利润表'!F17+'2025年上海分部利润表'!F17+'2025年赣皖区域利润表'!F17</f>
        <v>1039771.1928000001</v>
      </c>
      <c r="G17" s="49">
        <f>'2025年中心利润表 '!G17+'2025年江苏分部利润表'!G17+'2025年浙江分部利润表'!G17+'2025年上海分部利润表'!G17+'2025年赣皖区域利润表'!G17</f>
        <v>0</v>
      </c>
      <c r="H17" s="49">
        <f>'2025年中心利润表 '!H17+'2025年江苏分部利润表'!H17+'2025年浙江分部利润表'!H17+'2025年上海分部利润表'!H17+'2025年赣皖区域利润表'!H17</f>
        <v>1819851.8046000001</v>
      </c>
      <c r="I17" s="49">
        <f>'2025年中心利润表 '!I17+'2025年江苏分部利润表'!I17+'2025年浙江分部利润表'!I17+'2025年上海分部利润表'!I17+'2025年赣皖区域利润表'!I17</f>
        <v>0</v>
      </c>
      <c r="J17" s="49">
        <f>'2025年中心利润表 '!J17+'2025年江苏分部利润表'!J17+'2025年浙江分部利润表'!J17+'2025年上海分部利润表'!J17+'2025年赣皖区域利润表'!J17</f>
        <v>2455648.5528000002</v>
      </c>
      <c r="K17" s="49">
        <f>'2025年中心利润表 '!K17+'2025年江苏分部利润表'!K17+'2025年浙江分部利润表'!K17+'2025年上海分部利润表'!K17+'2025年赣皖区域利润表'!K17</f>
        <v>0</v>
      </c>
      <c r="L17" s="49">
        <f>'2025年中心利润表 '!L17+'2025年江苏分部利润表'!L17+'2025年浙江分部利润表'!L17+'2025年上海分部利润表'!L17+'2025年赣皖区域利润表'!L17</f>
        <v>1587112.7564000001</v>
      </c>
      <c r="M17" s="49">
        <f>'2025年中心利润表 '!M17+'2025年江苏分部利润表'!M17+'2025年浙江分部利润表'!M17+'2025年上海分部利润表'!M17+'2025年赣皖区域利润表'!M17</f>
        <v>0</v>
      </c>
      <c r="N17" s="49">
        <f>'2025年中心利润表 '!N17+'2025年江苏分部利润表'!N17+'2025年浙江分部利润表'!N17+'2025年上海分部利润表'!N17+'2025年赣皖区域利润表'!N17</f>
        <v>1821342.4875999999</v>
      </c>
      <c r="O17" s="49">
        <f>'2025年中心利润表 '!O17+'2025年江苏分部利润表'!O17+'2025年浙江分部利润表'!O17+'2025年上海分部利润表'!O17+'2025年赣皖区域利润表'!O17</f>
        <v>0</v>
      </c>
      <c r="P17" s="49">
        <f>'2025年中心利润表 '!P17+'2025年江苏分部利润表'!P17+'2025年浙江分部利润表'!P17+'2025年上海分部利润表'!P17+'2025年赣皖区域利润表'!P17</f>
        <v>1718925.1643999999</v>
      </c>
      <c r="Q17" s="49">
        <f>'2025年中心利润表 '!Q17+'2025年江苏分部利润表'!Q17+'2025年浙江分部利润表'!Q17+'2025年上海分部利润表'!Q17+'2025年赣皖区域利润表'!Q17</f>
        <v>0</v>
      </c>
      <c r="R17" s="49">
        <f>'2025年中心利润表 '!R17+'2025年江苏分部利润表'!R17+'2025年浙江分部利润表'!R17+'2025年上海分部利润表'!R17+'2025年赣皖区域利润表'!R17</f>
        <v>1823904.7958</v>
      </c>
      <c r="S17" s="49">
        <f>'2025年中心利润表 '!S17+'2025年江苏分部利润表'!S17+'2025年浙江分部利润表'!S17+'2025年上海分部利润表'!S17+'2025年赣皖区域利润表'!S17</f>
        <v>0</v>
      </c>
      <c r="T17" s="49">
        <f>'2025年中心利润表 '!T17+'2025年江苏分部利润表'!T17+'2025年浙江分部利润表'!T17+'2025年上海分部利润表'!T17+'2025年赣皖区域利润表'!T17</f>
        <v>2561874.3080000016</v>
      </c>
      <c r="U17" s="49">
        <f>'2025年中心利润表 '!U17+'2025年江苏分部利润表'!U17+'2025年浙江分部利润表'!U17+'2025年上海分部利润表'!U17+'2025年赣皖区域利润表'!U17</f>
        <v>0</v>
      </c>
      <c r="V17" s="49">
        <f>'2025年中心利润表 '!V17+'2025年江苏分部利润表'!V17+'2025年浙江分部利润表'!V17+'2025年上海分部利润表'!V17+'2025年赣皖区域利润表'!V17</f>
        <v>1538954.4142</v>
      </c>
      <c r="W17" s="49">
        <f>'2025年中心利润表 '!W17+'2025年江苏分部利润表'!W17+'2025年浙江分部利润表'!W17+'2025年上海分部利润表'!W17+'2025年赣皖区域利润表'!W17</f>
        <v>0</v>
      </c>
      <c r="X17" s="49">
        <f>'2025年中心利润表 '!X17+'2025年江苏分部利润表'!X17+'2025年浙江分部利润表'!X17+'2025年上海分部利润表'!X17+'2025年赣皖区域利润表'!X17</f>
        <v>1745078.4768000001</v>
      </c>
      <c r="Y17" s="49">
        <f>'2025年中心利润表 '!Y17+'2025年江苏分部利润表'!Y17+'2025年浙江分部利润表'!Y17+'2025年上海分部利润表'!Y17+'2025年赣皖区域利润表'!Y17</f>
        <v>0</v>
      </c>
      <c r="Z17" s="49">
        <f>'2025年中心利润表 '!Z17+'2025年江苏分部利润表'!Z17+'2025年浙江分部利润表'!Z17+'2025年上海分部利润表'!Z17+'2025年赣皖区域利润表'!Z17</f>
        <v>2529444.9472000003</v>
      </c>
      <c r="AA17" s="51">
        <f t="shared" si="1"/>
        <v>0</v>
      </c>
      <c r="AB17" s="51">
        <f t="shared" si="2"/>
        <v>22115149.276000004</v>
      </c>
      <c r="AC17" s="94"/>
      <c r="AD17" s="31">
        <f t="shared" si="3"/>
        <v>0</v>
      </c>
      <c r="AE17" s="31">
        <f t="shared" si="4"/>
        <v>22115149.276000004</v>
      </c>
      <c r="AF17" s="17">
        <f t="shared" si="7"/>
        <v>0</v>
      </c>
      <c r="AG17" s="17">
        <f t="shared" si="8"/>
        <v>0</v>
      </c>
      <c r="AH17" s="17">
        <f>SUM('[1]2024年全面预算利润表 (销售1中心)2.8亿'!E20:H20)</f>
        <v>29005401.247908201</v>
      </c>
    </row>
    <row r="18" spans="1:59" s="19" customFormat="1" ht="18" hidden="1" customHeight="1" outlineLevel="1" x14ac:dyDescent="0.25">
      <c r="A18" s="48" t="s">
        <v>90</v>
      </c>
      <c r="B18" s="53"/>
      <c r="C18" s="49">
        <f>'2025年中心利润表 '!C18+'2025年江苏分部利润表'!C18+'2025年浙江分部利润表'!C18+'2025年上海分部利润表'!C18+'2025年赣皖区域利润表'!C18</f>
        <v>0</v>
      </c>
      <c r="D18" s="49">
        <f>'2025年中心利润表 '!D18+'2025年江苏分部利润表'!D18+'2025年浙江分部利润表'!D18+'2025年上海分部利润表'!D18+'2025年赣皖区域利润表'!D18</f>
        <v>2551677.6914000013</v>
      </c>
      <c r="E18" s="49">
        <f>'2025年中心利润表 '!E18+'2025年江苏分部利润表'!E18+'2025年浙江分部利润表'!E18+'2025年上海分部利润表'!E18+'2025年赣皖区域利润表'!E18</f>
        <v>0</v>
      </c>
      <c r="F18" s="49">
        <f>'2025年中心利润表 '!F18+'2025年江苏分部利润表'!F18+'2025年浙江分部利润表'!F18+'2025年上海分部利润表'!F18+'2025年赣皖区域利润表'!F18</f>
        <v>1712611.227</v>
      </c>
      <c r="G18" s="49">
        <f>'2025年中心利润表 '!G18+'2025年江苏分部利润表'!G18+'2025年浙江分部利润表'!G18+'2025年上海分部利润表'!G18+'2025年赣皖区域利润表'!G18</f>
        <v>0</v>
      </c>
      <c r="H18" s="49">
        <f>'2025年中心利润表 '!H18+'2025年江苏分部利润表'!H18+'2025年浙江分部利润表'!H18+'2025年上海分部利润表'!H18+'2025年赣皖区域利润表'!H18</f>
        <v>2745204.7140000002</v>
      </c>
      <c r="I18" s="49">
        <f>'2025年中心利润表 '!I18+'2025年江苏分部利润表'!I18+'2025年浙江分部利润表'!I18+'2025年上海分部利润表'!I18+'2025年赣皖区域利润表'!I18</f>
        <v>0</v>
      </c>
      <c r="J18" s="49">
        <f>'2025年中心利润表 '!J18+'2025年江苏分部利润表'!J18+'2025年浙江分部利润表'!J18+'2025年上海分部利润表'!J18+'2025年赣皖区域利润表'!J18</f>
        <v>3044693.6698000003</v>
      </c>
      <c r="K18" s="49">
        <f>'2025年中心利润表 '!K18+'2025年江苏分部利润表'!K18+'2025年浙江分部利润表'!K18+'2025年上海分部利润表'!K18+'2025年赣皖区域利润表'!K18</f>
        <v>0</v>
      </c>
      <c r="L18" s="49">
        <f>'2025年中心利润表 '!L18+'2025年江苏分部利润表'!L18+'2025年浙江分部利润表'!L18+'2025年上海分部利润表'!L18+'2025年赣皖区域利润表'!L18</f>
        <v>1745247.3470000001</v>
      </c>
      <c r="M18" s="49">
        <f>'2025年中心利润表 '!M18+'2025年江苏分部利润表'!M18+'2025年浙江分部利润表'!M18+'2025年上海分部利润表'!M18+'2025年赣皖区域利润表'!M18</f>
        <v>0</v>
      </c>
      <c r="N18" s="49">
        <f>'2025年中心利润表 '!N18+'2025年江苏分部利润表'!N18+'2025年浙江分部利润表'!N18+'2025年上海分部利润表'!N18+'2025年赣皖区域利润表'!N18</f>
        <v>3120100.662800001</v>
      </c>
      <c r="O18" s="49">
        <f>'2025年中心利润表 '!O18+'2025年江苏分部利润表'!O18+'2025年浙江分部利润表'!O18+'2025年上海分部利润表'!O18+'2025年赣皖区域利润表'!O18</f>
        <v>0</v>
      </c>
      <c r="P18" s="49">
        <f>'2025年中心利润表 '!P18+'2025年江苏分部利润表'!P18+'2025年浙江分部利润表'!P18+'2025年上海分部利润表'!P18+'2025年赣皖区域利润表'!P18</f>
        <v>1649637.7962000002</v>
      </c>
      <c r="Q18" s="49">
        <f>'2025年中心利润表 '!Q18+'2025年江苏分部利润表'!Q18+'2025年浙江分部利润表'!Q18+'2025年上海分部利润表'!Q18+'2025年赣皖区域利润表'!Q18</f>
        <v>0</v>
      </c>
      <c r="R18" s="49">
        <f>'2025年中心利润表 '!R18+'2025年江苏分部利润表'!R18+'2025年浙江分部利润表'!R18+'2025年上海分部利润表'!R18+'2025年赣皖区域利润表'!R18</f>
        <v>2330888.5471999999</v>
      </c>
      <c r="S18" s="49">
        <f>'2025年中心利润表 '!S18+'2025年江苏分部利润表'!S18+'2025年浙江分部利润表'!S18+'2025年上海分部利润表'!S18+'2025年赣皖区域利润表'!S18</f>
        <v>0</v>
      </c>
      <c r="T18" s="49">
        <f>'2025年中心利润表 '!T18+'2025年江苏分部利润表'!T18+'2025年浙江分部利润表'!T18+'2025年上海分部利润表'!T18+'2025年赣皖区域利润表'!T18</f>
        <v>3714367.7588000013</v>
      </c>
      <c r="U18" s="49">
        <f>'2025年中心利润表 '!U18+'2025年江苏分部利润表'!U18+'2025年浙江分部利润表'!U18+'2025年上海分部利润表'!U18+'2025年赣皖区域利润表'!U18</f>
        <v>0</v>
      </c>
      <c r="V18" s="49">
        <f>'2025年中心利润表 '!V18+'2025年江苏分部利润表'!V18+'2025年浙江分部利润表'!V18+'2025年上海分部利润表'!V18+'2025年赣皖区域利润表'!V18</f>
        <v>2577851.3054</v>
      </c>
      <c r="W18" s="49">
        <f>'2025年中心利润表 '!W18+'2025年江苏分部利润表'!W18+'2025年浙江分部利润表'!W18+'2025年上海分部利润表'!W18+'2025年赣皖区域利润表'!W18</f>
        <v>0</v>
      </c>
      <c r="X18" s="49">
        <f>'2025年中心利润表 '!X18+'2025年江苏分部利润表'!X18+'2025年浙江分部利润表'!X18+'2025年上海分部利润表'!X18+'2025年赣皖区域利润表'!X18</f>
        <v>2382216.7785999998</v>
      </c>
      <c r="Y18" s="49">
        <f>'2025年中心利润表 '!Y18+'2025年江苏分部利润表'!Y18+'2025年浙江分部利润表'!Y18+'2025年上海分部利润表'!Y18+'2025年赣皖区域利润表'!Y18</f>
        <v>0</v>
      </c>
      <c r="Z18" s="49">
        <f>'2025年中心利润表 '!Z18+'2025年江苏分部利润表'!Z18+'2025年浙江分部利润表'!Z18+'2025年上海分部利润表'!Z18+'2025年赣皖区域利润表'!Z18</f>
        <v>3986784.1501999991</v>
      </c>
      <c r="AA18" s="51">
        <f t="shared" si="1"/>
        <v>0</v>
      </c>
      <c r="AB18" s="51">
        <f t="shared" si="2"/>
        <v>31561281.648399998</v>
      </c>
      <c r="AC18" s="94"/>
      <c r="AD18" s="31">
        <f t="shared" si="3"/>
        <v>0</v>
      </c>
      <c r="AE18" s="31">
        <f t="shared" si="4"/>
        <v>31561281.648399998</v>
      </c>
      <c r="AF18" s="17">
        <f t="shared" si="7"/>
        <v>0</v>
      </c>
      <c r="AG18" s="17">
        <f t="shared" si="8"/>
        <v>0</v>
      </c>
      <c r="AH18" s="17">
        <f>SUM('[1]2024年全面预算利润表 (销售1中心)2.8亿'!E21:H21)</f>
        <v>579657.06999999995</v>
      </c>
    </row>
    <row r="19" spans="1:59" s="19" customFormat="1" ht="18" hidden="1" customHeight="1" outlineLevel="1" x14ac:dyDescent="0.25">
      <c r="A19" s="48" t="s">
        <v>91</v>
      </c>
      <c r="B19" s="53"/>
      <c r="C19" s="49">
        <f>'2025年中心利润表 '!C19+'2025年江苏分部利润表'!C19+'2025年浙江分部利润表'!C19+'2025年上海分部利润表'!C19+'2025年赣皖区域利润表'!C19</f>
        <v>0</v>
      </c>
      <c r="D19" s="49">
        <f>'2025年中心利润表 '!D19+'2025年江苏分部利润表'!D19+'2025年浙江分部利润表'!D19+'2025年上海分部利润表'!D19+'2025年赣皖区域利润表'!D19</f>
        <v>2170913.336600001</v>
      </c>
      <c r="E19" s="49">
        <f>'2025年中心利润表 '!E19+'2025年江苏分部利润表'!E19+'2025年浙江分部利润表'!E19+'2025年上海分部利润表'!E19+'2025年赣皖区域利润表'!E19</f>
        <v>0</v>
      </c>
      <c r="F19" s="49">
        <f>'2025年中心利润表 '!F19+'2025年江苏分部利润表'!F19+'2025年浙江分部利润表'!F19+'2025年上海分部利润表'!F19+'2025年赣皖区域利润表'!F19</f>
        <v>1248175.659599999</v>
      </c>
      <c r="G19" s="49">
        <f>'2025年中心利润表 '!G19+'2025年江苏分部利润表'!G19+'2025年浙江分部利润表'!G19+'2025年上海分部利润表'!G19+'2025年赣皖区域利润表'!G19</f>
        <v>0</v>
      </c>
      <c r="H19" s="49">
        <f>'2025年中心利润表 '!H19+'2025年江苏分部利润表'!H19+'2025年浙江分部利润表'!H19+'2025年上海分部利润表'!H19+'2025年赣皖区域利润表'!H19</f>
        <v>1071829.1746</v>
      </c>
      <c r="I19" s="49">
        <f>'2025年中心利润表 '!I19+'2025年江苏分部利润表'!I19+'2025年浙江分部利润表'!I19+'2025年上海分部利润表'!I19+'2025年赣皖区域利润表'!I19</f>
        <v>0</v>
      </c>
      <c r="J19" s="49">
        <f>'2025年中心利润表 '!J19+'2025年江苏分部利润表'!J19+'2025年浙江分部利润表'!J19+'2025年上海分部利润表'!J19+'2025年赣皖区域利润表'!J19</f>
        <v>2226700.7116000019</v>
      </c>
      <c r="K19" s="49">
        <f>'2025年中心利润表 '!K19+'2025年江苏分部利润表'!K19+'2025年浙江分部利润表'!K19+'2025年上海分部利润表'!K19+'2025年赣皖区域利润表'!K19</f>
        <v>0</v>
      </c>
      <c r="L19" s="49">
        <f>'2025年中心利润表 '!L19+'2025年江苏分部利润表'!L19+'2025年浙江分部利润表'!L19+'2025年上海分部利润表'!L19+'2025年赣皖区域利润表'!L19</f>
        <v>1739939.4702000001</v>
      </c>
      <c r="M19" s="49">
        <f>'2025年中心利润表 '!M19+'2025年江苏分部利润表'!M19+'2025年浙江分部利润表'!M19+'2025年上海分部利润表'!M19+'2025年赣皖区域利润表'!M19</f>
        <v>0</v>
      </c>
      <c r="N19" s="49">
        <f>'2025年中心利润表 '!N19+'2025年江苏分部利润表'!N19+'2025年浙江分部利润表'!N19+'2025年上海分部利润表'!N19+'2025年赣皖区域利润表'!N19</f>
        <v>1915998.905</v>
      </c>
      <c r="O19" s="49">
        <f>'2025年中心利润表 '!O19+'2025年江苏分部利润表'!O19+'2025年浙江分部利润表'!O19+'2025年上海分部利润表'!O19+'2025年赣皖区域利润表'!O19</f>
        <v>0</v>
      </c>
      <c r="P19" s="49">
        <f>'2025年中心利润表 '!P19+'2025年江苏分部利润表'!P19+'2025年浙江分部利润表'!P19+'2025年上海分部利润表'!P19+'2025年赣皖区域利润表'!P19</f>
        <v>2049829.0067999989</v>
      </c>
      <c r="Q19" s="49">
        <f>'2025年中心利润表 '!Q19+'2025年江苏分部利润表'!Q19+'2025年浙江分部利润表'!Q19+'2025年上海分部利润表'!Q19+'2025年赣皖区域利润表'!Q19</f>
        <v>0</v>
      </c>
      <c r="R19" s="49">
        <f>'2025年中心利润表 '!R19+'2025年江苏分部利润表'!R19+'2025年浙江分部利润表'!R19+'2025年上海分部利润表'!R19+'2025年赣皖区域利润表'!R19</f>
        <v>2078181.8532000002</v>
      </c>
      <c r="S19" s="49">
        <f>'2025年中心利润表 '!S19+'2025年江苏分部利润表'!S19+'2025年浙江分部利润表'!S19+'2025年上海分部利润表'!S19+'2025年赣皖区域利润表'!S19</f>
        <v>0</v>
      </c>
      <c r="T19" s="49">
        <f>'2025年中心利润表 '!T19+'2025年江苏分部利润表'!T19+'2025年浙江分部利润表'!T19+'2025年上海分部利润表'!T19+'2025年赣皖区域利润表'!T19</f>
        <v>2484468.8296000003</v>
      </c>
      <c r="U19" s="49">
        <f>'2025年中心利润表 '!U19+'2025年江苏分部利润表'!U19+'2025年浙江分部利润表'!U19+'2025年上海分部利润表'!U19+'2025年赣皖区域利润表'!U19</f>
        <v>0</v>
      </c>
      <c r="V19" s="49">
        <f>'2025年中心利润表 '!V19+'2025年江苏分部利润表'!V19+'2025年浙江分部利润表'!V19+'2025年上海分部利润表'!V19+'2025年赣皖区域利润表'!V19</f>
        <v>1567446.7990000001</v>
      </c>
      <c r="W19" s="49">
        <f>'2025年中心利润表 '!W19+'2025年江苏分部利润表'!W19+'2025年浙江分部利润表'!W19+'2025年上海分部利润表'!W19+'2025年赣皖区域利润表'!W19</f>
        <v>0</v>
      </c>
      <c r="X19" s="49">
        <f>'2025年中心利润表 '!X19+'2025年江苏分部利润表'!X19+'2025年浙江分部利润表'!X19+'2025年上海分部利润表'!X19+'2025年赣皖区域利润表'!X19</f>
        <v>2132616.9882</v>
      </c>
      <c r="Y19" s="49">
        <f>'2025年中心利润表 '!Y19+'2025年江苏分部利润表'!Y19+'2025年浙江分部利润表'!Y19+'2025年上海分部利润表'!Y19+'2025年赣皖区域利润表'!Y19</f>
        <v>0</v>
      </c>
      <c r="Z19" s="49">
        <f>'2025年中心利润表 '!Z19+'2025年江苏分部利润表'!Z19+'2025年浙江分部利润表'!Z19+'2025年上海分部利润表'!Z19+'2025年赣皖区域利润表'!Z19</f>
        <v>3427706.7603999996</v>
      </c>
      <c r="AA19" s="51">
        <f t="shared" si="1"/>
        <v>0</v>
      </c>
      <c r="AB19" s="51">
        <f t="shared" si="2"/>
        <v>24113807.494800001</v>
      </c>
      <c r="AC19" s="94"/>
      <c r="AD19" s="31">
        <f t="shared" si="3"/>
        <v>0</v>
      </c>
      <c r="AE19" s="31">
        <f t="shared" si="4"/>
        <v>24113807.494800001</v>
      </c>
      <c r="AF19" s="17">
        <f t="shared" si="7"/>
        <v>0</v>
      </c>
      <c r="AG19" s="17">
        <f t="shared" si="8"/>
        <v>0</v>
      </c>
      <c r="AH19" s="17">
        <f>SUM('[1]2024年全面预算利润表 (销售1中心)2.8亿'!E22:H22)</f>
        <v>0</v>
      </c>
    </row>
    <row r="20" spans="1:59" s="19" customFormat="1" ht="18" hidden="1" customHeight="1" outlineLevel="1" x14ac:dyDescent="0.25">
      <c r="A20" s="48" t="s">
        <v>92</v>
      </c>
      <c r="B20" s="53"/>
      <c r="C20" s="49">
        <f>'2025年中心利润表 '!C20+'2025年江苏分部利润表'!C20+'2025年浙江分部利润表'!C20+'2025年上海分部利润表'!C20+'2025年赣皖区域利润表'!C20</f>
        <v>0</v>
      </c>
      <c r="D20" s="49">
        <f>'2025年中心利润表 '!D20+'2025年江苏分部利润表'!D20+'2025年浙江分部利润表'!D20+'2025年上海分部利润表'!D20+'2025年赣皖区域利润表'!D20</f>
        <v>332705.45799999998</v>
      </c>
      <c r="E20" s="49">
        <f>'2025年中心利润表 '!E20+'2025年江苏分部利润表'!E20+'2025年浙江分部利润表'!E20+'2025年上海分部利润表'!E20+'2025年赣皖区域利润表'!E20</f>
        <v>0</v>
      </c>
      <c r="F20" s="49">
        <f>'2025年中心利润表 '!F20+'2025年江苏分部利润表'!F20+'2025年浙江分部利润表'!F20+'2025年上海分部利润表'!F20+'2025年赣皖区域利润表'!F20</f>
        <v>132104.2078</v>
      </c>
      <c r="G20" s="49">
        <f>'2025年中心利润表 '!G20+'2025年江苏分部利润表'!G20+'2025年浙江分部利润表'!G20+'2025年上海分部利润表'!G20+'2025年赣皖区域利润表'!G20</f>
        <v>0</v>
      </c>
      <c r="H20" s="49">
        <f>'2025年中心利润表 '!H20+'2025年江苏分部利润表'!H20+'2025年浙江分部利润表'!H20+'2025年上海分部利润表'!H20+'2025年赣皖区域利润表'!H20</f>
        <v>181666.7248</v>
      </c>
      <c r="I20" s="49">
        <f>'2025年中心利润表 '!I20+'2025年江苏分部利润表'!I20+'2025年浙江分部利润表'!I20+'2025年上海分部利润表'!I20+'2025年赣皖区域利润表'!I20</f>
        <v>0</v>
      </c>
      <c r="J20" s="49">
        <f>'2025年中心利润表 '!J20+'2025年江苏分部利润表'!J20+'2025年浙江分部利润表'!J20+'2025年上海分部利润表'!J20+'2025年赣皖区域利润表'!J20</f>
        <v>340450.67420000001</v>
      </c>
      <c r="K20" s="49">
        <f>'2025年中心利润表 '!K20+'2025年江苏分部利润表'!K20+'2025年浙江分部利润表'!K20+'2025年上海分部利润表'!K20+'2025年赣皖区域利润表'!K20</f>
        <v>0</v>
      </c>
      <c r="L20" s="49">
        <f>'2025年中心利润表 '!L20+'2025年江苏分部利润表'!L20+'2025年浙江分部利润表'!L20+'2025年上海分部利润表'!L20+'2025年赣皖区域利润表'!L20</f>
        <v>248423.2164</v>
      </c>
      <c r="M20" s="49">
        <f>'2025年中心利润表 '!M20+'2025年江苏分部利润表'!M20+'2025年浙江分部利润表'!M20+'2025年上海分部利润表'!M20+'2025年赣皖区域利润表'!M20</f>
        <v>0</v>
      </c>
      <c r="N20" s="49">
        <f>'2025年中心利润表 '!N20+'2025年江苏分部利润表'!N20+'2025年浙江分部利润表'!N20+'2025年上海分部利润表'!N20+'2025年赣皖区域利润表'!N20</f>
        <v>228009.0698</v>
      </c>
      <c r="O20" s="49">
        <f>'2025年中心利润表 '!O20+'2025年江苏分部利润表'!O20+'2025年浙江分部利润表'!O20+'2025年上海分部利润表'!O20+'2025年赣皖区域利润表'!O20</f>
        <v>0</v>
      </c>
      <c r="P20" s="49">
        <f>'2025年中心利润表 '!P20+'2025年江苏分部利润表'!P20+'2025年浙江分部利润表'!P20+'2025年上海分部利润表'!P20+'2025年赣皖区域利润表'!P20</f>
        <v>282312.72560000001</v>
      </c>
      <c r="Q20" s="49">
        <f>'2025年中心利润表 '!Q20+'2025年江苏分部利润表'!Q20+'2025年浙江分部利润表'!Q20+'2025年上海分部利润表'!Q20+'2025年赣皖区域利润表'!Q20</f>
        <v>0</v>
      </c>
      <c r="R20" s="49">
        <f>'2025年中心利润表 '!R20+'2025年江苏分部利润表'!R20+'2025年浙江分部利润表'!R20+'2025年上海分部利润表'!R20+'2025年赣皖区域利润表'!R20</f>
        <v>363547.08400000003</v>
      </c>
      <c r="S20" s="49">
        <f>'2025年中心利润表 '!S20+'2025年江苏分部利润表'!S20+'2025年浙江分部利润表'!S20+'2025年上海分部利润表'!S20+'2025年赣皖区域利润表'!S20</f>
        <v>0</v>
      </c>
      <c r="T20" s="49">
        <f>'2025年中心利润表 '!T20+'2025年江苏分部利润表'!T20+'2025年浙江分部利润表'!T20+'2025年上海分部利润表'!T20+'2025年赣皖区域利润表'!T20</f>
        <v>348990.09120000002</v>
      </c>
      <c r="U20" s="49">
        <f>'2025年中心利润表 '!U20+'2025年江苏分部利润表'!U20+'2025年浙江分部利润表'!U20+'2025年上海分部利润表'!U20+'2025年赣皖区域利润表'!U20</f>
        <v>0</v>
      </c>
      <c r="V20" s="49">
        <f>'2025年中心利润表 '!V20+'2025年江苏分部利润表'!V20+'2025年浙江分部利润表'!V20+'2025年上海分部利润表'!V20+'2025年赣皖区域利润表'!V20</f>
        <v>289545.75240000006</v>
      </c>
      <c r="W20" s="49">
        <f>'2025年中心利润表 '!W20+'2025年江苏分部利润表'!W20+'2025年浙江分部利润表'!W20+'2025年上海分部利润表'!W20+'2025年赣皖区域利润表'!W20</f>
        <v>0</v>
      </c>
      <c r="X20" s="49">
        <f>'2025年中心利润表 '!X20+'2025年江苏分部利润表'!X20+'2025年浙江分部利润表'!X20+'2025年上海分部利润表'!X20+'2025年赣皖区域利润表'!X20</f>
        <v>197452.50459999999</v>
      </c>
      <c r="Y20" s="49">
        <f>'2025年中心利润表 '!Y20+'2025年江苏分部利润表'!Y20+'2025年浙江分部利润表'!Y20+'2025年上海分部利润表'!Y20+'2025年赣皖区域利润表'!Y20</f>
        <v>0</v>
      </c>
      <c r="Z20" s="49">
        <f>'2025年中心利润表 '!Z20+'2025年江苏分部利润表'!Z20+'2025年浙江分部利润表'!Z20+'2025年上海分部利润表'!Z20+'2025年赣皖区域利润表'!Z20</f>
        <v>212481.71420000002</v>
      </c>
      <c r="AA20" s="51">
        <f t="shared" si="1"/>
        <v>0</v>
      </c>
      <c r="AB20" s="51">
        <f t="shared" si="2"/>
        <v>3157689.2230000002</v>
      </c>
      <c r="AC20" s="94"/>
      <c r="AD20" s="31">
        <f t="shared" si="3"/>
        <v>0</v>
      </c>
      <c r="AE20" s="31">
        <f t="shared" si="4"/>
        <v>3157689.2230000002</v>
      </c>
      <c r="AF20" s="17">
        <f t="shared" si="7"/>
        <v>0</v>
      </c>
      <c r="AG20" s="17">
        <f t="shared" si="8"/>
        <v>0</v>
      </c>
      <c r="AH20" s="17">
        <f>SUM('[1]2024年全面预算利润表 (销售1中心)2.8亿'!E23:H23)</f>
        <v>6733315.00704752</v>
      </c>
    </row>
    <row r="21" spans="1:59" s="19" customFormat="1" ht="18" hidden="1" customHeight="1" outlineLevel="1" x14ac:dyDescent="0.25">
      <c r="A21" s="48" t="s">
        <v>93</v>
      </c>
      <c r="B21" s="53"/>
      <c r="C21" s="49">
        <f>'2025年中心利润表 '!C21+'2025年江苏分部利润表'!C21+'2025年浙江分部利润表'!C21+'2025年上海分部利润表'!C21+'2025年赣皖区域利润表'!C21</f>
        <v>0</v>
      </c>
      <c r="D21" s="49">
        <f>'2025年中心利润表 '!D21+'2025年江苏分部利润表'!D21+'2025年浙江分部利润表'!D21+'2025年上海分部利润表'!D21+'2025年赣皖区域利润表'!D21</f>
        <v>217523.13060000009</v>
      </c>
      <c r="E21" s="49">
        <f>'2025年中心利润表 '!E21+'2025年江苏分部利润表'!E21+'2025年浙江分部利润表'!E21+'2025年上海分部利润表'!E21+'2025年赣皖区域利润表'!E21</f>
        <v>0</v>
      </c>
      <c r="F21" s="49">
        <f>'2025年中心利润表 '!F21+'2025年江苏分部利润表'!F21+'2025年浙江分部利润表'!F21+'2025年上海分部利润表'!F21+'2025年赣皖区域利润表'!F21</f>
        <v>68380.712200000009</v>
      </c>
      <c r="G21" s="49">
        <f>'2025年中心利润表 '!G21+'2025年江苏分部利润表'!G21+'2025年浙江分部利润表'!G21+'2025年上海分部利润表'!G21+'2025年赣皖区域利润表'!G21</f>
        <v>0</v>
      </c>
      <c r="H21" s="49">
        <f>'2025年中心利润表 '!H21+'2025年江苏分部利润表'!H21+'2025年浙江分部利润表'!H21+'2025年上海分部利润表'!H21+'2025年赣皖区域利润表'!H21</f>
        <v>78636.42300000001</v>
      </c>
      <c r="I21" s="49">
        <f>'2025年中心利润表 '!I21+'2025年江苏分部利润表'!I21+'2025年浙江分部利润表'!I21+'2025年上海分部利润表'!I21+'2025年赣皖区域利润表'!I21</f>
        <v>0</v>
      </c>
      <c r="J21" s="49">
        <f>'2025年中心利润表 '!J21+'2025年江苏分部利润表'!J21+'2025年浙江分部利润表'!J21+'2025年上海分部利润表'!J21+'2025年赣皖区域利润表'!J21</f>
        <v>284751.34899999999</v>
      </c>
      <c r="K21" s="49">
        <f>'2025年中心利润表 '!K21+'2025年江苏分部利润表'!K21+'2025年浙江分部利润表'!K21+'2025年上海分部利润表'!K21+'2025年赣皖区域利润表'!K21</f>
        <v>0</v>
      </c>
      <c r="L21" s="49">
        <f>'2025年中心利润表 '!L21+'2025年江苏分部利润表'!L21+'2025年浙江分部利润表'!L21+'2025年上海分部利润表'!L21+'2025年赣皖区域利润表'!L21</f>
        <v>76409.411800000016</v>
      </c>
      <c r="M21" s="49">
        <f>'2025年中心利润表 '!M21+'2025年江苏分部利润表'!M21+'2025年浙江分部利润表'!M21+'2025年上海分部利润表'!M21+'2025年赣皖区域利润表'!M21</f>
        <v>0</v>
      </c>
      <c r="N21" s="49">
        <f>'2025年中心利润表 '!N21+'2025年江苏分部利润表'!N21+'2025年浙江分部利润表'!N21+'2025年上海分部利润表'!N21+'2025年赣皖区域利润表'!N21</f>
        <v>143277.85340000002</v>
      </c>
      <c r="O21" s="49">
        <f>'2025年中心利润表 '!O21+'2025年江苏分部利润表'!O21+'2025年浙江分部利润表'!O21+'2025年上海分部利润表'!O21+'2025年赣皖区域利润表'!O21</f>
        <v>0</v>
      </c>
      <c r="P21" s="49">
        <f>'2025年中心利润表 '!P21+'2025年江苏分部利润表'!P21+'2025年浙江分部利润表'!P21+'2025年上海分部利润表'!P21+'2025年赣皖区域利润表'!P21</f>
        <v>165818.81700000001</v>
      </c>
      <c r="Q21" s="49">
        <f>'2025年中心利润表 '!Q21+'2025年江苏分部利润表'!Q21+'2025年浙江分部利润表'!Q21+'2025年上海分部利润表'!Q21+'2025年赣皖区域利润表'!Q21</f>
        <v>0</v>
      </c>
      <c r="R21" s="49">
        <f>'2025年中心利润表 '!R21+'2025年江苏分部利润表'!R21+'2025年浙江分部利润表'!R21+'2025年上海分部利润表'!R21+'2025年赣皖区域利润表'!R21</f>
        <v>141995.3248</v>
      </c>
      <c r="S21" s="49">
        <f>'2025年中心利润表 '!S21+'2025年江苏分部利润表'!S21+'2025年浙江分部利润表'!S21+'2025年上海分部利润表'!S21+'2025年赣皖区域利润表'!S21</f>
        <v>0</v>
      </c>
      <c r="T21" s="49">
        <f>'2025年中心利润表 '!T21+'2025年江苏分部利润表'!T21+'2025年浙江分部利润表'!T21+'2025年上海分部利润表'!T21+'2025年赣皖区域利润表'!T21</f>
        <v>321549.18420000002</v>
      </c>
      <c r="U21" s="49">
        <f>'2025年中心利润表 '!U21+'2025年江苏分部利润表'!U21+'2025年浙江分部利润表'!U21+'2025年上海分部利润表'!U21+'2025年赣皖区域利润表'!U21</f>
        <v>0</v>
      </c>
      <c r="V21" s="49">
        <f>'2025年中心利润表 '!V21+'2025年江苏分部利润表'!V21+'2025年浙江分部利润表'!V21+'2025年上海分部利润表'!V21+'2025年赣皖区域利润表'!V21</f>
        <v>117430.5552</v>
      </c>
      <c r="W21" s="49">
        <f>'2025年中心利润表 '!W21+'2025年江苏分部利润表'!W21+'2025年浙江分部利润表'!W21+'2025年上海分部利润表'!W21+'2025年赣皖区域利润表'!W21</f>
        <v>0</v>
      </c>
      <c r="X21" s="49">
        <f>'2025年中心利润表 '!X21+'2025年江苏分部利润表'!X21+'2025年浙江分部利润表'!X21+'2025年上海分部利润表'!X21+'2025年赣皖区域利润表'!X21</f>
        <v>136863.46980000002</v>
      </c>
      <c r="Y21" s="49">
        <f>'2025年中心利润表 '!Y21+'2025年江苏分部利润表'!Y21+'2025年浙江分部利润表'!Y21+'2025年上海分部利润表'!Y21+'2025年赣皖区域利润表'!Y21</f>
        <v>0</v>
      </c>
      <c r="Z21" s="49">
        <f>'2025年中心利润表 '!Z21+'2025年江苏分部利润表'!Z21+'2025年浙江分部利润表'!Z21+'2025年上海分部利润表'!Z21+'2025年赣皖区域利润表'!Z21</f>
        <v>77007.8122</v>
      </c>
      <c r="AA21" s="51">
        <f t="shared" si="1"/>
        <v>0</v>
      </c>
      <c r="AB21" s="51">
        <f t="shared" si="2"/>
        <v>1829644.0432000004</v>
      </c>
      <c r="AC21" s="94"/>
      <c r="AD21" s="31">
        <f t="shared" si="3"/>
        <v>0</v>
      </c>
      <c r="AE21" s="31">
        <f t="shared" si="4"/>
        <v>1829644.0432000004</v>
      </c>
      <c r="AF21" s="17">
        <f t="shared" si="7"/>
        <v>0</v>
      </c>
      <c r="AG21" s="17">
        <f t="shared" si="8"/>
        <v>0</v>
      </c>
      <c r="AH21" s="17">
        <f>SUM('[1]2024年全面预算利润表 (销售1中心)2.8亿'!E24:H24)</f>
        <v>0</v>
      </c>
    </row>
    <row r="22" spans="1:59" s="19" customFormat="1" ht="18" hidden="1" customHeight="1" outlineLevel="1" x14ac:dyDescent="0.25">
      <c r="A22" s="48" t="s">
        <v>94</v>
      </c>
      <c r="B22" s="53"/>
      <c r="C22" s="49">
        <f>'2025年中心利润表 '!C22+'2025年江苏分部利润表'!C22+'2025年浙江分部利润表'!C22+'2025年上海分部利润表'!C22+'2025年赣皖区域利润表'!C22</f>
        <v>0</v>
      </c>
      <c r="D22" s="49">
        <f>'2025年中心利润表 '!D22+'2025年江苏分部利润表'!D22+'2025年浙江分部利润表'!D22+'2025年上海分部利润表'!D22+'2025年赣皖区域利润表'!D22</f>
        <v>4247.9960000000001</v>
      </c>
      <c r="E22" s="49">
        <f>'2025年中心利润表 '!E22+'2025年江苏分部利润表'!E22+'2025年浙江分部利润表'!E22+'2025年上海分部利润表'!E22+'2025年赣皖区域利润表'!E22</f>
        <v>0</v>
      </c>
      <c r="F22" s="49">
        <f>'2025年中心利润表 '!F22+'2025年江苏分部利润表'!F22+'2025年浙江分部利润表'!F22+'2025年上海分部利润表'!F22+'2025年赣皖区域利润表'!F22</f>
        <v>10651.326400000002</v>
      </c>
      <c r="G22" s="49">
        <f>'2025年中心利润表 '!G22+'2025年江苏分部利润表'!G22+'2025年浙江分部利润表'!G22+'2025年上海分部利润表'!G22+'2025年赣皖区域利润表'!G22</f>
        <v>0</v>
      </c>
      <c r="H22" s="49">
        <f>'2025年中心利润表 '!H22+'2025年江苏分部利润表'!H22+'2025年浙江分部利润表'!H22+'2025年上海分部利润表'!H22+'2025年赣皖区域利润表'!H22</f>
        <v>6748.6152000000002</v>
      </c>
      <c r="I22" s="49">
        <f>'2025年中心利润表 '!I22+'2025年江苏分部利润表'!I22+'2025年浙江分部利润表'!I22+'2025年上海分部利润表'!I22+'2025年赣皖区域利润表'!I22</f>
        <v>0</v>
      </c>
      <c r="J22" s="49">
        <f>'2025年中心利润表 '!J22+'2025年江苏分部利润表'!J22+'2025年浙江分部利润表'!J22+'2025年上海分部利润表'!J22+'2025年赣皖区域利润表'!J22</f>
        <v>4176.8999999999996</v>
      </c>
      <c r="K22" s="49">
        <f>'2025年中心利润表 '!K22+'2025年江苏分部利润表'!K22+'2025年浙江分部利润表'!K22+'2025年上海分部利润表'!K22+'2025年赣皖区域利润表'!K22</f>
        <v>0</v>
      </c>
      <c r="L22" s="49">
        <f>'2025年中心利润表 '!L22+'2025年江苏分部利润表'!L22+'2025年浙江分部利润表'!L22+'2025年上海分部利润表'!L22+'2025年赣皖区域利润表'!L22</f>
        <v>638.4144</v>
      </c>
      <c r="M22" s="49">
        <f>'2025年中心利润表 '!M22+'2025年江苏分部利润表'!M22+'2025年浙江分部利润表'!M22+'2025年上海分部利润表'!M22+'2025年赣皖区域利润表'!M22</f>
        <v>0</v>
      </c>
      <c r="N22" s="49">
        <f>'2025年中心利润表 '!N22+'2025年江苏分部利润表'!N22+'2025年浙江分部利润表'!N22+'2025年上海分部利润表'!N22+'2025年赣皖区域利润表'!N22</f>
        <v>1418.2168000000001</v>
      </c>
      <c r="O22" s="49">
        <f>'2025年中心利润表 '!O22+'2025年江苏分部利润表'!O22+'2025年浙江分部利润表'!O22+'2025年上海分部利润表'!O22+'2025年赣皖区域利润表'!O22</f>
        <v>0</v>
      </c>
      <c r="P22" s="49">
        <f>'2025年中心利润表 '!P22+'2025年江苏分部利润表'!P22+'2025年浙江分部利润表'!P22+'2025年上海分部利润表'!P22+'2025年赣皖区域利润表'!P22</f>
        <v>5082.6360000000004</v>
      </c>
      <c r="Q22" s="49">
        <f>'2025年中心利润表 '!Q22+'2025年江苏分部利润表'!Q22+'2025年浙江分部利润表'!Q22+'2025年上海分部利润表'!Q22+'2025年赣皖区域利润表'!Q22</f>
        <v>0</v>
      </c>
      <c r="R22" s="49">
        <f>'2025年中心利润表 '!R22+'2025年江苏分部利润表'!R22+'2025年浙江分部利润表'!R22+'2025年上海分部利润表'!R22+'2025年赣皖区域利润表'!R22</f>
        <v>143.68639999999999</v>
      </c>
      <c r="S22" s="49">
        <f>'2025年中心利润表 '!S22+'2025年江苏分部利润表'!S22+'2025年浙江分部利润表'!S22+'2025年上海分部利润表'!S22+'2025年赣皖区域利润表'!S22</f>
        <v>0</v>
      </c>
      <c r="T22" s="49">
        <f>'2025年中心利润表 '!T22+'2025年江苏分部利润表'!T22+'2025年浙江分部利润表'!T22+'2025年上海分部利润表'!T22+'2025年赣皖区域利润表'!T22</f>
        <v>0</v>
      </c>
      <c r="U22" s="49">
        <f>'2025年中心利润表 '!U22+'2025年江苏分部利润表'!U22+'2025年浙江分部利润表'!U22+'2025年上海分部利润表'!U22+'2025年赣皖区域利润表'!U22</f>
        <v>0</v>
      </c>
      <c r="V22" s="49">
        <f>'2025年中心利润表 '!V22+'2025年江苏分部利润表'!V22+'2025年浙江分部利润表'!V22+'2025年上海分部利润表'!V22+'2025年赣皖区域利润表'!V22</f>
        <v>380.86880000000002</v>
      </c>
      <c r="W22" s="49">
        <f>'2025年中心利润表 '!W22+'2025年江苏分部利润表'!W22+'2025年浙江分部利润表'!W22+'2025年上海分部利润表'!W22+'2025年赣皖区域利润表'!W22</f>
        <v>0</v>
      </c>
      <c r="X22" s="49">
        <f>'2025年中心利润表 '!X22+'2025年江苏分部利润表'!X22+'2025年浙江分部利润表'!X22+'2025年上海分部利润表'!X22+'2025年赣皖区域利润表'!X22</f>
        <v>3904.6384000000003</v>
      </c>
      <c r="Y22" s="49">
        <f>'2025年中心利润表 '!Y22+'2025年江苏分部利润表'!Y22+'2025年浙江分部利润表'!Y22+'2025年上海分部利润表'!Y22+'2025年赣皖区域利润表'!Y22</f>
        <v>0</v>
      </c>
      <c r="Z22" s="49">
        <f>'2025年中心利润表 '!Z22+'2025年江苏分部利润表'!Z22+'2025年浙江分部利润表'!Z22+'2025年上海分部利润表'!Z22+'2025年赣皖区域利润表'!Z22</f>
        <v>6817.2</v>
      </c>
      <c r="AA22" s="51">
        <f t="shared" si="1"/>
        <v>0</v>
      </c>
      <c r="AB22" s="51">
        <f t="shared" si="2"/>
        <v>44210.498399999997</v>
      </c>
      <c r="AC22" s="94"/>
      <c r="AD22" s="31">
        <f t="shared" si="3"/>
        <v>0</v>
      </c>
      <c r="AE22" s="31">
        <f t="shared" si="4"/>
        <v>44210.498399999997</v>
      </c>
      <c r="AF22" s="17">
        <f t="shared" si="7"/>
        <v>0</v>
      </c>
      <c r="AG22" s="17">
        <f t="shared" si="8"/>
        <v>0</v>
      </c>
      <c r="AH22" s="17">
        <f>SUM('[1]2024年全面预算利润表 (销售1中心)2.8亿'!E25:H25)</f>
        <v>0</v>
      </c>
    </row>
    <row r="23" spans="1:59" s="19" customFormat="1" ht="18" hidden="1" customHeight="1" outlineLevel="1" x14ac:dyDescent="0.25">
      <c r="A23" s="48" t="s">
        <v>95</v>
      </c>
      <c r="B23" s="53"/>
      <c r="C23" s="49">
        <f>'2025年中心利润表 '!C23+'2025年江苏分部利润表'!C23+'2025年浙江分部利润表'!C23+'2025年上海分部利润表'!C23+'2025年赣皖区域利润表'!C23</f>
        <v>0</v>
      </c>
      <c r="D23" s="49">
        <f>'2025年中心利润表 '!D23+'2025年江苏分部利润表'!D23+'2025年浙江分部利润表'!D23+'2025年上海分部利润表'!D23+'2025年赣皖区域利润表'!D23</f>
        <v>30967.084000000003</v>
      </c>
      <c r="E23" s="49">
        <f>'2025年中心利润表 '!E23+'2025年江苏分部利润表'!E23+'2025年浙江分部利润表'!E23+'2025年上海分部利润表'!E23+'2025年赣皖区域利润表'!E23</f>
        <v>0</v>
      </c>
      <c r="F23" s="49">
        <f>'2025年中心利润表 '!F23+'2025年江苏分部利润表'!F23+'2025年浙江分部利润表'!F23+'2025年上海分部利润表'!F23+'2025年赣皖区域利润表'!F23</f>
        <v>7925.4</v>
      </c>
      <c r="G23" s="49">
        <f>'2025年中心利润表 '!G23+'2025年江苏分部利润表'!G23+'2025年浙江分部利润表'!G23+'2025年上海分部利润表'!G23+'2025年赣皖区域利润表'!G23</f>
        <v>0</v>
      </c>
      <c r="H23" s="49">
        <f>'2025年中心利润表 '!H23+'2025年江苏分部利润表'!H23+'2025年浙江分部利润表'!H23+'2025年上海分部利润表'!H23+'2025年赣皖区域利润表'!H23</f>
        <v>19220.133999999998</v>
      </c>
      <c r="I23" s="49">
        <f>'2025年中心利润表 '!I23+'2025年江苏分部利润表'!I23+'2025年浙江分部利润表'!I23+'2025年上海分部利润表'!I23+'2025年赣皖区域利润表'!I23</f>
        <v>0</v>
      </c>
      <c r="J23" s="49">
        <f>'2025年中心利润表 '!J23+'2025年江苏分部利润表'!J23+'2025年浙江分部利润表'!J23+'2025年上海分部利润表'!J23+'2025年赣皖区域利润表'!J23</f>
        <v>18814.096000000001</v>
      </c>
      <c r="K23" s="49">
        <f>'2025年中心利润表 '!K23+'2025年江苏分部利润表'!K23+'2025年浙江分部利润表'!K23+'2025年上海分部利润表'!K23+'2025年赣皖区域利润表'!K23</f>
        <v>0</v>
      </c>
      <c r="L23" s="49">
        <f>'2025年中心利润表 '!L23+'2025年江苏分部利润表'!L23+'2025年浙江分部利润表'!L23+'2025年上海分部利润表'!L23+'2025年赣皖区域利润表'!L23</f>
        <v>11154.92</v>
      </c>
      <c r="M23" s="49">
        <f>'2025年中心利润表 '!M23+'2025年江苏分部利润表'!M23+'2025年浙江分部利润表'!M23+'2025年上海分部利润表'!M23+'2025年赣皖区域利润表'!M23</f>
        <v>0</v>
      </c>
      <c r="N23" s="49">
        <f>'2025年中心利润表 '!N23+'2025年江苏分部利润表'!N23+'2025年浙江分部利润表'!N23+'2025年上海分部利润表'!N23+'2025年赣皖区域利润表'!N23</f>
        <v>9773.09</v>
      </c>
      <c r="O23" s="49">
        <f>'2025年中心利润表 '!O23+'2025年江苏分部利润表'!O23+'2025年浙江分部利润表'!O23+'2025年上海分部利润表'!O23+'2025年赣皖区域利润表'!O23</f>
        <v>0</v>
      </c>
      <c r="P23" s="49">
        <f>'2025年中心利润表 '!P23+'2025年江苏分部利润表'!P23+'2025年浙江分部利润表'!P23+'2025年上海分部利润表'!P23+'2025年赣皖区域利润表'!P23</f>
        <v>11533.4</v>
      </c>
      <c r="Q23" s="49">
        <f>'2025年中心利润表 '!Q23+'2025年江苏分部利润表'!Q23+'2025年浙江分部利润表'!Q23+'2025年上海分部利润表'!Q23+'2025年赣皖区域利润表'!Q23</f>
        <v>0</v>
      </c>
      <c r="R23" s="49">
        <f>'2025年中心利润表 '!R23+'2025年江苏分部利润表'!R23+'2025年浙江分部利润表'!R23+'2025年上海分部利润表'!R23+'2025年赣皖区域利润表'!R23</f>
        <v>56375.966400000005</v>
      </c>
      <c r="S23" s="49">
        <f>'2025年中心利润表 '!S23+'2025年江苏分部利润表'!S23+'2025年浙江分部利润表'!S23+'2025年上海分部利润表'!S23+'2025年赣皖区域利润表'!S23</f>
        <v>0</v>
      </c>
      <c r="T23" s="49">
        <f>'2025年中心利润表 '!T23+'2025年江苏分部利润表'!T23+'2025年浙江分部利润表'!T23+'2025年上海分部利润表'!T23+'2025年赣皖区域利润表'!T23</f>
        <v>5577.98</v>
      </c>
      <c r="U23" s="49">
        <f>'2025年中心利润表 '!U23+'2025年江苏分部利润表'!U23+'2025年浙江分部利润表'!U23+'2025年上海分部利润表'!U23+'2025年赣皖区域利润表'!U23</f>
        <v>0</v>
      </c>
      <c r="V23" s="49">
        <f>'2025年中心利润表 '!V23+'2025年江苏分部利润表'!V23+'2025年浙江分部利润表'!V23+'2025年上海分部利润表'!V23+'2025年赣皖区域利润表'!V23</f>
        <v>0</v>
      </c>
      <c r="W23" s="49">
        <f>'2025年中心利润表 '!W23+'2025年江苏分部利润表'!W23+'2025年浙江分部利润表'!W23+'2025年上海分部利润表'!W23+'2025年赣皖区域利润表'!W23</f>
        <v>0</v>
      </c>
      <c r="X23" s="49">
        <f>'2025年中心利润表 '!X23+'2025年江苏分部利润表'!X23+'2025年浙江分部利润表'!X23+'2025年上海分部利润表'!X23+'2025年赣皖区域利润表'!X23</f>
        <v>12408.55</v>
      </c>
      <c r="Y23" s="49">
        <f>'2025年中心利润表 '!Y23+'2025年江苏分部利润表'!Y23+'2025年浙江分部利润表'!Y23+'2025年上海分部利润表'!Y23+'2025年赣皖区域利润表'!Y23</f>
        <v>0</v>
      </c>
      <c r="Z23" s="49">
        <f>'2025年中心利润表 '!Z23+'2025年江苏分部利润表'!Z23+'2025年浙江分部利润表'!Z23+'2025年上海分部利润表'!Z23+'2025年赣皖区域利润表'!Z23</f>
        <v>4735.24</v>
      </c>
      <c r="AA23" s="51">
        <f t="shared" si="1"/>
        <v>0</v>
      </c>
      <c r="AB23" s="51">
        <f t="shared" si="2"/>
        <v>188485.86039999998</v>
      </c>
      <c r="AC23" s="94"/>
      <c r="AD23" s="31">
        <f t="shared" si="3"/>
        <v>0</v>
      </c>
      <c r="AE23" s="31">
        <f t="shared" si="4"/>
        <v>188485.86039999998</v>
      </c>
      <c r="AF23" s="17">
        <f t="shared" si="7"/>
        <v>0</v>
      </c>
      <c r="AG23" s="17">
        <f t="shared" si="8"/>
        <v>0</v>
      </c>
      <c r="AH23" s="17">
        <f>SUM('[1]2024年全面预算利润表 (销售1中心)2.8亿'!E26:H26)</f>
        <v>0</v>
      </c>
    </row>
    <row r="24" spans="1:59" s="19" customFormat="1" ht="18" hidden="1" customHeight="1" outlineLevel="1" x14ac:dyDescent="0.25">
      <c r="A24" s="48" t="s">
        <v>97</v>
      </c>
      <c r="B24" s="53"/>
      <c r="C24" s="49">
        <f>'2025年中心利润表 '!C24+'2025年江苏分部利润表'!C24+'2025年浙江分部利润表'!C24+'2025年上海分部利润表'!C24+'2025年赣皖区域利润表'!C24</f>
        <v>3320260.0263999999</v>
      </c>
      <c r="D24" s="49">
        <f>'2025年中心利润表 '!D24+'2025年江苏分部利润表'!D24+'2025年浙江分部利润表'!D24+'2025年上海分部利润表'!D24+'2025年赣皖区域利润表'!D24</f>
        <v>4386.3599999999997</v>
      </c>
      <c r="E24" s="49">
        <f>'2025年中心利润表 '!E24+'2025年江苏分部利润表'!E24+'2025年浙江分部利润表'!E24+'2025年上海分部利润表'!E24+'2025年赣皖区域利润表'!E24</f>
        <v>4133487.4832000006</v>
      </c>
      <c r="F24" s="49">
        <f>'2025年中心利润表 '!F24+'2025年江苏分部利润表'!F24+'2025年浙江分部利润表'!F24+'2025年上海分部利润表'!F24+'2025年赣皖区域利润表'!F24</f>
        <v>477.67</v>
      </c>
      <c r="G24" s="49">
        <f>'2025年中心利润表 '!G24+'2025年江苏分部利润表'!G24+'2025年浙江分部利润表'!G24+'2025年上海分部利润表'!G24+'2025年赣皖区域利润表'!G24</f>
        <v>7138634.4301999994</v>
      </c>
      <c r="H24" s="49">
        <f>'2025年中心利润表 '!H24+'2025年江苏分部利润表'!H24+'2025年浙江分部利润表'!H24+'2025年上海分部利润表'!H24+'2025年赣皖区域利润表'!H24</f>
        <v>0</v>
      </c>
      <c r="I24" s="49">
        <f>'2025年中心利润表 '!I24+'2025年江苏分部利润表'!I24+'2025年浙江分部利润表'!I24+'2025年上海分部利润表'!I24+'2025年赣皖区域利润表'!I24</f>
        <v>8286368.7337999996</v>
      </c>
      <c r="J24" s="49">
        <f>'2025年中心利润表 '!J24+'2025年江苏分部利润表'!J24+'2025年浙江分部利润表'!J24+'2025年上海分部利润表'!J24+'2025年赣皖区域利润表'!J24</f>
        <v>0</v>
      </c>
      <c r="K24" s="49">
        <f>'2025年中心利润表 '!K24+'2025年江苏分部利润表'!K24+'2025年浙江分部利润表'!K24+'2025年上海分部利润表'!K24+'2025年赣皖区域利润表'!K24</f>
        <v>7813316.0343999993</v>
      </c>
      <c r="L24" s="49">
        <f>'2025年中心利润表 '!L24+'2025年江苏分部利润表'!L24+'2025年浙江分部利润表'!L24+'2025年上海分部利润表'!L24+'2025年赣皖区域利润表'!L24</f>
        <v>-24704.4398</v>
      </c>
      <c r="M24" s="49">
        <f>'2025年中心利润表 '!M24+'2025年江苏分部利润表'!M24+'2025年浙江分部利润表'!M24+'2025年上海分部利润表'!M24+'2025年赣皖区域利润表'!M24</f>
        <v>8265023.7692000009</v>
      </c>
      <c r="N24" s="49">
        <f>'2025年中心利润表 '!N24+'2025年江苏分部利润表'!N24+'2025年浙江分部利润表'!N24+'2025年上海分部利润表'!N24+'2025年赣皖区域利润表'!N24</f>
        <v>-35901.859599999996</v>
      </c>
      <c r="O24" s="49">
        <f>'2025年中心利润表 '!O24+'2025年江苏分部利润表'!O24+'2025年浙江分部利润表'!O24+'2025年上海分部利润表'!O24+'2025年赣皖区域利润表'!O24</f>
        <v>8116006.4357999992</v>
      </c>
      <c r="P24" s="49">
        <f>'2025年中心利润表 '!P24+'2025年江苏分部利润表'!P24+'2025年浙江分部利润表'!P24+'2025年上海分部利润表'!P24+'2025年赣皖区域利润表'!P24</f>
        <v>-24506.112400000002</v>
      </c>
      <c r="Q24" s="49">
        <f>'2025年中心利润表 '!Q24+'2025年江苏分部利润表'!Q24+'2025年浙江分部利润表'!Q24+'2025年上海分部利润表'!Q24+'2025年赣皖区域利润表'!Q24</f>
        <v>9211833.2432000004</v>
      </c>
      <c r="R24" s="49">
        <f>'2025年中心利润表 '!R24+'2025年江苏分部利润表'!R24+'2025年浙江分部利润表'!R24+'2025年上海分部利润表'!R24+'2025年赣皖区域利润表'!R24</f>
        <v>130655.96879999999</v>
      </c>
      <c r="S24" s="49">
        <f>'2025年中心利润表 '!S24+'2025年江苏分部利润表'!S24+'2025年浙江分部利润表'!S24+'2025年上海分部利润表'!S24+'2025年赣皖区域利润表'!S24</f>
        <v>11375294.012</v>
      </c>
      <c r="T24" s="49">
        <f>'2025年中心利润表 '!T24+'2025年江苏分部利润表'!T24+'2025年浙江分部利润表'!T24+'2025年上海分部利润表'!T24+'2025年赣皖区域利润表'!T24</f>
        <v>167025.68400000001</v>
      </c>
      <c r="U24" s="49">
        <f>'2025年中心利润表 '!U24+'2025年江苏分部利润表'!U24+'2025年浙江分部利润表'!U24+'2025年上海分部利润表'!U24+'2025年赣皖区域利润表'!U24</f>
        <v>7702227.8073999994</v>
      </c>
      <c r="V24" s="49">
        <f>'2025年中心利润表 '!V24+'2025年江苏分部利润表'!V24+'2025年浙江分部利润表'!V24+'2025年上海分部利润表'!V24+'2025年赣皖区域利润表'!V24</f>
        <v>34609.154600000002</v>
      </c>
      <c r="W24" s="49">
        <f>'2025年中心利润表 '!W24+'2025年江苏分部利润表'!W24+'2025年浙江分部利润表'!W24+'2025年上海分部利润表'!W24+'2025年赣皖区域利润表'!W24</f>
        <v>9062790.4673999995</v>
      </c>
      <c r="X24" s="49">
        <f>'2025年中心利润表 '!X24+'2025年江苏分部利润表'!X24+'2025年浙江分部利润表'!X24+'2025年上海分部利润表'!X24+'2025年赣皖区域利润表'!X24</f>
        <v>-6938.1340000000018</v>
      </c>
      <c r="Y24" s="49">
        <f>'2025年中心利润表 '!Y24+'2025年江苏分部利润表'!Y24+'2025年浙江分部利润表'!Y24+'2025年上海分部利润表'!Y24+'2025年赣皖区域利润表'!Y24</f>
        <v>14541334.8014</v>
      </c>
      <c r="Z24" s="49">
        <f>'2025年中心利润表 '!Z24+'2025年江苏分部利润表'!Z24+'2025年浙江分部利润表'!Z24+'2025年上海分部利润表'!Z24+'2025年赣皖区域利润表'!Z24</f>
        <v>-18076.911</v>
      </c>
      <c r="AA24" s="51">
        <f t="shared" si="1"/>
        <v>98966577.24440001</v>
      </c>
      <c r="AB24" s="51">
        <f t="shared" si="2"/>
        <v>227027.38060000003</v>
      </c>
      <c r="AC24" s="94"/>
      <c r="AD24" s="31">
        <f t="shared" si="3"/>
        <v>98966577.24440001</v>
      </c>
      <c r="AE24" s="31">
        <f t="shared" si="4"/>
        <v>227027.38060000003</v>
      </c>
      <c r="AF24" s="17">
        <f t="shared" si="7"/>
        <v>0</v>
      </c>
      <c r="AG24" s="17">
        <f t="shared" si="8"/>
        <v>0</v>
      </c>
      <c r="AH24" s="17">
        <f>SUM('[1]2024年全面预算利润表 (销售1中心)2.8亿'!E27:H27)</f>
        <v>7312972.0770475203</v>
      </c>
    </row>
    <row r="25" spans="1:59" s="19" customFormat="1" ht="18" hidden="1" customHeight="1" outlineLevel="1" x14ac:dyDescent="0.25">
      <c r="A25" s="48" t="s">
        <v>100</v>
      </c>
      <c r="B25" s="53"/>
      <c r="C25" s="49">
        <f>'2025年中心利润表 '!C25+'2025年江苏分部利润表'!C25+'2025年浙江分部利润表'!C25+'2025年上海分部利润表'!C25+'2025年赣皖区域利润表'!C25</f>
        <v>62325.759999999995</v>
      </c>
      <c r="D25" s="49">
        <f>'2025年中心利润表 '!D25+'2025年江苏分部利润表'!D25+'2025年浙江分部利润表'!D25+'2025年上海分部利润表'!D25+'2025年赣皖区域利润表'!D25</f>
        <v>166991.03</v>
      </c>
      <c r="E25" s="49">
        <f>'2025年中心利润表 '!E25+'2025年江苏分部利润表'!E25+'2025年浙江分部利润表'!E25+'2025年上海分部利润表'!E25+'2025年赣皖区域利润表'!E25</f>
        <v>81586.559999999998</v>
      </c>
      <c r="F25" s="49">
        <f>'2025年中心利润表 '!F25+'2025年江苏分部利润表'!F25+'2025年浙江分部利润表'!F25+'2025年上海分部利润表'!F25+'2025年赣皖区域利润表'!F25</f>
        <v>86658.069999999992</v>
      </c>
      <c r="G25" s="49">
        <f>'2025年中心利润表 '!G25+'2025年江苏分部利润表'!G25+'2025年浙江分部利润表'!G25+'2025年上海分部利润表'!G25+'2025年赣皖区域利润表'!G25</f>
        <v>143885.94</v>
      </c>
      <c r="H25" s="49">
        <f>'2025年中心利润表 '!H25+'2025年江苏分部利润表'!H25+'2025年浙江分部利润表'!H25+'2025年上海分部利润表'!H25+'2025年赣皖区域利润表'!H25</f>
        <v>128752.15999999999</v>
      </c>
      <c r="I25" s="49">
        <f>'2025年中心利润表 '!I25+'2025年江苏分部利润表'!I25+'2025年浙江分部利润表'!I25+'2025年上海分部利润表'!I25+'2025年赣皖区域利润表'!I25</f>
        <v>168494.16</v>
      </c>
      <c r="J25" s="49">
        <f>'2025年中心利润表 '!J25+'2025年江苏分部利润表'!J25+'2025年浙江分部利润表'!J25+'2025年上海分部利润表'!J25+'2025年赣皖区域利润表'!J25</f>
        <v>178321.47</v>
      </c>
      <c r="K25" s="49">
        <f>'2025年中心利润表 '!K25+'2025年江苏分部利润表'!K25+'2025年浙江分部利润表'!K25+'2025年上海分部利润表'!K25+'2025年赣皖区域利润表'!K25</f>
        <v>159696.65</v>
      </c>
      <c r="L25" s="49">
        <f>'2025年中心利润表 '!L25+'2025年江苏分部利润表'!L25+'2025年浙江分部利润表'!L25+'2025年上海分部利润表'!L25+'2025年赣皖区域利润表'!L25</f>
        <v>124054.37000000002</v>
      </c>
      <c r="M25" s="49">
        <f>'2025年中心利润表 '!M25+'2025年江苏分部利润表'!M25+'2025年浙江分部利润表'!M25+'2025年上海分部利润表'!M25+'2025年赣皖区域利润表'!M25</f>
        <v>169234.26</v>
      </c>
      <c r="N25" s="49">
        <f>'2025年中心利润表 '!N25+'2025年江苏分部利润表'!N25+'2025年浙江分部利润表'!N25+'2025年上海分部利润表'!N25+'2025年赣皖区域利润表'!N25</f>
        <v>163668.59</v>
      </c>
      <c r="O25" s="49">
        <f>'2025年中心利润表 '!O25+'2025年江苏分部利润表'!O25+'2025年浙江分部利润表'!O25+'2025年上海分部利润表'!O25+'2025年赣皖区域利润表'!O25</f>
        <v>163142.12</v>
      </c>
      <c r="P25" s="49">
        <f>'2025年中心利润表 '!P25+'2025年江苏分部利润表'!P25+'2025年浙江分部利润表'!P25+'2025年上海分部利润表'!P25+'2025年赣皖区域利润表'!P25</f>
        <v>143862.32999999999</v>
      </c>
      <c r="Q25" s="49">
        <f>'2025年中心利润表 '!Q25+'2025年江苏分部利润表'!Q25+'2025年浙江分部利润表'!Q25+'2025年上海分部利润表'!Q25+'2025年赣皖区域利润表'!Q25</f>
        <v>189449.02000000002</v>
      </c>
      <c r="R25" s="49">
        <f>'2025年中心利润表 '!R25+'2025年江苏分部利润表'!R25+'2025年浙江分部利润表'!R25+'2025年上海分部利润表'!R25+'2025年赣皖区域利润表'!R25</f>
        <v>163692.19</v>
      </c>
      <c r="S25" s="49">
        <f>'2025年中心利润表 '!S25+'2025年江苏分部利润表'!S25+'2025年浙江分部利润表'!S25+'2025年上海分部利润表'!S25+'2025年赣皖区域利润表'!S25</f>
        <v>238398.69</v>
      </c>
      <c r="T25" s="49">
        <f>'2025年中心利润表 '!T25+'2025年江苏分部利润表'!T25+'2025年浙江分部利润表'!T25+'2025年上海分部利润表'!T25+'2025年赣皖区域利润表'!T25</f>
        <v>210977.10000000003</v>
      </c>
      <c r="U25" s="49">
        <f>'2025年中心利润表 '!U25+'2025年江苏分部利润表'!U25+'2025年浙江分部利润表'!U25+'2025年上海分部利润表'!U25+'2025年赣皖区域利润表'!U25</f>
        <v>156823.22</v>
      </c>
      <c r="V25" s="49">
        <f>'2025年中心利润表 '!V25+'2025年江苏分部利润表'!V25+'2025年浙江分部利润表'!V25+'2025年上海分部利润表'!V25+'2025年赣皖区域利润表'!V25</f>
        <v>129847.59000000001</v>
      </c>
      <c r="W25" s="49">
        <f>'2025年中心利润表 '!W25+'2025年江苏分部利润表'!W25+'2025年浙江分部利润表'!W25+'2025年上海分部利润表'!W25+'2025年赣皖区域利润表'!W25</f>
        <v>187573.08</v>
      </c>
      <c r="X25" s="49">
        <f>'2025年中心利润表 '!X25+'2025年江苏分部利润表'!X25+'2025年浙江分部利润表'!X25+'2025年上海分部利润表'!X25+'2025年赣皖区域利润表'!X25</f>
        <v>144555.31</v>
      </c>
      <c r="Y25" s="49">
        <f>'2025年中心利润表 '!Y25+'2025年江苏分部利润表'!Y25+'2025年浙江分部利润表'!Y25+'2025年上海分部利润表'!Y25+'2025年赣皖区域利润表'!Y25</f>
        <v>312822.56</v>
      </c>
      <c r="Z25" s="49">
        <f>'2025年中心利润表 '!Z25+'2025年江苏分部利润表'!Z25+'2025年浙江分部利润表'!Z25+'2025年上海分部利润表'!Z25+'2025年赣皖区域利润表'!Z25</f>
        <v>178358.9</v>
      </c>
      <c r="AA25" s="51">
        <f t="shared" si="1"/>
        <v>2033432.0200000003</v>
      </c>
      <c r="AB25" s="51">
        <f t="shared" si="2"/>
        <v>1819739.11</v>
      </c>
      <c r="AC25" s="125"/>
      <c r="AD25" s="31">
        <f t="shared" si="3"/>
        <v>2033432.0200000003</v>
      </c>
      <c r="AE25" s="31">
        <f t="shared" si="4"/>
        <v>1819739.11</v>
      </c>
      <c r="AF25" s="17">
        <f t="shared" si="7"/>
        <v>0</v>
      </c>
      <c r="AG25" s="17">
        <f t="shared" si="8"/>
        <v>0</v>
      </c>
      <c r="AH25" s="17">
        <f>SUM('[1]2024年全面预算利润表 (销售1中心)2.8亿'!E28:H28)</f>
        <v>0.72989999999999999</v>
      </c>
    </row>
    <row r="26" spans="1:59" s="19" customFormat="1" ht="18" customHeight="1" collapsed="1" x14ac:dyDescent="0.25">
      <c r="A26" s="52" t="s">
        <v>101</v>
      </c>
      <c r="B26" s="45" t="s">
        <v>102</v>
      </c>
      <c r="C26" s="49">
        <f t="shared" ref="C26:Z26" si="10">C6-C16</f>
        <v>604121.05360000022</v>
      </c>
      <c r="D26" s="49">
        <f t="shared" si="10"/>
        <v>1808716.0259999996</v>
      </c>
      <c r="E26" s="49">
        <f t="shared" si="10"/>
        <v>740040.95679999981</v>
      </c>
      <c r="F26" s="49">
        <f t="shared" si="10"/>
        <v>1129317.8774000006</v>
      </c>
      <c r="G26" s="49">
        <f t="shared" si="10"/>
        <v>1417968.9498000005</v>
      </c>
      <c r="H26" s="49">
        <f t="shared" si="10"/>
        <v>1502757.2794000013</v>
      </c>
      <c r="I26" s="49">
        <f t="shared" si="10"/>
        <v>1782381.1461999994</v>
      </c>
      <c r="J26" s="49">
        <f t="shared" si="10"/>
        <v>2010946.9433999974</v>
      </c>
      <c r="K26" s="49">
        <f t="shared" si="10"/>
        <v>1597927.7956000008</v>
      </c>
      <c r="L26" s="49">
        <f t="shared" si="10"/>
        <v>1311488.8939999985</v>
      </c>
      <c r="M26" s="49">
        <f t="shared" si="10"/>
        <v>1747322.4907999989</v>
      </c>
      <c r="N26" s="49">
        <f t="shared" si="10"/>
        <v>1805474.8093999987</v>
      </c>
      <c r="O26" s="49">
        <f t="shared" si="10"/>
        <v>1583894.4042000016</v>
      </c>
      <c r="P26" s="49">
        <f t="shared" si="10"/>
        <v>1485757.6368000023</v>
      </c>
      <c r="Q26" s="49">
        <f t="shared" si="10"/>
        <v>1918501.7568000015</v>
      </c>
      <c r="R26" s="49">
        <f t="shared" si="10"/>
        <v>1840948.8593999986</v>
      </c>
      <c r="S26" s="49">
        <f t="shared" si="10"/>
        <v>2449983.8580000009</v>
      </c>
      <c r="T26" s="49">
        <f t="shared" si="10"/>
        <v>2665273.4389999956</v>
      </c>
      <c r="U26" s="49">
        <f t="shared" si="10"/>
        <v>1516450.6025999999</v>
      </c>
      <c r="V26" s="49">
        <f t="shared" si="10"/>
        <v>1732491.8256141581</v>
      </c>
      <c r="W26" s="49">
        <f t="shared" si="10"/>
        <v>2015022.7226</v>
      </c>
      <c r="X26" s="49">
        <f t="shared" si="10"/>
        <v>1759619.7079999996</v>
      </c>
      <c r="Y26" s="49">
        <f t="shared" si="10"/>
        <v>3749767.9585999995</v>
      </c>
      <c r="Z26" s="49">
        <f t="shared" si="10"/>
        <v>2769066.985271005</v>
      </c>
      <c r="AA26" s="47">
        <f t="shared" si="1"/>
        <v>21123383.695600003</v>
      </c>
      <c r="AB26" s="47">
        <f t="shared" si="2"/>
        <v>21821860.283685155</v>
      </c>
      <c r="AC26" s="126"/>
      <c r="AD26" s="31">
        <f t="shared" si="3"/>
        <v>21123383.695600003</v>
      </c>
      <c r="AE26" s="31">
        <f t="shared" si="4"/>
        <v>21821860.283685155</v>
      </c>
      <c r="AF26" s="55">
        <f>AD6-AD16-AA26</f>
        <v>0</v>
      </c>
      <c r="AG26" s="55">
        <f>AE6-AE16-AB26</f>
        <v>0</v>
      </c>
      <c r="AH26" s="17">
        <f>AH6-AH16</f>
        <v>6733315.00704752</v>
      </c>
    </row>
    <row r="27" spans="1:59" s="87" customFormat="1" ht="18" customHeight="1" x14ac:dyDescent="0.25">
      <c r="A27" s="56" t="s">
        <v>103</v>
      </c>
      <c r="B27" s="57" t="s">
        <v>104</v>
      </c>
      <c r="C27" s="127">
        <f t="shared" ref="C27:AB27" si="11">IF(C6=0,,C26/C6)</f>
        <v>0.15153385434279895</v>
      </c>
      <c r="D27" s="127">
        <f t="shared" si="11"/>
        <v>0.20644218177529064</v>
      </c>
      <c r="E27" s="127">
        <f t="shared" si="11"/>
        <v>0.14934889640300977</v>
      </c>
      <c r="F27" s="127">
        <f t="shared" si="11"/>
        <v>0.20774515097605656</v>
      </c>
      <c r="G27" s="127">
        <f t="shared" si="11"/>
        <v>0.16297577040184225</v>
      </c>
      <c r="H27" s="127">
        <f t="shared" si="11"/>
        <v>0.19891773833473217</v>
      </c>
      <c r="I27" s="127">
        <f t="shared" si="11"/>
        <v>0.17410751753457268</v>
      </c>
      <c r="J27" s="127">
        <f t="shared" si="11"/>
        <v>0.19034938825143535</v>
      </c>
      <c r="K27" s="127">
        <f t="shared" si="11"/>
        <v>0.16695619400612977</v>
      </c>
      <c r="L27" s="127">
        <f t="shared" si="11"/>
        <v>0.19230706879190115</v>
      </c>
      <c r="M27" s="127">
        <f t="shared" si="11"/>
        <v>0.17161603617116991</v>
      </c>
      <c r="N27" s="127">
        <f t="shared" si="11"/>
        <v>0.19682142796610205</v>
      </c>
      <c r="O27" s="127">
        <f t="shared" si="11"/>
        <v>0.1605888173278322</v>
      </c>
      <c r="P27" s="127">
        <f t="shared" si="11"/>
        <v>0.19841177339439894</v>
      </c>
      <c r="Q27" s="127">
        <f t="shared" si="11"/>
        <v>0.16948218741721199</v>
      </c>
      <c r="R27" s="127">
        <f t="shared" si="11"/>
        <v>0.20614557109552914</v>
      </c>
      <c r="S27" s="127">
        <f t="shared" si="11"/>
        <v>0.17420649910054536</v>
      </c>
      <c r="T27" s="127">
        <f t="shared" si="11"/>
        <v>0.21356179074766019</v>
      </c>
      <c r="U27" s="127">
        <f t="shared" si="11"/>
        <v>0.16174607636434277</v>
      </c>
      <c r="V27" s="127">
        <f t="shared" si="11"/>
        <v>0.21687165169192307</v>
      </c>
      <c r="W27" s="127">
        <f t="shared" si="11"/>
        <v>0.17886849809722505</v>
      </c>
      <c r="X27" s="127">
        <f t="shared" si="11"/>
        <v>0.20682481935213548</v>
      </c>
      <c r="Y27" s="127">
        <f t="shared" si="11"/>
        <v>0.20155789136440155</v>
      </c>
      <c r="Z27" s="127">
        <f t="shared" si="11"/>
        <v>0.2101866021413997</v>
      </c>
      <c r="AA27" s="128">
        <f t="shared" si="11"/>
        <v>0.17296754686891727</v>
      </c>
      <c r="AB27" s="128">
        <f t="shared" si="11"/>
        <v>0.20417370820259428</v>
      </c>
      <c r="AC27" s="129"/>
      <c r="AD27" s="62">
        <f>AD26/AD6</f>
        <v>0.17296754686891727</v>
      </c>
      <c r="AE27" s="62">
        <f>AE26/AE6</f>
        <v>0.20417370820259428</v>
      </c>
      <c r="AF27" s="17">
        <f>AA27-AD27</f>
        <v>0</v>
      </c>
      <c r="AG27" s="17">
        <f>AB27-AE27</f>
        <v>0</v>
      </c>
      <c r="AH27" s="87">
        <f>AH26/AH6</f>
        <v>0.18539693247827299</v>
      </c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</row>
    <row r="28" spans="1:59" s="19" customFormat="1" ht="18" customHeight="1" x14ac:dyDescent="0.25">
      <c r="A28" s="63" t="s">
        <v>105</v>
      </c>
      <c r="B28" s="53">
        <v>5</v>
      </c>
      <c r="C28" s="49">
        <f>'2025年中心利润表 '!C28+'2025年江苏分部利润表'!C28+'2025年浙江分部利润表'!C28+'2025年上海分部利润表'!C28+'2025年赣皖区域利润表'!C28</f>
        <v>35117.14</v>
      </c>
      <c r="D28" s="49">
        <f>'2025年中心利润表 '!D28+'2025年江苏分部利润表'!D28+'2025年浙江分部利润表'!D28+'2025年上海分部利润表'!D28+'2025年赣皖区域利润表'!D28</f>
        <v>83233.005059999996</v>
      </c>
      <c r="E28" s="49">
        <f>'2025年中心利润表 '!E28+'2025年江苏分部利润表'!E28+'2025年浙江分部利润表'!E28+'2025年上海分部利润表'!E28+'2025年赣皖区域利润表'!E28</f>
        <v>47073.599999999999</v>
      </c>
      <c r="F28" s="49">
        <f>'2025年中心利润表 '!F28+'2025年江苏分部利润表'!F28+'2025年浙江分部利润表'!F28+'2025年上海分部利润表'!F28+'2025年赣皖区域利润表'!F28</f>
        <v>51642.693794999999</v>
      </c>
      <c r="G28" s="49">
        <f>'2025年中心利润表 '!G28+'2025年江苏分部利润表'!G28+'2025年浙江分部利润表'!G28+'2025年上海分部利润表'!G28+'2025年赣皖区域利润表'!G28</f>
        <v>82351.239999999991</v>
      </c>
      <c r="H28" s="49">
        <f>'2025年中心利润表 '!H28+'2025年江苏分部利润表'!H28+'2025年浙江分部利润表'!H28+'2025年上海分部利润表'!H28+'2025年赣皖区域利润表'!H28</f>
        <v>71769.332295</v>
      </c>
      <c r="I28" s="49">
        <f>'2025年中心利润表 '!I28+'2025年江苏分部利润表'!I28+'2025年浙江分部利润表'!I28+'2025年上海分部利润表'!I28+'2025年赣皖区域利润表'!I28</f>
        <v>97760.84</v>
      </c>
      <c r="J28" s="49">
        <f>'2025年中心利润表 '!J28+'2025年江苏分部利润表'!J28+'2025年浙江分部利润表'!J28+'2025年上海分部利润表'!J28+'2025年赣皖区域利润表'!J28</f>
        <v>100362.804965</v>
      </c>
      <c r="K28" s="49">
        <f>'2025年中心利润表 '!K28+'2025年江苏分部利润表'!K28+'2025年浙江分部利润表'!K28+'2025年上海分部利润表'!K28+'2025年赣皖区域利润表'!K28</f>
        <v>91263.03</v>
      </c>
      <c r="L28" s="49">
        <f>'2025年中心利润表 '!L28+'2025年江苏分部利润表'!L28+'2025年浙江分部利润表'!L28+'2025年上海分部利润表'!L28+'2025年赣皖区域利润表'!L28</f>
        <v>64787.761849999995</v>
      </c>
      <c r="M28" s="49">
        <f>'2025年中心利润表 '!M28+'2025年江苏分部利润表'!M28+'2025年浙江分部利润表'!M28+'2025年上海分部利润表'!M28+'2025年赣皖区域利润表'!M28</f>
        <v>96934.74</v>
      </c>
      <c r="N28" s="49">
        <f>'2025年中心利润表 '!N28+'2025年江苏分部利润表'!N28+'2025年浙江分部利润表'!N28+'2025年上海分部利润表'!N28+'2025年赣皖区域利润表'!N28</f>
        <v>87145.036410000001</v>
      </c>
      <c r="O28" s="49">
        <f>'2025年中心利润表 '!O28+'2025年江苏分部利润表'!O28+'2025年浙江分部利润表'!O28+'2025年上海分部利润表'!O28+'2025年赣皖区域利润表'!O28</f>
        <v>95039.81</v>
      </c>
      <c r="P28" s="49">
        <f>'2025年中心利润表 '!P28+'2025年江苏分部利润表'!P28+'2025年浙江分部利润表'!P28+'2025年上海分部利润表'!P28+'2025年赣皖区域利润表'!P28</f>
        <v>71138.400580000001</v>
      </c>
      <c r="Q28" s="49">
        <f>'2025年中心利润表 '!Q28+'2025年江苏分部利润表'!Q28+'2025年浙江分部利润表'!Q28+'2025年上海分部利润表'!Q28+'2025年赣皖区域利润表'!Q28</f>
        <v>108716.73</v>
      </c>
      <c r="R28" s="49">
        <f>'2025年中心利润表 '!R28+'2025年江苏分部利润表'!R28+'2025年浙江分部利润表'!R28+'2025年上海分部利润表'!R28+'2025年赣皖区域利润表'!R28</f>
        <v>84838.180819999994</v>
      </c>
      <c r="S28" s="49">
        <f>'2025年中心利润表 '!S28+'2025年江苏分部利润表'!S28+'2025年浙江分部利润表'!S28+'2025年上海分部利润表'!S28+'2025年赣皖区域利润表'!S28</f>
        <v>135671.46</v>
      </c>
      <c r="T28" s="49">
        <f>'2025年中心利润表 '!T28+'2025年江苏分部利润表'!T28+'2025年浙江分部利润表'!T28+'2025年上海分部利润表'!T28+'2025年赣皖区域利润表'!T28</f>
        <v>118560.98678000001</v>
      </c>
      <c r="U28" s="49">
        <f>'2025年中心利润表 '!U28+'2025年江苏分部利润表'!U28+'2025年浙江分部利润表'!U28+'2025年上海分部利润表'!U28+'2025年赣皖区域利润表'!U28</f>
        <v>88631.18</v>
      </c>
      <c r="V28" s="49">
        <f>'2025年中心利润表 '!V28+'2025年江苏分部利润表'!V28+'2025年浙江分部利润表'!V28+'2025年上海分部利润表'!V28+'2025年赣皖区域利润表'!V28</f>
        <v>75891.31</v>
      </c>
      <c r="W28" s="49">
        <f>'2025年中心利润表 '!W28+'2025年江苏分部利润表'!W28+'2025年浙江分部利润表'!W28+'2025年上海分部利润表'!W28+'2025年赣皖区域利润表'!W28</f>
        <v>106555.54999999999</v>
      </c>
      <c r="X28" s="49">
        <f>'2025年中心利润表 '!X28+'2025年江苏分部利润表'!X28+'2025年浙江分部利润表'!X28+'2025年上海分部利润表'!X28+'2025年赣皖区域利润表'!X28</f>
        <v>80823.90088999999</v>
      </c>
      <c r="Y28" s="49">
        <f>'2025年中心利润表 '!Y28+'2025年江苏分部利润表'!Y28+'2025年浙江分部利润表'!Y28+'2025年上海分部利润表'!Y28+'2025年赣皖区域利润表'!Y28</f>
        <v>176305.08000000002</v>
      </c>
      <c r="Z28" s="49">
        <f>'2025年中心利润表 '!Z28+'2025年江苏分部利润表'!Z28+'2025年浙江分部利润表'!Z28+'2025年上海分部利润表'!Z28+'2025年赣皖区域利润表'!Z28</f>
        <v>125156.107775</v>
      </c>
      <c r="AA28" s="51">
        <f t="shared" ref="AA28:AA91" si="12">C28+E28+G28+I28+K28+M28+O28+Q28+S28+U28+W28+Y28</f>
        <v>1161420.3999999999</v>
      </c>
      <c r="AB28" s="51">
        <f t="shared" ref="AB28:AB91" si="13">D28+F28+H28+J28+L28+N28+P28+R28+T28+V28+X28+Z28</f>
        <v>1015349.5212200001</v>
      </c>
      <c r="AC28" s="130"/>
      <c r="AD28" s="31">
        <f t="shared" ref="AD28:AD91" si="14">SUMIF($C$5:$Z$5,$AD$5,C28:Z28)</f>
        <v>1161420.3999999999</v>
      </c>
      <c r="AE28" s="31">
        <f t="shared" ref="AE28:AE91" si="15">SUMIF($C$5:$Z$5,$AD$5,D28:AA28)</f>
        <v>1015349.5212200001</v>
      </c>
      <c r="AF28" s="17">
        <f>AA28-AD28</f>
        <v>0</v>
      </c>
      <c r="AG28" s="17">
        <f>AB28-AE28</f>
        <v>0</v>
      </c>
      <c r="AH28" s="17">
        <f>SUM('[1]2024年全面预算利润表 (销售1中心)2.8亿'!$E$33:$H$33)</f>
        <v>319601.685259611</v>
      </c>
    </row>
    <row r="29" spans="1:59" s="21" customFormat="1" ht="14" x14ac:dyDescent="0.25">
      <c r="A29" s="52" t="s">
        <v>106</v>
      </c>
      <c r="B29" s="45">
        <v>6</v>
      </c>
      <c r="C29" s="65">
        <f t="shared" ref="C29:Z29" si="16">SUM(C30:C101)-C30-C33-C42-C53-C65</f>
        <v>736578.18000000017</v>
      </c>
      <c r="D29" s="65">
        <f t="shared" si="16"/>
        <v>661019.17000000051</v>
      </c>
      <c r="E29" s="65">
        <f t="shared" si="16"/>
        <v>574743.97999999986</v>
      </c>
      <c r="F29" s="65">
        <f t="shared" si="16"/>
        <v>471368.50000000012</v>
      </c>
      <c r="G29" s="65">
        <f t="shared" si="16"/>
        <v>748602.01</v>
      </c>
      <c r="H29" s="65">
        <f t="shared" si="16"/>
        <v>484266.55999999976</v>
      </c>
      <c r="I29" s="65">
        <f t="shared" si="16"/>
        <v>709616.68000000028</v>
      </c>
      <c r="J29" s="65">
        <f t="shared" si="16"/>
        <v>714586.55</v>
      </c>
      <c r="K29" s="65">
        <f t="shared" si="16"/>
        <v>689771.61000000022</v>
      </c>
      <c r="L29" s="65">
        <f t="shared" si="16"/>
        <v>511234.71</v>
      </c>
      <c r="M29" s="65">
        <f t="shared" si="16"/>
        <v>707315.69000000018</v>
      </c>
      <c r="N29" s="65">
        <f t="shared" si="16"/>
        <v>472618.74000000011</v>
      </c>
      <c r="O29" s="65">
        <f t="shared" si="16"/>
        <v>730564.87000000023</v>
      </c>
      <c r="P29" s="65">
        <f t="shared" si="16"/>
        <v>493467.43000000017</v>
      </c>
      <c r="Q29" s="65">
        <f t="shared" si="16"/>
        <v>759657.51000000047</v>
      </c>
      <c r="R29" s="65">
        <f t="shared" si="16"/>
        <v>489525.5900000002</v>
      </c>
      <c r="S29" s="65">
        <f t="shared" si="16"/>
        <v>912899.97000000044</v>
      </c>
      <c r="T29" s="65">
        <f t="shared" si="16"/>
        <v>674223.42000000039</v>
      </c>
      <c r="U29" s="65">
        <f t="shared" si="16"/>
        <v>769165.07000000053</v>
      </c>
      <c r="V29" s="65">
        <f t="shared" si="16"/>
        <v>446869.16999999993</v>
      </c>
      <c r="W29" s="65">
        <f t="shared" si="16"/>
        <v>788686.71000000043</v>
      </c>
      <c r="X29" s="65">
        <f t="shared" si="16"/>
        <v>510672.4000000002</v>
      </c>
      <c r="Y29" s="65">
        <f t="shared" si="16"/>
        <v>928048.92000000016</v>
      </c>
      <c r="Z29" s="65">
        <f t="shared" si="16"/>
        <v>508612.48</v>
      </c>
      <c r="AA29" s="47">
        <f t="shared" si="12"/>
        <v>9055651.200000003</v>
      </c>
      <c r="AB29" s="47">
        <f t="shared" si="13"/>
        <v>6438464.7200000025</v>
      </c>
      <c r="AC29" s="131"/>
      <c r="AD29" s="31">
        <f t="shared" si="14"/>
        <v>9055651.200000003</v>
      </c>
      <c r="AE29" s="31">
        <f t="shared" si="15"/>
        <v>6438464.7200000025</v>
      </c>
      <c r="AF29" s="17">
        <f>AD29-(SUM(AA30:AA101)-SUM(AA30,AA33,AA42,AA53,AA65))</f>
        <v>0</v>
      </c>
      <c r="AG29" s="17">
        <f>AE29-(SUM(AB30:AB101)-SUM(AB30,AB33,AB42,AB53,AB65))</f>
        <v>0</v>
      </c>
      <c r="AH29" s="17">
        <f>SUM('[1]2024年全面预算利润表 (销售1中心)2.8亿'!E34:H34)</f>
        <v>2909788.3177586198</v>
      </c>
    </row>
    <row r="30" spans="1:59" s="17" customFormat="1" ht="14" hidden="1" outlineLevel="1" x14ac:dyDescent="0.25">
      <c r="A30" s="67" t="s">
        <v>107</v>
      </c>
      <c r="B30" s="45"/>
      <c r="C30" s="65">
        <f t="shared" ref="C30:Z30" si="17">SUM(C31:C32)</f>
        <v>453892.92</v>
      </c>
      <c r="D30" s="65">
        <f t="shared" si="17"/>
        <v>370435.67000000004</v>
      </c>
      <c r="E30" s="65">
        <f t="shared" si="17"/>
        <v>343278.72</v>
      </c>
      <c r="F30" s="65">
        <f t="shared" si="17"/>
        <v>269606.58</v>
      </c>
      <c r="G30" s="65">
        <f t="shared" si="17"/>
        <v>430336.75</v>
      </c>
      <c r="H30" s="65">
        <f t="shared" si="17"/>
        <v>235131.7</v>
      </c>
      <c r="I30" s="65">
        <f t="shared" si="17"/>
        <v>480067.42000000004</v>
      </c>
      <c r="J30" s="65">
        <f t="shared" si="17"/>
        <v>402799.83</v>
      </c>
      <c r="K30" s="65">
        <f t="shared" si="17"/>
        <v>459742.35</v>
      </c>
      <c r="L30" s="65">
        <f t="shared" si="17"/>
        <v>289497</v>
      </c>
      <c r="M30" s="65">
        <f t="shared" si="17"/>
        <v>478176.43</v>
      </c>
      <c r="N30" s="65">
        <f t="shared" si="17"/>
        <v>276919.37</v>
      </c>
      <c r="O30" s="65">
        <f t="shared" si="17"/>
        <v>497535.61</v>
      </c>
      <c r="P30" s="65">
        <f t="shared" si="17"/>
        <v>280157</v>
      </c>
      <c r="Q30" s="65">
        <f t="shared" si="17"/>
        <v>528208.25</v>
      </c>
      <c r="R30" s="65">
        <f t="shared" si="17"/>
        <v>287915.41000000003</v>
      </c>
      <c r="S30" s="65">
        <f t="shared" si="17"/>
        <v>603760.71</v>
      </c>
      <c r="T30" s="65">
        <f t="shared" si="17"/>
        <v>348520.5</v>
      </c>
      <c r="U30" s="65">
        <f t="shared" si="17"/>
        <v>529335.81000000006</v>
      </c>
      <c r="V30" s="65">
        <f t="shared" si="17"/>
        <v>259675</v>
      </c>
      <c r="W30" s="65">
        <f t="shared" si="17"/>
        <v>558237.44999999995</v>
      </c>
      <c r="X30" s="65">
        <f t="shared" si="17"/>
        <v>264739.20000000001</v>
      </c>
      <c r="Y30" s="65">
        <f t="shared" si="17"/>
        <v>698019.58</v>
      </c>
      <c r="Z30" s="65">
        <f t="shared" si="17"/>
        <v>263429.06</v>
      </c>
      <c r="AA30" s="47">
        <f t="shared" si="12"/>
        <v>6060592.0000000009</v>
      </c>
      <c r="AB30" s="47">
        <f t="shared" si="13"/>
        <v>3548826.3200000003</v>
      </c>
      <c r="AC30" s="31"/>
      <c r="AD30" s="31">
        <f t="shared" si="14"/>
        <v>6060592.0000000009</v>
      </c>
      <c r="AE30" s="31">
        <f t="shared" si="15"/>
        <v>3548826.3200000003</v>
      </c>
      <c r="AF30" s="17">
        <f t="shared" ref="AF30:AF93" si="18">AA30-AD30</f>
        <v>0</v>
      </c>
      <c r="AG30" s="17">
        <f t="shared" ref="AG30:AG93" si="19">AB30-AE30</f>
        <v>0</v>
      </c>
      <c r="AH30" s="17">
        <f>SUM('[1]2024年全面预算利润表 (销售1中心)2.8亿'!E35:H35)</f>
        <v>1979870</v>
      </c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</row>
    <row r="31" spans="1:59" s="19" customFormat="1" ht="14" hidden="1" outlineLevel="2" x14ac:dyDescent="0.25">
      <c r="A31" s="48" t="s">
        <v>108</v>
      </c>
      <c r="B31" s="53"/>
      <c r="C31" s="49">
        <f>'2025年中心利润表 '!C31+'2025年江苏分部利润表'!C31+'2025年浙江分部利润表'!C31+'2025年上海分部利润表'!C31+'2025年赣皖区域利润表'!C31</f>
        <v>181191</v>
      </c>
      <c r="D31" s="49">
        <f>'2025年中心利润表 '!D31+'2025年江苏分部利润表'!D31+'2025年浙江分部利润表'!D31+'2025年上海分部利润表'!D31+'2025年赣皖区域利润表'!D31</f>
        <v>210924.98</v>
      </c>
      <c r="E31" s="49">
        <f>'2025年中心利润表 '!E31+'2025年江苏分部利润表'!E31+'2025年浙江分部利润表'!E31+'2025年上海分部利润表'!E31+'2025年赣皖区域利润表'!E31</f>
        <v>181241</v>
      </c>
      <c r="F31" s="49">
        <f>'2025年中心利润表 '!F31+'2025年江苏分部利润表'!F31+'2025年浙江分部利润表'!F31+'2025年上海分部利润表'!F31+'2025年赣皖区域利润表'!F31</f>
        <v>203875.58000000002</v>
      </c>
      <c r="G31" s="49">
        <f>'2025年中心利润表 '!G31+'2025年江苏分部利润表'!G31+'2025年浙江分部利润表'!G31+'2025年上海分部利润表'!G31+'2025年赣皖区域利润表'!G31</f>
        <v>181241</v>
      </c>
      <c r="H31" s="49">
        <f>'2025年中心利润表 '!H31+'2025年江苏分部利润表'!H31+'2025年浙江分部利润表'!H31+'2025年上海分部利润表'!H31+'2025年赣皖区域利润表'!H31</f>
        <v>101305.7</v>
      </c>
      <c r="I31" s="49">
        <f>'2025年中心利润表 '!I31+'2025年江苏分部利润表'!I31+'2025年浙江分部利润表'!I31+'2025年上海分部利润表'!I31+'2025年赣皖区域利润表'!I31</f>
        <v>191671</v>
      </c>
      <c r="J31" s="49">
        <f>'2025年中心利润表 '!J31+'2025年江苏分部利润表'!J31+'2025年浙江分部利润表'!J31+'2025年上海分部利润表'!J31+'2025年赣皖区域利润表'!J31</f>
        <v>171658.83000000002</v>
      </c>
      <c r="K31" s="49">
        <f>'2025年中心利润表 '!K31+'2025年江苏分部利润表'!K31+'2025年浙江分部利润表'!K31+'2025年上海分部利润表'!K31+'2025年赣皖区域利润表'!K31</f>
        <v>191771</v>
      </c>
      <c r="L31" s="49">
        <f>'2025年中心利润表 '!L31+'2025年江苏分部利润表'!L31+'2025年浙江分部利润表'!L31+'2025年上海分部利润表'!L31+'2025年赣皖区域利润表'!L31</f>
        <v>172110</v>
      </c>
      <c r="M31" s="49">
        <f>'2025年中心利润表 '!M31+'2025年江苏分部利润表'!M31+'2025年浙江分部利润表'!M31+'2025年上海分部利润表'!M31+'2025年赣皖区域利润表'!M31</f>
        <v>191871</v>
      </c>
      <c r="N31" s="49">
        <f>'2025年中心利润表 '!N31+'2025年江苏分部利润表'!N31+'2025年浙江分部利润表'!N31+'2025年上海分部利润表'!N31+'2025年赣皖区域利润表'!N31</f>
        <v>172157.37</v>
      </c>
      <c r="O31" s="49">
        <f>'2025年中心利润表 '!O31+'2025年江苏分部利润表'!O31+'2025年浙江分部利润表'!O31+'2025年上海分部利润表'!O31+'2025年赣皖区域利润表'!O31</f>
        <v>191871</v>
      </c>
      <c r="P31" s="49">
        <f>'2025年中心利润表 '!P31+'2025年江苏分部利润表'!P31+'2025年浙江分部利润表'!P31+'2025年上海分部利润表'!P31+'2025年赣皖区域利润表'!P31</f>
        <v>170929</v>
      </c>
      <c r="Q31" s="49">
        <f>'2025年中心利润表 '!Q31+'2025年江苏分部利润表'!Q31+'2025年浙江分部利润表'!Q31+'2025年上海分部利润表'!Q31+'2025年赣皖区域利润表'!Q31</f>
        <v>192021</v>
      </c>
      <c r="R31" s="49">
        <f>'2025年中心利润表 '!R31+'2025年江苏分部利润表'!R31+'2025年浙江分部利润表'!R31+'2025年上海分部利润表'!R31+'2025年赣皖区域利润表'!R31</f>
        <v>166117.41</v>
      </c>
      <c r="S31" s="49">
        <f>'2025年中心利润表 '!S31+'2025年江苏分部利润表'!S31+'2025年浙江分部利润表'!S31+'2025年上海分部利润表'!S31+'2025年赣皖区域利润表'!S31</f>
        <v>192271</v>
      </c>
      <c r="T31" s="49">
        <f>'2025年中心利润表 '!T31+'2025年江苏分部利润表'!T31+'2025年浙江分部利润表'!T31+'2025年上海分部利润表'!T31+'2025年赣皖区域利润表'!T31</f>
        <v>145613.5</v>
      </c>
      <c r="U31" s="49">
        <f>'2025年中心利润表 '!U31+'2025年江苏分部利润表'!U31+'2025年浙江分部利润表'!U31+'2025年上海分部利润表'!U31+'2025年赣皖区域利润表'!U31</f>
        <v>192421</v>
      </c>
      <c r="V31" s="49">
        <f>'2025年中心利润表 '!V31+'2025年江苏分部利润表'!V31+'2025年浙江分部利润表'!V31+'2025年上海分部利润表'!V31+'2025年赣皖区域利润表'!V31</f>
        <v>162729</v>
      </c>
      <c r="W31" s="49">
        <f>'2025年中心利润表 '!W31+'2025年江苏分部利润表'!W31+'2025年浙江分部利润表'!W31+'2025年上海分部利润表'!W31+'2025年赣皖区域利润表'!W31</f>
        <v>192471</v>
      </c>
      <c r="X31" s="49">
        <f>'2025年中心利润表 '!X31+'2025年江苏分部利润表'!X31+'2025年浙江分部利润表'!X31+'2025年上海分部利润表'!X31+'2025年赣皖区域利润表'!X31</f>
        <v>151674.20000000001</v>
      </c>
      <c r="Y31" s="49">
        <f>'2025年中心利润表 '!Y31+'2025年江苏分部利润表'!Y31+'2025年浙江分部利润表'!Y31+'2025年上海分部利润表'!Y31+'2025年赣皖区域利润表'!Y31</f>
        <v>192571</v>
      </c>
      <c r="Z31" s="49">
        <f>'2025年中心利润表 '!Z31+'2025年江苏分部利润表'!Z31+'2025年浙江分部利润表'!Z31+'2025年上海分部利润表'!Z31+'2025年赣皖区域利润表'!Z31</f>
        <v>157536.06</v>
      </c>
      <c r="AA31" s="51">
        <f t="shared" si="12"/>
        <v>2272612</v>
      </c>
      <c r="AB31" s="51">
        <f t="shared" si="13"/>
        <v>1986631.63</v>
      </c>
      <c r="AC31" s="94"/>
      <c r="AD31" s="31">
        <f t="shared" si="14"/>
        <v>2272612</v>
      </c>
      <c r="AE31" s="31">
        <f t="shared" si="15"/>
        <v>1986631.63</v>
      </c>
      <c r="AF31" s="17">
        <f t="shared" si="18"/>
        <v>0</v>
      </c>
      <c r="AG31" s="17">
        <f t="shared" si="19"/>
        <v>0</v>
      </c>
      <c r="AH31" s="17">
        <f>SUM('[1]2024年全面预算利润表 (销售1中心)2.8亿'!E36:H36)</f>
        <v>893600</v>
      </c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</row>
    <row r="32" spans="1:59" s="19" customFormat="1" ht="14" hidden="1" outlineLevel="2" x14ac:dyDescent="0.25">
      <c r="A32" s="48" t="s">
        <v>109</v>
      </c>
      <c r="B32" s="53"/>
      <c r="C32" s="49">
        <f>'2025年中心利润表 '!C32+'2025年江苏分部利润表'!C32+'2025年浙江分部利润表'!C32+'2025年上海分部利润表'!C32+'2025年赣皖区域利润表'!C32</f>
        <v>272701.92</v>
      </c>
      <c r="D32" s="49">
        <f>'2025年中心利润表 '!D32+'2025年江苏分部利润表'!D32+'2025年浙江分部利润表'!D32+'2025年上海分部利润表'!D32+'2025年赣皖区域利润表'!D32</f>
        <v>159510.69</v>
      </c>
      <c r="E32" s="49">
        <f>'2025年中心利润表 '!E32+'2025年江苏分部利润表'!E32+'2025年浙江分部利润表'!E32+'2025年上海分部利润表'!E32+'2025年赣皖区域利润表'!E32</f>
        <v>162037.72</v>
      </c>
      <c r="F32" s="49">
        <f>'2025年中心利润表 '!F32+'2025年江苏分部利润表'!F32+'2025年浙江分部利润表'!F32+'2025年上海分部利润表'!F32+'2025年赣皖区域利润表'!F32</f>
        <v>65731</v>
      </c>
      <c r="G32" s="49">
        <f>'2025年中心利润表 '!G32+'2025年江苏分部利润表'!G32+'2025年浙江分部利润表'!G32+'2025年上海分部利润表'!G32+'2025年赣皖区域利润表'!G32</f>
        <v>249095.75</v>
      </c>
      <c r="H32" s="49">
        <f>'2025年中心利润表 '!H32+'2025年江苏分部利润表'!H32+'2025年浙江分部利润表'!H32+'2025年上海分部利润表'!H32+'2025年赣皖区域利润表'!H32</f>
        <v>133826</v>
      </c>
      <c r="I32" s="49">
        <f>'2025年中心利润表 '!I32+'2025年江苏分部利润表'!I32+'2025年浙江分部利润表'!I32+'2025年上海分部利润表'!I32+'2025年赣皖区域利润表'!I32</f>
        <v>288396.42000000004</v>
      </c>
      <c r="J32" s="49">
        <f>'2025年中心利润表 '!J32+'2025年江苏分部利润表'!J32+'2025年浙江分部利润表'!J32+'2025年上海分部利润表'!J32+'2025年赣皖区域利润表'!J32</f>
        <v>231141</v>
      </c>
      <c r="K32" s="49">
        <f>'2025年中心利润表 '!K32+'2025年江苏分部利润表'!K32+'2025年浙江分部利润表'!K32+'2025年上海分部利润表'!K32+'2025年赣皖区域利润表'!K32</f>
        <v>267971.34999999998</v>
      </c>
      <c r="L32" s="49">
        <f>'2025年中心利润表 '!L32+'2025年江苏分部利润表'!L32+'2025年浙江分部利润表'!L32+'2025年上海分部利润表'!L32+'2025年赣皖区域利润表'!L32</f>
        <v>117387</v>
      </c>
      <c r="M32" s="49">
        <f>'2025年中心利润表 '!M32+'2025年江苏分部利润表'!M32+'2025年浙江分部利润表'!M32+'2025年上海分部利润表'!M32+'2025年赣皖区域利润表'!M32</f>
        <v>286305.43</v>
      </c>
      <c r="N32" s="49">
        <f>'2025年中心利润表 '!N32+'2025年江苏分部利润表'!N32+'2025年浙江分部利润表'!N32+'2025年上海分部利润表'!N32+'2025年赣皖区域利润表'!N32</f>
        <v>104762</v>
      </c>
      <c r="O32" s="49">
        <f>'2025年中心利润表 '!O32+'2025年江苏分部利润表'!O32+'2025年浙江分部利润表'!O32+'2025年上海分部利润表'!O32+'2025年赣皖区域利润表'!O32</f>
        <v>305664.61</v>
      </c>
      <c r="P32" s="49">
        <f>'2025年中心利润表 '!P32+'2025年江苏分部利润表'!P32+'2025年浙江分部利润表'!P32+'2025年上海分部利润表'!P32+'2025年赣皖区域利润表'!P32</f>
        <v>109228</v>
      </c>
      <c r="Q32" s="49">
        <f>'2025年中心利润表 '!Q32+'2025年江苏分部利润表'!Q32+'2025年浙江分部利润表'!Q32+'2025年上海分部利润表'!Q32+'2025年赣皖区域利润表'!Q32</f>
        <v>336187.25</v>
      </c>
      <c r="R32" s="49">
        <f>'2025年中心利润表 '!R32+'2025年江苏分部利润表'!R32+'2025年浙江分部利润表'!R32+'2025年上海分部利润表'!R32+'2025年赣皖区域利润表'!R32</f>
        <v>121798</v>
      </c>
      <c r="S32" s="49">
        <f>'2025年中心利润表 '!S32+'2025年江苏分部利润表'!S32+'2025年浙江分部利润表'!S32+'2025年上海分部利润表'!S32+'2025年赣皖区域利润表'!S32</f>
        <v>411489.71</v>
      </c>
      <c r="T32" s="49">
        <f>'2025年中心利润表 '!T32+'2025年江苏分部利润表'!T32+'2025年浙江分部利润表'!T32+'2025年上海分部利润表'!T32+'2025年赣皖区域利润表'!T32</f>
        <v>202907</v>
      </c>
      <c r="U32" s="49">
        <f>'2025年中心利润表 '!U32+'2025年江苏分部利润表'!U32+'2025年浙江分部利润表'!U32+'2025年上海分部利润表'!U32+'2025年赣皖区域利润表'!U32</f>
        <v>336914.81000000006</v>
      </c>
      <c r="V32" s="49">
        <f>'2025年中心利润表 '!V32+'2025年江苏分部利润表'!V32+'2025年浙江分部利润表'!V32+'2025年上海分部利润表'!V32+'2025年赣皖区域利润表'!V32</f>
        <v>96946</v>
      </c>
      <c r="W32" s="49">
        <f>'2025年中心利润表 '!W32+'2025年江苏分部利润表'!W32+'2025年浙江分部利润表'!W32+'2025年上海分部利润表'!W32+'2025年赣皖区域利润表'!W32</f>
        <v>365766.44999999995</v>
      </c>
      <c r="X32" s="49">
        <f>'2025年中心利润表 '!X32+'2025年江苏分部利润表'!X32+'2025年浙江分部利润表'!X32+'2025年上海分部利润表'!X32+'2025年赣皖区域利润表'!X32</f>
        <v>113065</v>
      </c>
      <c r="Y32" s="49">
        <f>'2025年中心利润表 '!Y32+'2025年江苏分部利润表'!Y32+'2025年浙江分部利润表'!Y32+'2025年上海分部利润表'!Y32+'2025年赣皖区域利润表'!Y32</f>
        <v>505448.57999999996</v>
      </c>
      <c r="Z32" s="49">
        <f>'2025年中心利润表 '!Z32+'2025年江苏分部利润表'!Z32+'2025年浙江分部利润表'!Z32+'2025年上海分部利润表'!Z32+'2025年赣皖区域利润表'!Z32</f>
        <v>105893</v>
      </c>
      <c r="AA32" s="51">
        <f t="shared" si="12"/>
        <v>3787980</v>
      </c>
      <c r="AB32" s="51">
        <f t="shared" si="13"/>
        <v>1562194.69</v>
      </c>
      <c r="AC32" s="94"/>
      <c r="AD32" s="31">
        <f t="shared" si="14"/>
        <v>3787980</v>
      </c>
      <c r="AE32" s="31">
        <f t="shared" si="15"/>
        <v>1562194.69</v>
      </c>
      <c r="AF32" s="17">
        <f t="shared" si="18"/>
        <v>0</v>
      </c>
      <c r="AG32" s="17">
        <f t="shared" si="19"/>
        <v>0</v>
      </c>
      <c r="AH32" s="17">
        <f>SUM('[1]2024年全面预算利润表 (销售1中心)2.8亿'!E37:H37)</f>
        <v>1086270</v>
      </c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</row>
    <row r="33" spans="1:53" s="17" customFormat="1" ht="14" hidden="1" outlineLevel="1" x14ac:dyDescent="0.25">
      <c r="A33" s="67" t="s">
        <v>110</v>
      </c>
      <c r="B33" s="45"/>
      <c r="C33" s="65">
        <f t="shared" ref="C33:Z33" si="20">SUM(C34:C38)</f>
        <v>30201.599999999999</v>
      </c>
      <c r="D33" s="65">
        <f t="shared" si="20"/>
        <v>28007.26</v>
      </c>
      <c r="E33" s="65">
        <f t="shared" si="20"/>
        <v>30201.599999999999</v>
      </c>
      <c r="F33" s="65">
        <f t="shared" si="20"/>
        <v>24135.4</v>
      </c>
      <c r="G33" s="65">
        <f t="shared" si="20"/>
        <v>30201.599999999999</v>
      </c>
      <c r="H33" s="65">
        <f t="shared" si="20"/>
        <v>25465.02</v>
      </c>
      <c r="I33" s="65">
        <f t="shared" si="20"/>
        <v>30201.599999999999</v>
      </c>
      <c r="J33" s="65">
        <f t="shared" si="20"/>
        <v>25465.02</v>
      </c>
      <c r="K33" s="65">
        <f t="shared" si="20"/>
        <v>30201.599999999999</v>
      </c>
      <c r="L33" s="65">
        <f t="shared" si="20"/>
        <v>27488.57</v>
      </c>
      <c r="M33" s="65">
        <f t="shared" si="20"/>
        <v>30201.599999999999</v>
      </c>
      <c r="N33" s="65">
        <f t="shared" si="20"/>
        <v>24654.089999999997</v>
      </c>
      <c r="O33" s="65">
        <f t="shared" si="20"/>
        <v>30201.599999999999</v>
      </c>
      <c r="P33" s="65">
        <f t="shared" si="20"/>
        <v>25465.019999999997</v>
      </c>
      <c r="Q33" s="65">
        <f t="shared" si="20"/>
        <v>30201.599999999999</v>
      </c>
      <c r="R33" s="65">
        <f t="shared" si="20"/>
        <v>25465.019999999997</v>
      </c>
      <c r="S33" s="65">
        <f t="shared" si="20"/>
        <v>30201.599999999999</v>
      </c>
      <c r="T33" s="65">
        <f t="shared" si="20"/>
        <v>27621.149999999994</v>
      </c>
      <c r="U33" s="65">
        <f t="shared" si="20"/>
        <v>30201.599999999999</v>
      </c>
      <c r="V33" s="65">
        <f t="shared" si="20"/>
        <v>25243.019999999997</v>
      </c>
      <c r="W33" s="65">
        <f t="shared" si="20"/>
        <v>30201.599999999999</v>
      </c>
      <c r="X33" s="65">
        <f t="shared" si="20"/>
        <v>25153.629999999997</v>
      </c>
      <c r="Y33" s="65">
        <f t="shared" si="20"/>
        <v>30201.599999999999</v>
      </c>
      <c r="Z33" s="65">
        <f t="shared" si="20"/>
        <v>26385.87</v>
      </c>
      <c r="AA33" s="47">
        <f t="shared" si="12"/>
        <v>362419.19999999995</v>
      </c>
      <c r="AB33" s="51">
        <f t="shared" si="13"/>
        <v>310549.06999999995</v>
      </c>
      <c r="AC33" s="31"/>
      <c r="AD33" s="31">
        <f t="shared" si="14"/>
        <v>362419.19999999995</v>
      </c>
      <c r="AE33" s="31">
        <f t="shared" si="15"/>
        <v>310549.06999999995</v>
      </c>
      <c r="AF33" s="17">
        <f t="shared" si="18"/>
        <v>0</v>
      </c>
      <c r="AG33" s="17">
        <f t="shared" si="19"/>
        <v>0</v>
      </c>
      <c r="AH33" s="17">
        <f>SUM('[1]2024年全面预算利润表 (销售1中心)2.8亿'!E38:H38)</f>
        <v>121836.62</v>
      </c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</row>
    <row r="34" spans="1:53" s="19" customFormat="1" ht="14" hidden="1" outlineLevel="2" x14ac:dyDescent="0.25">
      <c r="A34" s="48" t="s">
        <v>111</v>
      </c>
      <c r="B34" s="53"/>
      <c r="C34" s="49">
        <f>'2025年中心利润表 '!C34+'2025年江苏分部利润表'!C34+'2025年浙江分部利润表'!C34+'2025年上海分部利润表'!C34+'2025年赣皖区域利润表'!C34</f>
        <v>18720</v>
      </c>
      <c r="D34" s="49">
        <f>'2025年中心利润表 '!D34+'2025年江苏分部利润表'!D34+'2025年浙江分部利润表'!D34+'2025年上海分部利润表'!D34+'2025年赣皖区域利润表'!D34</f>
        <v>17743.68</v>
      </c>
      <c r="E34" s="49">
        <f>'2025年中心利润表 '!E34+'2025年江苏分部利润表'!E34+'2025年浙江分部利润表'!E34+'2025年上海分部利润表'!E34+'2025年赣皖区域利润表'!E34</f>
        <v>18720</v>
      </c>
      <c r="F34" s="49">
        <f>'2025年中心利润表 '!F34+'2025年江苏分部利润表'!F34+'2025年浙江分部利润表'!F34+'2025年上海分部利润表'!F34+'2025年赣皖区域利润表'!F34</f>
        <v>15362.880000000001</v>
      </c>
      <c r="G34" s="49">
        <f>'2025年中心利润表 '!G34+'2025年江苏分部利润表'!G34+'2025年浙江分部利润表'!G34+'2025年上海分部利润表'!G34+'2025年赣皖区域利润表'!G34</f>
        <v>18720</v>
      </c>
      <c r="H34" s="49">
        <f>'2025年中心利润表 '!H34+'2025年江苏分部利润表'!H34+'2025年浙江分部利润表'!H34+'2025年上海分部利润表'!H34+'2025年赣皖区域利润表'!H34</f>
        <v>16168.320000000002</v>
      </c>
      <c r="I34" s="49">
        <f>'2025年中心利润表 '!I34+'2025年江苏分部利润表'!I34+'2025年浙江分部利润表'!I34+'2025年上海分部利润表'!I34+'2025年赣皖区域利润表'!I34</f>
        <v>18720</v>
      </c>
      <c r="J34" s="49">
        <f>'2025年中心利润表 '!J34+'2025年江苏分部利润表'!J34+'2025年浙江分部利润表'!J34+'2025年上海分部利润表'!J34+'2025年赣皖区域利润表'!J34</f>
        <v>16168.320000000002</v>
      </c>
      <c r="K34" s="49">
        <f>'2025年中心利润表 '!K34+'2025年江苏分部利润表'!K34+'2025年浙江分部利润表'!K34+'2025年上海分部利润表'!K34+'2025年赣皖区域利润表'!K34</f>
        <v>18720</v>
      </c>
      <c r="L34" s="49">
        <f>'2025年中心利润表 '!L34+'2025年江苏分部利润表'!L34+'2025年浙江分部利润表'!L34+'2025年上海分部利润表'!L34+'2025年赣皖区域利润表'!L34</f>
        <v>17385.28</v>
      </c>
      <c r="M34" s="49">
        <f>'2025年中心利润表 '!M34+'2025年江苏分部利润表'!M34+'2025年浙江分部利润表'!M34+'2025年上海分部利润表'!M34+'2025年赣皖区域利润表'!M34</f>
        <v>18720</v>
      </c>
      <c r="N34" s="49">
        <f>'2025年中心利润表 '!N34+'2025年江苏分部利润表'!N34+'2025年浙江分部利润表'!N34+'2025年上海分部利润表'!N34+'2025年赣皖区域利润表'!N34</f>
        <v>15721.28</v>
      </c>
      <c r="O34" s="49">
        <f>'2025年中心利润表 '!O34+'2025年江苏分部利润表'!O34+'2025年浙江分部利润表'!O34+'2025年上海分部利润表'!O34+'2025年赣皖区域利润表'!O34</f>
        <v>18720</v>
      </c>
      <c r="P34" s="49">
        <f>'2025年中心利润表 '!P34+'2025年江苏分部利润表'!P34+'2025年浙江分部利润表'!P34+'2025年上海分部利润表'!P34+'2025年赣皖区域利润表'!P34</f>
        <v>16168.320000000002</v>
      </c>
      <c r="Q34" s="49">
        <f>'2025年中心利润表 '!Q34+'2025年江苏分部利润表'!Q34+'2025年浙江分部利润表'!Q34+'2025年上海分部利润表'!Q34+'2025年赣皖区域利润表'!Q34</f>
        <v>18720</v>
      </c>
      <c r="R34" s="49">
        <f>'2025年中心利润表 '!R34+'2025年江苏分部利润表'!R34+'2025年浙江分部利润表'!R34+'2025年上海分部利润表'!R34+'2025年赣皖区域利润表'!R34</f>
        <v>16168.320000000002</v>
      </c>
      <c r="S34" s="49">
        <f>'2025年中心利润表 '!S34+'2025年江苏分部利润表'!S34+'2025年浙江分部利润表'!S34+'2025年上海分部利润表'!S34+'2025年赣皖区域利润表'!S34</f>
        <v>18720</v>
      </c>
      <c r="T34" s="49">
        <f>'2025年中心利润表 '!T34+'2025年江苏分部利润表'!T34+'2025年浙江分部利润表'!T34+'2025年上海分部利润表'!T34+'2025年赣皖区域利润表'!T34</f>
        <v>18776.64</v>
      </c>
      <c r="U34" s="49">
        <f>'2025年中心利润表 '!U34+'2025年江苏分部利润表'!U34+'2025年浙江分部利润表'!U34+'2025年上海分部利润表'!U34+'2025年赣皖区域利润表'!U34</f>
        <v>18720</v>
      </c>
      <c r="V34" s="49">
        <f>'2025年中心利润表 '!V34+'2025年江苏分部利润表'!V34+'2025年浙江分部利润表'!V34+'2025年上海分部利润表'!V34+'2025年赣皖区域利润表'!V34</f>
        <v>16024.96</v>
      </c>
      <c r="W34" s="49">
        <f>'2025年中心利润表 '!W34+'2025年江苏分部利润表'!W34+'2025年浙江分部利润表'!W34+'2025年上海分部利润表'!W34+'2025年赣皖区域利润表'!W34</f>
        <v>18720</v>
      </c>
      <c r="X34" s="49">
        <f>'2025年中心利润表 '!X34+'2025年江苏分部利润表'!X34+'2025年浙江分部利润表'!X34+'2025年上海分部利润表'!X34+'2025年赣皖区域利润表'!X34</f>
        <v>15970.880000000001</v>
      </c>
      <c r="Y34" s="49">
        <f>'2025年中心利润表 '!Y34+'2025年江苏分部利润表'!Y34+'2025年浙江分部利润表'!Y34+'2025年上海分部利润表'!Y34+'2025年赣皖区域利润表'!Y34</f>
        <v>18720</v>
      </c>
      <c r="Z34" s="49">
        <f>'2025年中心利润表 '!Z34+'2025年江苏分部利润表'!Z34+'2025年浙江分部利润表'!Z34+'2025年上海分部利润表'!Z34+'2025年赣皖区域利润表'!Z34</f>
        <v>16752.960000000003</v>
      </c>
      <c r="AA34" s="51">
        <f t="shared" si="12"/>
        <v>224640</v>
      </c>
      <c r="AB34" s="51">
        <f t="shared" si="13"/>
        <v>198411.84</v>
      </c>
      <c r="AC34" s="94"/>
      <c r="AD34" s="31">
        <f t="shared" si="14"/>
        <v>224640</v>
      </c>
      <c r="AE34" s="31">
        <f t="shared" si="15"/>
        <v>198411.84</v>
      </c>
      <c r="AF34" s="17">
        <f t="shared" si="18"/>
        <v>0</v>
      </c>
      <c r="AG34" s="17">
        <f t="shared" si="19"/>
        <v>0</v>
      </c>
      <c r="AH34" s="17">
        <f>SUM('[1]2024年全面预算利润表 (销售1中心)2.8亿'!E39:H39)</f>
        <v>73521.84</v>
      </c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</row>
    <row r="35" spans="1:53" s="19" customFormat="1" ht="14" hidden="1" outlineLevel="2" x14ac:dyDescent="0.25">
      <c r="A35" s="48" t="s">
        <v>112</v>
      </c>
      <c r="B35" s="53"/>
      <c r="C35" s="49">
        <f>'2025年中心利润表 '!C35+'2025年江苏分部利润表'!C35+'2025年浙江分部利润表'!C35+'2025年上海分部利润表'!C35+'2025年赣皖区域利润表'!C35</f>
        <v>9984</v>
      </c>
      <c r="D35" s="49">
        <f>'2025年中心利润表 '!D35+'2025年江苏分部利润表'!D35+'2025年浙江分部利润表'!D35+'2025年上海分部利润表'!D35+'2025年赣皖区域利润表'!D35</f>
        <v>9475.56</v>
      </c>
      <c r="E35" s="49">
        <f>'2025年中心利润表 '!E35+'2025年江苏分部利润表'!E35+'2025年浙江分部利润表'!E35+'2025年上海分部利润表'!E35+'2025年赣皖区域利润表'!E35</f>
        <v>9984</v>
      </c>
      <c r="F35" s="49">
        <f>'2025年中心利润表 '!F35+'2025年江苏分部利润表'!F35+'2025年浙江分部利润表'!F35+'2025年上海分部利润表'!F35+'2025年赣皖区域利润表'!F35</f>
        <v>8112.2999999999993</v>
      </c>
      <c r="G35" s="49">
        <f>'2025年中心利润表 '!G35+'2025年江苏分部利润表'!G35+'2025年浙江分部利润表'!G35+'2025年上海分部利润表'!G35+'2025年赣皖区域利润表'!G35</f>
        <v>9984</v>
      </c>
      <c r="H35" s="49">
        <f>'2025年中心利润表 '!H35+'2025年江苏分部利润表'!H35+'2025年浙江分部利润表'!H35+'2025年上海分部利润表'!H35+'2025年赣皖区域利润表'!H35</f>
        <v>8589.4199999999983</v>
      </c>
      <c r="I35" s="49">
        <f>'2025年中心利润表 '!I35+'2025年江苏分部利润表'!I35+'2025年浙江分部利润表'!I35+'2025年上海分部利润表'!I35+'2025年赣皖区域利润表'!I35</f>
        <v>9984</v>
      </c>
      <c r="J35" s="49">
        <f>'2025年中心利润表 '!J35+'2025年江苏分部利润表'!J35+'2025年浙江分部利润表'!J35+'2025年上海分部利润表'!J35+'2025年赣皖区域利润表'!J35</f>
        <v>8589.4199999999983</v>
      </c>
      <c r="K35" s="49">
        <f>'2025年中心利润表 '!K35+'2025年江苏分部利润表'!K35+'2025年浙江分部利润表'!K35+'2025年上海分部利润表'!K35+'2025年赣皖区域利润表'!K35</f>
        <v>9984</v>
      </c>
      <c r="L35" s="49">
        <f>'2025年中心利润表 '!L35+'2025年江苏分部利润表'!L35+'2025年浙江分部利润表'!L35+'2025年上海分部利润表'!L35+'2025年赣皖区域利润表'!L35</f>
        <v>9322.08</v>
      </c>
      <c r="M35" s="49">
        <f>'2025年中心利润表 '!M35+'2025年江苏分部利润表'!M35+'2025年浙江分部利润表'!M35+'2025年上海分部利润表'!M35+'2025年赣皖区域利润表'!M35</f>
        <v>9984</v>
      </c>
      <c r="N35" s="49">
        <f>'2025年中心利润表 '!N35+'2025年江苏分部利润表'!N35+'2025年浙江分部利润表'!N35+'2025年上海分部利润表'!N35+'2025年赣皖区域利润表'!N35</f>
        <v>8265.7799999999988</v>
      </c>
      <c r="O35" s="49">
        <f>'2025年中心利润表 '!O35+'2025年江苏分部利润表'!O35+'2025年浙江分部利润表'!O35+'2025年上海分部利润表'!O35+'2025年赣皖区域利润表'!O35</f>
        <v>9984</v>
      </c>
      <c r="P35" s="49">
        <f>'2025年中心利润表 '!P35+'2025年江苏分部利润表'!P35+'2025年浙江分部利润表'!P35+'2025年上海分部利润表'!P35+'2025年赣皖区域利润表'!P35</f>
        <v>8589.4199999999983</v>
      </c>
      <c r="Q35" s="49">
        <f>'2025年中心利润表 '!Q35+'2025年江苏分部利润表'!Q35+'2025年浙江分部利润表'!Q35+'2025年上海分部利润表'!Q35+'2025年赣皖区域利润表'!Q35</f>
        <v>9984</v>
      </c>
      <c r="R35" s="49">
        <f>'2025年中心利润表 '!R35+'2025年江苏分部利润表'!R35+'2025年浙江分部利润表'!R35+'2025年上海分部利润表'!R35+'2025年赣皖区域利润表'!R35</f>
        <v>8589.4199999999983</v>
      </c>
      <c r="S35" s="49">
        <f>'2025年中心利润表 '!S35+'2025年江苏分部利润表'!S35+'2025年浙江分部利润表'!S35+'2025年上海分部利润表'!S35+'2025年赣皖区域利润表'!S35</f>
        <v>9984</v>
      </c>
      <c r="T35" s="49">
        <f>'2025年中心利润表 '!T35+'2025年江苏分部利润表'!T35+'2025年浙江分部利润表'!T35+'2025年上海分部利润表'!T35+'2025年赣皖区域利润表'!T35</f>
        <v>8022.8099999999995</v>
      </c>
      <c r="U35" s="49">
        <f>'2025年中心利润表 '!U35+'2025年江苏分部利润表'!U35+'2025年浙江分部利润表'!U35+'2025年上海分部利润表'!U35+'2025年赣皖区域利润表'!U35</f>
        <v>9984</v>
      </c>
      <c r="V35" s="49">
        <f>'2025年中心利润表 '!V35+'2025年江苏分部利润表'!V35+'2025年浙江分部利润表'!V35+'2025年上海分部利润表'!V35+'2025年赣皖区域利润表'!V35</f>
        <v>8516.31</v>
      </c>
      <c r="W35" s="49">
        <f>'2025年中心利润表 '!W35+'2025年江苏分部利润表'!W35+'2025年浙江分部利润表'!W35+'2025年上海分部利润表'!W35+'2025年赣皖区域利润表'!W35</f>
        <v>9984</v>
      </c>
      <c r="X35" s="49">
        <f>'2025年中心利润表 '!X35+'2025年江苏分部利润表'!X35+'2025年浙江分部利润表'!X35+'2025年上海分部利润表'!X35+'2025年赣皖区域利润表'!X35</f>
        <v>8484.15</v>
      </c>
      <c r="Y35" s="49">
        <f>'2025年中心利润表 '!Y35+'2025年江苏分部利润表'!Y35+'2025年浙江分部利润表'!Y35+'2025年上海分部利润表'!Y35+'2025年赣皖区域利润表'!Y35</f>
        <v>9984</v>
      </c>
      <c r="Z35" s="49">
        <f>'2025年中心利润表 '!Z35+'2025年江苏分部利润表'!Z35+'2025年浙江分部利润表'!Z35+'2025年上海分部利润表'!Z35+'2025年赣皖区域利润表'!Z35</f>
        <v>8900.01</v>
      </c>
      <c r="AA35" s="51">
        <f t="shared" si="12"/>
        <v>119808</v>
      </c>
      <c r="AB35" s="51">
        <f t="shared" si="13"/>
        <v>103456.67999999998</v>
      </c>
      <c r="AC35" s="94"/>
      <c r="AD35" s="31">
        <f t="shared" si="14"/>
        <v>119808</v>
      </c>
      <c r="AE35" s="31">
        <f t="shared" si="15"/>
        <v>103456.67999999998</v>
      </c>
      <c r="AF35" s="17">
        <f t="shared" si="18"/>
        <v>0</v>
      </c>
      <c r="AG35" s="17">
        <f t="shared" si="19"/>
        <v>0</v>
      </c>
      <c r="AH35" s="17">
        <f>SUM('[1]2024年全面预算利润表 (销售1中心)2.8亿'!E40:H40)</f>
        <v>44638.26</v>
      </c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</row>
    <row r="36" spans="1:53" s="19" customFormat="1" ht="14" hidden="1" outlineLevel="2" x14ac:dyDescent="0.25">
      <c r="A36" s="48" t="s">
        <v>113</v>
      </c>
      <c r="B36" s="53"/>
      <c r="C36" s="49">
        <f>'2025年中心利润表 '!C36+'2025年江苏分部利润表'!C36+'2025年浙江分部利润表'!C36+'2025年上海分部利润表'!C36+'2025年赣皖区域利润表'!C36</f>
        <v>249.6</v>
      </c>
      <c r="D36" s="49">
        <f>'2025年中心利润表 '!D36+'2025年江苏分部利润表'!D36+'2025年浙江分部利润表'!D36+'2025年上海分部利润表'!D36+'2025年赣皖区域利润表'!D36</f>
        <v>233.53</v>
      </c>
      <c r="E36" s="49">
        <f>'2025年中心利润表 '!E36+'2025年江苏分部利润表'!E36+'2025年浙江分部利润表'!E36+'2025年上海分部利润表'!E36+'2025年赣皖区域利润表'!E36</f>
        <v>249.6</v>
      </c>
      <c r="F36" s="49">
        <f>'2025年中心利润表 '!F36+'2025年江苏分部利润表'!F36+'2025年浙江分部利润表'!F36+'2025年上海分部利润表'!F36+'2025年赣皖区域利润表'!F36</f>
        <v>173.57</v>
      </c>
      <c r="G36" s="49">
        <f>'2025年中心利润表 '!G36+'2025年江苏分部利润表'!G36+'2025年浙江分部利润表'!G36+'2025年上海分部利润表'!G36+'2025年赣皖区域利润表'!G36</f>
        <v>249.6</v>
      </c>
      <c r="H36" s="49">
        <f>'2025年中心利润表 '!H36+'2025年江苏分部利润表'!H36+'2025年浙江分部利润表'!H36+'2025年上海分部利润表'!H36+'2025年赣皖区域利润表'!H36</f>
        <v>198.74</v>
      </c>
      <c r="I36" s="49">
        <f>'2025年中心利润表 '!I36+'2025年江苏分部利润表'!I36+'2025年浙江分部利润表'!I36+'2025年上海分部利润表'!I36+'2025年赣皖区域利润表'!I36</f>
        <v>249.6</v>
      </c>
      <c r="J36" s="49">
        <f>'2025年中心利润表 '!J36+'2025年江苏分部利润表'!J36+'2025年浙江分部利润表'!J36+'2025年上海分部利润表'!J36+'2025年赣皖区域利润表'!J36</f>
        <v>198.74</v>
      </c>
      <c r="K36" s="49">
        <f>'2025年中心利润表 '!K36+'2025年江苏分部利润表'!K36+'2025年浙江分部利润表'!K36+'2025年上海分部利润表'!K36+'2025年赣皖区域利润表'!K36</f>
        <v>249.6</v>
      </c>
      <c r="L36" s="49">
        <f>'2025年中心利润表 '!L36+'2025年江苏分部利润表'!L36+'2025年浙江分部利润表'!L36+'2025年上海分部利润表'!L36+'2025年赣皖区域利润表'!L36</f>
        <v>237.92</v>
      </c>
      <c r="M36" s="49">
        <f>'2025年中心利润表 '!M36+'2025年江苏分部利润表'!M36+'2025年浙江分部利润表'!M36+'2025年上海分部利润表'!M36+'2025年赣皖区域利润表'!M36</f>
        <v>249.6</v>
      </c>
      <c r="N36" s="49">
        <f>'2025年中心利润表 '!N36+'2025年江苏分部利润表'!N36+'2025年浙江分部利润表'!N36+'2025年上海分部利润表'!N36+'2025年赣皖区域利润表'!N36</f>
        <v>188.85999999999999</v>
      </c>
      <c r="O36" s="49">
        <f>'2025年中心利润表 '!O36+'2025年江苏分部利润表'!O36+'2025年浙江分部利润表'!O36+'2025年上海分部利润表'!O36+'2025年赣皖区域利润表'!O36</f>
        <v>249.6</v>
      </c>
      <c r="P36" s="49">
        <f>'2025年中心利润表 '!P36+'2025年江苏分部利润表'!P36+'2025年浙江分部利润表'!P36+'2025年上海分部利润表'!P36+'2025年赣皖区域利润表'!P36</f>
        <v>202.01999999999998</v>
      </c>
      <c r="Q36" s="49">
        <f>'2025年中心利润表 '!Q36+'2025年江苏分部利润表'!Q36+'2025年浙江分部利润表'!Q36+'2025年上海分部利润表'!Q36+'2025年赣皖区域利润表'!Q36</f>
        <v>249.6</v>
      </c>
      <c r="R36" s="49">
        <f>'2025年中心利润表 '!R36+'2025年江苏分部利润表'!R36+'2025年浙江分部利润表'!R36+'2025年上海分部利润表'!R36+'2025年赣皖区域利润表'!R36</f>
        <v>202.01999999999998</v>
      </c>
      <c r="S36" s="49">
        <f>'2025年中心利润表 '!S36+'2025年江苏分部利润表'!S36+'2025年浙江分部利润表'!S36+'2025年上海分部利润表'!S36+'2025年赣皖区域利润表'!S36</f>
        <v>249.6</v>
      </c>
      <c r="T36" s="49">
        <f>'2025年中心利润表 '!T36+'2025年江苏分部利润表'!T36+'2025年浙江分部利润表'!T36+'2025年上海分部利润表'!T36+'2025年赣皖区域利润表'!T36</f>
        <v>237.01</v>
      </c>
      <c r="U36" s="49">
        <f>'2025年中心利润表 '!U36+'2025年江苏分部利润表'!U36+'2025年浙江分部利润表'!U36+'2025年上海分部利润表'!U36+'2025年赣皖区域利润表'!U36</f>
        <v>249.6</v>
      </c>
      <c r="V36" s="49">
        <f>'2025年中心利润表 '!V36+'2025年江苏分部利润表'!V36+'2025年浙江分部利润表'!V36+'2025年上海分部利润表'!V36+'2025年赣皖区域利润表'!V36</f>
        <v>200.97</v>
      </c>
      <c r="W36" s="49">
        <f>'2025年中心利润表 '!W36+'2025年江苏分部利润表'!W36+'2025年浙江分部利润表'!W36+'2025年上海分部利润表'!W36+'2025年赣皖区域利润表'!W36</f>
        <v>249.6</v>
      </c>
      <c r="X36" s="49">
        <f>'2025年中心利润表 '!X36+'2025年江苏分部利润表'!X36+'2025年浙江分部利润表'!X36+'2025年上海分部利润表'!X36+'2025年赣皖区域利润表'!X36</f>
        <v>199.51</v>
      </c>
      <c r="Y36" s="49">
        <f>'2025年中心利润表 '!Y36+'2025年江苏分部利润表'!Y36+'2025年浙江分部利润表'!Y36+'2025年上海分部利润表'!Y36+'2025年赣皖区域利润表'!Y36</f>
        <v>249.6</v>
      </c>
      <c r="Z36" s="49">
        <f>'2025年中心利润表 '!Z36+'2025年江苏分部利润表'!Z36+'2025年浙江分部利润表'!Z36+'2025年上海分部利润表'!Z36+'2025年赣皖区域利润表'!Z36</f>
        <v>209.37</v>
      </c>
      <c r="AA36" s="51">
        <f t="shared" si="12"/>
        <v>2995.1999999999994</v>
      </c>
      <c r="AB36" s="51">
        <f t="shared" si="13"/>
        <v>2482.2599999999993</v>
      </c>
      <c r="AC36" s="94"/>
      <c r="AD36" s="31">
        <f t="shared" si="14"/>
        <v>2995.1999999999994</v>
      </c>
      <c r="AE36" s="31">
        <f t="shared" si="15"/>
        <v>2482.2599999999993</v>
      </c>
      <c r="AF36" s="17">
        <f t="shared" si="18"/>
        <v>0</v>
      </c>
      <c r="AG36" s="17">
        <f t="shared" si="19"/>
        <v>0</v>
      </c>
      <c r="AH36" s="17">
        <f>SUM('[1]2024年全面预算利润表 (销售1中心)2.8亿'!E41:H41)</f>
        <v>1050.74</v>
      </c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</row>
    <row r="37" spans="1:53" s="19" customFormat="1" ht="14" hidden="1" outlineLevel="2" x14ac:dyDescent="0.25">
      <c r="A37" s="48" t="s">
        <v>114</v>
      </c>
      <c r="B37" s="53"/>
      <c r="C37" s="49">
        <f>'2025年中心利润表 '!C37+'2025年江苏分部利润表'!C37+'2025年浙江分部利润表'!C37+'2025年上海分部利润表'!C37+'2025年赣皖区域利润表'!C37</f>
        <v>624</v>
      </c>
      <c r="D37" s="49">
        <f>'2025年中心利润表 '!D37+'2025年江苏分部利润表'!D37+'2025年浙江分部利润表'!D37+'2025年上海分部利润表'!D37+'2025年赣皖区域利润表'!D37</f>
        <v>554.49</v>
      </c>
      <c r="E37" s="49">
        <f>'2025年中心利润表 '!E37+'2025年江苏分部利润表'!E37+'2025年浙江分部利润表'!E37+'2025年上海分部利润表'!E37+'2025年赣皖区域利润表'!E37</f>
        <v>624</v>
      </c>
      <c r="F37" s="49">
        <f>'2025年中心利润表 '!F37+'2025年江苏分部利润表'!F37+'2025年浙江分部利润表'!F37+'2025年上海分部利润表'!F37+'2025年赣皖区域利润表'!F37</f>
        <v>486.65000000000003</v>
      </c>
      <c r="G37" s="49">
        <f>'2025年中心利润表 '!G37+'2025年江苏分部利润表'!G37+'2025年浙江分部利润表'!G37+'2025年上海分部利润表'!G37+'2025年赣皖区域利润表'!G37</f>
        <v>624</v>
      </c>
      <c r="H37" s="49">
        <f>'2025年中心利润表 '!H37+'2025年江苏分部利润表'!H37+'2025年浙江分部利润表'!H37+'2025年上海分部利润表'!H37+'2025年赣皖区域利润表'!H37</f>
        <v>508.54</v>
      </c>
      <c r="I37" s="49">
        <f>'2025年中心利润表 '!I37+'2025年江苏分部利润表'!I37+'2025年浙江分部利润表'!I37+'2025年上海分部利润表'!I37+'2025年赣皖区域利润表'!I37</f>
        <v>624</v>
      </c>
      <c r="J37" s="49">
        <f>'2025年中心利润表 '!J37+'2025年江苏分部利润表'!J37+'2025年浙江分部利润表'!J37+'2025年上海分部利润表'!J37+'2025年赣皖区域利润表'!J37</f>
        <v>508.54</v>
      </c>
      <c r="K37" s="49">
        <f>'2025年中心利润表 '!K37+'2025年江苏分部利润表'!K37+'2025年浙江分部利润表'!K37+'2025年上海分部利润表'!K37+'2025年赣皖区域利润表'!K37</f>
        <v>624</v>
      </c>
      <c r="L37" s="49">
        <f>'2025年中心利润表 '!L37+'2025年江苏分部利润表'!L37+'2025年浙江分部利润表'!L37+'2025年上海分部利润表'!L37+'2025年赣皖区域利润表'!L37</f>
        <v>543.29</v>
      </c>
      <c r="M37" s="49">
        <f>'2025年中心利润表 '!M37+'2025年江苏分部利润表'!M37+'2025年浙江分部利润表'!M37+'2025年上海分部利润表'!M37+'2025年赣皖区域利润表'!M37</f>
        <v>624</v>
      </c>
      <c r="N37" s="49">
        <f>'2025年中心利润表 '!N37+'2025年江苏分部利润表'!N37+'2025年浙江分部利润表'!N37+'2025年上海分部利润表'!N37+'2025年赣皖区域利润表'!N37</f>
        <v>478.17</v>
      </c>
      <c r="O37" s="49">
        <f>'2025年中心利润表 '!O37+'2025年江苏分部利润表'!O37+'2025年浙江分部利润表'!O37+'2025年上海分部利润表'!O37+'2025年赣皖区域利润表'!O37</f>
        <v>624</v>
      </c>
      <c r="P37" s="49">
        <f>'2025年中心利润表 '!P37+'2025年江苏分部利润表'!P37+'2025年浙江分部利润表'!P37+'2025年上海分部利润表'!P37+'2025年赣皖区域利润表'!P37</f>
        <v>505.26000000000005</v>
      </c>
      <c r="Q37" s="49">
        <f>'2025年中心利润表 '!Q37+'2025年江苏分部利润表'!Q37+'2025年浙江分部利润表'!Q37+'2025年上海分部利润表'!Q37+'2025年赣皖区域利润表'!Q37</f>
        <v>624</v>
      </c>
      <c r="R37" s="49">
        <f>'2025年中心利润表 '!R37+'2025年江苏分部利润表'!R37+'2025年浙江分部利润表'!R37+'2025年上海分部利润表'!R37+'2025年赣皖区域利润表'!R37</f>
        <v>505.26000000000005</v>
      </c>
      <c r="S37" s="49">
        <f>'2025年中心利润表 '!S37+'2025年江苏分部利润表'!S37+'2025年浙江分部利润表'!S37+'2025年上海分部利润表'!S37+'2025年赣皖区域利润表'!S37</f>
        <v>624</v>
      </c>
      <c r="T37" s="49">
        <f>'2025年中心利润表 '!T37+'2025年江苏分部利润表'!T37+'2025年浙江分部利润表'!T37+'2025年上海分部利润表'!T37+'2025年赣皖区域利润表'!T37</f>
        <v>584.68999999999994</v>
      </c>
      <c r="U37" s="49">
        <f>'2025年中心利润表 '!U37+'2025年江苏分部利润表'!U37+'2025年浙江分部利润表'!U37+'2025年上海分部利润表'!U37+'2025年赣皖区域利润表'!U37</f>
        <v>624</v>
      </c>
      <c r="V37" s="49">
        <f>'2025年中心利润表 '!V37+'2025年江苏分部利润表'!V37+'2025年浙江分部利润表'!V37+'2025年上海分部利润表'!V37+'2025年赣皖区域利润表'!V37</f>
        <v>500.78</v>
      </c>
      <c r="W37" s="49">
        <f>'2025年中心利润表 '!W37+'2025年江苏分部利润表'!W37+'2025年浙江分部利润表'!W37+'2025年上海分部利润表'!W37+'2025年赣皖区域利润表'!W37</f>
        <v>624</v>
      </c>
      <c r="X37" s="49">
        <f>'2025年中心利润表 '!X37+'2025年江苏分部利润表'!X37+'2025年浙江分部利润表'!X37+'2025年上海分部利润表'!X37+'2025年赣皖区域利润表'!X37</f>
        <v>499.09000000000003</v>
      </c>
      <c r="Y37" s="49">
        <f>'2025年中心利润表 '!Y37+'2025年江苏分部利润表'!Y37+'2025年浙江分部利润表'!Y37+'2025年上海分部利润表'!Y37+'2025年赣皖区域利润表'!Y37</f>
        <v>624</v>
      </c>
      <c r="Z37" s="49">
        <f>'2025年中心利润表 '!Z37+'2025年江苏分部利润表'!Z37+'2025年浙江分部利润表'!Z37+'2025年上海分部利润表'!Z37+'2025年赣皖区域利润表'!Z37</f>
        <v>523.53000000000009</v>
      </c>
      <c r="AA37" s="51">
        <f t="shared" si="12"/>
        <v>7488</v>
      </c>
      <c r="AB37" s="51">
        <f t="shared" si="13"/>
        <v>6198.29</v>
      </c>
      <c r="AC37" s="94"/>
      <c r="AD37" s="31">
        <f t="shared" si="14"/>
        <v>7488</v>
      </c>
      <c r="AE37" s="31">
        <f t="shared" si="15"/>
        <v>6198.29</v>
      </c>
      <c r="AF37" s="17">
        <f t="shared" si="18"/>
        <v>0</v>
      </c>
      <c r="AG37" s="17">
        <f t="shared" si="19"/>
        <v>0</v>
      </c>
      <c r="AH37" s="17">
        <f>SUM('[1]2024年全面预算利润表 (销售1中心)2.8亿'!E42:H42)</f>
        <v>2625.78</v>
      </c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</row>
    <row r="38" spans="1:53" s="19" customFormat="1" ht="14" hidden="1" outlineLevel="2" x14ac:dyDescent="0.25">
      <c r="A38" s="48" t="s">
        <v>115</v>
      </c>
      <c r="B38" s="53"/>
      <c r="C38" s="49">
        <f>'2025年中心利润表 '!C38+'2025年江苏分部利润表'!C38+'2025年浙江分部利润表'!C38+'2025年上海分部利润表'!C38+'2025年赣皖区域利润表'!C38</f>
        <v>624</v>
      </c>
      <c r="D38" s="49">
        <f>'2025年中心利润表 '!D38+'2025年江苏分部利润表'!D38+'2025年浙江分部利润表'!D38+'2025年上海分部利润表'!D38+'2025年赣皖区域利润表'!D38</f>
        <v>0</v>
      </c>
      <c r="E38" s="49">
        <f>'2025年中心利润表 '!E38+'2025年江苏分部利润表'!E38+'2025年浙江分部利润表'!E38+'2025年上海分部利润表'!E38+'2025年赣皖区域利润表'!E38</f>
        <v>624</v>
      </c>
      <c r="F38" s="49">
        <f>'2025年中心利润表 '!F38+'2025年江苏分部利润表'!F38+'2025年浙江分部利润表'!F38+'2025年上海分部利润表'!F38+'2025年赣皖区域利润表'!F38</f>
        <v>0</v>
      </c>
      <c r="G38" s="49">
        <f>'2025年中心利润表 '!G38+'2025年江苏分部利润表'!G38+'2025年浙江分部利润表'!G38+'2025年上海分部利润表'!G38+'2025年赣皖区域利润表'!G38</f>
        <v>624</v>
      </c>
      <c r="H38" s="49">
        <f>'2025年中心利润表 '!H38+'2025年江苏分部利润表'!H38+'2025年浙江分部利润表'!H38+'2025年上海分部利润表'!H38+'2025年赣皖区域利润表'!H38</f>
        <v>0</v>
      </c>
      <c r="I38" s="49">
        <f>'2025年中心利润表 '!I38+'2025年江苏分部利润表'!I38+'2025年浙江分部利润表'!I38+'2025年上海分部利润表'!I38+'2025年赣皖区域利润表'!I38</f>
        <v>624</v>
      </c>
      <c r="J38" s="49">
        <f>'2025年中心利润表 '!J38+'2025年江苏分部利润表'!J38+'2025年浙江分部利润表'!J38+'2025年上海分部利润表'!J38+'2025年赣皖区域利润表'!J38</f>
        <v>0</v>
      </c>
      <c r="K38" s="49">
        <f>'2025年中心利润表 '!K38+'2025年江苏分部利润表'!K38+'2025年浙江分部利润表'!K38+'2025年上海分部利润表'!K38+'2025年赣皖区域利润表'!K38</f>
        <v>624</v>
      </c>
      <c r="L38" s="49">
        <f>'2025年中心利润表 '!L38+'2025年江苏分部利润表'!L38+'2025年浙江分部利润表'!L38+'2025年上海分部利润表'!L38+'2025年赣皖区域利润表'!L38</f>
        <v>0</v>
      </c>
      <c r="M38" s="49">
        <f>'2025年中心利润表 '!M38+'2025年江苏分部利润表'!M38+'2025年浙江分部利润表'!M38+'2025年上海分部利润表'!M38+'2025年赣皖区域利润表'!M38</f>
        <v>624</v>
      </c>
      <c r="N38" s="49">
        <f>'2025年中心利润表 '!N38+'2025年江苏分部利润表'!N38+'2025年浙江分部利润表'!N38+'2025年上海分部利润表'!N38+'2025年赣皖区域利润表'!N38</f>
        <v>0</v>
      </c>
      <c r="O38" s="49">
        <f>'2025年中心利润表 '!O38+'2025年江苏分部利润表'!O38+'2025年浙江分部利润表'!O38+'2025年上海分部利润表'!O38+'2025年赣皖区域利润表'!O38</f>
        <v>624</v>
      </c>
      <c r="P38" s="49">
        <f>'2025年中心利润表 '!P38+'2025年江苏分部利润表'!P38+'2025年浙江分部利润表'!P38+'2025年上海分部利润表'!P38+'2025年赣皖区域利润表'!P38</f>
        <v>0</v>
      </c>
      <c r="Q38" s="49">
        <f>'2025年中心利润表 '!Q38+'2025年江苏分部利润表'!Q38+'2025年浙江分部利润表'!Q38+'2025年上海分部利润表'!Q38+'2025年赣皖区域利润表'!Q38</f>
        <v>624</v>
      </c>
      <c r="R38" s="49">
        <f>'2025年中心利润表 '!R38+'2025年江苏分部利润表'!R38+'2025年浙江分部利润表'!R38+'2025年上海分部利润表'!R38+'2025年赣皖区域利润表'!R38</f>
        <v>0</v>
      </c>
      <c r="S38" s="49">
        <f>'2025年中心利润表 '!S38+'2025年江苏分部利润表'!S38+'2025年浙江分部利润表'!S38+'2025年上海分部利润表'!S38+'2025年赣皖区域利润表'!S38</f>
        <v>624</v>
      </c>
      <c r="T38" s="49">
        <f>'2025年中心利润表 '!T38+'2025年江苏分部利润表'!T38+'2025年浙江分部利润表'!T38+'2025年上海分部利润表'!T38+'2025年赣皖区域利润表'!T38</f>
        <v>0</v>
      </c>
      <c r="U38" s="49">
        <f>'2025年中心利润表 '!U38+'2025年江苏分部利润表'!U38+'2025年浙江分部利润表'!U38+'2025年上海分部利润表'!U38+'2025年赣皖区域利润表'!U38</f>
        <v>624</v>
      </c>
      <c r="V38" s="49">
        <f>'2025年中心利润表 '!V38+'2025年江苏分部利润表'!V38+'2025年浙江分部利润表'!V38+'2025年上海分部利润表'!V38+'2025年赣皖区域利润表'!V38</f>
        <v>0</v>
      </c>
      <c r="W38" s="49">
        <f>'2025年中心利润表 '!W38+'2025年江苏分部利润表'!W38+'2025年浙江分部利润表'!W38+'2025年上海分部利润表'!W38+'2025年赣皖区域利润表'!W38</f>
        <v>624</v>
      </c>
      <c r="X38" s="49">
        <f>'2025年中心利润表 '!X38+'2025年江苏分部利润表'!X38+'2025年浙江分部利润表'!X38+'2025年上海分部利润表'!X38+'2025年赣皖区域利润表'!X38</f>
        <v>0</v>
      </c>
      <c r="Y38" s="49">
        <f>'2025年中心利润表 '!Y38+'2025年江苏分部利润表'!Y38+'2025年浙江分部利润表'!Y38+'2025年上海分部利润表'!Y38+'2025年赣皖区域利润表'!Y38</f>
        <v>624</v>
      </c>
      <c r="Z38" s="49">
        <f>'2025年中心利润表 '!Z38+'2025年江苏分部利润表'!Z38+'2025年浙江分部利润表'!Z38+'2025年上海分部利润表'!Z38+'2025年赣皖区域利润表'!Z38</f>
        <v>0</v>
      </c>
      <c r="AA38" s="51">
        <f t="shared" si="12"/>
        <v>7488</v>
      </c>
      <c r="AB38" s="51">
        <f t="shared" si="13"/>
        <v>0</v>
      </c>
      <c r="AC38" s="94"/>
      <c r="AD38" s="31">
        <f t="shared" si="14"/>
        <v>7488</v>
      </c>
      <c r="AE38" s="31">
        <f t="shared" si="15"/>
        <v>0</v>
      </c>
      <c r="AF38" s="17">
        <f t="shared" si="18"/>
        <v>0</v>
      </c>
      <c r="AG38" s="17">
        <f t="shared" si="19"/>
        <v>0</v>
      </c>
      <c r="AH38" s="17">
        <f>SUM('[1]2024年全面预算利润表 (销售1中心)2.8亿'!E43:H43)</f>
        <v>0</v>
      </c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</row>
    <row r="39" spans="1:53" s="19" customFormat="1" ht="14" hidden="1" outlineLevel="1" x14ac:dyDescent="0.25">
      <c r="A39" s="48" t="s">
        <v>116</v>
      </c>
      <c r="B39" s="53"/>
      <c r="C39" s="49">
        <f>'2025年中心利润表 '!C39+'2025年江苏分部利润表'!C39+'2025年浙江分部利润表'!C39+'2025年上海分部利润表'!C39+'2025年赣皖区域利润表'!C39</f>
        <v>6456</v>
      </c>
      <c r="D39" s="49">
        <f>'2025年中心利润表 '!D39+'2025年江苏分部利润表'!D39+'2025年浙江分部利润表'!D39+'2025年上海分部利润表'!D39+'2025年赣皖区域利润表'!D39</f>
        <v>6067</v>
      </c>
      <c r="E39" s="49">
        <f>'2025年中心利润表 '!E39+'2025年江苏分部利润表'!E39+'2025年浙江分部利润表'!E39+'2025年上海分部利润表'!E39+'2025年赣皖区域利润表'!E39</f>
        <v>6456</v>
      </c>
      <c r="F39" s="49">
        <f>'2025年中心利润表 '!F39+'2025年江苏分部利润表'!F39+'2025年浙江分部利润表'!F39+'2025年上海分部利润表'!F39+'2025年赣皖区域利润表'!F39</f>
        <v>5500</v>
      </c>
      <c r="G39" s="49">
        <f>'2025年中心利润表 '!G39+'2025年江苏分部利润表'!G39+'2025年浙江分部利润表'!G39+'2025年上海分部利润表'!G39+'2025年赣皖区域利润表'!G39</f>
        <v>6456</v>
      </c>
      <c r="H39" s="49">
        <f>'2025年中心利润表 '!H39+'2025年江苏分部利润表'!H39+'2025年浙江分部利润表'!H39+'2025年上海分部利润表'!H39+'2025年赣皖区域利润表'!H39</f>
        <v>5649</v>
      </c>
      <c r="I39" s="49">
        <f>'2025年中心利润表 '!I39+'2025年江苏分部利润表'!I39+'2025年浙江分部利润表'!I39+'2025年上海分部利润表'!I39+'2025年赣皖区域利润表'!I39</f>
        <v>6456</v>
      </c>
      <c r="J39" s="49">
        <f>'2025年中心利润表 '!J39+'2025年江苏分部利润表'!J39+'2025年浙江分部利润表'!J39+'2025年上海分部利润表'!J39+'2025年赣皖区域利润表'!J39</f>
        <v>5649</v>
      </c>
      <c r="K39" s="49">
        <f>'2025年中心利润表 '!K39+'2025年江苏分部利润表'!K39+'2025年浙江分部利润表'!K39+'2025年上海分部利润表'!K39+'2025年赣皖区域利润表'!K39</f>
        <v>6456</v>
      </c>
      <c r="L39" s="49">
        <f>'2025年中心利润表 '!L39+'2025年江苏分部利润表'!L39+'2025年浙江分部利润表'!L39+'2025年上海分部利润表'!L39+'2025年赣皖区域利润表'!L39</f>
        <v>5947</v>
      </c>
      <c r="M39" s="49">
        <f>'2025年中心利润表 '!M39+'2025年江苏分部利润表'!M39+'2025年浙江分部利润表'!M39+'2025年上海分部利润表'!M39+'2025年赣皖区域利润表'!M39</f>
        <v>6456</v>
      </c>
      <c r="N39" s="49">
        <f>'2025年中心利润表 '!N39+'2025年江苏分部利润表'!N39+'2025年浙江分部利润表'!N39+'2025年上海分部利润表'!N39+'2025年赣皖区域利润表'!N39</f>
        <v>5082</v>
      </c>
      <c r="O39" s="49">
        <f>'2025年中心利润表 '!O39+'2025年江苏分部利润表'!O39+'2025年浙江分部利润表'!O39+'2025年上海分部利润表'!O39+'2025年赣皖区域利润表'!O39</f>
        <v>6456</v>
      </c>
      <c r="P39" s="49">
        <f>'2025年中心利润表 '!P39+'2025年江苏分部利润表'!P39+'2025年浙江分部利润表'!P39+'2025年上海分部利润表'!P39+'2025年赣皖区域利润表'!P39</f>
        <v>5111</v>
      </c>
      <c r="Q39" s="49">
        <f>'2025年中心利润表 '!Q39+'2025年江苏分部利润表'!Q39+'2025年浙江分部利润表'!Q39+'2025年上海分部利润表'!Q39+'2025年赣皖区域利润表'!Q39</f>
        <v>6456</v>
      </c>
      <c r="R39" s="49">
        <f>'2025年中心利润表 '!R39+'2025年江苏分部利润表'!R39+'2025年浙江分部利润表'!R39+'2025年上海分部利润表'!R39+'2025年赣皖区域利润表'!R39</f>
        <v>5111</v>
      </c>
      <c r="S39" s="49">
        <f>'2025年中心利润表 '!S39+'2025年江苏分部利润表'!S39+'2025年浙江分部利润表'!S39+'2025年上海分部利润表'!S39+'2025年赣皖区域利润表'!S39</f>
        <v>6456</v>
      </c>
      <c r="T39" s="49">
        <f>'2025年中心利润表 '!T39+'2025年江苏分部利润表'!T39+'2025年浙江分部利润表'!T39+'2025年上海分部利润表'!T39+'2025年赣皖区域利润表'!T39</f>
        <v>4842</v>
      </c>
      <c r="U39" s="49">
        <f>'2025年中心利润表 '!U39+'2025年江苏分部利润表'!U39+'2025年浙江分部利润表'!U39+'2025年上海分部利润表'!U39+'2025年赣皖区域利润表'!U39</f>
        <v>6456</v>
      </c>
      <c r="V39" s="49">
        <f>'2025年中心利润表 '!V39+'2025年江苏分部利润表'!V39+'2025年浙江分部利润表'!V39+'2025年上海分部利润表'!V39+'2025年赣皖区域利润表'!V39</f>
        <v>4842</v>
      </c>
      <c r="W39" s="49">
        <f>'2025年中心利润表 '!W39+'2025年江苏分部利润表'!W39+'2025年浙江分部利润表'!W39+'2025年上海分部利润表'!W39+'2025年赣皖区域利润表'!W39</f>
        <v>6456</v>
      </c>
      <c r="X39" s="49">
        <f>'2025年中心利润表 '!X39+'2025年江苏分部利润表'!X39+'2025年浙江分部利润表'!X39+'2025年上海分部利润表'!X39+'2025年赣皖区域利润表'!X39</f>
        <v>4842</v>
      </c>
      <c r="Y39" s="49">
        <f>'2025年中心利润表 '!Y39+'2025年江苏分部利润表'!Y39+'2025年浙江分部利润表'!Y39+'2025年上海分部利润表'!Y39+'2025年赣皖区域利润表'!Y39</f>
        <v>6456</v>
      </c>
      <c r="Z39" s="49">
        <f>'2025年中心利润表 '!Z39+'2025年江苏分部利润表'!Z39+'2025年浙江分部利润表'!Z39+'2025年上海分部利润表'!Z39+'2025年赣皖区域利润表'!Z39</f>
        <v>5111</v>
      </c>
      <c r="AA39" s="51">
        <f t="shared" si="12"/>
        <v>77472</v>
      </c>
      <c r="AB39" s="51">
        <f t="shared" si="13"/>
        <v>63753</v>
      </c>
      <c r="AC39" s="94"/>
      <c r="AD39" s="31">
        <f t="shared" si="14"/>
        <v>77472</v>
      </c>
      <c r="AE39" s="31">
        <f t="shared" si="15"/>
        <v>63753</v>
      </c>
      <c r="AF39" s="17">
        <f t="shared" si="18"/>
        <v>0</v>
      </c>
      <c r="AG39" s="17">
        <f t="shared" si="19"/>
        <v>0</v>
      </c>
      <c r="AH39" s="17">
        <f>SUM('[1]2024年全面预算利润表 (销售1中心)2.8亿'!E44:H44)</f>
        <v>27707</v>
      </c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</row>
    <row r="40" spans="1:53" s="19" customFormat="1" ht="14" hidden="1" outlineLevel="1" x14ac:dyDescent="0.25">
      <c r="A40" s="48" t="s">
        <v>117</v>
      </c>
      <c r="B40" s="53"/>
      <c r="C40" s="49">
        <f>'2025年中心利润表 '!C40+'2025年江苏分部利润表'!C40+'2025年浙江分部利润表'!C40+'2025年上海分部利润表'!C40+'2025年赣皖区域利润表'!C40</f>
        <v>0</v>
      </c>
      <c r="D40" s="49">
        <f>'2025年中心利润表 '!D40+'2025年江苏分部利润表'!D40+'2025年浙江分部利润表'!D40+'2025年上海分部利润表'!D40+'2025年赣皖区域利润表'!D40</f>
        <v>0</v>
      </c>
      <c r="E40" s="49">
        <f>'2025年中心利润表 '!E40+'2025年江苏分部利润表'!E40+'2025年浙江分部利润表'!E40+'2025年上海分部利润表'!E40+'2025年赣皖区域利润表'!E40</f>
        <v>0</v>
      </c>
      <c r="F40" s="49">
        <f>'2025年中心利润表 '!F40+'2025年江苏分部利润表'!F40+'2025年浙江分部利润表'!F40+'2025年上海分部利润表'!F40+'2025年赣皖区域利润表'!F40</f>
        <v>0</v>
      </c>
      <c r="G40" s="49">
        <f>'2025年中心利润表 '!G40+'2025年江苏分部利润表'!G40+'2025年浙江分部利润表'!G40+'2025年上海分部利润表'!G40+'2025年赣皖区域利润表'!G40</f>
        <v>0</v>
      </c>
      <c r="H40" s="49">
        <f>'2025年中心利润表 '!H40+'2025年江苏分部利润表'!H40+'2025年浙江分部利润表'!H40+'2025年上海分部利润表'!H40+'2025年赣皖区域利润表'!H40</f>
        <v>0</v>
      </c>
      <c r="I40" s="49">
        <f>'2025年中心利润表 '!I40+'2025年江苏分部利润表'!I40+'2025年浙江分部利润表'!I40+'2025年上海分部利润表'!I40+'2025年赣皖区域利润表'!I40</f>
        <v>0</v>
      </c>
      <c r="J40" s="49">
        <f>'2025年中心利润表 '!J40+'2025年江苏分部利润表'!J40+'2025年浙江分部利润表'!J40+'2025年上海分部利润表'!J40+'2025年赣皖区域利润表'!J40</f>
        <v>0</v>
      </c>
      <c r="K40" s="49">
        <f>'2025年中心利润表 '!K40+'2025年江苏分部利润表'!K40+'2025年浙江分部利润表'!K40+'2025年上海分部利润表'!K40+'2025年赣皖区域利润表'!K40</f>
        <v>0</v>
      </c>
      <c r="L40" s="49">
        <f>'2025年中心利润表 '!L40+'2025年江苏分部利润表'!L40+'2025年浙江分部利润表'!L40+'2025年上海分部利润表'!L40+'2025年赣皖区域利润表'!L40</f>
        <v>0</v>
      </c>
      <c r="M40" s="49">
        <f>'2025年中心利润表 '!M40+'2025年江苏分部利润表'!M40+'2025年浙江分部利润表'!M40+'2025年上海分部利润表'!M40+'2025年赣皖区域利润表'!M40</f>
        <v>0</v>
      </c>
      <c r="N40" s="49">
        <f>'2025年中心利润表 '!N40+'2025年江苏分部利润表'!N40+'2025年浙江分部利润表'!N40+'2025年上海分部利润表'!N40+'2025年赣皖区域利润表'!N40</f>
        <v>0</v>
      </c>
      <c r="O40" s="49">
        <f>'2025年中心利润表 '!O40+'2025年江苏分部利润表'!O40+'2025年浙江分部利润表'!O40+'2025年上海分部利润表'!O40+'2025年赣皖区域利润表'!O40</f>
        <v>0</v>
      </c>
      <c r="P40" s="49">
        <f>'2025年中心利润表 '!P40+'2025年江苏分部利润表'!P40+'2025年浙江分部利润表'!P40+'2025年上海分部利润表'!P40+'2025年赣皖区域利润表'!P40</f>
        <v>0</v>
      </c>
      <c r="Q40" s="49">
        <f>'2025年中心利润表 '!Q40+'2025年江苏分部利润表'!Q40+'2025年浙江分部利润表'!Q40+'2025年上海分部利润表'!Q40+'2025年赣皖区域利润表'!Q40</f>
        <v>0</v>
      </c>
      <c r="R40" s="49">
        <f>'2025年中心利润表 '!R40+'2025年江苏分部利润表'!R40+'2025年浙江分部利润表'!R40+'2025年上海分部利润表'!R40+'2025年赣皖区域利润表'!R40</f>
        <v>0</v>
      </c>
      <c r="S40" s="49">
        <f>'2025年中心利润表 '!S40+'2025年江苏分部利润表'!S40+'2025年浙江分部利润表'!S40+'2025年上海分部利润表'!S40+'2025年赣皖区域利润表'!S40</f>
        <v>0</v>
      </c>
      <c r="T40" s="49">
        <f>'2025年中心利润表 '!T40+'2025年江苏分部利润表'!T40+'2025年浙江分部利润表'!T40+'2025年上海分部利润表'!T40+'2025年赣皖区域利润表'!T40</f>
        <v>0</v>
      </c>
      <c r="U40" s="49">
        <f>'2025年中心利润表 '!U40+'2025年江苏分部利润表'!U40+'2025年浙江分部利润表'!U40+'2025年上海分部利润表'!U40+'2025年赣皖区域利润表'!U40</f>
        <v>0</v>
      </c>
      <c r="V40" s="49">
        <f>'2025年中心利润表 '!V40+'2025年江苏分部利润表'!V40+'2025年浙江分部利润表'!V40+'2025年上海分部利润表'!V40+'2025年赣皖区域利润表'!V40</f>
        <v>0</v>
      </c>
      <c r="W40" s="49">
        <f>'2025年中心利润表 '!W40+'2025年江苏分部利润表'!W40+'2025年浙江分部利润表'!W40+'2025年上海分部利润表'!W40+'2025年赣皖区域利润表'!W40</f>
        <v>0</v>
      </c>
      <c r="X40" s="49">
        <f>'2025年中心利润表 '!X40+'2025年江苏分部利润表'!X40+'2025年浙江分部利润表'!X40+'2025年上海分部利润表'!X40+'2025年赣皖区域利润表'!X40</f>
        <v>0</v>
      </c>
      <c r="Y40" s="49">
        <f>'2025年中心利润表 '!Y40+'2025年江苏分部利润表'!Y40+'2025年浙江分部利润表'!Y40+'2025年上海分部利润表'!Y40+'2025年赣皖区域利润表'!Y40</f>
        <v>0</v>
      </c>
      <c r="Z40" s="49">
        <f>'2025年中心利润表 '!Z40+'2025年江苏分部利润表'!Z40+'2025年浙江分部利润表'!Z40+'2025年上海分部利润表'!Z40+'2025年赣皖区域利润表'!Z40</f>
        <v>0</v>
      </c>
      <c r="AA40" s="51">
        <f t="shared" si="12"/>
        <v>0</v>
      </c>
      <c r="AB40" s="51">
        <f t="shared" si="13"/>
        <v>0</v>
      </c>
      <c r="AC40" s="94"/>
      <c r="AD40" s="31">
        <f t="shared" si="14"/>
        <v>0</v>
      </c>
      <c r="AE40" s="31">
        <f t="shared" si="15"/>
        <v>0</v>
      </c>
      <c r="AF40" s="17">
        <f t="shared" si="18"/>
        <v>0</v>
      </c>
      <c r="AG40" s="17">
        <f t="shared" si="19"/>
        <v>0</v>
      </c>
      <c r="AH40" s="17">
        <f>SUM('[1]2024年全面预算利润表 (销售1中心)2.8亿'!E45:H45)</f>
        <v>0</v>
      </c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</row>
    <row r="41" spans="1:53" s="19" customFormat="1" ht="14" hidden="1" outlineLevel="1" x14ac:dyDescent="0.25">
      <c r="A41" s="48" t="s">
        <v>118</v>
      </c>
      <c r="B41" s="53"/>
      <c r="C41" s="49">
        <f>'2025年中心利润表 '!C41+'2025年江苏分部利润表'!C41+'2025年浙江分部利润表'!C41+'2025年上海分部利润表'!C41+'2025年赣皖区域利润表'!C41</f>
        <v>0</v>
      </c>
      <c r="D41" s="49">
        <f>'2025年中心利润表 '!D41+'2025年江苏分部利润表'!D41+'2025年浙江分部利润表'!D41+'2025年上海分部利润表'!D41+'2025年赣皖区域利润表'!D41</f>
        <v>0</v>
      </c>
      <c r="E41" s="49">
        <f>'2025年中心利润表 '!E41+'2025年江苏分部利润表'!E41+'2025年浙江分部利润表'!E41+'2025年上海分部利润表'!E41+'2025年赣皖区域利润表'!E41</f>
        <v>0</v>
      </c>
      <c r="F41" s="49">
        <f>'2025年中心利润表 '!F41+'2025年江苏分部利润表'!F41+'2025年浙江分部利润表'!F41+'2025年上海分部利润表'!F41+'2025年赣皖区域利润表'!F41</f>
        <v>0</v>
      </c>
      <c r="G41" s="49">
        <f>'2025年中心利润表 '!G41+'2025年江苏分部利润表'!G41+'2025年浙江分部利润表'!G41+'2025年上海分部利润表'!G41+'2025年赣皖区域利润表'!G41</f>
        <v>0</v>
      </c>
      <c r="H41" s="49">
        <f>'2025年中心利润表 '!H41+'2025年江苏分部利润表'!H41+'2025年浙江分部利润表'!H41+'2025年上海分部利润表'!H41+'2025年赣皖区域利润表'!H41</f>
        <v>0</v>
      </c>
      <c r="I41" s="49">
        <f>'2025年中心利润表 '!I41+'2025年江苏分部利润表'!I41+'2025年浙江分部利润表'!I41+'2025年上海分部利润表'!I41+'2025年赣皖区域利润表'!I41</f>
        <v>0</v>
      </c>
      <c r="J41" s="49">
        <f>'2025年中心利润表 '!J41+'2025年江苏分部利润表'!J41+'2025年浙江分部利润表'!J41+'2025年上海分部利润表'!J41+'2025年赣皖区域利润表'!J41</f>
        <v>0</v>
      </c>
      <c r="K41" s="49">
        <f>'2025年中心利润表 '!K41+'2025年江苏分部利润表'!K41+'2025年浙江分部利润表'!K41+'2025年上海分部利润表'!K41+'2025年赣皖区域利润表'!K41</f>
        <v>0</v>
      </c>
      <c r="L41" s="49">
        <f>'2025年中心利润表 '!L41+'2025年江苏分部利润表'!L41+'2025年浙江分部利润表'!L41+'2025年上海分部利润表'!L41+'2025年赣皖区域利润表'!L41</f>
        <v>0</v>
      </c>
      <c r="M41" s="49">
        <f>'2025年中心利润表 '!M41+'2025年江苏分部利润表'!M41+'2025年浙江分部利润表'!M41+'2025年上海分部利润表'!M41+'2025年赣皖区域利润表'!M41</f>
        <v>0</v>
      </c>
      <c r="N41" s="49">
        <f>'2025年中心利润表 '!N41+'2025年江苏分部利润表'!N41+'2025年浙江分部利润表'!N41+'2025年上海分部利润表'!N41+'2025年赣皖区域利润表'!N41</f>
        <v>0</v>
      </c>
      <c r="O41" s="49">
        <f>'2025年中心利润表 '!O41+'2025年江苏分部利润表'!O41+'2025年浙江分部利润表'!O41+'2025年上海分部利润表'!O41+'2025年赣皖区域利润表'!O41</f>
        <v>0</v>
      </c>
      <c r="P41" s="49">
        <f>'2025年中心利润表 '!P41+'2025年江苏分部利润表'!P41+'2025年浙江分部利润表'!P41+'2025年上海分部利润表'!P41+'2025年赣皖区域利润表'!P41</f>
        <v>0</v>
      </c>
      <c r="Q41" s="49">
        <f>'2025年中心利润表 '!Q41+'2025年江苏分部利润表'!Q41+'2025年浙江分部利润表'!Q41+'2025年上海分部利润表'!Q41+'2025年赣皖区域利润表'!Q41</f>
        <v>0</v>
      </c>
      <c r="R41" s="49">
        <f>'2025年中心利润表 '!R41+'2025年江苏分部利润表'!R41+'2025年浙江分部利润表'!R41+'2025年上海分部利润表'!R41+'2025年赣皖区域利润表'!R41</f>
        <v>0</v>
      </c>
      <c r="S41" s="49">
        <f>'2025年中心利润表 '!S41+'2025年江苏分部利润表'!S41+'2025年浙江分部利润表'!S41+'2025年上海分部利润表'!S41+'2025年赣皖区域利润表'!S41</f>
        <v>0</v>
      </c>
      <c r="T41" s="49">
        <f>'2025年中心利润表 '!T41+'2025年江苏分部利润表'!T41+'2025年浙江分部利润表'!T41+'2025年上海分部利润表'!T41+'2025年赣皖区域利润表'!T41</f>
        <v>0</v>
      </c>
      <c r="U41" s="49">
        <f>'2025年中心利润表 '!U41+'2025年江苏分部利润表'!U41+'2025年浙江分部利润表'!U41+'2025年上海分部利润表'!U41+'2025年赣皖区域利润表'!U41</f>
        <v>0</v>
      </c>
      <c r="V41" s="49">
        <f>'2025年中心利润表 '!V41+'2025年江苏分部利润表'!V41+'2025年浙江分部利润表'!V41+'2025年上海分部利润表'!V41+'2025年赣皖区域利润表'!V41</f>
        <v>0</v>
      </c>
      <c r="W41" s="49">
        <f>'2025年中心利润表 '!W41+'2025年江苏分部利润表'!W41+'2025年浙江分部利润表'!W41+'2025年上海分部利润表'!W41+'2025年赣皖区域利润表'!W41</f>
        <v>0</v>
      </c>
      <c r="X41" s="49">
        <f>'2025年中心利润表 '!X41+'2025年江苏分部利润表'!X41+'2025年浙江分部利润表'!X41+'2025年上海分部利润表'!X41+'2025年赣皖区域利润表'!X41</f>
        <v>0</v>
      </c>
      <c r="Y41" s="49">
        <f>'2025年中心利润表 '!Y41+'2025年江苏分部利润表'!Y41+'2025年浙江分部利润表'!Y41+'2025年上海分部利润表'!Y41+'2025年赣皖区域利润表'!Y41</f>
        <v>0</v>
      </c>
      <c r="Z41" s="49">
        <f>'2025年中心利润表 '!Z41+'2025年江苏分部利润表'!Z41+'2025年浙江分部利润表'!Z41+'2025年上海分部利润表'!Z41+'2025年赣皖区域利润表'!Z41</f>
        <v>0</v>
      </c>
      <c r="AA41" s="51">
        <f t="shared" si="12"/>
        <v>0</v>
      </c>
      <c r="AB41" s="51">
        <f t="shared" si="13"/>
        <v>0</v>
      </c>
      <c r="AC41" s="94"/>
      <c r="AD41" s="31">
        <f t="shared" si="14"/>
        <v>0</v>
      </c>
      <c r="AE41" s="31">
        <f t="shared" si="15"/>
        <v>0</v>
      </c>
      <c r="AF41" s="17">
        <f t="shared" si="18"/>
        <v>0</v>
      </c>
      <c r="AG41" s="17">
        <f t="shared" si="19"/>
        <v>0</v>
      </c>
      <c r="AH41" s="17">
        <f>SUM('[1]2024年全面预算利润表 (销售1中心)2.8亿'!E46:H46)</f>
        <v>0</v>
      </c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</row>
    <row r="42" spans="1:53" s="17" customFormat="1" ht="14" hidden="1" outlineLevel="1" x14ac:dyDescent="0.25">
      <c r="A42" s="67" t="s">
        <v>119</v>
      </c>
      <c r="B42" s="45"/>
      <c r="C42" s="65">
        <f t="shared" ref="C42:Z42" si="21">SUM(C43:C49)</f>
        <v>6020</v>
      </c>
      <c r="D42" s="65">
        <f t="shared" si="21"/>
        <v>6055.05</v>
      </c>
      <c r="E42" s="65">
        <f t="shared" si="21"/>
        <v>800</v>
      </c>
      <c r="F42" s="65">
        <f t="shared" si="21"/>
        <v>11612.52</v>
      </c>
      <c r="G42" s="65">
        <f t="shared" si="21"/>
        <v>2000</v>
      </c>
      <c r="H42" s="65">
        <f t="shared" si="21"/>
        <v>1222.51</v>
      </c>
      <c r="I42" s="65">
        <f t="shared" si="21"/>
        <v>1220</v>
      </c>
      <c r="J42" s="65">
        <f t="shared" si="21"/>
        <v>1494.95</v>
      </c>
      <c r="K42" s="65">
        <f t="shared" si="21"/>
        <v>800</v>
      </c>
      <c r="L42" s="65">
        <f t="shared" si="21"/>
        <v>218.43</v>
      </c>
      <c r="M42" s="65">
        <f t="shared" si="21"/>
        <v>910</v>
      </c>
      <c r="N42" s="65">
        <f t="shared" si="21"/>
        <v>794.6400000000001</v>
      </c>
      <c r="O42" s="65">
        <f t="shared" si="21"/>
        <v>800</v>
      </c>
      <c r="P42" s="65">
        <f t="shared" si="21"/>
        <v>1532.98</v>
      </c>
      <c r="Q42" s="65">
        <f t="shared" si="21"/>
        <v>1220</v>
      </c>
      <c r="R42" s="65">
        <f t="shared" si="21"/>
        <v>995.81999999999994</v>
      </c>
      <c r="S42" s="65">
        <f t="shared" si="21"/>
        <v>910</v>
      </c>
      <c r="T42" s="65">
        <f t="shared" si="21"/>
        <v>5541.77</v>
      </c>
      <c r="U42" s="65">
        <f t="shared" si="21"/>
        <v>5600</v>
      </c>
      <c r="V42" s="65">
        <f t="shared" si="21"/>
        <v>1494.2799999999997</v>
      </c>
      <c r="W42" s="65">
        <f t="shared" si="21"/>
        <v>1220</v>
      </c>
      <c r="X42" s="65">
        <f t="shared" si="21"/>
        <v>1038.05</v>
      </c>
      <c r="Y42" s="65">
        <f t="shared" si="21"/>
        <v>800</v>
      </c>
      <c r="Z42" s="65">
        <f t="shared" si="21"/>
        <v>824.8</v>
      </c>
      <c r="AA42" s="47">
        <f t="shared" si="12"/>
        <v>22300</v>
      </c>
      <c r="AB42" s="51">
        <f t="shared" si="13"/>
        <v>32825.799999999996</v>
      </c>
      <c r="AC42" s="31"/>
      <c r="AD42" s="31">
        <f t="shared" si="14"/>
        <v>22300</v>
      </c>
      <c r="AE42" s="31">
        <f t="shared" si="15"/>
        <v>32825.799999999996</v>
      </c>
      <c r="AF42" s="17">
        <f t="shared" si="18"/>
        <v>0</v>
      </c>
      <c r="AG42" s="17">
        <f t="shared" si="19"/>
        <v>0</v>
      </c>
      <c r="AH42" s="17">
        <f>SUM('[1]2024年全面预算利润表 (销售1中心)2.8亿'!E47:H47)</f>
        <v>10900</v>
      </c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</row>
    <row r="43" spans="1:53" s="19" customFormat="1" ht="14" hidden="1" outlineLevel="2" x14ac:dyDescent="0.25">
      <c r="A43" s="48" t="s">
        <v>120</v>
      </c>
      <c r="B43" s="53"/>
      <c r="C43" s="49">
        <f>'2025年中心利润表 '!C43+'2025年江苏分部利润表'!C43+'2025年浙江分部利润表'!C43+'2025年上海分部利润表'!C43+'2025年赣皖区域利润表'!C43</f>
        <v>0</v>
      </c>
      <c r="D43" s="49">
        <f>'2025年中心利润表 '!D43+'2025年江苏分部利润表'!D43+'2025年浙江分部利润表'!D43+'2025年上海分部利润表'!D43+'2025年赣皖区域利润表'!D43</f>
        <v>0</v>
      </c>
      <c r="E43" s="49">
        <f>'2025年中心利润表 '!E43+'2025年江苏分部利润表'!E43+'2025年浙江分部利润表'!E43+'2025年上海分部利润表'!E43+'2025年赣皖区域利润表'!E43</f>
        <v>0</v>
      </c>
      <c r="F43" s="49">
        <f>'2025年中心利润表 '!F43+'2025年江苏分部利润表'!F43+'2025年浙江分部利润表'!F43+'2025年上海分部利润表'!F43+'2025年赣皖区域利润表'!F43</f>
        <v>0</v>
      </c>
      <c r="G43" s="49">
        <f>'2025年中心利润表 '!G43+'2025年江苏分部利润表'!G43+'2025年浙江分部利润表'!G43+'2025年上海分部利润表'!G43+'2025年赣皖区域利润表'!G43</f>
        <v>0</v>
      </c>
      <c r="H43" s="49">
        <f>'2025年中心利润表 '!H43+'2025年江苏分部利润表'!H43+'2025年浙江分部利润表'!H43+'2025年上海分部利润表'!H43+'2025年赣皖区域利润表'!H43</f>
        <v>0</v>
      </c>
      <c r="I43" s="49">
        <f>'2025年中心利润表 '!I43+'2025年江苏分部利润表'!I43+'2025年浙江分部利润表'!I43+'2025年上海分部利润表'!I43+'2025年赣皖区域利润表'!I43</f>
        <v>0</v>
      </c>
      <c r="J43" s="49">
        <f>'2025年中心利润表 '!J43+'2025年江苏分部利润表'!J43+'2025年浙江分部利润表'!J43+'2025年上海分部利润表'!J43+'2025年赣皖区域利润表'!J43</f>
        <v>0</v>
      </c>
      <c r="K43" s="49">
        <f>'2025年中心利润表 '!K43+'2025年江苏分部利润表'!K43+'2025年浙江分部利润表'!K43+'2025年上海分部利润表'!K43+'2025年赣皖区域利润表'!K43</f>
        <v>0</v>
      </c>
      <c r="L43" s="49">
        <f>'2025年中心利润表 '!L43+'2025年江苏分部利润表'!L43+'2025年浙江分部利润表'!L43+'2025年上海分部利润表'!L43+'2025年赣皖区域利润表'!L43</f>
        <v>0</v>
      </c>
      <c r="M43" s="49">
        <f>'2025年中心利润表 '!M43+'2025年江苏分部利润表'!M43+'2025年浙江分部利润表'!M43+'2025年上海分部利润表'!M43+'2025年赣皖区域利润表'!M43</f>
        <v>0</v>
      </c>
      <c r="N43" s="49">
        <f>'2025年中心利润表 '!N43+'2025年江苏分部利润表'!N43+'2025年浙江分部利润表'!N43+'2025年上海分部利润表'!N43+'2025年赣皖区域利润表'!N43</f>
        <v>0</v>
      </c>
      <c r="O43" s="49">
        <f>'2025年中心利润表 '!O43+'2025年江苏分部利润表'!O43+'2025年浙江分部利润表'!O43+'2025年上海分部利润表'!O43+'2025年赣皖区域利润表'!O43</f>
        <v>0</v>
      </c>
      <c r="P43" s="49">
        <f>'2025年中心利润表 '!P43+'2025年江苏分部利润表'!P43+'2025年浙江分部利润表'!P43+'2025年上海分部利润表'!P43+'2025年赣皖区域利润表'!P43</f>
        <v>0</v>
      </c>
      <c r="Q43" s="49">
        <f>'2025年中心利润表 '!Q43+'2025年江苏分部利润表'!Q43+'2025年浙江分部利润表'!Q43+'2025年上海分部利润表'!Q43+'2025年赣皖区域利润表'!Q43</f>
        <v>0</v>
      </c>
      <c r="R43" s="49">
        <f>'2025年中心利润表 '!R43+'2025年江苏分部利润表'!R43+'2025年浙江分部利润表'!R43+'2025年上海分部利润表'!R43+'2025年赣皖区域利润表'!R43</f>
        <v>0</v>
      </c>
      <c r="S43" s="49">
        <f>'2025年中心利润表 '!S43+'2025年江苏分部利润表'!S43+'2025年浙江分部利润表'!S43+'2025年上海分部利润表'!S43+'2025年赣皖区域利润表'!S43</f>
        <v>0</v>
      </c>
      <c r="T43" s="49">
        <f>'2025年中心利润表 '!T43+'2025年江苏分部利润表'!T43+'2025年浙江分部利润表'!T43+'2025年上海分部利润表'!T43+'2025年赣皖区域利润表'!T43</f>
        <v>0</v>
      </c>
      <c r="U43" s="49">
        <f>'2025年中心利润表 '!U43+'2025年江苏分部利润表'!U43+'2025年浙江分部利润表'!U43+'2025年上海分部利润表'!U43+'2025年赣皖区域利润表'!U43</f>
        <v>0</v>
      </c>
      <c r="V43" s="49">
        <f>'2025年中心利润表 '!V43+'2025年江苏分部利润表'!V43+'2025年浙江分部利润表'!V43+'2025年上海分部利润表'!V43+'2025年赣皖区域利润表'!V43</f>
        <v>97</v>
      </c>
      <c r="W43" s="49">
        <f>'2025年中心利润表 '!W43+'2025年江苏分部利润表'!W43+'2025年浙江分部利润表'!W43+'2025年上海分部利润表'!W43+'2025年赣皖区域利润表'!W43</f>
        <v>0</v>
      </c>
      <c r="X43" s="49">
        <f>'2025年中心利润表 '!X43+'2025年江苏分部利润表'!X43+'2025年浙江分部利润表'!X43+'2025年上海分部利润表'!X43+'2025年赣皖区域利润表'!X43</f>
        <v>0</v>
      </c>
      <c r="Y43" s="49">
        <f>'2025年中心利润表 '!Y43+'2025年江苏分部利润表'!Y43+'2025年浙江分部利润表'!Y43+'2025年上海分部利润表'!Y43+'2025年赣皖区域利润表'!Y43</f>
        <v>0</v>
      </c>
      <c r="Z43" s="49">
        <f>'2025年中心利润表 '!Z43+'2025年江苏分部利润表'!Z43+'2025年浙江分部利润表'!Z43+'2025年上海分部利润表'!Z43+'2025年赣皖区域利润表'!Z43</f>
        <v>0</v>
      </c>
      <c r="AA43" s="51">
        <f t="shared" si="12"/>
        <v>0</v>
      </c>
      <c r="AB43" s="51">
        <f t="shared" si="13"/>
        <v>97</v>
      </c>
      <c r="AC43" s="94"/>
      <c r="AD43" s="31">
        <f t="shared" si="14"/>
        <v>0</v>
      </c>
      <c r="AE43" s="31">
        <f t="shared" si="15"/>
        <v>97</v>
      </c>
      <c r="AF43" s="17">
        <f t="shared" si="18"/>
        <v>0</v>
      </c>
      <c r="AG43" s="17">
        <f t="shared" si="19"/>
        <v>0</v>
      </c>
      <c r="AH43" s="17">
        <f>SUM('[1]2024年全面预算利润表 (销售1中心)2.8亿'!E48:H48)</f>
        <v>0</v>
      </c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</row>
    <row r="44" spans="1:53" s="19" customFormat="1" ht="14" hidden="1" outlineLevel="2" x14ac:dyDescent="0.25">
      <c r="A44" s="48" t="s">
        <v>121</v>
      </c>
      <c r="B44" s="53"/>
      <c r="C44" s="49">
        <f>'2025年中心利润表 '!C44+'2025年江苏分部利润表'!C44+'2025年浙江分部利润表'!C44+'2025年上海分部利润表'!C44+'2025年赣皖区域利润表'!C44</f>
        <v>800</v>
      </c>
      <c r="D44" s="49">
        <f>'2025年中心利润表 '!D44+'2025年江苏分部利润表'!D44+'2025年浙江分部利润表'!D44+'2025年上海分部利润表'!D44+'2025年赣皖区域利润表'!D44</f>
        <v>1255.05</v>
      </c>
      <c r="E44" s="49">
        <f>'2025年中心利润表 '!E44+'2025年江苏分部利润表'!E44+'2025年浙江分部利润表'!E44+'2025年上海分部利润表'!E44+'2025年赣皖区域利润表'!E44</f>
        <v>800</v>
      </c>
      <c r="F44" s="49">
        <f>'2025年中心利润表 '!F44+'2025年江苏分部利润表'!F44+'2025年浙江分部利润表'!F44+'2025年上海分部利润表'!F44+'2025年赣皖区域利润表'!F44</f>
        <v>917.67000000000007</v>
      </c>
      <c r="G44" s="49">
        <f>'2025年中心利润表 '!G44+'2025年江苏分部利润表'!G44+'2025年浙江分部利润表'!G44+'2025年上海分部利润表'!G44+'2025年赣皖区域利润表'!G44</f>
        <v>800</v>
      </c>
      <c r="H44" s="49">
        <f>'2025年中心利润表 '!H44+'2025年江苏分部利润表'!H44+'2025年浙江分部利润表'!H44+'2025年上海分部利润表'!H44+'2025年赣皖区域利润表'!H44</f>
        <v>222.51</v>
      </c>
      <c r="I44" s="49">
        <f>'2025年中心利润表 '!I44+'2025年江苏分部利润表'!I44+'2025年浙江分部利润表'!I44+'2025年上海分部利润表'!I44+'2025年赣皖区域利润表'!I44</f>
        <v>800</v>
      </c>
      <c r="J44" s="49">
        <f>'2025年中心利润表 '!J44+'2025年江苏分部利润表'!J44+'2025年浙江分部利润表'!J44+'2025年上海分部利润表'!J44+'2025年赣皖区域利润表'!J44</f>
        <v>1494.95</v>
      </c>
      <c r="K44" s="49">
        <f>'2025年中心利润表 '!K44+'2025年江苏分部利润表'!K44+'2025年浙江分部利润表'!K44+'2025年上海分部利润表'!K44+'2025年赣皖区域利润表'!K44</f>
        <v>800</v>
      </c>
      <c r="L44" s="49">
        <f>'2025年中心利润表 '!L44+'2025年江苏分部利润表'!L44+'2025年浙江分部利润表'!L44+'2025年上海分部利润表'!L44+'2025年赣皖区域利润表'!L44</f>
        <v>218.43</v>
      </c>
      <c r="M44" s="49">
        <f>'2025年中心利润表 '!M44+'2025年江苏分部利润表'!M44+'2025年浙江分部利润表'!M44+'2025年上海分部利润表'!M44+'2025年赣皖区域利润表'!M44</f>
        <v>800</v>
      </c>
      <c r="N44" s="49">
        <f>'2025年中心利润表 '!N44+'2025年江苏分部利润表'!N44+'2025年浙江分部利润表'!N44+'2025年上海分部利润表'!N44+'2025年赣皖区域利润表'!N44</f>
        <v>794.6400000000001</v>
      </c>
      <c r="O44" s="49">
        <f>'2025年中心利润表 '!O44+'2025年江苏分部利润表'!O44+'2025年浙江分部利润表'!O44+'2025年上海分部利润表'!O44+'2025年赣皖区域利润表'!O44</f>
        <v>800</v>
      </c>
      <c r="P44" s="49">
        <f>'2025年中心利润表 '!P44+'2025年江苏分部利润表'!P44+'2025年浙江分部利润表'!P44+'2025年上海分部利润表'!P44+'2025年赣皖区域利润表'!P44</f>
        <v>532.98</v>
      </c>
      <c r="Q44" s="49">
        <f>'2025年中心利润表 '!Q44+'2025年江苏分部利润表'!Q44+'2025年浙江分部利润表'!Q44+'2025年上海分部利润表'!Q44+'2025年赣皖区域利润表'!Q44</f>
        <v>800</v>
      </c>
      <c r="R44" s="49">
        <f>'2025年中心利润表 '!R44+'2025年江苏分部利润表'!R44+'2025年浙江分部利润表'!R44+'2025年上海分部利润表'!R44+'2025年赣皖区域利润表'!R44</f>
        <v>995.81999999999994</v>
      </c>
      <c r="S44" s="49">
        <f>'2025年中心利润表 '!S44+'2025年江苏分部利润表'!S44+'2025年浙江分部利润表'!S44+'2025年上海分部利润表'!S44+'2025年赣皖区域利润表'!S44</f>
        <v>800</v>
      </c>
      <c r="T44" s="49">
        <f>'2025年中心利润表 '!T44+'2025年江苏分部利润表'!T44+'2025年浙江分部利润表'!T44+'2025年上海分部利润表'!T44+'2025年赣皖区域利润表'!T44</f>
        <v>1341.77</v>
      </c>
      <c r="U44" s="49">
        <f>'2025年中心利润表 '!U44+'2025年江苏分部利润表'!U44+'2025年浙江分部利润表'!U44+'2025年上海分部利润表'!U44+'2025年赣皖区域利润表'!U44</f>
        <v>800</v>
      </c>
      <c r="V44" s="49">
        <f>'2025年中心利润表 '!V44+'2025年江苏分部利润表'!V44+'2025年浙江分部利润表'!V44+'2025年上海分部利润表'!V44+'2025年赣皖区域利润表'!V44</f>
        <v>1109.6799999999998</v>
      </c>
      <c r="W44" s="49">
        <f>'2025年中心利润表 '!W44+'2025年江苏分部利润表'!W44+'2025年浙江分部利润表'!W44+'2025年上海分部利润表'!W44+'2025年赣皖区域利润表'!W44</f>
        <v>800</v>
      </c>
      <c r="X44" s="49">
        <f>'2025年中心利润表 '!X44+'2025年江苏分部利润表'!X44+'2025年浙江分部利润表'!X44+'2025年上海分部利润表'!X44+'2025年赣皖区域利润表'!X44</f>
        <v>773.65</v>
      </c>
      <c r="Y44" s="49">
        <f>'2025年中心利润表 '!Y44+'2025年江苏分部利润表'!Y44+'2025年浙江分部利润表'!Y44+'2025年上海分部利润表'!Y44+'2025年赣皖区域利润表'!Y44</f>
        <v>800</v>
      </c>
      <c r="Z44" s="49">
        <f>'2025年中心利润表 '!Z44+'2025年江苏分部利润表'!Z44+'2025年浙江分部利润表'!Z44+'2025年上海分部利润表'!Z44+'2025年赣皖区域利润表'!Z44</f>
        <v>824.8</v>
      </c>
      <c r="AA44" s="51">
        <f t="shared" si="12"/>
        <v>9600</v>
      </c>
      <c r="AB44" s="51">
        <f t="shared" si="13"/>
        <v>10481.950000000001</v>
      </c>
      <c r="AC44" s="94"/>
      <c r="AD44" s="31">
        <f t="shared" si="14"/>
        <v>9600</v>
      </c>
      <c r="AE44" s="31">
        <f t="shared" si="15"/>
        <v>10481.950000000001</v>
      </c>
      <c r="AF44" s="17">
        <f t="shared" si="18"/>
        <v>0</v>
      </c>
      <c r="AG44" s="17">
        <f t="shared" si="19"/>
        <v>0</v>
      </c>
      <c r="AH44" s="17">
        <f>SUM('[1]2024年全面预算利润表 (销售1中心)2.8亿'!E49:H49)</f>
        <v>2000</v>
      </c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</row>
    <row r="45" spans="1:53" s="19" customFormat="1" ht="14" hidden="1" outlineLevel="2" x14ac:dyDescent="0.25">
      <c r="A45" s="48" t="s">
        <v>122</v>
      </c>
      <c r="B45" s="53"/>
      <c r="C45" s="49">
        <f>'2025年中心利润表 '!C45+'2025年江苏分部利润表'!C45+'2025年浙江分部利润表'!C45+'2025年上海分部利润表'!C45+'2025年赣皖区域利润表'!C45</f>
        <v>0</v>
      </c>
      <c r="D45" s="49">
        <f>'2025年中心利润表 '!D45+'2025年江苏分部利润表'!D45+'2025年浙江分部利润表'!D45+'2025年上海分部利润表'!D45+'2025年赣皖区域利润表'!D45</f>
        <v>0</v>
      </c>
      <c r="E45" s="49">
        <f>'2025年中心利润表 '!E45+'2025年江苏分部利润表'!E45+'2025年浙江分部利润表'!E45+'2025年上海分部利润表'!E45+'2025年赣皖区域利润表'!E45</f>
        <v>0</v>
      </c>
      <c r="F45" s="49">
        <f>'2025年中心利润表 '!F45+'2025年江苏分部利润表'!F45+'2025年浙江分部利润表'!F45+'2025年上海分部利润表'!F45+'2025年赣皖区域利润表'!F45</f>
        <v>0</v>
      </c>
      <c r="G45" s="49">
        <f>'2025年中心利润表 '!G45+'2025年江苏分部利润表'!G45+'2025年浙江分部利润表'!G45+'2025年上海分部利润表'!G45+'2025年赣皖区域利润表'!G45</f>
        <v>0</v>
      </c>
      <c r="H45" s="49">
        <f>'2025年中心利润表 '!H45+'2025年江苏分部利润表'!H45+'2025年浙江分部利润表'!H45+'2025年上海分部利润表'!H45+'2025年赣皖区域利润表'!H45</f>
        <v>0</v>
      </c>
      <c r="I45" s="49">
        <f>'2025年中心利润表 '!I45+'2025年江苏分部利润表'!I45+'2025年浙江分部利润表'!I45+'2025年上海分部利润表'!I45+'2025年赣皖区域利润表'!I45</f>
        <v>0</v>
      </c>
      <c r="J45" s="49">
        <f>'2025年中心利润表 '!J45+'2025年江苏分部利润表'!J45+'2025年浙江分部利润表'!J45+'2025年上海分部利润表'!J45+'2025年赣皖区域利润表'!J45</f>
        <v>0</v>
      </c>
      <c r="K45" s="49">
        <f>'2025年中心利润表 '!K45+'2025年江苏分部利润表'!K45+'2025年浙江分部利润表'!K45+'2025年上海分部利润表'!K45+'2025年赣皖区域利润表'!K45</f>
        <v>0</v>
      </c>
      <c r="L45" s="49">
        <f>'2025年中心利润表 '!L45+'2025年江苏分部利润表'!L45+'2025年浙江分部利润表'!L45+'2025年上海分部利润表'!L45+'2025年赣皖区域利润表'!L45</f>
        <v>0</v>
      </c>
      <c r="M45" s="49">
        <f>'2025年中心利润表 '!M45+'2025年江苏分部利润表'!M45+'2025年浙江分部利润表'!M45+'2025年上海分部利润表'!M45+'2025年赣皖区域利润表'!M45</f>
        <v>0</v>
      </c>
      <c r="N45" s="49">
        <f>'2025年中心利润表 '!N45+'2025年江苏分部利润表'!N45+'2025年浙江分部利润表'!N45+'2025年上海分部利润表'!N45+'2025年赣皖区域利润表'!N45</f>
        <v>0</v>
      </c>
      <c r="O45" s="49">
        <f>'2025年中心利润表 '!O45+'2025年江苏分部利润表'!O45+'2025年浙江分部利润表'!O45+'2025年上海分部利润表'!O45+'2025年赣皖区域利润表'!O45</f>
        <v>0</v>
      </c>
      <c r="P45" s="49">
        <f>'2025年中心利润表 '!P45+'2025年江苏分部利润表'!P45+'2025年浙江分部利润表'!P45+'2025年上海分部利润表'!P45+'2025年赣皖区域利润表'!P45</f>
        <v>0</v>
      </c>
      <c r="Q45" s="49">
        <f>'2025年中心利润表 '!Q45+'2025年江苏分部利润表'!Q45+'2025年浙江分部利润表'!Q45+'2025年上海分部利润表'!Q45+'2025年赣皖区域利润表'!Q45</f>
        <v>0</v>
      </c>
      <c r="R45" s="49">
        <f>'2025年中心利润表 '!R45+'2025年江苏分部利润表'!R45+'2025年浙江分部利润表'!R45+'2025年上海分部利润表'!R45+'2025年赣皖区域利润表'!R45</f>
        <v>0</v>
      </c>
      <c r="S45" s="49">
        <f>'2025年中心利润表 '!S45+'2025年江苏分部利润表'!S45+'2025年浙江分部利润表'!S45+'2025年上海分部利润表'!S45+'2025年赣皖区域利润表'!S45</f>
        <v>0</v>
      </c>
      <c r="T45" s="49">
        <f>'2025年中心利润表 '!T45+'2025年江苏分部利润表'!T45+'2025年浙江分部利润表'!T45+'2025年上海分部利润表'!T45+'2025年赣皖区域利润表'!T45</f>
        <v>0</v>
      </c>
      <c r="U45" s="49">
        <f>'2025年中心利润表 '!U45+'2025年江苏分部利润表'!U45+'2025年浙江分部利润表'!U45+'2025年上海分部利润表'!U45+'2025年赣皖区域利润表'!U45</f>
        <v>0</v>
      </c>
      <c r="V45" s="49">
        <f>'2025年中心利润表 '!V45+'2025年江苏分部利润表'!V45+'2025年浙江分部利润表'!V45+'2025年上海分部利润表'!V45+'2025年赣皖区域利润表'!V45</f>
        <v>0</v>
      </c>
      <c r="W45" s="49">
        <f>'2025年中心利润表 '!W45+'2025年江苏分部利润表'!W45+'2025年浙江分部利润表'!W45+'2025年上海分部利润表'!W45+'2025年赣皖区域利润表'!W45</f>
        <v>0</v>
      </c>
      <c r="X45" s="49">
        <f>'2025年中心利润表 '!X45+'2025年江苏分部利润表'!X45+'2025年浙江分部利润表'!X45+'2025年上海分部利润表'!X45+'2025年赣皖区域利润表'!X45</f>
        <v>0</v>
      </c>
      <c r="Y45" s="49">
        <f>'2025年中心利润表 '!Y45+'2025年江苏分部利润表'!Y45+'2025年浙江分部利润表'!Y45+'2025年上海分部利润表'!Y45+'2025年赣皖区域利润表'!Y45</f>
        <v>0</v>
      </c>
      <c r="Z45" s="49">
        <f>'2025年中心利润表 '!Z45+'2025年江苏分部利润表'!Z45+'2025年浙江分部利润表'!Z45+'2025年上海分部利润表'!Z45+'2025年赣皖区域利润表'!Z45</f>
        <v>0</v>
      </c>
      <c r="AA45" s="51">
        <f t="shared" si="12"/>
        <v>0</v>
      </c>
      <c r="AB45" s="51">
        <f t="shared" si="13"/>
        <v>0</v>
      </c>
      <c r="AC45" s="94"/>
      <c r="AD45" s="31">
        <f t="shared" si="14"/>
        <v>0</v>
      </c>
      <c r="AE45" s="31">
        <f t="shared" si="15"/>
        <v>0</v>
      </c>
      <c r="AF45" s="17">
        <f t="shared" si="18"/>
        <v>0</v>
      </c>
      <c r="AG45" s="17">
        <f t="shared" si="19"/>
        <v>0</v>
      </c>
      <c r="AH45" s="17">
        <f>SUM('[1]2024年全面预算利润表 (销售1中心)2.8亿'!E50:H50)</f>
        <v>0</v>
      </c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</row>
    <row r="46" spans="1:53" s="19" customFormat="1" ht="14" hidden="1" outlineLevel="2" x14ac:dyDescent="0.25">
      <c r="A46" s="48" t="s">
        <v>123</v>
      </c>
      <c r="B46" s="53"/>
      <c r="C46" s="49">
        <f>'2025年中心利润表 '!C46+'2025年江苏分部利润表'!C46+'2025年浙江分部利润表'!C46+'2025年上海分部利润表'!C46+'2025年赣皖区域利润表'!C46</f>
        <v>4800</v>
      </c>
      <c r="D46" s="49">
        <f>'2025年中心利润表 '!D46+'2025年江苏分部利润表'!D46+'2025年浙江分部利润表'!D46+'2025年上海分部利润表'!D46+'2025年赣皖区域利润表'!D46</f>
        <v>4800</v>
      </c>
      <c r="E46" s="49">
        <f>'2025年中心利润表 '!E46+'2025年江苏分部利润表'!E46+'2025年浙江分部利润表'!E46+'2025年上海分部利润表'!E46+'2025年赣皖区域利润表'!E46</f>
        <v>0</v>
      </c>
      <c r="F46" s="49">
        <f>'2025年中心利润表 '!F46+'2025年江苏分部利润表'!F46+'2025年浙江分部利润表'!F46+'2025年上海分部利润表'!F46+'2025年赣皖区域利润表'!F46</f>
        <v>0</v>
      </c>
      <c r="G46" s="49">
        <f>'2025年中心利润表 '!G46+'2025年江苏分部利润表'!G46+'2025年浙江分部利润表'!G46+'2025年上海分部利润表'!G46+'2025年赣皖区域利润表'!G46</f>
        <v>100</v>
      </c>
      <c r="H46" s="49">
        <f>'2025年中心利润表 '!H46+'2025年江苏分部利润表'!H46+'2025年浙江分部利润表'!H46+'2025年上海分部利润表'!H46+'2025年赣皖区域利润表'!H46</f>
        <v>0</v>
      </c>
      <c r="I46" s="49">
        <f>'2025年中心利润表 '!I46+'2025年江苏分部利润表'!I46+'2025年浙江分部利润表'!I46+'2025年上海分部利润表'!I46+'2025年赣皖区域利润表'!I46</f>
        <v>0</v>
      </c>
      <c r="J46" s="49">
        <f>'2025年中心利润表 '!J46+'2025年江苏分部利润表'!J46+'2025年浙江分部利润表'!J46+'2025年上海分部利润表'!J46+'2025年赣皖区域利润表'!J46</f>
        <v>0</v>
      </c>
      <c r="K46" s="49">
        <f>'2025年中心利润表 '!K46+'2025年江苏分部利润表'!K46+'2025年浙江分部利润表'!K46+'2025年上海分部利润表'!K46+'2025年赣皖区域利润表'!K46</f>
        <v>0</v>
      </c>
      <c r="L46" s="49">
        <f>'2025年中心利润表 '!L46+'2025年江苏分部利润表'!L46+'2025年浙江分部利润表'!L46+'2025年上海分部利润表'!L46+'2025年赣皖区域利润表'!L46</f>
        <v>0</v>
      </c>
      <c r="M46" s="49">
        <f>'2025年中心利润表 '!M46+'2025年江苏分部利润表'!M46+'2025年浙江分部利润表'!M46+'2025年上海分部利润表'!M46+'2025年赣皖区域利润表'!M46</f>
        <v>0</v>
      </c>
      <c r="N46" s="49">
        <f>'2025年中心利润表 '!N46+'2025年江苏分部利润表'!N46+'2025年浙江分部利润表'!N46+'2025年上海分部利润表'!N46+'2025年赣皖区域利润表'!N46</f>
        <v>0</v>
      </c>
      <c r="O46" s="49">
        <f>'2025年中心利润表 '!O46+'2025年江苏分部利润表'!O46+'2025年浙江分部利润表'!O46+'2025年上海分部利润表'!O46+'2025年赣皖区域利润表'!O46</f>
        <v>0</v>
      </c>
      <c r="P46" s="49">
        <f>'2025年中心利润表 '!P46+'2025年江苏分部利润表'!P46+'2025年浙江分部利润表'!P46+'2025年上海分部利润表'!P46+'2025年赣皖区域利润表'!P46</f>
        <v>0</v>
      </c>
      <c r="Q46" s="49">
        <f>'2025年中心利润表 '!Q46+'2025年江苏分部利润表'!Q46+'2025年浙江分部利润表'!Q46+'2025年上海分部利润表'!Q46+'2025年赣皖区域利润表'!Q46</f>
        <v>0</v>
      </c>
      <c r="R46" s="49">
        <f>'2025年中心利润表 '!R46+'2025年江苏分部利润表'!R46+'2025年浙江分部利润表'!R46+'2025年上海分部利润表'!R46+'2025年赣皖区域利润表'!R46</f>
        <v>0</v>
      </c>
      <c r="S46" s="49">
        <f>'2025年中心利润表 '!S46+'2025年江苏分部利润表'!S46+'2025年浙江分部利润表'!S46+'2025年上海分部利润表'!S46+'2025年赣皖区域利润表'!S46</f>
        <v>0</v>
      </c>
      <c r="T46" s="49">
        <f>'2025年中心利润表 '!T46+'2025年江苏分部利润表'!T46+'2025年浙江分部利润表'!T46+'2025年上海分部利润表'!T46+'2025年赣皖区域利润表'!T46</f>
        <v>4200</v>
      </c>
      <c r="U46" s="49">
        <f>'2025年中心利润表 '!U46+'2025年江苏分部利润表'!U46+'2025年浙江分部利润表'!U46+'2025年上海分部利润表'!U46+'2025年赣皖区域利润表'!U46</f>
        <v>4800</v>
      </c>
      <c r="V46" s="49">
        <f>'2025年中心利润表 '!V46+'2025年江苏分部利润表'!V46+'2025年浙江分部利润表'!V46+'2025年上海分部利润表'!V46+'2025年赣皖区域利润表'!V46</f>
        <v>0</v>
      </c>
      <c r="W46" s="49">
        <f>'2025年中心利润表 '!W46+'2025年江苏分部利润表'!W46+'2025年浙江分部利润表'!W46+'2025年上海分部利润表'!W46+'2025年赣皖区域利润表'!W46</f>
        <v>0</v>
      </c>
      <c r="X46" s="49">
        <f>'2025年中心利润表 '!X46+'2025年江苏分部利润表'!X46+'2025年浙江分部利润表'!X46+'2025年上海分部利润表'!X46+'2025年赣皖区域利润表'!X46</f>
        <v>0</v>
      </c>
      <c r="Y46" s="49">
        <f>'2025年中心利润表 '!Y46+'2025年江苏分部利润表'!Y46+'2025年浙江分部利润表'!Y46+'2025年上海分部利润表'!Y46+'2025年赣皖区域利润表'!Y46</f>
        <v>0</v>
      </c>
      <c r="Z46" s="49">
        <f>'2025年中心利润表 '!Z46+'2025年江苏分部利润表'!Z46+'2025年浙江分部利润表'!Z46+'2025年上海分部利润表'!Z46+'2025年赣皖区域利润表'!Z46</f>
        <v>0</v>
      </c>
      <c r="AA46" s="51">
        <f t="shared" si="12"/>
        <v>9700</v>
      </c>
      <c r="AB46" s="51">
        <f t="shared" si="13"/>
        <v>9000</v>
      </c>
      <c r="AC46" s="94"/>
      <c r="AD46" s="31">
        <f t="shared" si="14"/>
        <v>9700</v>
      </c>
      <c r="AE46" s="31">
        <f t="shared" si="15"/>
        <v>9000</v>
      </c>
      <c r="AF46" s="17">
        <f t="shared" si="18"/>
        <v>0</v>
      </c>
      <c r="AG46" s="17">
        <f t="shared" si="19"/>
        <v>0</v>
      </c>
      <c r="AH46" s="17">
        <f>SUM('[1]2024年全面预算利润表 (销售1中心)2.8亿'!E51:H51)</f>
        <v>5600</v>
      </c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</row>
    <row r="47" spans="1:53" s="19" customFormat="1" ht="14" hidden="1" outlineLevel="2" x14ac:dyDescent="0.25">
      <c r="A47" s="48" t="s">
        <v>124</v>
      </c>
      <c r="B47" s="53"/>
      <c r="C47" s="49">
        <f>'2025年中心利润表 '!C47+'2025年江苏分部利润表'!C47+'2025年浙江分部利润表'!C47+'2025年上海分部利润表'!C47+'2025年赣皖区域利润表'!C47</f>
        <v>0</v>
      </c>
      <c r="D47" s="49">
        <f>'2025年中心利润表 '!D47+'2025年江苏分部利润表'!D47+'2025年浙江分部利润表'!D47+'2025年上海分部利润表'!D47+'2025年赣皖区域利润表'!D47</f>
        <v>0</v>
      </c>
      <c r="E47" s="49">
        <f>'2025年中心利润表 '!E47+'2025年江苏分部利润表'!E47+'2025年浙江分部利润表'!E47+'2025年上海分部利润表'!E47+'2025年赣皖区域利润表'!E47</f>
        <v>0</v>
      </c>
      <c r="F47" s="49">
        <f>'2025年中心利润表 '!F47+'2025年江苏分部利润表'!F47+'2025年浙江分部利润表'!F47+'2025年上海分部利润表'!F47+'2025年赣皖区域利润表'!F47</f>
        <v>0</v>
      </c>
      <c r="G47" s="49">
        <f>'2025年中心利润表 '!G47+'2025年江苏分部利润表'!G47+'2025年浙江分部利润表'!G47+'2025年上海分部利润表'!G47+'2025年赣皖区域利润表'!G47</f>
        <v>1100</v>
      </c>
      <c r="H47" s="49">
        <f>'2025年中心利润表 '!H47+'2025年江苏分部利润表'!H47+'2025年浙江分部利润表'!H47+'2025年上海分部利润表'!H47+'2025年赣皖区域利润表'!H47</f>
        <v>0</v>
      </c>
      <c r="I47" s="49">
        <f>'2025年中心利润表 '!I47+'2025年江苏分部利润表'!I47+'2025年浙江分部利润表'!I47+'2025年上海分部利润表'!I47+'2025年赣皖区域利润表'!I47</f>
        <v>0</v>
      </c>
      <c r="J47" s="49">
        <f>'2025年中心利润表 '!J47+'2025年江苏分部利润表'!J47+'2025年浙江分部利润表'!J47+'2025年上海分部利润表'!J47+'2025年赣皖区域利润表'!J47</f>
        <v>0</v>
      </c>
      <c r="K47" s="49">
        <f>'2025年中心利润表 '!K47+'2025年江苏分部利润表'!K47+'2025年浙江分部利润表'!K47+'2025年上海分部利润表'!K47+'2025年赣皖区域利润表'!K47</f>
        <v>0</v>
      </c>
      <c r="L47" s="49">
        <f>'2025年中心利润表 '!L47+'2025年江苏分部利润表'!L47+'2025年浙江分部利润表'!L47+'2025年上海分部利润表'!L47+'2025年赣皖区域利润表'!L47</f>
        <v>0</v>
      </c>
      <c r="M47" s="49">
        <f>'2025年中心利润表 '!M47+'2025年江苏分部利润表'!M47+'2025年浙江分部利润表'!M47+'2025年上海分部利润表'!M47+'2025年赣皖区域利润表'!M47</f>
        <v>110</v>
      </c>
      <c r="N47" s="49">
        <f>'2025年中心利润表 '!N47+'2025年江苏分部利润表'!N47+'2025年浙江分部利润表'!N47+'2025年上海分部利润表'!N47+'2025年赣皖区域利润表'!N47</f>
        <v>0</v>
      </c>
      <c r="O47" s="49">
        <f>'2025年中心利润表 '!O47+'2025年江苏分部利润表'!O47+'2025年浙江分部利润表'!O47+'2025年上海分部利润表'!O47+'2025年赣皖区域利润表'!O47</f>
        <v>0</v>
      </c>
      <c r="P47" s="49">
        <f>'2025年中心利润表 '!P47+'2025年江苏分部利润表'!P47+'2025年浙江分部利润表'!P47+'2025年上海分部利润表'!P47+'2025年赣皖区域利润表'!P47</f>
        <v>0</v>
      </c>
      <c r="Q47" s="49">
        <f>'2025年中心利润表 '!Q47+'2025年江苏分部利润表'!Q47+'2025年浙江分部利润表'!Q47+'2025年上海分部利润表'!Q47+'2025年赣皖区域利润表'!Q47</f>
        <v>0</v>
      </c>
      <c r="R47" s="49">
        <f>'2025年中心利润表 '!R47+'2025年江苏分部利润表'!R47+'2025年浙江分部利润表'!R47+'2025年上海分部利润表'!R47+'2025年赣皖区域利润表'!R47</f>
        <v>0</v>
      </c>
      <c r="S47" s="49">
        <f>'2025年中心利润表 '!S47+'2025年江苏分部利润表'!S47+'2025年浙江分部利润表'!S47+'2025年上海分部利润表'!S47+'2025年赣皖区域利润表'!S47</f>
        <v>110</v>
      </c>
      <c r="T47" s="49">
        <f>'2025年中心利润表 '!T47+'2025年江苏分部利润表'!T47+'2025年浙江分部利润表'!T47+'2025年上海分部利润表'!T47+'2025年赣皖区域利润表'!T47</f>
        <v>0</v>
      </c>
      <c r="U47" s="49">
        <f>'2025年中心利润表 '!U47+'2025年江苏分部利润表'!U47+'2025年浙江分部利润表'!U47+'2025年上海分部利润表'!U47+'2025年赣皖区域利润表'!U47</f>
        <v>0</v>
      </c>
      <c r="V47" s="49">
        <f>'2025年中心利润表 '!V47+'2025年江苏分部利润表'!V47+'2025年浙江分部利润表'!V47+'2025年上海分部利润表'!V47+'2025年赣皖区域利润表'!V47</f>
        <v>0</v>
      </c>
      <c r="W47" s="49">
        <f>'2025年中心利润表 '!W47+'2025年江苏分部利润表'!W47+'2025年浙江分部利润表'!W47+'2025年上海分部利润表'!W47+'2025年赣皖区域利润表'!W47</f>
        <v>0</v>
      </c>
      <c r="X47" s="49">
        <f>'2025年中心利润表 '!X47+'2025年江苏分部利润表'!X47+'2025年浙江分部利润表'!X47+'2025年上海分部利润表'!X47+'2025年赣皖区域利润表'!X47</f>
        <v>0</v>
      </c>
      <c r="Y47" s="49">
        <f>'2025年中心利润表 '!Y47+'2025年江苏分部利润表'!Y47+'2025年浙江分部利润表'!Y47+'2025年上海分部利润表'!Y47+'2025年赣皖区域利润表'!Y47</f>
        <v>0</v>
      </c>
      <c r="Z47" s="49">
        <f>'2025年中心利润表 '!Z47+'2025年江苏分部利润表'!Z47+'2025年浙江分部利润表'!Z47+'2025年上海分部利润表'!Z47+'2025年赣皖区域利润表'!Z47</f>
        <v>0</v>
      </c>
      <c r="AA47" s="51">
        <f t="shared" si="12"/>
        <v>1320</v>
      </c>
      <c r="AB47" s="51">
        <f t="shared" si="13"/>
        <v>0</v>
      </c>
      <c r="AC47" s="94"/>
      <c r="AD47" s="31">
        <f t="shared" si="14"/>
        <v>1320</v>
      </c>
      <c r="AE47" s="31">
        <f t="shared" si="15"/>
        <v>0</v>
      </c>
      <c r="AF47" s="17">
        <f t="shared" si="18"/>
        <v>0</v>
      </c>
      <c r="AG47" s="17">
        <f t="shared" si="19"/>
        <v>0</v>
      </c>
      <c r="AH47" s="17">
        <f>SUM('[1]2024年全面预算利润表 (销售1中心)2.8亿'!E52:H52)</f>
        <v>300</v>
      </c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</row>
    <row r="48" spans="1:53" s="19" customFormat="1" ht="14" hidden="1" outlineLevel="2" x14ac:dyDescent="0.25">
      <c r="A48" s="48" t="s">
        <v>125</v>
      </c>
      <c r="B48" s="53"/>
      <c r="C48" s="49">
        <f>'2025年中心利润表 '!C48+'2025年江苏分部利润表'!C48+'2025年浙江分部利润表'!C48+'2025年上海分部利润表'!C48+'2025年赣皖区域利润表'!C48</f>
        <v>0</v>
      </c>
      <c r="D48" s="49">
        <f>'2025年中心利润表 '!D48+'2025年江苏分部利润表'!D48+'2025年浙江分部利润表'!D48+'2025年上海分部利润表'!D48+'2025年赣皖区域利润表'!D48</f>
        <v>0</v>
      </c>
      <c r="E48" s="49">
        <f>'2025年中心利润表 '!E48+'2025年江苏分部利润表'!E48+'2025年浙江分部利润表'!E48+'2025年上海分部利润表'!E48+'2025年赣皖区域利润表'!E48</f>
        <v>0</v>
      </c>
      <c r="F48" s="49">
        <f>'2025年中心利润表 '!F48+'2025年江苏分部利润表'!F48+'2025年浙江分部利润表'!F48+'2025年上海分部利润表'!F48+'2025年赣皖区域利润表'!F48</f>
        <v>8000</v>
      </c>
      <c r="G48" s="49">
        <f>'2025年中心利润表 '!G48+'2025年江苏分部利润表'!G48+'2025年浙江分部利润表'!G48+'2025年上海分部利润表'!G48+'2025年赣皖区域利润表'!G48</f>
        <v>0</v>
      </c>
      <c r="H48" s="49">
        <f>'2025年中心利润表 '!H48+'2025年江苏分部利润表'!H48+'2025年浙江分部利润表'!H48+'2025年上海分部利润表'!H48+'2025年赣皖区域利润表'!H48</f>
        <v>0</v>
      </c>
      <c r="I48" s="49">
        <f>'2025年中心利润表 '!I48+'2025年江苏分部利润表'!I48+'2025年浙江分部利润表'!I48+'2025年上海分部利润表'!I48+'2025年赣皖区域利润表'!I48</f>
        <v>0</v>
      </c>
      <c r="J48" s="49">
        <f>'2025年中心利润表 '!J48+'2025年江苏分部利润表'!J48+'2025年浙江分部利润表'!J48+'2025年上海分部利润表'!J48+'2025年赣皖区域利润表'!J48</f>
        <v>0</v>
      </c>
      <c r="K48" s="49">
        <f>'2025年中心利润表 '!K48+'2025年江苏分部利润表'!K48+'2025年浙江分部利润表'!K48+'2025年上海分部利润表'!K48+'2025年赣皖区域利润表'!K48</f>
        <v>0</v>
      </c>
      <c r="L48" s="49">
        <f>'2025年中心利润表 '!L48+'2025年江苏分部利润表'!L48+'2025年浙江分部利润表'!L48+'2025年上海分部利润表'!L48+'2025年赣皖区域利润表'!L48</f>
        <v>0</v>
      </c>
      <c r="M48" s="49">
        <f>'2025年中心利润表 '!M48+'2025年江苏分部利润表'!M48+'2025年浙江分部利润表'!M48+'2025年上海分部利润表'!M48+'2025年赣皖区域利润表'!M48</f>
        <v>0</v>
      </c>
      <c r="N48" s="49">
        <f>'2025年中心利润表 '!N48+'2025年江苏分部利润表'!N48+'2025年浙江分部利润表'!N48+'2025年上海分部利润表'!N48+'2025年赣皖区域利润表'!N48</f>
        <v>0</v>
      </c>
      <c r="O48" s="49">
        <f>'2025年中心利润表 '!O48+'2025年江苏分部利润表'!O48+'2025年浙江分部利润表'!O48+'2025年上海分部利润表'!O48+'2025年赣皖区域利润表'!O48</f>
        <v>0</v>
      </c>
      <c r="P48" s="49">
        <f>'2025年中心利润表 '!P48+'2025年江苏分部利润表'!P48+'2025年浙江分部利润表'!P48+'2025年上海分部利润表'!P48+'2025年赣皖区域利润表'!P48</f>
        <v>0</v>
      </c>
      <c r="Q48" s="49">
        <f>'2025年中心利润表 '!Q48+'2025年江苏分部利润表'!Q48+'2025年浙江分部利润表'!Q48+'2025年上海分部利润表'!Q48+'2025年赣皖区域利润表'!Q48</f>
        <v>0</v>
      </c>
      <c r="R48" s="49">
        <f>'2025年中心利润表 '!R48+'2025年江苏分部利润表'!R48+'2025年浙江分部利润表'!R48+'2025年上海分部利润表'!R48+'2025年赣皖区域利润表'!R48</f>
        <v>0</v>
      </c>
      <c r="S48" s="49">
        <f>'2025年中心利润表 '!S48+'2025年江苏分部利润表'!S48+'2025年浙江分部利润表'!S48+'2025年上海分部利润表'!S48+'2025年赣皖区域利润表'!S48</f>
        <v>0</v>
      </c>
      <c r="T48" s="49">
        <f>'2025年中心利润表 '!T48+'2025年江苏分部利润表'!T48+'2025年浙江分部利润表'!T48+'2025年上海分部利润表'!T48+'2025年赣皖区域利润表'!T48</f>
        <v>0</v>
      </c>
      <c r="U48" s="49">
        <f>'2025年中心利润表 '!U48+'2025年江苏分部利润表'!U48+'2025年浙江分部利润表'!U48+'2025年上海分部利润表'!U48+'2025年赣皖区域利润表'!U48</f>
        <v>0</v>
      </c>
      <c r="V48" s="49">
        <f>'2025年中心利润表 '!V48+'2025年江苏分部利润表'!V48+'2025年浙江分部利润表'!V48+'2025年上海分部利润表'!V48+'2025年赣皖区域利润表'!V48</f>
        <v>0</v>
      </c>
      <c r="W48" s="49">
        <f>'2025年中心利润表 '!W48+'2025年江苏分部利润表'!W48+'2025年浙江分部利润表'!W48+'2025年上海分部利润表'!W48+'2025年赣皖区域利润表'!W48</f>
        <v>0</v>
      </c>
      <c r="X48" s="49">
        <f>'2025年中心利润表 '!X48+'2025年江苏分部利润表'!X48+'2025年浙江分部利润表'!X48+'2025年上海分部利润表'!X48+'2025年赣皖区域利润表'!X48</f>
        <v>0</v>
      </c>
      <c r="Y48" s="49">
        <f>'2025年中心利润表 '!Y48+'2025年江苏分部利润表'!Y48+'2025年浙江分部利润表'!Y48+'2025年上海分部利润表'!Y48+'2025年赣皖区域利润表'!Y48</f>
        <v>0</v>
      </c>
      <c r="Z48" s="49">
        <f>'2025年中心利润表 '!Z48+'2025年江苏分部利润表'!Z48+'2025年浙江分部利润表'!Z48+'2025年上海分部利润表'!Z48+'2025年赣皖区域利润表'!Z48</f>
        <v>0</v>
      </c>
      <c r="AA48" s="51">
        <f t="shared" si="12"/>
        <v>0</v>
      </c>
      <c r="AB48" s="51">
        <f t="shared" si="13"/>
        <v>8000</v>
      </c>
      <c r="AC48" s="94"/>
      <c r="AD48" s="31">
        <f t="shared" si="14"/>
        <v>0</v>
      </c>
      <c r="AE48" s="31">
        <f t="shared" si="15"/>
        <v>8000</v>
      </c>
      <c r="AF48" s="17">
        <f t="shared" si="18"/>
        <v>0</v>
      </c>
      <c r="AG48" s="17">
        <f t="shared" si="19"/>
        <v>0</v>
      </c>
      <c r="AH48" s="17">
        <f>SUM('[1]2024年全面预算利润表 (销售1中心)2.8亿'!E53:H53)</f>
        <v>0</v>
      </c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</row>
    <row r="49" spans="1:53" s="19" customFormat="1" ht="14" hidden="1" outlineLevel="2" x14ac:dyDescent="0.25">
      <c r="A49" s="48" t="s">
        <v>126</v>
      </c>
      <c r="B49" s="53"/>
      <c r="C49" s="49">
        <f>'2025年中心利润表 '!C49+'2025年江苏分部利润表'!C49+'2025年浙江分部利润表'!C49+'2025年上海分部利润表'!C49+'2025年赣皖区域利润表'!C49</f>
        <v>420</v>
      </c>
      <c r="D49" s="49">
        <f>'2025年中心利润表 '!D49+'2025年江苏分部利润表'!D49+'2025年浙江分部利润表'!D49+'2025年上海分部利润表'!D49+'2025年赣皖区域利润表'!D49</f>
        <v>0</v>
      </c>
      <c r="E49" s="49">
        <f>'2025年中心利润表 '!E49+'2025年江苏分部利润表'!E49+'2025年浙江分部利润表'!E49+'2025年上海分部利润表'!E49+'2025年赣皖区域利润表'!E49</f>
        <v>0</v>
      </c>
      <c r="F49" s="49">
        <f>'2025年中心利润表 '!F49+'2025年江苏分部利润表'!F49+'2025年浙江分部利润表'!F49+'2025年上海分部利润表'!F49+'2025年赣皖区域利润表'!F49</f>
        <v>2694.85</v>
      </c>
      <c r="G49" s="49">
        <f>'2025年中心利润表 '!G49+'2025年江苏分部利润表'!G49+'2025年浙江分部利润表'!G49+'2025年上海分部利润表'!G49+'2025年赣皖区域利润表'!G49</f>
        <v>0</v>
      </c>
      <c r="H49" s="49">
        <f>'2025年中心利润表 '!H49+'2025年江苏分部利润表'!H49+'2025年浙江分部利润表'!H49+'2025年上海分部利润表'!H49+'2025年赣皖区域利润表'!H49</f>
        <v>1000</v>
      </c>
      <c r="I49" s="49">
        <f>'2025年中心利润表 '!I49+'2025年江苏分部利润表'!I49+'2025年浙江分部利润表'!I49+'2025年上海分部利润表'!I49+'2025年赣皖区域利润表'!I49</f>
        <v>420</v>
      </c>
      <c r="J49" s="49">
        <f>'2025年中心利润表 '!J49+'2025年江苏分部利润表'!J49+'2025年浙江分部利润表'!J49+'2025年上海分部利润表'!J49+'2025年赣皖区域利润表'!J49</f>
        <v>0</v>
      </c>
      <c r="K49" s="49">
        <f>'2025年中心利润表 '!K49+'2025年江苏分部利润表'!K49+'2025年浙江分部利润表'!K49+'2025年上海分部利润表'!K49+'2025年赣皖区域利润表'!K49</f>
        <v>0</v>
      </c>
      <c r="L49" s="49">
        <f>'2025年中心利润表 '!L49+'2025年江苏分部利润表'!L49+'2025年浙江分部利润表'!L49+'2025年上海分部利润表'!L49+'2025年赣皖区域利润表'!L49</f>
        <v>0</v>
      </c>
      <c r="M49" s="49">
        <f>'2025年中心利润表 '!M49+'2025年江苏分部利润表'!M49+'2025年浙江分部利润表'!M49+'2025年上海分部利润表'!M49+'2025年赣皖区域利润表'!M49</f>
        <v>0</v>
      </c>
      <c r="N49" s="49">
        <f>'2025年中心利润表 '!N49+'2025年江苏分部利润表'!N49+'2025年浙江分部利润表'!N49+'2025年上海分部利润表'!N49+'2025年赣皖区域利润表'!N49</f>
        <v>0</v>
      </c>
      <c r="O49" s="49">
        <f>'2025年中心利润表 '!O49+'2025年江苏分部利润表'!O49+'2025年浙江分部利润表'!O49+'2025年上海分部利润表'!O49+'2025年赣皖区域利润表'!O49</f>
        <v>0</v>
      </c>
      <c r="P49" s="49">
        <f>'2025年中心利润表 '!P49+'2025年江苏分部利润表'!P49+'2025年浙江分部利润表'!P49+'2025年上海分部利润表'!P49+'2025年赣皖区域利润表'!P49</f>
        <v>1000</v>
      </c>
      <c r="Q49" s="49">
        <f>'2025年中心利润表 '!Q49+'2025年江苏分部利润表'!Q49+'2025年浙江分部利润表'!Q49+'2025年上海分部利润表'!Q49+'2025年赣皖区域利润表'!Q49</f>
        <v>420</v>
      </c>
      <c r="R49" s="49">
        <f>'2025年中心利润表 '!R49+'2025年江苏分部利润表'!R49+'2025年浙江分部利润表'!R49+'2025年上海分部利润表'!R49+'2025年赣皖区域利润表'!R49</f>
        <v>0</v>
      </c>
      <c r="S49" s="49">
        <f>'2025年中心利润表 '!S49+'2025年江苏分部利润表'!S49+'2025年浙江分部利润表'!S49+'2025年上海分部利润表'!S49+'2025年赣皖区域利润表'!S49</f>
        <v>0</v>
      </c>
      <c r="T49" s="49">
        <f>'2025年中心利润表 '!T49+'2025年江苏分部利润表'!T49+'2025年浙江分部利润表'!T49+'2025年上海分部利润表'!T49+'2025年赣皖区域利润表'!T49</f>
        <v>0</v>
      </c>
      <c r="U49" s="49">
        <f>'2025年中心利润表 '!U49+'2025年江苏分部利润表'!U49+'2025年浙江分部利润表'!U49+'2025年上海分部利润表'!U49+'2025年赣皖区域利润表'!U49</f>
        <v>0</v>
      </c>
      <c r="V49" s="49">
        <f>'2025年中心利润表 '!V49+'2025年江苏分部利润表'!V49+'2025年浙江分部利润表'!V49+'2025年上海分部利润表'!V49+'2025年赣皖区域利润表'!V49</f>
        <v>287.60000000000002</v>
      </c>
      <c r="W49" s="49">
        <f>'2025年中心利润表 '!W49+'2025年江苏分部利润表'!W49+'2025年浙江分部利润表'!W49+'2025年上海分部利润表'!W49+'2025年赣皖区域利润表'!W49</f>
        <v>420</v>
      </c>
      <c r="X49" s="49">
        <f>'2025年中心利润表 '!X49+'2025年江苏分部利润表'!X49+'2025年浙江分部利润表'!X49+'2025年上海分部利润表'!X49+'2025年赣皖区域利润表'!X49</f>
        <v>264.39999999999998</v>
      </c>
      <c r="Y49" s="49">
        <f>'2025年中心利润表 '!Y49+'2025年江苏分部利润表'!Y49+'2025年浙江分部利润表'!Y49+'2025年上海分部利润表'!Y49+'2025年赣皖区域利润表'!Y49</f>
        <v>0</v>
      </c>
      <c r="Z49" s="49">
        <f>'2025年中心利润表 '!Z49+'2025年江苏分部利润表'!Z49+'2025年浙江分部利润表'!Z49+'2025年上海分部利润表'!Z49+'2025年赣皖区域利润表'!Z49</f>
        <v>0</v>
      </c>
      <c r="AA49" s="51">
        <f t="shared" si="12"/>
        <v>1680</v>
      </c>
      <c r="AB49" s="51">
        <f t="shared" si="13"/>
        <v>5246.85</v>
      </c>
      <c r="AC49" s="94"/>
      <c r="AD49" s="31">
        <f t="shared" si="14"/>
        <v>1680</v>
      </c>
      <c r="AE49" s="31">
        <f t="shared" si="15"/>
        <v>5246.85</v>
      </c>
      <c r="AF49" s="17">
        <f t="shared" si="18"/>
        <v>0</v>
      </c>
      <c r="AG49" s="17">
        <f t="shared" si="19"/>
        <v>0</v>
      </c>
      <c r="AH49" s="17">
        <f>SUM('[1]2024年全面预算利润表 (销售1中心)2.8亿'!E54:H54)</f>
        <v>3000</v>
      </c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</row>
    <row r="50" spans="1:53" s="19" customFormat="1" ht="14" hidden="1" outlineLevel="1" x14ac:dyDescent="0.25">
      <c r="A50" s="48" t="s">
        <v>127</v>
      </c>
      <c r="B50" s="53"/>
      <c r="C50" s="49">
        <f>'2025年中心利润表 '!C50+'2025年江苏分部利润表'!C50+'2025年浙江分部利润表'!C50+'2025年上海分部利润表'!C50+'2025年赣皖区域利润表'!C50</f>
        <v>0</v>
      </c>
      <c r="D50" s="49">
        <f>'2025年中心利润表 '!D50+'2025年江苏分部利润表'!D50+'2025年浙江分部利润表'!D50+'2025年上海分部利润表'!D50+'2025年赣皖区域利润表'!D50</f>
        <v>0</v>
      </c>
      <c r="E50" s="49">
        <f>'2025年中心利润表 '!E50+'2025年江苏分部利润表'!E50+'2025年浙江分部利润表'!E50+'2025年上海分部利润表'!E50+'2025年赣皖区域利润表'!E50</f>
        <v>0</v>
      </c>
      <c r="F50" s="49">
        <f>'2025年中心利润表 '!F50+'2025年江苏分部利润表'!F50+'2025年浙江分部利润表'!F50+'2025年上海分部利润表'!F50+'2025年赣皖区域利润表'!F50</f>
        <v>0</v>
      </c>
      <c r="G50" s="49">
        <f>'2025年中心利润表 '!G50+'2025年江苏分部利润表'!G50+'2025年浙江分部利润表'!G50+'2025年上海分部利润表'!G50+'2025年赣皖区域利润表'!G50</f>
        <v>0</v>
      </c>
      <c r="H50" s="49">
        <f>'2025年中心利润表 '!H50+'2025年江苏分部利润表'!H50+'2025年浙江分部利润表'!H50+'2025年上海分部利润表'!H50+'2025年赣皖区域利润表'!H50</f>
        <v>0</v>
      </c>
      <c r="I50" s="49">
        <f>'2025年中心利润表 '!I50+'2025年江苏分部利润表'!I50+'2025年浙江分部利润表'!I50+'2025年上海分部利润表'!I50+'2025年赣皖区域利润表'!I50</f>
        <v>0</v>
      </c>
      <c r="J50" s="49">
        <f>'2025年中心利润表 '!J50+'2025年江苏分部利润表'!J50+'2025年浙江分部利润表'!J50+'2025年上海分部利润表'!J50+'2025年赣皖区域利润表'!J50</f>
        <v>0</v>
      </c>
      <c r="K50" s="49">
        <f>'2025年中心利润表 '!K50+'2025年江苏分部利润表'!K50+'2025年浙江分部利润表'!K50+'2025年上海分部利润表'!K50+'2025年赣皖区域利润表'!K50</f>
        <v>0</v>
      </c>
      <c r="L50" s="49">
        <f>'2025年中心利润表 '!L50+'2025年江苏分部利润表'!L50+'2025年浙江分部利润表'!L50+'2025年上海分部利润表'!L50+'2025年赣皖区域利润表'!L50</f>
        <v>0</v>
      </c>
      <c r="M50" s="49">
        <f>'2025年中心利润表 '!M50+'2025年江苏分部利润表'!M50+'2025年浙江分部利润表'!M50+'2025年上海分部利润表'!M50+'2025年赣皖区域利润表'!M50</f>
        <v>0</v>
      </c>
      <c r="N50" s="49">
        <f>'2025年中心利润表 '!N50+'2025年江苏分部利润表'!N50+'2025年浙江分部利润表'!N50+'2025年上海分部利润表'!N50+'2025年赣皖区域利润表'!N50</f>
        <v>800</v>
      </c>
      <c r="O50" s="49">
        <f>'2025年中心利润表 '!O50+'2025年江苏分部利润表'!O50+'2025年浙江分部利润表'!O50+'2025年上海分部利润表'!O50+'2025年赣皖区域利润表'!O50</f>
        <v>0</v>
      </c>
      <c r="P50" s="49">
        <f>'2025年中心利润表 '!P50+'2025年江苏分部利润表'!P50+'2025年浙江分部利润表'!P50+'2025年上海分部利润表'!P50+'2025年赣皖区域利润表'!P50</f>
        <v>0</v>
      </c>
      <c r="Q50" s="49">
        <f>'2025年中心利润表 '!Q50+'2025年江苏分部利润表'!Q50+'2025年浙江分部利润表'!Q50+'2025年上海分部利润表'!Q50+'2025年赣皖区域利润表'!Q50</f>
        <v>0</v>
      </c>
      <c r="R50" s="49">
        <f>'2025年中心利润表 '!R50+'2025年江苏分部利润表'!R50+'2025年浙江分部利润表'!R50+'2025年上海分部利润表'!R50+'2025年赣皖区域利润表'!R50</f>
        <v>200</v>
      </c>
      <c r="S50" s="49">
        <f>'2025年中心利润表 '!S50+'2025年江苏分部利润表'!S50+'2025年浙江分部利润表'!S50+'2025年上海分部利润表'!S50+'2025年赣皖区域利润表'!S50</f>
        <v>0</v>
      </c>
      <c r="T50" s="49">
        <f>'2025年中心利润表 '!T50+'2025年江苏分部利润表'!T50+'2025年浙江分部利润表'!T50+'2025年上海分部利润表'!T50+'2025年赣皖区域利润表'!T50</f>
        <v>0</v>
      </c>
      <c r="U50" s="49">
        <f>'2025年中心利润表 '!U50+'2025年江苏分部利润表'!U50+'2025年浙江分部利润表'!U50+'2025年上海分部利润表'!U50+'2025年赣皖区域利润表'!U50</f>
        <v>0</v>
      </c>
      <c r="V50" s="49">
        <f>'2025年中心利润表 '!V50+'2025年江苏分部利润表'!V50+'2025年浙江分部利润表'!V50+'2025年上海分部利润表'!V50+'2025年赣皖区域利润表'!V50</f>
        <v>0</v>
      </c>
      <c r="W50" s="49">
        <f>'2025年中心利润表 '!W50+'2025年江苏分部利润表'!W50+'2025年浙江分部利润表'!W50+'2025年上海分部利润表'!W50+'2025年赣皖区域利润表'!W50</f>
        <v>0</v>
      </c>
      <c r="X50" s="49">
        <f>'2025年中心利润表 '!X50+'2025年江苏分部利润表'!X50+'2025年浙江分部利润表'!X50+'2025年上海分部利润表'!X50+'2025年赣皖区域利润表'!X50</f>
        <v>0</v>
      </c>
      <c r="Y50" s="49">
        <f>'2025年中心利润表 '!Y50+'2025年江苏分部利润表'!Y50+'2025年浙江分部利润表'!Y50+'2025年上海分部利润表'!Y50+'2025年赣皖区域利润表'!Y50</f>
        <v>0</v>
      </c>
      <c r="Z50" s="49">
        <f>'2025年中心利润表 '!Z50+'2025年江苏分部利润表'!Z50+'2025年浙江分部利润表'!Z50+'2025年上海分部利润表'!Z50+'2025年赣皖区域利润表'!Z50</f>
        <v>0</v>
      </c>
      <c r="AA50" s="51">
        <f t="shared" si="12"/>
        <v>0</v>
      </c>
      <c r="AB50" s="51">
        <f t="shared" si="13"/>
        <v>1000</v>
      </c>
      <c r="AC50" s="94"/>
      <c r="AD50" s="31">
        <f t="shared" si="14"/>
        <v>0</v>
      </c>
      <c r="AE50" s="31">
        <f t="shared" si="15"/>
        <v>1000</v>
      </c>
      <c r="AF50" s="17">
        <f t="shared" si="18"/>
        <v>0</v>
      </c>
      <c r="AG50" s="17">
        <f t="shared" si="19"/>
        <v>0</v>
      </c>
      <c r="AH50" s="17">
        <f>SUM('[1]2024年全面预算利润表 (销售1中心)2.8亿'!E55:H55)</f>
        <v>0</v>
      </c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</row>
    <row r="51" spans="1:53" s="19" customFormat="1" ht="14" hidden="1" outlineLevel="1" x14ac:dyDescent="0.25">
      <c r="A51" s="48" t="s">
        <v>128</v>
      </c>
      <c r="B51" s="53"/>
      <c r="C51" s="49">
        <f>'2025年中心利润表 '!C51+'2025年江苏分部利润表'!C51+'2025年浙江分部利润表'!C51+'2025年上海分部利润表'!C51+'2025年赣皖区域利润表'!C51</f>
        <v>0</v>
      </c>
      <c r="D51" s="49">
        <f>'2025年中心利润表 '!D51+'2025年江苏分部利润表'!D51+'2025年浙江分部利润表'!D51+'2025年上海分部利润表'!D51+'2025年赣皖区域利润表'!D51</f>
        <v>0</v>
      </c>
      <c r="E51" s="49">
        <f>'2025年中心利润表 '!E51+'2025年江苏分部利润表'!E51+'2025年浙江分部利润表'!E51+'2025年上海分部利润表'!E51+'2025年赣皖区域利润表'!E51</f>
        <v>0</v>
      </c>
      <c r="F51" s="49">
        <f>'2025年中心利润表 '!F51+'2025年江苏分部利润表'!F51+'2025年浙江分部利润表'!F51+'2025年上海分部利润表'!F51+'2025年赣皖区域利润表'!F51</f>
        <v>190</v>
      </c>
      <c r="G51" s="49">
        <f>'2025年中心利润表 '!G51+'2025年江苏分部利润表'!G51+'2025年浙江分部利润表'!G51+'2025年上海分部利润表'!G51+'2025年赣皖区域利润表'!G51</f>
        <v>0</v>
      </c>
      <c r="H51" s="49">
        <f>'2025年中心利润表 '!H51+'2025年江苏分部利润表'!H51+'2025年浙江分部利润表'!H51+'2025年上海分部利润表'!H51+'2025年赣皖区域利润表'!H51</f>
        <v>210</v>
      </c>
      <c r="I51" s="49">
        <f>'2025年中心利润表 '!I51+'2025年江苏分部利润表'!I51+'2025年浙江分部利润表'!I51+'2025年上海分部利润表'!I51+'2025年赣皖区域利润表'!I51</f>
        <v>0</v>
      </c>
      <c r="J51" s="49">
        <f>'2025年中心利润表 '!J51+'2025年江苏分部利润表'!J51+'2025年浙江分部利润表'!J51+'2025年上海分部利润表'!J51+'2025年赣皖区域利润表'!J51</f>
        <v>0</v>
      </c>
      <c r="K51" s="49">
        <f>'2025年中心利润表 '!K51+'2025年江苏分部利润表'!K51+'2025年浙江分部利润表'!K51+'2025年上海分部利润表'!K51+'2025年赣皖区域利润表'!K51</f>
        <v>0</v>
      </c>
      <c r="L51" s="49">
        <f>'2025年中心利润表 '!L51+'2025年江苏分部利润表'!L51+'2025年浙江分部利润表'!L51+'2025年上海分部利润表'!L51+'2025年赣皖区域利润表'!L51</f>
        <v>388</v>
      </c>
      <c r="M51" s="49">
        <f>'2025年中心利润表 '!M51+'2025年江苏分部利润表'!M51+'2025年浙江分部利润表'!M51+'2025年上海分部利润表'!M51+'2025年赣皖区域利润表'!M51</f>
        <v>0</v>
      </c>
      <c r="N51" s="49">
        <f>'2025年中心利润表 '!N51+'2025年江苏分部利润表'!N51+'2025年浙江分部利润表'!N51+'2025年上海分部利润表'!N51+'2025年赣皖区域利润表'!N51</f>
        <v>0</v>
      </c>
      <c r="O51" s="49">
        <f>'2025年中心利润表 '!O51+'2025年江苏分部利润表'!O51+'2025年浙江分部利润表'!O51+'2025年上海分部利润表'!O51+'2025年赣皖区域利润表'!O51</f>
        <v>0</v>
      </c>
      <c r="P51" s="49">
        <f>'2025年中心利润表 '!P51+'2025年江苏分部利润表'!P51+'2025年浙江分部利润表'!P51+'2025年上海分部利润表'!P51+'2025年赣皖区域利润表'!P51</f>
        <v>0</v>
      </c>
      <c r="Q51" s="49">
        <f>'2025年中心利润表 '!Q51+'2025年江苏分部利润表'!Q51+'2025年浙江分部利润表'!Q51+'2025年上海分部利润表'!Q51+'2025年赣皖区域利润表'!Q51</f>
        <v>0</v>
      </c>
      <c r="R51" s="49">
        <f>'2025年中心利润表 '!R51+'2025年江苏分部利润表'!R51+'2025年浙江分部利润表'!R51+'2025年上海分部利润表'!R51+'2025年赣皖区域利润表'!R51</f>
        <v>50</v>
      </c>
      <c r="S51" s="49">
        <f>'2025年中心利润表 '!S51+'2025年江苏分部利润表'!S51+'2025年浙江分部利润表'!S51+'2025年上海分部利润表'!S51+'2025年赣皖区域利润表'!S51</f>
        <v>0</v>
      </c>
      <c r="T51" s="49">
        <f>'2025年中心利润表 '!T51+'2025年江苏分部利润表'!T51+'2025年浙江分部利润表'!T51+'2025年上海分部利润表'!T51+'2025年赣皖区域利润表'!T51</f>
        <v>100</v>
      </c>
      <c r="U51" s="49">
        <f>'2025年中心利润表 '!U51+'2025年江苏分部利润表'!U51+'2025年浙江分部利润表'!U51+'2025年上海分部利润表'!U51+'2025年赣皖区域利润表'!U51</f>
        <v>0</v>
      </c>
      <c r="V51" s="49">
        <f>'2025年中心利润表 '!V51+'2025年江苏分部利润表'!V51+'2025年浙江分部利润表'!V51+'2025年上海分部利润表'!V51+'2025年赣皖区域利润表'!V51</f>
        <v>220</v>
      </c>
      <c r="W51" s="49">
        <f>'2025年中心利润表 '!W51+'2025年江苏分部利润表'!W51+'2025年浙江分部利润表'!W51+'2025年上海分部利润表'!W51+'2025年赣皖区域利润表'!W51</f>
        <v>0</v>
      </c>
      <c r="X51" s="49">
        <f>'2025年中心利润表 '!X51+'2025年江苏分部利润表'!X51+'2025年浙江分部利润表'!X51+'2025年上海分部利润表'!X51+'2025年赣皖区域利润表'!X51</f>
        <v>100</v>
      </c>
      <c r="Y51" s="49">
        <f>'2025年中心利润表 '!Y51+'2025年江苏分部利润表'!Y51+'2025年浙江分部利润表'!Y51+'2025年上海分部利润表'!Y51+'2025年赣皖区域利润表'!Y51</f>
        <v>0</v>
      </c>
      <c r="Z51" s="49">
        <f>'2025年中心利润表 '!Z51+'2025年江苏分部利润表'!Z51+'2025年浙江分部利润表'!Z51+'2025年上海分部利润表'!Z51+'2025年赣皖区域利润表'!Z51</f>
        <v>225</v>
      </c>
      <c r="AA51" s="51">
        <f t="shared" si="12"/>
        <v>0</v>
      </c>
      <c r="AB51" s="51">
        <f t="shared" si="13"/>
        <v>1483</v>
      </c>
      <c r="AC51" s="94"/>
      <c r="AD51" s="31">
        <f t="shared" si="14"/>
        <v>0</v>
      </c>
      <c r="AE51" s="31">
        <f t="shared" si="15"/>
        <v>1483</v>
      </c>
      <c r="AF51" s="17">
        <f t="shared" si="18"/>
        <v>0</v>
      </c>
      <c r="AG51" s="17">
        <f t="shared" si="19"/>
        <v>0</v>
      </c>
      <c r="AH51" s="17">
        <f>SUM('[1]2024年全面预算利润表 (销售1中心)2.8亿'!E56:H56)</f>
        <v>0</v>
      </c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</row>
    <row r="52" spans="1:53" s="19" customFormat="1" ht="14" hidden="1" outlineLevel="1" x14ac:dyDescent="0.25">
      <c r="A52" s="48" t="s">
        <v>129</v>
      </c>
      <c r="B52" s="53"/>
      <c r="C52" s="49">
        <f>'2025年中心利润表 '!C52+'2025年江苏分部利润表'!C52+'2025年浙江分部利润表'!C52+'2025年上海分部利润表'!C52+'2025年赣皖区域利润表'!C52</f>
        <v>0</v>
      </c>
      <c r="D52" s="49">
        <f>'2025年中心利润表 '!D52+'2025年江苏分部利润表'!D52+'2025年浙江分部利润表'!D52+'2025年上海分部利润表'!D52+'2025年赣皖区域利润表'!D52</f>
        <v>0</v>
      </c>
      <c r="E52" s="49">
        <f>'2025年中心利润表 '!E52+'2025年江苏分部利润表'!E52+'2025年浙江分部利润表'!E52+'2025年上海分部利润表'!E52+'2025年赣皖区域利润表'!E52</f>
        <v>0</v>
      </c>
      <c r="F52" s="49">
        <f>'2025年中心利润表 '!F52+'2025年江苏分部利润表'!F52+'2025年浙江分部利润表'!F52+'2025年上海分部利润表'!F52+'2025年赣皖区域利润表'!F52</f>
        <v>0</v>
      </c>
      <c r="G52" s="49">
        <f>'2025年中心利润表 '!G52+'2025年江苏分部利润表'!G52+'2025年浙江分部利润表'!G52+'2025年上海分部利润表'!G52+'2025年赣皖区域利润表'!G52</f>
        <v>0</v>
      </c>
      <c r="H52" s="49">
        <f>'2025年中心利润表 '!H52+'2025年江苏分部利润表'!H52+'2025年浙江分部利润表'!H52+'2025年上海分部利润表'!H52+'2025年赣皖区域利润表'!H52</f>
        <v>0</v>
      </c>
      <c r="I52" s="49">
        <f>'2025年中心利润表 '!I52+'2025年江苏分部利润表'!I52+'2025年浙江分部利润表'!I52+'2025年上海分部利润表'!I52+'2025年赣皖区域利润表'!I52</f>
        <v>0</v>
      </c>
      <c r="J52" s="49">
        <f>'2025年中心利润表 '!J52+'2025年江苏分部利润表'!J52+'2025年浙江分部利润表'!J52+'2025年上海分部利润表'!J52+'2025年赣皖区域利润表'!J52</f>
        <v>0</v>
      </c>
      <c r="K52" s="49">
        <f>'2025年中心利润表 '!K52+'2025年江苏分部利润表'!K52+'2025年浙江分部利润表'!K52+'2025年上海分部利润表'!K52+'2025年赣皖区域利润表'!K52</f>
        <v>0</v>
      </c>
      <c r="L52" s="49">
        <f>'2025年中心利润表 '!L52+'2025年江苏分部利润表'!L52+'2025年浙江分部利润表'!L52+'2025年上海分部利润表'!L52+'2025年赣皖区域利润表'!L52</f>
        <v>0</v>
      </c>
      <c r="M52" s="49">
        <f>'2025年中心利润表 '!M52+'2025年江苏分部利润表'!M52+'2025年浙江分部利润表'!M52+'2025年上海分部利润表'!M52+'2025年赣皖区域利润表'!M52</f>
        <v>0</v>
      </c>
      <c r="N52" s="49">
        <f>'2025年中心利润表 '!N52+'2025年江苏分部利润表'!N52+'2025年浙江分部利润表'!N52+'2025年上海分部利润表'!N52+'2025年赣皖区域利润表'!N52</f>
        <v>0</v>
      </c>
      <c r="O52" s="49">
        <f>'2025年中心利润表 '!O52+'2025年江苏分部利润表'!O52+'2025年浙江分部利润表'!O52+'2025年上海分部利润表'!O52+'2025年赣皖区域利润表'!O52</f>
        <v>0</v>
      </c>
      <c r="P52" s="49">
        <f>'2025年中心利润表 '!P52+'2025年江苏分部利润表'!P52+'2025年浙江分部利润表'!P52+'2025年上海分部利润表'!P52+'2025年赣皖区域利润表'!P52</f>
        <v>0</v>
      </c>
      <c r="Q52" s="49">
        <f>'2025年中心利润表 '!Q52+'2025年江苏分部利润表'!Q52+'2025年浙江分部利润表'!Q52+'2025年上海分部利润表'!Q52+'2025年赣皖区域利润表'!Q52</f>
        <v>0</v>
      </c>
      <c r="R52" s="49">
        <f>'2025年中心利润表 '!R52+'2025年江苏分部利润表'!R52+'2025年浙江分部利润表'!R52+'2025年上海分部利润表'!R52+'2025年赣皖区域利润表'!R52</f>
        <v>0</v>
      </c>
      <c r="S52" s="49">
        <f>'2025年中心利润表 '!S52+'2025年江苏分部利润表'!S52+'2025年浙江分部利润表'!S52+'2025年上海分部利润表'!S52+'2025年赣皖区域利润表'!S52</f>
        <v>0</v>
      </c>
      <c r="T52" s="49">
        <f>'2025年中心利润表 '!T52+'2025年江苏分部利润表'!T52+'2025年浙江分部利润表'!T52+'2025年上海分部利润表'!T52+'2025年赣皖区域利润表'!T52</f>
        <v>0</v>
      </c>
      <c r="U52" s="49">
        <f>'2025年中心利润表 '!U52+'2025年江苏分部利润表'!U52+'2025年浙江分部利润表'!U52+'2025年上海分部利润表'!U52+'2025年赣皖区域利润表'!U52</f>
        <v>0</v>
      </c>
      <c r="V52" s="49">
        <f>'2025年中心利润表 '!V52+'2025年江苏分部利润表'!V52+'2025年浙江分部利润表'!V52+'2025年上海分部利润表'!V52+'2025年赣皖区域利润表'!V52</f>
        <v>0</v>
      </c>
      <c r="W52" s="49">
        <f>'2025年中心利润表 '!W52+'2025年江苏分部利润表'!W52+'2025年浙江分部利润表'!W52+'2025年上海分部利润表'!W52+'2025年赣皖区域利润表'!W52</f>
        <v>0</v>
      </c>
      <c r="X52" s="49">
        <f>'2025年中心利润表 '!X52+'2025年江苏分部利润表'!X52+'2025年浙江分部利润表'!X52+'2025年上海分部利润表'!X52+'2025年赣皖区域利润表'!X52</f>
        <v>0</v>
      </c>
      <c r="Y52" s="49">
        <f>'2025年中心利润表 '!Y52+'2025年江苏分部利润表'!Y52+'2025年浙江分部利润表'!Y52+'2025年上海分部利润表'!Y52+'2025年赣皖区域利润表'!Y52</f>
        <v>0</v>
      </c>
      <c r="Z52" s="49">
        <f>'2025年中心利润表 '!Z52+'2025年江苏分部利润表'!Z52+'2025年浙江分部利润表'!Z52+'2025年上海分部利润表'!Z52+'2025年赣皖区域利润表'!Z52</f>
        <v>0</v>
      </c>
      <c r="AA52" s="51">
        <f t="shared" si="12"/>
        <v>0</v>
      </c>
      <c r="AB52" s="51">
        <f t="shared" si="13"/>
        <v>0</v>
      </c>
      <c r="AC52" s="94"/>
      <c r="AD52" s="31">
        <f t="shared" si="14"/>
        <v>0</v>
      </c>
      <c r="AE52" s="31">
        <f t="shared" si="15"/>
        <v>0</v>
      </c>
      <c r="AF52" s="17">
        <f t="shared" si="18"/>
        <v>0</v>
      </c>
      <c r="AG52" s="17">
        <f t="shared" si="19"/>
        <v>0</v>
      </c>
      <c r="AH52" s="17">
        <f>SUM('[1]2024年全面预算利润表 (销售1中心)2.8亿'!E57:H57)</f>
        <v>0</v>
      </c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</row>
    <row r="53" spans="1:53" s="17" customFormat="1" ht="14" hidden="1" outlineLevel="1" x14ac:dyDescent="0.25">
      <c r="A53" s="67" t="s">
        <v>130</v>
      </c>
      <c r="B53" s="45"/>
      <c r="C53" s="65">
        <f t="shared" ref="C53:Z53" si="22">SUM(C54:C58)</f>
        <v>94918.33</v>
      </c>
      <c r="D53" s="65">
        <f t="shared" si="22"/>
        <v>107463.04000000001</v>
      </c>
      <c r="E53" s="65">
        <f t="shared" si="22"/>
        <v>94918.33</v>
      </c>
      <c r="F53" s="65">
        <f t="shared" si="22"/>
        <v>71610.010000000009</v>
      </c>
      <c r="G53" s="65">
        <f t="shared" si="22"/>
        <v>102918.33</v>
      </c>
      <c r="H53" s="65">
        <f t="shared" si="22"/>
        <v>101321.71</v>
      </c>
      <c r="I53" s="65">
        <f t="shared" si="22"/>
        <v>102918.33</v>
      </c>
      <c r="J53" s="65">
        <f t="shared" si="22"/>
        <v>105291.55</v>
      </c>
      <c r="K53" s="65">
        <f t="shared" si="22"/>
        <v>102918.33</v>
      </c>
      <c r="L53" s="65">
        <f t="shared" si="22"/>
        <v>95702.169999999984</v>
      </c>
      <c r="M53" s="65">
        <f t="shared" si="22"/>
        <v>102918.33</v>
      </c>
      <c r="N53" s="65">
        <f t="shared" si="22"/>
        <v>96637.36</v>
      </c>
      <c r="O53" s="65">
        <f t="shared" si="22"/>
        <v>102918.33</v>
      </c>
      <c r="P53" s="65">
        <f t="shared" si="22"/>
        <v>91465.209999999992</v>
      </c>
      <c r="Q53" s="65">
        <f t="shared" si="22"/>
        <v>102918.33</v>
      </c>
      <c r="R53" s="65">
        <f t="shared" si="22"/>
        <v>91754.25</v>
      </c>
      <c r="S53" s="65">
        <f t="shared" si="22"/>
        <v>102918.33</v>
      </c>
      <c r="T53" s="65">
        <f t="shared" si="22"/>
        <v>103910.57</v>
      </c>
      <c r="U53" s="65">
        <f t="shared" si="22"/>
        <v>102918.33</v>
      </c>
      <c r="V53" s="65">
        <f t="shared" si="22"/>
        <v>69634.75</v>
      </c>
      <c r="W53" s="65">
        <f t="shared" si="22"/>
        <v>102918.33</v>
      </c>
      <c r="X53" s="65">
        <f t="shared" si="22"/>
        <v>105073.43</v>
      </c>
      <c r="Y53" s="65">
        <f t="shared" si="22"/>
        <v>102918.37</v>
      </c>
      <c r="Z53" s="65">
        <f t="shared" si="22"/>
        <v>102211.9</v>
      </c>
      <c r="AA53" s="47">
        <f t="shared" si="12"/>
        <v>1219020</v>
      </c>
      <c r="AB53" s="47">
        <f t="shared" si="13"/>
        <v>1142075.9499999997</v>
      </c>
      <c r="AC53" s="132"/>
      <c r="AD53" s="31">
        <f t="shared" si="14"/>
        <v>1219020</v>
      </c>
      <c r="AE53" s="31">
        <f t="shared" si="15"/>
        <v>1142075.9499999997</v>
      </c>
      <c r="AF53" s="17">
        <f t="shared" si="18"/>
        <v>0</v>
      </c>
      <c r="AG53" s="17">
        <f t="shared" si="19"/>
        <v>0</v>
      </c>
      <c r="AH53" s="17">
        <f>SUM('[1]2024年全面预算利润表 (销售1中心)2.8亿'!E58:H58)</f>
        <v>439629.48275862099</v>
      </c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</row>
    <row r="54" spans="1:53" s="19" customFormat="1" ht="14" hidden="1" outlineLevel="2" x14ac:dyDescent="0.25">
      <c r="A54" s="48" t="s">
        <v>131</v>
      </c>
      <c r="B54" s="53"/>
      <c r="C54" s="49">
        <f>'2025年中心利润表 '!C54+'2025年江苏分部利润表'!C54+'2025年浙江分部利润表'!C54+'2025年上海分部利润表'!C54+'2025年赣皖区域利润表'!C54</f>
        <v>24150</v>
      </c>
      <c r="D54" s="49">
        <f>'2025年中心利润表 '!D54+'2025年江苏分部利润表'!D54+'2025年浙江分部利润表'!D54+'2025年上海分部利润表'!D54+'2025年赣皖区域利润表'!D54</f>
        <v>20483.28</v>
      </c>
      <c r="E54" s="49">
        <f>'2025年中心利润表 '!E54+'2025年江苏分部利润表'!E54+'2025年浙江分部利润表'!E54+'2025年上海分部利润表'!E54+'2025年赣皖区域利润表'!E54</f>
        <v>24150</v>
      </c>
      <c r="F54" s="49">
        <f>'2025年中心利润表 '!F54+'2025年江苏分部利润表'!F54+'2025年浙江分部利润表'!F54+'2025年上海分部利润表'!F54+'2025年赣皖区域利润表'!F54</f>
        <v>26961.02</v>
      </c>
      <c r="G54" s="49">
        <f>'2025年中心利润表 '!G54+'2025年江苏分部利润表'!G54+'2025年浙江分部利润表'!G54+'2025年上海分部利润表'!G54+'2025年赣皖区域利润表'!G54</f>
        <v>27150</v>
      </c>
      <c r="H54" s="49">
        <f>'2025年中心利润表 '!H54+'2025年江苏分部利润表'!H54+'2025年浙江分部利润表'!H54+'2025年上海分部利润表'!H54+'2025年赣皖区域利润表'!H54</f>
        <v>32311.71</v>
      </c>
      <c r="I54" s="49">
        <f>'2025年中心利润表 '!I54+'2025年江苏分部利润表'!I54+'2025年浙江分部利润表'!I54+'2025年上海分部利润表'!I54+'2025年赣皖区域利润表'!I54</f>
        <v>27150</v>
      </c>
      <c r="J54" s="49">
        <f>'2025年中心利润表 '!J54+'2025年江苏分部利润表'!J54+'2025年浙江分部利润表'!J54+'2025年上海分部利润表'!J54+'2025年赣皖区域利润表'!J54</f>
        <v>39471.56</v>
      </c>
      <c r="K54" s="49">
        <f>'2025年中心利润表 '!K54+'2025年江苏分部利润表'!K54+'2025年浙江分部利润表'!K54+'2025年上海分部利润表'!K54+'2025年赣皖区域利润表'!K54</f>
        <v>27150</v>
      </c>
      <c r="L54" s="49">
        <f>'2025年中心利润表 '!L54+'2025年江苏分部利润表'!L54+'2025年浙江分部利润表'!L54+'2025年上海分部利润表'!L54+'2025年赣皖区域利润表'!L54</f>
        <v>38197.81</v>
      </c>
      <c r="M54" s="49">
        <f>'2025年中心利润表 '!M54+'2025年江苏分部利润表'!M54+'2025年浙江分部利润表'!M54+'2025年上海分部利润表'!M54+'2025年赣皖区域利润表'!M54</f>
        <v>27150</v>
      </c>
      <c r="N54" s="49">
        <f>'2025年中心利润表 '!N54+'2025年江苏分部利润表'!N54+'2025年浙江分部利润表'!N54+'2025年上海分部利润表'!N54+'2025年赣皖区域利润表'!N54</f>
        <v>36444.86</v>
      </c>
      <c r="O54" s="49">
        <f>'2025年中心利润表 '!O54+'2025年江苏分部利润表'!O54+'2025年浙江分部利润表'!O54+'2025年上海分部利润表'!O54+'2025年赣皖区域利润表'!O54</f>
        <v>27150</v>
      </c>
      <c r="P54" s="49">
        <f>'2025年中心利润表 '!P54+'2025年江苏分部利润表'!P54+'2025年浙江分部利润表'!P54+'2025年上海分部利润表'!P54+'2025年赣皖区域利润表'!P54</f>
        <v>32160.629999999997</v>
      </c>
      <c r="Q54" s="49">
        <f>'2025年中心利润表 '!Q54+'2025年江苏分部利润表'!Q54+'2025年浙江分部利润表'!Q54+'2025年上海分部利润表'!Q54+'2025年赣皖区域利润表'!Q54</f>
        <v>27150</v>
      </c>
      <c r="R54" s="49">
        <f>'2025年中心利润表 '!R54+'2025年江苏分部利润表'!R54+'2025年浙江分部利润表'!R54+'2025年上海分部利润表'!R54+'2025年赣皖区域利润表'!R54</f>
        <v>32816.18</v>
      </c>
      <c r="S54" s="49">
        <f>'2025年中心利润表 '!S54+'2025年江苏分部利润表'!S54+'2025年浙江分部利润表'!S54+'2025年上海分部利润表'!S54+'2025年赣皖区域利润表'!S54</f>
        <v>27150</v>
      </c>
      <c r="T54" s="49">
        <f>'2025年中心利润表 '!T54+'2025年江苏分部利润表'!T54+'2025年浙江分部利润表'!T54+'2025年上海分部利润表'!T54+'2025年赣皖区域利润表'!T54</f>
        <v>47421.950000000004</v>
      </c>
      <c r="U54" s="49">
        <f>'2025年中心利润表 '!U54+'2025年江苏分部利润表'!U54+'2025年浙江分部利润表'!U54+'2025年上海分部利润表'!U54+'2025年赣皖区域利润表'!U54</f>
        <v>27150</v>
      </c>
      <c r="V54" s="49">
        <f>'2025年中心利润表 '!V54+'2025年江苏分部利润表'!V54+'2025年浙江分部利润表'!V54+'2025年上海分部利润表'!V54+'2025年赣皖区域利润表'!V54</f>
        <v>15193.779999999999</v>
      </c>
      <c r="W54" s="49">
        <f>'2025年中心利润表 '!W54+'2025年江苏分部利润表'!W54+'2025年浙江分部利润表'!W54+'2025年上海分部利润表'!W54+'2025年赣皖区域利润表'!W54</f>
        <v>27150</v>
      </c>
      <c r="X54" s="49">
        <f>'2025年中心利润表 '!X54+'2025年江苏分部利润表'!X54+'2025年浙江分部利润表'!X54+'2025年上海分部利润表'!X54+'2025年赣皖区域利润表'!X54</f>
        <v>39010.65</v>
      </c>
      <c r="Y54" s="49">
        <f>'2025年中心利润表 '!Y54+'2025年江苏分部利润表'!Y54+'2025年浙江分部利润表'!Y54+'2025年上海分部利润表'!Y54+'2025年赣皖区域利润表'!Y54</f>
        <v>27150</v>
      </c>
      <c r="Z54" s="49">
        <f>'2025年中心利润表 '!Z54+'2025年江苏分部利润表'!Z54+'2025年浙江分部利润表'!Z54+'2025年上海分部利润表'!Z54+'2025年赣皖区域利润表'!Z54</f>
        <v>33468.42</v>
      </c>
      <c r="AA54" s="51">
        <f t="shared" si="12"/>
        <v>319800</v>
      </c>
      <c r="AB54" s="51">
        <f t="shared" si="13"/>
        <v>393941.85000000003</v>
      </c>
      <c r="AC54" s="94"/>
      <c r="AD54" s="31">
        <f t="shared" si="14"/>
        <v>319800</v>
      </c>
      <c r="AE54" s="31">
        <f t="shared" si="15"/>
        <v>393941.85000000003</v>
      </c>
      <c r="AF54" s="17">
        <f t="shared" si="18"/>
        <v>0</v>
      </c>
      <c r="AG54" s="17">
        <f t="shared" si="19"/>
        <v>0</v>
      </c>
      <c r="AH54" s="17">
        <f>SUM('[1]2024年全面预算利润表 (销售1中心)2.8亿'!E59:H59)</f>
        <v>109937.931034483</v>
      </c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</row>
    <row r="55" spans="1:53" s="19" customFormat="1" ht="14" hidden="1" outlineLevel="2" x14ac:dyDescent="0.25">
      <c r="A55" s="48" t="s">
        <v>132</v>
      </c>
      <c r="B55" s="53"/>
      <c r="C55" s="49">
        <f>'2025年中心利润表 '!C55+'2025年江苏分部利润表'!C55+'2025年浙江分部利润表'!C55+'2025年上海分部利润表'!C55+'2025年赣皖区域利润表'!C55</f>
        <v>30743.33</v>
      </c>
      <c r="D55" s="49">
        <f>'2025年中心利润表 '!D55+'2025年江苏分部利润表'!D55+'2025年浙江分部利润表'!D55+'2025年上海分部利润表'!D55+'2025年赣皖区域利润表'!D55</f>
        <v>38717.760000000002</v>
      </c>
      <c r="E55" s="49">
        <f>'2025年中心利润表 '!E55+'2025年江苏分部利润表'!E55+'2025年浙江分部利润表'!E55+'2025年上海分部利润表'!E55+'2025年赣皖区域利润表'!E55</f>
        <v>30743.33</v>
      </c>
      <c r="F55" s="49">
        <f>'2025年中心利润表 '!F55+'2025年江苏分部利润表'!F55+'2025年浙江分部利润表'!F55+'2025年上海分部利润表'!F55+'2025年赣皖区域利润表'!F55</f>
        <v>19647.61</v>
      </c>
      <c r="G55" s="49">
        <f>'2025年中心利润表 '!G55+'2025年江苏分部利润表'!G55+'2025年浙江分部利润表'!G55+'2025年上海分部利润表'!G55+'2025年赣皖区域利润表'!G55</f>
        <v>35743.33</v>
      </c>
      <c r="H55" s="49">
        <f>'2025年中心利润表 '!H55+'2025年江苏分部利润表'!H55+'2025年浙江分部利润表'!H55+'2025年上海分部利润表'!H55+'2025年赣皖区域利润表'!H55</f>
        <v>30397.870000000003</v>
      </c>
      <c r="I55" s="49">
        <f>'2025年中心利润表 '!I55+'2025年江苏分部利润表'!I55+'2025年浙江分部利润表'!I55+'2025年上海分部利润表'!I55+'2025年赣皖区域利润表'!I55</f>
        <v>35743.33</v>
      </c>
      <c r="J55" s="49">
        <f>'2025年中心利润表 '!J55+'2025年江苏分部利润表'!J55+'2025年浙江分部利润表'!J55+'2025年上海分部利润表'!J55+'2025年赣皖区域利润表'!J55</f>
        <v>26166.39</v>
      </c>
      <c r="K55" s="49">
        <f>'2025年中心利润表 '!K55+'2025年江苏分部利润表'!K55+'2025年浙江分部利润表'!K55+'2025年上海分部利润表'!K55+'2025年赣皖区域利润表'!K55</f>
        <v>35743.33</v>
      </c>
      <c r="L55" s="49">
        <f>'2025年中心利润表 '!L55+'2025年江苏分部利润表'!L55+'2025年浙江分部利润表'!L55+'2025年上海分部利润表'!L55+'2025年赣皖区域利润表'!L55</f>
        <v>21001.07</v>
      </c>
      <c r="M55" s="49">
        <f>'2025年中心利润表 '!M55+'2025年江苏分部利润表'!M55+'2025年浙江分部利润表'!M55+'2025年上海分部利润表'!M55+'2025年赣皖区域利润表'!M55</f>
        <v>35743.33</v>
      </c>
      <c r="N55" s="49">
        <f>'2025年中心利润表 '!N55+'2025年江苏分部利润表'!N55+'2025年浙江分部利润表'!N55+'2025年上海分部利润表'!N55+'2025年赣皖区域利润表'!N55</f>
        <v>24043.879999999997</v>
      </c>
      <c r="O55" s="49">
        <f>'2025年中心利润表 '!O55+'2025年江苏分部利润表'!O55+'2025年浙江分部利润表'!O55+'2025年上海分部利润表'!O55+'2025年赣皖区域利润表'!O55</f>
        <v>35743.33</v>
      </c>
      <c r="P55" s="49">
        <f>'2025年中心利润表 '!P55+'2025年江苏分部利润表'!P55+'2025年浙江分部利润表'!P55+'2025年上海分部利润表'!P55+'2025年赣皖区域利润表'!P55</f>
        <v>24874.78</v>
      </c>
      <c r="Q55" s="49">
        <f>'2025年中心利润表 '!Q55+'2025年江苏分部利润表'!Q55+'2025年浙江分部利润表'!Q55+'2025年上海分部利润表'!Q55+'2025年赣皖区域利润表'!Q55</f>
        <v>35743.33</v>
      </c>
      <c r="R55" s="49">
        <f>'2025年中心利润表 '!R55+'2025年江苏分部利润表'!R55+'2025年浙江分部利润表'!R55+'2025年上海分部利润表'!R55+'2025年赣皖区域利润表'!R55</f>
        <v>23793.600000000002</v>
      </c>
      <c r="S55" s="49">
        <f>'2025年中心利润表 '!S55+'2025年江苏分部利润表'!S55+'2025年浙江分部利润表'!S55+'2025年上海分部利润表'!S55+'2025年赣皖区域利润表'!S55</f>
        <v>35743.33</v>
      </c>
      <c r="T55" s="49">
        <f>'2025年中心利润表 '!T55+'2025年江苏分部利润表'!T55+'2025年浙江分部利润表'!T55+'2025年上海分部利润表'!T55+'2025年赣皖区域利润表'!T55</f>
        <v>24291.82</v>
      </c>
      <c r="U55" s="49">
        <f>'2025年中心利润表 '!U55+'2025年江苏分部利润表'!U55+'2025年浙江分部利润表'!U55+'2025年上海分部利润表'!U55+'2025年赣皖区域利润表'!U55</f>
        <v>35743.33</v>
      </c>
      <c r="V55" s="49">
        <f>'2025年中心利润表 '!V55+'2025年江苏分部利润表'!V55+'2025年浙江分部利润表'!V55+'2025年上海分部利润表'!V55+'2025年赣皖区域利润表'!V55</f>
        <v>24367.97</v>
      </c>
      <c r="W55" s="49">
        <f>'2025年中心利润表 '!W55+'2025年江苏分部利润表'!W55+'2025年浙江分部利润表'!W55+'2025年上海分部利润表'!W55+'2025年赣皖区域利润表'!W55</f>
        <v>35743.33</v>
      </c>
      <c r="X55" s="49">
        <f>'2025年中心利润表 '!X55+'2025年江苏分部利润表'!X55+'2025年浙江分部利润表'!X55+'2025年上海分部利润表'!X55+'2025年赣皖区域利润表'!X55</f>
        <v>30837.279999999999</v>
      </c>
      <c r="Y55" s="49">
        <f>'2025年中心利润表 '!Y55+'2025年江苏分部利润表'!Y55+'2025年浙江分部利润表'!Y55+'2025年上海分部利润表'!Y55+'2025年赣皖区域利润表'!Y55</f>
        <v>35743.369999999995</v>
      </c>
      <c r="Z55" s="49">
        <f>'2025年中心利润表 '!Z55+'2025年江苏分部利润表'!Z55+'2025年浙江分部利润表'!Z55+'2025年上海分部利润表'!Z55+'2025年赣皖区域利润表'!Z55</f>
        <v>32682.980000000003</v>
      </c>
      <c r="AA55" s="51">
        <f t="shared" si="12"/>
        <v>418920.00000000012</v>
      </c>
      <c r="AB55" s="51">
        <f t="shared" si="13"/>
        <v>320823.01</v>
      </c>
      <c r="AC55" s="94"/>
      <c r="AD55" s="31">
        <f t="shared" si="14"/>
        <v>418920.00000000012</v>
      </c>
      <c r="AE55" s="31">
        <f t="shared" si="15"/>
        <v>320823.01</v>
      </c>
      <c r="AF55" s="17">
        <f t="shared" si="18"/>
        <v>0</v>
      </c>
      <c r="AG55" s="17">
        <f t="shared" si="19"/>
        <v>0</v>
      </c>
      <c r="AH55" s="17">
        <f>SUM('[1]2024年全面预算利润表 (销售1中心)2.8亿'!E60:H60)</f>
        <v>173840</v>
      </c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</row>
    <row r="56" spans="1:53" s="19" customFormat="1" ht="14" hidden="1" outlineLevel="2" x14ac:dyDescent="0.25">
      <c r="A56" s="48" t="s">
        <v>133</v>
      </c>
      <c r="B56" s="53"/>
      <c r="C56" s="49">
        <f>'2025年中心利润表 '!C56+'2025年江苏分部利润表'!C56+'2025年浙江分部利润表'!C56+'2025年上海分部利润表'!C56+'2025年赣皖区域利润表'!C56</f>
        <v>29025</v>
      </c>
      <c r="D56" s="49">
        <f>'2025年中心利润表 '!D56+'2025年江苏分部利润表'!D56+'2025年浙江分部利润表'!D56+'2025年上海分部利润表'!D56+'2025年赣皖区域利润表'!D56</f>
        <v>42676</v>
      </c>
      <c r="E56" s="49">
        <f>'2025年中心利润表 '!E56+'2025年江苏分部利润表'!E56+'2025年浙江分部利润表'!E56+'2025年上海分部利润表'!E56+'2025年赣皖区域利润表'!E56</f>
        <v>29025</v>
      </c>
      <c r="F56" s="49">
        <f>'2025年中心利润表 '!F56+'2025年江苏分部利润表'!F56+'2025年浙江分部利润表'!F56+'2025年上海分部利润表'!F56+'2025年赣皖区域利润表'!F56</f>
        <v>15084.8</v>
      </c>
      <c r="G56" s="49">
        <f>'2025年中心利润表 '!G56+'2025年江苏分部利润表'!G56+'2025年浙江分部利润表'!G56+'2025年上海分部利润表'!G56+'2025年赣皖区域利润表'!G56</f>
        <v>29025</v>
      </c>
      <c r="H56" s="49">
        <f>'2025年中心利润表 '!H56+'2025年江苏分部利润表'!H56+'2025年浙江分部利润表'!H56+'2025年上海分部利润表'!H56+'2025年赣皖区域利润表'!H56</f>
        <v>27947.03</v>
      </c>
      <c r="I56" s="49">
        <f>'2025年中心利润表 '!I56+'2025年江苏分部利润表'!I56+'2025年浙江分部利润表'!I56+'2025年上海分部利润表'!I56+'2025年赣皖区域利润表'!I56</f>
        <v>29025</v>
      </c>
      <c r="J56" s="49">
        <f>'2025年中心利润表 '!J56+'2025年江苏分部利润表'!J56+'2025年浙江分部利润表'!J56+'2025年上海分部利润表'!J56+'2025年赣皖区域利润表'!J56</f>
        <v>28453.800000000003</v>
      </c>
      <c r="K56" s="49">
        <f>'2025年中心利润表 '!K56+'2025年江苏分部利润表'!K56+'2025年浙江分部利润表'!K56+'2025年上海分部利润表'!K56+'2025年赣皖区域利润表'!K56</f>
        <v>29025</v>
      </c>
      <c r="L56" s="49">
        <f>'2025年中心利润表 '!L56+'2025年江苏分部利润表'!L56+'2025年浙江分部利润表'!L56+'2025年上海分部利润表'!L56+'2025年赣皖区域利润表'!L56</f>
        <v>25812.89</v>
      </c>
      <c r="M56" s="49">
        <f>'2025年中心利润表 '!M56+'2025年江苏分部利润表'!M56+'2025年浙江分部利润表'!M56+'2025年上海分部利润表'!M56+'2025年赣皖区域利润表'!M56</f>
        <v>29025</v>
      </c>
      <c r="N56" s="49">
        <f>'2025年中心利润表 '!N56+'2025年江苏分部利润表'!N56+'2025年浙江分部利润表'!N56+'2025年上海分部利润表'!N56+'2025年赣皖区域利润表'!N56</f>
        <v>25343.260000000002</v>
      </c>
      <c r="O56" s="49">
        <f>'2025年中心利润表 '!O56+'2025年江苏分部利润表'!O56+'2025年浙江分部利润表'!O56+'2025年上海分部利润表'!O56+'2025年赣皖区域利润表'!O56</f>
        <v>29025</v>
      </c>
      <c r="P56" s="49">
        <f>'2025年中心利润表 '!P56+'2025年江苏分部利润表'!P56+'2025年浙江分部利润表'!P56+'2025年上海分部利润表'!P56+'2025年赣皖区域利润表'!P56</f>
        <v>24729.800000000003</v>
      </c>
      <c r="Q56" s="49">
        <f>'2025年中心利润表 '!Q56+'2025年江苏分部利润表'!Q56+'2025年浙江分部利润表'!Q56+'2025年上海分部利润表'!Q56+'2025年赣皖区域利润表'!Q56</f>
        <v>29025</v>
      </c>
      <c r="R56" s="49">
        <f>'2025年中心利润表 '!R56+'2025年江苏分部利润表'!R56+'2025年浙江分部利润表'!R56+'2025年上海分部利润表'!R56+'2025年赣皖区域利润表'!R56</f>
        <v>25587.17</v>
      </c>
      <c r="S56" s="49">
        <f>'2025年中心利润表 '!S56+'2025年江苏分部利润表'!S56+'2025年浙江分部利润表'!S56+'2025年上海分部利润表'!S56+'2025年赣皖区域利润表'!S56</f>
        <v>29025</v>
      </c>
      <c r="T56" s="49">
        <f>'2025年中心利润表 '!T56+'2025年江苏分部利润表'!T56+'2025年浙江分部利润表'!T56+'2025年上海分部利润表'!T56+'2025年赣皖区域利润表'!T56</f>
        <v>23216.799999999999</v>
      </c>
      <c r="U56" s="49">
        <f>'2025年中心利润表 '!U56+'2025年江苏分部利润表'!U56+'2025年浙江分部利润表'!U56+'2025年上海分部利润表'!U56+'2025年赣皖区域利润表'!U56</f>
        <v>29025</v>
      </c>
      <c r="V56" s="49">
        <f>'2025年中心利润表 '!V56+'2025年江苏分部利润表'!V56+'2025年浙江分部利润表'!V56+'2025年上海分部利润表'!V56+'2025年赣皖区域利润表'!V56</f>
        <v>20715</v>
      </c>
      <c r="W56" s="49">
        <f>'2025年中心利润表 '!W56+'2025年江苏分部利润表'!W56+'2025年浙江分部利润表'!W56+'2025年上海分部利润表'!W56+'2025年赣皖区域利润表'!W56</f>
        <v>29025</v>
      </c>
      <c r="X56" s="49">
        <f>'2025年中心利润表 '!X56+'2025年江苏分部利润表'!X56+'2025年浙江分部利润表'!X56+'2025年上海分部利润表'!X56+'2025年赣皖区域利润表'!X56</f>
        <v>25505</v>
      </c>
      <c r="Y56" s="49">
        <f>'2025年中心利润表 '!Y56+'2025年江苏分部利润表'!Y56+'2025年浙江分部利润表'!Y56+'2025年上海分部利润表'!Y56+'2025年赣皖区域利润表'!Y56</f>
        <v>29025</v>
      </c>
      <c r="Z56" s="49">
        <f>'2025年中心利润表 '!Z56+'2025年江苏分部利润表'!Z56+'2025年浙江分部利润表'!Z56+'2025年上海分部利润表'!Z56+'2025年赣皖区域利润表'!Z56</f>
        <v>26350</v>
      </c>
      <c r="AA56" s="51">
        <f t="shared" si="12"/>
        <v>348300</v>
      </c>
      <c r="AB56" s="51">
        <f t="shared" si="13"/>
        <v>311421.55</v>
      </c>
      <c r="AC56" s="94"/>
      <c r="AD56" s="31">
        <f t="shared" si="14"/>
        <v>348300</v>
      </c>
      <c r="AE56" s="31">
        <f t="shared" si="15"/>
        <v>311421.55</v>
      </c>
      <c r="AF56" s="17">
        <f t="shared" si="18"/>
        <v>0</v>
      </c>
      <c r="AG56" s="17">
        <f t="shared" si="19"/>
        <v>0</v>
      </c>
      <c r="AH56" s="17">
        <f>SUM('[1]2024年全面预算利润表 (销售1中心)2.8亿'!E61:H61)</f>
        <v>113355</v>
      </c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</row>
    <row r="57" spans="1:53" s="19" customFormat="1" ht="14" hidden="1" outlineLevel="2" x14ac:dyDescent="0.25">
      <c r="A57" s="48" t="s">
        <v>134</v>
      </c>
      <c r="B57" s="53"/>
      <c r="C57" s="49">
        <f>'2025年中心利润表 '!C57+'2025年江苏分部利润表'!C57+'2025年浙江分部利润表'!C57+'2025年上海分部利润表'!C57+'2025年赣皖区域利润表'!C57</f>
        <v>8600</v>
      </c>
      <c r="D57" s="49">
        <f>'2025年中心利润表 '!D57+'2025年江苏分部利润表'!D57+'2025年浙江分部利润表'!D57+'2025年上海分部利润表'!D57+'2025年赣皖区域利润表'!D57</f>
        <v>4240</v>
      </c>
      <c r="E57" s="49">
        <f>'2025年中心利润表 '!E57+'2025年江苏分部利润表'!E57+'2025年浙江分部利润表'!E57+'2025年上海分部利润表'!E57+'2025年赣皖区域利润表'!E57</f>
        <v>8600</v>
      </c>
      <c r="F57" s="49">
        <f>'2025年中心利润表 '!F57+'2025年江苏分部利润表'!F57+'2025年浙江分部利润表'!F57+'2025年上海分部利润表'!F57+'2025年赣皖区域利润表'!F57</f>
        <v>7700.78</v>
      </c>
      <c r="G57" s="49">
        <f>'2025年中心利润表 '!G57+'2025年江苏分部利润表'!G57+'2025年浙江分部利润表'!G57+'2025年上海分部利润表'!G57+'2025年赣皖区域利润表'!G57</f>
        <v>8600</v>
      </c>
      <c r="H57" s="49">
        <f>'2025年中心利润表 '!H57+'2025年江苏分部利润表'!H57+'2025年浙江分部利润表'!H57+'2025年上海分部利润表'!H57+'2025年赣皖区域利润表'!H57</f>
        <v>8028</v>
      </c>
      <c r="I57" s="49">
        <f>'2025年中心利润表 '!I57+'2025年江苏分部利润表'!I57+'2025年浙江分部利润表'!I57+'2025年上海分部利润表'!I57+'2025年赣皖区域利润表'!I57</f>
        <v>8600</v>
      </c>
      <c r="J57" s="49">
        <f>'2025年中心利润表 '!J57+'2025年江苏分部利润表'!J57+'2025年浙江分部利润表'!J57+'2025年上海分部利润表'!J57+'2025年赣皖区域利润表'!J57</f>
        <v>8500</v>
      </c>
      <c r="K57" s="49">
        <f>'2025年中心利润表 '!K57+'2025年江苏分部利润表'!K57+'2025年浙江分部利润表'!K57+'2025年上海分部利润表'!K57+'2025年赣皖区域利润表'!K57</f>
        <v>8600</v>
      </c>
      <c r="L57" s="49">
        <f>'2025年中心利润表 '!L57+'2025年江苏分部利润表'!L57+'2025年浙江分部利润表'!L57+'2025年上海分部利润表'!L57+'2025年赣皖区域利润表'!L57</f>
        <v>8092</v>
      </c>
      <c r="M57" s="49">
        <f>'2025年中心利润表 '!M57+'2025年江苏分部利润表'!M57+'2025年浙江分部利润表'!M57+'2025年上海分部利润表'!M57+'2025年赣皖区域利润表'!M57</f>
        <v>8600</v>
      </c>
      <c r="N57" s="49">
        <f>'2025年中心利润表 '!N57+'2025年江苏分部利润表'!N57+'2025年浙江分部利润表'!N57+'2025年上海分部利润表'!N57+'2025年赣皖区域利润表'!N57</f>
        <v>7905.3600000000006</v>
      </c>
      <c r="O57" s="49">
        <f>'2025年中心利润表 '!O57+'2025年江苏分部利润表'!O57+'2025年浙江分部利润表'!O57+'2025年上海分部利润表'!O57+'2025年赣皖区域利润表'!O57</f>
        <v>8600</v>
      </c>
      <c r="P57" s="49">
        <f>'2025年中心利润表 '!P57+'2025年江苏分部利润表'!P57+'2025年浙江分部利润表'!P57+'2025年上海分部利润表'!P57+'2025年赣皖区域利润表'!P57</f>
        <v>7300</v>
      </c>
      <c r="Q57" s="49">
        <f>'2025年中心利润表 '!Q57+'2025年江苏分部利润表'!Q57+'2025年浙江分部利润表'!Q57+'2025年上海分部利润表'!Q57+'2025年赣皖区域利润表'!Q57</f>
        <v>8600</v>
      </c>
      <c r="R57" s="49">
        <f>'2025年中心利润表 '!R57+'2025年江苏分部利润表'!R57+'2025年浙江分部利润表'!R57+'2025年上海分部利润表'!R57+'2025年赣皖区域利润表'!R57</f>
        <v>7380</v>
      </c>
      <c r="S57" s="49">
        <f>'2025年中心利润表 '!S57+'2025年江苏分部利润表'!S57+'2025年浙江分部利润表'!S57+'2025年上海分部利润表'!S57+'2025年赣皖区域利润表'!S57</f>
        <v>8600</v>
      </c>
      <c r="T57" s="49">
        <f>'2025年中心利润表 '!T57+'2025年江苏分部利润表'!T57+'2025年浙江分部利润表'!T57+'2025年上海分部利润表'!T57+'2025年赣皖区域利润表'!T57</f>
        <v>6980</v>
      </c>
      <c r="U57" s="49">
        <f>'2025年中心利润表 '!U57+'2025年江苏分部利润表'!U57+'2025年浙江分部利润表'!U57+'2025年上海分部利润表'!U57+'2025年赣皖区域利润表'!U57</f>
        <v>8600</v>
      </c>
      <c r="V57" s="49">
        <f>'2025年中心利润表 '!V57+'2025年江苏分部利润表'!V57+'2025年浙江分部利润表'!V57+'2025年上海分部利润表'!V57+'2025年赣皖区域利润表'!V57</f>
        <v>7285</v>
      </c>
      <c r="W57" s="49">
        <f>'2025年中心利润表 '!W57+'2025年江苏分部利润表'!W57+'2025年浙江分部利润表'!W57+'2025年上海分部利润表'!W57+'2025年赣皖区域利润表'!W57</f>
        <v>8600</v>
      </c>
      <c r="X57" s="49">
        <f>'2025年中心利润表 '!X57+'2025年江苏分部利润表'!X57+'2025年浙江分部利润表'!X57+'2025年上海分部利润表'!X57+'2025年赣皖区域利润表'!X57</f>
        <v>7630</v>
      </c>
      <c r="Y57" s="49">
        <f>'2025年中心利润表 '!Y57+'2025年江苏分部利润表'!Y57+'2025年浙江分部利润表'!Y57+'2025年上海分部利润表'!Y57+'2025年赣皖区域利润表'!Y57</f>
        <v>8600</v>
      </c>
      <c r="Z57" s="49">
        <f>'2025年中心利润表 '!Z57+'2025年江苏分部利润表'!Z57+'2025年浙江分部利润表'!Z57+'2025年上海分部利润表'!Z57+'2025年赣皖区域利润表'!Z57</f>
        <v>7700</v>
      </c>
      <c r="AA57" s="51">
        <f t="shared" si="12"/>
        <v>103200</v>
      </c>
      <c r="AB57" s="51">
        <f t="shared" si="13"/>
        <v>88741.14</v>
      </c>
      <c r="AC57" s="94"/>
      <c r="AD57" s="31">
        <f t="shared" si="14"/>
        <v>103200</v>
      </c>
      <c r="AE57" s="31">
        <f t="shared" si="15"/>
        <v>88741.14</v>
      </c>
      <c r="AF57" s="17">
        <f t="shared" si="18"/>
        <v>0</v>
      </c>
      <c r="AG57" s="17">
        <f t="shared" si="19"/>
        <v>0</v>
      </c>
      <c r="AH57" s="17">
        <f>SUM('[1]2024年全面预算利润表 (销售1中心)2.8亿'!E62:H62)</f>
        <v>33137.931034482797</v>
      </c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</row>
    <row r="58" spans="1:53" s="19" customFormat="1" ht="14" hidden="1" outlineLevel="2" x14ac:dyDescent="0.25">
      <c r="A58" s="48" t="s">
        <v>135</v>
      </c>
      <c r="B58" s="53"/>
      <c r="C58" s="49">
        <f>'2025年中心利润表 '!C58+'2025年江苏分部利润表'!C58+'2025年浙江分部利润表'!C58+'2025年上海分部利润表'!C58+'2025年赣皖区域利润表'!C58</f>
        <v>2400</v>
      </c>
      <c r="D58" s="49">
        <f>'2025年中心利润表 '!D58+'2025年江苏分部利润表'!D58+'2025年浙江分部利润表'!D58+'2025年上海分部利润表'!D58+'2025年赣皖区域利润表'!D58</f>
        <v>1346</v>
      </c>
      <c r="E58" s="49">
        <f>'2025年中心利润表 '!E58+'2025年江苏分部利润表'!E58+'2025年浙江分部利润表'!E58+'2025年上海分部利润表'!E58+'2025年赣皖区域利润表'!E58</f>
        <v>2400</v>
      </c>
      <c r="F58" s="49">
        <f>'2025年中心利润表 '!F58+'2025年江苏分部利润表'!F58+'2025年浙江分部利润表'!F58+'2025年上海分部利润表'!F58+'2025年赣皖区域利润表'!F58</f>
        <v>2215.8000000000002</v>
      </c>
      <c r="G58" s="49">
        <f>'2025年中心利润表 '!G58+'2025年江苏分部利润表'!G58+'2025年浙江分部利润表'!G58+'2025年上海分部利润表'!G58+'2025年赣皖区域利润表'!G58</f>
        <v>2400</v>
      </c>
      <c r="H58" s="49">
        <f>'2025年中心利润表 '!H58+'2025年江苏分部利润表'!H58+'2025年浙江分部利润表'!H58+'2025年上海分部利润表'!H58+'2025年赣皖区域利润表'!H58</f>
        <v>2637.1</v>
      </c>
      <c r="I58" s="49">
        <f>'2025年中心利润表 '!I58+'2025年江苏分部利润表'!I58+'2025年浙江分部利润表'!I58+'2025年上海分部利润表'!I58+'2025年赣皖区域利润表'!I58</f>
        <v>2400</v>
      </c>
      <c r="J58" s="49">
        <f>'2025年中心利润表 '!J58+'2025年江苏分部利润表'!J58+'2025年浙江分部利润表'!J58+'2025年上海分部利润表'!J58+'2025年赣皖区域利润表'!J58</f>
        <v>2699.8</v>
      </c>
      <c r="K58" s="49">
        <f>'2025年中心利润表 '!K58+'2025年江苏分部利润表'!K58+'2025年浙江分部利润表'!K58+'2025年上海分部利润表'!K58+'2025年赣皖区域利润表'!K58</f>
        <v>2400</v>
      </c>
      <c r="L58" s="49">
        <f>'2025年中心利润表 '!L58+'2025年江苏分部利润表'!L58+'2025年浙江分部利润表'!L58+'2025年上海分部利润表'!L58+'2025年赣皖区域利润表'!L58</f>
        <v>2598.4</v>
      </c>
      <c r="M58" s="49">
        <f>'2025年中心利润表 '!M58+'2025年江苏分部利润表'!M58+'2025年浙江分部利润表'!M58+'2025年上海分部利润表'!M58+'2025年赣皖区域利润表'!M58</f>
        <v>2400</v>
      </c>
      <c r="N58" s="49">
        <f>'2025年中心利润表 '!N58+'2025年江苏分部利润表'!N58+'2025年浙江分部利润表'!N58+'2025年上海分部利润表'!N58+'2025年赣皖区域利润表'!N58</f>
        <v>2900</v>
      </c>
      <c r="O58" s="49">
        <f>'2025年中心利润表 '!O58+'2025年江苏分部利润表'!O58+'2025年浙江分部利润表'!O58+'2025年上海分部利润表'!O58+'2025年赣皖区域利润表'!O58</f>
        <v>2400</v>
      </c>
      <c r="P58" s="49">
        <f>'2025年中心利润表 '!P58+'2025年江苏分部利润表'!P58+'2025年浙江分部利润表'!P58+'2025年上海分部利润表'!P58+'2025年赣皖区域利润表'!P58</f>
        <v>2400</v>
      </c>
      <c r="Q58" s="49">
        <f>'2025年中心利润表 '!Q58+'2025年江苏分部利润表'!Q58+'2025年浙江分部利润表'!Q58+'2025年上海分部利润表'!Q58+'2025年赣皖区域利润表'!Q58</f>
        <v>2400</v>
      </c>
      <c r="R58" s="49">
        <f>'2025年中心利润表 '!R58+'2025年江苏分部利润表'!R58+'2025年浙江分部利润表'!R58+'2025年上海分部利润表'!R58+'2025年赣皖区域利润表'!R58</f>
        <v>2177.2999999999997</v>
      </c>
      <c r="S58" s="49">
        <f>'2025年中心利润表 '!S58+'2025年江苏分部利润表'!S58+'2025年浙江分部利润表'!S58+'2025年上海分部利润表'!S58+'2025年赣皖区域利润表'!S58</f>
        <v>2400</v>
      </c>
      <c r="T58" s="49">
        <f>'2025年中心利润表 '!T58+'2025年江苏分部利润表'!T58+'2025年浙江分部利润表'!T58+'2025年上海分部利润表'!T58+'2025年赣皖区域利润表'!T58</f>
        <v>2000</v>
      </c>
      <c r="U58" s="49">
        <f>'2025年中心利润表 '!U58+'2025年江苏分部利润表'!U58+'2025年浙江分部利润表'!U58+'2025年上海分部利润表'!U58+'2025年赣皖区域利润表'!U58</f>
        <v>2400</v>
      </c>
      <c r="V58" s="49">
        <f>'2025年中心利润表 '!V58+'2025年江苏分部利润表'!V58+'2025年浙江分部利润表'!V58+'2025年上海分部利润表'!V58+'2025年赣皖区域利润表'!V58</f>
        <v>2073</v>
      </c>
      <c r="W58" s="49">
        <f>'2025年中心利润表 '!W58+'2025年江苏分部利润表'!W58+'2025年浙江分部利润表'!W58+'2025年上海分部利润表'!W58+'2025年赣皖区域利润表'!W58</f>
        <v>2400</v>
      </c>
      <c r="X58" s="49">
        <f>'2025年中心利润表 '!X58+'2025年江苏分部利润表'!X58+'2025年浙江分部利润表'!X58+'2025年上海分部利润表'!X58+'2025年赣皖区域利润表'!X58</f>
        <v>2090.5</v>
      </c>
      <c r="Y58" s="49">
        <f>'2025年中心利润表 '!Y58+'2025年江苏分部利润表'!Y58+'2025年浙江分部利润表'!Y58+'2025年上海分部利润表'!Y58+'2025年赣皖区域利润表'!Y58</f>
        <v>2400</v>
      </c>
      <c r="Z58" s="49">
        <f>'2025年中心利润表 '!Z58+'2025年江苏分部利润表'!Z58+'2025年浙江分部利润表'!Z58+'2025年上海分部利润表'!Z58+'2025年赣皖区域利润表'!Z58</f>
        <v>2010.5</v>
      </c>
      <c r="AA58" s="51">
        <f t="shared" si="12"/>
        <v>28800</v>
      </c>
      <c r="AB58" s="51">
        <f t="shared" si="13"/>
        <v>27148.399999999998</v>
      </c>
      <c r="AC58" s="94"/>
      <c r="AD58" s="31">
        <f t="shared" si="14"/>
        <v>28800</v>
      </c>
      <c r="AE58" s="31">
        <f t="shared" si="15"/>
        <v>27148.399999999998</v>
      </c>
      <c r="AF58" s="17">
        <f t="shared" si="18"/>
        <v>0</v>
      </c>
      <c r="AG58" s="17">
        <f t="shared" si="19"/>
        <v>0</v>
      </c>
      <c r="AH58" s="17">
        <f>SUM('[1]2024年全面预算利润表 (销售1中心)2.8亿'!E63:H63)</f>
        <v>9358.6206896551703</v>
      </c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</row>
    <row r="59" spans="1:53" s="19" customFormat="1" ht="14" hidden="1" outlineLevel="1" x14ac:dyDescent="0.25">
      <c r="A59" s="48" t="s">
        <v>136</v>
      </c>
      <c r="B59" s="53"/>
      <c r="C59" s="49">
        <f>'2025年中心利润表 '!C59+'2025年江苏分部利润表'!C59+'2025年浙江分部利润表'!C59+'2025年上海分部利润表'!C59+'2025年赣皖区域利润表'!C59</f>
        <v>63983.33</v>
      </c>
      <c r="D59" s="49">
        <f>'2025年中心利润表 '!D59+'2025年江苏分部利润表'!D59+'2025年浙江分部利润表'!D59+'2025年上海分部利润表'!D59+'2025年赣皖区域利润表'!D59</f>
        <v>56005.210000000006</v>
      </c>
      <c r="E59" s="49">
        <f>'2025年中心利润表 '!E59+'2025年江苏分部利润表'!E59+'2025年浙江分部利润表'!E59+'2025年上海分部利润表'!E59+'2025年赣皖区域利润表'!E59</f>
        <v>17983.330000000002</v>
      </c>
      <c r="F59" s="49">
        <f>'2025年中心利润表 '!F59+'2025年江苏分部利润表'!F59+'2025年浙江分部利润表'!F59+'2025年上海分部利润表'!F59+'2025年赣皖区域利润表'!F59</f>
        <v>18499</v>
      </c>
      <c r="G59" s="49">
        <f>'2025年中心利润表 '!G59+'2025年江苏分部利润表'!G59+'2025年浙江分部利润表'!G59+'2025年上海分部利润表'!G59+'2025年赣皖区域利润表'!G59</f>
        <v>58983.33</v>
      </c>
      <c r="H59" s="49">
        <f>'2025年中心利润表 '!H59+'2025年江苏分部利润表'!H59+'2025年浙江分部利润表'!H59+'2025年上海分部利润表'!H59+'2025年赣皖区域利润表'!H59</f>
        <v>22628.13</v>
      </c>
      <c r="I59" s="49">
        <f>'2025年中心利润表 '!I59+'2025年江苏分部利润表'!I59+'2025年浙江分部利润表'!I59+'2025年上海分部利润表'!I59+'2025年赣皖区域利润表'!I59</f>
        <v>17983.330000000002</v>
      </c>
      <c r="J59" s="49">
        <f>'2025年中心利润表 '!J59+'2025年江苏分部利润表'!J59+'2025年浙江分部利润表'!J59+'2025年上海分部利润表'!J59+'2025年赣皖区域利润表'!J59</f>
        <v>41372.749999999993</v>
      </c>
      <c r="K59" s="49">
        <f>'2025年中心利润表 '!K59+'2025年江苏分部利润表'!K59+'2025年浙江分部利润表'!K59+'2025年上海分部利润表'!K59+'2025年赣皖区域利润表'!K59</f>
        <v>18983.330000000002</v>
      </c>
      <c r="L59" s="49">
        <f>'2025年中心利润表 '!L59+'2025年江苏分部利润表'!L59+'2025年浙江分部利润表'!L59+'2025年上海分部利润表'!L59+'2025年赣皖区域利润表'!L59</f>
        <v>15138.61</v>
      </c>
      <c r="M59" s="49">
        <f>'2025年中心利润表 '!M59+'2025年江苏分部利润表'!M59+'2025年浙江分部利润表'!M59+'2025年上海分部利润表'!M59+'2025年赣皖区域利润表'!M59</f>
        <v>17983.330000000002</v>
      </c>
      <c r="N59" s="49">
        <f>'2025年中心利润表 '!N59+'2025年江苏分部利润表'!N59+'2025年浙江分部利润表'!N59+'2025年上海分部利润表'!N59+'2025年赣皖区域利润表'!N59</f>
        <v>12640.900000000001</v>
      </c>
      <c r="O59" s="49">
        <f>'2025年中心利润表 '!O59+'2025年江苏分部利润表'!O59+'2025年浙江分部利润表'!O59+'2025年上海分部利润表'!O59+'2025年赣皖区域利润表'!O59</f>
        <v>21983.33</v>
      </c>
      <c r="P59" s="49">
        <f>'2025年中心利润表 '!P59+'2025年江苏分部利润表'!P59+'2025年浙江分部利润表'!P59+'2025年上海分部利润表'!P59+'2025年赣皖区域利润表'!P59</f>
        <v>8837.42</v>
      </c>
      <c r="Q59" s="49">
        <f>'2025年中心利润表 '!Q59+'2025年江苏分部利润表'!Q59+'2025年浙江分部利润表'!Q59+'2025年上海分部利润表'!Q59+'2025年赣皖区域利润表'!Q59</f>
        <v>19983.330000000002</v>
      </c>
      <c r="R59" s="49">
        <f>'2025年中心利润表 '!R59+'2025年江苏分部利润表'!R59+'2025年浙江分部利润表'!R59+'2025年上海分部利润表'!R59+'2025年赣皖区域利润表'!R59</f>
        <v>15177.3</v>
      </c>
      <c r="S59" s="49">
        <f>'2025年中心利润表 '!S59+'2025年江苏分部利润表'!S59+'2025年浙江分部利润表'!S59+'2025年上海分部利润表'!S59+'2025年赣皖区域利润表'!S59</f>
        <v>17983.330000000002</v>
      </c>
      <c r="T59" s="49">
        <f>'2025年中心利润表 '!T59+'2025年江苏分部利润表'!T59+'2025年浙江分部利润表'!T59+'2025年上海分部利润表'!T59+'2025年赣皖区域利润表'!T59</f>
        <v>77300.94</v>
      </c>
      <c r="U59" s="49">
        <f>'2025年中心利润表 '!U59+'2025年江苏分部利润表'!U59+'2025年浙江分部利润表'!U59+'2025年上海分部利润表'!U59+'2025年赣皖区域利润表'!U59</f>
        <v>23983.33</v>
      </c>
      <c r="V59" s="49">
        <f>'2025年中心利润表 '!V59+'2025年江苏分部利润表'!V59+'2025年浙江分部利润表'!V59+'2025年上海分部利润表'!V59+'2025年赣皖区域利润表'!V59</f>
        <v>14186.52</v>
      </c>
      <c r="W59" s="49">
        <f>'2025年中心利润表 '!W59+'2025年江苏分部利润表'!W59+'2025年浙江分部利润表'!W59+'2025年上海分部利润表'!W59+'2025年赣皖区域利润表'!W59</f>
        <v>18983.330000000002</v>
      </c>
      <c r="X59" s="49">
        <f>'2025年中心利润表 '!X59+'2025年江苏分部利润表'!X59+'2025年浙江分部利润表'!X59+'2025年上海分部利润表'!X59+'2025年赣皖区域利润表'!X59</f>
        <v>20353.54</v>
      </c>
      <c r="Y59" s="49">
        <f>'2025年中心利润表 '!Y59+'2025年江苏分部利润表'!Y59+'2025年浙江分部利润表'!Y59+'2025年上海分部利润表'!Y59+'2025年赣皖区域利润表'!Y59</f>
        <v>18983.37</v>
      </c>
      <c r="Z59" s="49">
        <f>'2025年中心利润表 '!Z59+'2025年江苏分部利润表'!Z59+'2025年浙江分部利润表'!Z59+'2025年上海分部利润表'!Z59+'2025年赣皖区域利润表'!Z59</f>
        <v>15313.38</v>
      </c>
      <c r="AA59" s="51">
        <f t="shared" si="12"/>
        <v>317800.00000000012</v>
      </c>
      <c r="AB59" s="51">
        <f t="shared" si="13"/>
        <v>317453.7</v>
      </c>
      <c r="AC59" s="94"/>
      <c r="AD59" s="31">
        <f t="shared" si="14"/>
        <v>317800.00000000012</v>
      </c>
      <c r="AE59" s="31">
        <f t="shared" si="15"/>
        <v>317453.7</v>
      </c>
      <c r="AF59" s="17">
        <f t="shared" si="18"/>
        <v>0</v>
      </c>
      <c r="AG59" s="17">
        <f t="shared" si="19"/>
        <v>0</v>
      </c>
      <c r="AH59" s="17">
        <f>SUM('[1]2024年全面预算利润表 (销售1中心)2.8亿'!E64:H64)</f>
        <v>94800</v>
      </c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</row>
    <row r="60" spans="1:53" s="19" customFormat="1" ht="14" hidden="1" outlineLevel="1" x14ac:dyDescent="0.25">
      <c r="A60" s="48" t="s">
        <v>137</v>
      </c>
      <c r="B60" s="53"/>
      <c r="C60" s="49">
        <f>'2025年中心利润表 '!C60+'2025年江苏分部利润表'!C60+'2025年浙江分部利润表'!C60+'2025年上海分部利润表'!C60+'2025年赣皖区域利润表'!C60</f>
        <v>0</v>
      </c>
      <c r="D60" s="49">
        <f>'2025年中心利润表 '!D60+'2025年江苏分部利润表'!D60+'2025年浙江分部利润表'!D60+'2025年上海分部利润表'!D60+'2025年赣皖区域利润表'!D60</f>
        <v>0</v>
      </c>
      <c r="E60" s="49">
        <f>'2025年中心利润表 '!E60+'2025年江苏分部利润表'!E60+'2025年浙江分部利润表'!E60+'2025年上海分部利润表'!E60+'2025年赣皖区域利润表'!E60</f>
        <v>0</v>
      </c>
      <c r="F60" s="49">
        <f>'2025年中心利润表 '!F60+'2025年江苏分部利润表'!F60+'2025年浙江分部利润表'!F60+'2025年上海分部利润表'!F60+'2025年赣皖区域利润表'!F60</f>
        <v>0</v>
      </c>
      <c r="G60" s="49">
        <f>'2025年中心利润表 '!G60+'2025年江苏分部利润表'!G60+'2025年浙江分部利润表'!G60+'2025年上海分部利润表'!G60+'2025年赣皖区域利润表'!G60</f>
        <v>0</v>
      </c>
      <c r="H60" s="49">
        <f>'2025年中心利润表 '!H60+'2025年江苏分部利润表'!H60+'2025年浙江分部利润表'!H60+'2025年上海分部利润表'!H60+'2025年赣皖区域利润表'!H60</f>
        <v>0</v>
      </c>
      <c r="I60" s="49">
        <f>'2025年中心利润表 '!I60+'2025年江苏分部利润表'!I60+'2025年浙江分部利润表'!I60+'2025年上海分部利润表'!I60+'2025年赣皖区域利润表'!I60</f>
        <v>0</v>
      </c>
      <c r="J60" s="49">
        <f>'2025年中心利润表 '!J60+'2025年江苏分部利润表'!J60+'2025年浙江分部利润表'!J60+'2025年上海分部利润表'!J60+'2025年赣皖区域利润表'!J60</f>
        <v>0</v>
      </c>
      <c r="K60" s="49">
        <f>'2025年中心利润表 '!K60+'2025年江苏分部利润表'!K60+'2025年浙江分部利润表'!K60+'2025年上海分部利润表'!K60+'2025年赣皖区域利润表'!K60</f>
        <v>0</v>
      </c>
      <c r="L60" s="49">
        <f>'2025年中心利润表 '!L60+'2025年江苏分部利润表'!L60+'2025年浙江分部利润表'!L60+'2025年上海分部利润表'!L60+'2025年赣皖区域利润表'!L60</f>
        <v>0</v>
      </c>
      <c r="M60" s="49">
        <f>'2025年中心利润表 '!M60+'2025年江苏分部利润表'!M60+'2025年浙江分部利润表'!M60+'2025年上海分部利润表'!M60+'2025年赣皖区域利润表'!M60</f>
        <v>0</v>
      </c>
      <c r="N60" s="49">
        <f>'2025年中心利润表 '!N60+'2025年江苏分部利润表'!N60+'2025年浙江分部利润表'!N60+'2025年上海分部利润表'!N60+'2025年赣皖区域利润表'!N60</f>
        <v>0</v>
      </c>
      <c r="O60" s="49">
        <f>'2025年中心利润表 '!O60+'2025年江苏分部利润表'!O60+'2025年浙江分部利润表'!O60+'2025年上海分部利润表'!O60+'2025年赣皖区域利润表'!O60</f>
        <v>0</v>
      </c>
      <c r="P60" s="49">
        <f>'2025年中心利润表 '!P60+'2025年江苏分部利润表'!P60+'2025年浙江分部利润表'!P60+'2025年上海分部利润表'!P60+'2025年赣皖区域利润表'!P60</f>
        <v>0</v>
      </c>
      <c r="Q60" s="49">
        <f>'2025年中心利润表 '!Q60+'2025年江苏分部利润表'!Q60+'2025年浙江分部利润表'!Q60+'2025年上海分部利润表'!Q60+'2025年赣皖区域利润表'!Q60</f>
        <v>0</v>
      </c>
      <c r="R60" s="49">
        <f>'2025年中心利润表 '!R60+'2025年江苏分部利润表'!R60+'2025年浙江分部利润表'!R60+'2025年上海分部利润表'!R60+'2025年赣皖区域利润表'!R60</f>
        <v>0</v>
      </c>
      <c r="S60" s="49">
        <f>'2025年中心利润表 '!S60+'2025年江苏分部利润表'!S60+'2025年浙江分部利润表'!S60+'2025年上海分部利润表'!S60+'2025年赣皖区域利润表'!S60</f>
        <v>0</v>
      </c>
      <c r="T60" s="49">
        <f>'2025年中心利润表 '!T60+'2025年江苏分部利润表'!T60+'2025年浙江分部利润表'!T60+'2025年上海分部利润表'!T60+'2025年赣皖区域利润表'!T60</f>
        <v>0</v>
      </c>
      <c r="U60" s="49">
        <f>'2025年中心利润表 '!U60+'2025年江苏分部利润表'!U60+'2025年浙江分部利润表'!U60+'2025年上海分部利润表'!U60+'2025年赣皖区域利润表'!U60</f>
        <v>0</v>
      </c>
      <c r="V60" s="49">
        <f>'2025年中心利润表 '!V60+'2025年江苏分部利润表'!V60+'2025年浙江分部利润表'!V60+'2025年上海分部利润表'!V60+'2025年赣皖区域利润表'!V60</f>
        <v>0</v>
      </c>
      <c r="W60" s="49">
        <f>'2025年中心利润表 '!W60+'2025年江苏分部利润表'!W60+'2025年浙江分部利润表'!W60+'2025年上海分部利润表'!W60+'2025年赣皖区域利润表'!W60</f>
        <v>0</v>
      </c>
      <c r="X60" s="49">
        <f>'2025年中心利润表 '!X60+'2025年江苏分部利润表'!X60+'2025年浙江分部利润表'!X60+'2025年上海分部利润表'!X60+'2025年赣皖区域利润表'!X60</f>
        <v>0</v>
      </c>
      <c r="Y60" s="49">
        <f>'2025年中心利润表 '!Y60+'2025年江苏分部利润表'!Y60+'2025年浙江分部利润表'!Y60+'2025年上海分部利润表'!Y60+'2025年赣皖区域利润表'!Y60</f>
        <v>0</v>
      </c>
      <c r="Z60" s="49">
        <f>'2025年中心利润表 '!Z60+'2025年江苏分部利润表'!Z60+'2025年浙江分部利润表'!Z60+'2025年上海分部利润表'!Z60+'2025年赣皖区域利润表'!Z60</f>
        <v>0</v>
      </c>
      <c r="AA60" s="51">
        <f t="shared" si="12"/>
        <v>0</v>
      </c>
      <c r="AB60" s="51">
        <f t="shared" si="13"/>
        <v>0</v>
      </c>
      <c r="AC60" s="94"/>
      <c r="AD60" s="31">
        <f t="shared" si="14"/>
        <v>0</v>
      </c>
      <c r="AE60" s="31">
        <f t="shared" si="15"/>
        <v>0</v>
      </c>
      <c r="AF60" s="17">
        <f t="shared" si="18"/>
        <v>0</v>
      </c>
      <c r="AG60" s="17">
        <f t="shared" si="19"/>
        <v>0</v>
      </c>
      <c r="AH60" s="17">
        <f>SUM('[1]2024年全面预算利润表 (销售1中心)2.8亿'!E65:H65)</f>
        <v>0</v>
      </c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</row>
    <row r="61" spans="1:53" s="19" customFormat="1" ht="14" hidden="1" outlineLevel="1" x14ac:dyDescent="0.25">
      <c r="A61" s="48" t="s">
        <v>138</v>
      </c>
      <c r="B61" s="53"/>
      <c r="C61" s="49">
        <f>'2025年中心利润表 '!C61+'2025年江苏分部利润表'!C61+'2025年浙江分部利润表'!C61+'2025年上海分部利润表'!C61+'2025年赣皖区域利润表'!C61</f>
        <v>50</v>
      </c>
      <c r="D61" s="49">
        <f>'2025年中心利润表 '!D61+'2025年江苏分部利润表'!D61+'2025年浙江分部利润表'!D61+'2025年上海分部利润表'!D61+'2025年赣皖区域利润表'!D61</f>
        <v>0</v>
      </c>
      <c r="E61" s="49">
        <f>'2025年中心利润表 '!E61+'2025年江苏分部利润表'!E61+'2025年浙江分部利润表'!E61+'2025年上海分部利润表'!E61+'2025年赣皖区域利润表'!E61</f>
        <v>50</v>
      </c>
      <c r="F61" s="49">
        <f>'2025年中心利润表 '!F61+'2025年江苏分部利润表'!F61+'2025年浙江分部利润表'!F61+'2025年上海分部利润表'!F61+'2025年赣皖区域利润表'!F61</f>
        <v>0</v>
      </c>
      <c r="G61" s="49">
        <f>'2025年中心利润表 '!G61+'2025年江苏分部利润表'!G61+'2025年浙江分部利润表'!G61+'2025年上海分部利润表'!G61+'2025年赣皖区域利润表'!G61</f>
        <v>50</v>
      </c>
      <c r="H61" s="49">
        <f>'2025年中心利润表 '!H61+'2025年江苏分部利润表'!H61+'2025年浙江分部利润表'!H61+'2025年上海分部利润表'!H61+'2025年赣皖区域利润表'!H61</f>
        <v>0</v>
      </c>
      <c r="I61" s="49">
        <f>'2025年中心利润表 '!I61+'2025年江苏分部利润表'!I61+'2025年浙江分部利润表'!I61+'2025年上海分部利润表'!I61+'2025年赣皖区域利润表'!I61</f>
        <v>50</v>
      </c>
      <c r="J61" s="49">
        <f>'2025年中心利润表 '!J61+'2025年江苏分部利润表'!J61+'2025年浙江分部利润表'!J61+'2025年上海分部利润表'!J61+'2025年赣皖区域利润表'!J61</f>
        <v>0</v>
      </c>
      <c r="K61" s="49">
        <f>'2025年中心利润表 '!K61+'2025年江苏分部利润表'!K61+'2025年浙江分部利润表'!K61+'2025年上海分部利润表'!K61+'2025年赣皖区域利润表'!K61</f>
        <v>50</v>
      </c>
      <c r="L61" s="49">
        <f>'2025年中心利润表 '!L61+'2025年江苏分部利润表'!L61+'2025年浙江分部利润表'!L61+'2025年上海分部利润表'!L61+'2025年赣皖区域利润表'!L61</f>
        <v>0</v>
      </c>
      <c r="M61" s="49">
        <f>'2025年中心利润表 '!M61+'2025年江苏分部利润表'!M61+'2025年浙江分部利润表'!M61+'2025年上海分部利润表'!M61+'2025年赣皖区域利润表'!M61</f>
        <v>50</v>
      </c>
      <c r="N61" s="49">
        <f>'2025年中心利润表 '!N61+'2025年江苏分部利润表'!N61+'2025年浙江分部利润表'!N61+'2025年上海分部利润表'!N61+'2025年赣皖区域利润表'!N61</f>
        <v>0</v>
      </c>
      <c r="O61" s="49">
        <f>'2025年中心利润表 '!O61+'2025年江苏分部利润表'!O61+'2025年浙江分部利润表'!O61+'2025年上海分部利润表'!O61+'2025年赣皖区域利润表'!O61</f>
        <v>50</v>
      </c>
      <c r="P61" s="49">
        <f>'2025年中心利润表 '!P61+'2025年江苏分部利润表'!P61+'2025年浙江分部利润表'!P61+'2025年上海分部利润表'!P61+'2025年赣皖区域利润表'!P61</f>
        <v>0</v>
      </c>
      <c r="Q61" s="49">
        <f>'2025年中心利润表 '!Q61+'2025年江苏分部利润表'!Q61+'2025年浙江分部利润表'!Q61+'2025年上海分部利润表'!Q61+'2025年赣皖区域利润表'!Q61</f>
        <v>50</v>
      </c>
      <c r="R61" s="49">
        <f>'2025年中心利润表 '!R61+'2025年江苏分部利润表'!R61+'2025年浙江分部利润表'!R61+'2025年上海分部利润表'!R61+'2025年赣皖区域利润表'!R61</f>
        <v>0</v>
      </c>
      <c r="S61" s="49">
        <f>'2025年中心利润表 '!S61+'2025年江苏分部利润表'!S61+'2025年浙江分部利润表'!S61+'2025年上海分部利润表'!S61+'2025年赣皖区域利润表'!S61</f>
        <v>50</v>
      </c>
      <c r="T61" s="49">
        <f>'2025年中心利润表 '!T61+'2025年江苏分部利润表'!T61+'2025年浙江分部利润表'!T61+'2025年上海分部利润表'!T61+'2025年赣皖区域利润表'!T61</f>
        <v>0</v>
      </c>
      <c r="U61" s="49">
        <f>'2025年中心利润表 '!U61+'2025年江苏分部利润表'!U61+'2025年浙江分部利润表'!U61+'2025年上海分部利润表'!U61+'2025年赣皖区域利润表'!U61</f>
        <v>50</v>
      </c>
      <c r="V61" s="49">
        <f>'2025年中心利润表 '!V61+'2025年江苏分部利润表'!V61+'2025年浙江分部利润表'!V61+'2025年上海分部利润表'!V61+'2025年赣皖区域利润表'!V61</f>
        <v>0</v>
      </c>
      <c r="W61" s="49">
        <f>'2025年中心利润表 '!W61+'2025年江苏分部利润表'!W61+'2025年浙江分部利润表'!W61+'2025年上海分部利润表'!W61+'2025年赣皖区域利润表'!W61</f>
        <v>50</v>
      </c>
      <c r="X61" s="49">
        <f>'2025年中心利润表 '!X61+'2025年江苏分部利润表'!X61+'2025年浙江分部利润表'!X61+'2025年上海分部利润表'!X61+'2025年赣皖区域利润表'!X61</f>
        <v>0</v>
      </c>
      <c r="Y61" s="49">
        <f>'2025年中心利润表 '!Y61+'2025年江苏分部利润表'!Y61+'2025年浙江分部利润表'!Y61+'2025年上海分部利润表'!Y61+'2025年赣皖区域利润表'!Y61</f>
        <v>50</v>
      </c>
      <c r="Z61" s="49">
        <f>'2025年中心利润表 '!Z61+'2025年江苏分部利润表'!Z61+'2025年浙江分部利润表'!Z61+'2025年上海分部利润表'!Z61+'2025年赣皖区域利润表'!Z61</f>
        <v>0</v>
      </c>
      <c r="AA61" s="51">
        <f t="shared" si="12"/>
        <v>600</v>
      </c>
      <c r="AB61" s="51">
        <f t="shared" si="13"/>
        <v>0</v>
      </c>
      <c r="AC61" s="94"/>
      <c r="AD61" s="31">
        <f t="shared" si="14"/>
        <v>600</v>
      </c>
      <c r="AE61" s="31">
        <f t="shared" si="15"/>
        <v>0</v>
      </c>
      <c r="AF61" s="17">
        <f t="shared" si="18"/>
        <v>0</v>
      </c>
      <c r="AG61" s="17">
        <f t="shared" si="19"/>
        <v>0</v>
      </c>
      <c r="AH61" s="17">
        <f>SUM('[1]2024年全面预算利润表 (销售1中心)2.8亿'!E66:H66)</f>
        <v>200</v>
      </c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</row>
    <row r="62" spans="1:53" s="19" customFormat="1" ht="14" hidden="1" outlineLevel="1" x14ac:dyDescent="0.25">
      <c r="A62" s="48" t="s">
        <v>139</v>
      </c>
      <c r="B62" s="53"/>
      <c r="C62" s="49">
        <f>'2025年中心利润表 '!C62+'2025年江苏分部利润表'!C62+'2025年浙江分部利润表'!C62+'2025年上海分部利润表'!C62+'2025年赣皖区域利润表'!C62</f>
        <v>0</v>
      </c>
      <c r="D62" s="49">
        <f>'2025年中心利润表 '!D62+'2025年江苏分部利润表'!D62+'2025年浙江分部利润表'!D62+'2025年上海分部利润表'!D62+'2025年赣皖区域利润表'!D62</f>
        <v>0</v>
      </c>
      <c r="E62" s="49">
        <f>'2025年中心利润表 '!E62+'2025年江苏分部利润表'!E62+'2025年浙江分部利润表'!E62+'2025年上海分部利润表'!E62+'2025年赣皖区域利润表'!E62</f>
        <v>0</v>
      </c>
      <c r="F62" s="49">
        <f>'2025年中心利润表 '!F62+'2025年江苏分部利润表'!F62+'2025年浙江分部利润表'!F62+'2025年上海分部利润表'!F62+'2025年赣皖区域利润表'!F62</f>
        <v>0</v>
      </c>
      <c r="G62" s="49">
        <f>'2025年中心利润表 '!G62+'2025年江苏分部利润表'!G62+'2025年浙江分部利润表'!G62+'2025年上海分部利润表'!G62+'2025年赣皖区域利润表'!G62</f>
        <v>0</v>
      </c>
      <c r="H62" s="49">
        <f>'2025年中心利润表 '!H62+'2025年江苏分部利润表'!H62+'2025年浙江分部利润表'!H62+'2025年上海分部利润表'!H62+'2025年赣皖区域利润表'!H62</f>
        <v>0</v>
      </c>
      <c r="I62" s="49">
        <f>'2025年中心利润表 '!I62+'2025年江苏分部利润表'!I62+'2025年浙江分部利润表'!I62+'2025年上海分部利润表'!I62+'2025年赣皖区域利润表'!I62</f>
        <v>0</v>
      </c>
      <c r="J62" s="49">
        <f>'2025年中心利润表 '!J62+'2025年江苏分部利润表'!J62+'2025年浙江分部利润表'!J62+'2025年上海分部利润表'!J62+'2025年赣皖区域利润表'!J62</f>
        <v>0</v>
      </c>
      <c r="K62" s="49">
        <f>'2025年中心利润表 '!K62+'2025年江苏分部利润表'!K62+'2025年浙江分部利润表'!K62+'2025年上海分部利润表'!K62+'2025年赣皖区域利润表'!K62</f>
        <v>0</v>
      </c>
      <c r="L62" s="49">
        <f>'2025年中心利润表 '!L62+'2025年江苏分部利润表'!L62+'2025年浙江分部利润表'!L62+'2025年上海分部利润表'!L62+'2025年赣皖区域利润表'!L62</f>
        <v>0</v>
      </c>
      <c r="M62" s="49">
        <f>'2025年中心利润表 '!M62+'2025年江苏分部利润表'!M62+'2025年浙江分部利润表'!M62+'2025年上海分部利润表'!M62+'2025年赣皖区域利润表'!M62</f>
        <v>0</v>
      </c>
      <c r="N62" s="49">
        <f>'2025年中心利润表 '!N62+'2025年江苏分部利润表'!N62+'2025年浙江分部利润表'!N62+'2025年上海分部利润表'!N62+'2025年赣皖区域利润表'!N62</f>
        <v>0</v>
      </c>
      <c r="O62" s="49">
        <f>'2025年中心利润表 '!O62+'2025年江苏分部利润表'!O62+'2025年浙江分部利润表'!O62+'2025年上海分部利润表'!O62+'2025年赣皖区域利润表'!O62</f>
        <v>0</v>
      </c>
      <c r="P62" s="49">
        <f>'2025年中心利润表 '!P62+'2025年江苏分部利润表'!P62+'2025年浙江分部利润表'!P62+'2025年上海分部利润表'!P62+'2025年赣皖区域利润表'!P62</f>
        <v>0</v>
      </c>
      <c r="Q62" s="49">
        <f>'2025年中心利润表 '!Q62+'2025年江苏分部利润表'!Q62+'2025年浙江分部利润表'!Q62+'2025年上海分部利润表'!Q62+'2025年赣皖区域利润表'!Q62</f>
        <v>0</v>
      </c>
      <c r="R62" s="49">
        <f>'2025年中心利润表 '!R62+'2025年江苏分部利润表'!R62+'2025年浙江分部利润表'!R62+'2025年上海分部利润表'!R62+'2025年赣皖区域利润表'!R62</f>
        <v>0</v>
      </c>
      <c r="S62" s="49">
        <f>'2025年中心利润表 '!S62+'2025年江苏分部利润表'!S62+'2025年浙江分部利润表'!S62+'2025年上海分部利润表'!S62+'2025年赣皖区域利润表'!S62</f>
        <v>0</v>
      </c>
      <c r="T62" s="49">
        <f>'2025年中心利润表 '!T62+'2025年江苏分部利润表'!T62+'2025年浙江分部利润表'!T62+'2025年上海分部利润表'!T62+'2025年赣皖区域利润表'!T62</f>
        <v>0</v>
      </c>
      <c r="U62" s="49">
        <f>'2025年中心利润表 '!U62+'2025年江苏分部利润表'!U62+'2025年浙江分部利润表'!U62+'2025年上海分部利润表'!U62+'2025年赣皖区域利润表'!U62</f>
        <v>0</v>
      </c>
      <c r="V62" s="49">
        <f>'2025年中心利润表 '!V62+'2025年江苏分部利润表'!V62+'2025年浙江分部利润表'!V62+'2025年上海分部利润表'!V62+'2025年赣皖区域利润表'!V62</f>
        <v>0</v>
      </c>
      <c r="W62" s="49">
        <f>'2025年中心利润表 '!W62+'2025年江苏分部利润表'!W62+'2025年浙江分部利润表'!W62+'2025年上海分部利润表'!W62+'2025年赣皖区域利润表'!W62</f>
        <v>0</v>
      </c>
      <c r="X62" s="49">
        <f>'2025年中心利润表 '!X62+'2025年江苏分部利润表'!X62+'2025年浙江分部利润表'!X62+'2025年上海分部利润表'!X62+'2025年赣皖区域利润表'!X62</f>
        <v>0</v>
      </c>
      <c r="Y62" s="49">
        <f>'2025年中心利润表 '!Y62+'2025年江苏分部利润表'!Y62+'2025年浙江分部利润表'!Y62+'2025年上海分部利润表'!Y62+'2025年赣皖区域利润表'!Y62</f>
        <v>0</v>
      </c>
      <c r="Z62" s="49">
        <f>'2025年中心利润表 '!Z62+'2025年江苏分部利润表'!Z62+'2025年浙江分部利润表'!Z62+'2025年上海分部利润表'!Z62+'2025年赣皖区域利润表'!Z62</f>
        <v>0</v>
      </c>
      <c r="AA62" s="51">
        <f t="shared" si="12"/>
        <v>0</v>
      </c>
      <c r="AB62" s="51">
        <f t="shared" si="13"/>
        <v>0</v>
      </c>
      <c r="AC62" s="94"/>
      <c r="AD62" s="31">
        <f t="shared" si="14"/>
        <v>0</v>
      </c>
      <c r="AE62" s="31">
        <f t="shared" si="15"/>
        <v>0</v>
      </c>
      <c r="AF62" s="17">
        <f t="shared" si="18"/>
        <v>0</v>
      </c>
      <c r="AG62" s="17">
        <f t="shared" si="19"/>
        <v>0</v>
      </c>
      <c r="AH62" s="17">
        <f>SUM('[1]2024年全面预算利润表 (销售1中心)2.8亿'!E67:H67)</f>
        <v>0</v>
      </c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</row>
    <row r="63" spans="1:53" s="19" customFormat="1" ht="14" hidden="1" outlineLevel="1" x14ac:dyDescent="0.25">
      <c r="A63" s="48" t="s">
        <v>140</v>
      </c>
      <c r="B63" s="53"/>
      <c r="C63" s="49">
        <f>'2025年中心利润表 '!C63+'2025年江苏分部利润表'!C63+'2025年浙江分部利润表'!C63+'2025年上海分部利润表'!C63+'2025年赣皖区域利润表'!C63</f>
        <v>0</v>
      </c>
      <c r="D63" s="49">
        <f>'2025年中心利润表 '!D63+'2025年江苏分部利润表'!D63+'2025年浙江分部利润表'!D63+'2025年上海分部利润表'!D63+'2025年赣皖区域利润表'!D63</f>
        <v>0</v>
      </c>
      <c r="E63" s="49">
        <f>'2025年中心利润表 '!E63+'2025年江苏分部利润表'!E63+'2025年浙江分部利润表'!E63+'2025年上海分部利润表'!E63+'2025年赣皖区域利润表'!E63</f>
        <v>0</v>
      </c>
      <c r="F63" s="49">
        <f>'2025年中心利润表 '!F63+'2025年江苏分部利润表'!F63+'2025年浙江分部利润表'!F63+'2025年上海分部利润表'!F63+'2025年赣皖区域利润表'!F63</f>
        <v>0</v>
      </c>
      <c r="G63" s="49">
        <f>'2025年中心利润表 '!G63+'2025年江苏分部利润表'!G63+'2025年浙江分部利润表'!G63+'2025年上海分部利润表'!G63+'2025年赣皖区域利润表'!G63</f>
        <v>0</v>
      </c>
      <c r="H63" s="49">
        <f>'2025年中心利润表 '!H63+'2025年江苏分部利润表'!H63+'2025年浙江分部利润表'!H63+'2025年上海分部利润表'!H63+'2025年赣皖区域利润表'!H63</f>
        <v>0</v>
      </c>
      <c r="I63" s="49">
        <f>'2025年中心利润表 '!I63+'2025年江苏分部利润表'!I63+'2025年浙江分部利润表'!I63+'2025年上海分部利润表'!I63+'2025年赣皖区域利润表'!I63</f>
        <v>0</v>
      </c>
      <c r="J63" s="49">
        <f>'2025年中心利润表 '!J63+'2025年江苏分部利润表'!J63+'2025年浙江分部利润表'!J63+'2025年上海分部利润表'!J63+'2025年赣皖区域利润表'!J63</f>
        <v>0</v>
      </c>
      <c r="K63" s="49">
        <f>'2025年中心利润表 '!K63+'2025年江苏分部利润表'!K63+'2025年浙江分部利润表'!K63+'2025年上海分部利润表'!K63+'2025年赣皖区域利润表'!K63</f>
        <v>0</v>
      </c>
      <c r="L63" s="49">
        <f>'2025年中心利润表 '!L63+'2025年江苏分部利润表'!L63+'2025年浙江分部利润表'!L63+'2025年上海分部利润表'!L63+'2025年赣皖区域利润表'!L63</f>
        <v>0</v>
      </c>
      <c r="M63" s="49">
        <f>'2025年中心利润表 '!M63+'2025年江苏分部利润表'!M63+'2025年浙江分部利润表'!M63+'2025年上海分部利润表'!M63+'2025年赣皖区域利润表'!M63</f>
        <v>0</v>
      </c>
      <c r="N63" s="49">
        <f>'2025年中心利润表 '!N63+'2025年江苏分部利润表'!N63+'2025年浙江分部利润表'!N63+'2025年上海分部利润表'!N63+'2025年赣皖区域利润表'!N63</f>
        <v>0</v>
      </c>
      <c r="O63" s="49">
        <f>'2025年中心利润表 '!O63+'2025年江苏分部利润表'!O63+'2025年浙江分部利润表'!O63+'2025年上海分部利润表'!O63+'2025年赣皖区域利润表'!O63</f>
        <v>0</v>
      </c>
      <c r="P63" s="49">
        <f>'2025年中心利润表 '!P63+'2025年江苏分部利润表'!P63+'2025年浙江分部利润表'!P63+'2025年上海分部利润表'!P63+'2025年赣皖区域利润表'!P63</f>
        <v>0</v>
      </c>
      <c r="Q63" s="49">
        <f>'2025年中心利润表 '!Q63+'2025年江苏分部利润表'!Q63+'2025年浙江分部利润表'!Q63+'2025年上海分部利润表'!Q63+'2025年赣皖区域利润表'!Q63</f>
        <v>0</v>
      </c>
      <c r="R63" s="49">
        <f>'2025年中心利润表 '!R63+'2025年江苏分部利润表'!R63+'2025年浙江分部利润表'!R63+'2025年上海分部利润表'!R63+'2025年赣皖区域利润表'!R63</f>
        <v>0</v>
      </c>
      <c r="S63" s="49">
        <f>'2025年中心利润表 '!S63+'2025年江苏分部利润表'!S63+'2025年浙江分部利润表'!S63+'2025年上海分部利润表'!S63+'2025年赣皖区域利润表'!S63</f>
        <v>0</v>
      </c>
      <c r="T63" s="49">
        <f>'2025年中心利润表 '!T63+'2025年江苏分部利润表'!T63+'2025年浙江分部利润表'!T63+'2025年上海分部利润表'!T63+'2025年赣皖区域利润表'!T63</f>
        <v>0</v>
      </c>
      <c r="U63" s="49">
        <f>'2025年中心利润表 '!U63+'2025年江苏分部利润表'!U63+'2025年浙江分部利润表'!U63+'2025年上海分部利润表'!U63+'2025年赣皖区域利润表'!U63</f>
        <v>0</v>
      </c>
      <c r="V63" s="49">
        <f>'2025年中心利润表 '!V63+'2025年江苏分部利润表'!V63+'2025年浙江分部利润表'!V63+'2025年上海分部利润表'!V63+'2025年赣皖区域利润表'!V63</f>
        <v>0</v>
      </c>
      <c r="W63" s="49">
        <f>'2025年中心利润表 '!W63+'2025年江苏分部利润表'!W63+'2025年浙江分部利润表'!W63+'2025年上海分部利润表'!W63+'2025年赣皖区域利润表'!W63</f>
        <v>0</v>
      </c>
      <c r="X63" s="49">
        <f>'2025年中心利润表 '!X63+'2025年江苏分部利润表'!X63+'2025年浙江分部利润表'!X63+'2025年上海分部利润表'!X63+'2025年赣皖区域利润表'!X63</f>
        <v>0</v>
      </c>
      <c r="Y63" s="49">
        <f>'2025年中心利润表 '!Y63+'2025年江苏分部利润表'!Y63+'2025年浙江分部利润表'!Y63+'2025年上海分部利润表'!Y63+'2025年赣皖区域利润表'!Y63</f>
        <v>0</v>
      </c>
      <c r="Z63" s="49">
        <f>'2025年中心利润表 '!Z63+'2025年江苏分部利润表'!Z63+'2025年浙江分部利润表'!Z63+'2025年上海分部利润表'!Z63+'2025年赣皖区域利润表'!Z63</f>
        <v>0</v>
      </c>
      <c r="AA63" s="51">
        <f t="shared" si="12"/>
        <v>0</v>
      </c>
      <c r="AB63" s="51">
        <f t="shared" si="13"/>
        <v>0</v>
      </c>
      <c r="AC63" s="94"/>
      <c r="AD63" s="31">
        <f t="shared" si="14"/>
        <v>0</v>
      </c>
      <c r="AE63" s="31">
        <f t="shared" si="15"/>
        <v>0</v>
      </c>
      <c r="AF63" s="17">
        <f t="shared" si="18"/>
        <v>0</v>
      </c>
      <c r="AG63" s="17">
        <f t="shared" si="19"/>
        <v>0</v>
      </c>
      <c r="AH63" s="17">
        <f>SUM('[1]2024年全面预算利润表 (销售1中心)2.8亿'!E68:H68)</f>
        <v>0</v>
      </c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</row>
    <row r="64" spans="1:53" s="19" customFormat="1" ht="14" hidden="1" outlineLevel="1" x14ac:dyDescent="0.25">
      <c r="A64" s="48" t="s">
        <v>141</v>
      </c>
      <c r="B64" s="53"/>
      <c r="C64" s="49">
        <f>'2025年中心利润表 '!C64+'2025年江苏分部利润表'!C64+'2025年浙江分部利润表'!C64+'2025年上海分部利润表'!C64+'2025年赣皖区域利润表'!C64</f>
        <v>19510</v>
      </c>
      <c r="D64" s="49">
        <f>'2025年中心利润表 '!D64+'2025年江苏分部利润表'!D64+'2025年浙江分部利润表'!D64+'2025年上海分部利润表'!D64+'2025年赣皖区域利润表'!D64</f>
        <v>17166.5</v>
      </c>
      <c r="E64" s="49">
        <f>'2025年中心利润表 '!E64+'2025年江苏分部利润表'!E64+'2025年浙江分部利润表'!E64+'2025年上海分部利润表'!E64+'2025年赣皖区域利润表'!E64</f>
        <v>19510</v>
      </c>
      <c r="F64" s="49">
        <f>'2025年中心利润表 '!F64+'2025年江苏分部利润表'!F64+'2025年浙江分部利润表'!F64+'2025年上海分部利润表'!F64+'2025年赣皖区域利润表'!F64</f>
        <v>16979</v>
      </c>
      <c r="G64" s="49">
        <f>'2025年中心利润表 '!G64+'2025年江苏分部利润表'!G64+'2025年浙江分部利润表'!G64+'2025年上海分部利润表'!G64+'2025年赣皖区域利润表'!G64</f>
        <v>19510</v>
      </c>
      <c r="H64" s="49">
        <f>'2025年中心利润表 '!H64+'2025年江苏分部利润表'!H64+'2025年浙江分部利润表'!H64+'2025年上海分部利润表'!H64+'2025年赣皖区域利润表'!H64</f>
        <v>16979</v>
      </c>
      <c r="I64" s="49">
        <f>'2025年中心利润表 '!I64+'2025年江苏分部利润表'!I64+'2025年浙江分部利润表'!I64+'2025年上海分部利润表'!I64+'2025年赣皖区域利润表'!I64</f>
        <v>19510</v>
      </c>
      <c r="J64" s="49">
        <f>'2025年中心利润表 '!J64+'2025年江苏分部利润表'!J64+'2025年浙江分部利润表'!J64+'2025年上海分部利润表'!J64+'2025年赣皖区域利润表'!J64</f>
        <v>17736</v>
      </c>
      <c r="K64" s="49">
        <f>'2025年中心利润表 '!K64+'2025年江苏分部利润表'!K64+'2025年浙江分部利润表'!K64+'2025年上海分部利润表'!K64+'2025年赣皖区域利润表'!K64</f>
        <v>19510</v>
      </c>
      <c r="L64" s="49">
        <f>'2025年中心利润表 '!L64+'2025年江苏分部利润表'!L64+'2025年浙江分部利润表'!L64+'2025年上海分部利润表'!L64+'2025年赣皖区域利润表'!L64</f>
        <v>17006.53</v>
      </c>
      <c r="M64" s="49">
        <f>'2025年中心利润表 '!M64+'2025年江苏分部利润表'!M64+'2025年浙江分部利润表'!M64+'2025年上海分部利润表'!M64+'2025年赣皖区域利润表'!M64</f>
        <v>19510</v>
      </c>
      <c r="N64" s="49">
        <f>'2025年中心利润表 '!N64+'2025年江苏分部利润表'!N64+'2025年浙江分部利润表'!N64+'2025年上海分部利润表'!N64+'2025年赣皖区域利润表'!N64</f>
        <v>17046.5</v>
      </c>
      <c r="O64" s="49">
        <f>'2025年中心利润表 '!O64+'2025年江苏分部利润表'!O64+'2025年浙江分部利润表'!O64+'2025年上海分部利润表'!O64+'2025年赣皖区域利润表'!O64</f>
        <v>19510</v>
      </c>
      <c r="P64" s="49">
        <f>'2025年中心利润表 '!P64+'2025年江苏分部利润表'!P64+'2025年浙江分部利润表'!P64+'2025年上海分部利润表'!P64+'2025年赣皖区域利润表'!P64</f>
        <v>17203.93</v>
      </c>
      <c r="Q64" s="49">
        <f>'2025年中心利润表 '!Q64+'2025年江苏分部利润表'!Q64+'2025年浙江分部利润表'!Q64+'2025年上海分部利润表'!Q64+'2025年赣皖区域利润表'!Q64</f>
        <v>19510</v>
      </c>
      <c r="R64" s="49">
        <f>'2025年中心利润表 '!R64+'2025年江苏分部利润表'!R64+'2025年浙江分部利润表'!R64+'2025年上海分部利润表'!R64+'2025年赣皖区域利润表'!R64</f>
        <v>16632.5</v>
      </c>
      <c r="S64" s="49">
        <f>'2025年中心利润表 '!S64+'2025年江苏分部利润表'!S64+'2025年浙江分部利润表'!S64+'2025年上海分部利润表'!S64+'2025年赣皖区域利润表'!S64</f>
        <v>19510</v>
      </c>
      <c r="T64" s="49">
        <f>'2025年中心利润表 '!T64+'2025年江苏分部利润表'!T64+'2025年浙江分部利润表'!T64+'2025年上海分部利润表'!T64+'2025年赣皖区域利润表'!T64</f>
        <v>16348</v>
      </c>
      <c r="U64" s="49">
        <f>'2025年中心利润表 '!U64+'2025年江苏分部利润表'!U64+'2025年浙江分部利润表'!U64+'2025年上海分部利润表'!U64+'2025年赣皖区域利润表'!U64</f>
        <v>19510</v>
      </c>
      <c r="V64" s="49">
        <f>'2025年中心利润表 '!V64+'2025年江苏分部利润表'!V64+'2025年浙江分部利润表'!V64+'2025年上海分部利润表'!V64+'2025年赣皖区域利润表'!V64</f>
        <v>16445</v>
      </c>
      <c r="W64" s="49">
        <f>'2025年中心利润表 '!W64+'2025年江苏分部利润表'!W64+'2025年浙江分部利润表'!W64+'2025年上海分部利润表'!W64+'2025年赣皖区域利润表'!W64</f>
        <v>19510</v>
      </c>
      <c r="X64" s="49">
        <f>'2025年中心利润表 '!X64+'2025年江苏分部利润表'!X64+'2025年浙江分部利润表'!X64+'2025年上海分部利润表'!X64+'2025年赣皖区域利润表'!X64</f>
        <v>16473</v>
      </c>
      <c r="Y64" s="49">
        <f>'2025年中心利润表 '!Y64+'2025年江苏分部利润表'!Y64+'2025年浙江分部利润表'!Y64+'2025年上海分部利润表'!Y64+'2025年赣皖区域利润表'!Y64</f>
        <v>19510</v>
      </c>
      <c r="Z64" s="49">
        <f>'2025年中心利润表 '!Z64+'2025年江苏分部利润表'!Z64+'2025年浙江分部利润表'!Z64+'2025年上海分部利润表'!Z64+'2025年赣皖区域利润表'!Z64</f>
        <v>17642.03</v>
      </c>
      <c r="AA64" s="51">
        <f t="shared" si="12"/>
        <v>234120</v>
      </c>
      <c r="AB64" s="51">
        <f t="shared" si="13"/>
        <v>203657.99</v>
      </c>
      <c r="AC64" s="94"/>
      <c r="AD64" s="31">
        <f t="shared" si="14"/>
        <v>234120</v>
      </c>
      <c r="AE64" s="31">
        <f t="shared" si="15"/>
        <v>203657.99</v>
      </c>
      <c r="AF64" s="17">
        <f t="shared" si="18"/>
        <v>0</v>
      </c>
      <c r="AG64" s="17">
        <f t="shared" si="19"/>
        <v>0</v>
      </c>
      <c r="AH64" s="17">
        <f>SUM('[1]2024年全面预算利润表 (销售1中心)2.8亿'!E69:H69)</f>
        <v>52000</v>
      </c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</row>
    <row r="65" spans="1:53" s="17" customFormat="1" ht="14" hidden="1" outlineLevel="1" x14ac:dyDescent="0.25">
      <c r="A65" s="67" t="s">
        <v>142</v>
      </c>
      <c r="B65" s="45"/>
      <c r="C65" s="65">
        <f t="shared" ref="C65:Z65" si="23">SUM(C66:C69)</f>
        <v>150</v>
      </c>
      <c r="D65" s="65">
        <f t="shared" si="23"/>
        <v>0</v>
      </c>
      <c r="E65" s="65">
        <f t="shared" si="23"/>
        <v>150</v>
      </c>
      <c r="F65" s="65">
        <f t="shared" si="23"/>
        <v>0</v>
      </c>
      <c r="G65" s="65">
        <f t="shared" si="23"/>
        <v>150</v>
      </c>
      <c r="H65" s="65">
        <f t="shared" si="23"/>
        <v>0</v>
      </c>
      <c r="I65" s="65">
        <f t="shared" si="23"/>
        <v>150</v>
      </c>
      <c r="J65" s="65">
        <f t="shared" si="23"/>
        <v>0</v>
      </c>
      <c r="K65" s="65">
        <f t="shared" si="23"/>
        <v>150</v>
      </c>
      <c r="L65" s="65">
        <f t="shared" si="23"/>
        <v>0</v>
      </c>
      <c r="M65" s="65">
        <f t="shared" si="23"/>
        <v>150</v>
      </c>
      <c r="N65" s="65">
        <f t="shared" si="23"/>
        <v>0</v>
      </c>
      <c r="O65" s="65">
        <f t="shared" si="23"/>
        <v>150</v>
      </c>
      <c r="P65" s="65">
        <f t="shared" si="23"/>
        <v>0</v>
      </c>
      <c r="Q65" s="65">
        <f t="shared" si="23"/>
        <v>150</v>
      </c>
      <c r="R65" s="65">
        <f t="shared" si="23"/>
        <v>0</v>
      </c>
      <c r="S65" s="65">
        <f t="shared" si="23"/>
        <v>150</v>
      </c>
      <c r="T65" s="65">
        <f t="shared" si="23"/>
        <v>0</v>
      </c>
      <c r="U65" s="65">
        <f t="shared" si="23"/>
        <v>150</v>
      </c>
      <c r="V65" s="65">
        <f t="shared" si="23"/>
        <v>0</v>
      </c>
      <c r="W65" s="65">
        <f t="shared" si="23"/>
        <v>150</v>
      </c>
      <c r="X65" s="65">
        <f t="shared" si="23"/>
        <v>0</v>
      </c>
      <c r="Y65" s="65">
        <f t="shared" si="23"/>
        <v>150</v>
      </c>
      <c r="Z65" s="65">
        <f t="shared" si="23"/>
        <v>0</v>
      </c>
      <c r="AA65" s="47">
        <f t="shared" si="12"/>
        <v>1800</v>
      </c>
      <c r="AB65" s="51">
        <f t="shared" si="13"/>
        <v>0</v>
      </c>
      <c r="AC65" s="132"/>
      <c r="AD65" s="31">
        <f t="shared" si="14"/>
        <v>1800</v>
      </c>
      <c r="AE65" s="31">
        <f t="shared" si="15"/>
        <v>0</v>
      </c>
      <c r="AF65" s="17">
        <f t="shared" si="18"/>
        <v>0</v>
      </c>
      <c r="AG65" s="17">
        <f t="shared" si="19"/>
        <v>0</v>
      </c>
      <c r="AH65" s="17">
        <f>SUM('[1]2024年全面预算利润表 (销售1中心)2.8亿'!E70:H70)</f>
        <v>0</v>
      </c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</row>
    <row r="66" spans="1:53" s="19" customFormat="1" ht="14" hidden="1" outlineLevel="2" x14ac:dyDescent="0.25">
      <c r="A66" s="48" t="s">
        <v>143</v>
      </c>
      <c r="B66" s="53"/>
      <c r="C66" s="49">
        <f>'2025年中心利润表 '!C66+'2025年江苏分部利润表'!C66+'2025年浙江分部利润表'!C66+'2025年上海分部利润表'!C66+'2025年赣皖区域利润表'!C66</f>
        <v>40</v>
      </c>
      <c r="D66" s="49">
        <f>'2025年中心利润表 '!D66+'2025年江苏分部利润表'!D66+'2025年浙江分部利润表'!D66+'2025年上海分部利润表'!D66+'2025年赣皖区域利润表'!D66</f>
        <v>0</v>
      </c>
      <c r="E66" s="49">
        <f>'2025年中心利润表 '!E66+'2025年江苏分部利润表'!E66+'2025年浙江分部利润表'!E66+'2025年上海分部利润表'!E66+'2025年赣皖区域利润表'!E66</f>
        <v>40</v>
      </c>
      <c r="F66" s="49">
        <f>'2025年中心利润表 '!F66+'2025年江苏分部利润表'!F66+'2025年浙江分部利润表'!F66+'2025年上海分部利润表'!F66+'2025年赣皖区域利润表'!F66</f>
        <v>0</v>
      </c>
      <c r="G66" s="49">
        <f>'2025年中心利润表 '!G66+'2025年江苏分部利润表'!G66+'2025年浙江分部利润表'!G66+'2025年上海分部利润表'!G66+'2025年赣皖区域利润表'!G66</f>
        <v>40</v>
      </c>
      <c r="H66" s="49">
        <f>'2025年中心利润表 '!H66+'2025年江苏分部利润表'!H66+'2025年浙江分部利润表'!H66+'2025年上海分部利润表'!H66+'2025年赣皖区域利润表'!H66</f>
        <v>0</v>
      </c>
      <c r="I66" s="49">
        <f>'2025年中心利润表 '!I66+'2025年江苏分部利润表'!I66+'2025年浙江分部利润表'!I66+'2025年上海分部利润表'!I66+'2025年赣皖区域利润表'!I66</f>
        <v>40</v>
      </c>
      <c r="J66" s="49">
        <f>'2025年中心利润表 '!J66+'2025年江苏分部利润表'!J66+'2025年浙江分部利润表'!J66+'2025年上海分部利润表'!J66+'2025年赣皖区域利润表'!J66</f>
        <v>0</v>
      </c>
      <c r="K66" s="49">
        <f>'2025年中心利润表 '!K66+'2025年江苏分部利润表'!K66+'2025年浙江分部利润表'!K66+'2025年上海分部利润表'!K66+'2025年赣皖区域利润表'!K66</f>
        <v>40</v>
      </c>
      <c r="L66" s="49">
        <f>'2025年中心利润表 '!L66+'2025年江苏分部利润表'!L66+'2025年浙江分部利润表'!L66+'2025年上海分部利润表'!L66+'2025年赣皖区域利润表'!L66</f>
        <v>0</v>
      </c>
      <c r="M66" s="49">
        <f>'2025年中心利润表 '!M66+'2025年江苏分部利润表'!M66+'2025年浙江分部利润表'!M66+'2025年上海分部利润表'!M66+'2025年赣皖区域利润表'!M66</f>
        <v>40</v>
      </c>
      <c r="N66" s="49">
        <f>'2025年中心利润表 '!N66+'2025年江苏分部利润表'!N66+'2025年浙江分部利润表'!N66+'2025年上海分部利润表'!N66+'2025年赣皖区域利润表'!N66</f>
        <v>0</v>
      </c>
      <c r="O66" s="49">
        <f>'2025年中心利润表 '!O66+'2025年江苏分部利润表'!O66+'2025年浙江分部利润表'!O66+'2025年上海分部利润表'!O66+'2025年赣皖区域利润表'!O66</f>
        <v>40</v>
      </c>
      <c r="P66" s="49">
        <f>'2025年中心利润表 '!P66+'2025年江苏分部利润表'!P66+'2025年浙江分部利润表'!P66+'2025年上海分部利润表'!P66+'2025年赣皖区域利润表'!P66</f>
        <v>0</v>
      </c>
      <c r="Q66" s="49">
        <f>'2025年中心利润表 '!Q66+'2025年江苏分部利润表'!Q66+'2025年浙江分部利润表'!Q66+'2025年上海分部利润表'!Q66+'2025年赣皖区域利润表'!Q66</f>
        <v>40</v>
      </c>
      <c r="R66" s="49">
        <f>'2025年中心利润表 '!R66+'2025年江苏分部利润表'!R66+'2025年浙江分部利润表'!R66+'2025年上海分部利润表'!R66+'2025年赣皖区域利润表'!R66</f>
        <v>0</v>
      </c>
      <c r="S66" s="49">
        <f>'2025年中心利润表 '!S66+'2025年江苏分部利润表'!S66+'2025年浙江分部利润表'!S66+'2025年上海分部利润表'!S66+'2025年赣皖区域利润表'!S66</f>
        <v>40</v>
      </c>
      <c r="T66" s="49">
        <f>'2025年中心利润表 '!T66+'2025年江苏分部利润表'!T66+'2025年浙江分部利润表'!T66+'2025年上海分部利润表'!T66+'2025年赣皖区域利润表'!T66</f>
        <v>0</v>
      </c>
      <c r="U66" s="49">
        <f>'2025年中心利润表 '!U66+'2025年江苏分部利润表'!U66+'2025年浙江分部利润表'!U66+'2025年上海分部利润表'!U66+'2025年赣皖区域利润表'!U66</f>
        <v>40</v>
      </c>
      <c r="V66" s="49">
        <f>'2025年中心利润表 '!V66+'2025年江苏分部利润表'!V66+'2025年浙江分部利润表'!V66+'2025年上海分部利润表'!V66+'2025年赣皖区域利润表'!V66</f>
        <v>0</v>
      </c>
      <c r="W66" s="49">
        <f>'2025年中心利润表 '!W66+'2025年江苏分部利润表'!W66+'2025年浙江分部利润表'!W66+'2025年上海分部利润表'!W66+'2025年赣皖区域利润表'!W66</f>
        <v>40</v>
      </c>
      <c r="X66" s="49">
        <f>'2025年中心利润表 '!X66+'2025年江苏分部利润表'!X66+'2025年浙江分部利润表'!X66+'2025年上海分部利润表'!X66+'2025年赣皖区域利润表'!X66</f>
        <v>0</v>
      </c>
      <c r="Y66" s="49">
        <f>'2025年中心利润表 '!Y66+'2025年江苏分部利润表'!Y66+'2025年浙江分部利润表'!Y66+'2025年上海分部利润表'!Y66+'2025年赣皖区域利润表'!Y66</f>
        <v>40</v>
      </c>
      <c r="Z66" s="49">
        <f>'2025年中心利润表 '!Z66+'2025年江苏分部利润表'!Z66+'2025年浙江分部利润表'!Z66+'2025年上海分部利润表'!Z66+'2025年赣皖区域利润表'!Z66</f>
        <v>0</v>
      </c>
      <c r="AA66" s="51">
        <f t="shared" si="12"/>
        <v>480</v>
      </c>
      <c r="AB66" s="51">
        <f t="shared" si="13"/>
        <v>0</v>
      </c>
      <c r="AC66" s="94"/>
      <c r="AD66" s="31">
        <f t="shared" si="14"/>
        <v>480</v>
      </c>
      <c r="AE66" s="31">
        <f t="shared" si="15"/>
        <v>0</v>
      </c>
      <c r="AF66" s="17">
        <f t="shared" si="18"/>
        <v>0</v>
      </c>
      <c r="AG66" s="17">
        <f t="shared" si="19"/>
        <v>0</v>
      </c>
      <c r="AH66" s="17">
        <f>SUM('[1]2024年全面预算利润表 (销售1中心)2.8亿'!E71:H71)</f>
        <v>0</v>
      </c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</row>
    <row r="67" spans="1:53" s="19" customFormat="1" ht="14" hidden="1" outlineLevel="2" x14ac:dyDescent="0.25">
      <c r="A67" s="48" t="s">
        <v>144</v>
      </c>
      <c r="B67" s="53"/>
      <c r="C67" s="49">
        <f>'2025年中心利润表 '!C67+'2025年江苏分部利润表'!C67+'2025年浙江分部利润表'!C67+'2025年上海分部利润表'!C67+'2025年赣皖区域利润表'!C67</f>
        <v>110</v>
      </c>
      <c r="D67" s="49">
        <f>'2025年中心利润表 '!D67+'2025年江苏分部利润表'!D67+'2025年浙江分部利润表'!D67+'2025年上海分部利润表'!D67+'2025年赣皖区域利润表'!D67</f>
        <v>0</v>
      </c>
      <c r="E67" s="49">
        <f>'2025年中心利润表 '!E67+'2025年江苏分部利润表'!E67+'2025年浙江分部利润表'!E67+'2025年上海分部利润表'!E67+'2025年赣皖区域利润表'!E67</f>
        <v>110</v>
      </c>
      <c r="F67" s="49">
        <f>'2025年中心利润表 '!F67+'2025年江苏分部利润表'!F67+'2025年浙江分部利润表'!F67+'2025年上海分部利润表'!F67+'2025年赣皖区域利润表'!F67</f>
        <v>0</v>
      </c>
      <c r="G67" s="49">
        <f>'2025年中心利润表 '!G67+'2025年江苏分部利润表'!G67+'2025年浙江分部利润表'!G67+'2025年上海分部利润表'!G67+'2025年赣皖区域利润表'!G67</f>
        <v>110</v>
      </c>
      <c r="H67" s="49">
        <f>'2025年中心利润表 '!H67+'2025年江苏分部利润表'!H67+'2025年浙江分部利润表'!H67+'2025年上海分部利润表'!H67+'2025年赣皖区域利润表'!H67</f>
        <v>0</v>
      </c>
      <c r="I67" s="49">
        <f>'2025年中心利润表 '!I67+'2025年江苏分部利润表'!I67+'2025年浙江分部利润表'!I67+'2025年上海分部利润表'!I67+'2025年赣皖区域利润表'!I67</f>
        <v>110</v>
      </c>
      <c r="J67" s="49">
        <f>'2025年中心利润表 '!J67+'2025年江苏分部利润表'!J67+'2025年浙江分部利润表'!J67+'2025年上海分部利润表'!J67+'2025年赣皖区域利润表'!J67</f>
        <v>0</v>
      </c>
      <c r="K67" s="49">
        <f>'2025年中心利润表 '!K67+'2025年江苏分部利润表'!K67+'2025年浙江分部利润表'!K67+'2025年上海分部利润表'!K67+'2025年赣皖区域利润表'!K67</f>
        <v>110</v>
      </c>
      <c r="L67" s="49">
        <f>'2025年中心利润表 '!L67+'2025年江苏分部利润表'!L67+'2025年浙江分部利润表'!L67+'2025年上海分部利润表'!L67+'2025年赣皖区域利润表'!L67</f>
        <v>0</v>
      </c>
      <c r="M67" s="49">
        <f>'2025年中心利润表 '!M67+'2025年江苏分部利润表'!M67+'2025年浙江分部利润表'!M67+'2025年上海分部利润表'!M67+'2025年赣皖区域利润表'!M67</f>
        <v>110</v>
      </c>
      <c r="N67" s="49">
        <f>'2025年中心利润表 '!N67+'2025年江苏分部利润表'!N67+'2025年浙江分部利润表'!N67+'2025年上海分部利润表'!N67+'2025年赣皖区域利润表'!N67</f>
        <v>0</v>
      </c>
      <c r="O67" s="49">
        <f>'2025年中心利润表 '!O67+'2025年江苏分部利润表'!O67+'2025年浙江分部利润表'!O67+'2025年上海分部利润表'!O67+'2025年赣皖区域利润表'!O67</f>
        <v>110</v>
      </c>
      <c r="P67" s="49">
        <f>'2025年中心利润表 '!P67+'2025年江苏分部利润表'!P67+'2025年浙江分部利润表'!P67+'2025年上海分部利润表'!P67+'2025年赣皖区域利润表'!P67</f>
        <v>0</v>
      </c>
      <c r="Q67" s="49">
        <f>'2025年中心利润表 '!Q67+'2025年江苏分部利润表'!Q67+'2025年浙江分部利润表'!Q67+'2025年上海分部利润表'!Q67+'2025年赣皖区域利润表'!Q67</f>
        <v>110</v>
      </c>
      <c r="R67" s="49">
        <f>'2025年中心利润表 '!R67+'2025年江苏分部利润表'!R67+'2025年浙江分部利润表'!R67+'2025年上海分部利润表'!R67+'2025年赣皖区域利润表'!R67</f>
        <v>0</v>
      </c>
      <c r="S67" s="49">
        <f>'2025年中心利润表 '!S67+'2025年江苏分部利润表'!S67+'2025年浙江分部利润表'!S67+'2025年上海分部利润表'!S67+'2025年赣皖区域利润表'!S67</f>
        <v>110</v>
      </c>
      <c r="T67" s="49">
        <f>'2025年中心利润表 '!T67+'2025年江苏分部利润表'!T67+'2025年浙江分部利润表'!T67+'2025年上海分部利润表'!T67+'2025年赣皖区域利润表'!T67</f>
        <v>0</v>
      </c>
      <c r="U67" s="49">
        <f>'2025年中心利润表 '!U67+'2025年江苏分部利润表'!U67+'2025年浙江分部利润表'!U67+'2025年上海分部利润表'!U67+'2025年赣皖区域利润表'!U67</f>
        <v>110</v>
      </c>
      <c r="V67" s="49">
        <f>'2025年中心利润表 '!V67+'2025年江苏分部利润表'!V67+'2025年浙江分部利润表'!V67+'2025年上海分部利润表'!V67+'2025年赣皖区域利润表'!V67</f>
        <v>0</v>
      </c>
      <c r="W67" s="49">
        <f>'2025年中心利润表 '!W67+'2025年江苏分部利润表'!W67+'2025年浙江分部利润表'!W67+'2025年上海分部利润表'!W67+'2025年赣皖区域利润表'!W67</f>
        <v>110</v>
      </c>
      <c r="X67" s="49">
        <f>'2025年中心利润表 '!X67+'2025年江苏分部利润表'!X67+'2025年浙江分部利润表'!X67+'2025年上海分部利润表'!X67+'2025年赣皖区域利润表'!X67</f>
        <v>0</v>
      </c>
      <c r="Y67" s="49">
        <f>'2025年中心利润表 '!Y67+'2025年江苏分部利润表'!Y67+'2025年浙江分部利润表'!Y67+'2025年上海分部利润表'!Y67+'2025年赣皖区域利润表'!Y67</f>
        <v>110</v>
      </c>
      <c r="Z67" s="49">
        <f>'2025年中心利润表 '!Z67+'2025年江苏分部利润表'!Z67+'2025年浙江分部利润表'!Z67+'2025年上海分部利润表'!Z67+'2025年赣皖区域利润表'!Z67</f>
        <v>0</v>
      </c>
      <c r="AA67" s="51">
        <f t="shared" si="12"/>
        <v>1320</v>
      </c>
      <c r="AB67" s="51">
        <f t="shared" si="13"/>
        <v>0</v>
      </c>
      <c r="AC67" s="94"/>
      <c r="AD67" s="31">
        <f t="shared" si="14"/>
        <v>1320</v>
      </c>
      <c r="AE67" s="31">
        <f t="shared" si="15"/>
        <v>0</v>
      </c>
      <c r="AF67" s="17">
        <f t="shared" si="18"/>
        <v>0</v>
      </c>
      <c r="AG67" s="17">
        <f t="shared" si="19"/>
        <v>0</v>
      </c>
      <c r="AH67" s="17">
        <f>SUM('[1]2024年全面预算利润表 (销售1中心)2.8亿'!E72:H72)</f>
        <v>0</v>
      </c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</row>
    <row r="68" spans="1:53" s="19" customFormat="1" ht="14" hidden="1" outlineLevel="2" x14ac:dyDescent="0.25">
      <c r="A68" s="48" t="s">
        <v>145</v>
      </c>
      <c r="B68" s="53"/>
      <c r="C68" s="49">
        <f>'2025年中心利润表 '!C68+'2025年江苏分部利润表'!C68+'2025年浙江分部利润表'!C68+'2025年上海分部利润表'!C68+'2025年赣皖区域利润表'!C68</f>
        <v>0</v>
      </c>
      <c r="D68" s="49">
        <f>'2025年中心利润表 '!D68+'2025年江苏分部利润表'!D68+'2025年浙江分部利润表'!D68+'2025年上海分部利润表'!D68+'2025年赣皖区域利润表'!D68</f>
        <v>0</v>
      </c>
      <c r="E68" s="49">
        <f>'2025年中心利润表 '!E68+'2025年江苏分部利润表'!E68+'2025年浙江分部利润表'!E68+'2025年上海分部利润表'!E68+'2025年赣皖区域利润表'!E68</f>
        <v>0</v>
      </c>
      <c r="F68" s="49">
        <f>'2025年中心利润表 '!F68+'2025年江苏分部利润表'!F68+'2025年浙江分部利润表'!F68+'2025年上海分部利润表'!F68+'2025年赣皖区域利润表'!F68</f>
        <v>0</v>
      </c>
      <c r="G68" s="49">
        <f>'2025年中心利润表 '!G68+'2025年江苏分部利润表'!G68+'2025年浙江分部利润表'!G68+'2025年上海分部利润表'!G68+'2025年赣皖区域利润表'!G68</f>
        <v>0</v>
      </c>
      <c r="H68" s="49">
        <f>'2025年中心利润表 '!H68+'2025年江苏分部利润表'!H68+'2025年浙江分部利润表'!H68+'2025年上海分部利润表'!H68+'2025年赣皖区域利润表'!H68</f>
        <v>0</v>
      </c>
      <c r="I68" s="49">
        <f>'2025年中心利润表 '!I68+'2025年江苏分部利润表'!I68+'2025年浙江分部利润表'!I68+'2025年上海分部利润表'!I68+'2025年赣皖区域利润表'!I68</f>
        <v>0</v>
      </c>
      <c r="J68" s="49">
        <f>'2025年中心利润表 '!J68+'2025年江苏分部利润表'!J68+'2025年浙江分部利润表'!J68+'2025年上海分部利润表'!J68+'2025年赣皖区域利润表'!J68</f>
        <v>0</v>
      </c>
      <c r="K68" s="49">
        <f>'2025年中心利润表 '!K68+'2025年江苏分部利润表'!K68+'2025年浙江分部利润表'!K68+'2025年上海分部利润表'!K68+'2025年赣皖区域利润表'!K68</f>
        <v>0</v>
      </c>
      <c r="L68" s="49">
        <f>'2025年中心利润表 '!L68+'2025年江苏分部利润表'!L68+'2025年浙江分部利润表'!L68+'2025年上海分部利润表'!L68+'2025年赣皖区域利润表'!L68</f>
        <v>0</v>
      </c>
      <c r="M68" s="49">
        <f>'2025年中心利润表 '!M68+'2025年江苏分部利润表'!M68+'2025年浙江分部利润表'!M68+'2025年上海分部利润表'!M68+'2025年赣皖区域利润表'!M68</f>
        <v>0</v>
      </c>
      <c r="N68" s="49">
        <f>'2025年中心利润表 '!N68+'2025年江苏分部利润表'!N68+'2025年浙江分部利润表'!N68+'2025年上海分部利润表'!N68+'2025年赣皖区域利润表'!N68</f>
        <v>0</v>
      </c>
      <c r="O68" s="49">
        <f>'2025年中心利润表 '!O68+'2025年江苏分部利润表'!O68+'2025年浙江分部利润表'!O68+'2025年上海分部利润表'!O68+'2025年赣皖区域利润表'!O68</f>
        <v>0</v>
      </c>
      <c r="P68" s="49">
        <f>'2025年中心利润表 '!P68+'2025年江苏分部利润表'!P68+'2025年浙江分部利润表'!P68+'2025年上海分部利润表'!P68+'2025年赣皖区域利润表'!P68</f>
        <v>0</v>
      </c>
      <c r="Q68" s="49">
        <f>'2025年中心利润表 '!Q68+'2025年江苏分部利润表'!Q68+'2025年浙江分部利润表'!Q68+'2025年上海分部利润表'!Q68+'2025年赣皖区域利润表'!Q68</f>
        <v>0</v>
      </c>
      <c r="R68" s="49">
        <f>'2025年中心利润表 '!R68+'2025年江苏分部利润表'!R68+'2025年浙江分部利润表'!R68+'2025年上海分部利润表'!R68+'2025年赣皖区域利润表'!R68</f>
        <v>0</v>
      </c>
      <c r="S68" s="49">
        <f>'2025年中心利润表 '!S68+'2025年江苏分部利润表'!S68+'2025年浙江分部利润表'!S68+'2025年上海分部利润表'!S68+'2025年赣皖区域利润表'!S68</f>
        <v>0</v>
      </c>
      <c r="T68" s="49">
        <f>'2025年中心利润表 '!T68+'2025年江苏分部利润表'!T68+'2025年浙江分部利润表'!T68+'2025年上海分部利润表'!T68+'2025年赣皖区域利润表'!T68</f>
        <v>0</v>
      </c>
      <c r="U68" s="49">
        <f>'2025年中心利润表 '!U68+'2025年江苏分部利润表'!U68+'2025年浙江分部利润表'!U68+'2025年上海分部利润表'!U68+'2025年赣皖区域利润表'!U68</f>
        <v>0</v>
      </c>
      <c r="V68" s="49">
        <f>'2025年中心利润表 '!V68+'2025年江苏分部利润表'!V68+'2025年浙江分部利润表'!V68+'2025年上海分部利润表'!V68+'2025年赣皖区域利润表'!V68</f>
        <v>0</v>
      </c>
      <c r="W68" s="49">
        <f>'2025年中心利润表 '!W68+'2025年江苏分部利润表'!W68+'2025年浙江分部利润表'!W68+'2025年上海分部利润表'!W68+'2025年赣皖区域利润表'!W68</f>
        <v>0</v>
      </c>
      <c r="X68" s="49">
        <f>'2025年中心利润表 '!X68+'2025年江苏分部利润表'!X68+'2025年浙江分部利润表'!X68+'2025年上海分部利润表'!X68+'2025年赣皖区域利润表'!X68</f>
        <v>0</v>
      </c>
      <c r="Y68" s="49">
        <f>'2025年中心利润表 '!Y68+'2025年江苏分部利润表'!Y68+'2025年浙江分部利润表'!Y68+'2025年上海分部利润表'!Y68+'2025年赣皖区域利润表'!Y68</f>
        <v>0</v>
      </c>
      <c r="Z68" s="49">
        <f>'2025年中心利润表 '!Z68+'2025年江苏分部利润表'!Z68+'2025年浙江分部利润表'!Z68+'2025年上海分部利润表'!Z68+'2025年赣皖区域利润表'!Z68</f>
        <v>0</v>
      </c>
      <c r="AA68" s="51">
        <f t="shared" si="12"/>
        <v>0</v>
      </c>
      <c r="AB68" s="51">
        <f t="shared" si="13"/>
        <v>0</v>
      </c>
      <c r="AC68" s="94"/>
      <c r="AD68" s="31">
        <f t="shared" si="14"/>
        <v>0</v>
      </c>
      <c r="AE68" s="31">
        <f t="shared" si="15"/>
        <v>0</v>
      </c>
      <c r="AF68" s="17">
        <f t="shared" si="18"/>
        <v>0</v>
      </c>
      <c r="AG68" s="17">
        <f t="shared" si="19"/>
        <v>0</v>
      </c>
      <c r="AH68" s="17">
        <f>SUM('[1]2024年全面预算利润表 (销售1中心)2.8亿'!E73:H73)</f>
        <v>0</v>
      </c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</row>
    <row r="69" spans="1:53" s="19" customFormat="1" ht="14" hidden="1" outlineLevel="2" x14ac:dyDescent="0.25">
      <c r="A69" s="48" t="s">
        <v>146</v>
      </c>
      <c r="B69" s="53"/>
      <c r="C69" s="49">
        <f>'2025年中心利润表 '!C69+'2025年江苏分部利润表'!C69+'2025年浙江分部利润表'!C69+'2025年上海分部利润表'!C69+'2025年赣皖区域利润表'!C69</f>
        <v>0</v>
      </c>
      <c r="D69" s="49">
        <f>'2025年中心利润表 '!D69+'2025年江苏分部利润表'!D69+'2025年浙江分部利润表'!D69+'2025年上海分部利润表'!D69+'2025年赣皖区域利润表'!D69</f>
        <v>0</v>
      </c>
      <c r="E69" s="49">
        <f>'2025年中心利润表 '!E69+'2025年江苏分部利润表'!E69+'2025年浙江分部利润表'!E69+'2025年上海分部利润表'!E69+'2025年赣皖区域利润表'!E69</f>
        <v>0</v>
      </c>
      <c r="F69" s="49">
        <f>'2025年中心利润表 '!F69+'2025年江苏分部利润表'!F69+'2025年浙江分部利润表'!F69+'2025年上海分部利润表'!F69+'2025年赣皖区域利润表'!F69</f>
        <v>0</v>
      </c>
      <c r="G69" s="49">
        <f>'2025年中心利润表 '!G69+'2025年江苏分部利润表'!G69+'2025年浙江分部利润表'!G69+'2025年上海分部利润表'!G69+'2025年赣皖区域利润表'!G69</f>
        <v>0</v>
      </c>
      <c r="H69" s="49">
        <f>'2025年中心利润表 '!H69+'2025年江苏分部利润表'!H69+'2025年浙江分部利润表'!H69+'2025年上海分部利润表'!H69+'2025年赣皖区域利润表'!H69</f>
        <v>0</v>
      </c>
      <c r="I69" s="49">
        <f>'2025年中心利润表 '!I69+'2025年江苏分部利润表'!I69+'2025年浙江分部利润表'!I69+'2025年上海分部利润表'!I69+'2025年赣皖区域利润表'!I69</f>
        <v>0</v>
      </c>
      <c r="J69" s="49">
        <f>'2025年中心利润表 '!J69+'2025年江苏分部利润表'!J69+'2025年浙江分部利润表'!J69+'2025年上海分部利润表'!J69+'2025年赣皖区域利润表'!J69</f>
        <v>0</v>
      </c>
      <c r="K69" s="49">
        <f>'2025年中心利润表 '!K69+'2025年江苏分部利润表'!K69+'2025年浙江分部利润表'!K69+'2025年上海分部利润表'!K69+'2025年赣皖区域利润表'!K69</f>
        <v>0</v>
      </c>
      <c r="L69" s="49">
        <f>'2025年中心利润表 '!L69+'2025年江苏分部利润表'!L69+'2025年浙江分部利润表'!L69+'2025年上海分部利润表'!L69+'2025年赣皖区域利润表'!L69</f>
        <v>0</v>
      </c>
      <c r="M69" s="49">
        <f>'2025年中心利润表 '!M69+'2025年江苏分部利润表'!M69+'2025年浙江分部利润表'!M69+'2025年上海分部利润表'!M69+'2025年赣皖区域利润表'!M69</f>
        <v>0</v>
      </c>
      <c r="N69" s="49">
        <f>'2025年中心利润表 '!N69+'2025年江苏分部利润表'!N69+'2025年浙江分部利润表'!N69+'2025年上海分部利润表'!N69+'2025年赣皖区域利润表'!N69</f>
        <v>0</v>
      </c>
      <c r="O69" s="49">
        <f>'2025年中心利润表 '!O69+'2025年江苏分部利润表'!O69+'2025年浙江分部利润表'!O69+'2025年上海分部利润表'!O69+'2025年赣皖区域利润表'!O69</f>
        <v>0</v>
      </c>
      <c r="P69" s="49">
        <f>'2025年中心利润表 '!P69+'2025年江苏分部利润表'!P69+'2025年浙江分部利润表'!P69+'2025年上海分部利润表'!P69+'2025年赣皖区域利润表'!P69</f>
        <v>0</v>
      </c>
      <c r="Q69" s="49">
        <f>'2025年中心利润表 '!Q69+'2025年江苏分部利润表'!Q69+'2025年浙江分部利润表'!Q69+'2025年上海分部利润表'!Q69+'2025年赣皖区域利润表'!Q69</f>
        <v>0</v>
      </c>
      <c r="R69" s="49">
        <f>'2025年中心利润表 '!R69+'2025年江苏分部利润表'!R69+'2025年浙江分部利润表'!R69+'2025年上海分部利润表'!R69+'2025年赣皖区域利润表'!R69</f>
        <v>0</v>
      </c>
      <c r="S69" s="49">
        <f>'2025年中心利润表 '!S69+'2025年江苏分部利润表'!S69+'2025年浙江分部利润表'!S69+'2025年上海分部利润表'!S69+'2025年赣皖区域利润表'!S69</f>
        <v>0</v>
      </c>
      <c r="T69" s="49">
        <f>'2025年中心利润表 '!T69+'2025年江苏分部利润表'!T69+'2025年浙江分部利润表'!T69+'2025年上海分部利润表'!T69+'2025年赣皖区域利润表'!T69</f>
        <v>0</v>
      </c>
      <c r="U69" s="49">
        <f>'2025年中心利润表 '!U69+'2025年江苏分部利润表'!U69+'2025年浙江分部利润表'!U69+'2025年上海分部利润表'!U69+'2025年赣皖区域利润表'!U69</f>
        <v>0</v>
      </c>
      <c r="V69" s="49">
        <f>'2025年中心利润表 '!V69+'2025年江苏分部利润表'!V69+'2025年浙江分部利润表'!V69+'2025年上海分部利润表'!V69+'2025年赣皖区域利润表'!V69</f>
        <v>0</v>
      </c>
      <c r="W69" s="49">
        <f>'2025年中心利润表 '!W69+'2025年江苏分部利润表'!W69+'2025年浙江分部利润表'!W69+'2025年上海分部利润表'!W69+'2025年赣皖区域利润表'!W69</f>
        <v>0</v>
      </c>
      <c r="X69" s="49">
        <f>'2025年中心利润表 '!X69+'2025年江苏分部利润表'!X69+'2025年浙江分部利润表'!X69+'2025年上海分部利润表'!X69+'2025年赣皖区域利润表'!X69</f>
        <v>0</v>
      </c>
      <c r="Y69" s="49">
        <f>'2025年中心利润表 '!Y69+'2025年江苏分部利润表'!Y69+'2025年浙江分部利润表'!Y69+'2025年上海分部利润表'!Y69+'2025年赣皖区域利润表'!Y69</f>
        <v>0</v>
      </c>
      <c r="Z69" s="49">
        <f>'2025年中心利润表 '!Z69+'2025年江苏分部利润表'!Z69+'2025年浙江分部利润表'!Z69+'2025年上海分部利润表'!Z69+'2025年赣皖区域利润表'!Z69</f>
        <v>0</v>
      </c>
      <c r="AA69" s="51">
        <f t="shared" si="12"/>
        <v>0</v>
      </c>
      <c r="AB69" s="51">
        <f t="shared" si="13"/>
        <v>0</v>
      </c>
      <c r="AC69" s="94"/>
      <c r="AD69" s="31">
        <f t="shared" si="14"/>
        <v>0</v>
      </c>
      <c r="AE69" s="31">
        <f t="shared" si="15"/>
        <v>0</v>
      </c>
      <c r="AF69" s="17">
        <f t="shared" si="18"/>
        <v>0</v>
      </c>
      <c r="AG69" s="17">
        <f t="shared" si="19"/>
        <v>0</v>
      </c>
      <c r="AH69" s="17">
        <f>SUM('[1]2024年全面预算利润表 (销售1中心)2.8亿'!E74:H74)</f>
        <v>0</v>
      </c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</row>
    <row r="70" spans="1:53" s="19" customFormat="1" ht="14" hidden="1" outlineLevel="1" x14ac:dyDescent="0.25">
      <c r="A70" s="48" t="s">
        <v>147</v>
      </c>
      <c r="B70" s="53"/>
      <c r="C70" s="49">
        <f>'2025年中心利润表 '!C70+'2025年江苏分部利润表'!C70+'2025年浙江分部利润表'!C70+'2025年上海分部利润表'!C70+'2025年赣皖区域利润表'!C70</f>
        <v>0</v>
      </c>
      <c r="D70" s="49">
        <f>'2025年中心利润表 '!D70+'2025年江苏分部利润表'!D70+'2025年浙江分部利润表'!D70+'2025年上海分部利润表'!D70+'2025年赣皖区域利润表'!D70</f>
        <v>0</v>
      </c>
      <c r="E70" s="49">
        <f>'2025年中心利润表 '!E70+'2025年江苏分部利润表'!E70+'2025年浙江分部利润表'!E70+'2025年上海分部利润表'!E70+'2025年赣皖区域利润表'!E70</f>
        <v>0</v>
      </c>
      <c r="F70" s="49">
        <f>'2025年中心利润表 '!F70+'2025年江苏分部利润表'!F70+'2025年浙江分部利润表'!F70+'2025年上海分部利润表'!F70+'2025年赣皖区域利润表'!F70</f>
        <v>0</v>
      </c>
      <c r="G70" s="49">
        <f>'2025年中心利润表 '!G70+'2025年江苏分部利润表'!G70+'2025年浙江分部利润表'!G70+'2025年上海分部利润表'!G70+'2025年赣皖区域利润表'!G70</f>
        <v>0</v>
      </c>
      <c r="H70" s="49">
        <f>'2025年中心利润表 '!H70+'2025年江苏分部利润表'!H70+'2025年浙江分部利润表'!H70+'2025年上海分部利润表'!H70+'2025年赣皖区域利润表'!H70</f>
        <v>0</v>
      </c>
      <c r="I70" s="49">
        <f>'2025年中心利润表 '!I70+'2025年江苏分部利润表'!I70+'2025年浙江分部利润表'!I70+'2025年上海分部利润表'!I70+'2025年赣皖区域利润表'!I70</f>
        <v>0</v>
      </c>
      <c r="J70" s="49">
        <f>'2025年中心利润表 '!J70+'2025年江苏分部利润表'!J70+'2025年浙江分部利润表'!J70+'2025年上海分部利润表'!J70+'2025年赣皖区域利润表'!J70</f>
        <v>0</v>
      </c>
      <c r="K70" s="49">
        <f>'2025年中心利润表 '!K70+'2025年江苏分部利润表'!K70+'2025年浙江分部利润表'!K70+'2025年上海分部利润表'!K70+'2025年赣皖区域利润表'!K70</f>
        <v>0</v>
      </c>
      <c r="L70" s="49">
        <f>'2025年中心利润表 '!L70+'2025年江苏分部利润表'!L70+'2025年浙江分部利润表'!L70+'2025年上海分部利润表'!L70+'2025年赣皖区域利润表'!L70</f>
        <v>0</v>
      </c>
      <c r="M70" s="49">
        <f>'2025年中心利润表 '!M70+'2025年江苏分部利润表'!M70+'2025年浙江分部利润表'!M70+'2025年上海分部利润表'!M70+'2025年赣皖区域利润表'!M70</f>
        <v>0</v>
      </c>
      <c r="N70" s="49">
        <f>'2025年中心利润表 '!N70+'2025年江苏分部利润表'!N70+'2025年浙江分部利润表'!N70+'2025年上海分部利润表'!N70+'2025年赣皖区域利润表'!N70</f>
        <v>0</v>
      </c>
      <c r="O70" s="49">
        <f>'2025年中心利润表 '!O70+'2025年江苏分部利润表'!O70+'2025年浙江分部利润表'!O70+'2025年上海分部利润表'!O70+'2025年赣皖区域利润表'!O70</f>
        <v>0</v>
      </c>
      <c r="P70" s="49">
        <f>'2025年中心利润表 '!P70+'2025年江苏分部利润表'!P70+'2025年浙江分部利润表'!P70+'2025年上海分部利润表'!P70+'2025年赣皖区域利润表'!P70</f>
        <v>0</v>
      </c>
      <c r="Q70" s="49">
        <f>'2025年中心利润表 '!Q70+'2025年江苏分部利润表'!Q70+'2025年浙江分部利润表'!Q70+'2025年上海分部利润表'!Q70+'2025年赣皖区域利润表'!Q70</f>
        <v>0</v>
      </c>
      <c r="R70" s="49">
        <f>'2025年中心利润表 '!R70+'2025年江苏分部利润表'!R70+'2025年浙江分部利润表'!R70+'2025年上海分部利润表'!R70+'2025年赣皖区域利润表'!R70</f>
        <v>0</v>
      </c>
      <c r="S70" s="49">
        <f>'2025年中心利润表 '!S70+'2025年江苏分部利润表'!S70+'2025年浙江分部利润表'!S70+'2025年上海分部利润表'!S70+'2025年赣皖区域利润表'!S70</f>
        <v>0</v>
      </c>
      <c r="T70" s="49">
        <f>'2025年中心利润表 '!T70+'2025年江苏分部利润表'!T70+'2025年浙江分部利润表'!T70+'2025年上海分部利润表'!T70+'2025年赣皖区域利润表'!T70</f>
        <v>0</v>
      </c>
      <c r="U70" s="49">
        <f>'2025年中心利润表 '!U70+'2025年江苏分部利润表'!U70+'2025年浙江分部利润表'!U70+'2025年上海分部利润表'!U70+'2025年赣皖区域利润表'!U70</f>
        <v>0</v>
      </c>
      <c r="V70" s="49">
        <f>'2025年中心利润表 '!V70+'2025年江苏分部利润表'!V70+'2025年浙江分部利润表'!V70+'2025年上海分部利润表'!V70+'2025年赣皖区域利润表'!V70</f>
        <v>0</v>
      </c>
      <c r="W70" s="49">
        <f>'2025年中心利润表 '!W70+'2025年江苏分部利润表'!W70+'2025年浙江分部利润表'!W70+'2025年上海分部利润表'!W70+'2025年赣皖区域利润表'!W70</f>
        <v>0</v>
      </c>
      <c r="X70" s="49">
        <f>'2025年中心利润表 '!X70+'2025年江苏分部利润表'!X70+'2025年浙江分部利润表'!X70+'2025年上海分部利润表'!X70+'2025年赣皖区域利润表'!X70</f>
        <v>0</v>
      </c>
      <c r="Y70" s="49">
        <f>'2025年中心利润表 '!Y70+'2025年江苏分部利润表'!Y70+'2025年浙江分部利润表'!Y70+'2025年上海分部利润表'!Y70+'2025年赣皖区域利润表'!Y70</f>
        <v>0</v>
      </c>
      <c r="Z70" s="49">
        <f>'2025年中心利润表 '!Z70+'2025年江苏分部利润表'!Z70+'2025年浙江分部利润表'!Z70+'2025年上海分部利润表'!Z70+'2025年赣皖区域利润表'!Z70</f>
        <v>0</v>
      </c>
      <c r="AA70" s="51">
        <f t="shared" si="12"/>
        <v>0</v>
      </c>
      <c r="AB70" s="51">
        <f t="shared" si="13"/>
        <v>0</v>
      </c>
      <c r="AC70" s="94"/>
      <c r="AD70" s="31">
        <f t="shared" si="14"/>
        <v>0</v>
      </c>
      <c r="AE70" s="31">
        <f t="shared" si="15"/>
        <v>0</v>
      </c>
      <c r="AF70" s="17">
        <f t="shared" si="18"/>
        <v>0</v>
      </c>
      <c r="AG70" s="17">
        <f t="shared" si="19"/>
        <v>0</v>
      </c>
      <c r="AH70" s="17">
        <f>SUM('[1]2024年全面预算利润表 (销售1中心)2.8亿'!E75:H75)</f>
        <v>0</v>
      </c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</row>
    <row r="71" spans="1:53" s="19" customFormat="1" ht="14" hidden="1" outlineLevel="1" x14ac:dyDescent="0.25">
      <c r="A71" s="48" t="s">
        <v>148</v>
      </c>
      <c r="B71" s="53"/>
      <c r="C71" s="49">
        <f>'2025年中心利润表 '!C71+'2025年江苏分部利润表'!C71+'2025年浙江分部利润表'!C71+'2025年上海分部利润表'!C71+'2025年赣皖区域利润表'!C71</f>
        <v>0</v>
      </c>
      <c r="D71" s="49">
        <f>'2025年中心利润表 '!D71+'2025年江苏分部利润表'!D71+'2025年浙江分部利润表'!D71+'2025年上海分部利润表'!D71+'2025年赣皖区域利润表'!D71</f>
        <v>0</v>
      </c>
      <c r="E71" s="49">
        <f>'2025年中心利润表 '!E71+'2025年江苏分部利润表'!E71+'2025年浙江分部利润表'!E71+'2025年上海分部利润表'!E71+'2025年赣皖区域利润表'!E71</f>
        <v>0</v>
      </c>
      <c r="F71" s="49">
        <f>'2025年中心利润表 '!F71+'2025年江苏分部利润表'!F71+'2025年浙江分部利润表'!F71+'2025年上海分部利润表'!F71+'2025年赣皖区域利润表'!F71</f>
        <v>0</v>
      </c>
      <c r="G71" s="49">
        <f>'2025年中心利润表 '!G71+'2025年江苏分部利润表'!G71+'2025年浙江分部利润表'!G71+'2025年上海分部利润表'!G71+'2025年赣皖区域利润表'!G71</f>
        <v>7500</v>
      </c>
      <c r="H71" s="49">
        <f>'2025年中心利润表 '!H71+'2025年江苏分部利润表'!H71+'2025年浙江分部利润表'!H71+'2025年上海分部利润表'!H71+'2025年赣皖区域利润表'!H71</f>
        <v>0</v>
      </c>
      <c r="I71" s="49">
        <f>'2025年中心利润表 '!I71+'2025年江苏分部利润表'!I71+'2025年浙江分部利润表'!I71+'2025年上海分部利润表'!I71+'2025年赣皖区域利润表'!I71</f>
        <v>0</v>
      </c>
      <c r="J71" s="49">
        <f>'2025年中心利润表 '!J71+'2025年江苏分部利润表'!J71+'2025年浙江分部利润表'!J71+'2025年上海分部利润表'!J71+'2025年赣皖区域利润表'!J71</f>
        <v>0</v>
      </c>
      <c r="K71" s="49">
        <f>'2025年中心利润表 '!K71+'2025年江苏分部利润表'!K71+'2025年浙江分部利润表'!K71+'2025年上海分部利润表'!K71+'2025年赣皖区域利润表'!K71</f>
        <v>0</v>
      </c>
      <c r="L71" s="49">
        <f>'2025年中心利润表 '!L71+'2025年江苏分部利润表'!L71+'2025年浙江分部利润表'!L71+'2025年上海分部利润表'!L71+'2025年赣皖区域利润表'!L71</f>
        <v>0</v>
      </c>
      <c r="M71" s="49">
        <f>'2025年中心利润表 '!M71+'2025年江苏分部利润表'!M71+'2025年浙江分部利润表'!M71+'2025年上海分部利润表'!M71+'2025年赣皖区域利润表'!M71</f>
        <v>0</v>
      </c>
      <c r="N71" s="49">
        <f>'2025年中心利润表 '!N71+'2025年江苏分部利润表'!N71+'2025年浙江分部利润表'!N71+'2025年上海分部利润表'!N71+'2025年赣皖区域利润表'!N71</f>
        <v>0</v>
      </c>
      <c r="O71" s="49">
        <f>'2025年中心利润表 '!O71+'2025年江苏分部利润表'!O71+'2025年浙江分部利润表'!O71+'2025年上海分部利润表'!O71+'2025年赣皖区域利润表'!O71</f>
        <v>0</v>
      </c>
      <c r="P71" s="49">
        <f>'2025年中心利润表 '!P71+'2025年江苏分部利润表'!P71+'2025年浙江分部利润表'!P71+'2025年上海分部利润表'!P71+'2025年赣皖区域利润表'!P71</f>
        <v>0</v>
      </c>
      <c r="Q71" s="49">
        <f>'2025年中心利润表 '!Q71+'2025年江苏分部利润表'!Q71+'2025年浙江分部利润表'!Q71+'2025年上海分部利润表'!Q71+'2025年赣皖区域利润表'!Q71</f>
        <v>0</v>
      </c>
      <c r="R71" s="49">
        <f>'2025年中心利润表 '!R71+'2025年江苏分部利润表'!R71+'2025年浙江分部利润表'!R71+'2025年上海分部利润表'!R71+'2025年赣皖区域利润表'!R71</f>
        <v>0</v>
      </c>
      <c r="S71" s="49">
        <f>'2025年中心利润表 '!S71+'2025年江苏分部利润表'!S71+'2025年浙江分部利润表'!S71+'2025年上海分部利润表'!S71+'2025年赣皖区域利润表'!S71</f>
        <v>0</v>
      </c>
      <c r="T71" s="49">
        <f>'2025年中心利润表 '!T71+'2025年江苏分部利润表'!T71+'2025年浙江分部利润表'!T71+'2025年上海分部利润表'!T71+'2025年赣皖区域利润表'!T71</f>
        <v>0</v>
      </c>
      <c r="U71" s="49">
        <f>'2025年中心利润表 '!U71+'2025年江苏分部利润表'!U71+'2025年浙江分部利润表'!U71+'2025年上海分部利润表'!U71+'2025年赣皖区域利润表'!U71</f>
        <v>0</v>
      </c>
      <c r="V71" s="49">
        <f>'2025年中心利润表 '!V71+'2025年江苏分部利润表'!V71+'2025年浙江分部利润表'!V71+'2025年上海分部利润表'!V71+'2025年赣皖区域利润表'!V71</f>
        <v>0</v>
      </c>
      <c r="W71" s="49">
        <f>'2025年中心利润表 '!W71+'2025年江苏分部利润表'!W71+'2025年浙江分部利润表'!W71+'2025年上海分部利润表'!W71+'2025年赣皖区域利润表'!W71</f>
        <v>0</v>
      </c>
      <c r="X71" s="49">
        <f>'2025年中心利润表 '!X71+'2025年江苏分部利润表'!X71+'2025年浙江分部利润表'!X71+'2025年上海分部利润表'!X71+'2025年赣皖区域利润表'!X71</f>
        <v>0</v>
      </c>
      <c r="Y71" s="49">
        <f>'2025年中心利润表 '!Y71+'2025年江苏分部利润表'!Y71+'2025年浙江分部利润表'!Y71+'2025年上海分部利润表'!Y71+'2025年赣皖区域利润表'!Y71</f>
        <v>0</v>
      </c>
      <c r="Z71" s="49">
        <f>'2025年中心利润表 '!Z71+'2025年江苏分部利润表'!Z71+'2025年浙江分部利润表'!Z71+'2025年上海分部利润表'!Z71+'2025年赣皖区域利润表'!Z71</f>
        <v>0</v>
      </c>
      <c r="AA71" s="51">
        <f t="shared" si="12"/>
        <v>7500</v>
      </c>
      <c r="AB71" s="51">
        <f t="shared" si="13"/>
        <v>0</v>
      </c>
      <c r="AC71" s="94"/>
      <c r="AD71" s="31">
        <f t="shared" si="14"/>
        <v>7500</v>
      </c>
      <c r="AE71" s="31">
        <f t="shared" si="15"/>
        <v>0</v>
      </c>
      <c r="AF71" s="17">
        <f t="shared" si="18"/>
        <v>0</v>
      </c>
      <c r="AG71" s="17">
        <f t="shared" si="19"/>
        <v>0</v>
      </c>
      <c r="AH71" s="17">
        <f>SUM('[1]2024年全面预算利润表 (销售1中心)2.8亿'!E76:H76)</f>
        <v>1600</v>
      </c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</row>
    <row r="72" spans="1:53" s="19" customFormat="1" ht="14" hidden="1" outlineLevel="1" x14ac:dyDescent="0.25">
      <c r="A72" s="48" t="s">
        <v>149</v>
      </c>
      <c r="B72" s="53"/>
      <c r="C72" s="49">
        <f>'2025年中心利润表 '!C72+'2025年江苏分部利润表'!C72+'2025年浙江分部利润表'!C72+'2025年上海分部利润表'!C72+'2025年赣皖区域利润表'!C72</f>
        <v>0</v>
      </c>
      <c r="D72" s="49">
        <f>'2025年中心利润表 '!D72+'2025年江苏分部利润表'!D72+'2025年浙江分部利润表'!D72+'2025年上海分部利润表'!D72+'2025年赣皖区域利润表'!D72</f>
        <v>0</v>
      </c>
      <c r="E72" s="49">
        <f>'2025年中心利润表 '!E72+'2025年江苏分部利润表'!E72+'2025年浙江分部利润表'!E72+'2025年上海分部利润表'!E72+'2025年赣皖区域利润表'!E72</f>
        <v>0</v>
      </c>
      <c r="F72" s="49">
        <f>'2025年中心利润表 '!F72+'2025年江苏分部利润表'!F72+'2025年浙江分部利润表'!F72+'2025年上海分部利润表'!F72+'2025年赣皖区域利润表'!F72</f>
        <v>0</v>
      </c>
      <c r="G72" s="49">
        <f>'2025年中心利润表 '!G72+'2025年江苏分部利润表'!G72+'2025年浙江分部利润表'!G72+'2025年上海分部利润表'!G72+'2025年赣皖区域利润表'!G72</f>
        <v>0</v>
      </c>
      <c r="H72" s="49">
        <f>'2025年中心利润表 '!H72+'2025年江苏分部利润表'!H72+'2025年浙江分部利润表'!H72+'2025年上海分部利润表'!H72+'2025年赣皖区域利润表'!H72</f>
        <v>0</v>
      </c>
      <c r="I72" s="49">
        <f>'2025年中心利润表 '!I72+'2025年江苏分部利润表'!I72+'2025年浙江分部利润表'!I72+'2025年上海分部利润表'!I72+'2025年赣皖区域利润表'!I72</f>
        <v>0</v>
      </c>
      <c r="J72" s="49">
        <f>'2025年中心利润表 '!J72+'2025年江苏分部利润表'!J72+'2025年浙江分部利润表'!J72+'2025年上海分部利润表'!J72+'2025年赣皖区域利润表'!J72</f>
        <v>0</v>
      </c>
      <c r="K72" s="49">
        <f>'2025年中心利润表 '!K72+'2025年江苏分部利润表'!K72+'2025年浙江分部利润表'!K72+'2025年上海分部利润表'!K72+'2025年赣皖区域利润表'!K72</f>
        <v>0</v>
      </c>
      <c r="L72" s="49">
        <f>'2025年中心利润表 '!L72+'2025年江苏分部利润表'!L72+'2025年浙江分部利润表'!L72+'2025年上海分部利润表'!L72+'2025年赣皖区域利润表'!L72</f>
        <v>0</v>
      </c>
      <c r="M72" s="49">
        <f>'2025年中心利润表 '!M72+'2025年江苏分部利润表'!M72+'2025年浙江分部利润表'!M72+'2025年上海分部利润表'!M72+'2025年赣皖区域利润表'!M72</f>
        <v>0</v>
      </c>
      <c r="N72" s="49">
        <f>'2025年中心利润表 '!N72+'2025年江苏分部利润表'!N72+'2025年浙江分部利润表'!N72+'2025年上海分部利润表'!N72+'2025年赣皖区域利润表'!N72</f>
        <v>0</v>
      </c>
      <c r="O72" s="49">
        <f>'2025年中心利润表 '!O72+'2025年江苏分部利润表'!O72+'2025年浙江分部利润表'!O72+'2025年上海分部利润表'!O72+'2025年赣皖区域利润表'!O72</f>
        <v>0</v>
      </c>
      <c r="P72" s="49">
        <f>'2025年中心利润表 '!P72+'2025年江苏分部利润表'!P72+'2025年浙江分部利润表'!P72+'2025年上海分部利润表'!P72+'2025年赣皖区域利润表'!P72</f>
        <v>20727.72</v>
      </c>
      <c r="Q72" s="49">
        <f>'2025年中心利润表 '!Q72+'2025年江苏分部利润表'!Q72+'2025年浙江分部利润表'!Q72+'2025年上海分部利润表'!Q72+'2025年赣皖区域利润表'!Q72</f>
        <v>0</v>
      </c>
      <c r="R72" s="49">
        <f>'2025年中心利润表 '!R72+'2025年江苏分部利润表'!R72+'2025年浙江分部利润表'!R72+'2025年上海分部利润表'!R72+'2025年赣皖区域利润表'!R72</f>
        <v>0</v>
      </c>
      <c r="S72" s="49">
        <f>'2025年中心利润表 '!S72+'2025年江苏分部利润表'!S72+'2025年浙江分部利润表'!S72+'2025年上海分部利润表'!S72+'2025年赣皖区域利润表'!S72</f>
        <v>0</v>
      </c>
      <c r="T72" s="49">
        <f>'2025年中心利润表 '!T72+'2025年江苏分部利润表'!T72+'2025年浙江分部利润表'!T72+'2025年上海分部利润表'!T72+'2025年赣皖区域利润表'!T72</f>
        <v>0</v>
      </c>
      <c r="U72" s="49">
        <f>'2025年中心利润表 '!U72+'2025年江苏分部利润表'!U72+'2025年浙江分部利润表'!U72+'2025年上海分部利润表'!U72+'2025年赣皖区域利润表'!U72</f>
        <v>0</v>
      </c>
      <c r="V72" s="49">
        <f>'2025年中心利润表 '!V72+'2025年江苏分部利润表'!V72+'2025年浙江分部利润表'!V72+'2025年上海分部利润表'!V72+'2025年赣皖区域利润表'!V72</f>
        <v>0</v>
      </c>
      <c r="W72" s="49">
        <f>'2025年中心利润表 '!W72+'2025年江苏分部利润表'!W72+'2025年浙江分部利润表'!W72+'2025年上海分部利润表'!W72+'2025年赣皖区域利润表'!W72</f>
        <v>0</v>
      </c>
      <c r="X72" s="49">
        <f>'2025年中心利润表 '!X72+'2025年江苏分部利润表'!X72+'2025年浙江分部利润表'!X72+'2025年上海分部利润表'!X72+'2025年赣皖区域利润表'!X72</f>
        <v>0</v>
      </c>
      <c r="Y72" s="49">
        <f>'2025年中心利润表 '!Y72+'2025年江苏分部利润表'!Y72+'2025年浙江分部利润表'!Y72+'2025年上海分部利润表'!Y72+'2025年赣皖区域利润表'!Y72</f>
        <v>0</v>
      </c>
      <c r="Z72" s="49">
        <f>'2025年中心利润表 '!Z72+'2025年江苏分部利润表'!Z72+'2025年浙江分部利润表'!Z72+'2025年上海分部利润表'!Z72+'2025年赣皖区域利润表'!Z72</f>
        <v>0</v>
      </c>
      <c r="AA72" s="51">
        <f t="shared" si="12"/>
        <v>0</v>
      </c>
      <c r="AB72" s="51">
        <f t="shared" si="13"/>
        <v>20727.72</v>
      </c>
      <c r="AC72" s="94"/>
      <c r="AD72" s="31">
        <f t="shared" si="14"/>
        <v>0</v>
      </c>
      <c r="AE72" s="31">
        <f t="shared" si="15"/>
        <v>20727.72</v>
      </c>
      <c r="AF72" s="17">
        <f t="shared" si="18"/>
        <v>0</v>
      </c>
      <c r="AG72" s="17">
        <f t="shared" si="19"/>
        <v>0</v>
      </c>
      <c r="AH72" s="17">
        <f>SUM('[1]2024年全面预算利润表 (销售1中心)2.8亿'!E77:H77)</f>
        <v>0</v>
      </c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</row>
    <row r="73" spans="1:53" s="19" customFormat="1" ht="14" hidden="1" outlineLevel="1" x14ac:dyDescent="0.25">
      <c r="A73" s="48" t="s">
        <v>150</v>
      </c>
      <c r="B73" s="53"/>
      <c r="C73" s="49">
        <f>'2025年中心利润表 '!C73+'2025年江苏分部利润表'!C73+'2025年浙江分部利润表'!C73+'2025年上海分部利润表'!C73+'2025年赣皖区域利润表'!C73</f>
        <v>5700</v>
      </c>
      <c r="D73" s="49">
        <f>'2025年中心利润表 '!D73+'2025年江苏分部利润表'!D73+'2025年浙江分部利润表'!D73+'2025年上海分部利润表'!D73+'2025年赣皖区域利润表'!D73</f>
        <v>3073.29</v>
      </c>
      <c r="E73" s="49">
        <f>'2025年中心利润表 '!E73+'2025年江苏分部利润表'!E73+'2025年浙江分部利润表'!E73+'2025年上海分部利润表'!E73+'2025年赣皖区域利润表'!E73</f>
        <v>5700</v>
      </c>
      <c r="F73" s="49">
        <f>'2025年中心利润表 '!F73+'2025年江苏分部利润表'!F73+'2025年浙江分部利润表'!F73+'2025年上海分部利润表'!F73+'2025年赣皖区域利润表'!F73</f>
        <v>4056.9399999999996</v>
      </c>
      <c r="G73" s="49">
        <f>'2025年中心利润表 '!G73+'2025年江苏分部利润表'!G73+'2025年浙江分部利润表'!G73+'2025年上海分部利润表'!G73+'2025年赣皖区域利润表'!G73</f>
        <v>5700</v>
      </c>
      <c r="H73" s="49">
        <f>'2025年中心利润表 '!H73+'2025年江苏分部利润表'!H73+'2025年浙江分部利润表'!H73+'2025年上海分部利润表'!H73+'2025年赣皖区域利润表'!H73</f>
        <v>7830.9699999999993</v>
      </c>
      <c r="I73" s="49">
        <f>'2025年中心利润表 '!I73+'2025年江苏分部利润表'!I73+'2025年浙江分部利润表'!I73+'2025年上海分部利润表'!I73+'2025年赣皖区域利润表'!I73</f>
        <v>5700</v>
      </c>
      <c r="J73" s="49">
        <f>'2025年中心利润表 '!J73+'2025年江苏分部利润表'!J73+'2025年浙江分部利润表'!J73+'2025年上海分部利润表'!J73+'2025年赣皖区域利润表'!J73</f>
        <v>8884.3200000000015</v>
      </c>
      <c r="K73" s="49">
        <f>'2025年中心利润表 '!K73+'2025年江苏分部利润表'!K73+'2025年浙江分部利润表'!K73+'2025年上海分部利润表'!K73+'2025年赣皖区域利润表'!K73</f>
        <v>5700</v>
      </c>
      <c r="L73" s="49">
        <f>'2025年中心利润表 '!L73+'2025年江苏分部利润表'!L73+'2025年浙江分部利润表'!L73+'2025年上海分部利润表'!L73+'2025年赣皖区域利润表'!L73</f>
        <v>5058.58</v>
      </c>
      <c r="M73" s="49">
        <f>'2025年中心利润表 '!M73+'2025年江苏分部利润表'!M73+'2025年浙江分部利润表'!M73+'2025年上海分部利润表'!M73+'2025年赣皖区域利润表'!M73</f>
        <v>5700</v>
      </c>
      <c r="N73" s="49">
        <f>'2025年中心利润表 '!N73+'2025年江苏分部利润表'!N73+'2025年浙江分部利润表'!N73+'2025年上海分部利润表'!N73+'2025年赣皖区域利润表'!N73</f>
        <v>3458.8799999999997</v>
      </c>
      <c r="O73" s="49">
        <f>'2025年中心利润表 '!O73+'2025年江苏分部利润表'!O73+'2025年浙江分部利润表'!O73+'2025年上海分部利润表'!O73+'2025年赣皖区域利润表'!O73</f>
        <v>5700</v>
      </c>
      <c r="P73" s="49">
        <f>'2025年中心利润表 '!P73+'2025年江苏分部利润表'!P73+'2025年浙江分部利润表'!P73+'2025年上海分部利润表'!P73+'2025年赣皖区域利润表'!P73</f>
        <v>5066.47</v>
      </c>
      <c r="Q73" s="49">
        <f>'2025年中心利润表 '!Q73+'2025年江苏分部利润表'!Q73+'2025年浙江分部利润表'!Q73+'2025年上海分部利润表'!Q73+'2025年赣皖区域利润表'!Q73</f>
        <v>5700</v>
      </c>
      <c r="R73" s="49">
        <f>'2025年中心利润表 '!R73+'2025年江苏分部利润表'!R73+'2025年浙江分部利润表'!R73+'2025年上海分部利润表'!R73+'2025年赣皖区域利润表'!R73</f>
        <v>4230.6499999999996</v>
      </c>
      <c r="S73" s="49">
        <f>'2025年中心利润表 '!S73+'2025年江苏分部利润表'!S73+'2025年浙江分部利润表'!S73+'2025年上海分部利润表'!S73+'2025年赣皖区域利润表'!S73</f>
        <v>5700</v>
      </c>
      <c r="T73" s="49">
        <f>'2025年中心利润表 '!T73+'2025年江苏分部利润表'!T73+'2025年浙江分部利润表'!T73+'2025年上海分部利润表'!T73+'2025年赣皖区域利润表'!T73</f>
        <v>3905.96</v>
      </c>
      <c r="U73" s="49">
        <f>'2025年中心利润表 '!U73+'2025年江苏分部利润表'!U73+'2025年浙江分部利润表'!U73+'2025年上海分部利润表'!U73+'2025年赣皖区域利润表'!U73</f>
        <v>5700</v>
      </c>
      <c r="V73" s="49">
        <f>'2025年中心利润表 '!V73+'2025年江苏分部利润表'!V73+'2025年浙江分部利润表'!V73+'2025年上海分部利润表'!V73+'2025年赣皖区域利润表'!V73</f>
        <v>3771.82</v>
      </c>
      <c r="W73" s="49">
        <f>'2025年中心利润表 '!W73+'2025年江苏分部利润表'!W73+'2025年浙江分部利润表'!W73+'2025年上海分部利润表'!W73+'2025年赣皖区域利润表'!W73</f>
        <v>5700</v>
      </c>
      <c r="X73" s="49">
        <f>'2025年中心利润表 '!X73+'2025年江苏分部利润表'!X73+'2025年浙江分部利润表'!X73+'2025年上海分部利润表'!X73+'2025年赣皖区域利润表'!X73</f>
        <v>4023.05</v>
      </c>
      <c r="Y73" s="49">
        <f>'2025年中心利润表 '!Y73+'2025年江苏分部利润表'!Y73+'2025年浙江分部利润表'!Y73+'2025年上海分部利润表'!Y73+'2025年赣皖区域利润表'!Y73</f>
        <v>5700</v>
      </c>
      <c r="Z73" s="49">
        <f>'2025年中心利润表 '!Z73+'2025年江苏分部利润表'!Z73+'2025年浙江分部利润表'!Z73+'2025年上海分部利润表'!Z73+'2025年赣皖区域利润表'!Z73</f>
        <v>4300.83</v>
      </c>
      <c r="AA73" s="51">
        <f t="shared" si="12"/>
        <v>68400</v>
      </c>
      <c r="AB73" s="51">
        <f t="shared" si="13"/>
        <v>57661.760000000002</v>
      </c>
      <c r="AC73" s="94"/>
      <c r="AD73" s="31">
        <f t="shared" si="14"/>
        <v>68400</v>
      </c>
      <c r="AE73" s="31">
        <f t="shared" si="15"/>
        <v>57661.760000000002</v>
      </c>
      <c r="AF73" s="17">
        <f t="shared" si="18"/>
        <v>0</v>
      </c>
      <c r="AG73" s="17">
        <f t="shared" si="19"/>
        <v>0</v>
      </c>
      <c r="AH73" s="17">
        <f>SUM('[1]2024年全面预算利润表 (销售1中心)2.8亿'!E78:H78)</f>
        <v>27232.785</v>
      </c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</row>
    <row r="74" spans="1:53" s="19" customFormat="1" ht="14" hidden="1" outlineLevel="1" x14ac:dyDescent="0.25">
      <c r="A74" s="48" t="s">
        <v>151</v>
      </c>
      <c r="B74" s="53"/>
      <c r="C74" s="49">
        <f>'2025年中心利润表 '!C74+'2025年江苏分部利润表'!C74+'2025年浙江分部利润表'!C74+'2025年上海分部利润表'!C74+'2025年赣皖区域利润表'!C74</f>
        <v>0</v>
      </c>
      <c r="D74" s="49">
        <f>'2025年中心利润表 '!D74+'2025年江苏分部利润表'!D74+'2025年浙江分部利润表'!D74+'2025年上海分部利润表'!D74+'2025年赣皖区域利润表'!D74</f>
        <v>0</v>
      </c>
      <c r="E74" s="49">
        <f>'2025年中心利润表 '!E74+'2025年江苏分部利润表'!E74+'2025年浙江分部利润表'!E74+'2025年上海分部利润表'!E74+'2025年赣皖区域利润表'!E74</f>
        <v>0</v>
      </c>
      <c r="F74" s="49">
        <f>'2025年中心利润表 '!F74+'2025年江苏分部利润表'!F74+'2025年浙江分部利润表'!F74+'2025年上海分部利润表'!F74+'2025年赣皖区域利润表'!F74</f>
        <v>0</v>
      </c>
      <c r="G74" s="49">
        <f>'2025年中心利润表 '!G74+'2025年江苏分部利润表'!G74+'2025年浙江分部利润表'!G74+'2025年上海分部利润表'!G74+'2025年赣皖区域利润表'!G74</f>
        <v>0</v>
      </c>
      <c r="H74" s="49">
        <f>'2025年中心利润表 '!H74+'2025年江苏分部利润表'!H74+'2025年浙江分部利润表'!H74+'2025年上海分部利润表'!H74+'2025年赣皖区域利润表'!H74</f>
        <v>0</v>
      </c>
      <c r="I74" s="49">
        <f>'2025年中心利润表 '!I74+'2025年江苏分部利润表'!I74+'2025年浙江分部利润表'!I74+'2025年上海分部利润表'!I74+'2025年赣皖区域利润表'!I74</f>
        <v>0</v>
      </c>
      <c r="J74" s="49">
        <f>'2025年中心利润表 '!J74+'2025年江苏分部利润表'!J74+'2025年浙江分部利润表'!J74+'2025年上海分部利润表'!J74+'2025年赣皖区域利润表'!J74</f>
        <v>42452.83</v>
      </c>
      <c r="K74" s="49">
        <f>'2025年中心利润表 '!K74+'2025年江苏分部利润表'!K74+'2025年浙江分部利润表'!K74+'2025年上海分部利润表'!K74+'2025年赣皖区域利润表'!K74</f>
        <v>0</v>
      </c>
      <c r="L74" s="49">
        <f>'2025年中心利润表 '!L74+'2025年江苏分部利润表'!L74+'2025年浙江分部利润表'!L74+'2025年上海分部利润表'!L74+'2025年赣皖区域利润表'!L74</f>
        <v>0</v>
      </c>
      <c r="M74" s="49">
        <f>'2025年中心利润表 '!M74+'2025年江苏分部利润表'!M74+'2025年浙江分部利润表'!M74+'2025年上海分部利润表'!M74+'2025年赣皖区域利润表'!M74</f>
        <v>0</v>
      </c>
      <c r="N74" s="49">
        <f>'2025年中心利润表 '!N74+'2025年江苏分部利润表'!N74+'2025年浙江分部利润表'!N74+'2025年上海分部利润表'!N74+'2025年赣皖区域利润表'!N74</f>
        <v>0</v>
      </c>
      <c r="O74" s="49">
        <f>'2025年中心利润表 '!O74+'2025年江苏分部利润表'!O74+'2025年浙江分部利润表'!O74+'2025年上海分部利润表'!O74+'2025年赣皖区域利润表'!O74</f>
        <v>0</v>
      </c>
      <c r="P74" s="49">
        <f>'2025年中心利润表 '!P74+'2025年江苏分部利润表'!P74+'2025年浙江分部利润表'!P74+'2025年上海分部利润表'!P74+'2025年赣皖区域利润表'!P74</f>
        <v>0</v>
      </c>
      <c r="Q74" s="49">
        <f>'2025年中心利润表 '!Q74+'2025年江苏分部利润表'!Q74+'2025年浙江分部利润表'!Q74+'2025年上海分部利润表'!Q74+'2025年赣皖区域利润表'!Q74</f>
        <v>0</v>
      </c>
      <c r="R74" s="49">
        <f>'2025年中心利润表 '!R74+'2025年江苏分部利润表'!R74+'2025年浙江分部利润表'!R74+'2025年上海分部利润表'!R74+'2025年赣皖区域利润表'!R74</f>
        <v>0</v>
      </c>
      <c r="S74" s="49">
        <f>'2025年中心利润表 '!S74+'2025年江苏分部利润表'!S74+'2025年浙江分部利润表'!S74+'2025年上海分部利润表'!S74+'2025年赣皖区域利润表'!S74</f>
        <v>0</v>
      </c>
      <c r="T74" s="49">
        <f>'2025年中心利润表 '!T74+'2025年江苏分部利润表'!T74+'2025年浙江分部利润表'!T74+'2025年上海分部利润表'!T74+'2025年赣皖区域利润表'!T74</f>
        <v>-4293.6400000000003</v>
      </c>
      <c r="U74" s="49">
        <f>'2025年中心利润表 '!U74+'2025年江苏分部利润表'!U74+'2025年浙江分部利润表'!U74+'2025年上海分部利润表'!U74+'2025年赣皖区域利润表'!U74</f>
        <v>0</v>
      </c>
      <c r="V74" s="49">
        <f>'2025年中心利润表 '!V74+'2025年江苏分部利润表'!V74+'2025年浙江分部利润表'!V74+'2025年上海分部利润表'!V74+'2025年赣皖区域利润表'!V74</f>
        <v>0</v>
      </c>
      <c r="W74" s="49">
        <f>'2025年中心利润表 '!W74+'2025年江苏分部利润表'!W74+'2025年浙江分部利润表'!W74+'2025年上海分部利润表'!W74+'2025年赣皖区域利润表'!W74</f>
        <v>0</v>
      </c>
      <c r="X74" s="49">
        <f>'2025年中心利润表 '!X74+'2025年江苏分部利润表'!X74+'2025年浙江分部利润表'!X74+'2025年上海分部利润表'!X74+'2025年赣皖区域利润表'!X74</f>
        <v>0</v>
      </c>
      <c r="Y74" s="49">
        <f>'2025年中心利润表 '!Y74+'2025年江苏分部利润表'!Y74+'2025年浙江分部利润表'!Y74+'2025年上海分部利润表'!Y74+'2025年赣皖区域利润表'!Y74</f>
        <v>0</v>
      </c>
      <c r="Z74" s="49">
        <f>'2025年中心利润表 '!Z74+'2025年江苏分部利润表'!Z74+'2025年浙江分部利润表'!Z74+'2025年上海分部利润表'!Z74+'2025年赣皖区域利润表'!Z74</f>
        <v>0</v>
      </c>
      <c r="AA74" s="51">
        <f t="shared" si="12"/>
        <v>0</v>
      </c>
      <c r="AB74" s="51">
        <f t="shared" si="13"/>
        <v>38159.19</v>
      </c>
      <c r="AC74" s="94"/>
      <c r="AD74" s="31">
        <f t="shared" si="14"/>
        <v>0</v>
      </c>
      <c r="AE74" s="31">
        <f t="shared" si="15"/>
        <v>38159.19</v>
      </c>
      <c r="AF74" s="17">
        <f t="shared" si="18"/>
        <v>0</v>
      </c>
      <c r="AG74" s="17">
        <f t="shared" si="19"/>
        <v>0</v>
      </c>
      <c r="AH74" s="17">
        <f>SUM('[1]2024年全面预算利润表 (销售1中心)2.8亿'!E79:H79)</f>
        <v>0</v>
      </c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</row>
    <row r="75" spans="1:53" s="19" customFormat="1" ht="14" hidden="1" outlineLevel="1" x14ac:dyDescent="0.25">
      <c r="A75" s="48" t="s">
        <v>152</v>
      </c>
      <c r="B75" s="53"/>
      <c r="C75" s="49">
        <f>'2025年中心利润表 '!C75+'2025年江苏分部利润表'!C75+'2025年浙江分部利润表'!C75+'2025年上海分部利润表'!C75+'2025年赣皖区域利润表'!C75</f>
        <v>0</v>
      </c>
      <c r="D75" s="49">
        <f>'2025年中心利润表 '!D75+'2025年江苏分部利润表'!D75+'2025年浙江分部利润表'!D75+'2025年上海分部利润表'!D75+'2025年赣皖区域利润表'!D75</f>
        <v>0</v>
      </c>
      <c r="E75" s="49">
        <f>'2025年中心利润表 '!E75+'2025年江苏分部利润表'!E75+'2025年浙江分部利润表'!E75+'2025年上海分部利润表'!E75+'2025年赣皖区域利润表'!E75</f>
        <v>0</v>
      </c>
      <c r="F75" s="49">
        <f>'2025年中心利润表 '!F75+'2025年江苏分部利润表'!F75+'2025年浙江分部利润表'!F75+'2025年上海分部利润表'!F75+'2025年赣皖区域利润表'!F75</f>
        <v>0</v>
      </c>
      <c r="G75" s="49">
        <f>'2025年中心利润表 '!G75+'2025年江苏分部利润表'!G75+'2025年浙江分部利润表'!G75+'2025年上海分部利润表'!G75+'2025年赣皖区域利润表'!G75</f>
        <v>15000</v>
      </c>
      <c r="H75" s="49">
        <f>'2025年中心利润表 '!H75+'2025年江苏分部利润表'!H75+'2025年浙江分部利润表'!H75+'2025年上海分部利润表'!H75+'2025年赣皖区域利润表'!H75</f>
        <v>0</v>
      </c>
      <c r="I75" s="49">
        <f>'2025年中心利润表 '!I75+'2025年江苏分部利润表'!I75+'2025年浙江分部利润表'!I75+'2025年上海分部利润表'!I75+'2025年赣皖区域利润表'!I75</f>
        <v>0</v>
      </c>
      <c r="J75" s="49">
        <f>'2025年中心利润表 '!J75+'2025年江苏分部利润表'!J75+'2025年浙江分部利润表'!J75+'2025年上海分部利润表'!J75+'2025年赣皖区域利润表'!J75</f>
        <v>0</v>
      </c>
      <c r="K75" s="49">
        <f>'2025年中心利润表 '!K75+'2025年江苏分部利润表'!K75+'2025年浙江分部利润表'!K75+'2025年上海分部利润表'!K75+'2025年赣皖区域利润表'!K75</f>
        <v>0</v>
      </c>
      <c r="L75" s="49">
        <f>'2025年中心利润表 '!L75+'2025年江苏分部利润表'!L75+'2025年浙江分部利润表'!L75+'2025年上海分部利润表'!L75+'2025年赣皖区域利润表'!L75</f>
        <v>0</v>
      </c>
      <c r="M75" s="49">
        <f>'2025年中心利润表 '!M75+'2025年江苏分部利润表'!M75+'2025年浙江分部利润表'!M75+'2025年上海分部利润表'!M75+'2025年赣皖区域利润表'!M75</f>
        <v>0</v>
      </c>
      <c r="N75" s="49">
        <f>'2025年中心利润表 '!N75+'2025年江苏分部利润表'!N75+'2025年浙江分部利润表'!N75+'2025年上海分部利润表'!N75+'2025年赣皖区域利润表'!N75</f>
        <v>0</v>
      </c>
      <c r="O75" s="49">
        <f>'2025年中心利润表 '!O75+'2025年江苏分部利润表'!O75+'2025年浙江分部利润表'!O75+'2025年上海分部利润表'!O75+'2025年赣皖区域利润表'!O75</f>
        <v>0</v>
      </c>
      <c r="P75" s="49">
        <f>'2025年中心利润表 '!P75+'2025年江苏分部利润表'!P75+'2025年浙江分部利润表'!P75+'2025年上海分部利润表'!P75+'2025年赣皖区域利润表'!P75</f>
        <v>0</v>
      </c>
      <c r="Q75" s="49">
        <f>'2025年中心利润表 '!Q75+'2025年江苏分部利润表'!Q75+'2025年浙江分部利润表'!Q75+'2025年上海分部利润表'!Q75+'2025年赣皖区域利润表'!Q75</f>
        <v>0</v>
      </c>
      <c r="R75" s="49">
        <f>'2025年中心利润表 '!R75+'2025年江苏分部利润表'!R75+'2025年浙江分部利润表'!R75+'2025年上海分部利润表'!R75+'2025年赣皖区域利润表'!R75</f>
        <v>0</v>
      </c>
      <c r="S75" s="49">
        <f>'2025年中心利润表 '!S75+'2025年江苏分部利润表'!S75+'2025年浙江分部利润表'!S75+'2025年上海分部利润表'!S75+'2025年赣皖区域利润表'!S75</f>
        <v>0</v>
      </c>
      <c r="T75" s="49">
        <f>'2025年中心利润表 '!T75+'2025年江苏分部利润表'!T75+'2025年浙江分部利润表'!T75+'2025年上海分部利润表'!T75+'2025年赣皖区域利润表'!T75</f>
        <v>0</v>
      </c>
      <c r="U75" s="49">
        <f>'2025年中心利润表 '!U75+'2025年江苏分部利润表'!U75+'2025年浙江分部利润表'!U75+'2025年上海分部利润表'!U75+'2025年赣皖区域利润表'!U75</f>
        <v>0</v>
      </c>
      <c r="V75" s="49">
        <f>'2025年中心利润表 '!V75+'2025年江苏分部利润表'!V75+'2025年浙江分部利润表'!V75+'2025年上海分部利润表'!V75+'2025年赣皖区域利润表'!V75</f>
        <v>0</v>
      </c>
      <c r="W75" s="49">
        <f>'2025年中心利润表 '!W75+'2025年江苏分部利润表'!W75+'2025年浙江分部利润表'!W75+'2025年上海分部利润表'!W75+'2025年赣皖区域利润表'!W75</f>
        <v>0</v>
      </c>
      <c r="X75" s="49">
        <f>'2025年中心利润表 '!X75+'2025年江苏分部利润表'!X75+'2025年浙江分部利润表'!X75+'2025年上海分部利润表'!X75+'2025年赣皖区域利润表'!X75</f>
        <v>0</v>
      </c>
      <c r="Y75" s="49">
        <f>'2025年中心利润表 '!Y75+'2025年江苏分部利润表'!Y75+'2025年浙江分部利润表'!Y75+'2025年上海分部利润表'!Y75+'2025年赣皖区域利润表'!Y75</f>
        <v>0</v>
      </c>
      <c r="Z75" s="49">
        <f>'2025年中心利润表 '!Z75+'2025年江苏分部利润表'!Z75+'2025年浙江分部利润表'!Z75+'2025年上海分部利润表'!Z75+'2025年赣皖区域利润表'!Z75</f>
        <v>0</v>
      </c>
      <c r="AA75" s="51">
        <f t="shared" si="12"/>
        <v>15000</v>
      </c>
      <c r="AB75" s="51">
        <f t="shared" si="13"/>
        <v>0</v>
      </c>
      <c r="AC75" s="94"/>
      <c r="AD75" s="31">
        <f t="shared" si="14"/>
        <v>15000</v>
      </c>
      <c r="AE75" s="31">
        <f t="shared" si="15"/>
        <v>0</v>
      </c>
      <c r="AF75" s="17">
        <f t="shared" si="18"/>
        <v>0</v>
      </c>
      <c r="AG75" s="17">
        <f t="shared" si="19"/>
        <v>0</v>
      </c>
      <c r="AH75" s="17">
        <f>SUM('[1]2024年全面预算利润表 (销售1中心)2.8亿'!E80:H80)</f>
        <v>15600</v>
      </c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</row>
    <row r="76" spans="1:53" s="19" customFormat="1" ht="14" hidden="1" outlineLevel="1" x14ac:dyDescent="0.25">
      <c r="A76" s="48" t="s">
        <v>153</v>
      </c>
      <c r="B76" s="53"/>
      <c r="C76" s="49">
        <f>'2025年中心利润表 '!C76+'2025年江苏分部利润表'!C76+'2025年浙江分部利润表'!C76+'2025年上海分部利润表'!C76+'2025年赣皖区域利润表'!C76</f>
        <v>0</v>
      </c>
      <c r="D76" s="49">
        <f>'2025年中心利润表 '!D76+'2025年江苏分部利润表'!D76+'2025年浙江分部利润表'!D76+'2025年上海分部利润表'!D76+'2025年赣皖区域利润表'!D76</f>
        <v>833.33</v>
      </c>
      <c r="E76" s="49">
        <f>'2025年中心利润表 '!E76+'2025年江苏分部利润表'!E76+'2025年浙江分部利润表'!E76+'2025年上海分部利润表'!E76+'2025年赣皖区域利润表'!E76</f>
        <v>0</v>
      </c>
      <c r="F76" s="49">
        <f>'2025年中心利润表 '!F76+'2025年江苏分部利润表'!F76+'2025年浙江分部利润表'!F76+'2025年上海分部利润表'!F76+'2025年赣皖区域利润表'!F76</f>
        <v>2283.33</v>
      </c>
      <c r="G76" s="49">
        <f>'2025年中心利润表 '!G76+'2025年江苏分部利润表'!G76+'2025年浙江分部利润表'!G76+'2025年上海分部利润表'!G76+'2025年赣皖区域利润表'!G76</f>
        <v>0</v>
      </c>
      <c r="H76" s="49">
        <f>'2025年中心利润表 '!H76+'2025年江苏分部利润表'!H76+'2025年浙江分部利润表'!H76+'2025年上海分部利润表'!H76+'2025年赣皖区域利润表'!H76</f>
        <v>833.33</v>
      </c>
      <c r="I76" s="49">
        <f>'2025年中心利润表 '!I76+'2025年江苏分部利润表'!I76+'2025年浙江分部利润表'!I76+'2025年上海分部利润表'!I76+'2025年赣皖区域利润表'!I76</f>
        <v>0</v>
      </c>
      <c r="J76" s="49">
        <f>'2025年中心利润表 '!J76+'2025年江苏分部利润表'!J76+'2025年浙江分部利润表'!J76+'2025年上海分部利润表'!J76+'2025年赣皖区域利润表'!J76</f>
        <v>1081.33</v>
      </c>
      <c r="K76" s="49">
        <f>'2025年中心利润表 '!K76+'2025年江苏分部利润表'!K76+'2025年浙江分部利润表'!K76+'2025年上海分部利润表'!K76+'2025年赣皖区域利润表'!K76</f>
        <v>0</v>
      </c>
      <c r="L76" s="49">
        <f>'2025年中心利润表 '!L76+'2025年江苏分部利润表'!L76+'2025年浙江分部利润表'!L76+'2025年上海分部利润表'!L76+'2025年赣皖区域利润表'!L76</f>
        <v>833.33</v>
      </c>
      <c r="M76" s="49">
        <f>'2025年中心利润表 '!M76+'2025年江苏分部利润表'!M76+'2025年浙江分部利润表'!M76+'2025年上海分部利润表'!M76+'2025年赣皖区域利润表'!M76</f>
        <v>0</v>
      </c>
      <c r="N76" s="49">
        <f>'2025年中心利润表 '!N76+'2025年江苏分部利润表'!N76+'2025年浙江分部利润表'!N76+'2025年上海分部利润表'!N76+'2025年赣皖区域利润表'!N76</f>
        <v>833.37</v>
      </c>
      <c r="O76" s="49">
        <f>'2025年中心利润表 '!O76+'2025年江苏分部利润表'!O76+'2025年浙江分部利润表'!O76+'2025年上海分部利润表'!O76+'2025年赣皖区域利润表'!O76</f>
        <v>0</v>
      </c>
      <c r="P76" s="49">
        <f>'2025年中心利润表 '!P76+'2025年江苏分部利润表'!P76+'2025年浙江分部利润表'!P76+'2025年上海分部利润表'!P76+'2025年赣皖区域利润表'!P76</f>
        <v>0</v>
      </c>
      <c r="Q76" s="49">
        <f>'2025年中心利润表 '!Q76+'2025年江苏分部利润表'!Q76+'2025年浙江分部利润表'!Q76+'2025年上海分部利润表'!Q76+'2025年赣皖区域利润表'!Q76</f>
        <v>0</v>
      </c>
      <c r="R76" s="49">
        <f>'2025年中心利润表 '!R76+'2025年江苏分部利润表'!R76+'2025年浙江分部利润表'!R76+'2025年上海分部利润表'!R76+'2025年赣皖区域利润表'!R76</f>
        <v>0</v>
      </c>
      <c r="S76" s="49">
        <f>'2025年中心利润表 '!S76+'2025年江苏分部利润表'!S76+'2025年浙江分部利润表'!S76+'2025年上海分部利润表'!S76+'2025年赣皖区域利润表'!S76</f>
        <v>0</v>
      </c>
      <c r="T76" s="49">
        <f>'2025年中心利润表 '!T76+'2025年江苏分部利润表'!T76+'2025年浙江分部利润表'!T76+'2025年上海分部利润表'!T76+'2025年赣皖区域利润表'!T76</f>
        <v>150</v>
      </c>
      <c r="U76" s="49">
        <f>'2025年中心利润表 '!U76+'2025年江苏分部利润表'!U76+'2025年浙江分部利润表'!U76+'2025年上海分部利润表'!U76+'2025年赣皖区域利润表'!U76</f>
        <v>0</v>
      </c>
      <c r="V76" s="49">
        <f>'2025年中心利润表 '!V76+'2025年江苏分部利润表'!V76+'2025年浙江分部利润表'!V76+'2025年上海分部利润表'!V76+'2025年赣皖区域利润表'!V76</f>
        <v>80</v>
      </c>
      <c r="W76" s="49">
        <f>'2025年中心利润表 '!W76+'2025年江苏分部利润表'!W76+'2025年浙江分部利润表'!W76+'2025年上海分部利润表'!W76+'2025年赣皖区域利润表'!W76</f>
        <v>0</v>
      </c>
      <c r="X76" s="49">
        <f>'2025年中心利润表 '!X76+'2025年江苏分部利润表'!X76+'2025年浙江分部利润表'!X76+'2025年上海分部利润表'!X76+'2025年赣皖区域利润表'!X76</f>
        <v>3600</v>
      </c>
      <c r="Y76" s="49">
        <f>'2025年中心利润表 '!Y76+'2025年江苏分部利润表'!Y76+'2025年浙江分部利润表'!Y76+'2025年上海分部利润表'!Y76+'2025年赣皖区域利润表'!Y76</f>
        <v>0</v>
      </c>
      <c r="Z76" s="49">
        <f>'2025年中心利润表 '!Z76+'2025年江苏分部利润表'!Z76+'2025年浙江分部利润表'!Z76+'2025年上海分部利润表'!Z76+'2025年赣皖区域利润表'!Z76</f>
        <v>12100</v>
      </c>
      <c r="AA76" s="51">
        <f t="shared" si="12"/>
        <v>0</v>
      </c>
      <c r="AB76" s="51">
        <f t="shared" si="13"/>
        <v>22628.02</v>
      </c>
      <c r="AC76" s="94"/>
      <c r="AD76" s="31">
        <f t="shared" si="14"/>
        <v>0</v>
      </c>
      <c r="AE76" s="31">
        <f t="shared" si="15"/>
        <v>22628.02</v>
      </c>
      <c r="AF76" s="17">
        <f t="shared" si="18"/>
        <v>0</v>
      </c>
      <c r="AG76" s="17">
        <f t="shared" si="19"/>
        <v>0</v>
      </c>
      <c r="AH76" s="17">
        <f>SUM('[1]2024年全面预算利润表 (销售1中心)2.8亿'!E81:H81)</f>
        <v>14000</v>
      </c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</row>
    <row r="77" spans="1:53" s="19" customFormat="1" ht="14" hidden="1" outlineLevel="1" x14ac:dyDescent="0.25">
      <c r="A77" s="48" t="s">
        <v>154</v>
      </c>
      <c r="B77" s="53"/>
      <c r="C77" s="49">
        <f>'2025年中心利润表 '!C77+'2025年江苏分部利润表'!C77+'2025年浙江分部利润表'!C77+'2025年上海分部利润表'!C77+'2025年赣皖区域利润表'!C77</f>
        <v>4500</v>
      </c>
      <c r="D77" s="49">
        <f>'2025年中心利润表 '!D77+'2025年江苏分部利润表'!D77+'2025年浙江分部利润表'!D77+'2025年上海分部利润表'!D77+'2025年赣皖区域利润表'!D77</f>
        <v>30000</v>
      </c>
      <c r="E77" s="49">
        <f>'2025年中心利润表 '!E77+'2025年江苏分部利润表'!E77+'2025年浙江分部利润表'!E77+'2025年上海分部利润表'!E77+'2025年赣皖区域利润表'!E77</f>
        <v>4500</v>
      </c>
      <c r="F77" s="49">
        <f>'2025年中心利润表 '!F77+'2025年江苏分部利润表'!F77+'2025年浙江分部利润表'!F77+'2025年上海分部利润表'!F77+'2025年赣皖区域利润表'!F77</f>
        <v>0</v>
      </c>
      <c r="G77" s="49">
        <f>'2025年中心利润表 '!G77+'2025年江苏分部利润表'!G77+'2025年浙江分部利润表'!G77+'2025年上海分部利润表'!G77+'2025年赣皖区域利润表'!G77</f>
        <v>4500</v>
      </c>
      <c r="H77" s="49">
        <f>'2025年中心利润表 '!H77+'2025年江苏分部利润表'!H77+'2025年浙江分部利润表'!H77+'2025年上海分部利润表'!H77+'2025年赣皖区域利润表'!H77</f>
        <v>0</v>
      </c>
      <c r="I77" s="49">
        <f>'2025年中心利润表 '!I77+'2025年江苏分部利润表'!I77+'2025年浙江分部利润表'!I77+'2025年上海分部利润表'!I77+'2025年赣皖区域利润表'!I77</f>
        <v>4500</v>
      </c>
      <c r="J77" s="49">
        <f>'2025年中心利润表 '!J77+'2025年江苏分部利润表'!J77+'2025年浙江分部利润表'!J77+'2025年上海分部利润表'!J77+'2025年赣皖区域利润表'!J77</f>
        <v>0</v>
      </c>
      <c r="K77" s="49">
        <f>'2025年中心利润表 '!K77+'2025年江苏分部利润表'!K77+'2025年浙江分部利润表'!K77+'2025年上海分部利润表'!K77+'2025年赣皖区域利润表'!K77</f>
        <v>4500</v>
      </c>
      <c r="L77" s="49">
        <f>'2025年中心利润表 '!L77+'2025年江苏分部利润表'!L77+'2025年浙江分部利润表'!L77+'2025年上海分部利润表'!L77+'2025年赣皖区域利润表'!L77</f>
        <v>0</v>
      </c>
      <c r="M77" s="49">
        <f>'2025年中心利润表 '!M77+'2025年江苏分部利润表'!M77+'2025年浙江分部利润表'!M77+'2025年上海分部利润表'!M77+'2025年赣皖区域利润表'!M77</f>
        <v>4500</v>
      </c>
      <c r="N77" s="49">
        <f>'2025年中心利润表 '!N77+'2025年江苏分部利润表'!N77+'2025年浙江分部利润表'!N77+'2025年上海分部利润表'!N77+'2025年赣皖区域利润表'!N77</f>
        <v>0</v>
      </c>
      <c r="O77" s="49">
        <f>'2025年中心利润表 '!O77+'2025年江苏分部利润表'!O77+'2025年浙江分部利润表'!O77+'2025年上海分部利润表'!O77+'2025年赣皖区域利润表'!O77</f>
        <v>4500</v>
      </c>
      <c r="P77" s="49">
        <f>'2025年中心利润表 '!P77+'2025年江苏分部利润表'!P77+'2025年浙江分部利润表'!P77+'2025年上海分部利润表'!P77+'2025年赣皖区域利润表'!P77</f>
        <v>0</v>
      </c>
      <c r="Q77" s="49">
        <f>'2025年中心利润表 '!Q77+'2025年江苏分部利润表'!Q77+'2025年浙江分部利润表'!Q77+'2025年上海分部利润表'!Q77+'2025年赣皖区域利润表'!Q77</f>
        <v>4500</v>
      </c>
      <c r="R77" s="49">
        <f>'2025年中心利润表 '!R77+'2025年江苏分部利润表'!R77+'2025年浙江分部利润表'!R77+'2025年上海分部利润表'!R77+'2025年赣皖区域利润表'!R77</f>
        <v>0</v>
      </c>
      <c r="S77" s="49">
        <f>'2025年中心利润表 '!S77+'2025年江苏分部利润表'!S77+'2025年浙江分部利润表'!S77+'2025年上海分部利润表'!S77+'2025年赣皖区域利润表'!S77</f>
        <v>84500</v>
      </c>
      <c r="T77" s="49">
        <f>'2025年中心利润表 '!T77+'2025年江苏分部利润表'!T77+'2025年浙江分部利润表'!T77+'2025年上海分部利润表'!T77+'2025年赣皖区域利润表'!T77</f>
        <v>30479.489999999998</v>
      </c>
      <c r="U77" s="49">
        <f>'2025年中心利润表 '!U77+'2025年江苏分部利润表'!U77+'2025年浙江分部利润表'!U77+'2025年上海分部利润表'!U77+'2025年赣皖区域利润表'!U77</f>
        <v>4500</v>
      </c>
      <c r="V77" s="49">
        <f>'2025年中心利润表 '!V77+'2025年江苏分部利润表'!V77+'2025年浙江分部利润表'!V77+'2025年上海分部利润表'!V77+'2025年赣皖区域利润表'!V77</f>
        <v>-788.05</v>
      </c>
      <c r="W77" s="49">
        <f>'2025年中心利润表 '!W77+'2025年江苏分部利润表'!W77+'2025年浙江分部利润表'!W77+'2025年上海分部利润表'!W77+'2025年赣皖区域利润表'!W77</f>
        <v>4500</v>
      </c>
      <c r="X77" s="49">
        <f>'2025年中心利润表 '!X77+'2025年江苏分部利润表'!X77+'2025年浙江分部利润表'!X77+'2025年上海分部利润表'!X77+'2025年赣皖区域利润表'!X77</f>
        <v>0</v>
      </c>
      <c r="Y77" s="49">
        <f>'2025年中心利润表 '!Y77+'2025年江苏分部利润表'!Y77+'2025年浙江分部利润表'!Y77+'2025年上海分部利润表'!Y77+'2025年赣皖区域利润表'!Y77</f>
        <v>4500</v>
      </c>
      <c r="Z77" s="49">
        <f>'2025年中心利润表 '!Z77+'2025年江苏分部利润表'!Z77+'2025年浙江分部利润表'!Z77+'2025年上海分部利润表'!Z77+'2025年赣皖区域利润表'!Z77</f>
        <v>0</v>
      </c>
      <c r="AA77" s="51">
        <f t="shared" si="12"/>
        <v>134000</v>
      </c>
      <c r="AB77" s="51">
        <f t="shared" si="13"/>
        <v>59691.439999999995</v>
      </c>
      <c r="AC77" s="94"/>
      <c r="AD77" s="31">
        <f t="shared" si="14"/>
        <v>134000</v>
      </c>
      <c r="AE77" s="31">
        <f t="shared" si="15"/>
        <v>59691.439999999995</v>
      </c>
      <c r="AF77" s="17">
        <f t="shared" si="18"/>
        <v>0</v>
      </c>
      <c r="AG77" s="17">
        <f t="shared" si="19"/>
        <v>0</v>
      </c>
      <c r="AH77" s="17">
        <f>SUM('[1]2024年全面预算利润表 (销售1中心)2.8亿'!E82:H82)</f>
        <v>0</v>
      </c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</row>
    <row r="78" spans="1:53" s="19" customFormat="1" ht="14" hidden="1" outlineLevel="1" x14ac:dyDescent="0.25">
      <c r="A78" s="48" t="s">
        <v>155</v>
      </c>
      <c r="B78" s="53"/>
      <c r="C78" s="49">
        <f>'2025年中心利润表 '!C78+'2025年江苏分部利润表'!C78+'2025年浙江分部利润表'!C78+'2025年上海分部利润表'!C78+'2025年赣皖区域利润表'!C78</f>
        <v>0</v>
      </c>
      <c r="D78" s="49">
        <f>'2025年中心利润表 '!D78+'2025年江苏分部利润表'!D78+'2025年浙江分部利润表'!D78+'2025年上海分部利润表'!D78+'2025年赣皖区域利润表'!D78</f>
        <v>0</v>
      </c>
      <c r="E78" s="49">
        <f>'2025年中心利润表 '!E78+'2025年江苏分部利润表'!E78+'2025年浙江分部利润表'!E78+'2025年上海分部利润表'!E78+'2025年赣皖区域利润表'!E78</f>
        <v>0</v>
      </c>
      <c r="F78" s="49">
        <f>'2025年中心利润表 '!F78+'2025年江苏分部利润表'!F78+'2025年浙江分部利润表'!F78+'2025年上海分部利润表'!F78+'2025年赣皖区域利润表'!F78</f>
        <v>0</v>
      </c>
      <c r="G78" s="49">
        <f>'2025年中心利润表 '!G78+'2025年江苏分部利润表'!G78+'2025年浙江分部利润表'!G78+'2025年上海分部利润表'!G78+'2025年赣皖区域利润表'!G78</f>
        <v>0</v>
      </c>
      <c r="H78" s="49">
        <f>'2025年中心利润表 '!H78+'2025年江苏分部利润表'!H78+'2025年浙江分部利润表'!H78+'2025年上海分部利润表'!H78+'2025年赣皖区域利润表'!H78</f>
        <v>0</v>
      </c>
      <c r="I78" s="49">
        <f>'2025年中心利润表 '!I78+'2025年江苏分部利润表'!I78+'2025年浙江分部利润表'!I78+'2025年上海分部利润表'!I78+'2025年赣皖区域利润表'!I78</f>
        <v>0</v>
      </c>
      <c r="J78" s="49">
        <f>'2025年中心利润表 '!J78+'2025年江苏分部利润表'!J78+'2025年浙江分部利润表'!J78+'2025年上海分部利润表'!J78+'2025年赣皖区域利润表'!J78</f>
        <v>0</v>
      </c>
      <c r="K78" s="49">
        <f>'2025年中心利润表 '!K78+'2025年江苏分部利润表'!K78+'2025年浙江分部利润表'!K78+'2025年上海分部利润表'!K78+'2025年赣皖区域利润表'!K78</f>
        <v>0</v>
      </c>
      <c r="L78" s="49">
        <f>'2025年中心利润表 '!L78+'2025年江苏分部利润表'!L78+'2025年浙江分部利润表'!L78+'2025年上海分部利润表'!L78+'2025年赣皖区域利润表'!L78</f>
        <v>0</v>
      </c>
      <c r="M78" s="49">
        <f>'2025年中心利润表 '!M78+'2025年江苏分部利润表'!M78+'2025年浙江分部利润表'!M78+'2025年上海分部利润表'!M78+'2025年赣皖区域利润表'!M78</f>
        <v>0</v>
      </c>
      <c r="N78" s="49">
        <f>'2025年中心利润表 '!N78+'2025年江苏分部利润表'!N78+'2025年浙江分部利润表'!N78+'2025年上海分部利润表'!N78+'2025年赣皖区域利润表'!N78</f>
        <v>0</v>
      </c>
      <c r="O78" s="49">
        <f>'2025年中心利润表 '!O78+'2025年江苏分部利润表'!O78+'2025年浙江分部利润表'!O78+'2025年上海分部利润表'!O78+'2025年赣皖区域利润表'!O78</f>
        <v>0</v>
      </c>
      <c r="P78" s="49">
        <f>'2025年中心利润表 '!P78+'2025年江苏分部利润表'!P78+'2025年浙江分部利润表'!P78+'2025年上海分部利润表'!P78+'2025年赣皖区域利润表'!P78</f>
        <v>0</v>
      </c>
      <c r="Q78" s="49">
        <f>'2025年中心利润表 '!Q78+'2025年江苏分部利润表'!Q78+'2025年浙江分部利润表'!Q78+'2025年上海分部利润表'!Q78+'2025年赣皖区域利润表'!Q78</f>
        <v>0</v>
      </c>
      <c r="R78" s="49">
        <f>'2025年中心利润表 '!R78+'2025年江苏分部利润表'!R78+'2025年浙江分部利润表'!R78+'2025年上海分部利润表'!R78+'2025年赣皖区域利润表'!R78</f>
        <v>0</v>
      </c>
      <c r="S78" s="49">
        <f>'2025年中心利润表 '!S78+'2025年江苏分部利润表'!S78+'2025年浙江分部利润表'!S78+'2025年上海分部利润表'!S78+'2025年赣皖区域利润表'!S78</f>
        <v>0</v>
      </c>
      <c r="T78" s="49">
        <f>'2025年中心利润表 '!T78+'2025年江苏分部利润表'!T78+'2025年浙江分部利润表'!T78+'2025年上海分部利润表'!T78+'2025年赣皖区域利润表'!T78</f>
        <v>0</v>
      </c>
      <c r="U78" s="49">
        <f>'2025年中心利润表 '!U78+'2025年江苏分部利润表'!U78+'2025年浙江分部利润表'!U78+'2025年上海分部利润表'!U78+'2025年赣皖区域利润表'!U78</f>
        <v>0</v>
      </c>
      <c r="V78" s="49">
        <f>'2025年中心利润表 '!V78+'2025年江苏分部利润表'!V78+'2025年浙江分部利润表'!V78+'2025年上海分部利润表'!V78+'2025年赣皖区域利润表'!V78</f>
        <v>0</v>
      </c>
      <c r="W78" s="49">
        <f>'2025年中心利润表 '!W78+'2025年江苏分部利润表'!W78+'2025年浙江分部利润表'!W78+'2025年上海分部利润表'!W78+'2025年赣皖区域利润表'!W78</f>
        <v>0</v>
      </c>
      <c r="X78" s="49">
        <f>'2025年中心利润表 '!X78+'2025年江苏分部利润表'!X78+'2025年浙江分部利润表'!X78+'2025年上海分部利润表'!X78+'2025年赣皖区域利润表'!X78</f>
        <v>0</v>
      </c>
      <c r="Y78" s="49">
        <f>'2025年中心利润表 '!Y78+'2025年江苏分部利润表'!Y78+'2025年浙江分部利润表'!Y78+'2025年上海分部利润表'!Y78+'2025年赣皖区域利润表'!Y78</f>
        <v>0</v>
      </c>
      <c r="Z78" s="49">
        <f>'2025年中心利润表 '!Z78+'2025年江苏分部利润表'!Z78+'2025年浙江分部利润表'!Z78+'2025年上海分部利润表'!Z78+'2025年赣皖区域利润表'!Z78</f>
        <v>0</v>
      </c>
      <c r="AA78" s="51">
        <f t="shared" si="12"/>
        <v>0</v>
      </c>
      <c r="AB78" s="51">
        <f t="shared" si="13"/>
        <v>0</v>
      </c>
      <c r="AC78" s="94"/>
      <c r="AD78" s="31">
        <f t="shared" si="14"/>
        <v>0</v>
      </c>
      <c r="AE78" s="31">
        <f t="shared" si="15"/>
        <v>0</v>
      </c>
      <c r="AF78" s="17">
        <f t="shared" si="18"/>
        <v>0</v>
      </c>
      <c r="AG78" s="17">
        <f t="shared" si="19"/>
        <v>0</v>
      </c>
      <c r="AH78" s="17">
        <f>SUM('[1]2024年全面预算利润表 (销售1中心)2.8亿'!E83:H83)</f>
        <v>0</v>
      </c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</row>
    <row r="79" spans="1:53" s="19" customFormat="1" ht="14" hidden="1" outlineLevel="1" x14ac:dyDescent="0.25">
      <c r="A79" s="48" t="s">
        <v>156</v>
      </c>
      <c r="B79" s="53"/>
      <c r="C79" s="49">
        <f>'2025年中心利润表 '!C79+'2025年江苏分部利润表'!C79+'2025年浙江分部利润表'!C79+'2025年上海分部利润表'!C79+'2025年赣皖区域利润表'!C79</f>
        <v>6250</v>
      </c>
      <c r="D79" s="49">
        <f>'2025年中心利润表 '!D79+'2025年江苏分部利润表'!D79+'2025年浙江分部利润表'!D79+'2025年上海分部利润表'!D79+'2025年赣皖区域利润表'!D79</f>
        <v>0</v>
      </c>
      <c r="E79" s="49">
        <f>'2025年中心利润表 '!E79+'2025年江苏分部利润表'!E79+'2025年浙江分部利润表'!E79+'2025年上海分部利润表'!E79+'2025年赣皖区域利润表'!E79</f>
        <v>6250</v>
      </c>
      <c r="F79" s="49">
        <f>'2025年中心利润表 '!F79+'2025年江苏分部利润表'!F79+'2025年浙江分部利润表'!F79+'2025年上海分部利润表'!F79+'2025年赣皖区域利润表'!F79</f>
        <v>0</v>
      </c>
      <c r="G79" s="49">
        <f>'2025年中心利润表 '!G79+'2025年江苏分部利润表'!G79+'2025年浙江分部利润表'!G79+'2025年上海分部利润表'!G79+'2025年赣皖区域利润表'!G79</f>
        <v>6250</v>
      </c>
      <c r="H79" s="49">
        <f>'2025年中心利润表 '!H79+'2025年江苏分部利润表'!H79+'2025年浙江分部利润表'!H79+'2025年上海分部利润表'!H79+'2025年赣皖区域利润表'!H79</f>
        <v>0</v>
      </c>
      <c r="I79" s="49">
        <f>'2025年中心利润表 '!I79+'2025年江苏分部利润表'!I79+'2025年浙江分部利润表'!I79+'2025年上海分部利润表'!I79+'2025年赣皖区域利润表'!I79</f>
        <v>6250</v>
      </c>
      <c r="J79" s="49">
        <f>'2025年中心利润表 '!J79+'2025年江苏分部利润表'!J79+'2025年浙江分部利润表'!J79+'2025年上海分部利润表'!J79+'2025年赣皖区域利润表'!J79</f>
        <v>0</v>
      </c>
      <c r="K79" s="49">
        <f>'2025年中心利润表 '!K79+'2025年江苏分部利润表'!K79+'2025年浙江分部利润表'!K79+'2025年上海分部利润表'!K79+'2025年赣皖区域利润表'!K79</f>
        <v>6250</v>
      </c>
      <c r="L79" s="49">
        <f>'2025年中心利润表 '!L79+'2025年江苏分部利润表'!L79+'2025年浙江分部利润表'!L79+'2025年上海分部利润表'!L79+'2025年赣皖区域利润表'!L79</f>
        <v>0</v>
      </c>
      <c r="M79" s="49">
        <f>'2025年中心利润表 '!M79+'2025年江苏分部利润表'!M79+'2025年浙江分部利润表'!M79+'2025年上海分部利润表'!M79+'2025年赣皖区域利润表'!M79</f>
        <v>6250</v>
      </c>
      <c r="N79" s="49">
        <f>'2025年中心利润表 '!N79+'2025年江苏分部利润表'!N79+'2025年浙江分部利润表'!N79+'2025年上海分部利润表'!N79+'2025年赣皖区域利润表'!N79</f>
        <v>0</v>
      </c>
      <c r="O79" s="49">
        <f>'2025年中心利润表 '!O79+'2025年江苏分部利润表'!O79+'2025年浙江分部利润表'!O79+'2025年上海分部利润表'!O79+'2025年赣皖区域利润表'!O79</f>
        <v>6250</v>
      </c>
      <c r="P79" s="49">
        <f>'2025年中心利润表 '!P79+'2025年江苏分部利润表'!P79+'2025年浙江分部利润表'!P79+'2025年上海分部利润表'!P79+'2025年赣皖区域利润表'!P79</f>
        <v>0</v>
      </c>
      <c r="Q79" s="49">
        <f>'2025年中心利润表 '!Q79+'2025年江苏分部利润表'!Q79+'2025年浙江分部利润表'!Q79+'2025年上海分部利润表'!Q79+'2025年赣皖区域利润表'!Q79</f>
        <v>6250</v>
      </c>
      <c r="R79" s="49">
        <f>'2025年中心利润表 '!R79+'2025年江苏分部利润表'!R79+'2025年浙江分部利润表'!R79+'2025年上海分部利润表'!R79+'2025年赣皖区域利润表'!R79</f>
        <v>0</v>
      </c>
      <c r="S79" s="49">
        <f>'2025年中心利润表 '!S79+'2025年江苏分部利润表'!S79+'2025年浙江分部利润表'!S79+'2025年上海分部利润表'!S79+'2025年赣皖区域利润表'!S79</f>
        <v>6250</v>
      </c>
      <c r="T79" s="49">
        <f>'2025年中心利润表 '!T79+'2025年江苏分部利润表'!T79+'2025年浙江分部利润表'!T79+'2025年上海分部利润表'!T79+'2025年赣皖区域利润表'!T79</f>
        <v>0</v>
      </c>
      <c r="U79" s="49">
        <f>'2025年中心利润表 '!U79+'2025年江苏分部利润表'!U79+'2025年浙江分部利润表'!U79+'2025年上海分部利润表'!U79+'2025年赣皖区域利润表'!U79</f>
        <v>6250</v>
      </c>
      <c r="V79" s="49">
        <f>'2025年中心利润表 '!V79+'2025年江苏分部利润表'!V79+'2025年浙江分部利润表'!V79+'2025年上海分部利润表'!V79+'2025年赣皖区域利润表'!V79</f>
        <v>0</v>
      </c>
      <c r="W79" s="49">
        <f>'2025年中心利润表 '!W79+'2025年江苏分部利润表'!W79+'2025年浙江分部利润表'!W79+'2025年上海分部利润表'!W79+'2025年赣皖区域利润表'!W79</f>
        <v>6250</v>
      </c>
      <c r="X79" s="49">
        <f>'2025年中心利润表 '!X79+'2025年江苏分部利润表'!X79+'2025年浙江分部利润表'!X79+'2025年上海分部利润表'!X79+'2025年赣皖区域利润表'!X79</f>
        <v>0</v>
      </c>
      <c r="Y79" s="49">
        <f>'2025年中心利润表 '!Y79+'2025年江苏分部利润表'!Y79+'2025年浙江分部利润表'!Y79+'2025年上海分部利润表'!Y79+'2025年赣皖区域利润表'!Y79</f>
        <v>6250</v>
      </c>
      <c r="Z79" s="49">
        <f>'2025年中心利润表 '!Z79+'2025年江苏分部利润表'!Z79+'2025年浙江分部利润表'!Z79+'2025年上海分部利润表'!Z79+'2025年赣皖区域利润表'!Z79</f>
        <v>0</v>
      </c>
      <c r="AA79" s="51">
        <f t="shared" si="12"/>
        <v>75000</v>
      </c>
      <c r="AB79" s="51">
        <f t="shared" si="13"/>
        <v>0</v>
      </c>
      <c r="AC79" s="94"/>
      <c r="AD79" s="31">
        <f t="shared" si="14"/>
        <v>75000</v>
      </c>
      <c r="AE79" s="31">
        <f t="shared" si="15"/>
        <v>0</v>
      </c>
      <c r="AF79" s="17">
        <f t="shared" si="18"/>
        <v>0</v>
      </c>
      <c r="AG79" s="17">
        <f t="shared" si="19"/>
        <v>0</v>
      </c>
      <c r="AH79" s="17">
        <f>SUM('[1]2024年全面预算利润表 (销售1中心)2.8亿'!E84:H84)</f>
        <v>19600</v>
      </c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</row>
    <row r="80" spans="1:53" s="19" customFormat="1" ht="14" hidden="1" outlineLevel="1" x14ac:dyDescent="0.25">
      <c r="A80" s="48" t="s">
        <v>157</v>
      </c>
      <c r="B80" s="53"/>
      <c r="C80" s="49">
        <f>'2025年中心利润表 '!C80+'2025年江苏分部利润表'!C80+'2025年浙江分部利润表'!C80+'2025年上海分部利润表'!C80+'2025年赣皖区域利润表'!C80</f>
        <v>0</v>
      </c>
      <c r="D80" s="49">
        <f>'2025年中心利润表 '!D80+'2025年江苏分部利润表'!D80+'2025年浙江分部利润表'!D80+'2025年上海分部利润表'!D80+'2025年赣皖区域利润表'!D80</f>
        <v>0</v>
      </c>
      <c r="E80" s="49">
        <f>'2025年中心利润表 '!E80+'2025年江苏分部利润表'!E80+'2025年浙江分部利润表'!E80+'2025年上海分部利润表'!E80+'2025年赣皖区域利润表'!E80</f>
        <v>0</v>
      </c>
      <c r="F80" s="49">
        <f>'2025年中心利润表 '!F80+'2025年江苏分部利润表'!F80+'2025年浙江分部利润表'!F80+'2025年上海分部利润表'!F80+'2025年赣皖区域利润表'!F80</f>
        <v>0</v>
      </c>
      <c r="G80" s="49">
        <f>'2025年中心利润表 '!G80+'2025年江苏分部利润表'!G80+'2025年浙江分部利润表'!G80+'2025年上海分部利润表'!G80+'2025年赣皖区域利润表'!G80</f>
        <v>0</v>
      </c>
      <c r="H80" s="49">
        <f>'2025年中心利润表 '!H80+'2025年江苏分部利润表'!H80+'2025年浙江分部利润表'!H80+'2025年上海分部利润表'!H80+'2025年赣皖区域利润表'!H80</f>
        <v>4371.68</v>
      </c>
      <c r="I80" s="49">
        <f>'2025年中心利润表 '!I80+'2025年江苏分部利润表'!I80+'2025年浙江分部利润表'!I80+'2025年上海分部利润表'!I80+'2025年赣皖区域利润表'!I80</f>
        <v>0</v>
      </c>
      <c r="J80" s="49">
        <f>'2025年中心利润表 '!J80+'2025年江苏分部利润表'!J80+'2025年浙江分部利润表'!J80+'2025年上海分部利润表'!J80+'2025年赣皖区域利润表'!J80</f>
        <v>0</v>
      </c>
      <c r="K80" s="49">
        <f>'2025年中心利润表 '!K80+'2025年江苏分部利润表'!K80+'2025年浙江分部利润表'!K80+'2025年上海分部利润表'!K80+'2025年赣皖区域利润表'!K80</f>
        <v>0</v>
      </c>
      <c r="L80" s="49">
        <f>'2025年中心利润表 '!L80+'2025年江苏分部利润表'!L80+'2025年浙江分部利润表'!L80+'2025年上海分部利润表'!L80+'2025年赣皖区域利润表'!L80</f>
        <v>0</v>
      </c>
      <c r="M80" s="49">
        <f>'2025年中心利润表 '!M80+'2025年江苏分部利润表'!M80+'2025年浙江分部利润表'!M80+'2025年上海分部利润表'!M80+'2025年赣皖区域利润表'!M80</f>
        <v>0</v>
      </c>
      <c r="N80" s="49">
        <f>'2025年中心利润表 '!N80+'2025年江苏分部利润表'!N80+'2025年浙江分部利润表'!N80+'2025年上海分部利润表'!N80+'2025年赣皖区域利润表'!N80</f>
        <v>0</v>
      </c>
      <c r="O80" s="49">
        <f>'2025年中心利润表 '!O80+'2025年江苏分部利润表'!O80+'2025年浙江分部利润表'!O80+'2025年上海分部利润表'!O80+'2025年赣皖区域利润表'!O80</f>
        <v>0</v>
      </c>
      <c r="P80" s="49">
        <f>'2025年中心利润表 '!P80+'2025年江苏分部利润表'!P80+'2025年浙江分部利润表'!P80+'2025年上海分部利润表'!P80+'2025年赣皖区域利润表'!P80</f>
        <v>0</v>
      </c>
      <c r="Q80" s="49">
        <f>'2025年中心利润表 '!Q80+'2025年江苏分部利润表'!Q80+'2025年浙江分部利润表'!Q80+'2025年上海分部利润表'!Q80+'2025年赣皖区域利润表'!Q80</f>
        <v>0</v>
      </c>
      <c r="R80" s="49">
        <f>'2025年中心利润表 '!R80+'2025年江苏分部利润表'!R80+'2025年浙江分部利润表'!R80+'2025年上海分部利润表'!R80+'2025年赣皖区域利润表'!R80</f>
        <v>0</v>
      </c>
      <c r="S80" s="49">
        <f>'2025年中心利润表 '!S80+'2025年江苏分部利润表'!S80+'2025年浙江分部利润表'!S80+'2025年上海分部利润表'!S80+'2025年赣皖区域利润表'!S80</f>
        <v>0</v>
      </c>
      <c r="T80" s="49">
        <f>'2025年中心利润表 '!T80+'2025年江苏分部利润表'!T80+'2025年浙江分部利润表'!T80+'2025年上海分部利润表'!T80+'2025年赣皖区域利润表'!T80</f>
        <v>7920.7900000000009</v>
      </c>
      <c r="U80" s="49">
        <f>'2025年中心利润表 '!U80+'2025年江苏分部利润表'!U80+'2025年浙江分部利润表'!U80+'2025年上海分部利润表'!U80+'2025年赣皖区域利润表'!U80</f>
        <v>0</v>
      </c>
      <c r="V80" s="49">
        <f>'2025年中心利润表 '!V80+'2025年江苏分部利润表'!V80+'2025年浙江分部利润表'!V80+'2025年上海分部利润表'!V80+'2025年赣皖区域利润表'!V80</f>
        <v>0</v>
      </c>
      <c r="W80" s="49">
        <f>'2025年中心利润表 '!W80+'2025年江苏分部利润表'!W80+'2025年浙江分部利润表'!W80+'2025年上海分部利润表'!W80+'2025年赣皖区域利润表'!W80</f>
        <v>0</v>
      </c>
      <c r="X80" s="49">
        <f>'2025年中心利润表 '!X80+'2025年江苏分部利润表'!X80+'2025年浙江分部利润表'!X80+'2025年上海分部利润表'!X80+'2025年赣皖区域利润表'!X80</f>
        <v>0</v>
      </c>
      <c r="Y80" s="49">
        <f>'2025年中心利润表 '!Y80+'2025年江苏分部利润表'!Y80+'2025年浙江分部利润表'!Y80+'2025年上海分部利润表'!Y80+'2025年赣皖区域利润表'!Y80</f>
        <v>0</v>
      </c>
      <c r="Z80" s="49">
        <f>'2025年中心利润表 '!Z80+'2025年江苏分部利润表'!Z80+'2025年浙江分部利润表'!Z80+'2025年上海分部利润表'!Z80+'2025年赣皖区域利润表'!Z80</f>
        <v>0</v>
      </c>
      <c r="AA80" s="51">
        <f t="shared" si="12"/>
        <v>0</v>
      </c>
      <c r="AB80" s="51">
        <f t="shared" si="13"/>
        <v>12292.470000000001</v>
      </c>
      <c r="AC80" s="94"/>
      <c r="AD80" s="31">
        <f t="shared" si="14"/>
        <v>0</v>
      </c>
      <c r="AE80" s="31">
        <f t="shared" si="15"/>
        <v>12292.470000000001</v>
      </c>
      <c r="AF80" s="17">
        <f t="shared" si="18"/>
        <v>0</v>
      </c>
      <c r="AG80" s="17">
        <f t="shared" si="19"/>
        <v>0</v>
      </c>
      <c r="AH80" s="17">
        <f>SUM('[1]2024年全面预算利润表 (销售1中心)2.8亿'!E85:H85)</f>
        <v>0</v>
      </c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</row>
    <row r="81" spans="1:53" s="19" customFormat="1" ht="14" hidden="1" outlineLevel="1" x14ac:dyDescent="0.25">
      <c r="A81" s="48" t="s">
        <v>158</v>
      </c>
      <c r="B81" s="53"/>
      <c r="C81" s="49">
        <f>'2025年中心利润表 '!C81+'2025年江苏分部利润表'!C81+'2025年浙江分部利润表'!C81+'2025年上海分部利润表'!C81+'2025年赣皖区域利润表'!C81</f>
        <v>0</v>
      </c>
      <c r="D81" s="49">
        <f>'2025年中心利润表 '!D81+'2025年江苏分部利润表'!D81+'2025年浙江分部利润表'!D81+'2025年上海分部利润表'!D81+'2025年赣皖区域利润表'!D81</f>
        <v>0</v>
      </c>
      <c r="E81" s="49">
        <f>'2025年中心利润表 '!E81+'2025年江苏分部利润表'!E81+'2025年浙江分部利润表'!E81+'2025年上海分部利润表'!E81+'2025年赣皖区域利润表'!E81</f>
        <v>0</v>
      </c>
      <c r="F81" s="49">
        <f>'2025年中心利润表 '!F81+'2025年江苏分部利润表'!F81+'2025年浙江分部利润表'!F81+'2025年上海分部利润表'!F81+'2025年赣皖区域利润表'!F81</f>
        <v>0</v>
      </c>
      <c r="G81" s="49">
        <f>'2025年中心利润表 '!G81+'2025年江苏分部利润表'!G81+'2025年浙江分部利润表'!G81+'2025年上海分部利润表'!G81+'2025年赣皖区域利润表'!G81</f>
        <v>0</v>
      </c>
      <c r="H81" s="49">
        <f>'2025年中心利润表 '!H81+'2025年江苏分部利润表'!H81+'2025年浙江分部利润表'!H81+'2025年上海分部利润表'!H81+'2025年赣皖区域利润表'!H81</f>
        <v>0</v>
      </c>
      <c r="I81" s="49">
        <f>'2025年中心利润表 '!I81+'2025年江苏分部利润表'!I81+'2025年浙江分部利润表'!I81+'2025年上海分部利润表'!I81+'2025年赣皖区域利润表'!I81</f>
        <v>0</v>
      </c>
      <c r="J81" s="49">
        <f>'2025年中心利润表 '!J81+'2025年江苏分部利润表'!J81+'2025年浙江分部利润表'!J81+'2025年上海分部利润表'!J81+'2025年赣皖区域利润表'!J81</f>
        <v>0</v>
      </c>
      <c r="K81" s="49">
        <f>'2025年中心利润表 '!K81+'2025年江苏分部利润表'!K81+'2025年浙江分部利润表'!K81+'2025年上海分部利润表'!K81+'2025年赣皖区域利润表'!K81</f>
        <v>0</v>
      </c>
      <c r="L81" s="49">
        <f>'2025年中心利润表 '!L81+'2025年江苏分部利润表'!L81+'2025年浙江分部利润表'!L81+'2025年上海分部利润表'!L81+'2025年赣皖区域利润表'!L81</f>
        <v>0</v>
      </c>
      <c r="M81" s="49">
        <f>'2025年中心利润表 '!M81+'2025年江苏分部利润表'!M81+'2025年浙江分部利润表'!M81+'2025年上海分部利润表'!M81+'2025年赣皖区域利润表'!M81</f>
        <v>0</v>
      </c>
      <c r="N81" s="49">
        <f>'2025年中心利润表 '!N81+'2025年江苏分部利润表'!N81+'2025年浙江分部利润表'!N81+'2025年上海分部利润表'!N81+'2025年赣皖区域利润表'!N81</f>
        <v>0</v>
      </c>
      <c r="O81" s="49">
        <f>'2025年中心利润表 '!O81+'2025年江苏分部利润表'!O81+'2025年浙江分部利润表'!O81+'2025年上海分部利润表'!O81+'2025年赣皖区域利润表'!O81</f>
        <v>0</v>
      </c>
      <c r="P81" s="49">
        <f>'2025年中心利润表 '!P81+'2025年江苏分部利润表'!P81+'2025年浙江分部利润表'!P81+'2025年上海分部利润表'!P81+'2025年赣皖区域利润表'!P81</f>
        <v>0</v>
      </c>
      <c r="Q81" s="49">
        <f>'2025年中心利润表 '!Q81+'2025年江苏分部利润表'!Q81+'2025年浙江分部利润表'!Q81+'2025年上海分部利润表'!Q81+'2025年赣皖区域利润表'!Q81</f>
        <v>0</v>
      </c>
      <c r="R81" s="49">
        <f>'2025年中心利润表 '!R81+'2025年江苏分部利润表'!R81+'2025年浙江分部利润表'!R81+'2025年上海分部利润表'!R81+'2025年赣皖区域利润表'!R81</f>
        <v>0</v>
      </c>
      <c r="S81" s="49">
        <f>'2025年中心利润表 '!S81+'2025年江苏分部利润表'!S81+'2025年浙江分部利润表'!S81+'2025年上海分部利润表'!S81+'2025年赣皖区域利润表'!S81</f>
        <v>0</v>
      </c>
      <c r="T81" s="49">
        <f>'2025年中心利润表 '!T81+'2025年江苏分部利润表'!T81+'2025年浙江分部利润表'!T81+'2025年上海分部利润表'!T81+'2025年赣皖区域利润表'!T81</f>
        <v>0</v>
      </c>
      <c r="U81" s="49">
        <f>'2025年中心利润表 '!U81+'2025年江苏分部利润表'!U81+'2025年浙江分部利润表'!U81+'2025年上海分部利润表'!U81+'2025年赣皖区域利润表'!U81</f>
        <v>0</v>
      </c>
      <c r="V81" s="49">
        <f>'2025年中心利润表 '!V81+'2025年江苏分部利润表'!V81+'2025年浙江分部利润表'!V81+'2025年上海分部利润表'!V81+'2025年赣皖区域利润表'!V81</f>
        <v>0</v>
      </c>
      <c r="W81" s="49">
        <f>'2025年中心利润表 '!W81+'2025年江苏分部利润表'!W81+'2025年浙江分部利润表'!W81+'2025年上海分部利润表'!W81+'2025年赣皖区域利润表'!W81</f>
        <v>0</v>
      </c>
      <c r="X81" s="49">
        <f>'2025年中心利润表 '!X81+'2025年江苏分部利润表'!X81+'2025年浙江分部利润表'!X81+'2025年上海分部利润表'!X81+'2025年赣皖区域利润表'!X81</f>
        <v>0</v>
      </c>
      <c r="Y81" s="49">
        <f>'2025年中心利润表 '!Y81+'2025年江苏分部利润表'!Y81+'2025年浙江分部利润表'!Y81+'2025年上海分部利润表'!Y81+'2025年赣皖区域利润表'!Y81</f>
        <v>0</v>
      </c>
      <c r="Z81" s="49">
        <f>'2025年中心利润表 '!Z81+'2025年江苏分部利润表'!Z81+'2025年浙江分部利润表'!Z81+'2025年上海分部利润表'!Z81+'2025年赣皖区域利润表'!Z81</f>
        <v>0</v>
      </c>
      <c r="AA81" s="51">
        <f t="shared" si="12"/>
        <v>0</v>
      </c>
      <c r="AB81" s="51">
        <f t="shared" si="13"/>
        <v>0</v>
      </c>
      <c r="AC81" s="94"/>
      <c r="AD81" s="31">
        <f t="shared" si="14"/>
        <v>0</v>
      </c>
      <c r="AE81" s="31">
        <f t="shared" si="15"/>
        <v>0</v>
      </c>
      <c r="AF81" s="17">
        <f t="shared" si="18"/>
        <v>0</v>
      </c>
      <c r="AG81" s="17">
        <f t="shared" si="19"/>
        <v>0</v>
      </c>
      <c r="AH81" s="17">
        <f>SUM('[1]2024年全面预算利润表 (销售1中心)2.8亿'!E86:H86)</f>
        <v>0</v>
      </c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</row>
    <row r="82" spans="1:53" s="19" customFormat="1" ht="14" hidden="1" outlineLevel="1" x14ac:dyDescent="0.25">
      <c r="A82" s="48" t="s">
        <v>159</v>
      </c>
      <c r="B82" s="53"/>
      <c r="C82" s="49">
        <f>'2025年中心利润表 '!C82+'2025年江苏分部利润表'!C82+'2025年浙江分部利润表'!C82+'2025年上海分部利润表'!C82+'2025年赣皖区域利润表'!C82</f>
        <v>0</v>
      </c>
      <c r="D82" s="49">
        <f>'2025年中心利润表 '!D82+'2025年江苏分部利润表'!D82+'2025年浙江分部利润表'!D82+'2025年上海分部利润表'!D82+'2025年赣皖区域利润表'!D82</f>
        <v>0</v>
      </c>
      <c r="E82" s="49">
        <f>'2025年中心利润表 '!E82+'2025年江苏分部利润表'!E82+'2025年浙江分部利润表'!E82+'2025年上海分部利润表'!E82+'2025年赣皖区域利润表'!E82</f>
        <v>0</v>
      </c>
      <c r="F82" s="49">
        <f>'2025年中心利润表 '!F82+'2025年江苏分部利润表'!F82+'2025年浙江分部利润表'!F82+'2025年上海分部利润表'!F82+'2025年赣皖区域利润表'!F82</f>
        <v>0</v>
      </c>
      <c r="G82" s="49">
        <f>'2025年中心利润表 '!G82+'2025年江苏分部利润表'!G82+'2025年浙江分部利润表'!G82+'2025年上海分部利润表'!G82+'2025年赣皖区域利润表'!G82</f>
        <v>0</v>
      </c>
      <c r="H82" s="49">
        <f>'2025年中心利润表 '!H82+'2025年江苏分部利润表'!H82+'2025年浙江分部利润表'!H82+'2025年上海分部利润表'!H82+'2025年赣皖区域利润表'!H82</f>
        <v>0</v>
      </c>
      <c r="I82" s="49">
        <f>'2025年中心利润表 '!I82+'2025年江苏分部利润表'!I82+'2025年浙江分部利润表'!I82+'2025年上海分部利润表'!I82+'2025年赣皖区域利润表'!I82</f>
        <v>0</v>
      </c>
      <c r="J82" s="49">
        <f>'2025年中心利润表 '!J82+'2025年江苏分部利润表'!J82+'2025年浙江分部利润表'!J82+'2025年上海分部利润表'!J82+'2025年赣皖区域利润表'!J82</f>
        <v>0</v>
      </c>
      <c r="K82" s="49">
        <f>'2025年中心利润表 '!K82+'2025年江苏分部利润表'!K82+'2025年浙江分部利润表'!K82+'2025年上海分部利润表'!K82+'2025年赣皖区域利润表'!K82</f>
        <v>0</v>
      </c>
      <c r="L82" s="49">
        <f>'2025年中心利润表 '!L82+'2025年江苏分部利润表'!L82+'2025年浙江分部利润表'!L82+'2025年上海分部利润表'!L82+'2025年赣皖区域利润表'!L82</f>
        <v>0</v>
      </c>
      <c r="M82" s="49">
        <f>'2025年中心利润表 '!M82+'2025年江苏分部利润表'!M82+'2025年浙江分部利润表'!M82+'2025年上海分部利润表'!M82+'2025年赣皖区域利润表'!M82</f>
        <v>0</v>
      </c>
      <c r="N82" s="49">
        <f>'2025年中心利润表 '!N82+'2025年江苏分部利润表'!N82+'2025年浙江分部利润表'!N82+'2025年上海分部利润表'!N82+'2025年赣皖区域利润表'!N82</f>
        <v>0</v>
      </c>
      <c r="O82" s="49">
        <f>'2025年中心利润表 '!O82+'2025年江苏分部利润表'!O82+'2025年浙江分部利润表'!O82+'2025年上海分部利润表'!O82+'2025年赣皖区域利润表'!O82</f>
        <v>0</v>
      </c>
      <c r="P82" s="49">
        <f>'2025年中心利润表 '!P82+'2025年江苏分部利润表'!P82+'2025年浙江分部利润表'!P82+'2025年上海分部利润表'!P82+'2025年赣皖区域利润表'!P82</f>
        <v>0</v>
      </c>
      <c r="Q82" s="49">
        <f>'2025年中心利润表 '!Q82+'2025年江苏分部利润表'!Q82+'2025年浙江分部利润表'!Q82+'2025年上海分部利润表'!Q82+'2025年赣皖区域利润表'!Q82</f>
        <v>0</v>
      </c>
      <c r="R82" s="49">
        <f>'2025年中心利润表 '!R82+'2025年江苏分部利润表'!R82+'2025年浙江分部利润表'!R82+'2025年上海分部利润表'!R82+'2025年赣皖区域利润表'!R82</f>
        <v>0</v>
      </c>
      <c r="S82" s="49">
        <f>'2025年中心利润表 '!S82+'2025年江苏分部利润表'!S82+'2025年浙江分部利润表'!S82+'2025年上海分部利润表'!S82+'2025年赣皖区域利润表'!S82</f>
        <v>0</v>
      </c>
      <c r="T82" s="49">
        <f>'2025年中心利润表 '!T82+'2025年江苏分部利润表'!T82+'2025年浙江分部利润表'!T82+'2025年上海分部利润表'!T82+'2025年赣皖区域利润表'!T82</f>
        <v>0</v>
      </c>
      <c r="U82" s="49">
        <f>'2025年中心利润表 '!U82+'2025年江苏分部利润表'!U82+'2025年浙江分部利润表'!U82+'2025年上海分部利润表'!U82+'2025年赣皖区域利润表'!U82</f>
        <v>0</v>
      </c>
      <c r="V82" s="49">
        <f>'2025年中心利润表 '!V82+'2025年江苏分部利润表'!V82+'2025年浙江分部利润表'!V82+'2025年上海分部利润表'!V82+'2025年赣皖区域利润表'!V82</f>
        <v>0</v>
      </c>
      <c r="W82" s="49">
        <f>'2025年中心利润表 '!W82+'2025年江苏分部利润表'!W82+'2025年浙江分部利润表'!W82+'2025年上海分部利润表'!W82+'2025年赣皖区域利润表'!W82</f>
        <v>0</v>
      </c>
      <c r="X82" s="49">
        <f>'2025年中心利润表 '!X82+'2025年江苏分部利润表'!X82+'2025年浙江分部利润表'!X82+'2025年上海分部利润表'!X82+'2025年赣皖区域利润表'!X82</f>
        <v>0</v>
      </c>
      <c r="Y82" s="49">
        <f>'2025年中心利润表 '!Y82+'2025年江苏分部利润表'!Y82+'2025年浙江分部利润表'!Y82+'2025年上海分部利润表'!Y82+'2025年赣皖区域利润表'!Y82</f>
        <v>0</v>
      </c>
      <c r="Z82" s="49">
        <f>'2025年中心利润表 '!Z82+'2025年江苏分部利润表'!Z82+'2025年浙江分部利润表'!Z82+'2025年上海分部利润表'!Z82+'2025年赣皖区域利润表'!Z82</f>
        <v>0</v>
      </c>
      <c r="AA82" s="51">
        <f t="shared" si="12"/>
        <v>0</v>
      </c>
      <c r="AB82" s="51">
        <f t="shared" si="13"/>
        <v>0</v>
      </c>
      <c r="AC82" s="94"/>
      <c r="AD82" s="31">
        <f t="shared" si="14"/>
        <v>0</v>
      </c>
      <c r="AE82" s="31">
        <f t="shared" si="15"/>
        <v>0</v>
      </c>
      <c r="AF82" s="17">
        <f t="shared" si="18"/>
        <v>0</v>
      </c>
      <c r="AG82" s="17">
        <f t="shared" si="19"/>
        <v>0</v>
      </c>
      <c r="AH82" s="17">
        <f>SUM('[1]2024年全面预算利润表 (销售1中心)2.8亿'!E87:H87)</f>
        <v>0</v>
      </c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</row>
    <row r="83" spans="1:53" s="19" customFormat="1" ht="14" hidden="1" outlineLevel="1" x14ac:dyDescent="0.25">
      <c r="A83" s="48" t="s">
        <v>160</v>
      </c>
      <c r="B83" s="53"/>
      <c r="C83" s="49">
        <f>'2025年中心利润表 '!C83+'2025年江苏分部利润表'!C83+'2025年浙江分部利润表'!C83+'2025年上海分部利润表'!C83+'2025年赣皖区域利润表'!C83</f>
        <v>0</v>
      </c>
      <c r="D83" s="49">
        <f>'2025年中心利润表 '!D83+'2025年江苏分部利润表'!D83+'2025年浙江分部利润表'!D83+'2025年上海分部利润表'!D83+'2025年赣皖区域利润表'!D83</f>
        <v>0</v>
      </c>
      <c r="E83" s="49">
        <f>'2025年中心利润表 '!E83+'2025年江苏分部利润表'!E83+'2025年浙江分部利润表'!E83+'2025年上海分部利润表'!E83+'2025年赣皖区域利润表'!E83</f>
        <v>0</v>
      </c>
      <c r="F83" s="49">
        <f>'2025年中心利润表 '!F83+'2025年江苏分部利润表'!F83+'2025年浙江分部利润表'!F83+'2025年上海分部利润表'!F83+'2025年赣皖区域利润表'!F83</f>
        <v>0</v>
      </c>
      <c r="G83" s="49">
        <f>'2025年中心利润表 '!G83+'2025年江苏分部利润表'!G83+'2025年浙江分部利润表'!G83+'2025年上海分部利润表'!G83+'2025年赣皖区域利润表'!G83</f>
        <v>0</v>
      </c>
      <c r="H83" s="49">
        <f>'2025年中心利润表 '!H83+'2025年江苏分部利润表'!H83+'2025年浙江分部利润表'!H83+'2025年上海分部利润表'!H83+'2025年赣皖区域利润表'!H83</f>
        <v>0</v>
      </c>
      <c r="I83" s="49">
        <f>'2025年中心利润表 '!I83+'2025年江苏分部利润表'!I83+'2025年浙江分部利润表'!I83+'2025年上海分部利润表'!I83+'2025年赣皖区域利润表'!I83</f>
        <v>0</v>
      </c>
      <c r="J83" s="49">
        <f>'2025年中心利润表 '!J83+'2025年江苏分部利润表'!J83+'2025年浙江分部利润表'!J83+'2025年上海分部利润表'!J83+'2025年赣皖区域利润表'!J83</f>
        <v>0</v>
      </c>
      <c r="K83" s="49">
        <f>'2025年中心利润表 '!K83+'2025年江苏分部利润表'!K83+'2025年浙江分部利润表'!K83+'2025年上海分部利润表'!K83+'2025年赣皖区域利润表'!K83</f>
        <v>0</v>
      </c>
      <c r="L83" s="49">
        <f>'2025年中心利润表 '!L83+'2025年江苏分部利润表'!L83+'2025年浙江分部利润表'!L83+'2025年上海分部利润表'!L83+'2025年赣皖区域利润表'!L83</f>
        <v>0</v>
      </c>
      <c r="M83" s="49">
        <f>'2025年中心利润表 '!M83+'2025年江苏分部利润表'!M83+'2025年浙江分部利润表'!M83+'2025年上海分部利润表'!M83+'2025年赣皖区域利润表'!M83</f>
        <v>0</v>
      </c>
      <c r="N83" s="49">
        <f>'2025年中心利润表 '!N83+'2025年江苏分部利润表'!N83+'2025年浙江分部利润表'!N83+'2025年上海分部利润表'!N83+'2025年赣皖区域利润表'!N83</f>
        <v>0</v>
      </c>
      <c r="O83" s="49">
        <f>'2025年中心利润表 '!O83+'2025年江苏分部利润表'!O83+'2025年浙江分部利润表'!O83+'2025年上海分部利润表'!O83+'2025年赣皖区域利润表'!O83</f>
        <v>0</v>
      </c>
      <c r="P83" s="49">
        <f>'2025年中心利润表 '!P83+'2025年江苏分部利润表'!P83+'2025年浙江分部利润表'!P83+'2025年上海分部利润表'!P83+'2025年赣皖区域利润表'!P83</f>
        <v>0</v>
      </c>
      <c r="Q83" s="49">
        <f>'2025年中心利润表 '!Q83+'2025年江苏分部利润表'!Q83+'2025年浙江分部利润表'!Q83+'2025年上海分部利润表'!Q83+'2025年赣皖区域利润表'!Q83</f>
        <v>0</v>
      </c>
      <c r="R83" s="49">
        <f>'2025年中心利润表 '!R83+'2025年江苏分部利润表'!R83+'2025年浙江分部利润表'!R83+'2025年上海分部利润表'!R83+'2025年赣皖区域利润表'!R83</f>
        <v>0</v>
      </c>
      <c r="S83" s="49">
        <f>'2025年中心利润表 '!S83+'2025年江苏分部利润表'!S83+'2025年浙江分部利润表'!S83+'2025年上海分部利润表'!S83+'2025年赣皖区域利润表'!S83</f>
        <v>0</v>
      </c>
      <c r="T83" s="49">
        <f>'2025年中心利润表 '!T83+'2025年江苏分部利润表'!T83+'2025年浙江分部利润表'!T83+'2025年上海分部利润表'!T83+'2025年赣皖区域利润表'!T83</f>
        <v>0</v>
      </c>
      <c r="U83" s="49">
        <f>'2025年中心利润表 '!U83+'2025年江苏分部利润表'!U83+'2025年浙江分部利润表'!U83+'2025年上海分部利润表'!U83+'2025年赣皖区域利润表'!U83</f>
        <v>0</v>
      </c>
      <c r="V83" s="49">
        <f>'2025年中心利润表 '!V83+'2025年江苏分部利润表'!V83+'2025年浙江分部利润表'!V83+'2025年上海分部利润表'!V83+'2025年赣皖区域利润表'!V83</f>
        <v>0</v>
      </c>
      <c r="W83" s="49">
        <f>'2025年中心利润表 '!W83+'2025年江苏分部利润表'!W83+'2025年浙江分部利润表'!W83+'2025年上海分部利润表'!W83+'2025年赣皖区域利润表'!W83</f>
        <v>0</v>
      </c>
      <c r="X83" s="49">
        <f>'2025年中心利润表 '!X83+'2025年江苏分部利润表'!X83+'2025年浙江分部利润表'!X83+'2025年上海分部利润表'!X83+'2025年赣皖区域利润表'!X83</f>
        <v>0</v>
      </c>
      <c r="Y83" s="49">
        <f>'2025年中心利润表 '!Y83+'2025年江苏分部利润表'!Y83+'2025年浙江分部利润表'!Y83+'2025年上海分部利润表'!Y83+'2025年赣皖区域利润表'!Y83</f>
        <v>0</v>
      </c>
      <c r="Z83" s="49">
        <f>'2025年中心利润表 '!Z83+'2025年江苏分部利润表'!Z83+'2025年浙江分部利润表'!Z83+'2025年上海分部利润表'!Z83+'2025年赣皖区域利润表'!Z83</f>
        <v>0</v>
      </c>
      <c r="AA83" s="51">
        <f t="shared" si="12"/>
        <v>0</v>
      </c>
      <c r="AB83" s="51">
        <f t="shared" si="13"/>
        <v>0</v>
      </c>
      <c r="AC83" s="94"/>
      <c r="AD83" s="31">
        <f t="shared" si="14"/>
        <v>0</v>
      </c>
      <c r="AE83" s="31">
        <f t="shared" si="15"/>
        <v>0</v>
      </c>
      <c r="AF83" s="17">
        <f t="shared" si="18"/>
        <v>0</v>
      </c>
      <c r="AG83" s="17">
        <f t="shared" si="19"/>
        <v>0</v>
      </c>
      <c r="AH83" s="17">
        <f>SUM('[1]2024年全面预算利润表 (销售1中心)2.8亿'!E88:H88)</f>
        <v>0</v>
      </c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</row>
    <row r="84" spans="1:53" s="19" customFormat="1" ht="14" hidden="1" outlineLevel="1" x14ac:dyDescent="0.25">
      <c r="A84" s="48" t="s">
        <v>161</v>
      </c>
      <c r="B84" s="53"/>
      <c r="C84" s="49">
        <f>'2025年中心利润表 '!C84+'2025年江苏分部利润表'!C84+'2025年浙江分部利润表'!C84+'2025年上海分部利润表'!C84+'2025年赣皖区域利润表'!C84</f>
        <v>32110</v>
      </c>
      <c r="D84" s="49">
        <f>'2025年中心利润表 '!D84+'2025年江苏分部利润表'!D84+'2025年浙江分部利润表'!D84+'2025年上海分部利润表'!D84+'2025年赣皖区域利润表'!D84</f>
        <v>14620.19</v>
      </c>
      <c r="E84" s="49">
        <f>'2025年中心利润表 '!E84+'2025年江苏分部利润表'!E84+'2025年浙江分部利润表'!E84+'2025年上海分部利润表'!E84+'2025年赣皖区域利润表'!E84</f>
        <v>32110</v>
      </c>
      <c r="F84" s="49">
        <f>'2025年中心利润表 '!F84+'2025年江苏分部利润表'!F84+'2025年浙江分部利润表'!F84+'2025年上海分部利润表'!F84+'2025年赣皖区域利润表'!F84</f>
        <v>29447.94</v>
      </c>
      <c r="G84" s="49">
        <f>'2025年中心利润表 '!G84+'2025年江苏分部利润表'!G84+'2025年浙江分部利润表'!G84+'2025年上海分部利润表'!G84+'2025年赣皖区域利润表'!G84</f>
        <v>32110</v>
      </c>
      <c r="H84" s="49">
        <f>'2025年中心利润表 '!H84+'2025年江苏分部利润表'!H84+'2025年浙江分部利润表'!H84+'2025年上海分部利润表'!H84+'2025年赣皖区域利润表'!H84</f>
        <v>36342.33</v>
      </c>
      <c r="I84" s="49">
        <f>'2025年中心利润表 '!I84+'2025年江苏分部利润表'!I84+'2025年浙江分部利润表'!I84+'2025年上海分部利润表'!I84+'2025年赣皖区域利润表'!I84</f>
        <v>32110</v>
      </c>
      <c r="J84" s="49">
        <f>'2025年中心利润表 '!J84+'2025年江苏分部利润表'!J84+'2025年浙江分部利润表'!J84+'2025年上海分部利润表'!J84+'2025年赣皖区域利润表'!J84</f>
        <v>41069.620000000003</v>
      </c>
      <c r="K84" s="49">
        <f>'2025年中心利润表 '!K84+'2025年江苏分部利润表'!K84+'2025年浙江分部利润表'!K84+'2025年上海分部利润表'!K84+'2025年赣皖区域利润表'!K84</f>
        <v>32110</v>
      </c>
      <c r="L84" s="49">
        <f>'2025年中心利润表 '!L84+'2025年江苏分部利润表'!L84+'2025年浙江分部利润表'!L84+'2025年上海分部利润表'!L84+'2025年赣皖区域利润表'!L84</f>
        <v>30692.84</v>
      </c>
      <c r="M84" s="49">
        <f>'2025年中心利润表 '!M84+'2025年江苏分部利润表'!M84+'2025年浙江分部利润表'!M84+'2025年上海分部利润表'!M84+'2025年赣皖区域利润表'!M84</f>
        <v>32110</v>
      </c>
      <c r="N84" s="49">
        <f>'2025年中心利润表 '!N84+'2025年江苏分部利润表'!N84+'2025年浙江分部利润表'!N84+'2025年上海分部利润表'!N84+'2025年赣皖区域利润表'!N84</f>
        <v>18770.11</v>
      </c>
      <c r="O84" s="49">
        <f>'2025年中心利润表 '!O84+'2025年江苏分部利润表'!O84+'2025年浙江分部利润表'!O84+'2025年上海分部利润表'!O84+'2025年赣皖区域利润表'!O84</f>
        <v>32110</v>
      </c>
      <c r="P84" s="49">
        <f>'2025年中心利润表 '!P84+'2025年江苏分部利润表'!P84+'2025年浙江分部利润表'!P84+'2025年上海分部利润表'!P84+'2025年赣皖区域利润表'!P84</f>
        <v>26513.03</v>
      </c>
      <c r="Q84" s="49">
        <f>'2025年中心利润表 '!Q84+'2025年江苏分部利润表'!Q84+'2025年浙江分部利润表'!Q84+'2025年上海分部利润表'!Q84+'2025年赣皖区域利润表'!Q84</f>
        <v>32110</v>
      </c>
      <c r="R84" s="49">
        <f>'2025年中心利润表 '!R84+'2025年江苏分部利润表'!R84+'2025年浙江分部利润表'!R84+'2025年上海分部利润表'!R84+'2025年赣皖区域利润表'!R84</f>
        <v>27157.75</v>
      </c>
      <c r="S84" s="49">
        <f>'2025年中心利润表 '!S84+'2025年江苏分部利润表'!S84+'2025年浙江分部利润表'!S84+'2025年上海分部利润表'!S84+'2025年赣皖区域利润表'!S84</f>
        <v>32110</v>
      </c>
      <c r="T84" s="49">
        <f>'2025年中心利润表 '!T84+'2025年江苏分部利润表'!T84+'2025年浙江分部利润表'!T84+'2025年上海分部利润表'!T84+'2025年赣皖区域利润表'!T84</f>
        <v>30570.959999999999</v>
      </c>
      <c r="U84" s="49">
        <f>'2025年中心利润表 '!U84+'2025年江苏分部利润表'!U84+'2025年浙江分部利润表'!U84+'2025年上海分部利润表'!U84+'2025年赣皖区域利润表'!U84</f>
        <v>32110</v>
      </c>
      <c r="V84" s="49">
        <f>'2025年中心利润表 '!V84+'2025年江苏分部利润表'!V84+'2025年浙江分部利润表'!V84+'2025年上海分部利润表'!V84+'2025年赣皖区域利润表'!V84</f>
        <v>32493.559999999998</v>
      </c>
      <c r="W84" s="49">
        <f>'2025年中心利润表 '!W84+'2025年江苏分部利润表'!W84+'2025年浙江分部利润表'!W84+'2025年上海分部利润表'!W84+'2025年赣皖区域利润表'!W84</f>
        <v>32110</v>
      </c>
      <c r="X84" s="49">
        <f>'2025年中心利润表 '!X84+'2025年江苏分部利润表'!X84+'2025年浙江分部利润表'!X84+'2025年上海分部利润表'!X84+'2025年赣皖区域利润表'!X84</f>
        <v>39103.17</v>
      </c>
      <c r="Y84" s="49">
        <f>'2025年中心利润表 '!Y84+'2025年江苏分部利润表'!Y84+'2025年浙江分部利润表'!Y84+'2025年上海分部利润表'!Y84+'2025年赣皖区域利润表'!Y84</f>
        <v>32110</v>
      </c>
      <c r="Z84" s="49">
        <f>'2025年中心利润表 '!Z84+'2025年江苏分部利润表'!Z84+'2025年浙江分部利润表'!Z84+'2025年上海分部利润表'!Z84+'2025年赣皖区域利润表'!Z84</f>
        <v>27415.83</v>
      </c>
      <c r="AA84" s="51">
        <f t="shared" si="12"/>
        <v>385320</v>
      </c>
      <c r="AB84" s="51">
        <f t="shared" si="13"/>
        <v>354197.32999999996</v>
      </c>
      <c r="AC84" s="94"/>
      <c r="AD84" s="31">
        <f t="shared" si="14"/>
        <v>385320</v>
      </c>
      <c r="AE84" s="31">
        <f t="shared" si="15"/>
        <v>354197.32999999996</v>
      </c>
      <c r="AF84" s="17">
        <f t="shared" si="18"/>
        <v>0</v>
      </c>
      <c r="AG84" s="17">
        <f t="shared" si="19"/>
        <v>0</v>
      </c>
      <c r="AH84" s="17">
        <f>SUM('[1]2024年全面预算利润表 (销售1中心)2.8亿'!E89:H89)</f>
        <v>0</v>
      </c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</row>
    <row r="85" spans="1:53" s="19" customFormat="1" ht="14" hidden="1" outlineLevel="1" x14ac:dyDescent="0.25">
      <c r="A85" s="48" t="s">
        <v>162</v>
      </c>
      <c r="B85" s="53"/>
      <c r="C85" s="49">
        <f>'2025年中心利润表 '!C85+'2025年江苏分部利润表'!C85+'2025年浙江分部利润表'!C85+'2025年上海分部利润表'!C85+'2025年赣皖区域利润表'!C85</f>
        <v>10436</v>
      </c>
      <c r="D85" s="49">
        <f>'2025年中心利润表 '!D85+'2025年江苏分部利润表'!D85+'2025年浙江分部利润表'!D85+'2025年上海分部利润表'!D85+'2025年赣皖区域利润表'!D85</f>
        <v>9780.16</v>
      </c>
      <c r="E85" s="49">
        <f>'2025年中心利润表 '!E85+'2025年江苏分部利润表'!E85+'2025年浙江分部利润表'!E85+'2025年上海分部利润表'!E85+'2025年赣皖区域利润表'!E85</f>
        <v>10436</v>
      </c>
      <c r="F85" s="49">
        <f>'2025年中心利润表 '!F85+'2025年江苏分部利润表'!F85+'2025年浙江分部利润表'!F85+'2025年上海分部利润表'!F85+'2025年赣皖区域利润表'!F85</f>
        <v>10329.06</v>
      </c>
      <c r="G85" s="49">
        <f>'2025年中心利润表 '!G85+'2025年江苏分部利润表'!G85+'2025年浙江分部利润表'!G85+'2025年上海分部利润表'!G85+'2025年赣皖区域利润表'!G85</f>
        <v>10436</v>
      </c>
      <c r="H85" s="49">
        <f>'2025年中心利润表 '!H85+'2025年江苏分部利润表'!H85+'2025年浙江分部利润表'!H85+'2025年上海分部利润表'!H85+'2025年赣皖区域利润表'!H85</f>
        <v>15947.5</v>
      </c>
      <c r="I85" s="49">
        <f>'2025年中心利润表 '!I85+'2025年江苏分部利润表'!I85+'2025年浙江分部利润表'!I85+'2025年上海分部利润表'!I85+'2025年赣皖区域利润表'!I85</f>
        <v>0</v>
      </c>
      <c r="J85" s="49">
        <f>'2025年中心利润表 '!J85+'2025年江苏分部利润表'!J85+'2025年浙江分部利润表'!J85+'2025年上海分部利润表'!J85+'2025年赣皖区域利润表'!J85</f>
        <v>18212.89</v>
      </c>
      <c r="K85" s="49">
        <f>'2025年中心利润表 '!K85+'2025年江苏分部利润表'!K85+'2025年浙江分部利润表'!K85+'2025年上海分部利润表'!K85+'2025年赣皖区域利润表'!K85</f>
        <v>0</v>
      </c>
      <c r="L85" s="49">
        <f>'2025年中心利润表 '!L85+'2025年江苏分部利润表'!L85+'2025年浙江分部利润表'!L85+'2025年上海分部利润表'!L85+'2025年赣皖区域利润表'!L85</f>
        <v>13350.46</v>
      </c>
      <c r="M85" s="49">
        <f>'2025年中心利润表 '!M85+'2025年江苏分部利润表'!M85+'2025年浙江分部利润表'!M85+'2025年上海分部利润表'!M85+'2025年赣皖区域利润表'!M85</f>
        <v>0</v>
      </c>
      <c r="N85" s="49">
        <f>'2025年中心利润表 '!N85+'2025年江苏分部利润表'!N85+'2025年浙江分部利润表'!N85+'2025年上海分部利润表'!N85+'2025年赣皖区域利润表'!N85</f>
        <v>6241.33</v>
      </c>
      <c r="O85" s="49">
        <f>'2025年中心利润表 '!O85+'2025年江苏分部利润表'!O85+'2025年浙江分部利润表'!O85+'2025年上海分部利润表'!O85+'2025年赣皖区域利润表'!O85</f>
        <v>0</v>
      </c>
      <c r="P85" s="49">
        <f>'2025年中心利润表 '!P85+'2025年江苏分部利润表'!P85+'2025年浙江分部利润表'!P85+'2025年上海分部利润表'!P85+'2025年赣皖区域利润表'!P85</f>
        <v>6117.27</v>
      </c>
      <c r="Q85" s="49">
        <f>'2025年中心利润表 '!Q85+'2025年江苏分部利润表'!Q85+'2025年浙江分部利润表'!Q85+'2025年上海分部利润表'!Q85+'2025年赣皖区域利润表'!Q85</f>
        <v>0</v>
      </c>
      <c r="R85" s="49">
        <f>'2025年中心利润表 '!R85+'2025年江苏分部利润表'!R85+'2025年浙江分部利润表'!R85+'2025年上海分部利润表'!R85+'2025年赣皖区域利润表'!R85</f>
        <v>9181.7900000000009</v>
      </c>
      <c r="S85" s="49">
        <f>'2025年中心利润表 '!S85+'2025年江苏分部利润表'!S85+'2025年浙江分部利润表'!S85+'2025年上海分部利润表'!S85+'2025年赣皖区域利润表'!S85</f>
        <v>0</v>
      </c>
      <c r="T85" s="49">
        <f>'2025年中心利润表 '!T85+'2025年江苏分部利润表'!T85+'2025年浙江分部利润表'!T85+'2025年上海分部利润表'!T85+'2025年赣皖区域利润表'!T85</f>
        <v>16159.84</v>
      </c>
      <c r="U85" s="49">
        <f>'2025年中心利润表 '!U85+'2025年江苏分部利润表'!U85+'2025年浙江分部利润表'!U85+'2025年上海分部利润表'!U85+'2025年赣皖区域利润表'!U85</f>
        <v>0</v>
      </c>
      <c r="V85" s="49">
        <f>'2025年中心利润表 '!V85+'2025年江苏分部利润表'!V85+'2025年浙江分部利润表'!V85+'2025年上海分部利润表'!V85+'2025年赣皖区域利润表'!V85</f>
        <v>12804.36</v>
      </c>
      <c r="W85" s="49">
        <f>'2025年中心利润表 '!W85+'2025年江苏分部利润表'!W85+'2025年浙江分部利润表'!W85+'2025年上海分部利润表'!W85+'2025年赣皖区域利润表'!W85</f>
        <v>0</v>
      </c>
      <c r="X85" s="49">
        <f>'2025年中心利润表 '!X85+'2025年江苏分部利润表'!X85+'2025年浙江分部利润表'!X85+'2025年上海分部利润表'!X85+'2025年赣皖区域利润表'!X85</f>
        <v>18391.010000000002</v>
      </c>
      <c r="Y85" s="49">
        <f>'2025年中心利润表 '!Y85+'2025年江苏分部利润表'!Y85+'2025年浙江分部利润表'!Y85+'2025年上海分部利润表'!Y85+'2025年赣皖区域利润表'!Y85</f>
        <v>0</v>
      </c>
      <c r="Z85" s="49">
        <f>'2025年中心利润表 '!Z85+'2025年江苏分部利润表'!Z85+'2025年浙江分部利润表'!Z85+'2025年上海分部利润表'!Z85+'2025年赣皖区域利润表'!Z85</f>
        <v>12347.51</v>
      </c>
      <c r="AA85" s="51">
        <f t="shared" si="12"/>
        <v>31308</v>
      </c>
      <c r="AB85" s="51">
        <f t="shared" si="13"/>
        <v>148863.18000000002</v>
      </c>
      <c r="AC85" s="94"/>
      <c r="AD85" s="31">
        <f t="shared" si="14"/>
        <v>31308</v>
      </c>
      <c r="AE85" s="31">
        <f t="shared" si="15"/>
        <v>148863.18000000002</v>
      </c>
      <c r="AF85" s="17">
        <f t="shared" si="18"/>
        <v>0</v>
      </c>
      <c r="AG85" s="17">
        <f t="shared" si="19"/>
        <v>0</v>
      </c>
      <c r="AH85" s="17">
        <f>SUM('[1]2024年全面预算利润表 (销售1中心)2.8亿'!E90:H90)</f>
        <v>98812.43</v>
      </c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</row>
    <row r="86" spans="1:53" s="19" customFormat="1" ht="14" hidden="1" outlineLevel="1" x14ac:dyDescent="0.25">
      <c r="A86" s="48" t="s">
        <v>163</v>
      </c>
      <c r="B86" s="53"/>
      <c r="C86" s="49">
        <f>'2025年中心利润表 '!C86+'2025年江苏分部利润表'!C86+'2025年浙江分部利润表'!C86+'2025年上海分部利润表'!C86+'2025年赣皖区域利润表'!C86</f>
        <v>0</v>
      </c>
      <c r="D86" s="49">
        <f>'2025年中心利润表 '!D86+'2025年江苏分部利润表'!D86+'2025年浙江分部利润表'!D86+'2025年上海分部利润表'!D86+'2025年赣皖区域利润表'!D86</f>
        <v>0</v>
      </c>
      <c r="E86" s="49">
        <f>'2025年中心利润表 '!E86+'2025年江苏分部利润表'!E86+'2025年浙江分部利润表'!E86+'2025年上海分部利润表'!E86+'2025年赣皖区域利润表'!E86</f>
        <v>0</v>
      </c>
      <c r="F86" s="49">
        <f>'2025年中心利润表 '!F86+'2025年江苏分部利润表'!F86+'2025年浙江分部利润表'!F86+'2025年上海分部利润表'!F86+'2025年赣皖区域利润表'!F86</f>
        <v>0</v>
      </c>
      <c r="G86" s="49">
        <f>'2025年中心利润表 '!G86+'2025年江苏分部利润表'!G86+'2025年浙江分部利润表'!G86+'2025年上海分部利润表'!G86+'2025年赣皖区域利润表'!G86</f>
        <v>0</v>
      </c>
      <c r="H86" s="49">
        <f>'2025年中心利润表 '!H86+'2025年江苏分部利润表'!H86+'2025年浙江分部利润表'!H86+'2025年上海分部利润表'!H86+'2025年赣皖区域利润表'!H86</f>
        <v>0</v>
      </c>
      <c r="I86" s="49">
        <f>'2025年中心利润表 '!I86+'2025年江苏分部利润表'!I86+'2025年浙江分部利润表'!I86+'2025年上海分部利润表'!I86+'2025年赣皖区域利润表'!I86</f>
        <v>0</v>
      </c>
      <c r="J86" s="49">
        <f>'2025年中心利润表 '!J86+'2025年江苏分部利润表'!J86+'2025年浙江分部利润表'!J86+'2025年上海分部利润表'!J86+'2025年赣皖区域利润表'!J86</f>
        <v>0</v>
      </c>
      <c r="K86" s="49">
        <f>'2025年中心利润表 '!K86+'2025年江苏分部利润表'!K86+'2025年浙江分部利润表'!K86+'2025年上海分部利润表'!K86+'2025年赣皖区域利润表'!K86</f>
        <v>0</v>
      </c>
      <c r="L86" s="49">
        <f>'2025年中心利润表 '!L86+'2025年江苏分部利润表'!L86+'2025年浙江分部利润表'!L86+'2025年上海分部利润表'!L86+'2025年赣皖区域利润表'!L86</f>
        <v>0</v>
      </c>
      <c r="M86" s="49">
        <f>'2025年中心利润表 '!M86+'2025年江苏分部利润表'!M86+'2025年浙江分部利润表'!M86+'2025年上海分部利润表'!M86+'2025年赣皖区域利润表'!M86</f>
        <v>0</v>
      </c>
      <c r="N86" s="49">
        <f>'2025年中心利润表 '!N86+'2025年江苏分部利润表'!N86+'2025年浙江分部利润表'!N86+'2025年上海分部利润表'!N86+'2025年赣皖区域利润表'!N86</f>
        <v>0</v>
      </c>
      <c r="O86" s="49">
        <f>'2025年中心利润表 '!O86+'2025年江苏分部利润表'!O86+'2025年浙江分部利润表'!O86+'2025年上海分部利润表'!O86+'2025年赣皖区域利润表'!O86</f>
        <v>0</v>
      </c>
      <c r="P86" s="49">
        <f>'2025年中心利润表 '!P86+'2025年江苏分部利润表'!P86+'2025年浙江分部利润表'!P86+'2025年上海分部利润表'!P86+'2025年赣皖区域利润表'!P86</f>
        <v>0</v>
      </c>
      <c r="Q86" s="49">
        <f>'2025年中心利润表 '!Q86+'2025年江苏分部利润表'!Q86+'2025年浙江分部利润表'!Q86+'2025年上海分部利润表'!Q86+'2025年赣皖区域利润表'!Q86</f>
        <v>0</v>
      </c>
      <c r="R86" s="49">
        <f>'2025年中心利润表 '!R86+'2025年江苏分部利润表'!R86+'2025年浙江分部利润表'!R86+'2025年上海分部利润表'!R86+'2025年赣皖区域利润表'!R86</f>
        <v>0</v>
      </c>
      <c r="S86" s="49">
        <f>'2025年中心利润表 '!S86+'2025年江苏分部利润表'!S86+'2025年浙江分部利润表'!S86+'2025年上海分部利润表'!S86+'2025年赣皖区域利润表'!S86</f>
        <v>0</v>
      </c>
      <c r="T86" s="49">
        <f>'2025年中心利润表 '!T86+'2025年江苏分部利润表'!T86+'2025年浙江分部利润表'!T86+'2025年上海分部利润表'!T86+'2025年赣皖区域利润表'!T86</f>
        <v>0</v>
      </c>
      <c r="U86" s="49">
        <f>'2025年中心利润表 '!U86+'2025年江苏分部利润表'!U86+'2025年浙江分部利润表'!U86+'2025年上海分部利润表'!U86+'2025年赣皖区域利润表'!U86</f>
        <v>0</v>
      </c>
      <c r="V86" s="49">
        <f>'2025年中心利润表 '!V86+'2025年江苏分部利润表'!V86+'2025年浙江分部利润表'!V86+'2025年上海分部利润表'!V86+'2025年赣皖区域利润表'!V86</f>
        <v>0</v>
      </c>
      <c r="W86" s="49">
        <f>'2025年中心利润表 '!W86+'2025年江苏分部利润表'!W86+'2025年浙江分部利润表'!W86+'2025年上海分部利润表'!W86+'2025年赣皖区域利润表'!W86</f>
        <v>0</v>
      </c>
      <c r="X86" s="49">
        <f>'2025年中心利润表 '!X86+'2025年江苏分部利润表'!X86+'2025年浙江分部利润表'!X86+'2025年上海分部利润表'!X86+'2025年赣皖区域利润表'!X86</f>
        <v>0</v>
      </c>
      <c r="Y86" s="49">
        <f>'2025年中心利润表 '!Y86+'2025年江苏分部利润表'!Y86+'2025年浙江分部利润表'!Y86+'2025年上海分部利润表'!Y86+'2025年赣皖区域利润表'!Y86</f>
        <v>0</v>
      </c>
      <c r="Z86" s="49">
        <f>'2025年中心利润表 '!Z86+'2025年江苏分部利润表'!Z86+'2025年浙江分部利润表'!Z86+'2025年上海分部利润表'!Z86+'2025年赣皖区域利润表'!Z86</f>
        <v>0</v>
      </c>
      <c r="AA86" s="51">
        <f t="shared" si="12"/>
        <v>0</v>
      </c>
      <c r="AB86" s="51">
        <f t="shared" si="13"/>
        <v>0</v>
      </c>
      <c r="AC86" s="94"/>
      <c r="AD86" s="31">
        <f t="shared" si="14"/>
        <v>0</v>
      </c>
      <c r="AE86" s="31">
        <f t="shared" si="15"/>
        <v>0</v>
      </c>
      <c r="AF86" s="17">
        <f t="shared" si="18"/>
        <v>0</v>
      </c>
      <c r="AG86" s="17">
        <f t="shared" si="19"/>
        <v>0</v>
      </c>
      <c r="AH86" s="17">
        <f>SUM('[1]2024年全面预算利润表 (销售1中心)2.8亿'!E91:H91)</f>
        <v>0</v>
      </c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</row>
    <row r="87" spans="1:53" s="19" customFormat="1" ht="14" hidden="1" outlineLevel="1" x14ac:dyDescent="0.25">
      <c r="A87" s="48" t="s">
        <v>164</v>
      </c>
      <c r="B87" s="53"/>
      <c r="C87" s="49">
        <f>'2025年中心利润表 '!C87+'2025年江苏分部利润表'!C87+'2025年浙江分部利润表'!C87+'2025年上海分部利润表'!C87+'2025年赣皖区域利润表'!C87</f>
        <v>400</v>
      </c>
      <c r="D87" s="49">
        <f>'2025年中心利润表 '!D87+'2025年江苏分部利润表'!D87+'2025年浙江分部利润表'!D87+'2025年上海分部利润表'!D87+'2025年赣皖区域利润表'!D87</f>
        <v>10006.09</v>
      </c>
      <c r="E87" s="49">
        <f>'2025年中心利润表 '!E87+'2025年江苏分部利润表'!E87+'2025年浙江分部利润表'!E87+'2025年上海分部利润表'!E87+'2025年赣皖区域利润表'!E87</f>
        <v>400</v>
      </c>
      <c r="F87" s="49">
        <f>'2025年中心利润表 '!F87+'2025年江苏分部利润表'!F87+'2025年浙江分部利润表'!F87+'2025年上海分部利润表'!F87+'2025年赣皖区域利润表'!F87</f>
        <v>4575.25</v>
      </c>
      <c r="G87" s="49">
        <f>'2025年中心利润表 '!G87+'2025年江苏分部利润表'!G87+'2025年浙江分部利润表'!G87+'2025年上海分部利润表'!G87+'2025年赣皖区域利润表'!G87</f>
        <v>14500</v>
      </c>
      <c r="H87" s="49">
        <f>'2025年中心利润表 '!H87+'2025年江苏分部利润表'!H87+'2025年浙江分部利润表'!H87+'2025年上海分部利润表'!H87+'2025年赣皖区域利润表'!H87</f>
        <v>8654.1200000000008</v>
      </c>
      <c r="I87" s="49">
        <f>'2025年中心利润表 '!I87+'2025年江苏分部利润表'!I87+'2025年浙江分部利润表'!I87+'2025年上海分部利润表'!I87+'2025年赣皖区域利润表'!I87</f>
        <v>500</v>
      </c>
      <c r="J87" s="49">
        <f>'2025年中心利润表 '!J87+'2025年江苏分部利润表'!J87+'2025年浙江分部利润表'!J87+'2025年上海分部利润表'!J87+'2025年赣皖区域利润表'!J87</f>
        <v>5717.13</v>
      </c>
      <c r="K87" s="49">
        <f>'2025年中心利润表 '!K87+'2025年江苏分部利润表'!K87+'2025年浙江分部利润表'!K87+'2025年上海分部利润表'!K87+'2025年赣皖区域利润表'!K87</f>
        <v>400</v>
      </c>
      <c r="L87" s="49">
        <f>'2025年中心利润表 '!L87+'2025年江苏分部利润表'!L87+'2025年浙江分部利润表'!L87+'2025年上海分部利润表'!L87+'2025年赣皖区域利润表'!L87</f>
        <v>1250.9499999999998</v>
      </c>
      <c r="M87" s="49">
        <f>'2025年中心利润表 '!M87+'2025年江苏分部利润表'!M87+'2025年浙江分部利润表'!M87+'2025年上海分部利润表'!M87+'2025年赣皖区域利润表'!M87</f>
        <v>400</v>
      </c>
      <c r="N87" s="49">
        <f>'2025年中心利润表 '!N87+'2025年江苏分部利润表'!N87+'2025年浙江分部利润表'!N87+'2025年上海分部利润表'!N87+'2025年赣皖区域利润表'!N87</f>
        <v>2886.7999999999997</v>
      </c>
      <c r="O87" s="49">
        <f>'2025年中心利润表 '!O87+'2025年江苏分部利润表'!O87+'2025年浙江分部利润表'!O87+'2025年上海分部利润表'!O87+'2025年赣皖区域利润表'!O87</f>
        <v>400</v>
      </c>
      <c r="P87" s="49">
        <f>'2025年中心利润表 '!P87+'2025年江苏分部利润表'!P87+'2025年浙江分部利润表'!P87+'2025年上海分部利润表'!P87+'2025年赣皖区域利润表'!P87</f>
        <v>3231.6</v>
      </c>
      <c r="Q87" s="49">
        <f>'2025年中心利润表 '!Q87+'2025年江苏分部利润表'!Q87+'2025年浙江分部利润表'!Q87+'2025年上海分部利润表'!Q87+'2025年赣皖区域利润表'!Q87</f>
        <v>400</v>
      </c>
      <c r="R87" s="49">
        <f>'2025年中心利润表 '!R87+'2025年江苏分部利润表'!R87+'2025年浙江分部利润表'!R87+'2025年上海分部利润表'!R87+'2025年赣皖区域利润表'!R87</f>
        <v>3812.9700000000003</v>
      </c>
      <c r="S87" s="49">
        <f>'2025年中心利润表 '!S87+'2025年江苏分部利润表'!S87+'2025年浙江分部利润表'!S87+'2025年上海分部利润表'!S87+'2025年赣皖区域利润表'!S87</f>
        <v>400</v>
      </c>
      <c r="T87" s="49">
        <f>'2025年中心利润表 '!T87+'2025年江苏分部利润表'!T87+'2025年浙江分部利润表'!T87+'2025年上海分部利润表'!T87+'2025年赣皖区域利润表'!T87</f>
        <v>1034.48</v>
      </c>
      <c r="U87" s="49">
        <f>'2025年中心利润表 '!U87+'2025年江苏分部利润表'!U87+'2025年浙江分部利润表'!U87+'2025年上海分部利润表'!U87+'2025年赣皖区域利润表'!U87</f>
        <v>400</v>
      </c>
      <c r="V87" s="49">
        <f>'2025年中心利润表 '!V87+'2025年江苏分部利润表'!V87+'2025年浙江分部利润表'!V87+'2025年上海分部利润表'!V87+'2025年赣皖区域利润表'!V87</f>
        <v>6174.5300000000007</v>
      </c>
      <c r="W87" s="49">
        <f>'2025年中心利润表 '!W87+'2025年江苏分部利润表'!W87+'2025年浙江分部利润表'!W87+'2025年上海分部利润表'!W87+'2025年赣皖区域利润表'!W87</f>
        <v>400</v>
      </c>
      <c r="X87" s="49">
        <f>'2025年中心利润表 '!X87+'2025年江苏分部利润表'!X87+'2025年浙江分部利润表'!X87+'2025年上海分部利润表'!X87+'2025年赣皖区域利润表'!X87</f>
        <v>950.24</v>
      </c>
      <c r="Y87" s="49">
        <f>'2025年中心利润表 '!Y87+'2025年江苏分部利润表'!Y87+'2025年浙江分部利润表'!Y87+'2025年上海分部利润表'!Y87+'2025年赣皖区域利润表'!Y87</f>
        <v>400</v>
      </c>
      <c r="Z87" s="49">
        <f>'2025年中心利润表 '!Z87+'2025年江苏分部利润表'!Z87+'2025年浙江分部利润表'!Z87+'2025年上海分部利润表'!Z87+'2025年赣皖区域利润表'!Z87</f>
        <v>1956.6</v>
      </c>
      <c r="AA87" s="51">
        <f t="shared" si="12"/>
        <v>19000</v>
      </c>
      <c r="AB87" s="51">
        <f t="shared" si="13"/>
        <v>50250.76</v>
      </c>
      <c r="AC87" s="94"/>
      <c r="AD87" s="31">
        <f t="shared" si="14"/>
        <v>19000</v>
      </c>
      <c r="AE87" s="31">
        <f t="shared" si="15"/>
        <v>50250.76</v>
      </c>
      <c r="AF87" s="17">
        <f t="shared" si="18"/>
        <v>0</v>
      </c>
      <c r="AG87" s="17">
        <f t="shared" si="19"/>
        <v>0</v>
      </c>
      <c r="AH87" s="17">
        <f>SUM('[1]2024年全面预算利润表 (销售1中心)2.8亿'!E92:H92)</f>
        <v>0</v>
      </c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</row>
    <row r="88" spans="1:53" s="19" customFormat="1" ht="14" hidden="1" outlineLevel="1" x14ac:dyDescent="0.25">
      <c r="A88" s="48" t="s">
        <v>165</v>
      </c>
      <c r="B88" s="53"/>
      <c r="C88" s="49">
        <f>'2025年中心利润表 '!C88+'2025年江苏分部利润表'!C88+'2025年浙江分部利润表'!C88+'2025年上海分部利润表'!C88+'2025年赣皖区域利润表'!C88</f>
        <v>0</v>
      </c>
      <c r="D88" s="49">
        <f>'2025年中心利润表 '!D88+'2025年江苏分部利润表'!D88+'2025年浙江分部利润表'!D88+'2025年上海分部利润表'!D88+'2025年赣皖区域利润表'!D88</f>
        <v>0</v>
      </c>
      <c r="E88" s="49">
        <f>'2025年中心利润表 '!E88+'2025年江苏分部利润表'!E88+'2025年浙江分部利润表'!E88+'2025年上海分部利润表'!E88+'2025年赣皖区域利润表'!E88</f>
        <v>0</v>
      </c>
      <c r="F88" s="49">
        <f>'2025年中心利润表 '!F88+'2025年江苏分部利润表'!F88+'2025年浙江分部利润表'!F88+'2025年上海分部利润表'!F88+'2025年赣皖区域利润表'!F88</f>
        <v>0</v>
      </c>
      <c r="G88" s="49">
        <f>'2025年中心利润表 '!G88+'2025年江苏分部利润表'!G88+'2025年浙江分部利润表'!G88+'2025年上海分部利润表'!G88+'2025年赣皖区域利润表'!G88</f>
        <v>0</v>
      </c>
      <c r="H88" s="49">
        <f>'2025年中心利润表 '!H88+'2025年江苏分部利润表'!H88+'2025年浙江分部利润表'!H88+'2025年上海分部利润表'!H88+'2025年赣皖区域利润表'!H88</f>
        <v>0</v>
      </c>
      <c r="I88" s="49">
        <f>'2025年中心利润表 '!I88+'2025年江苏分部利润表'!I88+'2025年浙江分部利润表'!I88+'2025年上海分部利润表'!I88+'2025年赣皖区域利润表'!I88</f>
        <v>0</v>
      </c>
      <c r="J88" s="49">
        <f>'2025年中心利润表 '!J88+'2025年江苏分部利润表'!J88+'2025年浙江分部利润表'!J88+'2025年上海分部利润表'!J88+'2025年赣皖区域利润表'!J88</f>
        <v>0</v>
      </c>
      <c r="K88" s="49">
        <f>'2025年中心利润表 '!K88+'2025年江苏分部利润表'!K88+'2025年浙江分部利润表'!K88+'2025年上海分部利润表'!K88+'2025年赣皖区域利润表'!K88</f>
        <v>0</v>
      </c>
      <c r="L88" s="49">
        <f>'2025年中心利润表 '!L88+'2025年江苏分部利润表'!L88+'2025年浙江分部利润表'!L88+'2025年上海分部利润表'!L88+'2025年赣皖区域利润表'!L88</f>
        <v>0</v>
      </c>
      <c r="M88" s="49">
        <f>'2025年中心利润表 '!M88+'2025年江苏分部利润表'!M88+'2025年浙江分部利润表'!M88+'2025年上海分部利润表'!M88+'2025年赣皖区域利润表'!M88</f>
        <v>0</v>
      </c>
      <c r="N88" s="49">
        <f>'2025年中心利润表 '!N88+'2025年江苏分部利润表'!N88+'2025年浙江分部利润表'!N88+'2025年上海分部利润表'!N88+'2025年赣皖区域利润表'!N88</f>
        <v>0</v>
      </c>
      <c r="O88" s="49">
        <f>'2025年中心利润表 '!O88+'2025年江苏分部利润表'!O88+'2025年浙江分部利润表'!O88+'2025年上海分部利润表'!O88+'2025年赣皖区域利润表'!O88</f>
        <v>0</v>
      </c>
      <c r="P88" s="49">
        <f>'2025年中心利润表 '!P88+'2025年江苏分部利润表'!P88+'2025年浙江分部利润表'!P88+'2025年上海分部利润表'!P88+'2025年赣皖区域利润表'!P88</f>
        <v>0</v>
      </c>
      <c r="Q88" s="49">
        <f>'2025年中心利润表 '!Q88+'2025年江苏分部利润表'!Q88+'2025年浙江分部利润表'!Q88+'2025年上海分部利润表'!Q88+'2025年赣皖区域利润表'!Q88</f>
        <v>0</v>
      </c>
      <c r="R88" s="49">
        <f>'2025年中心利润表 '!R88+'2025年江苏分部利润表'!R88+'2025年浙江分部利润表'!R88+'2025年上海分部利润表'!R88+'2025年赣皖区域利润表'!R88</f>
        <v>0</v>
      </c>
      <c r="S88" s="49">
        <f>'2025年中心利润表 '!S88+'2025年江苏分部利润表'!S88+'2025年浙江分部利润表'!S88+'2025年上海分部利润表'!S88+'2025年赣皖区域利润表'!S88</f>
        <v>0</v>
      </c>
      <c r="T88" s="49">
        <f>'2025年中心利润表 '!T88+'2025年江苏分部利润表'!T88+'2025年浙江分部利润表'!T88+'2025年上海分部利润表'!T88+'2025年赣皖区域利润表'!T88</f>
        <v>0</v>
      </c>
      <c r="U88" s="49">
        <f>'2025年中心利润表 '!U88+'2025年江苏分部利润表'!U88+'2025年浙江分部利润表'!U88+'2025年上海分部利润表'!U88+'2025年赣皖区域利润表'!U88</f>
        <v>0</v>
      </c>
      <c r="V88" s="49">
        <f>'2025年中心利润表 '!V88+'2025年江苏分部利润表'!V88+'2025年浙江分部利润表'!V88+'2025年上海分部利润表'!V88+'2025年赣皖区域利润表'!V88</f>
        <v>0</v>
      </c>
      <c r="W88" s="49">
        <f>'2025年中心利润表 '!W88+'2025年江苏分部利润表'!W88+'2025年浙江分部利润表'!W88+'2025年上海分部利润表'!W88+'2025年赣皖区域利润表'!W88</f>
        <v>0</v>
      </c>
      <c r="X88" s="49">
        <f>'2025年中心利润表 '!X88+'2025年江苏分部利润表'!X88+'2025年浙江分部利润表'!X88+'2025年上海分部利润表'!X88+'2025年赣皖区域利润表'!X88</f>
        <v>0</v>
      </c>
      <c r="Y88" s="49">
        <f>'2025年中心利润表 '!Y88+'2025年江苏分部利润表'!Y88+'2025年浙江分部利润表'!Y88+'2025年上海分部利润表'!Y88+'2025年赣皖区域利润表'!Y88</f>
        <v>0</v>
      </c>
      <c r="Z88" s="49">
        <f>'2025年中心利润表 '!Z88+'2025年江苏分部利润表'!Z88+'2025年浙江分部利润表'!Z88+'2025年上海分部利润表'!Z88+'2025年赣皖区域利润表'!Z88</f>
        <v>0</v>
      </c>
      <c r="AA88" s="51">
        <f t="shared" si="12"/>
        <v>0</v>
      </c>
      <c r="AB88" s="51">
        <f t="shared" si="13"/>
        <v>0</v>
      </c>
      <c r="AC88" s="94"/>
      <c r="AD88" s="31">
        <f t="shared" si="14"/>
        <v>0</v>
      </c>
      <c r="AE88" s="31">
        <f t="shared" si="15"/>
        <v>0</v>
      </c>
      <c r="AF88" s="17">
        <f t="shared" si="18"/>
        <v>0</v>
      </c>
      <c r="AG88" s="17">
        <f t="shared" si="19"/>
        <v>0</v>
      </c>
      <c r="AH88" s="17">
        <f>SUM('[1]2024年全面预算利润表 (销售1中心)2.8亿'!E93:H93)</f>
        <v>0</v>
      </c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</row>
    <row r="89" spans="1:53" s="19" customFormat="1" ht="14" hidden="1" outlineLevel="1" x14ac:dyDescent="0.25">
      <c r="A89" s="48" t="s">
        <v>166</v>
      </c>
      <c r="B89" s="53"/>
      <c r="C89" s="49">
        <f>'2025年中心利润表 '!C89+'2025年江苏分部利润表'!C89+'2025年浙江分部利润表'!C89+'2025年上海分部利润表'!C89+'2025年赣皖区域利润表'!C89</f>
        <v>0</v>
      </c>
      <c r="D89" s="49">
        <f>'2025年中心利润表 '!D89+'2025年江苏分部利润表'!D89+'2025年浙江分部利润表'!D89+'2025年上海分部利润表'!D89+'2025年赣皖区域利润表'!D89</f>
        <v>0</v>
      </c>
      <c r="E89" s="49">
        <f>'2025年中心利润表 '!E89+'2025年江苏分部利润表'!E89+'2025年浙江分部利润表'!E89+'2025年上海分部利润表'!E89+'2025年赣皖区域利润表'!E89</f>
        <v>0</v>
      </c>
      <c r="F89" s="49">
        <f>'2025年中心利润表 '!F89+'2025年江苏分部利润表'!F89+'2025年浙江分部利润表'!F89+'2025年上海分部利润表'!F89+'2025年赣皖区域利润表'!F89</f>
        <v>0</v>
      </c>
      <c r="G89" s="49">
        <f>'2025年中心利润表 '!G89+'2025年江苏分部利润表'!G89+'2025年浙江分部利润表'!G89+'2025年上海分部利润表'!G89+'2025年赣皖区域利润表'!G89</f>
        <v>0</v>
      </c>
      <c r="H89" s="49">
        <f>'2025年中心利润表 '!H89+'2025年江苏分部利润表'!H89+'2025年浙江分部利润表'!H89+'2025年上海分部利润表'!H89+'2025年赣皖区域利润表'!H89</f>
        <v>0</v>
      </c>
      <c r="I89" s="49">
        <f>'2025年中心利润表 '!I89+'2025年江苏分部利润表'!I89+'2025年浙江分部利润表'!I89+'2025年上海分部利润表'!I89+'2025年赣皖区域利润表'!I89</f>
        <v>0</v>
      </c>
      <c r="J89" s="49">
        <f>'2025年中心利润表 '!J89+'2025年江苏分部利润表'!J89+'2025年浙江分部利润表'!J89+'2025年上海分部利润表'!J89+'2025年赣皖区域利润表'!J89</f>
        <v>0</v>
      </c>
      <c r="K89" s="49">
        <f>'2025年中心利润表 '!K89+'2025年江苏分部利润表'!K89+'2025年浙江分部利润表'!K89+'2025年上海分部利润表'!K89+'2025年赣皖区域利润表'!K89</f>
        <v>0</v>
      </c>
      <c r="L89" s="49">
        <f>'2025年中心利润表 '!L89+'2025年江苏分部利润表'!L89+'2025年浙江分部利润表'!L89+'2025年上海分部利润表'!L89+'2025年赣皖区域利润表'!L89</f>
        <v>0</v>
      </c>
      <c r="M89" s="49">
        <f>'2025年中心利润表 '!M89+'2025年江苏分部利润表'!M89+'2025年浙江分部利润表'!M89+'2025年上海分部利润表'!M89+'2025年赣皖区域利润表'!M89</f>
        <v>0</v>
      </c>
      <c r="N89" s="49">
        <f>'2025年中心利润表 '!N89+'2025年江苏分部利润表'!N89+'2025年浙江分部利润表'!N89+'2025年上海分部利润表'!N89+'2025年赣皖区域利润表'!N89</f>
        <v>0</v>
      </c>
      <c r="O89" s="49">
        <f>'2025年中心利润表 '!O89+'2025年江苏分部利润表'!O89+'2025年浙江分部利润表'!O89+'2025年上海分部利润表'!O89+'2025年赣皖区域利润表'!O89</f>
        <v>0</v>
      </c>
      <c r="P89" s="49">
        <f>'2025年中心利润表 '!P89+'2025年江苏分部利润表'!P89+'2025年浙江分部利润表'!P89+'2025年上海分部利润表'!P89+'2025年赣皖区域利润表'!P89</f>
        <v>0</v>
      </c>
      <c r="Q89" s="49">
        <f>'2025年中心利润表 '!Q89+'2025年江苏分部利润表'!Q89+'2025年浙江分部利润表'!Q89+'2025年上海分部利润表'!Q89+'2025年赣皖区域利润表'!Q89</f>
        <v>0</v>
      </c>
      <c r="R89" s="49">
        <f>'2025年中心利润表 '!R89+'2025年江苏分部利润表'!R89+'2025年浙江分部利润表'!R89+'2025年上海分部利润表'!R89+'2025年赣皖区域利润表'!R89</f>
        <v>0</v>
      </c>
      <c r="S89" s="49">
        <f>'2025年中心利润表 '!S89+'2025年江苏分部利润表'!S89+'2025年浙江分部利润表'!S89+'2025年上海分部利润表'!S89+'2025年赣皖区域利润表'!S89</f>
        <v>0</v>
      </c>
      <c r="T89" s="49">
        <f>'2025年中心利润表 '!T89+'2025年江苏分部利润表'!T89+'2025年浙江分部利润表'!T89+'2025年上海分部利润表'!T89+'2025年赣皖区域利润表'!T89</f>
        <v>0</v>
      </c>
      <c r="U89" s="49">
        <f>'2025年中心利润表 '!U89+'2025年江苏分部利润表'!U89+'2025年浙江分部利润表'!U89+'2025年上海分部利润表'!U89+'2025年赣皖区域利润表'!U89</f>
        <v>0</v>
      </c>
      <c r="V89" s="49">
        <f>'2025年中心利润表 '!V89+'2025年江苏分部利润表'!V89+'2025年浙江分部利润表'!V89+'2025年上海分部利润表'!V89+'2025年赣皖区域利润表'!V89</f>
        <v>0</v>
      </c>
      <c r="W89" s="49">
        <f>'2025年中心利润表 '!W89+'2025年江苏分部利润表'!W89+'2025年浙江分部利润表'!W89+'2025年上海分部利润表'!W89+'2025年赣皖区域利润表'!W89</f>
        <v>0</v>
      </c>
      <c r="X89" s="49">
        <f>'2025年中心利润表 '!X89+'2025年江苏分部利润表'!X89+'2025年浙江分部利润表'!X89+'2025年上海分部利润表'!X89+'2025年赣皖区域利润表'!X89</f>
        <v>0</v>
      </c>
      <c r="Y89" s="49">
        <f>'2025年中心利润表 '!Y89+'2025年江苏分部利润表'!Y89+'2025年浙江分部利润表'!Y89+'2025年上海分部利润表'!Y89+'2025年赣皖区域利润表'!Y89</f>
        <v>0</v>
      </c>
      <c r="Z89" s="49">
        <f>'2025年中心利润表 '!Z89+'2025年江苏分部利润表'!Z89+'2025年浙江分部利润表'!Z89+'2025年上海分部利润表'!Z89+'2025年赣皖区域利润表'!Z89</f>
        <v>0</v>
      </c>
      <c r="AA89" s="51">
        <f t="shared" si="12"/>
        <v>0</v>
      </c>
      <c r="AB89" s="51">
        <f t="shared" si="13"/>
        <v>0</v>
      </c>
      <c r="AC89" s="94"/>
      <c r="AD89" s="31">
        <f t="shared" si="14"/>
        <v>0</v>
      </c>
      <c r="AE89" s="31">
        <f t="shared" si="15"/>
        <v>0</v>
      </c>
      <c r="AF89" s="17">
        <f t="shared" si="18"/>
        <v>0</v>
      </c>
      <c r="AG89" s="17">
        <f t="shared" si="19"/>
        <v>0</v>
      </c>
      <c r="AH89" s="17">
        <f>SUM('[1]2024年全面预算利润表 (销售1中心)2.8亿'!E94:H94)</f>
        <v>0</v>
      </c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</row>
    <row r="90" spans="1:53" s="19" customFormat="1" ht="14" hidden="1" outlineLevel="1" x14ac:dyDescent="0.25">
      <c r="A90" s="48" t="s">
        <v>167</v>
      </c>
      <c r="B90" s="53"/>
      <c r="C90" s="49">
        <f>'2025年中心利润表 '!C90+'2025年江苏分部利润表'!C90+'2025年浙江分部利润表'!C90+'2025年上海分部利润表'!C90+'2025年赣皖区域利润表'!C90</f>
        <v>0</v>
      </c>
      <c r="D90" s="49">
        <f>'2025年中心利润表 '!D90+'2025年江苏分部利润表'!D90+'2025年浙江分部利润表'!D90+'2025年上海分部利润表'!D90+'2025年赣皖区域利润表'!D90</f>
        <v>0</v>
      </c>
      <c r="E90" s="49">
        <f>'2025年中心利润表 '!E90+'2025年江苏分部利润表'!E90+'2025年浙江分部利润表'!E90+'2025年上海分部利润表'!E90+'2025年赣皖区域利润表'!E90</f>
        <v>0</v>
      </c>
      <c r="F90" s="49">
        <f>'2025年中心利润表 '!F90+'2025年江苏分部利润表'!F90+'2025年浙江分部利润表'!F90+'2025年上海分部利润表'!F90+'2025年赣皖区域利润表'!F90</f>
        <v>0</v>
      </c>
      <c r="G90" s="49">
        <f>'2025年中心利润表 '!G90+'2025年江苏分部利润表'!G90+'2025年浙江分部利润表'!G90+'2025年上海分部利润表'!G90+'2025年赣皖区域利润表'!G90</f>
        <v>0</v>
      </c>
      <c r="H90" s="49">
        <f>'2025年中心利润表 '!H90+'2025年江苏分部利润表'!H90+'2025年浙江分部利润表'!H90+'2025年上海分部利润表'!H90+'2025年赣皖区域利润表'!H90</f>
        <v>0</v>
      </c>
      <c r="I90" s="49">
        <f>'2025年中心利润表 '!I90+'2025年江苏分部利润表'!I90+'2025年浙江分部利润表'!I90+'2025年上海分部利润表'!I90+'2025年赣皖区域利润表'!I90</f>
        <v>0</v>
      </c>
      <c r="J90" s="49">
        <f>'2025年中心利润表 '!J90+'2025年江苏分部利润表'!J90+'2025年浙江分部利润表'!J90+'2025年上海分部利润表'!J90+'2025年赣皖区域利润表'!J90</f>
        <v>0</v>
      </c>
      <c r="K90" s="49">
        <f>'2025年中心利润表 '!K90+'2025年江苏分部利润表'!K90+'2025年浙江分部利润表'!K90+'2025年上海分部利润表'!K90+'2025年赣皖区域利润表'!K90</f>
        <v>0</v>
      </c>
      <c r="L90" s="49">
        <f>'2025年中心利润表 '!L90+'2025年江苏分部利润表'!L90+'2025年浙江分部利润表'!L90+'2025年上海分部利润表'!L90+'2025年赣皖区域利润表'!L90</f>
        <v>0</v>
      </c>
      <c r="M90" s="49">
        <f>'2025年中心利润表 '!M90+'2025年江苏分部利润表'!M90+'2025年浙江分部利润表'!M90+'2025年上海分部利润表'!M90+'2025年赣皖区域利润表'!M90</f>
        <v>0</v>
      </c>
      <c r="N90" s="49">
        <f>'2025年中心利润表 '!N90+'2025年江苏分部利润表'!N90+'2025年浙江分部利润表'!N90+'2025年上海分部利润表'!N90+'2025年赣皖区域利润表'!N90</f>
        <v>0</v>
      </c>
      <c r="O90" s="49">
        <f>'2025年中心利润表 '!O90+'2025年江苏分部利润表'!O90+'2025年浙江分部利润表'!O90+'2025年上海分部利润表'!O90+'2025年赣皖区域利润表'!O90</f>
        <v>0</v>
      </c>
      <c r="P90" s="49">
        <f>'2025年中心利润表 '!P90+'2025年江苏分部利润表'!P90+'2025年浙江分部利润表'!P90+'2025年上海分部利润表'!P90+'2025年赣皖区域利润表'!P90</f>
        <v>0</v>
      </c>
      <c r="Q90" s="49">
        <f>'2025年中心利润表 '!Q90+'2025年江苏分部利润表'!Q90+'2025年浙江分部利润表'!Q90+'2025年上海分部利润表'!Q90+'2025年赣皖区域利润表'!Q90</f>
        <v>0</v>
      </c>
      <c r="R90" s="49">
        <f>'2025年中心利润表 '!R90+'2025年江苏分部利润表'!R90+'2025年浙江分部利润表'!R90+'2025年上海分部利润表'!R90+'2025年赣皖区域利润表'!R90</f>
        <v>0</v>
      </c>
      <c r="S90" s="49">
        <f>'2025年中心利润表 '!S90+'2025年江苏分部利润表'!S90+'2025年浙江分部利润表'!S90+'2025年上海分部利润表'!S90+'2025年赣皖区域利润表'!S90</f>
        <v>0</v>
      </c>
      <c r="T90" s="49">
        <f>'2025年中心利润表 '!T90+'2025年江苏分部利润表'!T90+'2025年浙江分部利润表'!T90+'2025年上海分部利润表'!T90+'2025年赣皖区域利润表'!T90</f>
        <v>0</v>
      </c>
      <c r="U90" s="49">
        <f>'2025年中心利润表 '!U90+'2025年江苏分部利润表'!U90+'2025年浙江分部利润表'!U90+'2025年上海分部利润表'!U90+'2025年赣皖区域利润表'!U90</f>
        <v>0</v>
      </c>
      <c r="V90" s="49">
        <f>'2025年中心利润表 '!V90+'2025年江苏分部利润表'!V90+'2025年浙江分部利润表'!V90+'2025年上海分部利润表'!V90+'2025年赣皖区域利润表'!V90</f>
        <v>0</v>
      </c>
      <c r="W90" s="49">
        <f>'2025年中心利润表 '!W90+'2025年江苏分部利润表'!W90+'2025年浙江分部利润表'!W90+'2025年上海分部利润表'!W90+'2025年赣皖区域利润表'!W90</f>
        <v>0</v>
      </c>
      <c r="X90" s="49">
        <f>'2025年中心利润表 '!X90+'2025年江苏分部利润表'!X90+'2025年浙江分部利润表'!X90+'2025年上海分部利润表'!X90+'2025年赣皖区域利润表'!X90</f>
        <v>0</v>
      </c>
      <c r="Y90" s="49">
        <f>'2025年中心利润表 '!Y90+'2025年江苏分部利润表'!Y90+'2025年浙江分部利润表'!Y90+'2025年上海分部利润表'!Y90+'2025年赣皖区域利润表'!Y90</f>
        <v>0</v>
      </c>
      <c r="Z90" s="49">
        <f>'2025年中心利润表 '!Z90+'2025年江苏分部利润表'!Z90+'2025年浙江分部利润表'!Z90+'2025年上海分部利润表'!Z90+'2025年赣皖区域利润表'!Z90</f>
        <v>0</v>
      </c>
      <c r="AA90" s="51">
        <f t="shared" si="12"/>
        <v>0</v>
      </c>
      <c r="AB90" s="51">
        <f t="shared" si="13"/>
        <v>0</v>
      </c>
      <c r="AC90" s="94"/>
      <c r="AD90" s="31">
        <f t="shared" si="14"/>
        <v>0</v>
      </c>
      <c r="AE90" s="31">
        <f t="shared" si="15"/>
        <v>0</v>
      </c>
      <c r="AF90" s="17">
        <f t="shared" si="18"/>
        <v>0</v>
      </c>
      <c r="AG90" s="17">
        <f t="shared" si="19"/>
        <v>0</v>
      </c>
      <c r="AH90" s="17">
        <f>SUM('[1]2024年全面预算利润表 (销售1中心)2.8亿'!E95:H95)</f>
        <v>0</v>
      </c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</row>
    <row r="91" spans="1:53" s="19" customFormat="1" ht="14" hidden="1" outlineLevel="1" x14ac:dyDescent="0.25">
      <c r="A91" s="48" t="s">
        <v>168</v>
      </c>
      <c r="B91" s="53"/>
      <c r="C91" s="49">
        <f>'2025年中心利润表 '!C91+'2025年江苏分部利润表'!C91+'2025年浙江分部利润表'!C91+'2025年上海分部利润表'!C91+'2025年赣皖区域利润表'!C91</f>
        <v>0</v>
      </c>
      <c r="D91" s="49">
        <f>'2025年中心利润表 '!D91+'2025年江苏分部利润表'!D91+'2025年浙江分部利润表'!D91+'2025年上海分部利润表'!D91+'2025年赣皖区域利润表'!D91</f>
        <v>0</v>
      </c>
      <c r="E91" s="49">
        <f>'2025年中心利润表 '!E91+'2025年江苏分部利润表'!E91+'2025年浙江分部利润表'!E91+'2025年上海分部利润表'!E91+'2025年赣皖区域利润表'!E91</f>
        <v>0</v>
      </c>
      <c r="F91" s="49">
        <f>'2025年中心利润表 '!F91+'2025年江苏分部利润表'!F91+'2025年浙江分部利润表'!F91+'2025年上海分部利润表'!F91+'2025年赣皖区域利润表'!F91</f>
        <v>0</v>
      </c>
      <c r="G91" s="49">
        <f>'2025年中心利润表 '!G91+'2025年江苏分部利润表'!G91+'2025年浙江分部利润表'!G91+'2025年上海分部利润表'!G91+'2025年赣皖区域利润表'!G91</f>
        <v>0</v>
      </c>
      <c r="H91" s="49">
        <f>'2025年中心利润表 '!H91+'2025年江苏分部利润表'!H91+'2025年浙江分部利润表'!H91+'2025年上海分部利润表'!H91+'2025年赣皖区域利润表'!H91</f>
        <v>0</v>
      </c>
      <c r="I91" s="49">
        <f>'2025年中心利润表 '!I91+'2025年江苏分部利润表'!I91+'2025年浙江分部利润表'!I91+'2025年上海分部利润表'!I91+'2025年赣皖区域利润表'!I91</f>
        <v>0</v>
      </c>
      <c r="J91" s="49">
        <f>'2025年中心利润表 '!J91+'2025年江苏分部利润表'!J91+'2025年浙江分部利润表'!J91+'2025年上海分部利润表'!J91+'2025年赣皖区域利润表'!J91</f>
        <v>-6670</v>
      </c>
      <c r="K91" s="49">
        <f>'2025年中心利润表 '!K91+'2025年江苏分部利润表'!K91+'2025年浙江分部利润表'!K91+'2025年上海分部利润表'!K91+'2025年赣皖区域利润表'!K91</f>
        <v>0</v>
      </c>
      <c r="L91" s="49">
        <f>'2025年中心利润表 '!L91+'2025年江苏分部利润表'!L91+'2025年浙江分部利润表'!L91+'2025年上海分部利润表'!L91+'2025年赣皖区域利润表'!L91</f>
        <v>6810</v>
      </c>
      <c r="M91" s="49">
        <f>'2025年中心利润表 '!M91+'2025年江苏分部利润表'!M91+'2025年浙江分部利润表'!M91+'2025年上海分部利润表'!M91+'2025年赣皖区域利润表'!M91</f>
        <v>0</v>
      </c>
      <c r="N91" s="49">
        <f>'2025年中心利润表 '!N91+'2025年江苏分部利润表'!N91+'2025年浙江分部利润表'!N91+'2025年上海分部利润表'!N91+'2025年赣皖区域利润表'!N91</f>
        <v>4350</v>
      </c>
      <c r="O91" s="49">
        <f>'2025年中心利润表 '!O91+'2025年江苏分部利润表'!O91+'2025年浙江分部利润表'!O91+'2025年上海分部利润表'!O91+'2025年赣皖区域利润表'!O91</f>
        <v>0</v>
      </c>
      <c r="P91" s="49">
        <f>'2025年中心利润表 '!P91+'2025年江苏分部利润表'!P91+'2025年浙江分部利润表'!P91+'2025年上海分部利润表'!P91+'2025年赣皖区域利润表'!P91</f>
        <v>0</v>
      </c>
      <c r="Q91" s="49">
        <f>'2025年中心利润表 '!Q91+'2025年江苏分部利润表'!Q91+'2025年浙江分部利润表'!Q91+'2025年上海分部利润表'!Q91+'2025年赣皖区域利润表'!Q91</f>
        <v>0</v>
      </c>
      <c r="R91" s="49">
        <f>'2025年中心利润表 '!R91+'2025年江苏分部利润表'!R91+'2025年浙江分部利润表'!R91+'2025年上海分部利润表'!R91+'2025年赣皖区域利润表'!R91</f>
        <v>0</v>
      </c>
      <c r="S91" s="49">
        <f>'2025年中心利润表 '!S91+'2025年江苏分部利润表'!S91+'2025年浙江分部利润表'!S91+'2025年上海分部利润表'!S91+'2025年赣皖区域利润表'!S91</f>
        <v>0</v>
      </c>
      <c r="T91" s="49">
        <f>'2025年中心利润表 '!T91+'2025年江苏分部利润表'!T91+'2025年浙江分部利润表'!T91+'2025年上海分部利润表'!T91+'2025年赣皖区域利润表'!T91</f>
        <v>0</v>
      </c>
      <c r="U91" s="49">
        <f>'2025年中心利润表 '!U91+'2025年江苏分部利润表'!U91+'2025年浙江分部利润表'!U91+'2025年上海分部利润表'!U91+'2025年赣皖区域利润表'!U91</f>
        <v>0</v>
      </c>
      <c r="V91" s="49">
        <f>'2025年中心利润表 '!V91+'2025年江苏分部利润表'!V91+'2025年浙江分部利润表'!V91+'2025年上海分部利润表'!V91+'2025年赣皖区域利润表'!V91</f>
        <v>0</v>
      </c>
      <c r="W91" s="49">
        <f>'2025年中心利润表 '!W91+'2025年江苏分部利润表'!W91+'2025年浙江分部利润表'!W91+'2025年上海分部利润表'!W91+'2025年赣皖区域利润表'!W91</f>
        <v>0</v>
      </c>
      <c r="X91" s="49">
        <f>'2025年中心利润表 '!X91+'2025年江苏分部利润表'!X91+'2025年浙江分部利润表'!X91+'2025年上海分部利润表'!X91+'2025年赣皖区域利润表'!X91</f>
        <v>6500</v>
      </c>
      <c r="Y91" s="49">
        <f>'2025年中心利润表 '!Y91+'2025年江苏分部利润表'!Y91+'2025年浙江分部利润表'!Y91+'2025年上海分部利润表'!Y91+'2025年赣皖区域利润表'!Y91</f>
        <v>0</v>
      </c>
      <c r="Z91" s="49">
        <f>'2025年中心利润表 '!Z91+'2025年江苏分部利润表'!Z91+'2025年浙江分部利润表'!Z91+'2025年上海分部利润表'!Z91+'2025年赣皖区域利润表'!Z91</f>
        <v>11600</v>
      </c>
      <c r="AA91" s="51">
        <f t="shared" si="12"/>
        <v>0</v>
      </c>
      <c r="AB91" s="51">
        <f t="shared" si="13"/>
        <v>22590</v>
      </c>
      <c r="AC91" s="94"/>
      <c r="AD91" s="31">
        <f t="shared" si="14"/>
        <v>0</v>
      </c>
      <c r="AE91" s="31">
        <f t="shared" si="15"/>
        <v>22590</v>
      </c>
      <c r="AF91" s="17">
        <f t="shared" si="18"/>
        <v>0</v>
      </c>
      <c r="AG91" s="17">
        <f t="shared" si="19"/>
        <v>0</v>
      </c>
      <c r="AH91" s="17">
        <f>SUM('[1]2024年全面预算利润表 (销售1中心)2.8亿'!E96:H96)</f>
        <v>0</v>
      </c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</row>
    <row r="92" spans="1:53" s="19" customFormat="1" ht="14" hidden="1" outlineLevel="1" x14ac:dyDescent="0.25">
      <c r="A92" s="48" t="s">
        <v>169</v>
      </c>
      <c r="B92" s="53"/>
      <c r="C92" s="49">
        <f>'2025年中心利润表 '!C92+'2025年江苏分部利润表'!C92+'2025年浙江分部利润表'!C92+'2025年上海分部利润表'!C92+'2025年赣皖区域利润表'!C92</f>
        <v>0</v>
      </c>
      <c r="D92" s="49">
        <f>'2025年中心利润表 '!D92+'2025年江苏分部利润表'!D92+'2025年浙江分部利润表'!D92+'2025年上海分部利润表'!D92+'2025年赣皖区域利润表'!D92</f>
        <v>516.28</v>
      </c>
      <c r="E92" s="49">
        <f>'2025年中心利润表 '!E92+'2025年江苏分部利润表'!E92+'2025年浙江分部利润表'!E92+'2025年上海分部利润表'!E92+'2025年赣皖区域利润表'!E92</f>
        <v>0</v>
      </c>
      <c r="F92" s="49">
        <f>'2025年中心利润表 '!F92+'2025年江苏分部利润表'!F92+'2025年浙江分部利润表'!F92+'2025年上海分部利润表'!F92+'2025年赣皖区域利润表'!F92</f>
        <v>1553.37</v>
      </c>
      <c r="G92" s="49">
        <f>'2025年中心利润表 '!G92+'2025年江苏分部利润表'!G92+'2025年浙江分部利润表'!G92+'2025年上海分部利润表'!G92+'2025年赣皖区域利润表'!G92</f>
        <v>0</v>
      </c>
      <c r="H92" s="49">
        <f>'2025年中心利润表 '!H92+'2025年江苏分部利润表'!H92+'2025年浙江分部利润表'!H92+'2025年上海分部利润表'!H92+'2025年赣皖区域利润表'!H92</f>
        <v>689.46</v>
      </c>
      <c r="I92" s="49">
        <f>'2025年中心利润表 '!I92+'2025年江苏分部利润表'!I92+'2025年浙江分部利润表'!I92+'2025年上海分部利润表'!I92+'2025年赣皖区域利润表'!I92</f>
        <v>0</v>
      </c>
      <c r="J92" s="49">
        <f>'2025年中心利润表 '!J92+'2025年江苏分部利润表'!J92+'2025年浙江分部利润表'!J92+'2025年上海分部利润表'!J92+'2025年赣皖区域利润表'!J92</f>
        <v>3039.23</v>
      </c>
      <c r="K92" s="49">
        <f>'2025年中心利润表 '!K92+'2025年江苏分部利润表'!K92+'2025年浙江分部利润表'!K92+'2025年上海分部利润表'!K92+'2025年赣皖区域利润表'!K92</f>
        <v>0</v>
      </c>
      <c r="L92" s="49">
        <f>'2025年中心利润表 '!L92+'2025年江苏分部利润表'!L92+'2025年浙江分部利润表'!L92+'2025年上海分部利润表'!L92+'2025年赣皖区域利润表'!L92</f>
        <v>862.1400000000001</v>
      </c>
      <c r="M92" s="49">
        <f>'2025年中心利润表 '!M92+'2025年江苏分部利润表'!M92+'2025年浙江分部利润表'!M92+'2025年上海分部利润表'!M92+'2025年赣皖区域利润表'!M92</f>
        <v>0</v>
      </c>
      <c r="N92" s="49">
        <f>'2025年中心利润表 '!N92+'2025年江苏分部利润表'!N92+'2025年浙江分部利润表'!N92+'2025年上海分部利润表'!N92+'2025年赣皖区域利润表'!N92</f>
        <v>513.29</v>
      </c>
      <c r="O92" s="49">
        <f>'2025年中心利润表 '!O92+'2025年江苏分部利润表'!O92+'2025年浙江分部利润表'!O92+'2025年上海分部利润表'!O92+'2025年赣皖区域利润表'!O92</f>
        <v>0</v>
      </c>
      <c r="P92" s="49">
        <f>'2025年中心利润表 '!P92+'2025年江苏分部利润表'!P92+'2025年浙江分部利润表'!P92+'2025年上海分部利润表'!P92+'2025年赣皖区域利润表'!P92</f>
        <v>1048.68</v>
      </c>
      <c r="Q92" s="49">
        <f>'2025年中心利润表 '!Q92+'2025年江苏分部利润表'!Q92+'2025年浙江分部利润表'!Q92+'2025年上海分部利润表'!Q92+'2025年赣皖区域利润表'!Q92</f>
        <v>0</v>
      </c>
      <c r="R92" s="49">
        <f>'2025年中心利润表 '!R92+'2025年江苏分部利润表'!R92+'2025年浙江分部利润表'!R92+'2025年上海分部利润表'!R92+'2025年赣皖区域利润表'!R92</f>
        <v>851.03</v>
      </c>
      <c r="S92" s="49">
        <f>'2025年中心利润表 '!S92+'2025年江苏分部利润表'!S92+'2025年浙江分部利润表'!S92+'2025年上海分部利润表'!S92+'2025年赣皖区域利润表'!S92</f>
        <v>0</v>
      </c>
      <c r="T92" s="49">
        <f>'2025年中心利润表 '!T92+'2025年江苏分部利润表'!T92+'2025年浙江分部利润表'!T92+'2025年上海分部利润表'!T92+'2025年赣皖区域利润表'!T92</f>
        <v>3120.52</v>
      </c>
      <c r="U92" s="49">
        <f>'2025年中心利润表 '!U92+'2025年江苏分部利润表'!U92+'2025年浙江分部利润表'!U92+'2025年上海分部利润表'!U92+'2025年赣皖区域利润表'!U92</f>
        <v>0</v>
      </c>
      <c r="V92" s="49">
        <f>'2025年中心利润表 '!V92+'2025年江苏分部利润表'!V92+'2025年浙江分部利润表'!V92+'2025年上海分部利润表'!V92+'2025年赣皖区域利润表'!V92</f>
        <v>592.38</v>
      </c>
      <c r="W92" s="49">
        <f>'2025年中心利润表 '!W92+'2025年江苏分部利润表'!W92+'2025年浙江分部利润表'!W92+'2025年上海分部利润表'!W92+'2025年赣皖区域利润表'!W92</f>
        <v>0</v>
      </c>
      <c r="X92" s="49">
        <f>'2025年中心利润表 '!X92+'2025年江苏分部利润表'!X92+'2025年浙江分部利润表'!X92+'2025年上海分部利润表'!X92+'2025年赣皖区域利润表'!X92</f>
        <v>332.08</v>
      </c>
      <c r="Y92" s="49">
        <f>'2025年中心利润表 '!Y92+'2025年江苏分部利润表'!Y92+'2025年浙江分部利润表'!Y92+'2025年上海分部利润表'!Y92+'2025年赣皖区域利润表'!Y92</f>
        <v>0</v>
      </c>
      <c r="Z92" s="49">
        <f>'2025年中心利润表 '!Z92+'2025年江苏分部利润表'!Z92+'2025年浙江分部利润表'!Z92+'2025年上海分部利润表'!Z92+'2025年赣皖区域利润表'!Z92</f>
        <v>1140.56</v>
      </c>
      <c r="AA92" s="51">
        <f t="shared" ref="AA92:AA155" si="24">C92+E92+G92+I92+K92+M92+O92+Q92+S92+U92+W92+Y92</f>
        <v>0</v>
      </c>
      <c r="AB92" s="51">
        <f t="shared" ref="AB92:AB101" si="25">D92+F92+H92+J92+L92+N92+P92+R92+T92+V92+X92+Z92</f>
        <v>14259.02</v>
      </c>
      <c r="AC92" s="94"/>
      <c r="AD92" s="31">
        <f t="shared" ref="AD92:AD155" si="26">SUMIF($C$5:$Z$5,$AD$5,C92:Z92)</f>
        <v>0</v>
      </c>
      <c r="AE92" s="31">
        <f t="shared" ref="AE92:AE155" si="27">SUMIF($C$5:$Z$5,$AD$5,D92:AA92)</f>
        <v>14259.02</v>
      </c>
      <c r="AF92" s="17">
        <f t="shared" si="18"/>
        <v>0</v>
      </c>
      <c r="AG92" s="17">
        <f t="shared" si="19"/>
        <v>0</v>
      </c>
      <c r="AH92" s="17">
        <f>SUM('[1]2024年全面预算利润表 (销售1中心)2.8亿'!E97:H97)</f>
        <v>0</v>
      </c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</row>
    <row r="93" spans="1:53" s="19" customFormat="1" ht="14" hidden="1" outlineLevel="1" x14ac:dyDescent="0.25">
      <c r="A93" s="48" t="s">
        <v>170</v>
      </c>
      <c r="B93" s="53"/>
      <c r="C93" s="49">
        <f>'2025年中心利润表 '!C93+'2025年江苏分部利润表'!C93+'2025年浙江分部利润表'!C93+'2025年上海分部利润表'!C93+'2025年赣皖区域利润表'!C93</f>
        <v>0</v>
      </c>
      <c r="D93" s="49">
        <f>'2025年中心利润表 '!D93+'2025年江苏分部利润表'!D93+'2025年浙江分部利润表'!D93+'2025年上海分部利润表'!D93+'2025年赣皖区域利润表'!D93</f>
        <v>0</v>
      </c>
      <c r="E93" s="49">
        <f>'2025年中心利润表 '!E93+'2025年江苏分部利润表'!E93+'2025年浙江分部利润表'!E93+'2025年上海分部利润表'!E93+'2025年赣皖区域利润表'!E93</f>
        <v>0</v>
      </c>
      <c r="F93" s="49">
        <f>'2025年中心利润表 '!F93+'2025年江苏分部利润表'!F93+'2025年浙江分部利润表'!F93+'2025年上海分部利润表'!F93+'2025年赣皖区域利润表'!F93</f>
        <v>0</v>
      </c>
      <c r="G93" s="49">
        <f>'2025年中心利润表 '!G93+'2025年江苏分部利润表'!G93+'2025年浙江分部利润表'!G93+'2025年上海分部利润表'!G93+'2025年赣皖区域利润表'!G93</f>
        <v>0</v>
      </c>
      <c r="H93" s="49">
        <f>'2025年中心利润表 '!H93+'2025年江苏分部利润表'!H93+'2025年浙江分部利润表'!H93+'2025年上海分部利润表'!H93+'2025年赣皖区域利润表'!H93</f>
        <v>0</v>
      </c>
      <c r="I93" s="49">
        <f>'2025年中心利润表 '!I93+'2025年江苏分部利润表'!I93+'2025年浙江分部利润表'!I93+'2025年上海分部利润表'!I93+'2025年赣皖区域利润表'!I93</f>
        <v>0</v>
      </c>
      <c r="J93" s="49">
        <f>'2025年中心利润表 '!J93+'2025年江苏分部利润表'!J93+'2025年浙江分部利润表'!J93+'2025年上海分部利润表'!J93+'2025年赣皖区域利润表'!J93</f>
        <v>0</v>
      </c>
      <c r="K93" s="49">
        <f>'2025年中心利润表 '!K93+'2025年江苏分部利润表'!K93+'2025年浙江分部利润表'!K93+'2025年上海分部利润表'!K93+'2025年赣皖区域利润表'!K93</f>
        <v>0</v>
      </c>
      <c r="L93" s="49">
        <f>'2025年中心利润表 '!L93+'2025年江苏分部利润表'!L93+'2025年浙江分部利润表'!L93+'2025年上海分部利润表'!L93+'2025年赣皖区域利润表'!L93</f>
        <v>0</v>
      </c>
      <c r="M93" s="49">
        <f>'2025年中心利润表 '!M93+'2025年江苏分部利润表'!M93+'2025年浙江分部利润表'!M93+'2025年上海分部利润表'!M93+'2025年赣皖区域利润表'!M93</f>
        <v>0</v>
      </c>
      <c r="N93" s="49">
        <f>'2025年中心利润表 '!N93+'2025年江苏分部利润表'!N93+'2025年浙江分部利润表'!N93+'2025年上海分部利润表'!N93+'2025年赣皖区域利润表'!N93</f>
        <v>0</v>
      </c>
      <c r="O93" s="49">
        <f>'2025年中心利润表 '!O93+'2025年江苏分部利润表'!O93+'2025年浙江分部利润表'!O93+'2025年上海分部利润表'!O93+'2025年赣皖区域利润表'!O93</f>
        <v>0</v>
      </c>
      <c r="P93" s="49">
        <f>'2025年中心利润表 '!P93+'2025年江苏分部利润表'!P93+'2025年浙江分部利润表'!P93+'2025年上海分部利润表'!P93+'2025年赣皖区域利润表'!P93</f>
        <v>0</v>
      </c>
      <c r="Q93" s="49">
        <f>'2025年中心利润表 '!Q93+'2025年江苏分部利润表'!Q93+'2025年浙江分部利润表'!Q93+'2025年上海分部利润表'!Q93+'2025年赣皖区域利润表'!Q93</f>
        <v>0</v>
      </c>
      <c r="R93" s="49">
        <f>'2025年中心利润表 '!R93+'2025年江苏分部利润表'!R93+'2025年浙江分部利润表'!R93+'2025年上海分部利润表'!R93+'2025年赣皖区域利润表'!R93</f>
        <v>0</v>
      </c>
      <c r="S93" s="49">
        <f>'2025年中心利润表 '!S93+'2025年江苏分部利润表'!S93+'2025年浙江分部利润表'!S93+'2025年上海分部利润表'!S93+'2025年赣皖区域利润表'!S93</f>
        <v>0</v>
      </c>
      <c r="T93" s="49">
        <f>'2025年中心利润表 '!T93+'2025年江苏分部利润表'!T93+'2025年浙江分部利润表'!T93+'2025年上海分部利润表'!T93+'2025年赣皖区域利润表'!T93</f>
        <v>0</v>
      </c>
      <c r="U93" s="49">
        <f>'2025年中心利润表 '!U93+'2025年江苏分部利润表'!U93+'2025年浙江分部利润表'!U93+'2025年上海分部利润表'!U93+'2025年赣皖区域利润表'!U93</f>
        <v>0</v>
      </c>
      <c r="V93" s="49">
        <f>'2025年中心利润表 '!V93+'2025年江苏分部利润表'!V93+'2025年浙江分部利润表'!V93+'2025年上海分部利润表'!V93+'2025年赣皖区域利润表'!V93</f>
        <v>0</v>
      </c>
      <c r="W93" s="49">
        <f>'2025年中心利润表 '!W93+'2025年江苏分部利润表'!W93+'2025年浙江分部利润表'!W93+'2025年上海分部利润表'!W93+'2025年赣皖区域利润表'!W93</f>
        <v>0</v>
      </c>
      <c r="X93" s="49">
        <f>'2025年中心利润表 '!X93+'2025年江苏分部利润表'!X93+'2025年浙江分部利润表'!X93+'2025年上海分部利润表'!X93+'2025年赣皖区域利润表'!X93</f>
        <v>0</v>
      </c>
      <c r="Y93" s="49">
        <f>'2025年中心利润表 '!Y93+'2025年江苏分部利润表'!Y93+'2025年浙江分部利润表'!Y93+'2025年上海分部利润表'!Y93+'2025年赣皖区域利润表'!Y93</f>
        <v>0</v>
      </c>
      <c r="Z93" s="49">
        <f>'2025年中心利润表 '!Z93+'2025年江苏分部利润表'!Z93+'2025年浙江分部利润表'!Z93+'2025年上海分部利润表'!Z93+'2025年赣皖区域利润表'!Z93</f>
        <v>0</v>
      </c>
      <c r="AA93" s="51">
        <f t="shared" si="24"/>
        <v>0</v>
      </c>
      <c r="AB93" s="51">
        <f t="shared" si="25"/>
        <v>0</v>
      </c>
      <c r="AC93" s="94"/>
      <c r="AD93" s="31">
        <f t="shared" si="26"/>
        <v>0</v>
      </c>
      <c r="AE93" s="31">
        <f t="shared" si="27"/>
        <v>0</v>
      </c>
      <c r="AF93" s="17">
        <f t="shared" si="18"/>
        <v>0</v>
      </c>
      <c r="AG93" s="17">
        <f t="shared" si="19"/>
        <v>0</v>
      </c>
      <c r="AH93" s="17">
        <f>SUM('[1]2024年全面预算利润表 (销售1中心)2.8亿'!E98:H98)</f>
        <v>0</v>
      </c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</row>
    <row r="94" spans="1:53" s="19" customFormat="1" ht="14" hidden="1" outlineLevel="1" x14ac:dyDescent="0.25">
      <c r="A94" s="48" t="s">
        <v>171</v>
      </c>
      <c r="B94" s="53"/>
      <c r="C94" s="49">
        <f>'2025年中心利润表 '!C94+'2025年江苏分部利润表'!C94+'2025年浙江分部利润表'!C94+'2025年上海分部利润表'!C94+'2025年赣皖区域利润表'!C94</f>
        <v>0</v>
      </c>
      <c r="D94" s="49">
        <f>'2025年中心利润表 '!D94+'2025年江苏分部利润表'!D94+'2025年浙江分部利润表'!D94+'2025年上海分部利润表'!D94+'2025年赣皖区域利润表'!D94</f>
        <v>990.1</v>
      </c>
      <c r="E94" s="49">
        <f>'2025年中心利润表 '!E94+'2025年江苏分部利润表'!E94+'2025年浙江分部利润表'!E94+'2025年上海分部利润表'!E94+'2025年赣皖区域利润表'!E94</f>
        <v>0</v>
      </c>
      <c r="F94" s="49">
        <f>'2025年中心利润表 '!F94+'2025年江苏分部利润表'!F94+'2025年浙江分部利润表'!F94+'2025年上海分部利润表'!F94+'2025年赣皖区域利润表'!F94</f>
        <v>990.1</v>
      </c>
      <c r="G94" s="49">
        <f>'2025年中心利润表 '!G94+'2025年江苏分部利润表'!G94+'2025年浙江分部利润表'!G94+'2025年上海分部利润表'!G94+'2025年赣皖区域利润表'!G94</f>
        <v>0</v>
      </c>
      <c r="H94" s="49">
        <f>'2025年中心利润表 '!H94+'2025年江苏分部利润表'!H94+'2025年浙江分部利润表'!H94+'2025年上海分部利润表'!H94+'2025年赣皖区域利润表'!H94</f>
        <v>990.1</v>
      </c>
      <c r="I94" s="49">
        <f>'2025年中心利润表 '!I94+'2025年江苏分部利润表'!I94+'2025年浙江分部利润表'!I94+'2025年上海分部利润表'!I94+'2025年赣皖区域利润表'!I94</f>
        <v>0</v>
      </c>
      <c r="J94" s="49">
        <f>'2025年中心利润表 '!J94+'2025年江苏分部利润表'!J94+'2025年浙江分部利润表'!J94+'2025年上海分部利润表'!J94+'2025年赣皖区域利润表'!J94</f>
        <v>990.1</v>
      </c>
      <c r="K94" s="49">
        <f>'2025年中心利润表 '!K94+'2025年江苏分部利润表'!K94+'2025年浙江分部利润表'!K94+'2025年上海分部利润表'!K94+'2025年赣皖区域利润表'!K94</f>
        <v>0</v>
      </c>
      <c r="L94" s="49">
        <f>'2025年中心利润表 '!L94+'2025年江苏分部利润表'!L94+'2025年浙江分部利润表'!L94+'2025年上海分部利润表'!L94+'2025年赣皖区域利润表'!L94</f>
        <v>990.1</v>
      </c>
      <c r="M94" s="49">
        <f>'2025年中心利润表 '!M94+'2025年江苏分部利润表'!M94+'2025年浙江分部利润表'!M94+'2025年上海分部利润表'!M94+'2025年赣皖区域利润表'!M94</f>
        <v>0</v>
      </c>
      <c r="N94" s="49">
        <f>'2025年中心利润表 '!N94+'2025年江苏分部利润表'!N94+'2025年浙江分部利润表'!N94+'2025年上海分部利润表'!N94+'2025年赣皖区域利润表'!N94</f>
        <v>990.1</v>
      </c>
      <c r="O94" s="49">
        <f>'2025年中心利润表 '!O94+'2025年江苏分部利润表'!O94+'2025年浙江分部利润表'!O94+'2025年上海分部利润表'!O94+'2025年赣皖区域利润表'!O94</f>
        <v>0</v>
      </c>
      <c r="P94" s="49">
        <f>'2025年中心利润表 '!P94+'2025年江苏分部利润表'!P94+'2025年浙江分部利润表'!P94+'2025年上海分部利润表'!P94+'2025年赣皖区域利润表'!P94</f>
        <v>990.1</v>
      </c>
      <c r="Q94" s="49">
        <f>'2025年中心利润表 '!Q94+'2025年江苏分部利润表'!Q94+'2025年浙江分部利润表'!Q94+'2025年上海分部利润表'!Q94+'2025年赣皖区域利润表'!Q94</f>
        <v>0</v>
      </c>
      <c r="R94" s="49">
        <f>'2025年中心利润表 '!R94+'2025年江苏分部利润表'!R94+'2025年浙江分部利润表'!R94+'2025年上海分部利润表'!R94+'2025年赣皖区域利润表'!R94</f>
        <v>990.1</v>
      </c>
      <c r="S94" s="49">
        <f>'2025年中心利润表 '!S94+'2025年江苏分部利润表'!S94+'2025年浙江分部利润表'!S94+'2025年上海分部利润表'!S94+'2025年赣皖区域利润表'!S94</f>
        <v>0</v>
      </c>
      <c r="T94" s="49">
        <f>'2025年中心利润表 '!T94+'2025年江苏分部利润表'!T94+'2025年浙江分部利润表'!T94+'2025年上海分部利润表'!T94+'2025年赣皖区域利润表'!T94</f>
        <v>990.09</v>
      </c>
      <c r="U94" s="49">
        <f>'2025年中心利润表 '!U94+'2025年江苏分部利润表'!U94+'2025年浙江分部利润表'!U94+'2025年上海分部利润表'!U94+'2025年赣皖区域利润表'!U94</f>
        <v>0</v>
      </c>
      <c r="V94" s="49">
        <f>'2025年中心利润表 '!V94+'2025年江苏分部利润表'!V94+'2025年浙江分部利润表'!V94+'2025年上海分部利润表'!V94+'2025年赣皖区域利润表'!V94</f>
        <v>0</v>
      </c>
      <c r="W94" s="49">
        <f>'2025年中心利润表 '!W94+'2025年江苏分部利润表'!W94+'2025年浙江分部利润表'!W94+'2025年上海分部利润表'!W94+'2025年赣皖区域利润表'!W94</f>
        <v>0</v>
      </c>
      <c r="X94" s="49">
        <f>'2025年中心利润表 '!X94+'2025年江苏分部利润表'!X94+'2025年浙江分部利润表'!X94+'2025年上海分部利润表'!X94+'2025年赣皖区域利润表'!X94</f>
        <v>0</v>
      </c>
      <c r="Y94" s="49">
        <f>'2025年中心利润表 '!Y94+'2025年江苏分部利润表'!Y94+'2025年浙江分部利润表'!Y94+'2025年上海分部利润表'!Y94+'2025年赣皖区域利润表'!Y94</f>
        <v>0</v>
      </c>
      <c r="Z94" s="49">
        <f>'2025年中心利润表 '!Z94+'2025年江苏分部利润表'!Z94+'2025年浙江分部利润表'!Z94+'2025年上海分部利润表'!Z94+'2025年赣皖区域利润表'!Z94</f>
        <v>0</v>
      </c>
      <c r="AA94" s="51">
        <f t="shared" si="24"/>
        <v>0</v>
      </c>
      <c r="AB94" s="51">
        <f t="shared" si="25"/>
        <v>8910.8900000000012</v>
      </c>
      <c r="AC94" s="94"/>
      <c r="AD94" s="31">
        <f t="shared" si="26"/>
        <v>0</v>
      </c>
      <c r="AE94" s="31">
        <f t="shared" si="27"/>
        <v>8910.8900000000012</v>
      </c>
      <c r="AF94" s="17">
        <f t="shared" ref="AF94:AF157" si="28">AA94-AD94</f>
        <v>0</v>
      </c>
      <c r="AG94" s="17">
        <f t="shared" ref="AG94:AG157" si="29">AB94-AE94</f>
        <v>0</v>
      </c>
      <c r="AH94" s="17">
        <f>SUM('[1]2024年全面预算利润表 (销售1中心)2.8亿'!E99:H99)</f>
        <v>0</v>
      </c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</row>
    <row r="95" spans="1:53" s="19" customFormat="1" ht="14" hidden="1" outlineLevel="1" x14ac:dyDescent="0.25">
      <c r="A95" s="48" t="s">
        <v>172</v>
      </c>
      <c r="B95" s="53"/>
      <c r="C95" s="49">
        <f>'2025年中心利润表 '!C95+'2025年江苏分部利润表'!C95+'2025年浙江分部利润表'!C95+'2025年上海分部利润表'!C95+'2025年赣皖区域利润表'!C95</f>
        <v>0</v>
      </c>
      <c r="D95" s="49">
        <f>'2025年中心利润表 '!D95+'2025年江苏分部利润表'!D95+'2025年浙江分部利润表'!D95+'2025年上海分部利润表'!D95+'2025年赣皖区域利润表'!D95</f>
        <v>0</v>
      </c>
      <c r="E95" s="49">
        <f>'2025年中心利润表 '!E95+'2025年江苏分部利润表'!E95+'2025年浙江分部利润表'!E95+'2025年上海分部利润表'!E95+'2025年赣皖区域利润表'!E95</f>
        <v>0</v>
      </c>
      <c r="F95" s="49">
        <f>'2025年中心利润表 '!F95+'2025年江苏分部利润表'!F95+'2025年浙江分部利润表'!F95+'2025年上海分部利润表'!F95+'2025年赣皖区域利润表'!F95</f>
        <v>0</v>
      </c>
      <c r="G95" s="49">
        <f>'2025年中心利润表 '!G95+'2025年江苏分部利润表'!G95+'2025年浙江分部利润表'!G95+'2025年上海分部利润表'!G95+'2025年赣皖区域利润表'!G95</f>
        <v>0</v>
      </c>
      <c r="H95" s="49">
        <f>'2025年中心利润表 '!H95+'2025年江苏分部利润表'!H95+'2025年浙江分部利润表'!H95+'2025年上海分部利润表'!H95+'2025年赣皖区域利润表'!H95</f>
        <v>0</v>
      </c>
      <c r="I95" s="49">
        <f>'2025年中心利润表 '!I95+'2025年江苏分部利润表'!I95+'2025年浙江分部利润表'!I95+'2025年上海分部利润表'!I95+'2025年赣皖区域利润表'!I95</f>
        <v>0</v>
      </c>
      <c r="J95" s="49">
        <f>'2025年中心利润表 '!J95+'2025年江苏分部利润表'!J95+'2025年浙江分部利润表'!J95+'2025年上海分部利润表'!J95+'2025年赣皖区域利润表'!J95</f>
        <v>0</v>
      </c>
      <c r="K95" s="49">
        <f>'2025年中心利润表 '!K95+'2025年江苏分部利润表'!K95+'2025年浙江分部利润表'!K95+'2025年上海分部利润表'!K95+'2025年赣皖区域利润表'!K95</f>
        <v>0</v>
      </c>
      <c r="L95" s="49">
        <f>'2025年中心利润表 '!L95+'2025年江苏分部利润表'!L95+'2025年浙江分部利润表'!L95+'2025年上海分部利润表'!L95+'2025年赣皖区域利润表'!L95</f>
        <v>0</v>
      </c>
      <c r="M95" s="49">
        <f>'2025年中心利润表 '!M95+'2025年江苏分部利润表'!M95+'2025年浙江分部利润表'!M95+'2025年上海分部利润表'!M95+'2025年赣皖区域利润表'!M95</f>
        <v>0</v>
      </c>
      <c r="N95" s="49">
        <f>'2025年中心利润表 '!N95+'2025年江苏分部利润表'!N95+'2025年浙江分部利润表'!N95+'2025年上海分部利润表'!N95+'2025年赣皖区域利润表'!N95</f>
        <v>0</v>
      </c>
      <c r="O95" s="49">
        <f>'2025年中心利润表 '!O95+'2025年江苏分部利润表'!O95+'2025年浙江分部利润表'!O95+'2025年上海分部利润表'!O95+'2025年赣皖区域利润表'!O95</f>
        <v>0</v>
      </c>
      <c r="P95" s="49">
        <f>'2025年中心利润表 '!P95+'2025年江苏分部利润表'!P95+'2025年浙江分部利润表'!P95+'2025年上海分部利润表'!P95+'2025年赣皖区域利润表'!P95</f>
        <v>0</v>
      </c>
      <c r="Q95" s="49">
        <f>'2025年中心利润表 '!Q95+'2025年江苏分部利润表'!Q95+'2025年浙江分部利润表'!Q95+'2025年上海分部利润表'!Q95+'2025年赣皖区域利润表'!Q95</f>
        <v>0</v>
      </c>
      <c r="R95" s="49">
        <f>'2025年中心利润表 '!R95+'2025年江苏分部利润表'!R95+'2025年浙江分部利润表'!R95+'2025年上海分部利润表'!R95+'2025年赣皖区域利润表'!R95</f>
        <v>0</v>
      </c>
      <c r="S95" s="49">
        <f>'2025年中心利润表 '!S95+'2025年江苏分部利润表'!S95+'2025年浙江分部利润表'!S95+'2025年上海分部利润表'!S95+'2025年赣皖区域利润表'!S95</f>
        <v>0</v>
      </c>
      <c r="T95" s="49">
        <f>'2025年中心利润表 '!T95+'2025年江苏分部利润表'!T95+'2025年浙江分部利润表'!T95+'2025年上海分部利润表'!T95+'2025年赣皖区域利润表'!T95</f>
        <v>0</v>
      </c>
      <c r="U95" s="49">
        <f>'2025年中心利润表 '!U95+'2025年江苏分部利润表'!U95+'2025年浙江分部利润表'!U95+'2025年上海分部利润表'!U95+'2025年赣皖区域利润表'!U95</f>
        <v>0</v>
      </c>
      <c r="V95" s="49">
        <f>'2025年中心利润表 '!V95+'2025年江苏分部利润表'!V95+'2025年浙江分部利润表'!V95+'2025年上海分部利润表'!V95+'2025年赣皖区域利润表'!V95</f>
        <v>0</v>
      </c>
      <c r="W95" s="49">
        <f>'2025年中心利润表 '!W95+'2025年江苏分部利润表'!W95+'2025年浙江分部利润表'!W95+'2025年上海分部利润表'!W95+'2025年赣皖区域利润表'!W95</f>
        <v>0</v>
      </c>
      <c r="X95" s="49">
        <f>'2025年中心利润表 '!X95+'2025年江苏分部利润表'!X95+'2025年浙江分部利润表'!X95+'2025年上海分部利润表'!X95+'2025年赣皖区域利润表'!X95</f>
        <v>0</v>
      </c>
      <c r="Y95" s="49">
        <f>'2025年中心利润表 '!Y95+'2025年江苏分部利润表'!Y95+'2025年浙江分部利润表'!Y95+'2025年上海分部利润表'!Y95+'2025年赣皖区域利润表'!Y95</f>
        <v>0</v>
      </c>
      <c r="Z95" s="49">
        <f>'2025年中心利润表 '!Z95+'2025年江苏分部利润表'!Z95+'2025年浙江分部利润表'!Z95+'2025年上海分部利润表'!Z95+'2025年赣皖区域利润表'!Z95</f>
        <v>0</v>
      </c>
      <c r="AA95" s="51">
        <f t="shared" si="24"/>
        <v>0</v>
      </c>
      <c r="AB95" s="51">
        <f t="shared" si="25"/>
        <v>0</v>
      </c>
      <c r="AC95" s="94"/>
      <c r="AD95" s="31">
        <f t="shared" si="26"/>
        <v>0</v>
      </c>
      <c r="AE95" s="31">
        <f t="shared" si="27"/>
        <v>0</v>
      </c>
      <c r="AF95" s="17">
        <f t="shared" si="28"/>
        <v>0</v>
      </c>
      <c r="AG95" s="17">
        <f t="shared" si="29"/>
        <v>0</v>
      </c>
      <c r="AH95" s="17">
        <f>SUM('[1]2024年全面预算利润表 (销售1中心)2.8亿'!E100:H100)</f>
        <v>0</v>
      </c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</row>
    <row r="96" spans="1:53" s="19" customFormat="1" ht="14" hidden="1" outlineLevel="1" x14ac:dyDescent="0.25">
      <c r="A96" s="48" t="s">
        <v>173</v>
      </c>
      <c r="B96" s="53"/>
      <c r="C96" s="49">
        <f>'2025年中心利润表 '!C96+'2025年江苏分部利润表'!C96+'2025年浙江分部利润表'!C96+'2025年上海分部利润表'!C96+'2025年赣皖区域利润表'!C96</f>
        <v>0</v>
      </c>
      <c r="D96" s="49">
        <f>'2025年中心利润表 '!D96+'2025年江苏分部利润表'!D96+'2025年浙江分部利润表'!D96+'2025年上海分部利润表'!D96+'2025年赣皖区域利润表'!D96</f>
        <v>0</v>
      </c>
      <c r="E96" s="49">
        <f>'2025年中心利润表 '!E96+'2025年江苏分部利润表'!E96+'2025年浙江分部利润表'!E96+'2025年上海分部利润表'!E96+'2025年赣皖区域利润表'!E96</f>
        <v>0</v>
      </c>
      <c r="F96" s="49">
        <f>'2025年中心利润表 '!F96+'2025年江苏分部利润表'!F96+'2025年浙江分部利润表'!F96+'2025年上海分部利润表'!F96+'2025年赣皖区域利润表'!F96</f>
        <v>0</v>
      </c>
      <c r="G96" s="49">
        <f>'2025年中心利润表 '!G96+'2025年江苏分部利润表'!G96+'2025年浙江分部利润表'!G96+'2025年上海分部利润表'!G96+'2025年赣皖区域利润表'!G96</f>
        <v>0</v>
      </c>
      <c r="H96" s="49">
        <f>'2025年中心利润表 '!H96+'2025年江苏分部利润表'!H96+'2025年浙江分部利润表'!H96+'2025年上海分部利润表'!H96+'2025年赣皖区域利润表'!H96</f>
        <v>0</v>
      </c>
      <c r="I96" s="49">
        <f>'2025年中心利润表 '!I96+'2025年江苏分部利润表'!I96+'2025年浙江分部利润表'!I96+'2025年上海分部利润表'!I96+'2025年赣皖区域利润表'!I96</f>
        <v>0</v>
      </c>
      <c r="J96" s="49">
        <f>'2025年中心利润表 '!J96+'2025年江苏分部利润表'!J96+'2025年浙江分部利润表'!J96+'2025年上海分部利润表'!J96+'2025年赣皖区域利润表'!J96</f>
        <v>0</v>
      </c>
      <c r="K96" s="49">
        <f>'2025年中心利润表 '!K96+'2025年江苏分部利润表'!K96+'2025年浙江分部利润表'!K96+'2025年上海分部利润表'!K96+'2025年赣皖区域利润表'!K96</f>
        <v>0</v>
      </c>
      <c r="L96" s="49">
        <f>'2025年中心利润表 '!L96+'2025年江苏分部利润表'!L96+'2025年浙江分部利润表'!L96+'2025年上海分部利润表'!L96+'2025年赣皖区域利润表'!L96</f>
        <v>0</v>
      </c>
      <c r="M96" s="49">
        <f>'2025年中心利润表 '!M96+'2025年江苏分部利润表'!M96+'2025年浙江分部利润表'!M96+'2025年上海分部利润表'!M96+'2025年赣皖区域利润表'!M96</f>
        <v>0</v>
      </c>
      <c r="N96" s="49">
        <f>'2025年中心利润表 '!N96+'2025年江苏分部利润表'!N96+'2025年浙江分部利润表'!N96+'2025年上海分部利润表'!N96+'2025年赣皖区域利润表'!N96</f>
        <v>0</v>
      </c>
      <c r="O96" s="49">
        <f>'2025年中心利润表 '!O96+'2025年江苏分部利润表'!O96+'2025年浙江分部利润表'!O96+'2025年上海分部利润表'!O96+'2025年赣皖区域利润表'!O96</f>
        <v>0</v>
      </c>
      <c r="P96" s="49">
        <f>'2025年中心利润表 '!P96+'2025年江苏分部利润表'!P96+'2025年浙江分部利润表'!P96+'2025年上海分部利润表'!P96+'2025年赣皖区域利润表'!P96</f>
        <v>0</v>
      </c>
      <c r="Q96" s="49">
        <f>'2025年中心利润表 '!Q96+'2025年江苏分部利润表'!Q96+'2025年浙江分部利润表'!Q96+'2025年上海分部利润表'!Q96+'2025年赣皖区域利润表'!Q96</f>
        <v>0</v>
      </c>
      <c r="R96" s="49">
        <f>'2025年中心利润表 '!R96+'2025年江苏分部利润表'!R96+'2025年浙江分部利润表'!R96+'2025年上海分部利润表'!R96+'2025年赣皖区域利润表'!R96</f>
        <v>0</v>
      </c>
      <c r="S96" s="49">
        <f>'2025年中心利润表 '!S96+'2025年江苏分部利润表'!S96+'2025年浙江分部利润表'!S96+'2025年上海分部利润表'!S96+'2025年赣皖区域利润表'!S96</f>
        <v>0</v>
      </c>
      <c r="T96" s="49">
        <f>'2025年中心利润表 '!T96+'2025年江苏分部利润表'!T96+'2025年浙江分部利润表'!T96+'2025年上海分部利润表'!T96+'2025年赣皖区域利润表'!T96</f>
        <v>0</v>
      </c>
      <c r="U96" s="49">
        <f>'2025年中心利润表 '!U96+'2025年江苏分部利润表'!U96+'2025年浙江分部利润表'!U96+'2025年上海分部利润表'!U96+'2025年赣皖区域利润表'!U96</f>
        <v>0</v>
      </c>
      <c r="V96" s="49">
        <f>'2025年中心利润表 '!V96+'2025年江苏分部利润表'!V96+'2025年浙江分部利润表'!V96+'2025年上海分部利润表'!V96+'2025年赣皖区域利润表'!V96</f>
        <v>0</v>
      </c>
      <c r="W96" s="49">
        <f>'2025年中心利润表 '!W96+'2025年江苏分部利润表'!W96+'2025年浙江分部利润表'!W96+'2025年上海分部利润表'!W96+'2025年赣皖区域利润表'!W96</f>
        <v>0</v>
      </c>
      <c r="X96" s="49">
        <f>'2025年中心利润表 '!X96+'2025年江苏分部利润表'!X96+'2025年浙江分部利润表'!X96+'2025年上海分部利润表'!X96+'2025年赣皖区域利润表'!X96</f>
        <v>0</v>
      </c>
      <c r="Y96" s="49">
        <f>'2025年中心利润表 '!Y96+'2025年江苏分部利润表'!Y96+'2025年浙江分部利润表'!Y96+'2025年上海分部利润表'!Y96+'2025年赣皖区域利润表'!Y96</f>
        <v>0</v>
      </c>
      <c r="Z96" s="49">
        <f>'2025年中心利润表 '!Z96+'2025年江苏分部利润表'!Z96+'2025年浙江分部利润表'!Z96+'2025年上海分部利润表'!Z96+'2025年赣皖区域利润表'!Z96</f>
        <v>0</v>
      </c>
      <c r="AA96" s="51">
        <f t="shared" si="24"/>
        <v>0</v>
      </c>
      <c r="AB96" s="51">
        <f t="shared" si="25"/>
        <v>0</v>
      </c>
      <c r="AC96" s="94"/>
      <c r="AD96" s="31">
        <f t="shared" si="26"/>
        <v>0</v>
      </c>
      <c r="AE96" s="31">
        <f t="shared" si="27"/>
        <v>0</v>
      </c>
      <c r="AF96" s="17">
        <f t="shared" si="28"/>
        <v>0</v>
      </c>
      <c r="AG96" s="17">
        <f t="shared" si="29"/>
        <v>0</v>
      </c>
      <c r="AH96" s="17">
        <f>SUM('[1]2024年全面预算利润表 (销售1中心)2.8亿'!E101:H101)</f>
        <v>0</v>
      </c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</row>
    <row r="97" spans="1:53" s="19" customFormat="1" ht="14" hidden="1" outlineLevel="1" x14ac:dyDescent="0.25">
      <c r="A97" s="48" t="s">
        <v>174</v>
      </c>
      <c r="B97" s="53"/>
      <c r="C97" s="49">
        <f>'2025年中心利润表 '!C97+'2025年江苏分部利润表'!C97+'2025年浙江分部利润表'!C97+'2025年上海分部利润表'!C97+'2025年赣皖区域利润表'!C97</f>
        <v>0</v>
      </c>
      <c r="D97" s="49">
        <f>'2025年中心利润表 '!D97+'2025年江苏分部利润表'!D97+'2025年浙江分部利润表'!D97+'2025年上海分部利润表'!D97+'2025年赣皖区域利润表'!D97</f>
        <v>0</v>
      </c>
      <c r="E97" s="49">
        <f>'2025年中心利润表 '!E97+'2025年江苏分部利润表'!E97+'2025年浙江分部利润表'!E97+'2025年上海分部利润表'!E97+'2025年赣皖区域利润表'!E97</f>
        <v>0</v>
      </c>
      <c r="F97" s="49">
        <f>'2025年中心利润表 '!F97+'2025年江苏分部利润表'!F97+'2025年浙江分部利润表'!F97+'2025年上海分部利润表'!F97+'2025年赣皖区域利润表'!F97</f>
        <v>0</v>
      </c>
      <c r="G97" s="49">
        <f>'2025年中心利润表 '!G97+'2025年江苏分部利润表'!G97+'2025年浙江分部利润表'!G97+'2025年上海分部利润表'!G97+'2025年赣皖区域利润表'!G97</f>
        <v>0</v>
      </c>
      <c r="H97" s="49">
        <f>'2025年中心利润表 '!H97+'2025年江苏分部利润表'!H97+'2025年浙江分部利润表'!H97+'2025年上海分部利润表'!H97+'2025年赣皖区域利润表'!H97</f>
        <v>0</v>
      </c>
      <c r="I97" s="49">
        <f>'2025年中心利润表 '!I97+'2025年江苏分部利润表'!I97+'2025年浙江分部利润表'!I97+'2025年上海分部利润表'!I97+'2025年赣皖区域利润表'!I97</f>
        <v>0</v>
      </c>
      <c r="J97" s="49">
        <f>'2025年中心利润表 '!J97+'2025年江苏分部利润表'!J97+'2025年浙江分部利润表'!J97+'2025年上海分部利润表'!J97+'2025年赣皖区域利润表'!J97</f>
        <v>0</v>
      </c>
      <c r="K97" s="49">
        <f>'2025年中心利润表 '!K97+'2025年江苏分部利润表'!K97+'2025年浙江分部利润表'!K97+'2025年上海分部利润表'!K97+'2025年赣皖区域利润表'!K97</f>
        <v>0</v>
      </c>
      <c r="L97" s="49">
        <f>'2025年中心利润表 '!L97+'2025年江苏分部利润表'!L97+'2025年浙江分部利润表'!L97+'2025年上海分部利润表'!L97+'2025年赣皖区域利润表'!L97</f>
        <v>0</v>
      </c>
      <c r="M97" s="49">
        <f>'2025年中心利润表 '!M97+'2025年江苏分部利润表'!M97+'2025年浙江分部利润表'!M97+'2025年上海分部利润表'!M97+'2025年赣皖区域利润表'!M97</f>
        <v>0</v>
      </c>
      <c r="N97" s="49">
        <f>'2025年中心利润表 '!N97+'2025年江苏分部利润表'!N97+'2025年浙江分部利润表'!N97+'2025年上海分部利润表'!N97+'2025年赣皖区域利润表'!N97</f>
        <v>0</v>
      </c>
      <c r="O97" s="49">
        <f>'2025年中心利润表 '!O97+'2025年江苏分部利润表'!O97+'2025年浙江分部利润表'!O97+'2025年上海分部利润表'!O97+'2025年赣皖区域利润表'!O97</f>
        <v>0</v>
      </c>
      <c r="P97" s="49">
        <f>'2025年中心利润表 '!P97+'2025年江苏分部利润表'!P97+'2025年浙江分部利润表'!P97+'2025年上海分部利润表'!P97+'2025年赣皖区域利润表'!P97</f>
        <v>0</v>
      </c>
      <c r="Q97" s="49">
        <f>'2025年中心利润表 '!Q97+'2025年江苏分部利润表'!Q97+'2025年浙江分部利润表'!Q97+'2025年上海分部利润表'!Q97+'2025年赣皖区域利润表'!Q97</f>
        <v>0</v>
      </c>
      <c r="R97" s="49">
        <f>'2025年中心利润表 '!R97+'2025年江苏分部利润表'!R97+'2025年浙江分部利润表'!R97+'2025年上海分部利润表'!R97+'2025年赣皖区域利润表'!R97</f>
        <v>0</v>
      </c>
      <c r="S97" s="49">
        <f>'2025年中心利润表 '!S97+'2025年江苏分部利润表'!S97+'2025年浙江分部利润表'!S97+'2025年上海分部利润表'!S97+'2025年赣皖区域利润表'!S97</f>
        <v>0</v>
      </c>
      <c r="T97" s="49">
        <f>'2025年中心利润表 '!T97+'2025年江苏分部利润表'!T97+'2025年浙江分部利润表'!T97+'2025年上海分部利润表'!T97+'2025年赣皖区域利润表'!T97</f>
        <v>0</v>
      </c>
      <c r="U97" s="49">
        <f>'2025年中心利润表 '!U97+'2025年江苏分部利润表'!U97+'2025年浙江分部利润表'!U97+'2025年上海分部利润表'!U97+'2025年赣皖区域利润表'!U97</f>
        <v>0</v>
      </c>
      <c r="V97" s="49">
        <f>'2025年中心利润表 '!V97+'2025年江苏分部利润表'!V97+'2025年浙江分部利润表'!V97+'2025年上海分部利润表'!V97+'2025年赣皖区域利润表'!V97</f>
        <v>0</v>
      </c>
      <c r="W97" s="49">
        <f>'2025年中心利润表 '!W97+'2025年江苏分部利润表'!W97+'2025年浙江分部利润表'!W97+'2025年上海分部利润表'!W97+'2025年赣皖区域利润表'!W97</f>
        <v>0</v>
      </c>
      <c r="X97" s="49">
        <f>'2025年中心利润表 '!X97+'2025年江苏分部利润表'!X97+'2025年浙江分部利润表'!X97+'2025年上海分部利润表'!X97+'2025年赣皖区域利润表'!X97</f>
        <v>0</v>
      </c>
      <c r="Y97" s="49">
        <f>'2025年中心利润表 '!Y97+'2025年江苏分部利润表'!Y97+'2025年浙江分部利润表'!Y97+'2025年上海分部利润表'!Y97+'2025年赣皖区域利润表'!Y97</f>
        <v>0</v>
      </c>
      <c r="Z97" s="49">
        <f>'2025年中心利润表 '!Z97+'2025年江苏分部利润表'!Z97+'2025年浙江分部利润表'!Z97+'2025年上海分部利润表'!Z97+'2025年赣皖区域利润表'!Z97</f>
        <v>0</v>
      </c>
      <c r="AA97" s="51">
        <f t="shared" si="24"/>
        <v>0</v>
      </c>
      <c r="AB97" s="51">
        <f t="shared" si="25"/>
        <v>0</v>
      </c>
      <c r="AC97" s="94"/>
      <c r="AD97" s="31">
        <f t="shared" si="26"/>
        <v>0</v>
      </c>
      <c r="AE97" s="31">
        <f t="shared" si="27"/>
        <v>0</v>
      </c>
      <c r="AF97" s="17">
        <f t="shared" si="28"/>
        <v>0</v>
      </c>
      <c r="AG97" s="17">
        <f t="shared" si="29"/>
        <v>0</v>
      </c>
      <c r="AH97" s="17">
        <f>SUM('[1]2024年全面预算利润表 (销售1中心)2.8亿'!E102:H102)</f>
        <v>0</v>
      </c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</row>
    <row r="98" spans="1:53" s="19" customFormat="1" ht="14" hidden="1" outlineLevel="1" x14ac:dyDescent="0.25">
      <c r="A98" s="48" t="s">
        <v>175</v>
      </c>
      <c r="B98" s="53"/>
      <c r="C98" s="49">
        <f>'2025年中心利润表 '!C98+'2025年江苏分部利润表'!C98+'2025年浙江分部利润表'!C98+'2025年上海分部利润表'!C98+'2025年赣皖区域利润表'!C98</f>
        <v>0</v>
      </c>
      <c r="D98" s="49">
        <f>'2025年中心利润表 '!D98+'2025年江苏分部利润表'!D98+'2025年浙江分部利润表'!D98+'2025年上海分部利润表'!D98+'2025年赣皖区域利润表'!D98</f>
        <v>0</v>
      </c>
      <c r="E98" s="49">
        <f>'2025年中心利润表 '!E98+'2025年江苏分部利润表'!E98+'2025年浙江分部利润表'!E98+'2025年上海分部利润表'!E98+'2025年赣皖区域利润表'!E98</f>
        <v>0</v>
      </c>
      <c r="F98" s="49">
        <f>'2025年中心利润表 '!F98+'2025年江苏分部利润表'!F98+'2025年浙江分部利润表'!F98+'2025年上海分部利润表'!F98+'2025年赣皖区域利润表'!F98</f>
        <v>0</v>
      </c>
      <c r="G98" s="49">
        <f>'2025年中心利润表 '!G98+'2025年江苏分部利润表'!G98+'2025年浙江分部利润表'!G98+'2025年上海分部利润表'!G98+'2025年赣皖区域利润表'!G98</f>
        <v>0</v>
      </c>
      <c r="H98" s="49">
        <f>'2025年中心利润表 '!H98+'2025年江苏分部利润表'!H98+'2025年浙江分部利润表'!H98+'2025年上海分部利润表'!H98+'2025年赣皖区域利润表'!H98</f>
        <v>0</v>
      </c>
      <c r="I98" s="49">
        <f>'2025年中心利润表 '!I98+'2025年江苏分部利润表'!I98+'2025年浙江分部利润表'!I98+'2025年上海分部利润表'!I98+'2025年赣皖区域利润表'!I98</f>
        <v>0</v>
      </c>
      <c r="J98" s="49">
        <f>'2025年中心利润表 '!J98+'2025年江苏分部利润表'!J98+'2025年浙江分部利润表'!J98+'2025年上海分部利润表'!J98+'2025年赣皖区域利润表'!J98</f>
        <v>0</v>
      </c>
      <c r="K98" s="49">
        <f>'2025年中心利润表 '!K98+'2025年江苏分部利润表'!K98+'2025年浙江分部利润表'!K98+'2025年上海分部利润表'!K98+'2025年赣皖区域利润表'!K98</f>
        <v>0</v>
      </c>
      <c r="L98" s="49">
        <f>'2025年中心利润表 '!L98+'2025年江苏分部利润表'!L98+'2025年浙江分部利润表'!L98+'2025年上海分部利润表'!L98+'2025年赣皖区域利润表'!L98</f>
        <v>0</v>
      </c>
      <c r="M98" s="49">
        <f>'2025年中心利润表 '!M98+'2025年江苏分部利润表'!M98+'2025年浙江分部利润表'!M98+'2025年上海分部利润表'!M98+'2025年赣皖区域利润表'!M98</f>
        <v>0</v>
      </c>
      <c r="N98" s="49">
        <f>'2025年中心利润表 '!N98+'2025年江苏分部利润表'!N98+'2025年浙江分部利润表'!N98+'2025年上海分部利润表'!N98+'2025年赣皖区域利润表'!N98</f>
        <v>0</v>
      </c>
      <c r="O98" s="49">
        <f>'2025年中心利润表 '!O98+'2025年江苏分部利润表'!O98+'2025年浙江分部利润表'!O98+'2025年上海分部利润表'!O98+'2025年赣皖区域利润表'!O98</f>
        <v>0</v>
      </c>
      <c r="P98" s="49">
        <f>'2025年中心利润表 '!P98+'2025年江苏分部利润表'!P98+'2025年浙江分部利润表'!P98+'2025年上海分部利润表'!P98+'2025年赣皖区域利润表'!P98</f>
        <v>0</v>
      </c>
      <c r="Q98" s="49">
        <f>'2025年中心利润表 '!Q98+'2025年江苏分部利润表'!Q98+'2025年浙江分部利润表'!Q98+'2025年上海分部利润表'!Q98+'2025年赣皖区域利润表'!Q98</f>
        <v>0</v>
      </c>
      <c r="R98" s="49">
        <f>'2025年中心利润表 '!R98+'2025年江苏分部利润表'!R98+'2025年浙江分部利润表'!R98+'2025年上海分部利润表'!R98+'2025年赣皖区域利润表'!R98</f>
        <v>0</v>
      </c>
      <c r="S98" s="49">
        <f>'2025年中心利润表 '!S98+'2025年江苏分部利润表'!S98+'2025年浙江分部利润表'!S98+'2025年上海分部利润表'!S98+'2025年赣皖区域利润表'!S98</f>
        <v>0</v>
      </c>
      <c r="T98" s="49">
        <f>'2025年中心利润表 '!T98+'2025年江苏分部利润表'!T98+'2025年浙江分部利润表'!T98+'2025年上海分部利润表'!T98+'2025年赣皖区域利润表'!T98</f>
        <v>0</v>
      </c>
      <c r="U98" s="49">
        <f>'2025年中心利润表 '!U98+'2025年江苏分部利润表'!U98+'2025年浙江分部利润表'!U98+'2025年上海分部利润表'!U98+'2025年赣皖区域利润表'!U98</f>
        <v>0</v>
      </c>
      <c r="V98" s="49">
        <f>'2025年中心利润表 '!V98+'2025年江苏分部利润表'!V98+'2025年浙江分部利润表'!V98+'2025年上海分部利润表'!V98+'2025年赣皖区域利润表'!V98</f>
        <v>0</v>
      </c>
      <c r="W98" s="49">
        <f>'2025年中心利润表 '!W98+'2025年江苏分部利润表'!W98+'2025年浙江分部利润表'!W98+'2025年上海分部利润表'!W98+'2025年赣皖区域利润表'!W98</f>
        <v>0</v>
      </c>
      <c r="X98" s="49">
        <f>'2025年中心利润表 '!X98+'2025年江苏分部利润表'!X98+'2025年浙江分部利润表'!X98+'2025年上海分部利润表'!X98+'2025年赣皖区域利润表'!X98</f>
        <v>0</v>
      </c>
      <c r="Y98" s="49">
        <f>'2025年中心利润表 '!Y98+'2025年江苏分部利润表'!Y98+'2025年浙江分部利润表'!Y98+'2025年上海分部利润表'!Y98+'2025年赣皖区域利润表'!Y98</f>
        <v>0</v>
      </c>
      <c r="Z98" s="49">
        <f>'2025年中心利润表 '!Z98+'2025年江苏分部利润表'!Z98+'2025年浙江分部利润表'!Z98+'2025年上海分部利润表'!Z98+'2025年赣皖区域利润表'!Z98</f>
        <v>0</v>
      </c>
      <c r="AA98" s="51">
        <f t="shared" si="24"/>
        <v>0</v>
      </c>
      <c r="AB98" s="51">
        <f t="shared" si="25"/>
        <v>0</v>
      </c>
      <c r="AC98" s="94"/>
      <c r="AD98" s="31">
        <f t="shared" si="26"/>
        <v>0</v>
      </c>
      <c r="AE98" s="31">
        <f t="shared" si="27"/>
        <v>0</v>
      </c>
      <c r="AF98" s="17">
        <f t="shared" si="28"/>
        <v>0</v>
      </c>
      <c r="AG98" s="17">
        <f t="shared" si="29"/>
        <v>0</v>
      </c>
      <c r="AH98" s="17">
        <f>SUM('[1]2024年全面预算利润表 (销售1中心)2.8亿'!E103:H103)</f>
        <v>0</v>
      </c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</row>
    <row r="99" spans="1:53" s="19" customFormat="1" ht="14" hidden="1" outlineLevel="1" x14ac:dyDescent="0.25">
      <c r="A99" s="48" t="s">
        <v>176</v>
      </c>
      <c r="B99" s="53"/>
      <c r="C99" s="49">
        <f>'2025年中心利润表 '!C99+'2025年江苏分部利润表'!C99+'2025年浙江分部利润表'!C99+'2025年上海分部利润表'!C99+'2025年赣皖区域利润表'!C99</f>
        <v>0</v>
      </c>
      <c r="D99" s="49">
        <f>'2025年中心利润表 '!D99+'2025年江苏分部利润表'!D99+'2025年浙江分部利润表'!D99+'2025年上海分部利润表'!D99+'2025年赣皖区域利润表'!D99</f>
        <v>0</v>
      </c>
      <c r="E99" s="49">
        <f>'2025年中心利润表 '!E99+'2025年江苏分部利润表'!E99+'2025年浙江分部利润表'!E99+'2025年上海分部利润表'!E99+'2025年赣皖区域利润表'!E99</f>
        <v>0</v>
      </c>
      <c r="F99" s="49">
        <f>'2025年中心利润表 '!F99+'2025年江苏分部利润表'!F99+'2025年浙江分部利润表'!F99+'2025年上海分部利润表'!F99+'2025年赣皖区域利润表'!F99</f>
        <v>0</v>
      </c>
      <c r="G99" s="49">
        <f>'2025年中心利润表 '!G99+'2025年江苏分部利润表'!G99+'2025年浙江分部利润表'!G99+'2025年上海分部利润表'!G99+'2025年赣皖区域利润表'!G99</f>
        <v>0</v>
      </c>
      <c r="H99" s="49">
        <f>'2025年中心利润表 '!H99+'2025年江苏分部利润表'!H99+'2025年浙江分部利润表'!H99+'2025年上海分部利润表'!H99+'2025年赣皖区域利润表'!H99</f>
        <v>0</v>
      </c>
      <c r="I99" s="49">
        <f>'2025年中心利润表 '!I99+'2025年江苏分部利润表'!I99+'2025年浙江分部利润表'!I99+'2025年上海分部利润表'!I99+'2025年赣皖区域利润表'!I99</f>
        <v>0</v>
      </c>
      <c r="J99" s="49">
        <f>'2025年中心利润表 '!J99+'2025年江苏分部利润表'!J99+'2025年浙江分部利润表'!J99+'2025年上海分部利润表'!J99+'2025年赣皖区域利润表'!J99</f>
        <v>0</v>
      </c>
      <c r="K99" s="49">
        <f>'2025年中心利润表 '!K99+'2025年江苏分部利润表'!K99+'2025年浙江分部利润表'!K99+'2025年上海分部利润表'!K99+'2025年赣皖区域利润表'!K99</f>
        <v>0</v>
      </c>
      <c r="L99" s="49">
        <f>'2025年中心利润表 '!L99+'2025年江苏分部利润表'!L99+'2025年浙江分部利润表'!L99+'2025年上海分部利润表'!L99+'2025年赣皖区域利润表'!L99</f>
        <v>0</v>
      </c>
      <c r="M99" s="49">
        <f>'2025年中心利润表 '!M99+'2025年江苏分部利润表'!M99+'2025年浙江分部利润表'!M99+'2025年上海分部利润表'!M99+'2025年赣皖区域利润表'!M99</f>
        <v>0</v>
      </c>
      <c r="N99" s="49">
        <f>'2025年中心利润表 '!N99+'2025年江苏分部利润表'!N99+'2025年浙江分部利润表'!N99+'2025年上海分部利润表'!N99+'2025年赣皖区域利润表'!N99</f>
        <v>0</v>
      </c>
      <c r="O99" s="49">
        <f>'2025年中心利润表 '!O99+'2025年江苏分部利润表'!O99+'2025年浙江分部利润表'!O99+'2025年上海分部利润表'!O99+'2025年赣皖区域利润表'!O99</f>
        <v>0</v>
      </c>
      <c r="P99" s="49">
        <f>'2025年中心利润表 '!P99+'2025年江苏分部利润表'!P99+'2025年浙江分部利润表'!P99+'2025年上海分部利润表'!P99+'2025年赣皖区域利润表'!P99</f>
        <v>0</v>
      </c>
      <c r="Q99" s="49">
        <f>'2025年中心利润表 '!Q99+'2025年江苏分部利润表'!Q99+'2025年浙江分部利润表'!Q99+'2025年上海分部利润表'!Q99+'2025年赣皖区域利润表'!Q99</f>
        <v>0</v>
      </c>
      <c r="R99" s="49">
        <f>'2025年中心利润表 '!R99+'2025年江苏分部利润表'!R99+'2025年浙江分部利润表'!R99+'2025年上海分部利润表'!R99+'2025年赣皖区域利润表'!R99</f>
        <v>0</v>
      </c>
      <c r="S99" s="49">
        <f>'2025年中心利润表 '!S99+'2025年江苏分部利润表'!S99+'2025年浙江分部利润表'!S99+'2025年上海分部利润表'!S99+'2025年赣皖区域利润表'!S99</f>
        <v>0</v>
      </c>
      <c r="T99" s="49">
        <f>'2025年中心利润表 '!T99+'2025年江苏分部利润表'!T99+'2025年浙江分部利润表'!T99+'2025年上海分部利润表'!T99+'2025年赣皖区域利润表'!T99</f>
        <v>0</v>
      </c>
      <c r="U99" s="49">
        <f>'2025年中心利润表 '!U99+'2025年江苏分部利润表'!U99+'2025年浙江分部利润表'!U99+'2025年上海分部利润表'!U99+'2025年赣皖区域利润表'!U99</f>
        <v>0</v>
      </c>
      <c r="V99" s="49">
        <f>'2025年中心利润表 '!V99+'2025年江苏分部利润表'!V99+'2025年浙江分部利润表'!V99+'2025年上海分部利润表'!V99+'2025年赣皖区域利润表'!V99</f>
        <v>0</v>
      </c>
      <c r="W99" s="49">
        <f>'2025年中心利润表 '!W99+'2025年江苏分部利润表'!W99+'2025年浙江分部利润表'!W99+'2025年上海分部利润表'!W99+'2025年赣皖区域利润表'!W99</f>
        <v>0</v>
      </c>
      <c r="X99" s="49">
        <f>'2025年中心利润表 '!X99+'2025年江苏分部利润表'!X99+'2025年浙江分部利润表'!X99+'2025年上海分部利润表'!X99+'2025年赣皖区域利润表'!X99</f>
        <v>0</v>
      </c>
      <c r="Y99" s="49">
        <f>'2025年中心利润表 '!Y99+'2025年江苏分部利润表'!Y99+'2025年浙江分部利润表'!Y99+'2025年上海分部利润表'!Y99+'2025年赣皖区域利润表'!Y99</f>
        <v>0</v>
      </c>
      <c r="Z99" s="49">
        <f>'2025年中心利润表 '!Z99+'2025年江苏分部利润表'!Z99+'2025年浙江分部利润表'!Z99+'2025年上海分部利润表'!Z99+'2025年赣皖区域利润表'!Z99</f>
        <v>0</v>
      </c>
      <c r="AA99" s="51">
        <f t="shared" si="24"/>
        <v>0</v>
      </c>
      <c r="AB99" s="51">
        <f t="shared" si="25"/>
        <v>0</v>
      </c>
      <c r="AC99" s="94"/>
      <c r="AD99" s="31">
        <f t="shared" si="26"/>
        <v>0</v>
      </c>
      <c r="AE99" s="31">
        <f t="shared" si="27"/>
        <v>0</v>
      </c>
      <c r="AF99" s="17">
        <f t="shared" si="28"/>
        <v>0</v>
      </c>
      <c r="AG99" s="17">
        <f t="shared" si="29"/>
        <v>0</v>
      </c>
      <c r="AH99" s="17">
        <f>SUM('[1]2024年全面预算利润表 (销售1中心)2.8亿'!E104:H104)</f>
        <v>0</v>
      </c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</row>
    <row r="100" spans="1:53" s="19" customFormat="1" ht="14" hidden="1" outlineLevel="1" x14ac:dyDescent="0.25">
      <c r="A100" s="48" t="s">
        <v>177</v>
      </c>
      <c r="B100" s="53"/>
      <c r="C100" s="49">
        <f>'2025年中心利润表 '!C100+'2025年江苏分部利润表'!C100+'2025年浙江分部利润表'!C100+'2025年上海分部利润表'!C100+'2025年赣皖区域利润表'!C100</f>
        <v>0</v>
      </c>
      <c r="D100" s="49">
        <f>'2025年中心利润表 '!D100+'2025年江苏分部利润表'!D100+'2025年浙江分部利润表'!D100+'2025年上海分部利润表'!D100+'2025年赣皖区域利润表'!D100</f>
        <v>0</v>
      </c>
      <c r="E100" s="49">
        <f>'2025年中心利润表 '!E100+'2025年江苏分部利润表'!E100+'2025年浙江分部利润表'!E100+'2025年上海分部利润表'!E100+'2025年赣皖区域利润表'!E100</f>
        <v>0</v>
      </c>
      <c r="F100" s="49">
        <f>'2025年中心利润表 '!F100+'2025年江苏分部利润表'!F100+'2025年浙江分部利润表'!F100+'2025年上海分部利润表'!F100+'2025年赣皖区域利润表'!F100</f>
        <v>0</v>
      </c>
      <c r="G100" s="49">
        <f>'2025年中心利润表 '!G100+'2025年江苏分部利润表'!G100+'2025年浙江分部利润表'!G100+'2025年上海分部利润表'!G100+'2025年赣皖区域利润表'!G100</f>
        <v>0</v>
      </c>
      <c r="H100" s="49">
        <f>'2025年中心利润表 '!H100+'2025年江苏分部利润表'!H100+'2025年浙江分部利润表'!H100+'2025年上海分部利润表'!H100+'2025年赣皖区域利润表'!H100</f>
        <v>0</v>
      </c>
      <c r="I100" s="49">
        <f>'2025年中心利润表 '!I100+'2025年江苏分部利润表'!I100+'2025年浙江分部利润表'!I100+'2025年上海分部利润表'!I100+'2025年赣皖区域利润表'!I100</f>
        <v>0</v>
      </c>
      <c r="J100" s="49">
        <f>'2025年中心利润表 '!J100+'2025年江苏分部利润表'!J100+'2025年浙江分部利润表'!J100+'2025年上海分部利润表'!J100+'2025年赣皖区域利润表'!J100</f>
        <v>0</v>
      </c>
      <c r="K100" s="49">
        <f>'2025年中心利润表 '!K100+'2025年江苏分部利润表'!K100+'2025年浙江分部利润表'!K100+'2025年上海分部利润表'!K100+'2025年赣皖区域利润表'!K100</f>
        <v>0</v>
      </c>
      <c r="L100" s="49">
        <f>'2025年中心利润表 '!L100+'2025年江苏分部利润表'!L100+'2025年浙江分部利润表'!L100+'2025年上海分部利润表'!L100+'2025年赣皖区域利润表'!L100</f>
        <v>0</v>
      </c>
      <c r="M100" s="49">
        <f>'2025年中心利润表 '!M100+'2025年江苏分部利润表'!M100+'2025年浙江分部利润表'!M100+'2025年上海分部利润表'!M100+'2025年赣皖区域利润表'!M100</f>
        <v>0</v>
      </c>
      <c r="N100" s="49">
        <f>'2025年中心利润表 '!N100+'2025年江苏分部利润表'!N100+'2025年浙江分部利润表'!N100+'2025年上海分部利润表'!N100+'2025年赣皖区域利润表'!N100</f>
        <v>0</v>
      </c>
      <c r="O100" s="49">
        <f>'2025年中心利润表 '!O100+'2025年江苏分部利润表'!O100+'2025年浙江分部利润表'!O100+'2025年上海分部利润表'!O100+'2025年赣皖区域利润表'!O100</f>
        <v>0</v>
      </c>
      <c r="P100" s="49">
        <f>'2025年中心利润表 '!P100+'2025年江苏分部利润表'!P100+'2025年浙江分部利润表'!P100+'2025年上海分部利润表'!P100+'2025年赣皖区域利润表'!P100</f>
        <v>0</v>
      </c>
      <c r="Q100" s="49">
        <f>'2025年中心利润表 '!Q100+'2025年江苏分部利润表'!Q100+'2025年浙江分部利润表'!Q100+'2025年上海分部利润表'!Q100+'2025年赣皖区域利润表'!Q100</f>
        <v>0</v>
      </c>
      <c r="R100" s="49">
        <f>'2025年中心利润表 '!R100+'2025年江苏分部利润表'!R100+'2025年浙江分部利润表'!R100+'2025年上海分部利润表'!R100+'2025年赣皖区域利润表'!R100</f>
        <v>0</v>
      </c>
      <c r="S100" s="49">
        <f>'2025年中心利润表 '!S100+'2025年江苏分部利润表'!S100+'2025年浙江分部利润表'!S100+'2025年上海分部利润表'!S100+'2025年赣皖区域利润表'!S100</f>
        <v>0</v>
      </c>
      <c r="T100" s="49">
        <f>'2025年中心利润表 '!T100+'2025年江苏分部利润表'!T100+'2025年浙江分部利润表'!T100+'2025年上海分部利润表'!T100+'2025年赣皖区域利润表'!T100</f>
        <v>0</v>
      </c>
      <c r="U100" s="49">
        <f>'2025年中心利润表 '!U100+'2025年江苏分部利润表'!U100+'2025年浙江分部利润表'!U100+'2025年上海分部利润表'!U100+'2025年赣皖区域利润表'!U100</f>
        <v>0</v>
      </c>
      <c r="V100" s="49">
        <f>'2025年中心利润表 '!V100+'2025年江苏分部利润表'!V100+'2025年浙江分部利润表'!V100+'2025年上海分部利润表'!V100+'2025年赣皖区域利润表'!V100</f>
        <v>0</v>
      </c>
      <c r="W100" s="49">
        <f>'2025年中心利润表 '!W100+'2025年江苏分部利润表'!W100+'2025年浙江分部利润表'!W100+'2025年上海分部利润表'!W100+'2025年赣皖区域利润表'!W100</f>
        <v>0</v>
      </c>
      <c r="X100" s="49">
        <f>'2025年中心利润表 '!X100+'2025年江苏分部利润表'!X100+'2025年浙江分部利润表'!X100+'2025年上海分部利润表'!X100+'2025年赣皖区域利润表'!X100</f>
        <v>0</v>
      </c>
      <c r="Y100" s="49">
        <f>'2025年中心利润表 '!Y100+'2025年江苏分部利润表'!Y100+'2025年浙江分部利润表'!Y100+'2025年上海分部利润表'!Y100+'2025年赣皖区域利润表'!Y100</f>
        <v>0</v>
      </c>
      <c r="Z100" s="49">
        <f>'2025年中心利润表 '!Z100+'2025年江苏分部利润表'!Z100+'2025年浙江分部利润表'!Z100+'2025年上海分部利润表'!Z100+'2025年赣皖区域利润表'!Z100</f>
        <v>0</v>
      </c>
      <c r="AA100" s="51">
        <f t="shared" si="24"/>
        <v>0</v>
      </c>
      <c r="AB100" s="51">
        <f t="shared" si="25"/>
        <v>0</v>
      </c>
      <c r="AC100" s="94"/>
      <c r="AD100" s="31">
        <f t="shared" si="26"/>
        <v>0</v>
      </c>
      <c r="AE100" s="31">
        <f t="shared" si="27"/>
        <v>0</v>
      </c>
      <c r="AF100" s="17">
        <f t="shared" si="28"/>
        <v>0</v>
      </c>
      <c r="AG100" s="17">
        <f t="shared" si="29"/>
        <v>0</v>
      </c>
      <c r="AH100" s="17">
        <f>SUM('[1]2024年全面预算利润表 (销售1中心)2.8亿'!E105:H105)</f>
        <v>0</v>
      </c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</row>
    <row r="101" spans="1:53" s="19" customFormat="1" ht="14" hidden="1" outlineLevel="1" x14ac:dyDescent="0.25">
      <c r="A101" s="48" t="s">
        <v>178</v>
      </c>
      <c r="B101" s="53"/>
      <c r="C101" s="49">
        <f>'2025年中心利润表 '!C101+'2025年江苏分部利润表'!C101+'2025年浙江分部利润表'!C101+'2025年上海分部利润表'!C101+'2025年赣皖区域利润表'!C101</f>
        <v>2000</v>
      </c>
      <c r="D101" s="49">
        <f>'2025年中心利润表 '!D101+'2025年江苏分部利润表'!D101+'2025年浙江分部利润表'!D101+'2025年上海分部利润表'!D101+'2025年赣皖区域利润表'!D101</f>
        <v>0</v>
      </c>
      <c r="E101" s="49">
        <f>'2025年中心利润表 '!E101+'2025年江苏分部利润表'!E101+'2025年浙江分部利润表'!E101+'2025年上海分部利润表'!E101+'2025年赣皖区域利润表'!E101</f>
        <v>2000</v>
      </c>
      <c r="F101" s="49">
        <f>'2025年中心利润表 '!F101+'2025年江苏分部利润表'!F101+'2025年浙江分部利润表'!F101+'2025年上海分部利润表'!F101+'2025年赣皖区域利润表'!F101</f>
        <v>0</v>
      </c>
      <c r="G101" s="49">
        <f>'2025年中心利润表 '!G101+'2025年江苏分部利润表'!G101+'2025年浙江分部利润表'!G101+'2025年上海分部利润表'!G101+'2025年赣皖区域利润表'!G101</f>
        <v>2000</v>
      </c>
      <c r="H101" s="49">
        <f>'2025年中心利润表 '!H101+'2025年江苏分部利润表'!H101+'2025年浙江分部利润表'!H101+'2025年上海分部利润表'!H101+'2025年赣皖区域利润表'!H101</f>
        <v>0</v>
      </c>
      <c r="I101" s="49">
        <f>'2025年中心利润表 '!I101+'2025年江苏分部利润表'!I101+'2025年浙江分部利润表'!I101+'2025年上海分部利润表'!I101+'2025年赣皖区域利润表'!I101</f>
        <v>2000</v>
      </c>
      <c r="J101" s="49">
        <f>'2025年中心利润表 '!J101+'2025年江苏分部利润表'!J101+'2025年浙江分部利润表'!J101+'2025年上海分部利润表'!J101+'2025年赣皖区域利润表'!J101</f>
        <v>0</v>
      </c>
      <c r="K101" s="49">
        <f>'2025年中心利润表 '!K101+'2025年江苏分部利润表'!K101+'2025年浙江分部利润表'!K101+'2025年上海分部利润表'!K101+'2025年赣皖区域利润表'!K101</f>
        <v>2000</v>
      </c>
      <c r="L101" s="49">
        <f>'2025年中心利润表 '!L101+'2025年江苏分部利润表'!L101+'2025年浙江分部利润表'!L101+'2025年上海分部利润表'!L101+'2025年赣皖区域利润表'!L101</f>
        <v>0</v>
      </c>
      <c r="M101" s="49">
        <f>'2025年中心利润表 '!M101+'2025年江苏分部利润表'!M101+'2025年浙江分部利润表'!M101+'2025年上海分部利润表'!M101+'2025年赣皖区域利润表'!M101</f>
        <v>2000</v>
      </c>
      <c r="N101" s="49">
        <f>'2025年中心利润表 '!N101+'2025年江苏分部利润表'!N101+'2025年浙江分部利润表'!N101+'2025年上海分部利润表'!N101+'2025年赣皖区域利润表'!N101</f>
        <v>0</v>
      </c>
      <c r="O101" s="49">
        <f>'2025年中心利润表 '!O101+'2025年江苏分部利润表'!O101+'2025年浙江分部利润表'!O101+'2025年上海分部利润表'!O101+'2025年赣皖区域利润表'!O101</f>
        <v>2000</v>
      </c>
      <c r="P101" s="49">
        <f>'2025年中心利润表 '!P101+'2025年江苏分部利润表'!P101+'2025年浙江分部利润表'!P101+'2025年上海分部利润表'!P101+'2025年赣皖区域利润表'!P101</f>
        <v>0</v>
      </c>
      <c r="Q101" s="49">
        <f>'2025年中心利润表 '!Q101+'2025年江苏分部利润表'!Q101+'2025年浙江分部利润表'!Q101+'2025年上海分部利润表'!Q101+'2025年赣皖区域利润表'!Q101</f>
        <v>2000</v>
      </c>
      <c r="R101" s="49">
        <f>'2025年中心利润表 '!R101+'2025年江苏分部利润表'!R101+'2025年浙江分部利润表'!R101+'2025年上海分部利润表'!R101+'2025年赣皖区域利润表'!R101</f>
        <v>0</v>
      </c>
      <c r="S101" s="49">
        <f>'2025年中心利润表 '!S101+'2025年江苏分部利润表'!S101+'2025年浙江分部利润表'!S101+'2025年上海分部利润表'!S101+'2025年赣皖区域利润表'!S101</f>
        <v>2000</v>
      </c>
      <c r="T101" s="49">
        <f>'2025年中心利润表 '!T101+'2025年江苏分部利润表'!T101+'2025年浙江分部利润表'!T101+'2025年上海分部利润表'!T101+'2025年赣皖区域利润表'!T101</f>
        <v>0</v>
      </c>
      <c r="U101" s="49">
        <f>'2025年中心利润表 '!U101+'2025年江苏分部利润表'!U101+'2025年浙江分部利润表'!U101+'2025年上海分部利润表'!U101+'2025年赣皖区域利润表'!U101</f>
        <v>2000</v>
      </c>
      <c r="V101" s="49">
        <f>'2025年中心利润表 '!V101+'2025年江苏分部利润表'!V101+'2025年浙江分部利润表'!V101+'2025年上海分部利润表'!V101+'2025年赣皖区域利润表'!V101</f>
        <v>0</v>
      </c>
      <c r="W101" s="49">
        <f>'2025年中心利润表 '!W101+'2025年江苏分部利润表'!W101+'2025年浙江分部利润表'!W101+'2025年上海分部利润表'!W101+'2025年赣皖区域利润表'!W101</f>
        <v>2000</v>
      </c>
      <c r="X101" s="49">
        <f>'2025年中心利润表 '!X101+'2025年江苏分部利润表'!X101+'2025年浙江分部利润表'!X101+'2025年上海分部利润表'!X101+'2025年赣皖区域利润表'!X101</f>
        <v>0</v>
      </c>
      <c r="Y101" s="49">
        <f>'2025年中心利润表 '!Y101+'2025年江苏分部利润表'!Y101+'2025年浙江分部利润表'!Y101+'2025年上海分部利润表'!Y101+'2025年赣皖区域利润表'!Y101</f>
        <v>2000</v>
      </c>
      <c r="Z101" s="49">
        <f>'2025年中心利润表 '!Z101+'2025年江苏分部利润表'!Z101+'2025年浙江分部利润表'!Z101+'2025年上海分部利润表'!Z101+'2025年赣皖区域利润表'!Z101</f>
        <v>6608.11</v>
      </c>
      <c r="AA101" s="51">
        <f t="shared" si="24"/>
        <v>24000</v>
      </c>
      <c r="AB101" s="51">
        <f t="shared" si="25"/>
        <v>6608.11</v>
      </c>
      <c r="AC101" s="94"/>
      <c r="AD101" s="31">
        <f t="shared" si="26"/>
        <v>24000</v>
      </c>
      <c r="AE101" s="31">
        <f t="shared" si="27"/>
        <v>6608.11</v>
      </c>
      <c r="AF101" s="17">
        <f t="shared" si="28"/>
        <v>0</v>
      </c>
      <c r="AG101" s="17">
        <f t="shared" si="29"/>
        <v>0</v>
      </c>
      <c r="AH101" s="17">
        <f>SUM('[1]2024年全面预算利润表 (销售1中心)2.8亿'!E106:H106)</f>
        <v>0</v>
      </c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</row>
    <row r="102" spans="1:53" s="17" customFormat="1" ht="14" collapsed="1" x14ac:dyDescent="0.25">
      <c r="A102" s="52" t="s">
        <v>179</v>
      </c>
      <c r="B102" s="45">
        <v>7</v>
      </c>
      <c r="C102" s="65">
        <f t="shared" ref="C102:Z102" si="30">SUM(C103:C175)-C103-C106-C115-C126-C138-C172</f>
        <v>0</v>
      </c>
      <c r="D102" s="65">
        <f t="shared" si="30"/>
        <v>0</v>
      </c>
      <c r="E102" s="65">
        <f t="shared" si="30"/>
        <v>0</v>
      </c>
      <c r="F102" s="65">
        <f t="shared" si="30"/>
        <v>0</v>
      </c>
      <c r="G102" s="65">
        <f t="shared" si="30"/>
        <v>0</v>
      </c>
      <c r="H102" s="65">
        <f t="shared" si="30"/>
        <v>0</v>
      </c>
      <c r="I102" s="65">
        <f t="shared" si="30"/>
        <v>0</v>
      </c>
      <c r="J102" s="65">
        <f t="shared" si="30"/>
        <v>0</v>
      </c>
      <c r="K102" s="65">
        <f t="shared" si="30"/>
        <v>0</v>
      </c>
      <c r="L102" s="65">
        <f t="shared" si="30"/>
        <v>0</v>
      </c>
      <c r="M102" s="65">
        <f t="shared" si="30"/>
        <v>0</v>
      </c>
      <c r="N102" s="65">
        <f t="shared" si="30"/>
        <v>0</v>
      </c>
      <c r="O102" s="65">
        <f t="shared" si="30"/>
        <v>0</v>
      </c>
      <c r="P102" s="65">
        <f t="shared" si="30"/>
        <v>0</v>
      </c>
      <c r="Q102" s="65">
        <f t="shared" si="30"/>
        <v>0</v>
      </c>
      <c r="R102" s="65">
        <f t="shared" si="30"/>
        <v>0</v>
      </c>
      <c r="S102" s="65">
        <f t="shared" si="30"/>
        <v>0</v>
      </c>
      <c r="T102" s="65">
        <f t="shared" si="30"/>
        <v>0</v>
      </c>
      <c r="U102" s="65">
        <f t="shared" si="30"/>
        <v>0</v>
      </c>
      <c r="V102" s="65">
        <f t="shared" si="30"/>
        <v>0</v>
      </c>
      <c r="W102" s="65">
        <f t="shared" si="30"/>
        <v>0</v>
      </c>
      <c r="X102" s="65">
        <f t="shared" si="30"/>
        <v>0</v>
      </c>
      <c r="Y102" s="65">
        <f t="shared" si="30"/>
        <v>0</v>
      </c>
      <c r="Z102" s="65">
        <f t="shared" si="30"/>
        <v>0</v>
      </c>
      <c r="AA102" s="51">
        <f t="shared" si="24"/>
        <v>0</v>
      </c>
      <c r="AB102" s="70">
        <f>SUM(D102:Z102)</f>
        <v>0</v>
      </c>
      <c r="AC102" s="132"/>
      <c r="AD102" s="31">
        <f t="shared" si="26"/>
        <v>0</v>
      </c>
      <c r="AE102" s="31">
        <f t="shared" si="27"/>
        <v>0</v>
      </c>
      <c r="AF102" s="17">
        <f t="shared" si="28"/>
        <v>0</v>
      </c>
      <c r="AG102" s="17">
        <f t="shared" si="29"/>
        <v>0</v>
      </c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</row>
    <row r="103" spans="1:53" s="17" customFormat="1" ht="18" hidden="1" customHeight="1" outlineLevel="1" x14ac:dyDescent="0.25">
      <c r="A103" s="67" t="s">
        <v>107</v>
      </c>
      <c r="B103" s="45"/>
      <c r="C103" s="65">
        <f t="shared" ref="C103:Z103" si="31">SUM(C104:C105)</f>
        <v>0</v>
      </c>
      <c r="D103" s="65">
        <f t="shared" si="31"/>
        <v>0</v>
      </c>
      <c r="E103" s="65">
        <f t="shared" si="31"/>
        <v>0</v>
      </c>
      <c r="F103" s="65">
        <f t="shared" si="31"/>
        <v>0</v>
      </c>
      <c r="G103" s="65">
        <f t="shared" si="31"/>
        <v>0</v>
      </c>
      <c r="H103" s="65">
        <f t="shared" si="31"/>
        <v>0</v>
      </c>
      <c r="I103" s="65">
        <f t="shared" si="31"/>
        <v>0</v>
      </c>
      <c r="J103" s="65">
        <f t="shared" si="31"/>
        <v>0</v>
      </c>
      <c r="K103" s="65">
        <f t="shared" si="31"/>
        <v>0</v>
      </c>
      <c r="L103" s="65">
        <f t="shared" si="31"/>
        <v>0</v>
      </c>
      <c r="M103" s="65">
        <f t="shared" si="31"/>
        <v>0</v>
      </c>
      <c r="N103" s="65">
        <f t="shared" si="31"/>
        <v>0</v>
      </c>
      <c r="O103" s="65">
        <f t="shared" si="31"/>
        <v>0</v>
      </c>
      <c r="P103" s="65">
        <f t="shared" si="31"/>
        <v>0</v>
      </c>
      <c r="Q103" s="65">
        <f t="shared" si="31"/>
        <v>0</v>
      </c>
      <c r="R103" s="65">
        <f t="shared" si="31"/>
        <v>0</v>
      </c>
      <c r="S103" s="65">
        <f t="shared" si="31"/>
        <v>0</v>
      </c>
      <c r="T103" s="65">
        <f t="shared" si="31"/>
        <v>0</v>
      </c>
      <c r="U103" s="65">
        <f t="shared" si="31"/>
        <v>0</v>
      </c>
      <c r="V103" s="65">
        <f t="shared" si="31"/>
        <v>0</v>
      </c>
      <c r="W103" s="65">
        <f t="shared" si="31"/>
        <v>0</v>
      </c>
      <c r="X103" s="65">
        <f t="shared" si="31"/>
        <v>0</v>
      </c>
      <c r="Y103" s="65">
        <f t="shared" si="31"/>
        <v>0</v>
      </c>
      <c r="Z103" s="65">
        <f t="shared" si="31"/>
        <v>0</v>
      </c>
      <c r="AA103" s="51">
        <f t="shared" si="24"/>
        <v>0</v>
      </c>
      <c r="AB103" s="51">
        <f t="shared" ref="AB103:AB166" si="32">D103+F103+H103+J103+L103+N103+P103+R103+T103+V103+X103+Z103</f>
        <v>0</v>
      </c>
      <c r="AC103" s="132"/>
      <c r="AD103" s="31">
        <f t="shared" si="26"/>
        <v>0</v>
      </c>
      <c r="AE103" s="31">
        <f t="shared" si="27"/>
        <v>0</v>
      </c>
      <c r="AF103" s="17">
        <f t="shared" si="28"/>
        <v>0</v>
      </c>
      <c r="AG103" s="17">
        <f t="shared" si="29"/>
        <v>0</v>
      </c>
      <c r="AH103" s="17">
        <f>SUM('[1]2024年全面预算利润表 (销售1中心)2.8亿'!E108:H108)</f>
        <v>0</v>
      </c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</row>
    <row r="104" spans="1:53" s="19" customFormat="1" ht="18" hidden="1" customHeight="1" outlineLevel="2" x14ac:dyDescent="0.25">
      <c r="A104" s="48" t="s">
        <v>108</v>
      </c>
      <c r="B104" s="53"/>
      <c r="C104" s="49">
        <f>'2025年中心利润表 '!C104+'2025年江苏分部利润表'!C104+'2025年浙江分部利润表'!C104+'2025年上海分部利润表'!C104+'2025年赣皖区域利润表'!C104</f>
        <v>0</v>
      </c>
      <c r="D104" s="49">
        <f>'2025年中心利润表 '!D104+'2025年江苏分部利润表'!D104+'2025年浙江分部利润表'!D104+'2025年上海分部利润表'!D104+'2025年赣皖区域利润表'!D104</f>
        <v>0</v>
      </c>
      <c r="E104" s="49">
        <f>'2025年中心利润表 '!E104+'2025年江苏分部利润表'!E104+'2025年浙江分部利润表'!E104+'2025年上海分部利润表'!E104+'2025年赣皖区域利润表'!E104</f>
        <v>0</v>
      </c>
      <c r="F104" s="49">
        <f>'2025年中心利润表 '!F104+'2025年江苏分部利润表'!F104+'2025年浙江分部利润表'!F104+'2025年上海分部利润表'!F104+'2025年赣皖区域利润表'!F104</f>
        <v>0</v>
      </c>
      <c r="G104" s="49">
        <f>'2025年中心利润表 '!G104+'2025年江苏分部利润表'!G104+'2025年浙江分部利润表'!G104+'2025年上海分部利润表'!G104+'2025年赣皖区域利润表'!G104</f>
        <v>0</v>
      </c>
      <c r="H104" s="49">
        <f>'2025年中心利润表 '!H104+'2025年江苏分部利润表'!H104+'2025年浙江分部利润表'!H104+'2025年上海分部利润表'!H104+'2025年赣皖区域利润表'!H104</f>
        <v>0</v>
      </c>
      <c r="I104" s="49">
        <f>'2025年中心利润表 '!I104+'2025年江苏分部利润表'!I104+'2025年浙江分部利润表'!I104+'2025年上海分部利润表'!I104+'2025年赣皖区域利润表'!I104</f>
        <v>0</v>
      </c>
      <c r="J104" s="49">
        <f>'2025年中心利润表 '!J104+'2025年江苏分部利润表'!J104+'2025年浙江分部利润表'!J104+'2025年上海分部利润表'!J104+'2025年赣皖区域利润表'!J104</f>
        <v>0</v>
      </c>
      <c r="K104" s="49">
        <f>'2025年中心利润表 '!K104+'2025年江苏分部利润表'!K104+'2025年浙江分部利润表'!K104+'2025年上海分部利润表'!K104+'2025年赣皖区域利润表'!K104</f>
        <v>0</v>
      </c>
      <c r="L104" s="49">
        <f>'2025年中心利润表 '!L104+'2025年江苏分部利润表'!L104+'2025年浙江分部利润表'!L104+'2025年上海分部利润表'!L104+'2025年赣皖区域利润表'!L104</f>
        <v>0</v>
      </c>
      <c r="M104" s="49">
        <f>'2025年中心利润表 '!M104+'2025年江苏分部利润表'!M104+'2025年浙江分部利润表'!M104+'2025年上海分部利润表'!M104+'2025年赣皖区域利润表'!M104</f>
        <v>0</v>
      </c>
      <c r="N104" s="49">
        <f>'2025年中心利润表 '!N104+'2025年江苏分部利润表'!N104+'2025年浙江分部利润表'!N104+'2025年上海分部利润表'!N104+'2025年赣皖区域利润表'!N104</f>
        <v>0</v>
      </c>
      <c r="O104" s="49">
        <f>'2025年中心利润表 '!O104+'2025年江苏分部利润表'!O104+'2025年浙江分部利润表'!O104+'2025年上海分部利润表'!O104+'2025年赣皖区域利润表'!O104</f>
        <v>0</v>
      </c>
      <c r="P104" s="49">
        <f>'2025年中心利润表 '!P104+'2025年江苏分部利润表'!P104+'2025年浙江分部利润表'!P104+'2025年上海分部利润表'!P104+'2025年赣皖区域利润表'!P104</f>
        <v>0</v>
      </c>
      <c r="Q104" s="49">
        <f>'2025年中心利润表 '!Q104+'2025年江苏分部利润表'!Q104+'2025年浙江分部利润表'!Q104+'2025年上海分部利润表'!Q104+'2025年赣皖区域利润表'!Q104</f>
        <v>0</v>
      </c>
      <c r="R104" s="49">
        <f>'2025年中心利润表 '!R104+'2025年江苏分部利润表'!R104+'2025年浙江分部利润表'!R104+'2025年上海分部利润表'!R104+'2025年赣皖区域利润表'!R104</f>
        <v>0</v>
      </c>
      <c r="S104" s="49">
        <f>'2025年中心利润表 '!S104+'2025年江苏分部利润表'!S104+'2025年浙江分部利润表'!S104+'2025年上海分部利润表'!S104+'2025年赣皖区域利润表'!S104</f>
        <v>0</v>
      </c>
      <c r="T104" s="49">
        <f>'2025年中心利润表 '!T104+'2025年江苏分部利润表'!T104+'2025年浙江分部利润表'!T104+'2025年上海分部利润表'!T104+'2025年赣皖区域利润表'!T104</f>
        <v>0</v>
      </c>
      <c r="U104" s="49">
        <f>'2025年中心利润表 '!U104+'2025年江苏分部利润表'!U104+'2025年浙江分部利润表'!U104+'2025年上海分部利润表'!U104+'2025年赣皖区域利润表'!U104</f>
        <v>0</v>
      </c>
      <c r="V104" s="49">
        <f>'2025年中心利润表 '!V104+'2025年江苏分部利润表'!V104+'2025年浙江分部利润表'!V104+'2025年上海分部利润表'!V104+'2025年赣皖区域利润表'!V104</f>
        <v>0</v>
      </c>
      <c r="W104" s="49">
        <f>'2025年中心利润表 '!W104+'2025年江苏分部利润表'!W104+'2025年浙江分部利润表'!W104+'2025年上海分部利润表'!W104+'2025年赣皖区域利润表'!W104</f>
        <v>0</v>
      </c>
      <c r="X104" s="49">
        <f>'2025年中心利润表 '!X104+'2025年江苏分部利润表'!X104+'2025年浙江分部利润表'!X104+'2025年上海分部利润表'!X104+'2025年赣皖区域利润表'!X104</f>
        <v>0</v>
      </c>
      <c r="Y104" s="49">
        <f>'2025年中心利润表 '!Y104+'2025年江苏分部利润表'!Y104+'2025年浙江分部利润表'!Y104+'2025年上海分部利润表'!Y104+'2025年赣皖区域利润表'!Y104</f>
        <v>0</v>
      </c>
      <c r="Z104" s="49">
        <f>'2025年中心利润表 '!Z104+'2025年江苏分部利润表'!Z104+'2025年浙江分部利润表'!Z104+'2025年上海分部利润表'!Z104+'2025年赣皖区域利润表'!Z104</f>
        <v>0</v>
      </c>
      <c r="AA104" s="51">
        <f t="shared" si="24"/>
        <v>0</v>
      </c>
      <c r="AB104" s="51">
        <f t="shared" si="32"/>
        <v>0</v>
      </c>
      <c r="AC104" s="94"/>
      <c r="AD104" s="31">
        <f t="shared" si="26"/>
        <v>0</v>
      </c>
      <c r="AE104" s="31">
        <f t="shared" si="27"/>
        <v>0</v>
      </c>
      <c r="AF104" s="17">
        <f t="shared" si="28"/>
        <v>0</v>
      </c>
      <c r="AG104" s="17">
        <f t="shared" si="29"/>
        <v>0</v>
      </c>
      <c r="AH104" s="17">
        <f>SUM('[1]2024年全面预算利润表 (销售1中心)2.8亿'!E109:H109)</f>
        <v>0</v>
      </c>
    </row>
    <row r="105" spans="1:53" s="19" customFormat="1" ht="18" hidden="1" customHeight="1" outlineLevel="2" x14ac:dyDescent="0.25">
      <c r="A105" s="48" t="s">
        <v>109</v>
      </c>
      <c r="B105" s="53"/>
      <c r="C105" s="49">
        <f>'2025年中心利润表 '!C105+'2025年江苏分部利润表'!C105+'2025年浙江分部利润表'!C105+'2025年上海分部利润表'!C105+'2025年赣皖区域利润表'!C105</f>
        <v>0</v>
      </c>
      <c r="D105" s="49">
        <f>'2025年中心利润表 '!D105+'2025年江苏分部利润表'!D105+'2025年浙江分部利润表'!D105+'2025年上海分部利润表'!D105+'2025年赣皖区域利润表'!D105</f>
        <v>0</v>
      </c>
      <c r="E105" s="49">
        <f>'2025年中心利润表 '!E105+'2025年江苏分部利润表'!E105+'2025年浙江分部利润表'!E105+'2025年上海分部利润表'!E105+'2025年赣皖区域利润表'!E105</f>
        <v>0</v>
      </c>
      <c r="F105" s="49">
        <f>'2025年中心利润表 '!F105+'2025年江苏分部利润表'!F105+'2025年浙江分部利润表'!F105+'2025年上海分部利润表'!F105+'2025年赣皖区域利润表'!F105</f>
        <v>0</v>
      </c>
      <c r="G105" s="49">
        <f>'2025年中心利润表 '!G105+'2025年江苏分部利润表'!G105+'2025年浙江分部利润表'!G105+'2025年上海分部利润表'!G105+'2025年赣皖区域利润表'!G105</f>
        <v>0</v>
      </c>
      <c r="H105" s="49">
        <f>'2025年中心利润表 '!H105+'2025年江苏分部利润表'!H105+'2025年浙江分部利润表'!H105+'2025年上海分部利润表'!H105+'2025年赣皖区域利润表'!H105</f>
        <v>0</v>
      </c>
      <c r="I105" s="49">
        <f>'2025年中心利润表 '!I105+'2025年江苏分部利润表'!I105+'2025年浙江分部利润表'!I105+'2025年上海分部利润表'!I105+'2025年赣皖区域利润表'!I105</f>
        <v>0</v>
      </c>
      <c r="J105" s="49">
        <f>'2025年中心利润表 '!J105+'2025年江苏分部利润表'!J105+'2025年浙江分部利润表'!J105+'2025年上海分部利润表'!J105+'2025年赣皖区域利润表'!J105</f>
        <v>0</v>
      </c>
      <c r="K105" s="49">
        <f>'2025年中心利润表 '!K105+'2025年江苏分部利润表'!K105+'2025年浙江分部利润表'!K105+'2025年上海分部利润表'!K105+'2025年赣皖区域利润表'!K105</f>
        <v>0</v>
      </c>
      <c r="L105" s="49">
        <f>'2025年中心利润表 '!L105+'2025年江苏分部利润表'!L105+'2025年浙江分部利润表'!L105+'2025年上海分部利润表'!L105+'2025年赣皖区域利润表'!L105</f>
        <v>0</v>
      </c>
      <c r="M105" s="49">
        <f>'2025年中心利润表 '!M105+'2025年江苏分部利润表'!M105+'2025年浙江分部利润表'!M105+'2025年上海分部利润表'!M105+'2025年赣皖区域利润表'!M105</f>
        <v>0</v>
      </c>
      <c r="N105" s="49">
        <f>'2025年中心利润表 '!N105+'2025年江苏分部利润表'!N105+'2025年浙江分部利润表'!N105+'2025年上海分部利润表'!N105+'2025年赣皖区域利润表'!N105</f>
        <v>0</v>
      </c>
      <c r="O105" s="49">
        <f>'2025年中心利润表 '!O105+'2025年江苏分部利润表'!O105+'2025年浙江分部利润表'!O105+'2025年上海分部利润表'!O105+'2025年赣皖区域利润表'!O105</f>
        <v>0</v>
      </c>
      <c r="P105" s="49">
        <f>'2025年中心利润表 '!P105+'2025年江苏分部利润表'!P105+'2025年浙江分部利润表'!P105+'2025年上海分部利润表'!P105+'2025年赣皖区域利润表'!P105</f>
        <v>0</v>
      </c>
      <c r="Q105" s="49">
        <f>'2025年中心利润表 '!Q105+'2025年江苏分部利润表'!Q105+'2025年浙江分部利润表'!Q105+'2025年上海分部利润表'!Q105+'2025年赣皖区域利润表'!Q105</f>
        <v>0</v>
      </c>
      <c r="R105" s="49">
        <f>'2025年中心利润表 '!R105+'2025年江苏分部利润表'!R105+'2025年浙江分部利润表'!R105+'2025年上海分部利润表'!R105+'2025年赣皖区域利润表'!R105</f>
        <v>0</v>
      </c>
      <c r="S105" s="49">
        <f>'2025年中心利润表 '!S105+'2025年江苏分部利润表'!S105+'2025年浙江分部利润表'!S105+'2025年上海分部利润表'!S105+'2025年赣皖区域利润表'!S105</f>
        <v>0</v>
      </c>
      <c r="T105" s="49">
        <f>'2025年中心利润表 '!T105+'2025年江苏分部利润表'!T105+'2025年浙江分部利润表'!T105+'2025年上海分部利润表'!T105+'2025年赣皖区域利润表'!T105</f>
        <v>0</v>
      </c>
      <c r="U105" s="49">
        <f>'2025年中心利润表 '!U105+'2025年江苏分部利润表'!U105+'2025年浙江分部利润表'!U105+'2025年上海分部利润表'!U105+'2025年赣皖区域利润表'!U105</f>
        <v>0</v>
      </c>
      <c r="V105" s="49">
        <f>'2025年中心利润表 '!V105+'2025年江苏分部利润表'!V105+'2025年浙江分部利润表'!V105+'2025年上海分部利润表'!V105+'2025年赣皖区域利润表'!V105</f>
        <v>0</v>
      </c>
      <c r="W105" s="49">
        <f>'2025年中心利润表 '!W105+'2025年江苏分部利润表'!W105+'2025年浙江分部利润表'!W105+'2025年上海分部利润表'!W105+'2025年赣皖区域利润表'!W105</f>
        <v>0</v>
      </c>
      <c r="X105" s="49">
        <f>'2025年中心利润表 '!X105+'2025年江苏分部利润表'!X105+'2025年浙江分部利润表'!X105+'2025年上海分部利润表'!X105+'2025年赣皖区域利润表'!X105</f>
        <v>0</v>
      </c>
      <c r="Y105" s="49">
        <f>'2025年中心利润表 '!Y105+'2025年江苏分部利润表'!Y105+'2025年浙江分部利润表'!Y105+'2025年上海分部利润表'!Y105+'2025年赣皖区域利润表'!Y105</f>
        <v>0</v>
      </c>
      <c r="Z105" s="49">
        <f>'2025年中心利润表 '!Z105+'2025年江苏分部利润表'!Z105+'2025年浙江分部利润表'!Z105+'2025年上海分部利润表'!Z105+'2025年赣皖区域利润表'!Z105</f>
        <v>0</v>
      </c>
      <c r="AA105" s="51">
        <f t="shared" si="24"/>
        <v>0</v>
      </c>
      <c r="AB105" s="51">
        <f t="shared" si="32"/>
        <v>0</v>
      </c>
      <c r="AC105" s="94"/>
      <c r="AD105" s="31">
        <f t="shared" si="26"/>
        <v>0</v>
      </c>
      <c r="AE105" s="31">
        <f t="shared" si="27"/>
        <v>0</v>
      </c>
      <c r="AF105" s="17">
        <f t="shared" si="28"/>
        <v>0</v>
      </c>
      <c r="AG105" s="17">
        <f t="shared" si="29"/>
        <v>0</v>
      </c>
      <c r="AH105" s="17">
        <f>SUM('[1]2024年全面预算利润表 (销售1中心)2.8亿'!E110:H110)</f>
        <v>0</v>
      </c>
    </row>
    <row r="106" spans="1:53" s="17" customFormat="1" ht="18" hidden="1" customHeight="1" outlineLevel="1" collapsed="1" x14ac:dyDescent="0.25">
      <c r="A106" s="67" t="s">
        <v>110</v>
      </c>
      <c r="B106" s="45"/>
      <c r="C106" s="65">
        <f t="shared" ref="C106:Z106" si="33">SUM(C107:C111)</f>
        <v>0</v>
      </c>
      <c r="D106" s="65">
        <f t="shared" si="33"/>
        <v>0</v>
      </c>
      <c r="E106" s="65">
        <f t="shared" si="33"/>
        <v>0</v>
      </c>
      <c r="F106" s="65">
        <f t="shared" si="33"/>
        <v>0</v>
      </c>
      <c r="G106" s="65">
        <f t="shared" si="33"/>
        <v>0</v>
      </c>
      <c r="H106" s="65">
        <f t="shared" si="33"/>
        <v>0</v>
      </c>
      <c r="I106" s="65">
        <f t="shared" si="33"/>
        <v>0</v>
      </c>
      <c r="J106" s="65">
        <f t="shared" si="33"/>
        <v>0</v>
      </c>
      <c r="K106" s="65">
        <f t="shared" si="33"/>
        <v>0</v>
      </c>
      <c r="L106" s="65">
        <f t="shared" si="33"/>
        <v>0</v>
      </c>
      <c r="M106" s="65">
        <f t="shared" si="33"/>
        <v>0</v>
      </c>
      <c r="N106" s="65">
        <f t="shared" si="33"/>
        <v>0</v>
      </c>
      <c r="O106" s="65">
        <f t="shared" si="33"/>
        <v>0</v>
      </c>
      <c r="P106" s="65">
        <f t="shared" si="33"/>
        <v>0</v>
      </c>
      <c r="Q106" s="65">
        <f t="shared" si="33"/>
        <v>0</v>
      </c>
      <c r="R106" s="65">
        <f t="shared" si="33"/>
        <v>0</v>
      </c>
      <c r="S106" s="65">
        <f t="shared" si="33"/>
        <v>0</v>
      </c>
      <c r="T106" s="65">
        <f t="shared" si="33"/>
        <v>0</v>
      </c>
      <c r="U106" s="65">
        <f t="shared" si="33"/>
        <v>0</v>
      </c>
      <c r="V106" s="65">
        <f t="shared" si="33"/>
        <v>0</v>
      </c>
      <c r="W106" s="65">
        <f t="shared" si="33"/>
        <v>0</v>
      </c>
      <c r="X106" s="65">
        <f t="shared" si="33"/>
        <v>0</v>
      </c>
      <c r="Y106" s="65">
        <f t="shared" si="33"/>
        <v>0</v>
      </c>
      <c r="Z106" s="65">
        <f t="shared" si="33"/>
        <v>0</v>
      </c>
      <c r="AA106" s="51">
        <f t="shared" si="24"/>
        <v>0</v>
      </c>
      <c r="AB106" s="51">
        <f t="shared" si="32"/>
        <v>0</v>
      </c>
      <c r="AC106" s="132"/>
      <c r="AD106" s="31">
        <f t="shared" si="26"/>
        <v>0</v>
      </c>
      <c r="AE106" s="31">
        <f t="shared" si="27"/>
        <v>0</v>
      </c>
      <c r="AF106" s="17">
        <f t="shared" si="28"/>
        <v>0</v>
      </c>
      <c r="AG106" s="17">
        <f t="shared" si="29"/>
        <v>0</v>
      </c>
      <c r="AH106" s="17">
        <f>SUM('[1]2024年全面预算利润表 (销售1中心)2.8亿'!E111:H111)</f>
        <v>0</v>
      </c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</row>
    <row r="107" spans="1:53" s="19" customFormat="1" ht="18" hidden="1" customHeight="1" outlineLevel="2" x14ac:dyDescent="0.25">
      <c r="A107" s="48" t="s">
        <v>111</v>
      </c>
      <c r="B107" s="53"/>
      <c r="C107" s="49">
        <f>'2025年中心利润表 '!C107+'2025年江苏分部利润表'!C107+'2025年浙江分部利润表'!C107+'2025年上海分部利润表'!C107+'2025年赣皖区域利润表'!C107</f>
        <v>0</v>
      </c>
      <c r="D107" s="49">
        <f>'2025年中心利润表 '!D107+'2025年江苏分部利润表'!D107+'2025年浙江分部利润表'!D107+'2025年上海分部利润表'!D107+'2025年赣皖区域利润表'!D107</f>
        <v>0</v>
      </c>
      <c r="E107" s="49">
        <f>'2025年中心利润表 '!E107+'2025年江苏分部利润表'!E107+'2025年浙江分部利润表'!E107+'2025年上海分部利润表'!E107+'2025年赣皖区域利润表'!E107</f>
        <v>0</v>
      </c>
      <c r="F107" s="49">
        <f>'2025年中心利润表 '!F107+'2025年江苏分部利润表'!F107+'2025年浙江分部利润表'!F107+'2025年上海分部利润表'!F107+'2025年赣皖区域利润表'!F107</f>
        <v>0</v>
      </c>
      <c r="G107" s="49">
        <f>'2025年中心利润表 '!G107+'2025年江苏分部利润表'!G107+'2025年浙江分部利润表'!G107+'2025年上海分部利润表'!G107+'2025年赣皖区域利润表'!G107</f>
        <v>0</v>
      </c>
      <c r="H107" s="49">
        <f>'2025年中心利润表 '!H107+'2025年江苏分部利润表'!H107+'2025年浙江分部利润表'!H107+'2025年上海分部利润表'!H107+'2025年赣皖区域利润表'!H107</f>
        <v>0</v>
      </c>
      <c r="I107" s="49">
        <f>'2025年中心利润表 '!I107+'2025年江苏分部利润表'!I107+'2025年浙江分部利润表'!I107+'2025年上海分部利润表'!I107+'2025年赣皖区域利润表'!I107</f>
        <v>0</v>
      </c>
      <c r="J107" s="49">
        <f>'2025年中心利润表 '!J107+'2025年江苏分部利润表'!J107+'2025年浙江分部利润表'!J107+'2025年上海分部利润表'!J107+'2025年赣皖区域利润表'!J107</f>
        <v>0</v>
      </c>
      <c r="K107" s="49">
        <f>'2025年中心利润表 '!K107+'2025年江苏分部利润表'!K107+'2025年浙江分部利润表'!K107+'2025年上海分部利润表'!K107+'2025年赣皖区域利润表'!K107</f>
        <v>0</v>
      </c>
      <c r="L107" s="49">
        <f>'2025年中心利润表 '!L107+'2025年江苏分部利润表'!L107+'2025年浙江分部利润表'!L107+'2025年上海分部利润表'!L107+'2025年赣皖区域利润表'!L107</f>
        <v>0</v>
      </c>
      <c r="M107" s="49">
        <f>'2025年中心利润表 '!M107+'2025年江苏分部利润表'!M107+'2025年浙江分部利润表'!M107+'2025年上海分部利润表'!M107+'2025年赣皖区域利润表'!M107</f>
        <v>0</v>
      </c>
      <c r="N107" s="49">
        <f>'2025年中心利润表 '!N107+'2025年江苏分部利润表'!N107+'2025年浙江分部利润表'!N107+'2025年上海分部利润表'!N107+'2025年赣皖区域利润表'!N107</f>
        <v>0</v>
      </c>
      <c r="O107" s="49">
        <f>'2025年中心利润表 '!O107+'2025年江苏分部利润表'!O107+'2025年浙江分部利润表'!O107+'2025年上海分部利润表'!O107+'2025年赣皖区域利润表'!O107</f>
        <v>0</v>
      </c>
      <c r="P107" s="49">
        <f>'2025年中心利润表 '!P107+'2025年江苏分部利润表'!P107+'2025年浙江分部利润表'!P107+'2025年上海分部利润表'!P107+'2025年赣皖区域利润表'!P107</f>
        <v>0</v>
      </c>
      <c r="Q107" s="49">
        <f>'2025年中心利润表 '!Q107+'2025年江苏分部利润表'!Q107+'2025年浙江分部利润表'!Q107+'2025年上海分部利润表'!Q107+'2025年赣皖区域利润表'!Q107</f>
        <v>0</v>
      </c>
      <c r="R107" s="49">
        <f>'2025年中心利润表 '!R107+'2025年江苏分部利润表'!R107+'2025年浙江分部利润表'!R107+'2025年上海分部利润表'!R107+'2025年赣皖区域利润表'!R107</f>
        <v>0</v>
      </c>
      <c r="S107" s="49">
        <f>'2025年中心利润表 '!S107+'2025年江苏分部利润表'!S107+'2025年浙江分部利润表'!S107+'2025年上海分部利润表'!S107+'2025年赣皖区域利润表'!S107</f>
        <v>0</v>
      </c>
      <c r="T107" s="49">
        <f>'2025年中心利润表 '!T107+'2025年江苏分部利润表'!T107+'2025年浙江分部利润表'!T107+'2025年上海分部利润表'!T107+'2025年赣皖区域利润表'!T107</f>
        <v>0</v>
      </c>
      <c r="U107" s="49">
        <f>'2025年中心利润表 '!U107+'2025年江苏分部利润表'!U107+'2025年浙江分部利润表'!U107+'2025年上海分部利润表'!U107+'2025年赣皖区域利润表'!U107</f>
        <v>0</v>
      </c>
      <c r="V107" s="49">
        <f>'2025年中心利润表 '!V107+'2025年江苏分部利润表'!V107+'2025年浙江分部利润表'!V107+'2025年上海分部利润表'!V107+'2025年赣皖区域利润表'!V107</f>
        <v>0</v>
      </c>
      <c r="W107" s="49">
        <f>'2025年中心利润表 '!W107+'2025年江苏分部利润表'!W107+'2025年浙江分部利润表'!W107+'2025年上海分部利润表'!W107+'2025年赣皖区域利润表'!W107</f>
        <v>0</v>
      </c>
      <c r="X107" s="49">
        <f>'2025年中心利润表 '!X107+'2025年江苏分部利润表'!X107+'2025年浙江分部利润表'!X107+'2025年上海分部利润表'!X107+'2025年赣皖区域利润表'!X107</f>
        <v>0</v>
      </c>
      <c r="Y107" s="49">
        <f>'2025年中心利润表 '!Y107+'2025年江苏分部利润表'!Y107+'2025年浙江分部利润表'!Y107+'2025年上海分部利润表'!Y107+'2025年赣皖区域利润表'!Y107</f>
        <v>0</v>
      </c>
      <c r="Z107" s="49">
        <f>'2025年中心利润表 '!Z107+'2025年江苏分部利润表'!Z107+'2025年浙江分部利润表'!Z107+'2025年上海分部利润表'!Z107+'2025年赣皖区域利润表'!Z107</f>
        <v>0</v>
      </c>
      <c r="AA107" s="51">
        <f t="shared" si="24"/>
        <v>0</v>
      </c>
      <c r="AB107" s="51">
        <f t="shared" si="32"/>
        <v>0</v>
      </c>
      <c r="AC107" s="94"/>
      <c r="AD107" s="31">
        <f t="shared" si="26"/>
        <v>0</v>
      </c>
      <c r="AE107" s="31">
        <f t="shared" si="27"/>
        <v>0</v>
      </c>
      <c r="AF107" s="17">
        <f t="shared" si="28"/>
        <v>0</v>
      </c>
      <c r="AG107" s="17">
        <f t="shared" si="29"/>
        <v>0</v>
      </c>
      <c r="AH107" s="17">
        <f>SUM('[1]2024年全面预算利润表 (销售1中心)2.8亿'!E112:H112)</f>
        <v>0</v>
      </c>
    </row>
    <row r="108" spans="1:53" s="19" customFormat="1" ht="18" hidden="1" customHeight="1" outlineLevel="2" x14ac:dyDescent="0.25">
      <c r="A108" s="48" t="s">
        <v>112</v>
      </c>
      <c r="B108" s="53"/>
      <c r="C108" s="49">
        <f>'2025年中心利润表 '!C108+'2025年江苏分部利润表'!C108+'2025年浙江分部利润表'!C108+'2025年上海分部利润表'!C108+'2025年赣皖区域利润表'!C108</f>
        <v>0</v>
      </c>
      <c r="D108" s="49">
        <f>'2025年中心利润表 '!D108+'2025年江苏分部利润表'!D108+'2025年浙江分部利润表'!D108+'2025年上海分部利润表'!D108+'2025年赣皖区域利润表'!D108</f>
        <v>0</v>
      </c>
      <c r="E108" s="49">
        <f>'2025年中心利润表 '!E108+'2025年江苏分部利润表'!E108+'2025年浙江分部利润表'!E108+'2025年上海分部利润表'!E108+'2025年赣皖区域利润表'!E108</f>
        <v>0</v>
      </c>
      <c r="F108" s="49">
        <f>'2025年中心利润表 '!F108+'2025年江苏分部利润表'!F108+'2025年浙江分部利润表'!F108+'2025年上海分部利润表'!F108+'2025年赣皖区域利润表'!F108</f>
        <v>0</v>
      </c>
      <c r="G108" s="49">
        <f>'2025年中心利润表 '!G108+'2025年江苏分部利润表'!G108+'2025年浙江分部利润表'!G108+'2025年上海分部利润表'!G108+'2025年赣皖区域利润表'!G108</f>
        <v>0</v>
      </c>
      <c r="H108" s="49">
        <f>'2025年中心利润表 '!H108+'2025年江苏分部利润表'!H108+'2025年浙江分部利润表'!H108+'2025年上海分部利润表'!H108+'2025年赣皖区域利润表'!H108</f>
        <v>0</v>
      </c>
      <c r="I108" s="49">
        <f>'2025年中心利润表 '!I108+'2025年江苏分部利润表'!I108+'2025年浙江分部利润表'!I108+'2025年上海分部利润表'!I108+'2025年赣皖区域利润表'!I108</f>
        <v>0</v>
      </c>
      <c r="J108" s="49">
        <f>'2025年中心利润表 '!J108+'2025年江苏分部利润表'!J108+'2025年浙江分部利润表'!J108+'2025年上海分部利润表'!J108+'2025年赣皖区域利润表'!J108</f>
        <v>0</v>
      </c>
      <c r="K108" s="49">
        <f>'2025年中心利润表 '!K108+'2025年江苏分部利润表'!K108+'2025年浙江分部利润表'!K108+'2025年上海分部利润表'!K108+'2025年赣皖区域利润表'!K108</f>
        <v>0</v>
      </c>
      <c r="L108" s="49">
        <f>'2025年中心利润表 '!L108+'2025年江苏分部利润表'!L108+'2025年浙江分部利润表'!L108+'2025年上海分部利润表'!L108+'2025年赣皖区域利润表'!L108</f>
        <v>0</v>
      </c>
      <c r="M108" s="49">
        <f>'2025年中心利润表 '!M108+'2025年江苏分部利润表'!M108+'2025年浙江分部利润表'!M108+'2025年上海分部利润表'!M108+'2025年赣皖区域利润表'!M108</f>
        <v>0</v>
      </c>
      <c r="N108" s="49">
        <f>'2025年中心利润表 '!N108+'2025年江苏分部利润表'!N108+'2025年浙江分部利润表'!N108+'2025年上海分部利润表'!N108+'2025年赣皖区域利润表'!N108</f>
        <v>0</v>
      </c>
      <c r="O108" s="49">
        <f>'2025年中心利润表 '!O108+'2025年江苏分部利润表'!O108+'2025年浙江分部利润表'!O108+'2025年上海分部利润表'!O108+'2025年赣皖区域利润表'!O108</f>
        <v>0</v>
      </c>
      <c r="P108" s="49">
        <f>'2025年中心利润表 '!P108+'2025年江苏分部利润表'!P108+'2025年浙江分部利润表'!P108+'2025年上海分部利润表'!P108+'2025年赣皖区域利润表'!P108</f>
        <v>0</v>
      </c>
      <c r="Q108" s="49">
        <f>'2025年中心利润表 '!Q108+'2025年江苏分部利润表'!Q108+'2025年浙江分部利润表'!Q108+'2025年上海分部利润表'!Q108+'2025年赣皖区域利润表'!Q108</f>
        <v>0</v>
      </c>
      <c r="R108" s="49">
        <f>'2025年中心利润表 '!R108+'2025年江苏分部利润表'!R108+'2025年浙江分部利润表'!R108+'2025年上海分部利润表'!R108+'2025年赣皖区域利润表'!R108</f>
        <v>0</v>
      </c>
      <c r="S108" s="49">
        <f>'2025年中心利润表 '!S108+'2025年江苏分部利润表'!S108+'2025年浙江分部利润表'!S108+'2025年上海分部利润表'!S108+'2025年赣皖区域利润表'!S108</f>
        <v>0</v>
      </c>
      <c r="T108" s="49">
        <f>'2025年中心利润表 '!T108+'2025年江苏分部利润表'!T108+'2025年浙江分部利润表'!T108+'2025年上海分部利润表'!T108+'2025年赣皖区域利润表'!T108</f>
        <v>0</v>
      </c>
      <c r="U108" s="49">
        <f>'2025年中心利润表 '!U108+'2025年江苏分部利润表'!U108+'2025年浙江分部利润表'!U108+'2025年上海分部利润表'!U108+'2025年赣皖区域利润表'!U108</f>
        <v>0</v>
      </c>
      <c r="V108" s="49">
        <f>'2025年中心利润表 '!V108+'2025年江苏分部利润表'!V108+'2025年浙江分部利润表'!V108+'2025年上海分部利润表'!V108+'2025年赣皖区域利润表'!V108</f>
        <v>0</v>
      </c>
      <c r="W108" s="49">
        <f>'2025年中心利润表 '!W108+'2025年江苏分部利润表'!W108+'2025年浙江分部利润表'!W108+'2025年上海分部利润表'!W108+'2025年赣皖区域利润表'!W108</f>
        <v>0</v>
      </c>
      <c r="X108" s="49">
        <f>'2025年中心利润表 '!X108+'2025年江苏分部利润表'!X108+'2025年浙江分部利润表'!X108+'2025年上海分部利润表'!X108+'2025年赣皖区域利润表'!X108</f>
        <v>0</v>
      </c>
      <c r="Y108" s="49">
        <f>'2025年中心利润表 '!Y108+'2025年江苏分部利润表'!Y108+'2025年浙江分部利润表'!Y108+'2025年上海分部利润表'!Y108+'2025年赣皖区域利润表'!Y108</f>
        <v>0</v>
      </c>
      <c r="Z108" s="49">
        <f>'2025年中心利润表 '!Z108+'2025年江苏分部利润表'!Z108+'2025年浙江分部利润表'!Z108+'2025年上海分部利润表'!Z108+'2025年赣皖区域利润表'!Z108</f>
        <v>0</v>
      </c>
      <c r="AA108" s="51">
        <f t="shared" si="24"/>
        <v>0</v>
      </c>
      <c r="AB108" s="51">
        <f t="shared" si="32"/>
        <v>0</v>
      </c>
      <c r="AC108" s="94"/>
      <c r="AD108" s="31">
        <f t="shared" si="26"/>
        <v>0</v>
      </c>
      <c r="AE108" s="31">
        <f t="shared" si="27"/>
        <v>0</v>
      </c>
      <c r="AF108" s="17">
        <f t="shared" si="28"/>
        <v>0</v>
      </c>
      <c r="AG108" s="17">
        <f t="shared" si="29"/>
        <v>0</v>
      </c>
      <c r="AH108" s="17">
        <f>SUM('[1]2024年全面预算利润表 (销售1中心)2.8亿'!E113:H113)</f>
        <v>0</v>
      </c>
    </row>
    <row r="109" spans="1:53" s="19" customFormat="1" ht="18" hidden="1" customHeight="1" outlineLevel="2" x14ac:dyDescent="0.25">
      <c r="A109" s="48" t="s">
        <v>113</v>
      </c>
      <c r="B109" s="53"/>
      <c r="C109" s="49">
        <f>'2025年中心利润表 '!C109+'2025年江苏分部利润表'!C109+'2025年浙江分部利润表'!C109+'2025年上海分部利润表'!C109+'2025年赣皖区域利润表'!C109</f>
        <v>0</v>
      </c>
      <c r="D109" s="49">
        <f>'2025年中心利润表 '!D109+'2025年江苏分部利润表'!D109+'2025年浙江分部利润表'!D109+'2025年上海分部利润表'!D109+'2025年赣皖区域利润表'!D109</f>
        <v>0</v>
      </c>
      <c r="E109" s="49">
        <f>'2025年中心利润表 '!E109+'2025年江苏分部利润表'!E109+'2025年浙江分部利润表'!E109+'2025年上海分部利润表'!E109+'2025年赣皖区域利润表'!E109</f>
        <v>0</v>
      </c>
      <c r="F109" s="49">
        <f>'2025年中心利润表 '!F109+'2025年江苏分部利润表'!F109+'2025年浙江分部利润表'!F109+'2025年上海分部利润表'!F109+'2025年赣皖区域利润表'!F109</f>
        <v>0</v>
      </c>
      <c r="G109" s="49">
        <f>'2025年中心利润表 '!G109+'2025年江苏分部利润表'!G109+'2025年浙江分部利润表'!G109+'2025年上海分部利润表'!G109+'2025年赣皖区域利润表'!G109</f>
        <v>0</v>
      </c>
      <c r="H109" s="49">
        <f>'2025年中心利润表 '!H109+'2025年江苏分部利润表'!H109+'2025年浙江分部利润表'!H109+'2025年上海分部利润表'!H109+'2025年赣皖区域利润表'!H109</f>
        <v>0</v>
      </c>
      <c r="I109" s="49">
        <f>'2025年中心利润表 '!I109+'2025年江苏分部利润表'!I109+'2025年浙江分部利润表'!I109+'2025年上海分部利润表'!I109+'2025年赣皖区域利润表'!I109</f>
        <v>0</v>
      </c>
      <c r="J109" s="49">
        <f>'2025年中心利润表 '!J109+'2025年江苏分部利润表'!J109+'2025年浙江分部利润表'!J109+'2025年上海分部利润表'!J109+'2025年赣皖区域利润表'!J109</f>
        <v>0</v>
      </c>
      <c r="K109" s="49">
        <f>'2025年中心利润表 '!K109+'2025年江苏分部利润表'!K109+'2025年浙江分部利润表'!K109+'2025年上海分部利润表'!K109+'2025年赣皖区域利润表'!K109</f>
        <v>0</v>
      </c>
      <c r="L109" s="49">
        <f>'2025年中心利润表 '!L109+'2025年江苏分部利润表'!L109+'2025年浙江分部利润表'!L109+'2025年上海分部利润表'!L109+'2025年赣皖区域利润表'!L109</f>
        <v>0</v>
      </c>
      <c r="M109" s="49">
        <f>'2025年中心利润表 '!M109+'2025年江苏分部利润表'!M109+'2025年浙江分部利润表'!M109+'2025年上海分部利润表'!M109+'2025年赣皖区域利润表'!M109</f>
        <v>0</v>
      </c>
      <c r="N109" s="49">
        <f>'2025年中心利润表 '!N109+'2025年江苏分部利润表'!N109+'2025年浙江分部利润表'!N109+'2025年上海分部利润表'!N109+'2025年赣皖区域利润表'!N109</f>
        <v>0</v>
      </c>
      <c r="O109" s="49">
        <f>'2025年中心利润表 '!O109+'2025年江苏分部利润表'!O109+'2025年浙江分部利润表'!O109+'2025年上海分部利润表'!O109+'2025年赣皖区域利润表'!O109</f>
        <v>0</v>
      </c>
      <c r="P109" s="49">
        <f>'2025年中心利润表 '!P109+'2025年江苏分部利润表'!P109+'2025年浙江分部利润表'!P109+'2025年上海分部利润表'!P109+'2025年赣皖区域利润表'!P109</f>
        <v>0</v>
      </c>
      <c r="Q109" s="49">
        <f>'2025年中心利润表 '!Q109+'2025年江苏分部利润表'!Q109+'2025年浙江分部利润表'!Q109+'2025年上海分部利润表'!Q109+'2025年赣皖区域利润表'!Q109</f>
        <v>0</v>
      </c>
      <c r="R109" s="49">
        <f>'2025年中心利润表 '!R109+'2025年江苏分部利润表'!R109+'2025年浙江分部利润表'!R109+'2025年上海分部利润表'!R109+'2025年赣皖区域利润表'!R109</f>
        <v>0</v>
      </c>
      <c r="S109" s="49">
        <f>'2025年中心利润表 '!S109+'2025年江苏分部利润表'!S109+'2025年浙江分部利润表'!S109+'2025年上海分部利润表'!S109+'2025年赣皖区域利润表'!S109</f>
        <v>0</v>
      </c>
      <c r="T109" s="49">
        <f>'2025年中心利润表 '!T109+'2025年江苏分部利润表'!T109+'2025年浙江分部利润表'!T109+'2025年上海分部利润表'!T109+'2025年赣皖区域利润表'!T109</f>
        <v>0</v>
      </c>
      <c r="U109" s="49">
        <f>'2025年中心利润表 '!U109+'2025年江苏分部利润表'!U109+'2025年浙江分部利润表'!U109+'2025年上海分部利润表'!U109+'2025年赣皖区域利润表'!U109</f>
        <v>0</v>
      </c>
      <c r="V109" s="49">
        <f>'2025年中心利润表 '!V109+'2025年江苏分部利润表'!V109+'2025年浙江分部利润表'!V109+'2025年上海分部利润表'!V109+'2025年赣皖区域利润表'!V109</f>
        <v>0</v>
      </c>
      <c r="W109" s="49">
        <f>'2025年中心利润表 '!W109+'2025年江苏分部利润表'!W109+'2025年浙江分部利润表'!W109+'2025年上海分部利润表'!W109+'2025年赣皖区域利润表'!W109</f>
        <v>0</v>
      </c>
      <c r="X109" s="49">
        <f>'2025年中心利润表 '!X109+'2025年江苏分部利润表'!X109+'2025年浙江分部利润表'!X109+'2025年上海分部利润表'!X109+'2025年赣皖区域利润表'!X109</f>
        <v>0</v>
      </c>
      <c r="Y109" s="49">
        <f>'2025年中心利润表 '!Y109+'2025年江苏分部利润表'!Y109+'2025年浙江分部利润表'!Y109+'2025年上海分部利润表'!Y109+'2025年赣皖区域利润表'!Y109</f>
        <v>0</v>
      </c>
      <c r="Z109" s="49">
        <f>'2025年中心利润表 '!Z109+'2025年江苏分部利润表'!Z109+'2025年浙江分部利润表'!Z109+'2025年上海分部利润表'!Z109+'2025年赣皖区域利润表'!Z109</f>
        <v>0</v>
      </c>
      <c r="AA109" s="51">
        <f t="shared" si="24"/>
        <v>0</v>
      </c>
      <c r="AB109" s="51">
        <f t="shared" si="32"/>
        <v>0</v>
      </c>
      <c r="AC109" s="94"/>
      <c r="AD109" s="31">
        <f t="shared" si="26"/>
        <v>0</v>
      </c>
      <c r="AE109" s="31">
        <f t="shared" si="27"/>
        <v>0</v>
      </c>
      <c r="AF109" s="17">
        <f t="shared" si="28"/>
        <v>0</v>
      </c>
      <c r="AG109" s="17">
        <f t="shared" si="29"/>
        <v>0</v>
      </c>
      <c r="AH109" s="17">
        <f>SUM('[1]2024年全面预算利润表 (销售1中心)2.8亿'!E114:H114)</f>
        <v>0</v>
      </c>
    </row>
    <row r="110" spans="1:53" s="19" customFormat="1" ht="18" hidden="1" customHeight="1" outlineLevel="2" x14ac:dyDescent="0.25">
      <c r="A110" s="48" t="s">
        <v>114</v>
      </c>
      <c r="B110" s="53"/>
      <c r="C110" s="49">
        <f>'2025年中心利润表 '!C110+'2025年江苏分部利润表'!C110+'2025年浙江分部利润表'!C110+'2025年上海分部利润表'!C110+'2025年赣皖区域利润表'!C110</f>
        <v>0</v>
      </c>
      <c r="D110" s="49">
        <f>'2025年中心利润表 '!D110+'2025年江苏分部利润表'!D110+'2025年浙江分部利润表'!D110+'2025年上海分部利润表'!D110+'2025年赣皖区域利润表'!D110</f>
        <v>0</v>
      </c>
      <c r="E110" s="49">
        <f>'2025年中心利润表 '!E110+'2025年江苏分部利润表'!E110+'2025年浙江分部利润表'!E110+'2025年上海分部利润表'!E110+'2025年赣皖区域利润表'!E110</f>
        <v>0</v>
      </c>
      <c r="F110" s="49">
        <f>'2025年中心利润表 '!F110+'2025年江苏分部利润表'!F110+'2025年浙江分部利润表'!F110+'2025年上海分部利润表'!F110+'2025年赣皖区域利润表'!F110</f>
        <v>0</v>
      </c>
      <c r="G110" s="49">
        <f>'2025年中心利润表 '!G110+'2025年江苏分部利润表'!G110+'2025年浙江分部利润表'!G110+'2025年上海分部利润表'!G110+'2025年赣皖区域利润表'!G110</f>
        <v>0</v>
      </c>
      <c r="H110" s="49">
        <f>'2025年中心利润表 '!H110+'2025年江苏分部利润表'!H110+'2025年浙江分部利润表'!H110+'2025年上海分部利润表'!H110+'2025年赣皖区域利润表'!H110</f>
        <v>0</v>
      </c>
      <c r="I110" s="49">
        <f>'2025年中心利润表 '!I110+'2025年江苏分部利润表'!I110+'2025年浙江分部利润表'!I110+'2025年上海分部利润表'!I110+'2025年赣皖区域利润表'!I110</f>
        <v>0</v>
      </c>
      <c r="J110" s="49">
        <f>'2025年中心利润表 '!J110+'2025年江苏分部利润表'!J110+'2025年浙江分部利润表'!J110+'2025年上海分部利润表'!J110+'2025年赣皖区域利润表'!J110</f>
        <v>0</v>
      </c>
      <c r="K110" s="49">
        <f>'2025年中心利润表 '!K110+'2025年江苏分部利润表'!K110+'2025年浙江分部利润表'!K110+'2025年上海分部利润表'!K110+'2025年赣皖区域利润表'!K110</f>
        <v>0</v>
      </c>
      <c r="L110" s="49">
        <f>'2025年中心利润表 '!L110+'2025年江苏分部利润表'!L110+'2025年浙江分部利润表'!L110+'2025年上海分部利润表'!L110+'2025年赣皖区域利润表'!L110</f>
        <v>0</v>
      </c>
      <c r="M110" s="49">
        <f>'2025年中心利润表 '!M110+'2025年江苏分部利润表'!M110+'2025年浙江分部利润表'!M110+'2025年上海分部利润表'!M110+'2025年赣皖区域利润表'!M110</f>
        <v>0</v>
      </c>
      <c r="N110" s="49">
        <f>'2025年中心利润表 '!N110+'2025年江苏分部利润表'!N110+'2025年浙江分部利润表'!N110+'2025年上海分部利润表'!N110+'2025年赣皖区域利润表'!N110</f>
        <v>0</v>
      </c>
      <c r="O110" s="49">
        <f>'2025年中心利润表 '!O110+'2025年江苏分部利润表'!O110+'2025年浙江分部利润表'!O110+'2025年上海分部利润表'!O110+'2025年赣皖区域利润表'!O110</f>
        <v>0</v>
      </c>
      <c r="P110" s="49">
        <f>'2025年中心利润表 '!P110+'2025年江苏分部利润表'!P110+'2025年浙江分部利润表'!P110+'2025年上海分部利润表'!P110+'2025年赣皖区域利润表'!P110</f>
        <v>0</v>
      </c>
      <c r="Q110" s="49">
        <f>'2025年中心利润表 '!Q110+'2025年江苏分部利润表'!Q110+'2025年浙江分部利润表'!Q110+'2025年上海分部利润表'!Q110+'2025年赣皖区域利润表'!Q110</f>
        <v>0</v>
      </c>
      <c r="R110" s="49">
        <f>'2025年中心利润表 '!R110+'2025年江苏分部利润表'!R110+'2025年浙江分部利润表'!R110+'2025年上海分部利润表'!R110+'2025年赣皖区域利润表'!R110</f>
        <v>0</v>
      </c>
      <c r="S110" s="49">
        <f>'2025年中心利润表 '!S110+'2025年江苏分部利润表'!S110+'2025年浙江分部利润表'!S110+'2025年上海分部利润表'!S110+'2025年赣皖区域利润表'!S110</f>
        <v>0</v>
      </c>
      <c r="T110" s="49">
        <f>'2025年中心利润表 '!T110+'2025年江苏分部利润表'!T110+'2025年浙江分部利润表'!T110+'2025年上海分部利润表'!T110+'2025年赣皖区域利润表'!T110</f>
        <v>0</v>
      </c>
      <c r="U110" s="49">
        <f>'2025年中心利润表 '!U110+'2025年江苏分部利润表'!U110+'2025年浙江分部利润表'!U110+'2025年上海分部利润表'!U110+'2025年赣皖区域利润表'!U110</f>
        <v>0</v>
      </c>
      <c r="V110" s="49">
        <f>'2025年中心利润表 '!V110+'2025年江苏分部利润表'!V110+'2025年浙江分部利润表'!V110+'2025年上海分部利润表'!V110+'2025年赣皖区域利润表'!V110</f>
        <v>0</v>
      </c>
      <c r="W110" s="49">
        <f>'2025年中心利润表 '!W110+'2025年江苏分部利润表'!W110+'2025年浙江分部利润表'!W110+'2025年上海分部利润表'!W110+'2025年赣皖区域利润表'!W110</f>
        <v>0</v>
      </c>
      <c r="X110" s="49">
        <f>'2025年中心利润表 '!X110+'2025年江苏分部利润表'!X110+'2025年浙江分部利润表'!X110+'2025年上海分部利润表'!X110+'2025年赣皖区域利润表'!X110</f>
        <v>0</v>
      </c>
      <c r="Y110" s="49">
        <f>'2025年中心利润表 '!Y110+'2025年江苏分部利润表'!Y110+'2025年浙江分部利润表'!Y110+'2025年上海分部利润表'!Y110+'2025年赣皖区域利润表'!Y110</f>
        <v>0</v>
      </c>
      <c r="Z110" s="49">
        <f>'2025年中心利润表 '!Z110+'2025年江苏分部利润表'!Z110+'2025年浙江分部利润表'!Z110+'2025年上海分部利润表'!Z110+'2025年赣皖区域利润表'!Z110</f>
        <v>0</v>
      </c>
      <c r="AA110" s="51">
        <f t="shared" si="24"/>
        <v>0</v>
      </c>
      <c r="AB110" s="51">
        <f t="shared" si="32"/>
        <v>0</v>
      </c>
      <c r="AC110" s="94"/>
      <c r="AD110" s="31">
        <f t="shared" si="26"/>
        <v>0</v>
      </c>
      <c r="AE110" s="31">
        <f t="shared" si="27"/>
        <v>0</v>
      </c>
      <c r="AF110" s="17">
        <f t="shared" si="28"/>
        <v>0</v>
      </c>
      <c r="AG110" s="17">
        <f t="shared" si="29"/>
        <v>0</v>
      </c>
      <c r="AH110" s="17">
        <f>SUM('[1]2024年全面预算利润表 (销售1中心)2.8亿'!E115:H115)</f>
        <v>0</v>
      </c>
    </row>
    <row r="111" spans="1:53" s="19" customFormat="1" ht="18" hidden="1" customHeight="1" outlineLevel="2" x14ac:dyDescent="0.25">
      <c r="A111" s="48" t="s">
        <v>115</v>
      </c>
      <c r="B111" s="53"/>
      <c r="C111" s="49">
        <f>'2025年中心利润表 '!C111+'2025年江苏分部利润表'!C111+'2025年浙江分部利润表'!C111+'2025年上海分部利润表'!C111+'2025年赣皖区域利润表'!C111</f>
        <v>0</v>
      </c>
      <c r="D111" s="49">
        <f>'2025年中心利润表 '!D111+'2025年江苏分部利润表'!D111+'2025年浙江分部利润表'!D111+'2025年上海分部利润表'!D111+'2025年赣皖区域利润表'!D111</f>
        <v>0</v>
      </c>
      <c r="E111" s="49">
        <f>'2025年中心利润表 '!E111+'2025年江苏分部利润表'!E111+'2025年浙江分部利润表'!E111+'2025年上海分部利润表'!E111+'2025年赣皖区域利润表'!E111</f>
        <v>0</v>
      </c>
      <c r="F111" s="49">
        <f>'2025年中心利润表 '!F111+'2025年江苏分部利润表'!F111+'2025年浙江分部利润表'!F111+'2025年上海分部利润表'!F111+'2025年赣皖区域利润表'!F111</f>
        <v>0</v>
      </c>
      <c r="G111" s="49">
        <f>'2025年中心利润表 '!G111+'2025年江苏分部利润表'!G111+'2025年浙江分部利润表'!G111+'2025年上海分部利润表'!G111+'2025年赣皖区域利润表'!G111</f>
        <v>0</v>
      </c>
      <c r="H111" s="49">
        <f>'2025年中心利润表 '!H111+'2025年江苏分部利润表'!H111+'2025年浙江分部利润表'!H111+'2025年上海分部利润表'!H111+'2025年赣皖区域利润表'!H111</f>
        <v>0</v>
      </c>
      <c r="I111" s="49">
        <f>'2025年中心利润表 '!I111+'2025年江苏分部利润表'!I111+'2025年浙江分部利润表'!I111+'2025年上海分部利润表'!I111+'2025年赣皖区域利润表'!I111</f>
        <v>0</v>
      </c>
      <c r="J111" s="49">
        <f>'2025年中心利润表 '!J111+'2025年江苏分部利润表'!J111+'2025年浙江分部利润表'!J111+'2025年上海分部利润表'!J111+'2025年赣皖区域利润表'!J111</f>
        <v>0</v>
      </c>
      <c r="K111" s="49">
        <f>'2025年中心利润表 '!K111+'2025年江苏分部利润表'!K111+'2025年浙江分部利润表'!K111+'2025年上海分部利润表'!K111+'2025年赣皖区域利润表'!K111</f>
        <v>0</v>
      </c>
      <c r="L111" s="49">
        <f>'2025年中心利润表 '!L111+'2025年江苏分部利润表'!L111+'2025年浙江分部利润表'!L111+'2025年上海分部利润表'!L111+'2025年赣皖区域利润表'!L111</f>
        <v>0</v>
      </c>
      <c r="M111" s="49">
        <f>'2025年中心利润表 '!M111+'2025年江苏分部利润表'!M111+'2025年浙江分部利润表'!M111+'2025年上海分部利润表'!M111+'2025年赣皖区域利润表'!M111</f>
        <v>0</v>
      </c>
      <c r="N111" s="49">
        <f>'2025年中心利润表 '!N111+'2025年江苏分部利润表'!N111+'2025年浙江分部利润表'!N111+'2025年上海分部利润表'!N111+'2025年赣皖区域利润表'!N111</f>
        <v>0</v>
      </c>
      <c r="O111" s="49">
        <f>'2025年中心利润表 '!O111+'2025年江苏分部利润表'!O111+'2025年浙江分部利润表'!O111+'2025年上海分部利润表'!O111+'2025年赣皖区域利润表'!O111</f>
        <v>0</v>
      </c>
      <c r="P111" s="49">
        <f>'2025年中心利润表 '!P111+'2025年江苏分部利润表'!P111+'2025年浙江分部利润表'!P111+'2025年上海分部利润表'!P111+'2025年赣皖区域利润表'!P111</f>
        <v>0</v>
      </c>
      <c r="Q111" s="49">
        <f>'2025年中心利润表 '!Q111+'2025年江苏分部利润表'!Q111+'2025年浙江分部利润表'!Q111+'2025年上海分部利润表'!Q111+'2025年赣皖区域利润表'!Q111</f>
        <v>0</v>
      </c>
      <c r="R111" s="49">
        <f>'2025年中心利润表 '!R111+'2025年江苏分部利润表'!R111+'2025年浙江分部利润表'!R111+'2025年上海分部利润表'!R111+'2025年赣皖区域利润表'!R111</f>
        <v>0</v>
      </c>
      <c r="S111" s="49">
        <f>'2025年中心利润表 '!S111+'2025年江苏分部利润表'!S111+'2025年浙江分部利润表'!S111+'2025年上海分部利润表'!S111+'2025年赣皖区域利润表'!S111</f>
        <v>0</v>
      </c>
      <c r="T111" s="49">
        <f>'2025年中心利润表 '!T111+'2025年江苏分部利润表'!T111+'2025年浙江分部利润表'!T111+'2025年上海分部利润表'!T111+'2025年赣皖区域利润表'!T111</f>
        <v>0</v>
      </c>
      <c r="U111" s="49">
        <f>'2025年中心利润表 '!U111+'2025年江苏分部利润表'!U111+'2025年浙江分部利润表'!U111+'2025年上海分部利润表'!U111+'2025年赣皖区域利润表'!U111</f>
        <v>0</v>
      </c>
      <c r="V111" s="49">
        <f>'2025年中心利润表 '!V111+'2025年江苏分部利润表'!V111+'2025年浙江分部利润表'!V111+'2025年上海分部利润表'!V111+'2025年赣皖区域利润表'!V111</f>
        <v>0</v>
      </c>
      <c r="W111" s="49">
        <f>'2025年中心利润表 '!W111+'2025年江苏分部利润表'!W111+'2025年浙江分部利润表'!W111+'2025年上海分部利润表'!W111+'2025年赣皖区域利润表'!W111</f>
        <v>0</v>
      </c>
      <c r="X111" s="49">
        <f>'2025年中心利润表 '!X111+'2025年江苏分部利润表'!X111+'2025年浙江分部利润表'!X111+'2025年上海分部利润表'!X111+'2025年赣皖区域利润表'!X111</f>
        <v>0</v>
      </c>
      <c r="Y111" s="49">
        <f>'2025年中心利润表 '!Y111+'2025年江苏分部利润表'!Y111+'2025年浙江分部利润表'!Y111+'2025年上海分部利润表'!Y111+'2025年赣皖区域利润表'!Y111</f>
        <v>0</v>
      </c>
      <c r="Z111" s="49">
        <f>'2025年中心利润表 '!Z111+'2025年江苏分部利润表'!Z111+'2025年浙江分部利润表'!Z111+'2025年上海分部利润表'!Z111+'2025年赣皖区域利润表'!Z111</f>
        <v>0</v>
      </c>
      <c r="AA111" s="51">
        <f t="shared" si="24"/>
        <v>0</v>
      </c>
      <c r="AB111" s="51">
        <f t="shared" si="32"/>
        <v>0</v>
      </c>
      <c r="AC111" s="94"/>
      <c r="AD111" s="31">
        <f t="shared" si="26"/>
        <v>0</v>
      </c>
      <c r="AE111" s="31">
        <f t="shared" si="27"/>
        <v>0</v>
      </c>
      <c r="AF111" s="17">
        <f t="shared" si="28"/>
        <v>0</v>
      </c>
      <c r="AG111" s="17">
        <f t="shared" si="29"/>
        <v>0</v>
      </c>
      <c r="AH111" s="17">
        <f>SUM('[1]2024年全面预算利润表 (销售1中心)2.8亿'!E116:H116)</f>
        <v>0</v>
      </c>
    </row>
    <row r="112" spans="1:53" s="19" customFormat="1" ht="18" hidden="1" customHeight="1" outlineLevel="1" collapsed="1" x14ac:dyDescent="0.25">
      <c r="A112" s="48" t="s">
        <v>116</v>
      </c>
      <c r="B112" s="53"/>
      <c r="C112" s="49">
        <f>'2025年中心利润表 '!C112+'2025年江苏分部利润表'!C112+'2025年浙江分部利润表'!C112+'2025年上海分部利润表'!C112+'2025年赣皖区域利润表'!C112</f>
        <v>0</v>
      </c>
      <c r="D112" s="49">
        <f>'2025年中心利润表 '!D112+'2025年江苏分部利润表'!D112+'2025年浙江分部利润表'!D112+'2025年上海分部利润表'!D112+'2025年赣皖区域利润表'!D112</f>
        <v>0</v>
      </c>
      <c r="E112" s="49">
        <f>'2025年中心利润表 '!E112+'2025年江苏分部利润表'!E112+'2025年浙江分部利润表'!E112+'2025年上海分部利润表'!E112+'2025年赣皖区域利润表'!E112</f>
        <v>0</v>
      </c>
      <c r="F112" s="49">
        <f>'2025年中心利润表 '!F112+'2025年江苏分部利润表'!F112+'2025年浙江分部利润表'!F112+'2025年上海分部利润表'!F112+'2025年赣皖区域利润表'!F112</f>
        <v>0</v>
      </c>
      <c r="G112" s="49">
        <f>'2025年中心利润表 '!G112+'2025年江苏分部利润表'!G112+'2025年浙江分部利润表'!G112+'2025年上海分部利润表'!G112+'2025年赣皖区域利润表'!G112</f>
        <v>0</v>
      </c>
      <c r="H112" s="49">
        <f>'2025年中心利润表 '!H112+'2025年江苏分部利润表'!H112+'2025年浙江分部利润表'!H112+'2025年上海分部利润表'!H112+'2025年赣皖区域利润表'!H112</f>
        <v>0</v>
      </c>
      <c r="I112" s="49">
        <f>'2025年中心利润表 '!I112+'2025年江苏分部利润表'!I112+'2025年浙江分部利润表'!I112+'2025年上海分部利润表'!I112+'2025年赣皖区域利润表'!I112</f>
        <v>0</v>
      </c>
      <c r="J112" s="49">
        <f>'2025年中心利润表 '!J112+'2025年江苏分部利润表'!J112+'2025年浙江分部利润表'!J112+'2025年上海分部利润表'!J112+'2025年赣皖区域利润表'!J112</f>
        <v>0</v>
      </c>
      <c r="K112" s="49">
        <f>'2025年中心利润表 '!K112+'2025年江苏分部利润表'!K112+'2025年浙江分部利润表'!K112+'2025年上海分部利润表'!K112+'2025年赣皖区域利润表'!K112</f>
        <v>0</v>
      </c>
      <c r="L112" s="49">
        <f>'2025年中心利润表 '!L112+'2025年江苏分部利润表'!L112+'2025年浙江分部利润表'!L112+'2025年上海分部利润表'!L112+'2025年赣皖区域利润表'!L112</f>
        <v>0</v>
      </c>
      <c r="M112" s="49">
        <f>'2025年中心利润表 '!M112+'2025年江苏分部利润表'!M112+'2025年浙江分部利润表'!M112+'2025年上海分部利润表'!M112+'2025年赣皖区域利润表'!M112</f>
        <v>0</v>
      </c>
      <c r="N112" s="49">
        <f>'2025年中心利润表 '!N112+'2025年江苏分部利润表'!N112+'2025年浙江分部利润表'!N112+'2025年上海分部利润表'!N112+'2025年赣皖区域利润表'!N112</f>
        <v>0</v>
      </c>
      <c r="O112" s="49">
        <f>'2025年中心利润表 '!O112+'2025年江苏分部利润表'!O112+'2025年浙江分部利润表'!O112+'2025年上海分部利润表'!O112+'2025年赣皖区域利润表'!O112</f>
        <v>0</v>
      </c>
      <c r="P112" s="49">
        <f>'2025年中心利润表 '!P112+'2025年江苏分部利润表'!P112+'2025年浙江分部利润表'!P112+'2025年上海分部利润表'!P112+'2025年赣皖区域利润表'!P112</f>
        <v>0</v>
      </c>
      <c r="Q112" s="49">
        <f>'2025年中心利润表 '!Q112+'2025年江苏分部利润表'!Q112+'2025年浙江分部利润表'!Q112+'2025年上海分部利润表'!Q112+'2025年赣皖区域利润表'!Q112</f>
        <v>0</v>
      </c>
      <c r="R112" s="49">
        <f>'2025年中心利润表 '!R112+'2025年江苏分部利润表'!R112+'2025年浙江分部利润表'!R112+'2025年上海分部利润表'!R112+'2025年赣皖区域利润表'!R112</f>
        <v>0</v>
      </c>
      <c r="S112" s="49">
        <f>'2025年中心利润表 '!S112+'2025年江苏分部利润表'!S112+'2025年浙江分部利润表'!S112+'2025年上海分部利润表'!S112+'2025年赣皖区域利润表'!S112</f>
        <v>0</v>
      </c>
      <c r="T112" s="49">
        <f>'2025年中心利润表 '!T112+'2025年江苏分部利润表'!T112+'2025年浙江分部利润表'!T112+'2025年上海分部利润表'!T112+'2025年赣皖区域利润表'!T112</f>
        <v>0</v>
      </c>
      <c r="U112" s="49">
        <f>'2025年中心利润表 '!U112+'2025年江苏分部利润表'!U112+'2025年浙江分部利润表'!U112+'2025年上海分部利润表'!U112+'2025年赣皖区域利润表'!U112</f>
        <v>0</v>
      </c>
      <c r="V112" s="49">
        <f>'2025年中心利润表 '!V112+'2025年江苏分部利润表'!V112+'2025年浙江分部利润表'!V112+'2025年上海分部利润表'!V112+'2025年赣皖区域利润表'!V112</f>
        <v>0</v>
      </c>
      <c r="W112" s="49">
        <f>'2025年中心利润表 '!W112+'2025年江苏分部利润表'!W112+'2025年浙江分部利润表'!W112+'2025年上海分部利润表'!W112+'2025年赣皖区域利润表'!W112</f>
        <v>0</v>
      </c>
      <c r="X112" s="49">
        <f>'2025年中心利润表 '!X112+'2025年江苏分部利润表'!X112+'2025年浙江分部利润表'!X112+'2025年上海分部利润表'!X112+'2025年赣皖区域利润表'!X112</f>
        <v>0</v>
      </c>
      <c r="Y112" s="49">
        <f>'2025年中心利润表 '!Y112+'2025年江苏分部利润表'!Y112+'2025年浙江分部利润表'!Y112+'2025年上海分部利润表'!Y112+'2025年赣皖区域利润表'!Y112</f>
        <v>0</v>
      </c>
      <c r="Z112" s="49">
        <f>'2025年中心利润表 '!Z112+'2025年江苏分部利润表'!Z112+'2025年浙江分部利润表'!Z112+'2025年上海分部利润表'!Z112+'2025年赣皖区域利润表'!Z112</f>
        <v>0</v>
      </c>
      <c r="AA112" s="51">
        <f t="shared" si="24"/>
        <v>0</v>
      </c>
      <c r="AB112" s="51">
        <f t="shared" si="32"/>
        <v>0</v>
      </c>
      <c r="AC112" s="94"/>
      <c r="AD112" s="31">
        <f t="shared" si="26"/>
        <v>0</v>
      </c>
      <c r="AE112" s="31">
        <f t="shared" si="27"/>
        <v>0</v>
      </c>
      <c r="AF112" s="17">
        <f t="shared" si="28"/>
        <v>0</v>
      </c>
      <c r="AG112" s="17">
        <f t="shared" si="29"/>
        <v>0</v>
      </c>
      <c r="AH112" s="17">
        <f>SUM('[1]2024年全面预算利润表 (销售1中心)2.8亿'!E117:H117)</f>
        <v>0</v>
      </c>
    </row>
    <row r="113" spans="1:53" s="19" customFormat="1" ht="18" hidden="1" customHeight="1" outlineLevel="1" x14ac:dyDescent="0.25">
      <c r="A113" s="48" t="s">
        <v>117</v>
      </c>
      <c r="B113" s="53"/>
      <c r="C113" s="49">
        <f>'2025年中心利润表 '!C113+'2025年江苏分部利润表'!C113+'2025年浙江分部利润表'!C113+'2025年上海分部利润表'!C113+'2025年赣皖区域利润表'!C113</f>
        <v>0</v>
      </c>
      <c r="D113" s="49">
        <f>'2025年中心利润表 '!D113+'2025年江苏分部利润表'!D113+'2025年浙江分部利润表'!D113+'2025年上海分部利润表'!D113+'2025年赣皖区域利润表'!D113</f>
        <v>0</v>
      </c>
      <c r="E113" s="49">
        <f>'2025年中心利润表 '!E113+'2025年江苏分部利润表'!E113+'2025年浙江分部利润表'!E113+'2025年上海分部利润表'!E113+'2025年赣皖区域利润表'!E113</f>
        <v>0</v>
      </c>
      <c r="F113" s="49">
        <f>'2025年中心利润表 '!F113+'2025年江苏分部利润表'!F113+'2025年浙江分部利润表'!F113+'2025年上海分部利润表'!F113+'2025年赣皖区域利润表'!F113</f>
        <v>0</v>
      </c>
      <c r="G113" s="49">
        <f>'2025年中心利润表 '!G113+'2025年江苏分部利润表'!G113+'2025年浙江分部利润表'!G113+'2025年上海分部利润表'!G113+'2025年赣皖区域利润表'!G113</f>
        <v>0</v>
      </c>
      <c r="H113" s="49">
        <f>'2025年中心利润表 '!H113+'2025年江苏分部利润表'!H113+'2025年浙江分部利润表'!H113+'2025年上海分部利润表'!H113+'2025年赣皖区域利润表'!H113</f>
        <v>0</v>
      </c>
      <c r="I113" s="49">
        <f>'2025年中心利润表 '!I113+'2025年江苏分部利润表'!I113+'2025年浙江分部利润表'!I113+'2025年上海分部利润表'!I113+'2025年赣皖区域利润表'!I113</f>
        <v>0</v>
      </c>
      <c r="J113" s="49">
        <f>'2025年中心利润表 '!J113+'2025年江苏分部利润表'!J113+'2025年浙江分部利润表'!J113+'2025年上海分部利润表'!J113+'2025年赣皖区域利润表'!J113</f>
        <v>0</v>
      </c>
      <c r="K113" s="49">
        <f>'2025年中心利润表 '!K113+'2025年江苏分部利润表'!K113+'2025年浙江分部利润表'!K113+'2025年上海分部利润表'!K113+'2025年赣皖区域利润表'!K113</f>
        <v>0</v>
      </c>
      <c r="L113" s="49">
        <f>'2025年中心利润表 '!L113+'2025年江苏分部利润表'!L113+'2025年浙江分部利润表'!L113+'2025年上海分部利润表'!L113+'2025年赣皖区域利润表'!L113</f>
        <v>0</v>
      </c>
      <c r="M113" s="49">
        <f>'2025年中心利润表 '!M113+'2025年江苏分部利润表'!M113+'2025年浙江分部利润表'!M113+'2025年上海分部利润表'!M113+'2025年赣皖区域利润表'!M113</f>
        <v>0</v>
      </c>
      <c r="N113" s="49">
        <f>'2025年中心利润表 '!N113+'2025年江苏分部利润表'!N113+'2025年浙江分部利润表'!N113+'2025年上海分部利润表'!N113+'2025年赣皖区域利润表'!N113</f>
        <v>0</v>
      </c>
      <c r="O113" s="49">
        <f>'2025年中心利润表 '!O113+'2025年江苏分部利润表'!O113+'2025年浙江分部利润表'!O113+'2025年上海分部利润表'!O113+'2025年赣皖区域利润表'!O113</f>
        <v>0</v>
      </c>
      <c r="P113" s="49">
        <f>'2025年中心利润表 '!P113+'2025年江苏分部利润表'!P113+'2025年浙江分部利润表'!P113+'2025年上海分部利润表'!P113+'2025年赣皖区域利润表'!P113</f>
        <v>0</v>
      </c>
      <c r="Q113" s="49">
        <f>'2025年中心利润表 '!Q113+'2025年江苏分部利润表'!Q113+'2025年浙江分部利润表'!Q113+'2025年上海分部利润表'!Q113+'2025年赣皖区域利润表'!Q113</f>
        <v>0</v>
      </c>
      <c r="R113" s="49">
        <f>'2025年中心利润表 '!R113+'2025年江苏分部利润表'!R113+'2025年浙江分部利润表'!R113+'2025年上海分部利润表'!R113+'2025年赣皖区域利润表'!R113</f>
        <v>0</v>
      </c>
      <c r="S113" s="49">
        <f>'2025年中心利润表 '!S113+'2025年江苏分部利润表'!S113+'2025年浙江分部利润表'!S113+'2025年上海分部利润表'!S113+'2025年赣皖区域利润表'!S113</f>
        <v>0</v>
      </c>
      <c r="T113" s="49">
        <f>'2025年中心利润表 '!T113+'2025年江苏分部利润表'!T113+'2025年浙江分部利润表'!T113+'2025年上海分部利润表'!T113+'2025年赣皖区域利润表'!T113</f>
        <v>0</v>
      </c>
      <c r="U113" s="49">
        <f>'2025年中心利润表 '!U113+'2025年江苏分部利润表'!U113+'2025年浙江分部利润表'!U113+'2025年上海分部利润表'!U113+'2025年赣皖区域利润表'!U113</f>
        <v>0</v>
      </c>
      <c r="V113" s="49">
        <f>'2025年中心利润表 '!V113+'2025年江苏分部利润表'!V113+'2025年浙江分部利润表'!V113+'2025年上海分部利润表'!V113+'2025年赣皖区域利润表'!V113</f>
        <v>0</v>
      </c>
      <c r="W113" s="49">
        <f>'2025年中心利润表 '!W113+'2025年江苏分部利润表'!W113+'2025年浙江分部利润表'!W113+'2025年上海分部利润表'!W113+'2025年赣皖区域利润表'!W113</f>
        <v>0</v>
      </c>
      <c r="X113" s="49">
        <f>'2025年中心利润表 '!X113+'2025年江苏分部利润表'!X113+'2025年浙江分部利润表'!X113+'2025年上海分部利润表'!X113+'2025年赣皖区域利润表'!X113</f>
        <v>0</v>
      </c>
      <c r="Y113" s="49">
        <f>'2025年中心利润表 '!Y113+'2025年江苏分部利润表'!Y113+'2025年浙江分部利润表'!Y113+'2025年上海分部利润表'!Y113+'2025年赣皖区域利润表'!Y113</f>
        <v>0</v>
      </c>
      <c r="Z113" s="49">
        <f>'2025年中心利润表 '!Z113+'2025年江苏分部利润表'!Z113+'2025年浙江分部利润表'!Z113+'2025年上海分部利润表'!Z113+'2025年赣皖区域利润表'!Z113</f>
        <v>0</v>
      </c>
      <c r="AA113" s="51">
        <f t="shared" si="24"/>
        <v>0</v>
      </c>
      <c r="AB113" s="51">
        <f t="shared" si="32"/>
        <v>0</v>
      </c>
      <c r="AC113" s="94"/>
      <c r="AD113" s="31">
        <f t="shared" si="26"/>
        <v>0</v>
      </c>
      <c r="AE113" s="31">
        <f t="shared" si="27"/>
        <v>0</v>
      </c>
      <c r="AF113" s="17">
        <f t="shared" si="28"/>
        <v>0</v>
      </c>
      <c r="AG113" s="17">
        <f t="shared" si="29"/>
        <v>0</v>
      </c>
      <c r="AH113" s="17">
        <f>SUM('[1]2024年全面预算利润表 (销售1中心)2.8亿'!E118:H118)</f>
        <v>0</v>
      </c>
    </row>
    <row r="114" spans="1:53" s="19" customFormat="1" ht="18" hidden="1" customHeight="1" outlineLevel="1" x14ac:dyDescent="0.25">
      <c r="A114" s="48" t="s">
        <v>118</v>
      </c>
      <c r="B114" s="53"/>
      <c r="C114" s="49">
        <f>'2025年中心利润表 '!C114+'2025年江苏分部利润表'!C114+'2025年浙江分部利润表'!C114+'2025年上海分部利润表'!C114+'2025年赣皖区域利润表'!C114</f>
        <v>0</v>
      </c>
      <c r="D114" s="49">
        <f>'2025年中心利润表 '!D114+'2025年江苏分部利润表'!D114+'2025年浙江分部利润表'!D114+'2025年上海分部利润表'!D114+'2025年赣皖区域利润表'!D114</f>
        <v>0</v>
      </c>
      <c r="E114" s="49">
        <f>'2025年中心利润表 '!E114+'2025年江苏分部利润表'!E114+'2025年浙江分部利润表'!E114+'2025年上海分部利润表'!E114+'2025年赣皖区域利润表'!E114</f>
        <v>0</v>
      </c>
      <c r="F114" s="49">
        <f>'2025年中心利润表 '!F114+'2025年江苏分部利润表'!F114+'2025年浙江分部利润表'!F114+'2025年上海分部利润表'!F114+'2025年赣皖区域利润表'!F114</f>
        <v>0</v>
      </c>
      <c r="G114" s="49">
        <f>'2025年中心利润表 '!G114+'2025年江苏分部利润表'!G114+'2025年浙江分部利润表'!G114+'2025年上海分部利润表'!G114+'2025年赣皖区域利润表'!G114</f>
        <v>0</v>
      </c>
      <c r="H114" s="49">
        <f>'2025年中心利润表 '!H114+'2025年江苏分部利润表'!H114+'2025年浙江分部利润表'!H114+'2025年上海分部利润表'!H114+'2025年赣皖区域利润表'!H114</f>
        <v>0</v>
      </c>
      <c r="I114" s="49">
        <f>'2025年中心利润表 '!I114+'2025年江苏分部利润表'!I114+'2025年浙江分部利润表'!I114+'2025年上海分部利润表'!I114+'2025年赣皖区域利润表'!I114</f>
        <v>0</v>
      </c>
      <c r="J114" s="49">
        <f>'2025年中心利润表 '!J114+'2025年江苏分部利润表'!J114+'2025年浙江分部利润表'!J114+'2025年上海分部利润表'!J114+'2025年赣皖区域利润表'!J114</f>
        <v>0</v>
      </c>
      <c r="K114" s="49">
        <f>'2025年中心利润表 '!K114+'2025年江苏分部利润表'!K114+'2025年浙江分部利润表'!K114+'2025年上海分部利润表'!K114+'2025年赣皖区域利润表'!K114</f>
        <v>0</v>
      </c>
      <c r="L114" s="49">
        <f>'2025年中心利润表 '!L114+'2025年江苏分部利润表'!L114+'2025年浙江分部利润表'!L114+'2025年上海分部利润表'!L114+'2025年赣皖区域利润表'!L114</f>
        <v>0</v>
      </c>
      <c r="M114" s="49">
        <f>'2025年中心利润表 '!M114+'2025年江苏分部利润表'!M114+'2025年浙江分部利润表'!M114+'2025年上海分部利润表'!M114+'2025年赣皖区域利润表'!M114</f>
        <v>0</v>
      </c>
      <c r="N114" s="49">
        <f>'2025年中心利润表 '!N114+'2025年江苏分部利润表'!N114+'2025年浙江分部利润表'!N114+'2025年上海分部利润表'!N114+'2025年赣皖区域利润表'!N114</f>
        <v>0</v>
      </c>
      <c r="O114" s="49">
        <f>'2025年中心利润表 '!O114+'2025年江苏分部利润表'!O114+'2025年浙江分部利润表'!O114+'2025年上海分部利润表'!O114+'2025年赣皖区域利润表'!O114</f>
        <v>0</v>
      </c>
      <c r="P114" s="49">
        <f>'2025年中心利润表 '!P114+'2025年江苏分部利润表'!P114+'2025年浙江分部利润表'!P114+'2025年上海分部利润表'!P114+'2025年赣皖区域利润表'!P114</f>
        <v>0</v>
      </c>
      <c r="Q114" s="49">
        <f>'2025年中心利润表 '!Q114+'2025年江苏分部利润表'!Q114+'2025年浙江分部利润表'!Q114+'2025年上海分部利润表'!Q114+'2025年赣皖区域利润表'!Q114</f>
        <v>0</v>
      </c>
      <c r="R114" s="49">
        <f>'2025年中心利润表 '!R114+'2025年江苏分部利润表'!R114+'2025年浙江分部利润表'!R114+'2025年上海分部利润表'!R114+'2025年赣皖区域利润表'!R114</f>
        <v>0</v>
      </c>
      <c r="S114" s="49">
        <f>'2025年中心利润表 '!S114+'2025年江苏分部利润表'!S114+'2025年浙江分部利润表'!S114+'2025年上海分部利润表'!S114+'2025年赣皖区域利润表'!S114</f>
        <v>0</v>
      </c>
      <c r="T114" s="49">
        <f>'2025年中心利润表 '!T114+'2025年江苏分部利润表'!T114+'2025年浙江分部利润表'!T114+'2025年上海分部利润表'!T114+'2025年赣皖区域利润表'!T114</f>
        <v>0</v>
      </c>
      <c r="U114" s="49">
        <f>'2025年中心利润表 '!U114+'2025年江苏分部利润表'!U114+'2025年浙江分部利润表'!U114+'2025年上海分部利润表'!U114+'2025年赣皖区域利润表'!U114</f>
        <v>0</v>
      </c>
      <c r="V114" s="49">
        <f>'2025年中心利润表 '!V114+'2025年江苏分部利润表'!V114+'2025年浙江分部利润表'!V114+'2025年上海分部利润表'!V114+'2025年赣皖区域利润表'!V114</f>
        <v>0</v>
      </c>
      <c r="W114" s="49">
        <f>'2025年中心利润表 '!W114+'2025年江苏分部利润表'!W114+'2025年浙江分部利润表'!W114+'2025年上海分部利润表'!W114+'2025年赣皖区域利润表'!W114</f>
        <v>0</v>
      </c>
      <c r="X114" s="49">
        <f>'2025年中心利润表 '!X114+'2025年江苏分部利润表'!X114+'2025年浙江分部利润表'!X114+'2025年上海分部利润表'!X114+'2025年赣皖区域利润表'!X114</f>
        <v>0</v>
      </c>
      <c r="Y114" s="49">
        <f>'2025年中心利润表 '!Y114+'2025年江苏分部利润表'!Y114+'2025年浙江分部利润表'!Y114+'2025年上海分部利润表'!Y114+'2025年赣皖区域利润表'!Y114</f>
        <v>0</v>
      </c>
      <c r="Z114" s="49">
        <f>'2025年中心利润表 '!Z114+'2025年江苏分部利润表'!Z114+'2025年浙江分部利润表'!Z114+'2025年上海分部利润表'!Z114+'2025年赣皖区域利润表'!Z114</f>
        <v>0</v>
      </c>
      <c r="AA114" s="51">
        <f t="shared" si="24"/>
        <v>0</v>
      </c>
      <c r="AB114" s="51">
        <f t="shared" si="32"/>
        <v>0</v>
      </c>
      <c r="AC114" s="94"/>
      <c r="AD114" s="31">
        <f t="shared" si="26"/>
        <v>0</v>
      </c>
      <c r="AE114" s="31">
        <f t="shared" si="27"/>
        <v>0</v>
      </c>
      <c r="AF114" s="17">
        <f t="shared" si="28"/>
        <v>0</v>
      </c>
      <c r="AG114" s="17">
        <f t="shared" si="29"/>
        <v>0</v>
      </c>
      <c r="AH114" s="17">
        <f>SUM('[1]2024年全面预算利润表 (销售1中心)2.8亿'!E119:H119)</f>
        <v>0</v>
      </c>
    </row>
    <row r="115" spans="1:53" s="17" customFormat="1" ht="18" hidden="1" customHeight="1" outlineLevel="1" x14ac:dyDescent="0.25">
      <c r="A115" s="67" t="s">
        <v>119</v>
      </c>
      <c r="B115" s="45"/>
      <c r="C115" s="65">
        <f t="shared" ref="C115:Z115" si="34">SUM(C116:C122)</f>
        <v>0</v>
      </c>
      <c r="D115" s="65">
        <f t="shared" si="34"/>
        <v>0</v>
      </c>
      <c r="E115" s="65">
        <f t="shared" si="34"/>
        <v>0</v>
      </c>
      <c r="F115" s="65">
        <f t="shared" si="34"/>
        <v>0</v>
      </c>
      <c r="G115" s="65">
        <f t="shared" si="34"/>
        <v>0</v>
      </c>
      <c r="H115" s="65">
        <f t="shared" si="34"/>
        <v>0</v>
      </c>
      <c r="I115" s="65">
        <f t="shared" si="34"/>
        <v>0</v>
      </c>
      <c r="J115" s="65">
        <f t="shared" si="34"/>
        <v>0</v>
      </c>
      <c r="K115" s="65">
        <f t="shared" si="34"/>
        <v>0</v>
      </c>
      <c r="L115" s="65">
        <f t="shared" si="34"/>
        <v>0</v>
      </c>
      <c r="M115" s="65">
        <f t="shared" si="34"/>
        <v>0</v>
      </c>
      <c r="N115" s="65">
        <f t="shared" si="34"/>
        <v>0</v>
      </c>
      <c r="O115" s="65">
        <f t="shared" si="34"/>
        <v>0</v>
      </c>
      <c r="P115" s="65">
        <f t="shared" si="34"/>
        <v>0</v>
      </c>
      <c r="Q115" s="65">
        <f t="shared" si="34"/>
        <v>0</v>
      </c>
      <c r="R115" s="65">
        <f t="shared" si="34"/>
        <v>0</v>
      </c>
      <c r="S115" s="65">
        <f t="shared" si="34"/>
        <v>0</v>
      </c>
      <c r="T115" s="65">
        <f t="shared" si="34"/>
        <v>0</v>
      </c>
      <c r="U115" s="65">
        <f t="shared" si="34"/>
        <v>0</v>
      </c>
      <c r="V115" s="65">
        <f t="shared" si="34"/>
        <v>0</v>
      </c>
      <c r="W115" s="65">
        <f t="shared" si="34"/>
        <v>0</v>
      </c>
      <c r="X115" s="65">
        <f t="shared" si="34"/>
        <v>0</v>
      </c>
      <c r="Y115" s="65">
        <f t="shared" si="34"/>
        <v>0</v>
      </c>
      <c r="Z115" s="65">
        <f t="shared" si="34"/>
        <v>0</v>
      </c>
      <c r="AA115" s="51">
        <f t="shared" si="24"/>
        <v>0</v>
      </c>
      <c r="AB115" s="51">
        <f t="shared" si="32"/>
        <v>0</v>
      </c>
      <c r="AC115" s="132"/>
      <c r="AD115" s="31">
        <f t="shared" si="26"/>
        <v>0</v>
      </c>
      <c r="AE115" s="31">
        <f t="shared" si="27"/>
        <v>0</v>
      </c>
      <c r="AF115" s="17">
        <f t="shared" si="28"/>
        <v>0</v>
      </c>
      <c r="AG115" s="17">
        <f t="shared" si="29"/>
        <v>0</v>
      </c>
      <c r="AH115" s="17">
        <f>SUM('[1]2024年全面预算利润表 (销售1中心)2.8亿'!E120:H120)</f>
        <v>0</v>
      </c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</row>
    <row r="116" spans="1:53" s="19" customFormat="1" ht="18" hidden="1" customHeight="1" outlineLevel="2" x14ac:dyDescent="0.25">
      <c r="A116" s="48" t="s">
        <v>120</v>
      </c>
      <c r="B116" s="53"/>
      <c r="C116" s="49">
        <f>'2025年中心利润表 '!C116+'2025年江苏分部利润表'!C116+'2025年浙江分部利润表'!C116+'2025年上海分部利润表'!C116+'2025年赣皖区域利润表'!C116</f>
        <v>0</v>
      </c>
      <c r="D116" s="49">
        <f>'2025年中心利润表 '!D116+'2025年江苏分部利润表'!D116+'2025年浙江分部利润表'!D116+'2025年上海分部利润表'!D116+'2025年赣皖区域利润表'!D116</f>
        <v>0</v>
      </c>
      <c r="E116" s="49">
        <f>'2025年中心利润表 '!E116+'2025年江苏分部利润表'!E116+'2025年浙江分部利润表'!E116+'2025年上海分部利润表'!E116+'2025年赣皖区域利润表'!E116</f>
        <v>0</v>
      </c>
      <c r="F116" s="49">
        <f>'2025年中心利润表 '!F116+'2025年江苏分部利润表'!F116+'2025年浙江分部利润表'!F116+'2025年上海分部利润表'!F116+'2025年赣皖区域利润表'!F116</f>
        <v>0</v>
      </c>
      <c r="G116" s="49">
        <f>'2025年中心利润表 '!G116+'2025年江苏分部利润表'!G116+'2025年浙江分部利润表'!G116+'2025年上海分部利润表'!G116+'2025年赣皖区域利润表'!G116</f>
        <v>0</v>
      </c>
      <c r="H116" s="49">
        <f>'2025年中心利润表 '!H116+'2025年江苏分部利润表'!H116+'2025年浙江分部利润表'!H116+'2025年上海分部利润表'!H116+'2025年赣皖区域利润表'!H116</f>
        <v>0</v>
      </c>
      <c r="I116" s="49">
        <f>'2025年中心利润表 '!I116+'2025年江苏分部利润表'!I116+'2025年浙江分部利润表'!I116+'2025年上海分部利润表'!I116+'2025年赣皖区域利润表'!I116</f>
        <v>0</v>
      </c>
      <c r="J116" s="49">
        <f>'2025年中心利润表 '!J116+'2025年江苏分部利润表'!J116+'2025年浙江分部利润表'!J116+'2025年上海分部利润表'!J116+'2025年赣皖区域利润表'!J116</f>
        <v>0</v>
      </c>
      <c r="K116" s="49">
        <f>'2025年中心利润表 '!K116+'2025年江苏分部利润表'!K116+'2025年浙江分部利润表'!K116+'2025年上海分部利润表'!K116+'2025年赣皖区域利润表'!K116</f>
        <v>0</v>
      </c>
      <c r="L116" s="49">
        <f>'2025年中心利润表 '!L116+'2025年江苏分部利润表'!L116+'2025年浙江分部利润表'!L116+'2025年上海分部利润表'!L116+'2025年赣皖区域利润表'!L116</f>
        <v>0</v>
      </c>
      <c r="M116" s="49">
        <f>'2025年中心利润表 '!M116+'2025年江苏分部利润表'!M116+'2025年浙江分部利润表'!M116+'2025年上海分部利润表'!M116+'2025年赣皖区域利润表'!M116</f>
        <v>0</v>
      </c>
      <c r="N116" s="49">
        <f>'2025年中心利润表 '!N116+'2025年江苏分部利润表'!N116+'2025年浙江分部利润表'!N116+'2025年上海分部利润表'!N116+'2025年赣皖区域利润表'!N116</f>
        <v>0</v>
      </c>
      <c r="O116" s="49">
        <f>'2025年中心利润表 '!O116+'2025年江苏分部利润表'!O116+'2025年浙江分部利润表'!O116+'2025年上海分部利润表'!O116+'2025年赣皖区域利润表'!O116</f>
        <v>0</v>
      </c>
      <c r="P116" s="49">
        <f>'2025年中心利润表 '!P116+'2025年江苏分部利润表'!P116+'2025年浙江分部利润表'!P116+'2025年上海分部利润表'!P116+'2025年赣皖区域利润表'!P116</f>
        <v>0</v>
      </c>
      <c r="Q116" s="49">
        <f>'2025年中心利润表 '!Q116+'2025年江苏分部利润表'!Q116+'2025年浙江分部利润表'!Q116+'2025年上海分部利润表'!Q116+'2025年赣皖区域利润表'!Q116</f>
        <v>0</v>
      </c>
      <c r="R116" s="49">
        <f>'2025年中心利润表 '!R116+'2025年江苏分部利润表'!R116+'2025年浙江分部利润表'!R116+'2025年上海分部利润表'!R116+'2025年赣皖区域利润表'!R116</f>
        <v>0</v>
      </c>
      <c r="S116" s="49">
        <f>'2025年中心利润表 '!S116+'2025年江苏分部利润表'!S116+'2025年浙江分部利润表'!S116+'2025年上海分部利润表'!S116+'2025年赣皖区域利润表'!S116</f>
        <v>0</v>
      </c>
      <c r="T116" s="49">
        <f>'2025年中心利润表 '!T116+'2025年江苏分部利润表'!T116+'2025年浙江分部利润表'!T116+'2025年上海分部利润表'!T116+'2025年赣皖区域利润表'!T116</f>
        <v>0</v>
      </c>
      <c r="U116" s="49">
        <f>'2025年中心利润表 '!U116+'2025年江苏分部利润表'!U116+'2025年浙江分部利润表'!U116+'2025年上海分部利润表'!U116+'2025年赣皖区域利润表'!U116</f>
        <v>0</v>
      </c>
      <c r="V116" s="49">
        <f>'2025年中心利润表 '!V116+'2025年江苏分部利润表'!V116+'2025年浙江分部利润表'!V116+'2025年上海分部利润表'!V116+'2025年赣皖区域利润表'!V116</f>
        <v>0</v>
      </c>
      <c r="W116" s="49">
        <f>'2025年中心利润表 '!W116+'2025年江苏分部利润表'!W116+'2025年浙江分部利润表'!W116+'2025年上海分部利润表'!W116+'2025年赣皖区域利润表'!W116</f>
        <v>0</v>
      </c>
      <c r="X116" s="49">
        <f>'2025年中心利润表 '!X116+'2025年江苏分部利润表'!X116+'2025年浙江分部利润表'!X116+'2025年上海分部利润表'!X116+'2025年赣皖区域利润表'!X116</f>
        <v>0</v>
      </c>
      <c r="Y116" s="49">
        <f>'2025年中心利润表 '!Y116+'2025年江苏分部利润表'!Y116+'2025年浙江分部利润表'!Y116+'2025年上海分部利润表'!Y116+'2025年赣皖区域利润表'!Y116</f>
        <v>0</v>
      </c>
      <c r="Z116" s="49">
        <f>'2025年中心利润表 '!Z116+'2025年江苏分部利润表'!Z116+'2025年浙江分部利润表'!Z116+'2025年上海分部利润表'!Z116+'2025年赣皖区域利润表'!Z116</f>
        <v>0</v>
      </c>
      <c r="AA116" s="51">
        <f t="shared" si="24"/>
        <v>0</v>
      </c>
      <c r="AB116" s="51">
        <f t="shared" si="32"/>
        <v>0</v>
      </c>
      <c r="AC116" s="94"/>
      <c r="AD116" s="31">
        <f t="shared" si="26"/>
        <v>0</v>
      </c>
      <c r="AE116" s="31">
        <f t="shared" si="27"/>
        <v>0</v>
      </c>
      <c r="AF116" s="17">
        <f t="shared" si="28"/>
        <v>0</v>
      </c>
      <c r="AG116" s="17">
        <f t="shared" si="29"/>
        <v>0</v>
      </c>
      <c r="AH116" s="17">
        <f>SUM('[1]2024年全面预算利润表 (销售1中心)2.8亿'!E121:H121)</f>
        <v>0</v>
      </c>
    </row>
    <row r="117" spans="1:53" s="19" customFormat="1" ht="18" hidden="1" customHeight="1" outlineLevel="2" x14ac:dyDescent="0.25">
      <c r="A117" s="48" t="s">
        <v>121</v>
      </c>
      <c r="B117" s="53"/>
      <c r="C117" s="49">
        <f>'2025年中心利润表 '!C117+'2025年江苏分部利润表'!C117+'2025年浙江分部利润表'!C117+'2025年上海分部利润表'!C117+'2025年赣皖区域利润表'!C117</f>
        <v>0</v>
      </c>
      <c r="D117" s="49">
        <f>'2025年中心利润表 '!D117+'2025年江苏分部利润表'!D117+'2025年浙江分部利润表'!D117+'2025年上海分部利润表'!D117+'2025年赣皖区域利润表'!D117</f>
        <v>0</v>
      </c>
      <c r="E117" s="49">
        <f>'2025年中心利润表 '!E117+'2025年江苏分部利润表'!E117+'2025年浙江分部利润表'!E117+'2025年上海分部利润表'!E117+'2025年赣皖区域利润表'!E117</f>
        <v>0</v>
      </c>
      <c r="F117" s="49">
        <f>'2025年中心利润表 '!F117+'2025年江苏分部利润表'!F117+'2025年浙江分部利润表'!F117+'2025年上海分部利润表'!F117+'2025年赣皖区域利润表'!F117</f>
        <v>0</v>
      </c>
      <c r="G117" s="49">
        <f>'2025年中心利润表 '!G117+'2025年江苏分部利润表'!G117+'2025年浙江分部利润表'!G117+'2025年上海分部利润表'!G117+'2025年赣皖区域利润表'!G117</f>
        <v>0</v>
      </c>
      <c r="H117" s="49">
        <f>'2025年中心利润表 '!H117+'2025年江苏分部利润表'!H117+'2025年浙江分部利润表'!H117+'2025年上海分部利润表'!H117+'2025年赣皖区域利润表'!H117</f>
        <v>0</v>
      </c>
      <c r="I117" s="49">
        <f>'2025年中心利润表 '!I117+'2025年江苏分部利润表'!I117+'2025年浙江分部利润表'!I117+'2025年上海分部利润表'!I117+'2025年赣皖区域利润表'!I117</f>
        <v>0</v>
      </c>
      <c r="J117" s="49">
        <f>'2025年中心利润表 '!J117+'2025年江苏分部利润表'!J117+'2025年浙江分部利润表'!J117+'2025年上海分部利润表'!J117+'2025年赣皖区域利润表'!J117</f>
        <v>0</v>
      </c>
      <c r="K117" s="49">
        <f>'2025年中心利润表 '!K117+'2025年江苏分部利润表'!K117+'2025年浙江分部利润表'!K117+'2025年上海分部利润表'!K117+'2025年赣皖区域利润表'!K117</f>
        <v>0</v>
      </c>
      <c r="L117" s="49">
        <f>'2025年中心利润表 '!L117+'2025年江苏分部利润表'!L117+'2025年浙江分部利润表'!L117+'2025年上海分部利润表'!L117+'2025年赣皖区域利润表'!L117</f>
        <v>0</v>
      </c>
      <c r="M117" s="49">
        <f>'2025年中心利润表 '!M117+'2025年江苏分部利润表'!M117+'2025年浙江分部利润表'!M117+'2025年上海分部利润表'!M117+'2025年赣皖区域利润表'!M117</f>
        <v>0</v>
      </c>
      <c r="N117" s="49">
        <f>'2025年中心利润表 '!N117+'2025年江苏分部利润表'!N117+'2025年浙江分部利润表'!N117+'2025年上海分部利润表'!N117+'2025年赣皖区域利润表'!N117</f>
        <v>0</v>
      </c>
      <c r="O117" s="49">
        <f>'2025年中心利润表 '!O117+'2025年江苏分部利润表'!O117+'2025年浙江分部利润表'!O117+'2025年上海分部利润表'!O117+'2025年赣皖区域利润表'!O117</f>
        <v>0</v>
      </c>
      <c r="P117" s="49">
        <f>'2025年中心利润表 '!P117+'2025年江苏分部利润表'!P117+'2025年浙江分部利润表'!P117+'2025年上海分部利润表'!P117+'2025年赣皖区域利润表'!P117</f>
        <v>0</v>
      </c>
      <c r="Q117" s="49">
        <f>'2025年中心利润表 '!Q117+'2025年江苏分部利润表'!Q117+'2025年浙江分部利润表'!Q117+'2025年上海分部利润表'!Q117+'2025年赣皖区域利润表'!Q117</f>
        <v>0</v>
      </c>
      <c r="R117" s="49">
        <f>'2025年中心利润表 '!R117+'2025年江苏分部利润表'!R117+'2025年浙江分部利润表'!R117+'2025年上海分部利润表'!R117+'2025年赣皖区域利润表'!R117</f>
        <v>0</v>
      </c>
      <c r="S117" s="49">
        <f>'2025年中心利润表 '!S117+'2025年江苏分部利润表'!S117+'2025年浙江分部利润表'!S117+'2025年上海分部利润表'!S117+'2025年赣皖区域利润表'!S117</f>
        <v>0</v>
      </c>
      <c r="T117" s="49">
        <f>'2025年中心利润表 '!T117+'2025年江苏分部利润表'!T117+'2025年浙江分部利润表'!T117+'2025年上海分部利润表'!T117+'2025年赣皖区域利润表'!T117</f>
        <v>0</v>
      </c>
      <c r="U117" s="49">
        <f>'2025年中心利润表 '!U117+'2025年江苏分部利润表'!U117+'2025年浙江分部利润表'!U117+'2025年上海分部利润表'!U117+'2025年赣皖区域利润表'!U117</f>
        <v>0</v>
      </c>
      <c r="V117" s="49">
        <f>'2025年中心利润表 '!V117+'2025年江苏分部利润表'!V117+'2025年浙江分部利润表'!V117+'2025年上海分部利润表'!V117+'2025年赣皖区域利润表'!V117</f>
        <v>0</v>
      </c>
      <c r="W117" s="49">
        <f>'2025年中心利润表 '!W117+'2025年江苏分部利润表'!W117+'2025年浙江分部利润表'!W117+'2025年上海分部利润表'!W117+'2025年赣皖区域利润表'!W117</f>
        <v>0</v>
      </c>
      <c r="X117" s="49">
        <f>'2025年中心利润表 '!X117+'2025年江苏分部利润表'!X117+'2025年浙江分部利润表'!X117+'2025年上海分部利润表'!X117+'2025年赣皖区域利润表'!X117</f>
        <v>0</v>
      </c>
      <c r="Y117" s="49">
        <f>'2025年中心利润表 '!Y117+'2025年江苏分部利润表'!Y117+'2025年浙江分部利润表'!Y117+'2025年上海分部利润表'!Y117+'2025年赣皖区域利润表'!Y117</f>
        <v>0</v>
      </c>
      <c r="Z117" s="49">
        <f>'2025年中心利润表 '!Z117+'2025年江苏分部利润表'!Z117+'2025年浙江分部利润表'!Z117+'2025年上海分部利润表'!Z117+'2025年赣皖区域利润表'!Z117</f>
        <v>0</v>
      </c>
      <c r="AA117" s="51">
        <f t="shared" si="24"/>
        <v>0</v>
      </c>
      <c r="AB117" s="51">
        <f t="shared" si="32"/>
        <v>0</v>
      </c>
      <c r="AC117" s="94"/>
      <c r="AD117" s="31">
        <f t="shared" si="26"/>
        <v>0</v>
      </c>
      <c r="AE117" s="31">
        <f t="shared" si="27"/>
        <v>0</v>
      </c>
      <c r="AF117" s="17">
        <f t="shared" si="28"/>
        <v>0</v>
      </c>
      <c r="AG117" s="17">
        <f t="shared" si="29"/>
        <v>0</v>
      </c>
      <c r="AH117" s="17">
        <f>SUM('[1]2024年全面预算利润表 (销售1中心)2.8亿'!E122:H122)</f>
        <v>0</v>
      </c>
    </row>
    <row r="118" spans="1:53" s="19" customFormat="1" ht="18" hidden="1" customHeight="1" outlineLevel="2" x14ac:dyDescent="0.25">
      <c r="A118" s="48" t="s">
        <v>122</v>
      </c>
      <c r="B118" s="53"/>
      <c r="C118" s="49">
        <f>'2025年中心利润表 '!C118+'2025年江苏分部利润表'!C118+'2025年浙江分部利润表'!C118+'2025年上海分部利润表'!C118+'2025年赣皖区域利润表'!C118</f>
        <v>0</v>
      </c>
      <c r="D118" s="49">
        <f>'2025年中心利润表 '!D118+'2025年江苏分部利润表'!D118+'2025年浙江分部利润表'!D118+'2025年上海分部利润表'!D118+'2025年赣皖区域利润表'!D118</f>
        <v>0</v>
      </c>
      <c r="E118" s="49">
        <f>'2025年中心利润表 '!E118+'2025年江苏分部利润表'!E118+'2025年浙江分部利润表'!E118+'2025年上海分部利润表'!E118+'2025年赣皖区域利润表'!E118</f>
        <v>0</v>
      </c>
      <c r="F118" s="49">
        <f>'2025年中心利润表 '!F118+'2025年江苏分部利润表'!F118+'2025年浙江分部利润表'!F118+'2025年上海分部利润表'!F118+'2025年赣皖区域利润表'!F118</f>
        <v>0</v>
      </c>
      <c r="G118" s="49">
        <f>'2025年中心利润表 '!G118+'2025年江苏分部利润表'!G118+'2025年浙江分部利润表'!G118+'2025年上海分部利润表'!G118+'2025年赣皖区域利润表'!G118</f>
        <v>0</v>
      </c>
      <c r="H118" s="49">
        <f>'2025年中心利润表 '!H118+'2025年江苏分部利润表'!H118+'2025年浙江分部利润表'!H118+'2025年上海分部利润表'!H118+'2025年赣皖区域利润表'!H118</f>
        <v>0</v>
      </c>
      <c r="I118" s="49">
        <f>'2025年中心利润表 '!I118+'2025年江苏分部利润表'!I118+'2025年浙江分部利润表'!I118+'2025年上海分部利润表'!I118+'2025年赣皖区域利润表'!I118</f>
        <v>0</v>
      </c>
      <c r="J118" s="49">
        <f>'2025年中心利润表 '!J118+'2025年江苏分部利润表'!J118+'2025年浙江分部利润表'!J118+'2025年上海分部利润表'!J118+'2025年赣皖区域利润表'!J118</f>
        <v>0</v>
      </c>
      <c r="K118" s="49">
        <f>'2025年中心利润表 '!K118+'2025年江苏分部利润表'!K118+'2025年浙江分部利润表'!K118+'2025年上海分部利润表'!K118+'2025年赣皖区域利润表'!K118</f>
        <v>0</v>
      </c>
      <c r="L118" s="49">
        <f>'2025年中心利润表 '!L118+'2025年江苏分部利润表'!L118+'2025年浙江分部利润表'!L118+'2025年上海分部利润表'!L118+'2025年赣皖区域利润表'!L118</f>
        <v>0</v>
      </c>
      <c r="M118" s="49">
        <f>'2025年中心利润表 '!M118+'2025年江苏分部利润表'!M118+'2025年浙江分部利润表'!M118+'2025年上海分部利润表'!M118+'2025年赣皖区域利润表'!M118</f>
        <v>0</v>
      </c>
      <c r="N118" s="49">
        <f>'2025年中心利润表 '!N118+'2025年江苏分部利润表'!N118+'2025年浙江分部利润表'!N118+'2025年上海分部利润表'!N118+'2025年赣皖区域利润表'!N118</f>
        <v>0</v>
      </c>
      <c r="O118" s="49">
        <f>'2025年中心利润表 '!O118+'2025年江苏分部利润表'!O118+'2025年浙江分部利润表'!O118+'2025年上海分部利润表'!O118+'2025年赣皖区域利润表'!O118</f>
        <v>0</v>
      </c>
      <c r="P118" s="49">
        <f>'2025年中心利润表 '!P118+'2025年江苏分部利润表'!P118+'2025年浙江分部利润表'!P118+'2025年上海分部利润表'!P118+'2025年赣皖区域利润表'!P118</f>
        <v>0</v>
      </c>
      <c r="Q118" s="49">
        <f>'2025年中心利润表 '!Q118+'2025年江苏分部利润表'!Q118+'2025年浙江分部利润表'!Q118+'2025年上海分部利润表'!Q118+'2025年赣皖区域利润表'!Q118</f>
        <v>0</v>
      </c>
      <c r="R118" s="49">
        <f>'2025年中心利润表 '!R118+'2025年江苏分部利润表'!R118+'2025年浙江分部利润表'!R118+'2025年上海分部利润表'!R118+'2025年赣皖区域利润表'!R118</f>
        <v>0</v>
      </c>
      <c r="S118" s="49">
        <f>'2025年中心利润表 '!S118+'2025年江苏分部利润表'!S118+'2025年浙江分部利润表'!S118+'2025年上海分部利润表'!S118+'2025年赣皖区域利润表'!S118</f>
        <v>0</v>
      </c>
      <c r="T118" s="49">
        <f>'2025年中心利润表 '!T118+'2025年江苏分部利润表'!T118+'2025年浙江分部利润表'!T118+'2025年上海分部利润表'!T118+'2025年赣皖区域利润表'!T118</f>
        <v>0</v>
      </c>
      <c r="U118" s="49">
        <f>'2025年中心利润表 '!U118+'2025年江苏分部利润表'!U118+'2025年浙江分部利润表'!U118+'2025年上海分部利润表'!U118+'2025年赣皖区域利润表'!U118</f>
        <v>0</v>
      </c>
      <c r="V118" s="49">
        <f>'2025年中心利润表 '!V118+'2025年江苏分部利润表'!V118+'2025年浙江分部利润表'!V118+'2025年上海分部利润表'!V118+'2025年赣皖区域利润表'!V118</f>
        <v>0</v>
      </c>
      <c r="W118" s="49">
        <f>'2025年中心利润表 '!W118+'2025年江苏分部利润表'!W118+'2025年浙江分部利润表'!W118+'2025年上海分部利润表'!W118+'2025年赣皖区域利润表'!W118</f>
        <v>0</v>
      </c>
      <c r="X118" s="49">
        <f>'2025年中心利润表 '!X118+'2025年江苏分部利润表'!X118+'2025年浙江分部利润表'!X118+'2025年上海分部利润表'!X118+'2025年赣皖区域利润表'!X118</f>
        <v>0</v>
      </c>
      <c r="Y118" s="49">
        <f>'2025年中心利润表 '!Y118+'2025年江苏分部利润表'!Y118+'2025年浙江分部利润表'!Y118+'2025年上海分部利润表'!Y118+'2025年赣皖区域利润表'!Y118</f>
        <v>0</v>
      </c>
      <c r="Z118" s="49">
        <f>'2025年中心利润表 '!Z118+'2025年江苏分部利润表'!Z118+'2025年浙江分部利润表'!Z118+'2025年上海分部利润表'!Z118+'2025年赣皖区域利润表'!Z118</f>
        <v>0</v>
      </c>
      <c r="AA118" s="51">
        <f t="shared" si="24"/>
        <v>0</v>
      </c>
      <c r="AB118" s="51">
        <f t="shared" si="32"/>
        <v>0</v>
      </c>
      <c r="AC118" s="94"/>
      <c r="AD118" s="31">
        <f t="shared" si="26"/>
        <v>0</v>
      </c>
      <c r="AE118" s="31">
        <f t="shared" si="27"/>
        <v>0</v>
      </c>
      <c r="AF118" s="17">
        <f t="shared" si="28"/>
        <v>0</v>
      </c>
      <c r="AG118" s="17">
        <f t="shared" si="29"/>
        <v>0</v>
      </c>
      <c r="AH118" s="17">
        <f>SUM('[1]2024年全面预算利润表 (销售1中心)2.8亿'!E123:H123)</f>
        <v>0</v>
      </c>
    </row>
    <row r="119" spans="1:53" s="19" customFormat="1" ht="18" hidden="1" customHeight="1" outlineLevel="2" x14ac:dyDescent="0.25">
      <c r="A119" s="48" t="s">
        <v>123</v>
      </c>
      <c r="B119" s="53"/>
      <c r="C119" s="49">
        <f>'2025年中心利润表 '!C119+'2025年江苏分部利润表'!C119+'2025年浙江分部利润表'!C119+'2025年上海分部利润表'!C119+'2025年赣皖区域利润表'!C119</f>
        <v>0</v>
      </c>
      <c r="D119" s="49">
        <f>'2025年中心利润表 '!D119+'2025年江苏分部利润表'!D119+'2025年浙江分部利润表'!D119+'2025年上海分部利润表'!D119+'2025年赣皖区域利润表'!D119</f>
        <v>0</v>
      </c>
      <c r="E119" s="49">
        <f>'2025年中心利润表 '!E119+'2025年江苏分部利润表'!E119+'2025年浙江分部利润表'!E119+'2025年上海分部利润表'!E119+'2025年赣皖区域利润表'!E119</f>
        <v>0</v>
      </c>
      <c r="F119" s="49">
        <f>'2025年中心利润表 '!F119+'2025年江苏分部利润表'!F119+'2025年浙江分部利润表'!F119+'2025年上海分部利润表'!F119+'2025年赣皖区域利润表'!F119</f>
        <v>0</v>
      </c>
      <c r="G119" s="49">
        <f>'2025年中心利润表 '!G119+'2025年江苏分部利润表'!G119+'2025年浙江分部利润表'!G119+'2025年上海分部利润表'!G119+'2025年赣皖区域利润表'!G119</f>
        <v>0</v>
      </c>
      <c r="H119" s="49">
        <f>'2025年中心利润表 '!H119+'2025年江苏分部利润表'!H119+'2025年浙江分部利润表'!H119+'2025年上海分部利润表'!H119+'2025年赣皖区域利润表'!H119</f>
        <v>0</v>
      </c>
      <c r="I119" s="49">
        <f>'2025年中心利润表 '!I119+'2025年江苏分部利润表'!I119+'2025年浙江分部利润表'!I119+'2025年上海分部利润表'!I119+'2025年赣皖区域利润表'!I119</f>
        <v>0</v>
      </c>
      <c r="J119" s="49">
        <f>'2025年中心利润表 '!J119+'2025年江苏分部利润表'!J119+'2025年浙江分部利润表'!J119+'2025年上海分部利润表'!J119+'2025年赣皖区域利润表'!J119</f>
        <v>0</v>
      </c>
      <c r="K119" s="49">
        <f>'2025年中心利润表 '!K119+'2025年江苏分部利润表'!K119+'2025年浙江分部利润表'!K119+'2025年上海分部利润表'!K119+'2025年赣皖区域利润表'!K119</f>
        <v>0</v>
      </c>
      <c r="L119" s="49">
        <f>'2025年中心利润表 '!L119+'2025年江苏分部利润表'!L119+'2025年浙江分部利润表'!L119+'2025年上海分部利润表'!L119+'2025年赣皖区域利润表'!L119</f>
        <v>0</v>
      </c>
      <c r="M119" s="49">
        <f>'2025年中心利润表 '!M119+'2025年江苏分部利润表'!M119+'2025年浙江分部利润表'!M119+'2025年上海分部利润表'!M119+'2025年赣皖区域利润表'!M119</f>
        <v>0</v>
      </c>
      <c r="N119" s="49">
        <f>'2025年中心利润表 '!N119+'2025年江苏分部利润表'!N119+'2025年浙江分部利润表'!N119+'2025年上海分部利润表'!N119+'2025年赣皖区域利润表'!N119</f>
        <v>0</v>
      </c>
      <c r="O119" s="49">
        <f>'2025年中心利润表 '!O119+'2025年江苏分部利润表'!O119+'2025年浙江分部利润表'!O119+'2025年上海分部利润表'!O119+'2025年赣皖区域利润表'!O119</f>
        <v>0</v>
      </c>
      <c r="P119" s="49">
        <f>'2025年中心利润表 '!P119+'2025年江苏分部利润表'!P119+'2025年浙江分部利润表'!P119+'2025年上海分部利润表'!P119+'2025年赣皖区域利润表'!P119</f>
        <v>0</v>
      </c>
      <c r="Q119" s="49">
        <f>'2025年中心利润表 '!Q119+'2025年江苏分部利润表'!Q119+'2025年浙江分部利润表'!Q119+'2025年上海分部利润表'!Q119+'2025年赣皖区域利润表'!Q119</f>
        <v>0</v>
      </c>
      <c r="R119" s="49">
        <f>'2025年中心利润表 '!R119+'2025年江苏分部利润表'!R119+'2025年浙江分部利润表'!R119+'2025年上海分部利润表'!R119+'2025年赣皖区域利润表'!R119</f>
        <v>0</v>
      </c>
      <c r="S119" s="49">
        <f>'2025年中心利润表 '!S119+'2025年江苏分部利润表'!S119+'2025年浙江分部利润表'!S119+'2025年上海分部利润表'!S119+'2025年赣皖区域利润表'!S119</f>
        <v>0</v>
      </c>
      <c r="T119" s="49">
        <f>'2025年中心利润表 '!T119+'2025年江苏分部利润表'!T119+'2025年浙江分部利润表'!T119+'2025年上海分部利润表'!T119+'2025年赣皖区域利润表'!T119</f>
        <v>0</v>
      </c>
      <c r="U119" s="49">
        <f>'2025年中心利润表 '!U119+'2025年江苏分部利润表'!U119+'2025年浙江分部利润表'!U119+'2025年上海分部利润表'!U119+'2025年赣皖区域利润表'!U119</f>
        <v>0</v>
      </c>
      <c r="V119" s="49">
        <f>'2025年中心利润表 '!V119+'2025年江苏分部利润表'!V119+'2025年浙江分部利润表'!V119+'2025年上海分部利润表'!V119+'2025年赣皖区域利润表'!V119</f>
        <v>0</v>
      </c>
      <c r="W119" s="49">
        <f>'2025年中心利润表 '!W119+'2025年江苏分部利润表'!W119+'2025年浙江分部利润表'!W119+'2025年上海分部利润表'!W119+'2025年赣皖区域利润表'!W119</f>
        <v>0</v>
      </c>
      <c r="X119" s="49">
        <f>'2025年中心利润表 '!X119+'2025年江苏分部利润表'!X119+'2025年浙江分部利润表'!X119+'2025年上海分部利润表'!X119+'2025年赣皖区域利润表'!X119</f>
        <v>0</v>
      </c>
      <c r="Y119" s="49">
        <f>'2025年中心利润表 '!Y119+'2025年江苏分部利润表'!Y119+'2025年浙江分部利润表'!Y119+'2025年上海分部利润表'!Y119+'2025年赣皖区域利润表'!Y119</f>
        <v>0</v>
      </c>
      <c r="Z119" s="49">
        <f>'2025年中心利润表 '!Z119+'2025年江苏分部利润表'!Z119+'2025年浙江分部利润表'!Z119+'2025年上海分部利润表'!Z119+'2025年赣皖区域利润表'!Z119</f>
        <v>0</v>
      </c>
      <c r="AA119" s="51">
        <f t="shared" si="24"/>
        <v>0</v>
      </c>
      <c r="AB119" s="51">
        <f t="shared" si="32"/>
        <v>0</v>
      </c>
      <c r="AC119" s="94"/>
      <c r="AD119" s="31">
        <f t="shared" si="26"/>
        <v>0</v>
      </c>
      <c r="AE119" s="31">
        <f t="shared" si="27"/>
        <v>0</v>
      </c>
      <c r="AF119" s="17">
        <f t="shared" si="28"/>
        <v>0</v>
      </c>
      <c r="AG119" s="17">
        <f t="shared" si="29"/>
        <v>0</v>
      </c>
      <c r="AH119" s="17">
        <f>SUM('[1]2024年全面预算利润表 (销售1中心)2.8亿'!E124:H124)</f>
        <v>0</v>
      </c>
    </row>
    <row r="120" spans="1:53" s="19" customFormat="1" ht="18" hidden="1" customHeight="1" outlineLevel="2" x14ac:dyDescent="0.25">
      <c r="A120" s="48" t="s">
        <v>124</v>
      </c>
      <c r="B120" s="53"/>
      <c r="C120" s="49">
        <f>'2025年中心利润表 '!C120+'2025年江苏分部利润表'!C120+'2025年浙江分部利润表'!C120+'2025年上海分部利润表'!C120+'2025年赣皖区域利润表'!C120</f>
        <v>0</v>
      </c>
      <c r="D120" s="49">
        <f>'2025年中心利润表 '!D120+'2025年江苏分部利润表'!D120+'2025年浙江分部利润表'!D120+'2025年上海分部利润表'!D120+'2025年赣皖区域利润表'!D120</f>
        <v>0</v>
      </c>
      <c r="E120" s="49">
        <f>'2025年中心利润表 '!E120+'2025年江苏分部利润表'!E120+'2025年浙江分部利润表'!E120+'2025年上海分部利润表'!E120+'2025年赣皖区域利润表'!E120</f>
        <v>0</v>
      </c>
      <c r="F120" s="49">
        <f>'2025年中心利润表 '!F120+'2025年江苏分部利润表'!F120+'2025年浙江分部利润表'!F120+'2025年上海分部利润表'!F120+'2025年赣皖区域利润表'!F120</f>
        <v>0</v>
      </c>
      <c r="G120" s="49">
        <f>'2025年中心利润表 '!G120+'2025年江苏分部利润表'!G120+'2025年浙江分部利润表'!G120+'2025年上海分部利润表'!G120+'2025年赣皖区域利润表'!G120</f>
        <v>0</v>
      </c>
      <c r="H120" s="49">
        <f>'2025年中心利润表 '!H120+'2025年江苏分部利润表'!H120+'2025年浙江分部利润表'!H120+'2025年上海分部利润表'!H120+'2025年赣皖区域利润表'!H120</f>
        <v>0</v>
      </c>
      <c r="I120" s="49">
        <f>'2025年中心利润表 '!I120+'2025年江苏分部利润表'!I120+'2025年浙江分部利润表'!I120+'2025年上海分部利润表'!I120+'2025年赣皖区域利润表'!I120</f>
        <v>0</v>
      </c>
      <c r="J120" s="49">
        <f>'2025年中心利润表 '!J120+'2025年江苏分部利润表'!J120+'2025年浙江分部利润表'!J120+'2025年上海分部利润表'!J120+'2025年赣皖区域利润表'!J120</f>
        <v>0</v>
      </c>
      <c r="K120" s="49">
        <f>'2025年中心利润表 '!K120+'2025年江苏分部利润表'!K120+'2025年浙江分部利润表'!K120+'2025年上海分部利润表'!K120+'2025年赣皖区域利润表'!K120</f>
        <v>0</v>
      </c>
      <c r="L120" s="49">
        <f>'2025年中心利润表 '!L120+'2025年江苏分部利润表'!L120+'2025年浙江分部利润表'!L120+'2025年上海分部利润表'!L120+'2025年赣皖区域利润表'!L120</f>
        <v>0</v>
      </c>
      <c r="M120" s="49">
        <f>'2025年中心利润表 '!M120+'2025年江苏分部利润表'!M120+'2025年浙江分部利润表'!M120+'2025年上海分部利润表'!M120+'2025年赣皖区域利润表'!M120</f>
        <v>0</v>
      </c>
      <c r="N120" s="49">
        <f>'2025年中心利润表 '!N120+'2025年江苏分部利润表'!N120+'2025年浙江分部利润表'!N120+'2025年上海分部利润表'!N120+'2025年赣皖区域利润表'!N120</f>
        <v>0</v>
      </c>
      <c r="O120" s="49">
        <f>'2025年中心利润表 '!O120+'2025年江苏分部利润表'!O120+'2025年浙江分部利润表'!O120+'2025年上海分部利润表'!O120+'2025年赣皖区域利润表'!O120</f>
        <v>0</v>
      </c>
      <c r="P120" s="49">
        <f>'2025年中心利润表 '!P120+'2025年江苏分部利润表'!P120+'2025年浙江分部利润表'!P120+'2025年上海分部利润表'!P120+'2025年赣皖区域利润表'!P120</f>
        <v>0</v>
      </c>
      <c r="Q120" s="49">
        <f>'2025年中心利润表 '!Q120+'2025年江苏分部利润表'!Q120+'2025年浙江分部利润表'!Q120+'2025年上海分部利润表'!Q120+'2025年赣皖区域利润表'!Q120</f>
        <v>0</v>
      </c>
      <c r="R120" s="49">
        <f>'2025年中心利润表 '!R120+'2025年江苏分部利润表'!R120+'2025年浙江分部利润表'!R120+'2025年上海分部利润表'!R120+'2025年赣皖区域利润表'!R120</f>
        <v>0</v>
      </c>
      <c r="S120" s="49">
        <f>'2025年中心利润表 '!S120+'2025年江苏分部利润表'!S120+'2025年浙江分部利润表'!S120+'2025年上海分部利润表'!S120+'2025年赣皖区域利润表'!S120</f>
        <v>0</v>
      </c>
      <c r="T120" s="49">
        <f>'2025年中心利润表 '!T120+'2025年江苏分部利润表'!T120+'2025年浙江分部利润表'!T120+'2025年上海分部利润表'!T120+'2025年赣皖区域利润表'!T120</f>
        <v>0</v>
      </c>
      <c r="U120" s="49">
        <f>'2025年中心利润表 '!U120+'2025年江苏分部利润表'!U120+'2025年浙江分部利润表'!U120+'2025年上海分部利润表'!U120+'2025年赣皖区域利润表'!U120</f>
        <v>0</v>
      </c>
      <c r="V120" s="49">
        <f>'2025年中心利润表 '!V120+'2025年江苏分部利润表'!V120+'2025年浙江分部利润表'!V120+'2025年上海分部利润表'!V120+'2025年赣皖区域利润表'!V120</f>
        <v>0</v>
      </c>
      <c r="W120" s="49">
        <f>'2025年中心利润表 '!W120+'2025年江苏分部利润表'!W120+'2025年浙江分部利润表'!W120+'2025年上海分部利润表'!W120+'2025年赣皖区域利润表'!W120</f>
        <v>0</v>
      </c>
      <c r="X120" s="49">
        <f>'2025年中心利润表 '!X120+'2025年江苏分部利润表'!X120+'2025年浙江分部利润表'!X120+'2025年上海分部利润表'!X120+'2025年赣皖区域利润表'!X120</f>
        <v>0</v>
      </c>
      <c r="Y120" s="49">
        <f>'2025年中心利润表 '!Y120+'2025年江苏分部利润表'!Y120+'2025年浙江分部利润表'!Y120+'2025年上海分部利润表'!Y120+'2025年赣皖区域利润表'!Y120</f>
        <v>0</v>
      </c>
      <c r="Z120" s="49">
        <f>'2025年中心利润表 '!Z120+'2025年江苏分部利润表'!Z120+'2025年浙江分部利润表'!Z120+'2025年上海分部利润表'!Z120+'2025年赣皖区域利润表'!Z120</f>
        <v>0</v>
      </c>
      <c r="AA120" s="51">
        <f t="shared" si="24"/>
        <v>0</v>
      </c>
      <c r="AB120" s="51">
        <f t="shared" si="32"/>
        <v>0</v>
      </c>
      <c r="AC120" s="94"/>
      <c r="AD120" s="31">
        <f t="shared" si="26"/>
        <v>0</v>
      </c>
      <c r="AE120" s="31">
        <f t="shared" si="27"/>
        <v>0</v>
      </c>
      <c r="AF120" s="17">
        <f t="shared" si="28"/>
        <v>0</v>
      </c>
      <c r="AG120" s="17">
        <f t="shared" si="29"/>
        <v>0</v>
      </c>
      <c r="AH120" s="17">
        <f>SUM('[1]2024年全面预算利润表 (销售1中心)2.8亿'!E125:H125)</f>
        <v>0</v>
      </c>
    </row>
    <row r="121" spans="1:53" s="19" customFormat="1" ht="18" hidden="1" customHeight="1" outlineLevel="2" x14ac:dyDescent="0.25">
      <c r="A121" s="48" t="s">
        <v>125</v>
      </c>
      <c r="B121" s="53"/>
      <c r="C121" s="49">
        <f>'2025年中心利润表 '!C121+'2025年江苏分部利润表'!C121+'2025年浙江分部利润表'!C121+'2025年上海分部利润表'!C121+'2025年赣皖区域利润表'!C121</f>
        <v>0</v>
      </c>
      <c r="D121" s="49">
        <f>'2025年中心利润表 '!D121+'2025年江苏分部利润表'!D121+'2025年浙江分部利润表'!D121+'2025年上海分部利润表'!D121+'2025年赣皖区域利润表'!D121</f>
        <v>0</v>
      </c>
      <c r="E121" s="49">
        <f>'2025年中心利润表 '!E121+'2025年江苏分部利润表'!E121+'2025年浙江分部利润表'!E121+'2025年上海分部利润表'!E121+'2025年赣皖区域利润表'!E121</f>
        <v>0</v>
      </c>
      <c r="F121" s="49">
        <f>'2025年中心利润表 '!F121+'2025年江苏分部利润表'!F121+'2025年浙江分部利润表'!F121+'2025年上海分部利润表'!F121+'2025年赣皖区域利润表'!F121</f>
        <v>0</v>
      </c>
      <c r="G121" s="49">
        <f>'2025年中心利润表 '!G121+'2025年江苏分部利润表'!G121+'2025年浙江分部利润表'!G121+'2025年上海分部利润表'!G121+'2025年赣皖区域利润表'!G121</f>
        <v>0</v>
      </c>
      <c r="H121" s="49">
        <f>'2025年中心利润表 '!H121+'2025年江苏分部利润表'!H121+'2025年浙江分部利润表'!H121+'2025年上海分部利润表'!H121+'2025年赣皖区域利润表'!H121</f>
        <v>0</v>
      </c>
      <c r="I121" s="49">
        <f>'2025年中心利润表 '!I121+'2025年江苏分部利润表'!I121+'2025年浙江分部利润表'!I121+'2025年上海分部利润表'!I121+'2025年赣皖区域利润表'!I121</f>
        <v>0</v>
      </c>
      <c r="J121" s="49">
        <f>'2025年中心利润表 '!J121+'2025年江苏分部利润表'!J121+'2025年浙江分部利润表'!J121+'2025年上海分部利润表'!J121+'2025年赣皖区域利润表'!J121</f>
        <v>0</v>
      </c>
      <c r="K121" s="49">
        <f>'2025年中心利润表 '!K121+'2025年江苏分部利润表'!K121+'2025年浙江分部利润表'!K121+'2025年上海分部利润表'!K121+'2025年赣皖区域利润表'!K121</f>
        <v>0</v>
      </c>
      <c r="L121" s="49">
        <f>'2025年中心利润表 '!L121+'2025年江苏分部利润表'!L121+'2025年浙江分部利润表'!L121+'2025年上海分部利润表'!L121+'2025年赣皖区域利润表'!L121</f>
        <v>0</v>
      </c>
      <c r="M121" s="49">
        <f>'2025年中心利润表 '!M121+'2025年江苏分部利润表'!M121+'2025年浙江分部利润表'!M121+'2025年上海分部利润表'!M121+'2025年赣皖区域利润表'!M121</f>
        <v>0</v>
      </c>
      <c r="N121" s="49">
        <f>'2025年中心利润表 '!N121+'2025年江苏分部利润表'!N121+'2025年浙江分部利润表'!N121+'2025年上海分部利润表'!N121+'2025年赣皖区域利润表'!N121</f>
        <v>0</v>
      </c>
      <c r="O121" s="49">
        <f>'2025年中心利润表 '!O121+'2025年江苏分部利润表'!O121+'2025年浙江分部利润表'!O121+'2025年上海分部利润表'!O121+'2025年赣皖区域利润表'!O121</f>
        <v>0</v>
      </c>
      <c r="P121" s="49">
        <f>'2025年中心利润表 '!P121+'2025年江苏分部利润表'!P121+'2025年浙江分部利润表'!P121+'2025年上海分部利润表'!P121+'2025年赣皖区域利润表'!P121</f>
        <v>0</v>
      </c>
      <c r="Q121" s="49">
        <f>'2025年中心利润表 '!Q121+'2025年江苏分部利润表'!Q121+'2025年浙江分部利润表'!Q121+'2025年上海分部利润表'!Q121+'2025年赣皖区域利润表'!Q121</f>
        <v>0</v>
      </c>
      <c r="R121" s="49">
        <f>'2025年中心利润表 '!R121+'2025年江苏分部利润表'!R121+'2025年浙江分部利润表'!R121+'2025年上海分部利润表'!R121+'2025年赣皖区域利润表'!R121</f>
        <v>0</v>
      </c>
      <c r="S121" s="49">
        <f>'2025年中心利润表 '!S121+'2025年江苏分部利润表'!S121+'2025年浙江分部利润表'!S121+'2025年上海分部利润表'!S121+'2025年赣皖区域利润表'!S121</f>
        <v>0</v>
      </c>
      <c r="T121" s="49">
        <f>'2025年中心利润表 '!T121+'2025年江苏分部利润表'!T121+'2025年浙江分部利润表'!T121+'2025年上海分部利润表'!T121+'2025年赣皖区域利润表'!T121</f>
        <v>0</v>
      </c>
      <c r="U121" s="49">
        <f>'2025年中心利润表 '!U121+'2025年江苏分部利润表'!U121+'2025年浙江分部利润表'!U121+'2025年上海分部利润表'!U121+'2025年赣皖区域利润表'!U121</f>
        <v>0</v>
      </c>
      <c r="V121" s="49">
        <f>'2025年中心利润表 '!V121+'2025年江苏分部利润表'!V121+'2025年浙江分部利润表'!V121+'2025年上海分部利润表'!V121+'2025年赣皖区域利润表'!V121</f>
        <v>0</v>
      </c>
      <c r="W121" s="49">
        <f>'2025年中心利润表 '!W121+'2025年江苏分部利润表'!W121+'2025年浙江分部利润表'!W121+'2025年上海分部利润表'!W121+'2025年赣皖区域利润表'!W121</f>
        <v>0</v>
      </c>
      <c r="X121" s="49">
        <f>'2025年中心利润表 '!X121+'2025年江苏分部利润表'!X121+'2025年浙江分部利润表'!X121+'2025年上海分部利润表'!X121+'2025年赣皖区域利润表'!X121</f>
        <v>0</v>
      </c>
      <c r="Y121" s="49">
        <f>'2025年中心利润表 '!Y121+'2025年江苏分部利润表'!Y121+'2025年浙江分部利润表'!Y121+'2025年上海分部利润表'!Y121+'2025年赣皖区域利润表'!Y121</f>
        <v>0</v>
      </c>
      <c r="Z121" s="49">
        <f>'2025年中心利润表 '!Z121+'2025年江苏分部利润表'!Z121+'2025年浙江分部利润表'!Z121+'2025年上海分部利润表'!Z121+'2025年赣皖区域利润表'!Z121</f>
        <v>0</v>
      </c>
      <c r="AA121" s="51">
        <f t="shared" si="24"/>
        <v>0</v>
      </c>
      <c r="AB121" s="51">
        <f t="shared" si="32"/>
        <v>0</v>
      </c>
      <c r="AC121" s="94"/>
      <c r="AD121" s="31">
        <f t="shared" si="26"/>
        <v>0</v>
      </c>
      <c r="AE121" s="31">
        <f t="shared" si="27"/>
        <v>0</v>
      </c>
      <c r="AF121" s="17">
        <f t="shared" si="28"/>
        <v>0</v>
      </c>
      <c r="AG121" s="17">
        <f t="shared" si="29"/>
        <v>0</v>
      </c>
      <c r="AH121" s="17">
        <f>SUM('[1]2024年全面预算利润表 (销售1中心)2.8亿'!E126:H126)</f>
        <v>0</v>
      </c>
    </row>
    <row r="122" spans="1:53" s="19" customFormat="1" ht="18" hidden="1" customHeight="1" outlineLevel="2" x14ac:dyDescent="0.25">
      <c r="A122" s="48" t="s">
        <v>126</v>
      </c>
      <c r="B122" s="53"/>
      <c r="C122" s="49">
        <f>'2025年中心利润表 '!C122+'2025年江苏分部利润表'!C122+'2025年浙江分部利润表'!C122+'2025年上海分部利润表'!C122+'2025年赣皖区域利润表'!C122</f>
        <v>0</v>
      </c>
      <c r="D122" s="49">
        <f>'2025年中心利润表 '!D122+'2025年江苏分部利润表'!D122+'2025年浙江分部利润表'!D122+'2025年上海分部利润表'!D122+'2025年赣皖区域利润表'!D122</f>
        <v>0</v>
      </c>
      <c r="E122" s="49">
        <f>'2025年中心利润表 '!E122+'2025年江苏分部利润表'!E122+'2025年浙江分部利润表'!E122+'2025年上海分部利润表'!E122+'2025年赣皖区域利润表'!E122</f>
        <v>0</v>
      </c>
      <c r="F122" s="49">
        <f>'2025年中心利润表 '!F122+'2025年江苏分部利润表'!F122+'2025年浙江分部利润表'!F122+'2025年上海分部利润表'!F122+'2025年赣皖区域利润表'!F122</f>
        <v>0</v>
      </c>
      <c r="G122" s="49">
        <f>'2025年中心利润表 '!G122+'2025年江苏分部利润表'!G122+'2025年浙江分部利润表'!G122+'2025年上海分部利润表'!G122+'2025年赣皖区域利润表'!G122</f>
        <v>0</v>
      </c>
      <c r="H122" s="49">
        <f>'2025年中心利润表 '!H122+'2025年江苏分部利润表'!H122+'2025年浙江分部利润表'!H122+'2025年上海分部利润表'!H122+'2025年赣皖区域利润表'!H122</f>
        <v>0</v>
      </c>
      <c r="I122" s="49">
        <f>'2025年中心利润表 '!I122+'2025年江苏分部利润表'!I122+'2025年浙江分部利润表'!I122+'2025年上海分部利润表'!I122+'2025年赣皖区域利润表'!I122</f>
        <v>0</v>
      </c>
      <c r="J122" s="49">
        <f>'2025年中心利润表 '!J122+'2025年江苏分部利润表'!J122+'2025年浙江分部利润表'!J122+'2025年上海分部利润表'!J122+'2025年赣皖区域利润表'!J122</f>
        <v>0</v>
      </c>
      <c r="K122" s="49">
        <f>'2025年中心利润表 '!K122+'2025年江苏分部利润表'!K122+'2025年浙江分部利润表'!K122+'2025年上海分部利润表'!K122+'2025年赣皖区域利润表'!K122</f>
        <v>0</v>
      </c>
      <c r="L122" s="49">
        <f>'2025年中心利润表 '!L122+'2025年江苏分部利润表'!L122+'2025年浙江分部利润表'!L122+'2025年上海分部利润表'!L122+'2025年赣皖区域利润表'!L122</f>
        <v>0</v>
      </c>
      <c r="M122" s="49">
        <f>'2025年中心利润表 '!M122+'2025年江苏分部利润表'!M122+'2025年浙江分部利润表'!M122+'2025年上海分部利润表'!M122+'2025年赣皖区域利润表'!M122</f>
        <v>0</v>
      </c>
      <c r="N122" s="49">
        <f>'2025年中心利润表 '!N122+'2025年江苏分部利润表'!N122+'2025年浙江分部利润表'!N122+'2025年上海分部利润表'!N122+'2025年赣皖区域利润表'!N122</f>
        <v>0</v>
      </c>
      <c r="O122" s="49">
        <f>'2025年中心利润表 '!O122+'2025年江苏分部利润表'!O122+'2025年浙江分部利润表'!O122+'2025年上海分部利润表'!O122+'2025年赣皖区域利润表'!O122</f>
        <v>0</v>
      </c>
      <c r="P122" s="49">
        <f>'2025年中心利润表 '!P122+'2025年江苏分部利润表'!P122+'2025年浙江分部利润表'!P122+'2025年上海分部利润表'!P122+'2025年赣皖区域利润表'!P122</f>
        <v>0</v>
      </c>
      <c r="Q122" s="49">
        <f>'2025年中心利润表 '!Q122+'2025年江苏分部利润表'!Q122+'2025年浙江分部利润表'!Q122+'2025年上海分部利润表'!Q122+'2025年赣皖区域利润表'!Q122</f>
        <v>0</v>
      </c>
      <c r="R122" s="49">
        <f>'2025年中心利润表 '!R122+'2025年江苏分部利润表'!R122+'2025年浙江分部利润表'!R122+'2025年上海分部利润表'!R122+'2025年赣皖区域利润表'!R122</f>
        <v>0</v>
      </c>
      <c r="S122" s="49">
        <f>'2025年中心利润表 '!S122+'2025年江苏分部利润表'!S122+'2025年浙江分部利润表'!S122+'2025年上海分部利润表'!S122+'2025年赣皖区域利润表'!S122</f>
        <v>0</v>
      </c>
      <c r="T122" s="49">
        <f>'2025年中心利润表 '!T122+'2025年江苏分部利润表'!T122+'2025年浙江分部利润表'!T122+'2025年上海分部利润表'!T122+'2025年赣皖区域利润表'!T122</f>
        <v>0</v>
      </c>
      <c r="U122" s="49">
        <f>'2025年中心利润表 '!U122+'2025年江苏分部利润表'!U122+'2025年浙江分部利润表'!U122+'2025年上海分部利润表'!U122+'2025年赣皖区域利润表'!U122</f>
        <v>0</v>
      </c>
      <c r="V122" s="49">
        <f>'2025年中心利润表 '!V122+'2025年江苏分部利润表'!V122+'2025年浙江分部利润表'!V122+'2025年上海分部利润表'!V122+'2025年赣皖区域利润表'!V122</f>
        <v>0</v>
      </c>
      <c r="W122" s="49">
        <f>'2025年中心利润表 '!W122+'2025年江苏分部利润表'!W122+'2025年浙江分部利润表'!W122+'2025年上海分部利润表'!W122+'2025年赣皖区域利润表'!W122</f>
        <v>0</v>
      </c>
      <c r="X122" s="49">
        <f>'2025年中心利润表 '!X122+'2025年江苏分部利润表'!X122+'2025年浙江分部利润表'!X122+'2025年上海分部利润表'!X122+'2025年赣皖区域利润表'!X122</f>
        <v>0</v>
      </c>
      <c r="Y122" s="49">
        <f>'2025年中心利润表 '!Y122+'2025年江苏分部利润表'!Y122+'2025年浙江分部利润表'!Y122+'2025年上海分部利润表'!Y122+'2025年赣皖区域利润表'!Y122</f>
        <v>0</v>
      </c>
      <c r="Z122" s="49">
        <f>'2025年中心利润表 '!Z122+'2025年江苏分部利润表'!Z122+'2025年浙江分部利润表'!Z122+'2025年上海分部利润表'!Z122+'2025年赣皖区域利润表'!Z122</f>
        <v>0</v>
      </c>
      <c r="AA122" s="51">
        <f t="shared" si="24"/>
        <v>0</v>
      </c>
      <c r="AB122" s="51">
        <f t="shared" si="32"/>
        <v>0</v>
      </c>
      <c r="AC122" s="94"/>
      <c r="AD122" s="31">
        <f t="shared" si="26"/>
        <v>0</v>
      </c>
      <c r="AE122" s="31">
        <f t="shared" si="27"/>
        <v>0</v>
      </c>
      <c r="AF122" s="17">
        <f t="shared" si="28"/>
        <v>0</v>
      </c>
      <c r="AG122" s="17">
        <f t="shared" si="29"/>
        <v>0</v>
      </c>
      <c r="AH122" s="17">
        <f>SUM('[1]2024年全面预算利润表 (销售1中心)2.8亿'!E127:H127)</f>
        <v>0</v>
      </c>
    </row>
    <row r="123" spans="1:53" s="19" customFormat="1" ht="18" hidden="1" customHeight="1" outlineLevel="1" collapsed="1" x14ac:dyDescent="0.25">
      <c r="A123" s="48" t="s">
        <v>127</v>
      </c>
      <c r="B123" s="53"/>
      <c r="C123" s="49">
        <f>'2025年中心利润表 '!C123+'2025年江苏分部利润表'!C123+'2025年浙江分部利润表'!C123+'2025年上海分部利润表'!C123+'2025年赣皖区域利润表'!C123</f>
        <v>0</v>
      </c>
      <c r="D123" s="49">
        <f>'2025年中心利润表 '!D123+'2025年江苏分部利润表'!D123+'2025年浙江分部利润表'!D123+'2025年上海分部利润表'!D123+'2025年赣皖区域利润表'!D123</f>
        <v>0</v>
      </c>
      <c r="E123" s="49">
        <f>'2025年中心利润表 '!E123+'2025年江苏分部利润表'!E123+'2025年浙江分部利润表'!E123+'2025年上海分部利润表'!E123+'2025年赣皖区域利润表'!E123</f>
        <v>0</v>
      </c>
      <c r="F123" s="49">
        <f>'2025年中心利润表 '!F123+'2025年江苏分部利润表'!F123+'2025年浙江分部利润表'!F123+'2025年上海分部利润表'!F123+'2025年赣皖区域利润表'!F123</f>
        <v>0</v>
      </c>
      <c r="G123" s="49">
        <f>'2025年中心利润表 '!G123+'2025年江苏分部利润表'!G123+'2025年浙江分部利润表'!G123+'2025年上海分部利润表'!G123+'2025年赣皖区域利润表'!G123</f>
        <v>0</v>
      </c>
      <c r="H123" s="49">
        <f>'2025年中心利润表 '!H123+'2025年江苏分部利润表'!H123+'2025年浙江分部利润表'!H123+'2025年上海分部利润表'!H123+'2025年赣皖区域利润表'!H123</f>
        <v>0</v>
      </c>
      <c r="I123" s="49">
        <f>'2025年中心利润表 '!I123+'2025年江苏分部利润表'!I123+'2025年浙江分部利润表'!I123+'2025年上海分部利润表'!I123+'2025年赣皖区域利润表'!I123</f>
        <v>0</v>
      </c>
      <c r="J123" s="49">
        <f>'2025年中心利润表 '!J123+'2025年江苏分部利润表'!J123+'2025年浙江分部利润表'!J123+'2025年上海分部利润表'!J123+'2025年赣皖区域利润表'!J123</f>
        <v>0</v>
      </c>
      <c r="K123" s="49">
        <f>'2025年中心利润表 '!K123+'2025年江苏分部利润表'!K123+'2025年浙江分部利润表'!K123+'2025年上海分部利润表'!K123+'2025年赣皖区域利润表'!K123</f>
        <v>0</v>
      </c>
      <c r="L123" s="49">
        <f>'2025年中心利润表 '!L123+'2025年江苏分部利润表'!L123+'2025年浙江分部利润表'!L123+'2025年上海分部利润表'!L123+'2025年赣皖区域利润表'!L123</f>
        <v>0</v>
      </c>
      <c r="M123" s="49">
        <f>'2025年中心利润表 '!M123+'2025年江苏分部利润表'!M123+'2025年浙江分部利润表'!M123+'2025年上海分部利润表'!M123+'2025年赣皖区域利润表'!M123</f>
        <v>0</v>
      </c>
      <c r="N123" s="49">
        <f>'2025年中心利润表 '!N123+'2025年江苏分部利润表'!N123+'2025年浙江分部利润表'!N123+'2025年上海分部利润表'!N123+'2025年赣皖区域利润表'!N123</f>
        <v>0</v>
      </c>
      <c r="O123" s="49">
        <f>'2025年中心利润表 '!O123+'2025年江苏分部利润表'!O123+'2025年浙江分部利润表'!O123+'2025年上海分部利润表'!O123+'2025年赣皖区域利润表'!O123</f>
        <v>0</v>
      </c>
      <c r="P123" s="49">
        <f>'2025年中心利润表 '!P123+'2025年江苏分部利润表'!P123+'2025年浙江分部利润表'!P123+'2025年上海分部利润表'!P123+'2025年赣皖区域利润表'!P123</f>
        <v>0</v>
      </c>
      <c r="Q123" s="49">
        <f>'2025年中心利润表 '!Q123+'2025年江苏分部利润表'!Q123+'2025年浙江分部利润表'!Q123+'2025年上海分部利润表'!Q123+'2025年赣皖区域利润表'!Q123</f>
        <v>0</v>
      </c>
      <c r="R123" s="49">
        <f>'2025年中心利润表 '!R123+'2025年江苏分部利润表'!R123+'2025年浙江分部利润表'!R123+'2025年上海分部利润表'!R123+'2025年赣皖区域利润表'!R123</f>
        <v>0</v>
      </c>
      <c r="S123" s="49">
        <f>'2025年中心利润表 '!S123+'2025年江苏分部利润表'!S123+'2025年浙江分部利润表'!S123+'2025年上海分部利润表'!S123+'2025年赣皖区域利润表'!S123</f>
        <v>0</v>
      </c>
      <c r="T123" s="49">
        <f>'2025年中心利润表 '!T123+'2025年江苏分部利润表'!T123+'2025年浙江分部利润表'!T123+'2025年上海分部利润表'!T123+'2025年赣皖区域利润表'!T123</f>
        <v>0</v>
      </c>
      <c r="U123" s="49">
        <f>'2025年中心利润表 '!U123+'2025年江苏分部利润表'!U123+'2025年浙江分部利润表'!U123+'2025年上海分部利润表'!U123+'2025年赣皖区域利润表'!U123</f>
        <v>0</v>
      </c>
      <c r="V123" s="49">
        <f>'2025年中心利润表 '!V123+'2025年江苏分部利润表'!V123+'2025年浙江分部利润表'!V123+'2025年上海分部利润表'!V123+'2025年赣皖区域利润表'!V123</f>
        <v>0</v>
      </c>
      <c r="W123" s="49">
        <f>'2025年中心利润表 '!W123+'2025年江苏分部利润表'!W123+'2025年浙江分部利润表'!W123+'2025年上海分部利润表'!W123+'2025年赣皖区域利润表'!W123</f>
        <v>0</v>
      </c>
      <c r="X123" s="49">
        <f>'2025年中心利润表 '!X123+'2025年江苏分部利润表'!X123+'2025年浙江分部利润表'!X123+'2025年上海分部利润表'!X123+'2025年赣皖区域利润表'!X123</f>
        <v>0</v>
      </c>
      <c r="Y123" s="49">
        <f>'2025年中心利润表 '!Y123+'2025年江苏分部利润表'!Y123+'2025年浙江分部利润表'!Y123+'2025年上海分部利润表'!Y123+'2025年赣皖区域利润表'!Y123</f>
        <v>0</v>
      </c>
      <c r="Z123" s="49">
        <f>'2025年中心利润表 '!Z123+'2025年江苏分部利润表'!Z123+'2025年浙江分部利润表'!Z123+'2025年上海分部利润表'!Z123+'2025年赣皖区域利润表'!Z123</f>
        <v>0</v>
      </c>
      <c r="AA123" s="51">
        <f t="shared" si="24"/>
        <v>0</v>
      </c>
      <c r="AB123" s="51">
        <f t="shared" si="32"/>
        <v>0</v>
      </c>
      <c r="AC123" s="94"/>
      <c r="AD123" s="31">
        <f t="shared" si="26"/>
        <v>0</v>
      </c>
      <c r="AE123" s="31">
        <f t="shared" si="27"/>
        <v>0</v>
      </c>
      <c r="AF123" s="17">
        <f t="shared" si="28"/>
        <v>0</v>
      </c>
      <c r="AG123" s="17">
        <f t="shared" si="29"/>
        <v>0</v>
      </c>
      <c r="AH123" s="17">
        <f>SUM('[1]2024年全面预算利润表 (销售1中心)2.8亿'!E128:H128)</f>
        <v>0</v>
      </c>
    </row>
    <row r="124" spans="1:53" s="19" customFormat="1" ht="18" hidden="1" customHeight="1" outlineLevel="1" x14ac:dyDescent="0.25">
      <c r="A124" s="48" t="s">
        <v>128</v>
      </c>
      <c r="B124" s="53"/>
      <c r="C124" s="49">
        <f>'2025年中心利润表 '!C124+'2025年江苏分部利润表'!C124+'2025年浙江分部利润表'!C124+'2025年上海分部利润表'!C124+'2025年赣皖区域利润表'!C124</f>
        <v>0</v>
      </c>
      <c r="D124" s="49">
        <f>'2025年中心利润表 '!D124+'2025年江苏分部利润表'!D124+'2025年浙江分部利润表'!D124+'2025年上海分部利润表'!D124+'2025年赣皖区域利润表'!D124</f>
        <v>0</v>
      </c>
      <c r="E124" s="49">
        <f>'2025年中心利润表 '!E124+'2025年江苏分部利润表'!E124+'2025年浙江分部利润表'!E124+'2025年上海分部利润表'!E124+'2025年赣皖区域利润表'!E124</f>
        <v>0</v>
      </c>
      <c r="F124" s="49">
        <f>'2025年中心利润表 '!F124+'2025年江苏分部利润表'!F124+'2025年浙江分部利润表'!F124+'2025年上海分部利润表'!F124+'2025年赣皖区域利润表'!F124</f>
        <v>0</v>
      </c>
      <c r="G124" s="49">
        <f>'2025年中心利润表 '!G124+'2025年江苏分部利润表'!G124+'2025年浙江分部利润表'!G124+'2025年上海分部利润表'!G124+'2025年赣皖区域利润表'!G124</f>
        <v>0</v>
      </c>
      <c r="H124" s="49">
        <f>'2025年中心利润表 '!H124+'2025年江苏分部利润表'!H124+'2025年浙江分部利润表'!H124+'2025年上海分部利润表'!H124+'2025年赣皖区域利润表'!H124</f>
        <v>0</v>
      </c>
      <c r="I124" s="49">
        <f>'2025年中心利润表 '!I124+'2025年江苏分部利润表'!I124+'2025年浙江分部利润表'!I124+'2025年上海分部利润表'!I124+'2025年赣皖区域利润表'!I124</f>
        <v>0</v>
      </c>
      <c r="J124" s="49">
        <f>'2025年中心利润表 '!J124+'2025年江苏分部利润表'!J124+'2025年浙江分部利润表'!J124+'2025年上海分部利润表'!J124+'2025年赣皖区域利润表'!J124</f>
        <v>0</v>
      </c>
      <c r="K124" s="49">
        <f>'2025年中心利润表 '!K124+'2025年江苏分部利润表'!K124+'2025年浙江分部利润表'!K124+'2025年上海分部利润表'!K124+'2025年赣皖区域利润表'!K124</f>
        <v>0</v>
      </c>
      <c r="L124" s="49">
        <f>'2025年中心利润表 '!L124+'2025年江苏分部利润表'!L124+'2025年浙江分部利润表'!L124+'2025年上海分部利润表'!L124+'2025年赣皖区域利润表'!L124</f>
        <v>0</v>
      </c>
      <c r="M124" s="49">
        <f>'2025年中心利润表 '!M124+'2025年江苏分部利润表'!M124+'2025年浙江分部利润表'!M124+'2025年上海分部利润表'!M124+'2025年赣皖区域利润表'!M124</f>
        <v>0</v>
      </c>
      <c r="N124" s="49">
        <f>'2025年中心利润表 '!N124+'2025年江苏分部利润表'!N124+'2025年浙江分部利润表'!N124+'2025年上海分部利润表'!N124+'2025年赣皖区域利润表'!N124</f>
        <v>0</v>
      </c>
      <c r="O124" s="49">
        <f>'2025年中心利润表 '!O124+'2025年江苏分部利润表'!O124+'2025年浙江分部利润表'!O124+'2025年上海分部利润表'!O124+'2025年赣皖区域利润表'!O124</f>
        <v>0</v>
      </c>
      <c r="P124" s="49">
        <f>'2025年中心利润表 '!P124+'2025年江苏分部利润表'!P124+'2025年浙江分部利润表'!P124+'2025年上海分部利润表'!P124+'2025年赣皖区域利润表'!P124</f>
        <v>0</v>
      </c>
      <c r="Q124" s="49">
        <f>'2025年中心利润表 '!Q124+'2025年江苏分部利润表'!Q124+'2025年浙江分部利润表'!Q124+'2025年上海分部利润表'!Q124+'2025年赣皖区域利润表'!Q124</f>
        <v>0</v>
      </c>
      <c r="R124" s="49">
        <f>'2025年中心利润表 '!R124+'2025年江苏分部利润表'!R124+'2025年浙江分部利润表'!R124+'2025年上海分部利润表'!R124+'2025年赣皖区域利润表'!R124</f>
        <v>0</v>
      </c>
      <c r="S124" s="49">
        <f>'2025年中心利润表 '!S124+'2025年江苏分部利润表'!S124+'2025年浙江分部利润表'!S124+'2025年上海分部利润表'!S124+'2025年赣皖区域利润表'!S124</f>
        <v>0</v>
      </c>
      <c r="T124" s="49">
        <f>'2025年中心利润表 '!T124+'2025年江苏分部利润表'!T124+'2025年浙江分部利润表'!T124+'2025年上海分部利润表'!T124+'2025年赣皖区域利润表'!T124</f>
        <v>0</v>
      </c>
      <c r="U124" s="49">
        <f>'2025年中心利润表 '!U124+'2025年江苏分部利润表'!U124+'2025年浙江分部利润表'!U124+'2025年上海分部利润表'!U124+'2025年赣皖区域利润表'!U124</f>
        <v>0</v>
      </c>
      <c r="V124" s="49">
        <f>'2025年中心利润表 '!V124+'2025年江苏分部利润表'!V124+'2025年浙江分部利润表'!V124+'2025年上海分部利润表'!V124+'2025年赣皖区域利润表'!V124</f>
        <v>0</v>
      </c>
      <c r="W124" s="49">
        <f>'2025年中心利润表 '!W124+'2025年江苏分部利润表'!W124+'2025年浙江分部利润表'!W124+'2025年上海分部利润表'!W124+'2025年赣皖区域利润表'!W124</f>
        <v>0</v>
      </c>
      <c r="X124" s="49">
        <f>'2025年中心利润表 '!X124+'2025年江苏分部利润表'!X124+'2025年浙江分部利润表'!X124+'2025年上海分部利润表'!X124+'2025年赣皖区域利润表'!X124</f>
        <v>0</v>
      </c>
      <c r="Y124" s="49">
        <f>'2025年中心利润表 '!Y124+'2025年江苏分部利润表'!Y124+'2025年浙江分部利润表'!Y124+'2025年上海分部利润表'!Y124+'2025年赣皖区域利润表'!Y124</f>
        <v>0</v>
      </c>
      <c r="Z124" s="49">
        <f>'2025年中心利润表 '!Z124+'2025年江苏分部利润表'!Z124+'2025年浙江分部利润表'!Z124+'2025年上海分部利润表'!Z124+'2025年赣皖区域利润表'!Z124</f>
        <v>0</v>
      </c>
      <c r="AA124" s="51">
        <f t="shared" si="24"/>
        <v>0</v>
      </c>
      <c r="AB124" s="51">
        <f t="shared" si="32"/>
        <v>0</v>
      </c>
      <c r="AC124" s="94"/>
      <c r="AD124" s="31">
        <f t="shared" si="26"/>
        <v>0</v>
      </c>
      <c r="AE124" s="31">
        <f t="shared" si="27"/>
        <v>0</v>
      </c>
      <c r="AF124" s="17">
        <f t="shared" si="28"/>
        <v>0</v>
      </c>
      <c r="AG124" s="17">
        <f t="shared" si="29"/>
        <v>0</v>
      </c>
      <c r="AH124" s="17">
        <f>SUM('[1]2024年全面预算利润表 (销售1中心)2.8亿'!E129:H129)</f>
        <v>0</v>
      </c>
    </row>
    <row r="125" spans="1:53" s="19" customFormat="1" ht="18" hidden="1" customHeight="1" outlineLevel="1" x14ac:dyDescent="0.25">
      <c r="A125" s="48" t="s">
        <v>129</v>
      </c>
      <c r="B125" s="53"/>
      <c r="C125" s="49">
        <f>'2025年中心利润表 '!C125+'2025年江苏分部利润表'!C125+'2025年浙江分部利润表'!C125+'2025年上海分部利润表'!C125+'2025年赣皖区域利润表'!C125</f>
        <v>0</v>
      </c>
      <c r="D125" s="49">
        <f>'2025年中心利润表 '!D125+'2025年江苏分部利润表'!D125+'2025年浙江分部利润表'!D125+'2025年上海分部利润表'!D125+'2025年赣皖区域利润表'!D125</f>
        <v>0</v>
      </c>
      <c r="E125" s="49">
        <f>'2025年中心利润表 '!E125+'2025年江苏分部利润表'!E125+'2025年浙江分部利润表'!E125+'2025年上海分部利润表'!E125+'2025年赣皖区域利润表'!E125</f>
        <v>0</v>
      </c>
      <c r="F125" s="49">
        <f>'2025年中心利润表 '!F125+'2025年江苏分部利润表'!F125+'2025年浙江分部利润表'!F125+'2025年上海分部利润表'!F125+'2025年赣皖区域利润表'!F125</f>
        <v>0</v>
      </c>
      <c r="G125" s="49">
        <f>'2025年中心利润表 '!G125+'2025年江苏分部利润表'!G125+'2025年浙江分部利润表'!G125+'2025年上海分部利润表'!G125+'2025年赣皖区域利润表'!G125</f>
        <v>0</v>
      </c>
      <c r="H125" s="49">
        <f>'2025年中心利润表 '!H125+'2025年江苏分部利润表'!H125+'2025年浙江分部利润表'!H125+'2025年上海分部利润表'!H125+'2025年赣皖区域利润表'!H125</f>
        <v>0</v>
      </c>
      <c r="I125" s="49">
        <f>'2025年中心利润表 '!I125+'2025年江苏分部利润表'!I125+'2025年浙江分部利润表'!I125+'2025年上海分部利润表'!I125+'2025年赣皖区域利润表'!I125</f>
        <v>0</v>
      </c>
      <c r="J125" s="49">
        <f>'2025年中心利润表 '!J125+'2025年江苏分部利润表'!J125+'2025年浙江分部利润表'!J125+'2025年上海分部利润表'!J125+'2025年赣皖区域利润表'!J125</f>
        <v>0</v>
      </c>
      <c r="K125" s="49">
        <f>'2025年中心利润表 '!K125+'2025年江苏分部利润表'!K125+'2025年浙江分部利润表'!K125+'2025年上海分部利润表'!K125+'2025年赣皖区域利润表'!K125</f>
        <v>0</v>
      </c>
      <c r="L125" s="49">
        <f>'2025年中心利润表 '!L125+'2025年江苏分部利润表'!L125+'2025年浙江分部利润表'!L125+'2025年上海分部利润表'!L125+'2025年赣皖区域利润表'!L125</f>
        <v>0</v>
      </c>
      <c r="M125" s="49">
        <f>'2025年中心利润表 '!M125+'2025年江苏分部利润表'!M125+'2025年浙江分部利润表'!M125+'2025年上海分部利润表'!M125+'2025年赣皖区域利润表'!M125</f>
        <v>0</v>
      </c>
      <c r="N125" s="49">
        <f>'2025年中心利润表 '!N125+'2025年江苏分部利润表'!N125+'2025年浙江分部利润表'!N125+'2025年上海分部利润表'!N125+'2025年赣皖区域利润表'!N125</f>
        <v>0</v>
      </c>
      <c r="O125" s="49">
        <f>'2025年中心利润表 '!O125+'2025年江苏分部利润表'!O125+'2025年浙江分部利润表'!O125+'2025年上海分部利润表'!O125+'2025年赣皖区域利润表'!O125</f>
        <v>0</v>
      </c>
      <c r="P125" s="49">
        <f>'2025年中心利润表 '!P125+'2025年江苏分部利润表'!P125+'2025年浙江分部利润表'!P125+'2025年上海分部利润表'!P125+'2025年赣皖区域利润表'!P125</f>
        <v>0</v>
      </c>
      <c r="Q125" s="49">
        <f>'2025年中心利润表 '!Q125+'2025年江苏分部利润表'!Q125+'2025年浙江分部利润表'!Q125+'2025年上海分部利润表'!Q125+'2025年赣皖区域利润表'!Q125</f>
        <v>0</v>
      </c>
      <c r="R125" s="49">
        <f>'2025年中心利润表 '!R125+'2025年江苏分部利润表'!R125+'2025年浙江分部利润表'!R125+'2025年上海分部利润表'!R125+'2025年赣皖区域利润表'!R125</f>
        <v>0</v>
      </c>
      <c r="S125" s="49">
        <f>'2025年中心利润表 '!S125+'2025年江苏分部利润表'!S125+'2025年浙江分部利润表'!S125+'2025年上海分部利润表'!S125+'2025年赣皖区域利润表'!S125</f>
        <v>0</v>
      </c>
      <c r="T125" s="49">
        <f>'2025年中心利润表 '!T125+'2025年江苏分部利润表'!T125+'2025年浙江分部利润表'!T125+'2025年上海分部利润表'!T125+'2025年赣皖区域利润表'!T125</f>
        <v>0</v>
      </c>
      <c r="U125" s="49">
        <f>'2025年中心利润表 '!U125+'2025年江苏分部利润表'!U125+'2025年浙江分部利润表'!U125+'2025年上海分部利润表'!U125+'2025年赣皖区域利润表'!U125</f>
        <v>0</v>
      </c>
      <c r="V125" s="49">
        <f>'2025年中心利润表 '!V125+'2025年江苏分部利润表'!V125+'2025年浙江分部利润表'!V125+'2025年上海分部利润表'!V125+'2025年赣皖区域利润表'!V125</f>
        <v>0</v>
      </c>
      <c r="W125" s="49">
        <f>'2025年中心利润表 '!W125+'2025年江苏分部利润表'!W125+'2025年浙江分部利润表'!W125+'2025年上海分部利润表'!W125+'2025年赣皖区域利润表'!W125</f>
        <v>0</v>
      </c>
      <c r="X125" s="49">
        <f>'2025年中心利润表 '!X125+'2025年江苏分部利润表'!X125+'2025年浙江分部利润表'!X125+'2025年上海分部利润表'!X125+'2025年赣皖区域利润表'!X125</f>
        <v>0</v>
      </c>
      <c r="Y125" s="49">
        <f>'2025年中心利润表 '!Y125+'2025年江苏分部利润表'!Y125+'2025年浙江分部利润表'!Y125+'2025年上海分部利润表'!Y125+'2025年赣皖区域利润表'!Y125</f>
        <v>0</v>
      </c>
      <c r="Z125" s="49">
        <f>'2025年中心利润表 '!Z125+'2025年江苏分部利润表'!Z125+'2025年浙江分部利润表'!Z125+'2025年上海分部利润表'!Z125+'2025年赣皖区域利润表'!Z125</f>
        <v>0</v>
      </c>
      <c r="AA125" s="51">
        <f t="shared" si="24"/>
        <v>0</v>
      </c>
      <c r="AB125" s="51">
        <f t="shared" si="32"/>
        <v>0</v>
      </c>
      <c r="AC125" s="94"/>
      <c r="AD125" s="31">
        <f t="shared" si="26"/>
        <v>0</v>
      </c>
      <c r="AE125" s="31">
        <f t="shared" si="27"/>
        <v>0</v>
      </c>
      <c r="AF125" s="17">
        <f t="shared" si="28"/>
        <v>0</v>
      </c>
      <c r="AG125" s="17">
        <f t="shared" si="29"/>
        <v>0</v>
      </c>
      <c r="AH125" s="17">
        <f>SUM('[1]2024年全面预算利润表 (销售1中心)2.8亿'!E130:H130)</f>
        <v>0</v>
      </c>
    </row>
    <row r="126" spans="1:53" s="17" customFormat="1" ht="18" hidden="1" customHeight="1" outlineLevel="1" x14ac:dyDescent="0.25">
      <c r="A126" s="67" t="s">
        <v>130</v>
      </c>
      <c r="B126" s="45"/>
      <c r="C126" s="49">
        <f>'2025年中心利润表 '!C126+'2025年江苏分部利润表'!C126+'2025年浙江分部利润表'!C126+'2025年上海分部利润表'!C126+'2025年赣皖区域利润表'!C126</f>
        <v>0</v>
      </c>
      <c r="D126" s="49">
        <f>'2025年中心利润表 '!D126+'2025年江苏分部利润表'!D126+'2025年浙江分部利润表'!D126+'2025年上海分部利润表'!D126+'2025年赣皖区域利润表'!D126</f>
        <v>0</v>
      </c>
      <c r="E126" s="49">
        <f>'2025年中心利润表 '!E126+'2025年江苏分部利润表'!E126+'2025年浙江分部利润表'!E126+'2025年上海分部利润表'!E126+'2025年赣皖区域利润表'!E126</f>
        <v>0</v>
      </c>
      <c r="F126" s="49">
        <f>'2025年中心利润表 '!F126+'2025年江苏分部利润表'!F126+'2025年浙江分部利润表'!F126+'2025年上海分部利润表'!F126+'2025年赣皖区域利润表'!F126</f>
        <v>0</v>
      </c>
      <c r="G126" s="49">
        <f>'2025年中心利润表 '!G126+'2025年江苏分部利润表'!G126+'2025年浙江分部利润表'!G126+'2025年上海分部利润表'!G126+'2025年赣皖区域利润表'!G126</f>
        <v>0</v>
      </c>
      <c r="H126" s="49">
        <f>'2025年中心利润表 '!H126+'2025年江苏分部利润表'!H126+'2025年浙江分部利润表'!H126+'2025年上海分部利润表'!H126+'2025年赣皖区域利润表'!H126</f>
        <v>0</v>
      </c>
      <c r="I126" s="49">
        <f>'2025年中心利润表 '!I126+'2025年江苏分部利润表'!I126+'2025年浙江分部利润表'!I126+'2025年上海分部利润表'!I126+'2025年赣皖区域利润表'!I126</f>
        <v>0</v>
      </c>
      <c r="J126" s="49">
        <f>'2025年中心利润表 '!J126+'2025年江苏分部利润表'!J126+'2025年浙江分部利润表'!J126+'2025年上海分部利润表'!J126+'2025年赣皖区域利润表'!J126</f>
        <v>0</v>
      </c>
      <c r="K126" s="49">
        <f>'2025年中心利润表 '!K126+'2025年江苏分部利润表'!K126+'2025年浙江分部利润表'!K126+'2025年上海分部利润表'!K126+'2025年赣皖区域利润表'!K126</f>
        <v>0</v>
      </c>
      <c r="L126" s="49">
        <f>'2025年中心利润表 '!L126+'2025年江苏分部利润表'!L126+'2025年浙江分部利润表'!L126+'2025年上海分部利润表'!L126+'2025年赣皖区域利润表'!L126</f>
        <v>0</v>
      </c>
      <c r="M126" s="49">
        <f>'2025年中心利润表 '!M126+'2025年江苏分部利润表'!M126+'2025年浙江分部利润表'!M126+'2025年上海分部利润表'!M126+'2025年赣皖区域利润表'!M126</f>
        <v>0</v>
      </c>
      <c r="N126" s="49">
        <f>'2025年中心利润表 '!N126+'2025年江苏分部利润表'!N126+'2025年浙江分部利润表'!N126+'2025年上海分部利润表'!N126+'2025年赣皖区域利润表'!N126</f>
        <v>0</v>
      </c>
      <c r="O126" s="49">
        <f>'2025年中心利润表 '!O126+'2025年江苏分部利润表'!O126+'2025年浙江分部利润表'!O126+'2025年上海分部利润表'!O126+'2025年赣皖区域利润表'!O126</f>
        <v>0</v>
      </c>
      <c r="P126" s="49">
        <f>'2025年中心利润表 '!P126+'2025年江苏分部利润表'!P126+'2025年浙江分部利润表'!P126+'2025年上海分部利润表'!P126+'2025年赣皖区域利润表'!P126</f>
        <v>0</v>
      </c>
      <c r="Q126" s="49">
        <f>'2025年中心利润表 '!Q126+'2025年江苏分部利润表'!Q126+'2025年浙江分部利润表'!Q126+'2025年上海分部利润表'!Q126+'2025年赣皖区域利润表'!Q126</f>
        <v>0</v>
      </c>
      <c r="R126" s="49">
        <f>'2025年中心利润表 '!R126+'2025年江苏分部利润表'!R126+'2025年浙江分部利润表'!R126+'2025年上海分部利润表'!R126+'2025年赣皖区域利润表'!R126</f>
        <v>0</v>
      </c>
      <c r="S126" s="49">
        <f>'2025年中心利润表 '!S126+'2025年江苏分部利润表'!S126+'2025年浙江分部利润表'!S126+'2025年上海分部利润表'!S126+'2025年赣皖区域利润表'!S126</f>
        <v>0</v>
      </c>
      <c r="T126" s="49">
        <f>'2025年中心利润表 '!T126+'2025年江苏分部利润表'!T126+'2025年浙江分部利润表'!T126+'2025年上海分部利润表'!T126+'2025年赣皖区域利润表'!T126</f>
        <v>0</v>
      </c>
      <c r="U126" s="49">
        <f>'2025年中心利润表 '!U126+'2025年江苏分部利润表'!U126+'2025年浙江分部利润表'!U126+'2025年上海分部利润表'!U126+'2025年赣皖区域利润表'!U126</f>
        <v>0</v>
      </c>
      <c r="V126" s="49">
        <f>'2025年中心利润表 '!V126+'2025年江苏分部利润表'!V126+'2025年浙江分部利润表'!V126+'2025年上海分部利润表'!V126+'2025年赣皖区域利润表'!V126</f>
        <v>0</v>
      </c>
      <c r="W126" s="49">
        <f>'2025年中心利润表 '!W126+'2025年江苏分部利润表'!W126+'2025年浙江分部利润表'!W126+'2025年上海分部利润表'!W126+'2025年赣皖区域利润表'!W126</f>
        <v>0</v>
      </c>
      <c r="X126" s="49">
        <f>'2025年中心利润表 '!X126+'2025年江苏分部利润表'!X126+'2025年浙江分部利润表'!X126+'2025年上海分部利润表'!X126+'2025年赣皖区域利润表'!X126</f>
        <v>0</v>
      </c>
      <c r="Y126" s="49">
        <f>'2025年中心利润表 '!Y126+'2025年江苏分部利润表'!Y126+'2025年浙江分部利润表'!Y126+'2025年上海分部利润表'!Y126+'2025年赣皖区域利润表'!Y126</f>
        <v>0</v>
      </c>
      <c r="Z126" s="49">
        <f>'2025年中心利润表 '!Z126+'2025年江苏分部利润表'!Z126+'2025年浙江分部利润表'!Z126+'2025年上海分部利润表'!Z126+'2025年赣皖区域利润表'!Z126</f>
        <v>0</v>
      </c>
      <c r="AA126" s="51">
        <f t="shared" si="24"/>
        <v>0</v>
      </c>
      <c r="AB126" s="51">
        <f t="shared" si="32"/>
        <v>0</v>
      </c>
      <c r="AC126" s="132"/>
      <c r="AD126" s="31">
        <f t="shared" si="26"/>
        <v>0</v>
      </c>
      <c r="AE126" s="31">
        <f t="shared" si="27"/>
        <v>0</v>
      </c>
      <c r="AF126" s="17">
        <f t="shared" si="28"/>
        <v>0</v>
      </c>
      <c r="AG126" s="17">
        <f t="shared" si="29"/>
        <v>0</v>
      </c>
      <c r="AH126" s="17">
        <f>SUM('[1]2024年全面预算利润表 (销售1中心)2.8亿'!E131:H131)</f>
        <v>0</v>
      </c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</row>
    <row r="127" spans="1:53" s="19" customFormat="1" ht="18" hidden="1" customHeight="1" outlineLevel="2" x14ac:dyDescent="0.25">
      <c r="A127" s="48" t="s">
        <v>131</v>
      </c>
      <c r="B127" s="53"/>
      <c r="C127" s="49">
        <f>'2025年中心利润表 '!C127+'2025年江苏分部利润表'!C127+'2025年浙江分部利润表'!C127+'2025年上海分部利润表'!C127+'2025年赣皖区域利润表'!C127</f>
        <v>0</v>
      </c>
      <c r="D127" s="49">
        <f>'2025年中心利润表 '!D127+'2025年江苏分部利润表'!D127+'2025年浙江分部利润表'!D127+'2025年上海分部利润表'!D127+'2025年赣皖区域利润表'!D127</f>
        <v>0</v>
      </c>
      <c r="E127" s="49">
        <f>'2025年中心利润表 '!E127+'2025年江苏分部利润表'!E127+'2025年浙江分部利润表'!E127+'2025年上海分部利润表'!E127+'2025年赣皖区域利润表'!E127</f>
        <v>0</v>
      </c>
      <c r="F127" s="49">
        <f>'2025年中心利润表 '!F127+'2025年江苏分部利润表'!F127+'2025年浙江分部利润表'!F127+'2025年上海分部利润表'!F127+'2025年赣皖区域利润表'!F127</f>
        <v>0</v>
      </c>
      <c r="G127" s="49">
        <f>'2025年中心利润表 '!G127+'2025年江苏分部利润表'!G127+'2025年浙江分部利润表'!G127+'2025年上海分部利润表'!G127+'2025年赣皖区域利润表'!G127</f>
        <v>0</v>
      </c>
      <c r="H127" s="49">
        <f>'2025年中心利润表 '!H127+'2025年江苏分部利润表'!H127+'2025年浙江分部利润表'!H127+'2025年上海分部利润表'!H127+'2025年赣皖区域利润表'!H127</f>
        <v>0</v>
      </c>
      <c r="I127" s="49">
        <f>'2025年中心利润表 '!I127+'2025年江苏分部利润表'!I127+'2025年浙江分部利润表'!I127+'2025年上海分部利润表'!I127+'2025年赣皖区域利润表'!I127</f>
        <v>0</v>
      </c>
      <c r="J127" s="49">
        <f>'2025年中心利润表 '!J127+'2025年江苏分部利润表'!J127+'2025年浙江分部利润表'!J127+'2025年上海分部利润表'!J127+'2025年赣皖区域利润表'!J127</f>
        <v>0</v>
      </c>
      <c r="K127" s="49">
        <f>'2025年中心利润表 '!K127+'2025年江苏分部利润表'!K127+'2025年浙江分部利润表'!K127+'2025年上海分部利润表'!K127+'2025年赣皖区域利润表'!K127</f>
        <v>0</v>
      </c>
      <c r="L127" s="49">
        <f>'2025年中心利润表 '!L127+'2025年江苏分部利润表'!L127+'2025年浙江分部利润表'!L127+'2025年上海分部利润表'!L127+'2025年赣皖区域利润表'!L127</f>
        <v>0</v>
      </c>
      <c r="M127" s="49">
        <f>'2025年中心利润表 '!M127+'2025年江苏分部利润表'!M127+'2025年浙江分部利润表'!M127+'2025年上海分部利润表'!M127+'2025年赣皖区域利润表'!M127</f>
        <v>0</v>
      </c>
      <c r="N127" s="49">
        <f>'2025年中心利润表 '!N127+'2025年江苏分部利润表'!N127+'2025年浙江分部利润表'!N127+'2025年上海分部利润表'!N127+'2025年赣皖区域利润表'!N127</f>
        <v>0</v>
      </c>
      <c r="O127" s="49">
        <f>'2025年中心利润表 '!O127+'2025年江苏分部利润表'!O127+'2025年浙江分部利润表'!O127+'2025年上海分部利润表'!O127+'2025年赣皖区域利润表'!O127</f>
        <v>0</v>
      </c>
      <c r="P127" s="49">
        <f>'2025年中心利润表 '!P127+'2025年江苏分部利润表'!P127+'2025年浙江分部利润表'!P127+'2025年上海分部利润表'!P127+'2025年赣皖区域利润表'!P127</f>
        <v>0</v>
      </c>
      <c r="Q127" s="49">
        <f>'2025年中心利润表 '!Q127+'2025年江苏分部利润表'!Q127+'2025年浙江分部利润表'!Q127+'2025年上海分部利润表'!Q127+'2025年赣皖区域利润表'!Q127</f>
        <v>0</v>
      </c>
      <c r="R127" s="49">
        <f>'2025年中心利润表 '!R127+'2025年江苏分部利润表'!R127+'2025年浙江分部利润表'!R127+'2025年上海分部利润表'!R127+'2025年赣皖区域利润表'!R127</f>
        <v>0</v>
      </c>
      <c r="S127" s="49">
        <f>'2025年中心利润表 '!S127+'2025年江苏分部利润表'!S127+'2025年浙江分部利润表'!S127+'2025年上海分部利润表'!S127+'2025年赣皖区域利润表'!S127</f>
        <v>0</v>
      </c>
      <c r="T127" s="49">
        <f>'2025年中心利润表 '!T127+'2025年江苏分部利润表'!T127+'2025年浙江分部利润表'!T127+'2025年上海分部利润表'!T127+'2025年赣皖区域利润表'!T127</f>
        <v>0</v>
      </c>
      <c r="U127" s="49">
        <f>'2025年中心利润表 '!U127+'2025年江苏分部利润表'!U127+'2025年浙江分部利润表'!U127+'2025年上海分部利润表'!U127+'2025年赣皖区域利润表'!U127</f>
        <v>0</v>
      </c>
      <c r="V127" s="49">
        <f>'2025年中心利润表 '!V127+'2025年江苏分部利润表'!V127+'2025年浙江分部利润表'!V127+'2025年上海分部利润表'!V127+'2025年赣皖区域利润表'!V127</f>
        <v>0</v>
      </c>
      <c r="W127" s="49">
        <f>'2025年中心利润表 '!W127+'2025年江苏分部利润表'!W127+'2025年浙江分部利润表'!W127+'2025年上海分部利润表'!W127+'2025年赣皖区域利润表'!W127</f>
        <v>0</v>
      </c>
      <c r="X127" s="49">
        <f>'2025年中心利润表 '!X127+'2025年江苏分部利润表'!X127+'2025年浙江分部利润表'!X127+'2025年上海分部利润表'!X127+'2025年赣皖区域利润表'!X127</f>
        <v>0</v>
      </c>
      <c r="Y127" s="49">
        <f>'2025年中心利润表 '!Y127+'2025年江苏分部利润表'!Y127+'2025年浙江分部利润表'!Y127+'2025年上海分部利润表'!Y127+'2025年赣皖区域利润表'!Y127</f>
        <v>0</v>
      </c>
      <c r="Z127" s="49">
        <f>'2025年中心利润表 '!Z127+'2025年江苏分部利润表'!Z127+'2025年浙江分部利润表'!Z127+'2025年上海分部利润表'!Z127+'2025年赣皖区域利润表'!Z127</f>
        <v>0</v>
      </c>
      <c r="AA127" s="51">
        <f t="shared" si="24"/>
        <v>0</v>
      </c>
      <c r="AB127" s="51">
        <f t="shared" si="32"/>
        <v>0</v>
      </c>
      <c r="AC127" s="94"/>
      <c r="AD127" s="31">
        <f t="shared" si="26"/>
        <v>0</v>
      </c>
      <c r="AE127" s="31">
        <f t="shared" si="27"/>
        <v>0</v>
      </c>
      <c r="AF127" s="17">
        <f t="shared" si="28"/>
        <v>0</v>
      </c>
      <c r="AG127" s="17">
        <f t="shared" si="29"/>
        <v>0</v>
      </c>
      <c r="AH127" s="17">
        <f>SUM('[1]2024年全面预算利润表 (销售1中心)2.8亿'!E132:H132)</f>
        <v>0</v>
      </c>
    </row>
    <row r="128" spans="1:53" s="19" customFormat="1" ht="18" hidden="1" customHeight="1" outlineLevel="2" x14ac:dyDescent="0.25">
      <c r="A128" s="48" t="s">
        <v>132</v>
      </c>
      <c r="B128" s="53"/>
      <c r="C128" s="49">
        <f>'2025年中心利润表 '!C128+'2025年江苏分部利润表'!C128+'2025年浙江分部利润表'!C128+'2025年上海分部利润表'!C128+'2025年赣皖区域利润表'!C128</f>
        <v>0</v>
      </c>
      <c r="D128" s="49">
        <f>'2025年中心利润表 '!D128+'2025年江苏分部利润表'!D128+'2025年浙江分部利润表'!D128+'2025年上海分部利润表'!D128+'2025年赣皖区域利润表'!D128</f>
        <v>0</v>
      </c>
      <c r="E128" s="49">
        <f>'2025年中心利润表 '!E128+'2025年江苏分部利润表'!E128+'2025年浙江分部利润表'!E128+'2025年上海分部利润表'!E128+'2025年赣皖区域利润表'!E128</f>
        <v>0</v>
      </c>
      <c r="F128" s="49">
        <f>'2025年中心利润表 '!F128+'2025年江苏分部利润表'!F128+'2025年浙江分部利润表'!F128+'2025年上海分部利润表'!F128+'2025年赣皖区域利润表'!F128</f>
        <v>0</v>
      </c>
      <c r="G128" s="49">
        <f>'2025年中心利润表 '!G128+'2025年江苏分部利润表'!G128+'2025年浙江分部利润表'!G128+'2025年上海分部利润表'!G128+'2025年赣皖区域利润表'!G128</f>
        <v>0</v>
      </c>
      <c r="H128" s="49">
        <f>'2025年中心利润表 '!H128+'2025年江苏分部利润表'!H128+'2025年浙江分部利润表'!H128+'2025年上海分部利润表'!H128+'2025年赣皖区域利润表'!H128</f>
        <v>0</v>
      </c>
      <c r="I128" s="49">
        <f>'2025年中心利润表 '!I128+'2025年江苏分部利润表'!I128+'2025年浙江分部利润表'!I128+'2025年上海分部利润表'!I128+'2025年赣皖区域利润表'!I128</f>
        <v>0</v>
      </c>
      <c r="J128" s="49">
        <f>'2025年中心利润表 '!J128+'2025年江苏分部利润表'!J128+'2025年浙江分部利润表'!J128+'2025年上海分部利润表'!J128+'2025年赣皖区域利润表'!J128</f>
        <v>0</v>
      </c>
      <c r="K128" s="49">
        <f>'2025年中心利润表 '!K128+'2025年江苏分部利润表'!K128+'2025年浙江分部利润表'!K128+'2025年上海分部利润表'!K128+'2025年赣皖区域利润表'!K128</f>
        <v>0</v>
      </c>
      <c r="L128" s="49">
        <f>'2025年中心利润表 '!L128+'2025年江苏分部利润表'!L128+'2025年浙江分部利润表'!L128+'2025年上海分部利润表'!L128+'2025年赣皖区域利润表'!L128</f>
        <v>0</v>
      </c>
      <c r="M128" s="49">
        <f>'2025年中心利润表 '!M128+'2025年江苏分部利润表'!M128+'2025年浙江分部利润表'!M128+'2025年上海分部利润表'!M128+'2025年赣皖区域利润表'!M128</f>
        <v>0</v>
      </c>
      <c r="N128" s="49">
        <f>'2025年中心利润表 '!N128+'2025年江苏分部利润表'!N128+'2025年浙江分部利润表'!N128+'2025年上海分部利润表'!N128+'2025年赣皖区域利润表'!N128</f>
        <v>0</v>
      </c>
      <c r="O128" s="49">
        <f>'2025年中心利润表 '!O128+'2025年江苏分部利润表'!O128+'2025年浙江分部利润表'!O128+'2025年上海分部利润表'!O128+'2025年赣皖区域利润表'!O128</f>
        <v>0</v>
      </c>
      <c r="P128" s="49">
        <f>'2025年中心利润表 '!P128+'2025年江苏分部利润表'!P128+'2025年浙江分部利润表'!P128+'2025年上海分部利润表'!P128+'2025年赣皖区域利润表'!P128</f>
        <v>0</v>
      </c>
      <c r="Q128" s="49">
        <f>'2025年中心利润表 '!Q128+'2025年江苏分部利润表'!Q128+'2025年浙江分部利润表'!Q128+'2025年上海分部利润表'!Q128+'2025年赣皖区域利润表'!Q128</f>
        <v>0</v>
      </c>
      <c r="R128" s="49">
        <f>'2025年中心利润表 '!R128+'2025年江苏分部利润表'!R128+'2025年浙江分部利润表'!R128+'2025年上海分部利润表'!R128+'2025年赣皖区域利润表'!R128</f>
        <v>0</v>
      </c>
      <c r="S128" s="49">
        <f>'2025年中心利润表 '!S128+'2025年江苏分部利润表'!S128+'2025年浙江分部利润表'!S128+'2025年上海分部利润表'!S128+'2025年赣皖区域利润表'!S128</f>
        <v>0</v>
      </c>
      <c r="T128" s="49">
        <f>'2025年中心利润表 '!T128+'2025年江苏分部利润表'!T128+'2025年浙江分部利润表'!T128+'2025年上海分部利润表'!T128+'2025年赣皖区域利润表'!T128</f>
        <v>0</v>
      </c>
      <c r="U128" s="49">
        <f>'2025年中心利润表 '!U128+'2025年江苏分部利润表'!U128+'2025年浙江分部利润表'!U128+'2025年上海分部利润表'!U128+'2025年赣皖区域利润表'!U128</f>
        <v>0</v>
      </c>
      <c r="V128" s="49">
        <f>'2025年中心利润表 '!V128+'2025年江苏分部利润表'!V128+'2025年浙江分部利润表'!V128+'2025年上海分部利润表'!V128+'2025年赣皖区域利润表'!V128</f>
        <v>0</v>
      </c>
      <c r="W128" s="49">
        <f>'2025年中心利润表 '!W128+'2025年江苏分部利润表'!W128+'2025年浙江分部利润表'!W128+'2025年上海分部利润表'!W128+'2025年赣皖区域利润表'!W128</f>
        <v>0</v>
      </c>
      <c r="X128" s="49">
        <f>'2025年中心利润表 '!X128+'2025年江苏分部利润表'!X128+'2025年浙江分部利润表'!X128+'2025年上海分部利润表'!X128+'2025年赣皖区域利润表'!X128</f>
        <v>0</v>
      </c>
      <c r="Y128" s="49">
        <f>'2025年中心利润表 '!Y128+'2025年江苏分部利润表'!Y128+'2025年浙江分部利润表'!Y128+'2025年上海分部利润表'!Y128+'2025年赣皖区域利润表'!Y128</f>
        <v>0</v>
      </c>
      <c r="Z128" s="49">
        <f>'2025年中心利润表 '!Z128+'2025年江苏分部利润表'!Z128+'2025年浙江分部利润表'!Z128+'2025年上海分部利润表'!Z128+'2025年赣皖区域利润表'!Z128</f>
        <v>0</v>
      </c>
      <c r="AA128" s="51">
        <f t="shared" si="24"/>
        <v>0</v>
      </c>
      <c r="AB128" s="51">
        <f t="shared" si="32"/>
        <v>0</v>
      </c>
      <c r="AC128" s="94"/>
      <c r="AD128" s="31">
        <f t="shared" si="26"/>
        <v>0</v>
      </c>
      <c r="AE128" s="31">
        <f t="shared" si="27"/>
        <v>0</v>
      </c>
      <c r="AF128" s="17">
        <f t="shared" si="28"/>
        <v>0</v>
      </c>
      <c r="AG128" s="17">
        <f t="shared" si="29"/>
        <v>0</v>
      </c>
      <c r="AH128" s="17">
        <f>SUM('[1]2024年全面预算利润表 (销售1中心)2.8亿'!E133:H133)</f>
        <v>0</v>
      </c>
    </row>
    <row r="129" spans="1:53" s="19" customFormat="1" ht="18" hidden="1" customHeight="1" outlineLevel="2" x14ac:dyDescent="0.25">
      <c r="A129" s="48" t="s">
        <v>180</v>
      </c>
      <c r="B129" s="53"/>
      <c r="C129" s="49">
        <f>'2025年中心利润表 '!C129+'2025年江苏分部利润表'!C129+'2025年浙江分部利润表'!C129+'2025年上海分部利润表'!C129+'2025年赣皖区域利润表'!C129</f>
        <v>0</v>
      </c>
      <c r="D129" s="49">
        <f>'2025年中心利润表 '!D129+'2025年江苏分部利润表'!D129+'2025年浙江分部利润表'!D129+'2025年上海分部利润表'!D129+'2025年赣皖区域利润表'!D129</f>
        <v>0</v>
      </c>
      <c r="E129" s="49">
        <f>'2025年中心利润表 '!E129+'2025年江苏分部利润表'!E129+'2025年浙江分部利润表'!E129+'2025年上海分部利润表'!E129+'2025年赣皖区域利润表'!E129</f>
        <v>0</v>
      </c>
      <c r="F129" s="49">
        <f>'2025年中心利润表 '!F129+'2025年江苏分部利润表'!F129+'2025年浙江分部利润表'!F129+'2025年上海分部利润表'!F129+'2025年赣皖区域利润表'!F129</f>
        <v>0</v>
      </c>
      <c r="G129" s="49">
        <f>'2025年中心利润表 '!G129+'2025年江苏分部利润表'!G129+'2025年浙江分部利润表'!G129+'2025年上海分部利润表'!G129+'2025年赣皖区域利润表'!G129</f>
        <v>0</v>
      </c>
      <c r="H129" s="49">
        <f>'2025年中心利润表 '!H129+'2025年江苏分部利润表'!H129+'2025年浙江分部利润表'!H129+'2025年上海分部利润表'!H129+'2025年赣皖区域利润表'!H129</f>
        <v>0</v>
      </c>
      <c r="I129" s="49">
        <f>'2025年中心利润表 '!I129+'2025年江苏分部利润表'!I129+'2025年浙江分部利润表'!I129+'2025年上海分部利润表'!I129+'2025年赣皖区域利润表'!I129</f>
        <v>0</v>
      </c>
      <c r="J129" s="49">
        <f>'2025年中心利润表 '!J129+'2025年江苏分部利润表'!J129+'2025年浙江分部利润表'!J129+'2025年上海分部利润表'!J129+'2025年赣皖区域利润表'!J129</f>
        <v>0</v>
      </c>
      <c r="K129" s="49">
        <f>'2025年中心利润表 '!K129+'2025年江苏分部利润表'!K129+'2025年浙江分部利润表'!K129+'2025年上海分部利润表'!K129+'2025年赣皖区域利润表'!K129</f>
        <v>0</v>
      </c>
      <c r="L129" s="49">
        <f>'2025年中心利润表 '!L129+'2025年江苏分部利润表'!L129+'2025年浙江分部利润表'!L129+'2025年上海分部利润表'!L129+'2025年赣皖区域利润表'!L129</f>
        <v>0</v>
      </c>
      <c r="M129" s="49">
        <f>'2025年中心利润表 '!M129+'2025年江苏分部利润表'!M129+'2025年浙江分部利润表'!M129+'2025年上海分部利润表'!M129+'2025年赣皖区域利润表'!M129</f>
        <v>0</v>
      </c>
      <c r="N129" s="49">
        <f>'2025年中心利润表 '!N129+'2025年江苏分部利润表'!N129+'2025年浙江分部利润表'!N129+'2025年上海分部利润表'!N129+'2025年赣皖区域利润表'!N129</f>
        <v>0</v>
      </c>
      <c r="O129" s="49">
        <f>'2025年中心利润表 '!O129+'2025年江苏分部利润表'!O129+'2025年浙江分部利润表'!O129+'2025年上海分部利润表'!O129+'2025年赣皖区域利润表'!O129</f>
        <v>0</v>
      </c>
      <c r="P129" s="49">
        <f>'2025年中心利润表 '!P129+'2025年江苏分部利润表'!P129+'2025年浙江分部利润表'!P129+'2025年上海分部利润表'!P129+'2025年赣皖区域利润表'!P129</f>
        <v>0</v>
      </c>
      <c r="Q129" s="49">
        <f>'2025年中心利润表 '!Q129+'2025年江苏分部利润表'!Q129+'2025年浙江分部利润表'!Q129+'2025年上海分部利润表'!Q129+'2025年赣皖区域利润表'!Q129</f>
        <v>0</v>
      </c>
      <c r="R129" s="49">
        <f>'2025年中心利润表 '!R129+'2025年江苏分部利润表'!R129+'2025年浙江分部利润表'!R129+'2025年上海分部利润表'!R129+'2025年赣皖区域利润表'!R129</f>
        <v>0</v>
      </c>
      <c r="S129" s="49">
        <f>'2025年中心利润表 '!S129+'2025年江苏分部利润表'!S129+'2025年浙江分部利润表'!S129+'2025年上海分部利润表'!S129+'2025年赣皖区域利润表'!S129</f>
        <v>0</v>
      </c>
      <c r="T129" s="49">
        <f>'2025年中心利润表 '!T129+'2025年江苏分部利润表'!T129+'2025年浙江分部利润表'!T129+'2025年上海分部利润表'!T129+'2025年赣皖区域利润表'!T129</f>
        <v>0</v>
      </c>
      <c r="U129" s="49">
        <f>'2025年中心利润表 '!U129+'2025年江苏分部利润表'!U129+'2025年浙江分部利润表'!U129+'2025年上海分部利润表'!U129+'2025年赣皖区域利润表'!U129</f>
        <v>0</v>
      </c>
      <c r="V129" s="49">
        <f>'2025年中心利润表 '!V129+'2025年江苏分部利润表'!V129+'2025年浙江分部利润表'!V129+'2025年上海分部利润表'!V129+'2025年赣皖区域利润表'!V129</f>
        <v>0</v>
      </c>
      <c r="W129" s="49">
        <f>'2025年中心利润表 '!W129+'2025年江苏分部利润表'!W129+'2025年浙江分部利润表'!W129+'2025年上海分部利润表'!W129+'2025年赣皖区域利润表'!W129</f>
        <v>0</v>
      </c>
      <c r="X129" s="49">
        <f>'2025年中心利润表 '!X129+'2025年江苏分部利润表'!X129+'2025年浙江分部利润表'!X129+'2025年上海分部利润表'!X129+'2025年赣皖区域利润表'!X129</f>
        <v>0</v>
      </c>
      <c r="Y129" s="49">
        <f>'2025年中心利润表 '!Y129+'2025年江苏分部利润表'!Y129+'2025年浙江分部利润表'!Y129+'2025年上海分部利润表'!Y129+'2025年赣皖区域利润表'!Y129</f>
        <v>0</v>
      </c>
      <c r="Z129" s="49">
        <f>'2025年中心利润表 '!Z129+'2025年江苏分部利润表'!Z129+'2025年浙江分部利润表'!Z129+'2025年上海分部利润表'!Z129+'2025年赣皖区域利润表'!Z129</f>
        <v>0</v>
      </c>
      <c r="AA129" s="51">
        <f t="shared" si="24"/>
        <v>0</v>
      </c>
      <c r="AB129" s="51">
        <f t="shared" si="32"/>
        <v>0</v>
      </c>
      <c r="AC129" s="94"/>
      <c r="AD129" s="31">
        <f t="shared" si="26"/>
        <v>0</v>
      </c>
      <c r="AE129" s="31">
        <f t="shared" si="27"/>
        <v>0</v>
      </c>
      <c r="AF129" s="17">
        <f t="shared" si="28"/>
        <v>0</v>
      </c>
      <c r="AG129" s="17">
        <f t="shared" si="29"/>
        <v>0</v>
      </c>
      <c r="AH129" s="17">
        <f>SUM('[1]2024年全面预算利润表 (销售1中心)2.8亿'!E134:H134)</f>
        <v>0</v>
      </c>
    </row>
    <row r="130" spans="1:53" s="19" customFormat="1" ht="18" hidden="1" customHeight="1" outlineLevel="2" x14ac:dyDescent="0.25">
      <c r="A130" s="48" t="s">
        <v>134</v>
      </c>
      <c r="B130" s="53"/>
      <c r="C130" s="49">
        <f>'2025年中心利润表 '!C130+'2025年江苏分部利润表'!C130+'2025年浙江分部利润表'!C130+'2025年上海分部利润表'!C130+'2025年赣皖区域利润表'!C130</f>
        <v>0</v>
      </c>
      <c r="D130" s="49">
        <f>'2025年中心利润表 '!D130+'2025年江苏分部利润表'!D130+'2025年浙江分部利润表'!D130+'2025年上海分部利润表'!D130+'2025年赣皖区域利润表'!D130</f>
        <v>0</v>
      </c>
      <c r="E130" s="49">
        <f>'2025年中心利润表 '!E130+'2025年江苏分部利润表'!E130+'2025年浙江分部利润表'!E130+'2025年上海分部利润表'!E130+'2025年赣皖区域利润表'!E130</f>
        <v>0</v>
      </c>
      <c r="F130" s="49">
        <f>'2025年中心利润表 '!F130+'2025年江苏分部利润表'!F130+'2025年浙江分部利润表'!F130+'2025年上海分部利润表'!F130+'2025年赣皖区域利润表'!F130</f>
        <v>0</v>
      </c>
      <c r="G130" s="49">
        <f>'2025年中心利润表 '!G130+'2025年江苏分部利润表'!G130+'2025年浙江分部利润表'!G130+'2025年上海分部利润表'!G130+'2025年赣皖区域利润表'!G130</f>
        <v>0</v>
      </c>
      <c r="H130" s="49">
        <f>'2025年中心利润表 '!H130+'2025年江苏分部利润表'!H130+'2025年浙江分部利润表'!H130+'2025年上海分部利润表'!H130+'2025年赣皖区域利润表'!H130</f>
        <v>0</v>
      </c>
      <c r="I130" s="49">
        <f>'2025年中心利润表 '!I130+'2025年江苏分部利润表'!I130+'2025年浙江分部利润表'!I130+'2025年上海分部利润表'!I130+'2025年赣皖区域利润表'!I130</f>
        <v>0</v>
      </c>
      <c r="J130" s="49">
        <f>'2025年中心利润表 '!J130+'2025年江苏分部利润表'!J130+'2025年浙江分部利润表'!J130+'2025年上海分部利润表'!J130+'2025年赣皖区域利润表'!J130</f>
        <v>0</v>
      </c>
      <c r="K130" s="49">
        <f>'2025年中心利润表 '!K130+'2025年江苏分部利润表'!K130+'2025年浙江分部利润表'!K130+'2025年上海分部利润表'!K130+'2025年赣皖区域利润表'!K130</f>
        <v>0</v>
      </c>
      <c r="L130" s="49">
        <f>'2025年中心利润表 '!L130+'2025年江苏分部利润表'!L130+'2025年浙江分部利润表'!L130+'2025年上海分部利润表'!L130+'2025年赣皖区域利润表'!L130</f>
        <v>0</v>
      </c>
      <c r="M130" s="49">
        <f>'2025年中心利润表 '!M130+'2025年江苏分部利润表'!M130+'2025年浙江分部利润表'!M130+'2025年上海分部利润表'!M130+'2025年赣皖区域利润表'!M130</f>
        <v>0</v>
      </c>
      <c r="N130" s="49">
        <f>'2025年中心利润表 '!N130+'2025年江苏分部利润表'!N130+'2025年浙江分部利润表'!N130+'2025年上海分部利润表'!N130+'2025年赣皖区域利润表'!N130</f>
        <v>0</v>
      </c>
      <c r="O130" s="49">
        <f>'2025年中心利润表 '!O130+'2025年江苏分部利润表'!O130+'2025年浙江分部利润表'!O130+'2025年上海分部利润表'!O130+'2025年赣皖区域利润表'!O130</f>
        <v>0</v>
      </c>
      <c r="P130" s="49">
        <f>'2025年中心利润表 '!P130+'2025年江苏分部利润表'!P130+'2025年浙江分部利润表'!P130+'2025年上海分部利润表'!P130+'2025年赣皖区域利润表'!P130</f>
        <v>0</v>
      </c>
      <c r="Q130" s="49">
        <f>'2025年中心利润表 '!Q130+'2025年江苏分部利润表'!Q130+'2025年浙江分部利润表'!Q130+'2025年上海分部利润表'!Q130+'2025年赣皖区域利润表'!Q130</f>
        <v>0</v>
      </c>
      <c r="R130" s="49">
        <f>'2025年中心利润表 '!R130+'2025年江苏分部利润表'!R130+'2025年浙江分部利润表'!R130+'2025年上海分部利润表'!R130+'2025年赣皖区域利润表'!R130</f>
        <v>0</v>
      </c>
      <c r="S130" s="49">
        <f>'2025年中心利润表 '!S130+'2025年江苏分部利润表'!S130+'2025年浙江分部利润表'!S130+'2025年上海分部利润表'!S130+'2025年赣皖区域利润表'!S130</f>
        <v>0</v>
      </c>
      <c r="T130" s="49">
        <f>'2025年中心利润表 '!T130+'2025年江苏分部利润表'!T130+'2025年浙江分部利润表'!T130+'2025年上海分部利润表'!T130+'2025年赣皖区域利润表'!T130</f>
        <v>0</v>
      </c>
      <c r="U130" s="49">
        <f>'2025年中心利润表 '!U130+'2025年江苏分部利润表'!U130+'2025年浙江分部利润表'!U130+'2025年上海分部利润表'!U130+'2025年赣皖区域利润表'!U130</f>
        <v>0</v>
      </c>
      <c r="V130" s="49">
        <f>'2025年中心利润表 '!V130+'2025年江苏分部利润表'!V130+'2025年浙江分部利润表'!V130+'2025年上海分部利润表'!V130+'2025年赣皖区域利润表'!V130</f>
        <v>0</v>
      </c>
      <c r="W130" s="49">
        <f>'2025年中心利润表 '!W130+'2025年江苏分部利润表'!W130+'2025年浙江分部利润表'!W130+'2025年上海分部利润表'!W130+'2025年赣皖区域利润表'!W130</f>
        <v>0</v>
      </c>
      <c r="X130" s="49">
        <f>'2025年中心利润表 '!X130+'2025年江苏分部利润表'!X130+'2025年浙江分部利润表'!X130+'2025年上海分部利润表'!X130+'2025年赣皖区域利润表'!X130</f>
        <v>0</v>
      </c>
      <c r="Y130" s="49">
        <f>'2025年中心利润表 '!Y130+'2025年江苏分部利润表'!Y130+'2025年浙江分部利润表'!Y130+'2025年上海分部利润表'!Y130+'2025年赣皖区域利润表'!Y130</f>
        <v>0</v>
      </c>
      <c r="Z130" s="49">
        <f>'2025年中心利润表 '!Z130+'2025年江苏分部利润表'!Z130+'2025年浙江分部利润表'!Z130+'2025年上海分部利润表'!Z130+'2025年赣皖区域利润表'!Z130</f>
        <v>0</v>
      </c>
      <c r="AA130" s="51">
        <f t="shared" si="24"/>
        <v>0</v>
      </c>
      <c r="AB130" s="51">
        <f t="shared" si="32"/>
        <v>0</v>
      </c>
      <c r="AC130" s="94"/>
      <c r="AD130" s="31">
        <f t="shared" si="26"/>
        <v>0</v>
      </c>
      <c r="AE130" s="31">
        <f t="shared" si="27"/>
        <v>0</v>
      </c>
      <c r="AF130" s="17">
        <f t="shared" si="28"/>
        <v>0</v>
      </c>
      <c r="AG130" s="17">
        <f t="shared" si="29"/>
        <v>0</v>
      </c>
      <c r="AH130" s="17">
        <f>SUM('[1]2024年全面预算利润表 (销售1中心)2.8亿'!E135:H135)</f>
        <v>0</v>
      </c>
    </row>
    <row r="131" spans="1:53" s="19" customFormat="1" ht="18" hidden="1" customHeight="1" outlineLevel="2" x14ac:dyDescent="0.25">
      <c r="A131" s="48" t="s">
        <v>135</v>
      </c>
      <c r="B131" s="53"/>
      <c r="C131" s="49">
        <f>'2025年中心利润表 '!C131+'2025年江苏分部利润表'!C131+'2025年浙江分部利润表'!C131+'2025年上海分部利润表'!C131+'2025年赣皖区域利润表'!C131</f>
        <v>0</v>
      </c>
      <c r="D131" s="49">
        <f>'2025年中心利润表 '!D131+'2025年江苏分部利润表'!D131+'2025年浙江分部利润表'!D131+'2025年上海分部利润表'!D131+'2025年赣皖区域利润表'!D131</f>
        <v>0</v>
      </c>
      <c r="E131" s="49">
        <f>'2025年中心利润表 '!E131+'2025年江苏分部利润表'!E131+'2025年浙江分部利润表'!E131+'2025年上海分部利润表'!E131+'2025年赣皖区域利润表'!E131</f>
        <v>0</v>
      </c>
      <c r="F131" s="49">
        <f>'2025年中心利润表 '!F131+'2025年江苏分部利润表'!F131+'2025年浙江分部利润表'!F131+'2025年上海分部利润表'!F131+'2025年赣皖区域利润表'!F131</f>
        <v>0</v>
      </c>
      <c r="G131" s="49">
        <f>'2025年中心利润表 '!G131+'2025年江苏分部利润表'!G131+'2025年浙江分部利润表'!G131+'2025年上海分部利润表'!G131+'2025年赣皖区域利润表'!G131</f>
        <v>0</v>
      </c>
      <c r="H131" s="49">
        <f>'2025年中心利润表 '!H131+'2025年江苏分部利润表'!H131+'2025年浙江分部利润表'!H131+'2025年上海分部利润表'!H131+'2025年赣皖区域利润表'!H131</f>
        <v>0</v>
      </c>
      <c r="I131" s="49">
        <f>'2025年中心利润表 '!I131+'2025年江苏分部利润表'!I131+'2025年浙江分部利润表'!I131+'2025年上海分部利润表'!I131+'2025年赣皖区域利润表'!I131</f>
        <v>0</v>
      </c>
      <c r="J131" s="49">
        <f>'2025年中心利润表 '!J131+'2025年江苏分部利润表'!J131+'2025年浙江分部利润表'!J131+'2025年上海分部利润表'!J131+'2025年赣皖区域利润表'!J131</f>
        <v>0</v>
      </c>
      <c r="K131" s="49">
        <f>'2025年中心利润表 '!K131+'2025年江苏分部利润表'!K131+'2025年浙江分部利润表'!K131+'2025年上海分部利润表'!K131+'2025年赣皖区域利润表'!K131</f>
        <v>0</v>
      </c>
      <c r="L131" s="49">
        <f>'2025年中心利润表 '!L131+'2025年江苏分部利润表'!L131+'2025年浙江分部利润表'!L131+'2025年上海分部利润表'!L131+'2025年赣皖区域利润表'!L131</f>
        <v>0</v>
      </c>
      <c r="M131" s="49">
        <f>'2025年中心利润表 '!M131+'2025年江苏分部利润表'!M131+'2025年浙江分部利润表'!M131+'2025年上海分部利润表'!M131+'2025年赣皖区域利润表'!M131</f>
        <v>0</v>
      </c>
      <c r="N131" s="49">
        <f>'2025年中心利润表 '!N131+'2025年江苏分部利润表'!N131+'2025年浙江分部利润表'!N131+'2025年上海分部利润表'!N131+'2025年赣皖区域利润表'!N131</f>
        <v>0</v>
      </c>
      <c r="O131" s="49">
        <f>'2025年中心利润表 '!O131+'2025年江苏分部利润表'!O131+'2025年浙江分部利润表'!O131+'2025年上海分部利润表'!O131+'2025年赣皖区域利润表'!O131</f>
        <v>0</v>
      </c>
      <c r="P131" s="49">
        <f>'2025年中心利润表 '!P131+'2025年江苏分部利润表'!P131+'2025年浙江分部利润表'!P131+'2025年上海分部利润表'!P131+'2025年赣皖区域利润表'!P131</f>
        <v>0</v>
      </c>
      <c r="Q131" s="49">
        <f>'2025年中心利润表 '!Q131+'2025年江苏分部利润表'!Q131+'2025年浙江分部利润表'!Q131+'2025年上海分部利润表'!Q131+'2025年赣皖区域利润表'!Q131</f>
        <v>0</v>
      </c>
      <c r="R131" s="49">
        <f>'2025年中心利润表 '!R131+'2025年江苏分部利润表'!R131+'2025年浙江分部利润表'!R131+'2025年上海分部利润表'!R131+'2025年赣皖区域利润表'!R131</f>
        <v>0</v>
      </c>
      <c r="S131" s="49">
        <f>'2025年中心利润表 '!S131+'2025年江苏分部利润表'!S131+'2025年浙江分部利润表'!S131+'2025年上海分部利润表'!S131+'2025年赣皖区域利润表'!S131</f>
        <v>0</v>
      </c>
      <c r="T131" s="49">
        <f>'2025年中心利润表 '!T131+'2025年江苏分部利润表'!T131+'2025年浙江分部利润表'!T131+'2025年上海分部利润表'!T131+'2025年赣皖区域利润表'!T131</f>
        <v>0</v>
      </c>
      <c r="U131" s="49">
        <f>'2025年中心利润表 '!U131+'2025年江苏分部利润表'!U131+'2025年浙江分部利润表'!U131+'2025年上海分部利润表'!U131+'2025年赣皖区域利润表'!U131</f>
        <v>0</v>
      </c>
      <c r="V131" s="49">
        <f>'2025年中心利润表 '!V131+'2025年江苏分部利润表'!V131+'2025年浙江分部利润表'!V131+'2025年上海分部利润表'!V131+'2025年赣皖区域利润表'!V131</f>
        <v>0</v>
      </c>
      <c r="W131" s="49">
        <f>'2025年中心利润表 '!W131+'2025年江苏分部利润表'!W131+'2025年浙江分部利润表'!W131+'2025年上海分部利润表'!W131+'2025年赣皖区域利润表'!W131</f>
        <v>0</v>
      </c>
      <c r="X131" s="49">
        <f>'2025年中心利润表 '!X131+'2025年江苏分部利润表'!X131+'2025年浙江分部利润表'!X131+'2025年上海分部利润表'!X131+'2025年赣皖区域利润表'!X131</f>
        <v>0</v>
      </c>
      <c r="Y131" s="49">
        <f>'2025年中心利润表 '!Y131+'2025年江苏分部利润表'!Y131+'2025年浙江分部利润表'!Y131+'2025年上海分部利润表'!Y131+'2025年赣皖区域利润表'!Y131</f>
        <v>0</v>
      </c>
      <c r="Z131" s="49">
        <f>'2025年中心利润表 '!Z131+'2025年江苏分部利润表'!Z131+'2025年浙江分部利润表'!Z131+'2025年上海分部利润表'!Z131+'2025年赣皖区域利润表'!Z131</f>
        <v>0</v>
      </c>
      <c r="AA131" s="51">
        <f t="shared" si="24"/>
        <v>0</v>
      </c>
      <c r="AB131" s="51">
        <f t="shared" si="32"/>
        <v>0</v>
      </c>
      <c r="AC131" s="94"/>
      <c r="AD131" s="31">
        <f t="shared" si="26"/>
        <v>0</v>
      </c>
      <c r="AE131" s="31">
        <f t="shared" si="27"/>
        <v>0</v>
      </c>
      <c r="AF131" s="17">
        <f t="shared" si="28"/>
        <v>0</v>
      </c>
      <c r="AG131" s="17">
        <f t="shared" si="29"/>
        <v>0</v>
      </c>
      <c r="AH131" s="17">
        <f>SUM('[1]2024年全面预算利润表 (销售1中心)2.8亿'!E136:H136)</f>
        <v>0</v>
      </c>
    </row>
    <row r="132" spans="1:53" s="19" customFormat="1" ht="18" hidden="1" customHeight="1" outlineLevel="1" collapsed="1" x14ac:dyDescent="0.25">
      <c r="A132" s="48" t="s">
        <v>136</v>
      </c>
      <c r="B132" s="53"/>
      <c r="C132" s="49">
        <f>'2025年中心利润表 '!C132+'2025年江苏分部利润表'!C132+'2025年浙江分部利润表'!C132+'2025年上海分部利润表'!C132+'2025年赣皖区域利润表'!C132</f>
        <v>0</v>
      </c>
      <c r="D132" s="49">
        <f>'2025年中心利润表 '!D132+'2025年江苏分部利润表'!D132+'2025年浙江分部利润表'!D132+'2025年上海分部利润表'!D132+'2025年赣皖区域利润表'!D132</f>
        <v>0</v>
      </c>
      <c r="E132" s="49">
        <f>'2025年中心利润表 '!E132+'2025年江苏分部利润表'!E132+'2025年浙江分部利润表'!E132+'2025年上海分部利润表'!E132+'2025年赣皖区域利润表'!E132</f>
        <v>0</v>
      </c>
      <c r="F132" s="49">
        <f>'2025年中心利润表 '!F132+'2025年江苏分部利润表'!F132+'2025年浙江分部利润表'!F132+'2025年上海分部利润表'!F132+'2025年赣皖区域利润表'!F132</f>
        <v>0</v>
      </c>
      <c r="G132" s="49">
        <f>'2025年中心利润表 '!G132+'2025年江苏分部利润表'!G132+'2025年浙江分部利润表'!G132+'2025年上海分部利润表'!G132+'2025年赣皖区域利润表'!G132</f>
        <v>0</v>
      </c>
      <c r="H132" s="49">
        <f>'2025年中心利润表 '!H132+'2025年江苏分部利润表'!H132+'2025年浙江分部利润表'!H132+'2025年上海分部利润表'!H132+'2025年赣皖区域利润表'!H132</f>
        <v>0</v>
      </c>
      <c r="I132" s="49">
        <f>'2025年中心利润表 '!I132+'2025年江苏分部利润表'!I132+'2025年浙江分部利润表'!I132+'2025年上海分部利润表'!I132+'2025年赣皖区域利润表'!I132</f>
        <v>0</v>
      </c>
      <c r="J132" s="49">
        <f>'2025年中心利润表 '!J132+'2025年江苏分部利润表'!J132+'2025年浙江分部利润表'!J132+'2025年上海分部利润表'!J132+'2025年赣皖区域利润表'!J132</f>
        <v>0</v>
      </c>
      <c r="K132" s="49">
        <f>'2025年中心利润表 '!K132+'2025年江苏分部利润表'!K132+'2025年浙江分部利润表'!K132+'2025年上海分部利润表'!K132+'2025年赣皖区域利润表'!K132</f>
        <v>0</v>
      </c>
      <c r="L132" s="49">
        <f>'2025年中心利润表 '!L132+'2025年江苏分部利润表'!L132+'2025年浙江分部利润表'!L132+'2025年上海分部利润表'!L132+'2025年赣皖区域利润表'!L132</f>
        <v>0</v>
      </c>
      <c r="M132" s="49">
        <f>'2025年中心利润表 '!M132+'2025年江苏分部利润表'!M132+'2025年浙江分部利润表'!M132+'2025年上海分部利润表'!M132+'2025年赣皖区域利润表'!M132</f>
        <v>0</v>
      </c>
      <c r="N132" s="49">
        <f>'2025年中心利润表 '!N132+'2025年江苏分部利润表'!N132+'2025年浙江分部利润表'!N132+'2025年上海分部利润表'!N132+'2025年赣皖区域利润表'!N132</f>
        <v>0</v>
      </c>
      <c r="O132" s="49">
        <f>'2025年中心利润表 '!O132+'2025年江苏分部利润表'!O132+'2025年浙江分部利润表'!O132+'2025年上海分部利润表'!O132+'2025年赣皖区域利润表'!O132</f>
        <v>0</v>
      </c>
      <c r="P132" s="49">
        <f>'2025年中心利润表 '!P132+'2025年江苏分部利润表'!P132+'2025年浙江分部利润表'!P132+'2025年上海分部利润表'!P132+'2025年赣皖区域利润表'!P132</f>
        <v>0</v>
      </c>
      <c r="Q132" s="49">
        <f>'2025年中心利润表 '!Q132+'2025年江苏分部利润表'!Q132+'2025年浙江分部利润表'!Q132+'2025年上海分部利润表'!Q132+'2025年赣皖区域利润表'!Q132</f>
        <v>0</v>
      </c>
      <c r="R132" s="49">
        <f>'2025年中心利润表 '!R132+'2025年江苏分部利润表'!R132+'2025年浙江分部利润表'!R132+'2025年上海分部利润表'!R132+'2025年赣皖区域利润表'!R132</f>
        <v>0</v>
      </c>
      <c r="S132" s="49">
        <f>'2025年中心利润表 '!S132+'2025年江苏分部利润表'!S132+'2025年浙江分部利润表'!S132+'2025年上海分部利润表'!S132+'2025年赣皖区域利润表'!S132</f>
        <v>0</v>
      </c>
      <c r="T132" s="49">
        <f>'2025年中心利润表 '!T132+'2025年江苏分部利润表'!T132+'2025年浙江分部利润表'!T132+'2025年上海分部利润表'!T132+'2025年赣皖区域利润表'!T132</f>
        <v>0</v>
      </c>
      <c r="U132" s="49">
        <f>'2025年中心利润表 '!U132+'2025年江苏分部利润表'!U132+'2025年浙江分部利润表'!U132+'2025年上海分部利润表'!U132+'2025年赣皖区域利润表'!U132</f>
        <v>0</v>
      </c>
      <c r="V132" s="49">
        <f>'2025年中心利润表 '!V132+'2025年江苏分部利润表'!V132+'2025年浙江分部利润表'!V132+'2025年上海分部利润表'!V132+'2025年赣皖区域利润表'!V132</f>
        <v>0</v>
      </c>
      <c r="W132" s="49">
        <f>'2025年中心利润表 '!W132+'2025年江苏分部利润表'!W132+'2025年浙江分部利润表'!W132+'2025年上海分部利润表'!W132+'2025年赣皖区域利润表'!W132</f>
        <v>0</v>
      </c>
      <c r="X132" s="49">
        <f>'2025年中心利润表 '!X132+'2025年江苏分部利润表'!X132+'2025年浙江分部利润表'!X132+'2025年上海分部利润表'!X132+'2025年赣皖区域利润表'!X132</f>
        <v>0</v>
      </c>
      <c r="Y132" s="49">
        <f>'2025年中心利润表 '!Y132+'2025年江苏分部利润表'!Y132+'2025年浙江分部利润表'!Y132+'2025年上海分部利润表'!Y132+'2025年赣皖区域利润表'!Y132</f>
        <v>0</v>
      </c>
      <c r="Z132" s="49">
        <f>'2025年中心利润表 '!Z132+'2025年江苏分部利润表'!Z132+'2025年浙江分部利润表'!Z132+'2025年上海分部利润表'!Z132+'2025年赣皖区域利润表'!Z132</f>
        <v>0</v>
      </c>
      <c r="AA132" s="51">
        <f t="shared" si="24"/>
        <v>0</v>
      </c>
      <c r="AB132" s="51">
        <f t="shared" si="32"/>
        <v>0</v>
      </c>
      <c r="AC132" s="94"/>
      <c r="AD132" s="31">
        <f t="shared" si="26"/>
        <v>0</v>
      </c>
      <c r="AE132" s="31">
        <f t="shared" si="27"/>
        <v>0</v>
      </c>
      <c r="AF132" s="17">
        <f t="shared" si="28"/>
        <v>0</v>
      </c>
      <c r="AG132" s="17">
        <f t="shared" si="29"/>
        <v>0</v>
      </c>
      <c r="AH132" s="17">
        <f>SUM('[1]2024年全面预算利润表 (销售1中心)2.8亿'!E137:H137)</f>
        <v>0</v>
      </c>
    </row>
    <row r="133" spans="1:53" s="19" customFormat="1" ht="18" hidden="1" customHeight="1" outlineLevel="1" x14ac:dyDescent="0.25">
      <c r="A133" s="48" t="s">
        <v>137</v>
      </c>
      <c r="B133" s="53"/>
      <c r="C133" s="49">
        <f>'2025年中心利润表 '!C133+'2025年江苏分部利润表'!C133+'2025年浙江分部利润表'!C133+'2025年上海分部利润表'!C133+'2025年赣皖区域利润表'!C133</f>
        <v>0</v>
      </c>
      <c r="D133" s="49">
        <f>'2025年中心利润表 '!D133+'2025年江苏分部利润表'!D133+'2025年浙江分部利润表'!D133+'2025年上海分部利润表'!D133+'2025年赣皖区域利润表'!D133</f>
        <v>0</v>
      </c>
      <c r="E133" s="49">
        <f>'2025年中心利润表 '!E133+'2025年江苏分部利润表'!E133+'2025年浙江分部利润表'!E133+'2025年上海分部利润表'!E133+'2025年赣皖区域利润表'!E133</f>
        <v>0</v>
      </c>
      <c r="F133" s="49">
        <f>'2025年中心利润表 '!F133+'2025年江苏分部利润表'!F133+'2025年浙江分部利润表'!F133+'2025年上海分部利润表'!F133+'2025年赣皖区域利润表'!F133</f>
        <v>0</v>
      </c>
      <c r="G133" s="49">
        <f>'2025年中心利润表 '!G133+'2025年江苏分部利润表'!G133+'2025年浙江分部利润表'!G133+'2025年上海分部利润表'!G133+'2025年赣皖区域利润表'!G133</f>
        <v>0</v>
      </c>
      <c r="H133" s="49">
        <f>'2025年中心利润表 '!H133+'2025年江苏分部利润表'!H133+'2025年浙江分部利润表'!H133+'2025年上海分部利润表'!H133+'2025年赣皖区域利润表'!H133</f>
        <v>0</v>
      </c>
      <c r="I133" s="49">
        <f>'2025年中心利润表 '!I133+'2025年江苏分部利润表'!I133+'2025年浙江分部利润表'!I133+'2025年上海分部利润表'!I133+'2025年赣皖区域利润表'!I133</f>
        <v>0</v>
      </c>
      <c r="J133" s="49">
        <f>'2025年中心利润表 '!J133+'2025年江苏分部利润表'!J133+'2025年浙江分部利润表'!J133+'2025年上海分部利润表'!J133+'2025年赣皖区域利润表'!J133</f>
        <v>0</v>
      </c>
      <c r="K133" s="49">
        <f>'2025年中心利润表 '!K133+'2025年江苏分部利润表'!K133+'2025年浙江分部利润表'!K133+'2025年上海分部利润表'!K133+'2025年赣皖区域利润表'!K133</f>
        <v>0</v>
      </c>
      <c r="L133" s="49">
        <f>'2025年中心利润表 '!L133+'2025年江苏分部利润表'!L133+'2025年浙江分部利润表'!L133+'2025年上海分部利润表'!L133+'2025年赣皖区域利润表'!L133</f>
        <v>0</v>
      </c>
      <c r="M133" s="49">
        <f>'2025年中心利润表 '!M133+'2025年江苏分部利润表'!M133+'2025年浙江分部利润表'!M133+'2025年上海分部利润表'!M133+'2025年赣皖区域利润表'!M133</f>
        <v>0</v>
      </c>
      <c r="N133" s="49">
        <f>'2025年中心利润表 '!N133+'2025年江苏分部利润表'!N133+'2025年浙江分部利润表'!N133+'2025年上海分部利润表'!N133+'2025年赣皖区域利润表'!N133</f>
        <v>0</v>
      </c>
      <c r="O133" s="49">
        <f>'2025年中心利润表 '!O133+'2025年江苏分部利润表'!O133+'2025年浙江分部利润表'!O133+'2025年上海分部利润表'!O133+'2025年赣皖区域利润表'!O133</f>
        <v>0</v>
      </c>
      <c r="P133" s="49">
        <f>'2025年中心利润表 '!P133+'2025年江苏分部利润表'!P133+'2025年浙江分部利润表'!P133+'2025年上海分部利润表'!P133+'2025年赣皖区域利润表'!P133</f>
        <v>0</v>
      </c>
      <c r="Q133" s="49">
        <f>'2025年中心利润表 '!Q133+'2025年江苏分部利润表'!Q133+'2025年浙江分部利润表'!Q133+'2025年上海分部利润表'!Q133+'2025年赣皖区域利润表'!Q133</f>
        <v>0</v>
      </c>
      <c r="R133" s="49">
        <f>'2025年中心利润表 '!R133+'2025年江苏分部利润表'!R133+'2025年浙江分部利润表'!R133+'2025年上海分部利润表'!R133+'2025年赣皖区域利润表'!R133</f>
        <v>0</v>
      </c>
      <c r="S133" s="49">
        <f>'2025年中心利润表 '!S133+'2025年江苏分部利润表'!S133+'2025年浙江分部利润表'!S133+'2025年上海分部利润表'!S133+'2025年赣皖区域利润表'!S133</f>
        <v>0</v>
      </c>
      <c r="T133" s="49">
        <f>'2025年中心利润表 '!T133+'2025年江苏分部利润表'!T133+'2025年浙江分部利润表'!T133+'2025年上海分部利润表'!T133+'2025年赣皖区域利润表'!T133</f>
        <v>0</v>
      </c>
      <c r="U133" s="49">
        <f>'2025年中心利润表 '!U133+'2025年江苏分部利润表'!U133+'2025年浙江分部利润表'!U133+'2025年上海分部利润表'!U133+'2025年赣皖区域利润表'!U133</f>
        <v>0</v>
      </c>
      <c r="V133" s="49">
        <f>'2025年中心利润表 '!V133+'2025年江苏分部利润表'!V133+'2025年浙江分部利润表'!V133+'2025年上海分部利润表'!V133+'2025年赣皖区域利润表'!V133</f>
        <v>0</v>
      </c>
      <c r="W133" s="49">
        <f>'2025年中心利润表 '!W133+'2025年江苏分部利润表'!W133+'2025年浙江分部利润表'!W133+'2025年上海分部利润表'!W133+'2025年赣皖区域利润表'!W133</f>
        <v>0</v>
      </c>
      <c r="X133" s="49">
        <f>'2025年中心利润表 '!X133+'2025年江苏分部利润表'!X133+'2025年浙江分部利润表'!X133+'2025年上海分部利润表'!X133+'2025年赣皖区域利润表'!X133</f>
        <v>0</v>
      </c>
      <c r="Y133" s="49">
        <f>'2025年中心利润表 '!Y133+'2025年江苏分部利润表'!Y133+'2025年浙江分部利润表'!Y133+'2025年上海分部利润表'!Y133+'2025年赣皖区域利润表'!Y133</f>
        <v>0</v>
      </c>
      <c r="Z133" s="49">
        <f>'2025年中心利润表 '!Z133+'2025年江苏分部利润表'!Z133+'2025年浙江分部利润表'!Z133+'2025年上海分部利润表'!Z133+'2025年赣皖区域利润表'!Z133</f>
        <v>0</v>
      </c>
      <c r="AA133" s="51">
        <f t="shared" si="24"/>
        <v>0</v>
      </c>
      <c r="AB133" s="51">
        <f t="shared" si="32"/>
        <v>0</v>
      </c>
      <c r="AC133" s="94"/>
      <c r="AD133" s="31">
        <f t="shared" si="26"/>
        <v>0</v>
      </c>
      <c r="AE133" s="31">
        <f t="shared" si="27"/>
        <v>0</v>
      </c>
      <c r="AF133" s="17">
        <f t="shared" si="28"/>
        <v>0</v>
      </c>
      <c r="AG133" s="17">
        <f t="shared" si="29"/>
        <v>0</v>
      </c>
      <c r="AH133" s="17">
        <f>SUM('[1]2024年全面预算利润表 (销售1中心)2.8亿'!E138:H138)</f>
        <v>0</v>
      </c>
    </row>
    <row r="134" spans="1:53" s="19" customFormat="1" ht="18" hidden="1" customHeight="1" outlineLevel="1" x14ac:dyDescent="0.25">
      <c r="A134" s="48" t="s">
        <v>138</v>
      </c>
      <c r="B134" s="53"/>
      <c r="C134" s="49">
        <f>'2025年中心利润表 '!C134+'2025年江苏分部利润表'!C134+'2025年浙江分部利润表'!C134+'2025年上海分部利润表'!C134+'2025年赣皖区域利润表'!C134</f>
        <v>0</v>
      </c>
      <c r="D134" s="49">
        <f>'2025年中心利润表 '!D134+'2025年江苏分部利润表'!D134+'2025年浙江分部利润表'!D134+'2025年上海分部利润表'!D134+'2025年赣皖区域利润表'!D134</f>
        <v>0</v>
      </c>
      <c r="E134" s="49">
        <f>'2025年中心利润表 '!E134+'2025年江苏分部利润表'!E134+'2025年浙江分部利润表'!E134+'2025年上海分部利润表'!E134+'2025年赣皖区域利润表'!E134</f>
        <v>0</v>
      </c>
      <c r="F134" s="49">
        <f>'2025年中心利润表 '!F134+'2025年江苏分部利润表'!F134+'2025年浙江分部利润表'!F134+'2025年上海分部利润表'!F134+'2025年赣皖区域利润表'!F134</f>
        <v>0</v>
      </c>
      <c r="G134" s="49">
        <f>'2025年中心利润表 '!G134+'2025年江苏分部利润表'!G134+'2025年浙江分部利润表'!G134+'2025年上海分部利润表'!G134+'2025年赣皖区域利润表'!G134</f>
        <v>0</v>
      </c>
      <c r="H134" s="49">
        <f>'2025年中心利润表 '!H134+'2025年江苏分部利润表'!H134+'2025年浙江分部利润表'!H134+'2025年上海分部利润表'!H134+'2025年赣皖区域利润表'!H134</f>
        <v>0</v>
      </c>
      <c r="I134" s="49">
        <f>'2025年中心利润表 '!I134+'2025年江苏分部利润表'!I134+'2025年浙江分部利润表'!I134+'2025年上海分部利润表'!I134+'2025年赣皖区域利润表'!I134</f>
        <v>0</v>
      </c>
      <c r="J134" s="49">
        <f>'2025年中心利润表 '!J134+'2025年江苏分部利润表'!J134+'2025年浙江分部利润表'!J134+'2025年上海分部利润表'!J134+'2025年赣皖区域利润表'!J134</f>
        <v>0</v>
      </c>
      <c r="K134" s="49">
        <f>'2025年中心利润表 '!K134+'2025年江苏分部利润表'!K134+'2025年浙江分部利润表'!K134+'2025年上海分部利润表'!K134+'2025年赣皖区域利润表'!K134</f>
        <v>0</v>
      </c>
      <c r="L134" s="49">
        <f>'2025年中心利润表 '!L134+'2025年江苏分部利润表'!L134+'2025年浙江分部利润表'!L134+'2025年上海分部利润表'!L134+'2025年赣皖区域利润表'!L134</f>
        <v>0</v>
      </c>
      <c r="M134" s="49">
        <f>'2025年中心利润表 '!M134+'2025年江苏分部利润表'!M134+'2025年浙江分部利润表'!M134+'2025年上海分部利润表'!M134+'2025年赣皖区域利润表'!M134</f>
        <v>0</v>
      </c>
      <c r="N134" s="49">
        <f>'2025年中心利润表 '!N134+'2025年江苏分部利润表'!N134+'2025年浙江分部利润表'!N134+'2025年上海分部利润表'!N134+'2025年赣皖区域利润表'!N134</f>
        <v>0</v>
      </c>
      <c r="O134" s="49">
        <f>'2025年中心利润表 '!O134+'2025年江苏分部利润表'!O134+'2025年浙江分部利润表'!O134+'2025年上海分部利润表'!O134+'2025年赣皖区域利润表'!O134</f>
        <v>0</v>
      </c>
      <c r="P134" s="49">
        <f>'2025年中心利润表 '!P134+'2025年江苏分部利润表'!P134+'2025年浙江分部利润表'!P134+'2025年上海分部利润表'!P134+'2025年赣皖区域利润表'!P134</f>
        <v>0</v>
      </c>
      <c r="Q134" s="49">
        <f>'2025年中心利润表 '!Q134+'2025年江苏分部利润表'!Q134+'2025年浙江分部利润表'!Q134+'2025年上海分部利润表'!Q134+'2025年赣皖区域利润表'!Q134</f>
        <v>0</v>
      </c>
      <c r="R134" s="49">
        <f>'2025年中心利润表 '!R134+'2025年江苏分部利润表'!R134+'2025年浙江分部利润表'!R134+'2025年上海分部利润表'!R134+'2025年赣皖区域利润表'!R134</f>
        <v>0</v>
      </c>
      <c r="S134" s="49">
        <f>'2025年中心利润表 '!S134+'2025年江苏分部利润表'!S134+'2025年浙江分部利润表'!S134+'2025年上海分部利润表'!S134+'2025年赣皖区域利润表'!S134</f>
        <v>0</v>
      </c>
      <c r="T134" s="49">
        <f>'2025年中心利润表 '!T134+'2025年江苏分部利润表'!T134+'2025年浙江分部利润表'!T134+'2025年上海分部利润表'!T134+'2025年赣皖区域利润表'!T134</f>
        <v>0</v>
      </c>
      <c r="U134" s="49">
        <f>'2025年中心利润表 '!U134+'2025年江苏分部利润表'!U134+'2025年浙江分部利润表'!U134+'2025年上海分部利润表'!U134+'2025年赣皖区域利润表'!U134</f>
        <v>0</v>
      </c>
      <c r="V134" s="49">
        <f>'2025年中心利润表 '!V134+'2025年江苏分部利润表'!V134+'2025年浙江分部利润表'!V134+'2025年上海分部利润表'!V134+'2025年赣皖区域利润表'!V134</f>
        <v>0</v>
      </c>
      <c r="W134" s="49">
        <f>'2025年中心利润表 '!W134+'2025年江苏分部利润表'!W134+'2025年浙江分部利润表'!W134+'2025年上海分部利润表'!W134+'2025年赣皖区域利润表'!W134</f>
        <v>0</v>
      </c>
      <c r="X134" s="49">
        <f>'2025年中心利润表 '!X134+'2025年江苏分部利润表'!X134+'2025年浙江分部利润表'!X134+'2025年上海分部利润表'!X134+'2025年赣皖区域利润表'!X134</f>
        <v>0</v>
      </c>
      <c r="Y134" s="49">
        <f>'2025年中心利润表 '!Y134+'2025年江苏分部利润表'!Y134+'2025年浙江分部利润表'!Y134+'2025年上海分部利润表'!Y134+'2025年赣皖区域利润表'!Y134</f>
        <v>0</v>
      </c>
      <c r="Z134" s="49">
        <f>'2025年中心利润表 '!Z134+'2025年江苏分部利润表'!Z134+'2025年浙江分部利润表'!Z134+'2025年上海分部利润表'!Z134+'2025年赣皖区域利润表'!Z134</f>
        <v>0</v>
      </c>
      <c r="AA134" s="51">
        <f t="shared" si="24"/>
        <v>0</v>
      </c>
      <c r="AB134" s="51">
        <f t="shared" si="32"/>
        <v>0</v>
      </c>
      <c r="AC134" s="94"/>
      <c r="AD134" s="31">
        <f t="shared" si="26"/>
        <v>0</v>
      </c>
      <c r="AE134" s="31">
        <f t="shared" si="27"/>
        <v>0</v>
      </c>
      <c r="AF134" s="17">
        <f t="shared" si="28"/>
        <v>0</v>
      </c>
      <c r="AG134" s="17">
        <f t="shared" si="29"/>
        <v>0</v>
      </c>
      <c r="AH134" s="17">
        <f>SUM('[1]2024年全面预算利润表 (销售1中心)2.8亿'!E139:H139)</f>
        <v>0</v>
      </c>
    </row>
    <row r="135" spans="1:53" s="19" customFormat="1" ht="18" hidden="1" customHeight="1" outlineLevel="1" x14ac:dyDescent="0.25">
      <c r="A135" s="48" t="s">
        <v>139</v>
      </c>
      <c r="B135" s="53"/>
      <c r="C135" s="49">
        <f>'2025年中心利润表 '!C135+'2025年江苏分部利润表'!C135+'2025年浙江分部利润表'!C135+'2025年上海分部利润表'!C135+'2025年赣皖区域利润表'!C135</f>
        <v>0</v>
      </c>
      <c r="D135" s="49">
        <f>'2025年中心利润表 '!D135+'2025年江苏分部利润表'!D135+'2025年浙江分部利润表'!D135+'2025年上海分部利润表'!D135+'2025年赣皖区域利润表'!D135</f>
        <v>0</v>
      </c>
      <c r="E135" s="49">
        <f>'2025年中心利润表 '!E135+'2025年江苏分部利润表'!E135+'2025年浙江分部利润表'!E135+'2025年上海分部利润表'!E135+'2025年赣皖区域利润表'!E135</f>
        <v>0</v>
      </c>
      <c r="F135" s="49">
        <f>'2025年中心利润表 '!F135+'2025年江苏分部利润表'!F135+'2025年浙江分部利润表'!F135+'2025年上海分部利润表'!F135+'2025年赣皖区域利润表'!F135</f>
        <v>0</v>
      </c>
      <c r="G135" s="49">
        <f>'2025年中心利润表 '!G135+'2025年江苏分部利润表'!G135+'2025年浙江分部利润表'!G135+'2025年上海分部利润表'!G135+'2025年赣皖区域利润表'!G135</f>
        <v>0</v>
      </c>
      <c r="H135" s="49">
        <f>'2025年中心利润表 '!H135+'2025年江苏分部利润表'!H135+'2025年浙江分部利润表'!H135+'2025年上海分部利润表'!H135+'2025年赣皖区域利润表'!H135</f>
        <v>0</v>
      </c>
      <c r="I135" s="49">
        <f>'2025年中心利润表 '!I135+'2025年江苏分部利润表'!I135+'2025年浙江分部利润表'!I135+'2025年上海分部利润表'!I135+'2025年赣皖区域利润表'!I135</f>
        <v>0</v>
      </c>
      <c r="J135" s="49">
        <f>'2025年中心利润表 '!J135+'2025年江苏分部利润表'!J135+'2025年浙江分部利润表'!J135+'2025年上海分部利润表'!J135+'2025年赣皖区域利润表'!J135</f>
        <v>0</v>
      </c>
      <c r="K135" s="49">
        <f>'2025年中心利润表 '!K135+'2025年江苏分部利润表'!K135+'2025年浙江分部利润表'!K135+'2025年上海分部利润表'!K135+'2025年赣皖区域利润表'!K135</f>
        <v>0</v>
      </c>
      <c r="L135" s="49">
        <f>'2025年中心利润表 '!L135+'2025年江苏分部利润表'!L135+'2025年浙江分部利润表'!L135+'2025年上海分部利润表'!L135+'2025年赣皖区域利润表'!L135</f>
        <v>0</v>
      </c>
      <c r="M135" s="49">
        <f>'2025年中心利润表 '!M135+'2025年江苏分部利润表'!M135+'2025年浙江分部利润表'!M135+'2025年上海分部利润表'!M135+'2025年赣皖区域利润表'!M135</f>
        <v>0</v>
      </c>
      <c r="N135" s="49">
        <f>'2025年中心利润表 '!N135+'2025年江苏分部利润表'!N135+'2025年浙江分部利润表'!N135+'2025年上海分部利润表'!N135+'2025年赣皖区域利润表'!N135</f>
        <v>0</v>
      </c>
      <c r="O135" s="49">
        <f>'2025年中心利润表 '!O135+'2025年江苏分部利润表'!O135+'2025年浙江分部利润表'!O135+'2025年上海分部利润表'!O135+'2025年赣皖区域利润表'!O135</f>
        <v>0</v>
      </c>
      <c r="P135" s="49">
        <f>'2025年中心利润表 '!P135+'2025年江苏分部利润表'!P135+'2025年浙江分部利润表'!P135+'2025年上海分部利润表'!P135+'2025年赣皖区域利润表'!P135</f>
        <v>0</v>
      </c>
      <c r="Q135" s="49">
        <f>'2025年中心利润表 '!Q135+'2025年江苏分部利润表'!Q135+'2025年浙江分部利润表'!Q135+'2025年上海分部利润表'!Q135+'2025年赣皖区域利润表'!Q135</f>
        <v>0</v>
      </c>
      <c r="R135" s="49">
        <f>'2025年中心利润表 '!R135+'2025年江苏分部利润表'!R135+'2025年浙江分部利润表'!R135+'2025年上海分部利润表'!R135+'2025年赣皖区域利润表'!R135</f>
        <v>0</v>
      </c>
      <c r="S135" s="49">
        <f>'2025年中心利润表 '!S135+'2025年江苏分部利润表'!S135+'2025年浙江分部利润表'!S135+'2025年上海分部利润表'!S135+'2025年赣皖区域利润表'!S135</f>
        <v>0</v>
      </c>
      <c r="T135" s="49">
        <f>'2025年中心利润表 '!T135+'2025年江苏分部利润表'!T135+'2025年浙江分部利润表'!T135+'2025年上海分部利润表'!T135+'2025年赣皖区域利润表'!T135</f>
        <v>0</v>
      </c>
      <c r="U135" s="49">
        <f>'2025年中心利润表 '!U135+'2025年江苏分部利润表'!U135+'2025年浙江分部利润表'!U135+'2025年上海分部利润表'!U135+'2025年赣皖区域利润表'!U135</f>
        <v>0</v>
      </c>
      <c r="V135" s="49">
        <f>'2025年中心利润表 '!V135+'2025年江苏分部利润表'!V135+'2025年浙江分部利润表'!V135+'2025年上海分部利润表'!V135+'2025年赣皖区域利润表'!V135</f>
        <v>0</v>
      </c>
      <c r="W135" s="49">
        <f>'2025年中心利润表 '!W135+'2025年江苏分部利润表'!W135+'2025年浙江分部利润表'!W135+'2025年上海分部利润表'!W135+'2025年赣皖区域利润表'!W135</f>
        <v>0</v>
      </c>
      <c r="X135" s="49">
        <f>'2025年中心利润表 '!X135+'2025年江苏分部利润表'!X135+'2025年浙江分部利润表'!X135+'2025年上海分部利润表'!X135+'2025年赣皖区域利润表'!X135</f>
        <v>0</v>
      </c>
      <c r="Y135" s="49">
        <f>'2025年中心利润表 '!Y135+'2025年江苏分部利润表'!Y135+'2025年浙江分部利润表'!Y135+'2025年上海分部利润表'!Y135+'2025年赣皖区域利润表'!Y135</f>
        <v>0</v>
      </c>
      <c r="Z135" s="49">
        <f>'2025年中心利润表 '!Z135+'2025年江苏分部利润表'!Z135+'2025年浙江分部利润表'!Z135+'2025年上海分部利润表'!Z135+'2025年赣皖区域利润表'!Z135</f>
        <v>0</v>
      </c>
      <c r="AA135" s="51">
        <f t="shared" si="24"/>
        <v>0</v>
      </c>
      <c r="AB135" s="51">
        <f t="shared" si="32"/>
        <v>0</v>
      </c>
      <c r="AC135" s="94"/>
      <c r="AD135" s="31">
        <f t="shared" si="26"/>
        <v>0</v>
      </c>
      <c r="AE135" s="31">
        <f t="shared" si="27"/>
        <v>0</v>
      </c>
      <c r="AF135" s="17">
        <f t="shared" si="28"/>
        <v>0</v>
      </c>
      <c r="AG135" s="17">
        <f t="shared" si="29"/>
        <v>0</v>
      </c>
      <c r="AH135" s="17">
        <f>SUM('[1]2024年全面预算利润表 (销售1中心)2.8亿'!E140:H140)</f>
        <v>0</v>
      </c>
    </row>
    <row r="136" spans="1:53" s="19" customFormat="1" ht="18" hidden="1" customHeight="1" outlineLevel="1" x14ac:dyDescent="0.25">
      <c r="A136" s="48" t="s">
        <v>140</v>
      </c>
      <c r="B136" s="53"/>
      <c r="C136" s="49">
        <f>'2025年中心利润表 '!C136+'2025年江苏分部利润表'!C136+'2025年浙江分部利润表'!C136+'2025年上海分部利润表'!C136+'2025年赣皖区域利润表'!C136</f>
        <v>0</v>
      </c>
      <c r="D136" s="49">
        <f>'2025年中心利润表 '!D136+'2025年江苏分部利润表'!D136+'2025年浙江分部利润表'!D136+'2025年上海分部利润表'!D136+'2025年赣皖区域利润表'!D136</f>
        <v>0</v>
      </c>
      <c r="E136" s="49">
        <f>'2025年中心利润表 '!E136+'2025年江苏分部利润表'!E136+'2025年浙江分部利润表'!E136+'2025年上海分部利润表'!E136+'2025年赣皖区域利润表'!E136</f>
        <v>0</v>
      </c>
      <c r="F136" s="49">
        <f>'2025年中心利润表 '!F136+'2025年江苏分部利润表'!F136+'2025年浙江分部利润表'!F136+'2025年上海分部利润表'!F136+'2025年赣皖区域利润表'!F136</f>
        <v>0</v>
      </c>
      <c r="G136" s="49">
        <f>'2025年中心利润表 '!G136+'2025年江苏分部利润表'!G136+'2025年浙江分部利润表'!G136+'2025年上海分部利润表'!G136+'2025年赣皖区域利润表'!G136</f>
        <v>0</v>
      </c>
      <c r="H136" s="49">
        <f>'2025年中心利润表 '!H136+'2025年江苏分部利润表'!H136+'2025年浙江分部利润表'!H136+'2025年上海分部利润表'!H136+'2025年赣皖区域利润表'!H136</f>
        <v>0</v>
      </c>
      <c r="I136" s="49">
        <f>'2025年中心利润表 '!I136+'2025年江苏分部利润表'!I136+'2025年浙江分部利润表'!I136+'2025年上海分部利润表'!I136+'2025年赣皖区域利润表'!I136</f>
        <v>0</v>
      </c>
      <c r="J136" s="49">
        <f>'2025年中心利润表 '!J136+'2025年江苏分部利润表'!J136+'2025年浙江分部利润表'!J136+'2025年上海分部利润表'!J136+'2025年赣皖区域利润表'!J136</f>
        <v>0</v>
      </c>
      <c r="K136" s="49">
        <f>'2025年中心利润表 '!K136+'2025年江苏分部利润表'!K136+'2025年浙江分部利润表'!K136+'2025年上海分部利润表'!K136+'2025年赣皖区域利润表'!K136</f>
        <v>0</v>
      </c>
      <c r="L136" s="49">
        <f>'2025年中心利润表 '!L136+'2025年江苏分部利润表'!L136+'2025年浙江分部利润表'!L136+'2025年上海分部利润表'!L136+'2025年赣皖区域利润表'!L136</f>
        <v>0</v>
      </c>
      <c r="M136" s="49">
        <f>'2025年中心利润表 '!M136+'2025年江苏分部利润表'!M136+'2025年浙江分部利润表'!M136+'2025年上海分部利润表'!M136+'2025年赣皖区域利润表'!M136</f>
        <v>0</v>
      </c>
      <c r="N136" s="49">
        <f>'2025年中心利润表 '!N136+'2025年江苏分部利润表'!N136+'2025年浙江分部利润表'!N136+'2025年上海分部利润表'!N136+'2025年赣皖区域利润表'!N136</f>
        <v>0</v>
      </c>
      <c r="O136" s="49">
        <f>'2025年中心利润表 '!O136+'2025年江苏分部利润表'!O136+'2025年浙江分部利润表'!O136+'2025年上海分部利润表'!O136+'2025年赣皖区域利润表'!O136</f>
        <v>0</v>
      </c>
      <c r="P136" s="49">
        <f>'2025年中心利润表 '!P136+'2025年江苏分部利润表'!P136+'2025年浙江分部利润表'!P136+'2025年上海分部利润表'!P136+'2025年赣皖区域利润表'!P136</f>
        <v>0</v>
      </c>
      <c r="Q136" s="49">
        <f>'2025年中心利润表 '!Q136+'2025年江苏分部利润表'!Q136+'2025年浙江分部利润表'!Q136+'2025年上海分部利润表'!Q136+'2025年赣皖区域利润表'!Q136</f>
        <v>0</v>
      </c>
      <c r="R136" s="49">
        <f>'2025年中心利润表 '!R136+'2025年江苏分部利润表'!R136+'2025年浙江分部利润表'!R136+'2025年上海分部利润表'!R136+'2025年赣皖区域利润表'!R136</f>
        <v>0</v>
      </c>
      <c r="S136" s="49">
        <f>'2025年中心利润表 '!S136+'2025年江苏分部利润表'!S136+'2025年浙江分部利润表'!S136+'2025年上海分部利润表'!S136+'2025年赣皖区域利润表'!S136</f>
        <v>0</v>
      </c>
      <c r="T136" s="49">
        <f>'2025年中心利润表 '!T136+'2025年江苏分部利润表'!T136+'2025年浙江分部利润表'!T136+'2025年上海分部利润表'!T136+'2025年赣皖区域利润表'!T136</f>
        <v>0</v>
      </c>
      <c r="U136" s="49">
        <f>'2025年中心利润表 '!U136+'2025年江苏分部利润表'!U136+'2025年浙江分部利润表'!U136+'2025年上海分部利润表'!U136+'2025年赣皖区域利润表'!U136</f>
        <v>0</v>
      </c>
      <c r="V136" s="49">
        <f>'2025年中心利润表 '!V136+'2025年江苏分部利润表'!V136+'2025年浙江分部利润表'!V136+'2025年上海分部利润表'!V136+'2025年赣皖区域利润表'!V136</f>
        <v>0</v>
      </c>
      <c r="W136" s="49">
        <f>'2025年中心利润表 '!W136+'2025年江苏分部利润表'!W136+'2025年浙江分部利润表'!W136+'2025年上海分部利润表'!W136+'2025年赣皖区域利润表'!W136</f>
        <v>0</v>
      </c>
      <c r="X136" s="49">
        <f>'2025年中心利润表 '!X136+'2025年江苏分部利润表'!X136+'2025年浙江分部利润表'!X136+'2025年上海分部利润表'!X136+'2025年赣皖区域利润表'!X136</f>
        <v>0</v>
      </c>
      <c r="Y136" s="49">
        <f>'2025年中心利润表 '!Y136+'2025年江苏分部利润表'!Y136+'2025年浙江分部利润表'!Y136+'2025年上海分部利润表'!Y136+'2025年赣皖区域利润表'!Y136</f>
        <v>0</v>
      </c>
      <c r="Z136" s="49">
        <f>'2025年中心利润表 '!Z136+'2025年江苏分部利润表'!Z136+'2025年浙江分部利润表'!Z136+'2025年上海分部利润表'!Z136+'2025年赣皖区域利润表'!Z136</f>
        <v>0</v>
      </c>
      <c r="AA136" s="51">
        <f t="shared" si="24"/>
        <v>0</v>
      </c>
      <c r="AB136" s="51">
        <f t="shared" si="32"/>
        <v>0</v>
      </c>
      <c r="AC136" s="94"/>
      <c r="AD136" s="31">
        <f t="shared" si="26"/>
        <v>0</v>
      </c>
      <c r="AE136" s="31">
        <f t="shared" si="27"/>
        <v>0</v>
      </c>
      <c r="AF136" s="17">
        <f t="shared" si="28"/>
        <v>0</v>
      </c>
      <c r="AG136" s="17">
        <f t="shared" si="29"/>
        <v>0</v>
      </c>
      <c r="AH136" s="17">
        <f>SUM('[1]2024年全面预算利润表 (销售1中心)2.8亿'!E141:H141)</f>
        <v>0</v>
      </c>
    </row>
    <row r="137" spans="1:53" s="19" customFormat="1" ht="18" hidden="1" customHeight="1" outlineLevel="1" x14ac:dyDescent="0.25">
      <c r="A137" s="48" t="s">
        <v>141</v>
      </c>
      <c r="B137" s="53"/>
      <c r="C137" s="49">
        <f>'2025年中心利润表 '!C137+'2025年江苏分部利润表'!C137+'2025年浙江分部利润表'!C137+'2025年上海分部利润表'!C137+'2025年赣皖区域利润表'!C137</f>
        <v>0</v>
      </c>
      <c r="D137" s="49">
        <f>'2025年中心利润表 '!D137+'2025年江苏分部利润表'!D137+'2025年浙江分部利润表'!D137+'2025年上海分部利润表'!D137+'2025年赣皖区域利润表'!D137</f>
        <v>0</v>
      </c>
      <c r="E137" s="49">
        <f>'2025年中心利润表 '!E137+'2025年江苏分部利润表'!E137+'2025年浙江分部利润表'!E137+'2025年上海分部利润表'!E137+'2025年赣皖区域利润表'!E137</f>
        <v>0</v>
      </c>
      <c r="F137" s="49">
        <f>'2025年中心利润表 '!F137+'2025年江苏分部利润表'!F137+'2025年浙江分部利润表'!F137+'2025年上海分部利润表'!F137+'2025年赣皖区域利润表'!F137</f>
        <v>0</v>
      </c>
      <c r="G137" s="49">
        <f>'2025年中心利润表 '!G137+'2025年江苏分部利润表'!G137+'2025年浙江分部利润表'!G137+'2025年上海分部利润表'!G137+'2025年赣皖区域利润表'!G137</f>
        <v>0</v>
      </c>
      <c r="H137" s="49">
        <f>'2025年中心利润表 '!H137+'2025年江苏分部利润表'!H137+'2025年浙江分部利润表'!H137+'2025年上海分部利润表'!H137+'2025年赣皖区域利润表'!H137</f>
        <v>0</v>
      </c>
      <c r="I137" s="49">
        <f>'2025年中心利润表 '!I137+'2025年江苏分部利润表'!I137+'2025年浙江分部利润表'!I137+'2025年上海分部利润表'!I137+'2025年赣皖区域利润表'!I137</f>
        <v>0</v>
      </c>
      <c r="J137" s="49">
        <f>'2025年中心利润表 '!J137+'2025年江苏分部利润表'!J137+'2025年浙江分部利润表'!J137+'2025年上海分部利润表'!J137+'2025年赣皖区域利润表'!J137</f>
        <v>0</v>
      </c>
      <c r="K137" s="49">
        <f>'2025年中心利润表 '!K137+'2025年江苏分部利润表'!K137+'2025年浙江分部利润表'!K137+'2025年上海分部利润表'!K137+'2025年赣皖区域利润表'!K137</f>
        <v>0</v>
      </c>
      <c r="L137" s="49">
        <f>'2025年中心利润表 '!L137+'2025年江苏分部利润表'!L137+'2025年浙江分部利润表'!L137+'2025年上海分部利润表'!L137+'2025年赣皖区域利润表'!L137</f>
        <v>0</v>
      </c>
      <c r="M137" s="49">
        <f>'2025年中心利润表 '!M137+'2025年江苏分部利润表'!M137+'2025年浙江分部利润表'!M137+'2025年上海分部利润表'!M137+'2025年赣皖区域利润表'!M137</f>
        <v>0</v>
      </c>
      <c r="N137" s="49">
        <f>'2025年中心利润表 '!N137+'2025年江苏分部利润表'!N137+'2025年浙江分部利润表'!N137+'2025年上海分部利润表'!N137+'2025年赣皖区域利润表'!N137</f>
        <v>0</v>
      </c>
      <c r="O137" s="49">
        <f>'2025年中心利润表 '!O137+'2025年江苏分部利润表'!O137+'2025年浙江分部利润表'!O137+'2025年上海分部利润表'!O137+'2025年赣皖区域利润表'!O137</f>
        <v>0</v>
      </c>
      <c r="P137" s="49">
        <f>'2025年中心利润表 '!P137+'2025年江苏分部利润表'!P137+'2025年浙江分部利润表'!P137+'2025年上海分部利润表'!P137+'2025年赣皖区域利润表'!P137</f>
        <v>0</v>
      </c>
      <c r="Q137" s="49">
        <f>'2025年中心利润表 '!Q137+'2025年江苏分部利润表'!Q137+'2025年浙江分部利润表'!Q137+'2025年上海分部利润表'!Q137+'2025年赣皖区域利润表'!Q137</f>
        <v>0</v>
      </c>
      <c r="R137" s="49">
        <f>'2025年中心利润表 '!R137+'2025年江苏分部利润表'!R137+'2025年浙江分部利润表'!R137+'2025年上海分部利润表'!R137+'2025年赣皖区域利润表'!R137</f>
        <v>0</v>
      </c>
      <c r="S137" s="49">
        <f>'2025年中心利润表 '!S137+'2025年江苏分部利润表'!S137+'2025年浙江分部利润表'!S137+'2025年上海分部利润表'!S137+'2025年赣皖区域利润表'!S137</f>
        <v>0</v>
      </c>
      <c r="T137" s="49">
        <f>'2025年中心利润表 '!T137+'2025年江苏分部利润表'!T137+'2025年浙江分部利润表'!T137+'2025年上海分部利润表'!T137+'2025年赣皖区域利润表'!T137</f>
        <v>0</v>
      </c>
      <c r="U137" s="49">
        <f>'2025年中心利润表 '!U137+'2025年江苏分部利润表'!U137+'2025年浙江分部利润表'!U137+'2025年上海分部利润表'!U137+'2025年赣皖区域利润表'!U137</f>
        <v>0</v>
      </c>
      <c r="V137" s="49">
        <f>'2025年中心利润表 '!V137+'2025年江苏分部利润表'!V137+'2025年浙江分部利润表'!V137+'2025年上海分部利润表'!V137+'2025年赣皖区域利润表'!V137</f>
        <v>0</v>
      </c>
      <c r="W137" s="49">
        <f>'2025年中心利润表 '!W137+'2025年江苏分部利润表'!W137+'2025年浙江分部利润表'!W137+'2025年上海分部利润表'!W137+'2025年赣皖区域利润表'!W137</f>
        <v>0</v>
      </c>
      <c r="X137" s="49">
        <f>'2025年中心利润表 '!X137+'2025年江苏分部利润表'!X137+'2025年浙江分部利润表'!X137+'2025年上海分部利润表'!X137+'2025年赣皖区域利润表'!X137</f>
        <v>0</v>
      </c>
      <c r="Y137" s="49">
        <f>'2025年中心利润表 '!Y137+'2025年江苏分部利润表'!Y137+'2025年浙江分部利润表'!Y137+'2025年上海分部利润表'!Y137+'2025年赣皖区域利润表'!Y137</f>
        <v>0</v>
      </c>
      <c r="Z137" s="49">
        <f>'2025年中心利润表 '!Z137+'2025年江苏分部利润表'!Z137+'2025年浙江分部利润表'!Z137+'2025年上海分部利润表'!Z137+'2025年赣皖区域利润表'!Z137</f>
        <v>0</v>
      </c>
      <c r="AA137" s="51">
        <f t="shared" si="24"/>
        <v>0</v>
      </c>
      <c r="AB137" s="51">
        <f t="shared" si="32"/>
        <v>0</v>
      </c>
      <c r="AC137" s="94"/>
      <c r="AD137" s="31">
        <f t="shared" si="26"/>
        <v>0</v>
      </c>
      <c r="AE137" s="31">
        <f t="shared" si="27"/>
        <v>0</v>
      </c>
      <c r="AF137" s="17">
        <f t="shared" si="28"/>
        <v>0</v>
      </c>
      <c r="AG137" s="17">
        <f t="shared" si="29"/>
        <v>0</v>
      </c>
      <c r="AH137" s="17">
        <f>SUM('[1]2024年全面预算利润表 (销售1中心)2.8亿'!E142:H142)</f>
        <v>0</v>
      </c>
    </row>
    <row r="138" spans="1:53" s="17" customFormat="1" ht="18" hidden="1" customHeight="1" outlineLevel="1" x14ac:dyDescent="0.25">
      <c r="A138" s="67" t="s">
        <v>142</v>
      </c>
      <c r="B138" s="45"/>
      <c r="C138" s="65">
        <f t="shared" ref="C138:Z138" si="35">SUM(C139:C142)</f>
        <v>0</v>
      </c>
      <c r="D138" s="65">
        <f t="shared" si="35"/>
        <v>0</v>
      </c>
      <c r="E138" s="65">
        <f t="shared" si="35"/>
        <v>0</v>
      </c>
      <c r="F138" s="65">
        <f t="shared" si="35"/>
        <v>0</v>
      </c>
      <c r="G138" s="65">
        <f t="shared" si="35"/>
        <v>0</v>
      </c>
      <c r="H138" s="65">
        <f t="shared" si="35"/>
        <v>0</v>
      </c>
      <c r="I138" s="65">
        <f t="shared" si="35"/>
        <v>0</v>
      </c>
      <c r="J138" s="65">
        <f t="shared" si="35"/>
        <v>0</v>
      </c>
      <c r="K138" s="65">
        <f t="shared" si="35"/>
        <v>0</v>
      </c>
      <c r="L138" s="65">
        <f t="shared" si="35"/>
        <v>0</v>
      </c>
      <c r="M138" s="65">
        <f t="shared" si="35"/>
        <v>0</v>
      </c>
      <c r="N138" s="65">
        <f t="shared" si="35"/>
        <v>0</v>
      </c>
      <c r="O138" s="65">
        <f t="shared" si="35"/>
        <v>0</v>
      </c>
      <c r="P138" s="65">
        <f t="shared" si="35"/>
        <v>0</v>
      </c>
      <c r="Q138" s="65">
        <f t="shared" si="35"/>
        <v>0</v>
      </c>
      <c r="R138" s="65">
        <f t="shared" si="35"/>
        <v>0</v>
      </c>
      <c r="S138" s="65">
        <f t="shared" si="35"/>
        <v>0</v>
      </c>
      <c r="T138" s="65">
        <f t="shared" si="35"/>
        <v>0</v>
      </c>
      <c r="U138" s="65">
        <f t="shared" si="35"/>
        <v>0</v>
      </c>
      <c r="V138" s="65">
        <f t="shared" si="35"/>
        <v>0</v>
      </c>
      <c r="W138" s="65">
        <f t="shared" si="35"/>
        <v>0</v>
      </c>
      <c r="X138" s="65">
        <f t="shared" si="35"/>
        <v>0</v>
      </c>
      <c r="Y138" s="65">
        <f t="shared" si="35"/>
        <v>0</v>
      </c>
      <c r="Z138" s="65">
        <f t="shared" si="35"/>
        <v>0</v>
      </c>
      <c r="AA138" s="51">
        <f t="shared" si="24"/>
        <v>0</v>
      </c>
      <c r="AB138" s="51">
        <f t="shared" si="32"/>
        <v>0</v>
      </c>
      <c r="AC138" s="132"/>
      <c r="AD138" s="31">
        <f t="shared" si="26"/>
        <v>0</v>
      </c>
      <c r="AE138" s="31">
        <f t="shared" si="27"/>
        <v>0</v>
      </c>
      <c r="AF138" s="17">
        <f t="shared" si="28"/>
        <v>0</v>
      </c>
      <c r="AG138" s="17">
        <f t="shared" si="29"/>
        <v>0</v>
      </c>
      <c r="AH138" s="17">
        <f>SUM('[1]2024年全面预算利润表 (销售1中心)2.8亿'!E143:H143)</f>
        <v>0</v>
      </c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</row>
    <row r="139" spans="1:53" s="19" customFormat="1" ht="18" hidden="1" customHeight="1" outlineLevel="2" x14ac:dyDescent="0.25">
      <c r="A139" s="48" t="s">
        <v>143</v>
      </c>
      <c r="B139" s="53"/>
      <c r="C139" s="49">
        <f>'2025年中心利润表 '!C139+'2025年江苏分部利润表'!C139+'2025年浙江分部利润表'!C139+'2025年上海分部利润表'!C139+'2025年赣皖区域利润表'!C139</f>
        <v>0</v>
      </c>
      <c r="D139" s="49">
        <f>'2025年中心利润表 '!D139+'2025年江苏分部利润表'!D139+'2025年浙江分部利润表'!D139+'2025年上海分部利润表'!D139+'2025年赣皖区域利润表'!D139</f>
        <v>0</v>
      </c>
      <c r="E139" s="49">
        <f>'2025年中心利润表 '!E139+'2025年江苏分部利润表'!E139+'2025年浙江分部利润表'!E139+'2025年上海分部利润表'!E139+'2025年赣皖区域利润表'!E139</f>
        <v>0</v>
      </c>
      <c r="F139" s="49">
        <f>'2025年中心利润表 '!F139+'2025年江苏分部利润表'!F139+'2025年浙江分部利润表'!F139+'2025年上海分部利润表'!F139+'2025年赣皖区域利润表'!F139</f>
        <v>0</v>
      </c>
      <c r="G139" s="49">
        <f>'2025年中心利润表 '!G139+'2025年江苏分部利润表'!G139+'2025年浙江分部利润表'!G139+'2025年上海分部利润表'!G139+'2025年赣皖区域利润表'!G139</f>
        <v>0</v>
      </c>
      <c r="H139" s="49">
        <f>'2025年中心利润表 '!H139+'2025年江苏分部利润表'!H139+'2025年浙江分部利润表'!H139+'2025年上海分部利润表'!H139+'2025年赣皖区域利润表'!H139</f>
        <v>0</v>
      </c>
      <c r="I139" s="49">
        <f>'2025年中心利润表 '!I139+'2025年江苏分部利润表'!I139+'2025年浙江分部利润表'!I139+'2025年上海分部利润表'!I139+'2025年赣皖区域利润表'!I139</f>
        <v>0</v>
      </c>
      <c r="J139" s="49">
        <f>'2025年中心利润表 '!J139+'2025年江苏分部利润表'!J139+'2025年浙江分部利润表'!J139+'2025年上海分部利润表'!J139+'2025年赣皖区域利润表'!J139</f>
        <v>0</v>
      </c>
      <c r="K139" s="49">
        <f>'2025年中心利润表 '!K139+'2025年江苏分部利润表'!K139+'2025年浙江分部利润表'!K139+'2025年上海分部利润表'!K139+'2025年赣皖区域利润表'!K139</f>
        <v>0</v>
      </c>
      <c r="L139" s="49">
        <f>'2025年中心利润表 '!L139+'2025年江苏分部利润表'!L139+'2025年浙江分部利润表'!L139+'2025年上海分部利润表'!L139+'2025年赣皖区域利润表'!L139</f>
        <v>0</v>
      </c>
      <c r="M139" s="49">
        <f>'2025年中心利润表 '!M139+'2025年江苏分部利润表'!M139+'2025年浙江分部利润表'!M139+'2025年上海分部利润表'!M139+'2025年赣皖区域利润表'!M139</f>
        <v>0</v>
      </c>
      <c r="N139" s="49">
        <f>'2025年中心利润表 '!N139+'2025年江苏分部利润表'!N139+'2025年浙江分部利润表'!N139+'2025年上海分部利润表'!N139+'2025年赣皖区域利润表'!N139</f>
        <v>0</v>
      </c>
      <c r="O139" s="49">
        <f>'2025年中心利润表 '!O139+'2025年江苏分部利润表'!O139+'2025年浙江分部利润表'!O139+'2025年上海分部利润表'!O139+'2025年赣皖区域利润表'!O139</f>
        <v>0</v>
      </c>
      <c r="P139" s="49">
        <f>'2025年中心利润表 '!P139+'2025年江苏分部利润表'!P139+'2025年浙江分部利润表'!P139+'2025年上海分部利润表'!P139+'2025年赣皖区域利润表'!P139</f>
        <v>0</v>
      </c>
      <c r="Q139" s="49">
        <f>'2025年中心利润表 '!Q139+'2025年江苏分部利润表'!Q139+'2025年浙江分部利润表'!Q139+'2025年上海分部利润表'!Q139+'2025年赣皖区域利润表'!Q139</f>
        <v>0</v>
      </c>
      <c r="R139" s="49">
        <f>'2025年中心利润表 '!R139+'2025年江苏分部利润表'!R139+'2025年浙江分部利润表'!R139+'2025年上海分部利润表'!R139+'2025年赣皖区域利润表'!R139</f>
        <v>0</v>
      </c>
      <c r="S139" s="49">
        <f>'2025年中心利润表 '!S139+'2025年江苏分部利润表'!S139+'2025年浙江分部利润表'!S139+'2025年上海分部利润表'!S139+'2025年赣皖区域利润表'!S139</f>
        <v>0</v>
      </c>
      <c r="T139" s="49">
        <f>'2025年中心利润表 '!T139+'2025年江苏分部利润表'!T139+'2025年浙江分部利润表'!T139+'2025年上海分部利润表'!T139+'2025年赣皖区域利润表'!T139</f>
        <v>0</v>
      </c>
      <c r="U139" s="49">
        <f>'2025年中心利润表 '!U139+'2025年江苏分部利润表'!U139+'2025年浙江分部利润表'!U139+'2025年上海分部利润表'!U139+'2025年赣皖区域利润表'!U139</f>
        <v>0</v>
      </c>
      <c r="V139" s="49">
        <f>'2025年中心利润表 '!V139+'2025年江苏分部利润表'!V139+'2025年浙江分部利润表'!V139+'2025年上海分部利润表'!V139+'2025年赣皖区域利润表'!V139</f>
        <v>0</v>
      </c>
      <c r="W139" s="49">
        <f>'2025年中心利润表 '!W139+'2025年江苏分部利润表'!W139+'2025年浙江分部利润表'!W139+'2025年上海分部利润表'!W139+'2025年赣皖区域利润表'!W139</f>
        <v>0</v>
      </c>
      <c r="X139" s="49">
        <f>'2025年中心利润表 '!X139+'2025年江苏分部利润表'!X139+'2025年浙江分部利润表'!X139+'2025年上海分部利润表'!X139+'2025年赣皖区域利润表'!X139</f>
        <v>0</v>
      </c>
      <c r="Y139" s="49">
        <f>'2025年中心利润表 '!Y139+'2025年江苏分部利润表'!Y139+'2025年浙江分部利润表'!Y139+'2025年上海分部利润表'!Y139+'2025年赣皖区域利润表'!Y139</f>
        <v>0</v>
      </c>
      <c r="Z139" s="49">
        <f>'2025年中心利润表 '!Z139+'2025年江苏分部利润表'!Z139+'2025年浙江分部利润表'!Z139+'2025年上海分部利润表'!Z139+'2025年赣皖区域利润表'!Z139</f>
        <v>0</v>
      </c>
      <c r="AA139" s="51">
        <f t="shared" si="24"/>
        <v>0</v>
      </c>
      <c r="AB139" s="51">
        <f t="shared" si="32"/>
        <v>0</v>
      </c>
      <c r="AC139" s="94"/>
      <c r="AD139" s="31">
        <f t="shared" si="26"/>
        <v>0</v>
      </c>
      <c r="AE139" s="31">
        <f t="shared" si="27"/>
        <v>0</v>
      </c>
      <c r="AF139" s="17">
        <f t="shared" si="28"/>
        <v>0</v>
      </c>
      <c r="AG139" s="17">
        <f t="shared" si="29"/>
        <v>0</v>
      </c>
      <c r="AH139" s="17">
        <f>SUM('[1]2024年全面预算利润表 (销售1中心)2.8亿'!E144:H144)</f>
        <v>0</v>
      </c>
    </row>
    <row r="140" spans="1:53" s="19" customFormat="1" ht="18" hidden="1" customHeight="1" outlineLevel="2" x14ac:dyDescent="0.25">
      <c r="A140" s="48" t="s">
        <v>144</v>
      </c>
      <c r="B140" s="53"/>
      <c r="C140" s="49">
        <f>'2025年中心利润表 '!C140+'2025年江苏分部利润表'!C140+'2025年浙江分部利润表'!C140+'2025年上海分部利润表'!C140+'2025年赣皖区域利润表'!C140</f>
        <v>0</v>
      </c>
      <c r="D140" s="49">
        <f>'2025年中心利润表 '!D140+'2025年江苏分部利润表'!D140+'2025年浙江分部利润表'!D140+'2025年上海分部利润表'!D140+'2025年赣皖区域利润表'!D140</f>
        <v>0</v>
      </c>
      <c r="E140" s="49">
        <f>'2025年中心利润表 '!E140+'2025年江苏分部利润表'!E140+'2025年浙江分部利润表'!E140+'2025年上海分部利润表'!E140+'2025年赣皖区域利润表'!E140</f>
        <v>0</v>
      </c>
      <c r="F140" s="49">
        <f>'2025年中心利润表 '!F140+'2025年江苏分部利润表'!F140+'2025年浙江分部利润表'!F140+'2025年上海分部利润表'!F140+'2025年赣皖区域利润表'!F140</f>
        <v>0</v>
      </c>
      <c r="G140" s="49">
        <f>'2025年中心利润表 '!G140+'2025年江苏分部利润表'!G140+'2025年浙江分部利润表'!G140+'2025年上海分部利润表'!G140+'2025年赣皖区域利润表'!G140</f>
        <v>0</v>
      </c>
      <c r="H140" s="49">
        <f>'2025年中心利润表 '!H140+'2025年江苏分部利润表'!H140+'2025年浙江分部利润表'!H140+'2025年上海分部利润表'!H140+'2025年赣皖区域利润表'!H140</f>
        <v>0</v>
      </c>
      <c r="I140" s="49">
        <f>'2025年中心利润表 '!I140+'2025年江苏分部利润表'!I140+'2025年浙江分部利润表'!I140+'2025年上海分部利润表'!I140+'2025年赣皖区域利润表'!I140</f>
        <v>0</v>
      </c>
      <c r="J140" s="49">
        <f>'2025年中心利润表 '!J140+'2025年江苏分部利润表'!J140+'2025年浙江分部利润表'!J140+'2025年上海分部利润表'!J140+'2025年赣皖区域利润表'!J140</f>
        <v>0</v>
      </c>
      <c r="K140" s="49">
        <f>'2025年中心利润表 '!K140+'2025年江苏分部利润表'!K140+'2025年浙江分部利润表'!K140+'2025年上海分部利润表'!K140+'2025年赣皖区域利润表'!K140</f>
        <v>0</v>
      </c>
      <c r="L140" s="49">
        <f>'2025年中心利润表 '!L140+'2025年江苏分部利润表'!L140+'2025年浙江分部利润表'!L140+'2025年上海分部利润表'!L140+'2025年赣皖区域利润表'!L140</f>
        <v>0</v>
      </c>
      <c r="M140" s="49">
        <f>'2025年中心利润表 '!M140+'2025年江苏分部利润表'!M140+'2025年浙江分部利润表'!M140+'2025年上海分部利润表'!M140+'2025年赣皖区域利润表'!M140</f>
        <v>0</v>
      </c>
      <c r="N140" s="49">
        <f>'2025年中心利润表 '!N140+'2025年江苏分部利润表'!N140+'2025年浙江分部利润表'!N140+'2025年上海分部利润表'!N140+'2025年赣皖区域利润表'!N140</f>
        <v>0</v>
      </c>
      <c r="O140" s="49">
        <f>'2025年中心利润表 '!O140+'2025年江苏分部利润表'!O140+'2025年浙江分部利润表'!O140+'2025年上海分部利润表'!O140+'2025年赣皖区域利润表'!O140</f>
        <v>0</v>
      </c>
      <c r="P140" s="49">
        <f>'2025年中心利润表 '!P140+'2025年江苏分部利润表'!P140+'2025年浙江分部利润表'!P140+'2025年上海分部利润表'!P140+'2025年赣皖区域利润表'!P140</f>
        <v>0</v>
      </c>
      <c r="Q140" s="49">
        <f>'2025年中心利润表 '!Q140+'2025年江苏分部利润表'!Q140+'2025年浙江分部利润表'!Q140+'2025年上海分部利润表'!Q140+'2025年赣皖区域利润表'!Q140</f>
        <v>0</v>
      </c>
      <c r="R140" s="49">
        <f>'2025年中心利润表 '!R140+'2025年江苏分部利润表'!R140+'2025年浙江分部利润表'!R140+'2025年上海分部利润表'!R140+'2025年赣皖区域利润表'!R140</f>
        <v>0</v>
      </c>
      <c r="S140" s="49">
        <f>'2025年中心利润表 '!S140+'2025年江苏分部利润表'!S140+'2025年浙江分部利润表'!S140+'2025年上海分部利润表'!S140+'2025年赣皖区域利润表'!S140</f>
        <v>0</v>
      </c>
      <c r="T140" s="49">
        <f>'2025年中心利润表 '!T140+'2025年江苏分部利润表'!T140+'2025年浙江分部利润表'!T140+'2025年上海分部利润表'!T140+'2025年赣皖区域利润表'!T140</f>
        <v>0</v>
      </c>
      <c r="U140" s="49">
        <f>'2025年中心利润表 '!U140+'2025年江苏分部利润表'!U140+'2025年浙江分部利润表'!U140+'2025年上海分部利润表'!U140+'2025年赣皖区域利润表'!U140</f>
        <v>0</v>
      </c>
      <c r="V140" s="49">
        <f>'2025年中心利润表 '!V140+'2025年江苏分部利润表'!V140+'2025年浙江分部利润表'!V140+'2025年上海分部利润表'!V140+'2025年赣皖区域利润表'!V140</f>
        <v>0</v>
      </c>
      <c r="W140" s="49">
        <f>'2025年中心利润表 '!W140+'2025年江苏分部利润表'!W140+'2025年浙江分部利润表'!W140+'2025年上海分部利润表'!W140+'2025年赣皖区域利润表'!W140</f>
        <v>0</v>
      </c>
      <c r="X140" s="49">
        <f>'2025年中心利润表 '!X140+'2025年江苏分部利润表'!X140+'2025年浙江分部利润表'!X140+'2025年上海分部利润表'!X140+'2025年赣皖区域利润表'!X140</f>
        <v>0</v>
      </c>
      <c r="Y140" s="49">
        <f>'2025年中心利润表 '!Y140+'2025年江苏分部利润表'!Y140+'2025年浙江分部利润表'!Y140+'2025年上海分部利润表'!Y140+'2025年赣皖区域利润表'!Y140</f>
        <v>0</v>
      </c>
      <c r="Z140" s="49">
        <f>'2025年中心利润表 '!Z140+'2025年江苏分部利润表'!Z140+'2025年浙江分部利润表'!Z140+'2025年上海分部利润表'!Z140+'2025年赣皖区域利润表'!Z140</f>
        <v>0</v>
      </c>
      <c r="AA140" s="51">
        <f t="shared" si="24"/>
        <v>0</v>
      </c>
      <c r="AB140" s="51">
        <f t="shared" si="32"/>
        <v>0</v>
      </c>
      <c r="AC140" s="94"/>
      <c r="AD140" s="31">
        <f t="shared" si="26"/>
        <v>0</v>
      </c>
      <c r="AE140" s="31">
        <f t="shared" si="27"/>
        <v>0</v>
      </c>
      <c r="AF140" s="17">
        <f t="shared" si="28"/>
        <v>0</v>
      </c>
      <c r="AG140" s="17">
        <f t="shared" si="29"/>
        <v>0</v>
      </c>
      <c r="AH140" s="17">
        <f>SUM('[1]2024年全面预算利润表 (销售1中心)2.8亿'!E145:H145)</f>
        <v>0</v>
      </c>
    </row>
    <row r="141" spans="1:53" s="19" customFormat="1" ht="18" hidden="1" customHeight="1" outlineLevel="2" x14ac:dyDescent="0.25">
      <c r="A141" s="48" t="s">
        <v>145</v>
      </c>
      <c r="B141" s="53"/>
      <c r="C141" s="49">
        <f>'2025年中心利润表 '!C141+'2025年江苏分部利润表'!C141+'2025年浙江分部利润表'!C141+'2025年上海分部利润表'!C141+'2025年赣皖区域利润表'!C141</f>
        <v>0</v>
      </c>
      <c r="D141" s="49">
        <f>'2025年中心利润表 '!D141+'2025年江苏分部利润表'!D141+'2025年浙江分部利润表'!D141+'2025年上海分部利润表'!D141+'2025年赣皖区域利润表'!D141</f>
        <v>0</v>
      </c>
      <c r="E141" s="49">
        <f>'2025年中心利润表 '!E141+'2025年江苏分部利润表'!E141+'2025年浙江分部利润表'!E141+'2025年上海分部利润表'!E141+'2025年赣皖区域利润表'!E141</f>
        <v>0</v>
      </c>
      <c r="F141" s="49">
        <f>'2025年中心利润表 '!F141+'2025年江苏分部利润表'!F141+'2025年浙江分部利润表'!F141+'2025年上海分部利润表'!F141+'2025年赣皖区域利润表'!F141</f>
        <v>0</v>
      </c>
      <c r="G141" s="49">
        <f>'2025年中心利润表 '!G141+'2025年江苏分部利润表'!G141+'2025年浙江分部利润表'!G141+'2025年上海分部利润表'!G141+'2025年赣皖区域利润表'!G141</f>
        <v>0</v>
      </c>
      <c r="H141" s="49">
        <f>'2025年中心利润表 '!H141+'2025年江苏分部利润表'!H141+'2025年浙江分部利润表'!H141+'2025年上海分部利润表'!H141+'2025年赣皖区域利润表'!H141</f>
        <v>0</v>
      </c>
      <c r="I141" s="49">
        <f>'2025年中心利润表 '!I141+'2025年江苏分部利润表'!I141+'2025年浙江分部利润表'!I141+'2025年上海分部利润表'!I141+'2025年赣皖区域利润表'!I141</f>
        <v>0</v>
      </c>
      <c r="J141" s="49">
        <f>'2025年中心利润表 '!J141+'2025年江苏分部利润表'!J141+'2025年浙江分部利润表'!J141+'2025年上海分部利润表'!J141+'2025年赣皖区域利润表'!J141</f>
        <v>0</v>
      </c>
      <c r="K141" s="49">
        <f>'2025年中心利润表 '!K141+'2025年江苏分部利润表'!K141+'2025年浙江分部利润表'!K141+'2025年上海分部利润表'!K141+'2025年赣皖区域利润表'!K141</f>
        <v>0</v>
      </c>
      <c r="L141" s="49">
        <f>'2025年中心利润表 '!L141+'2025年江苏分部利润表'!L141+'2025年浙江分部利润表'!L141+'2025年上海分部利润表'!L141+'2025年赣皖区域利润表'!L141</f>
        <v>0</v>
      </c>
      <c r="M141" s="49">
        <f>'2025年中心利润表 '!M141+'2025年江苏分部利润表'!M141+'2025年浙江分部利润表'!M141+'2025年上海分部利润表'!M141+'2025年赣皖区域利润表'!M141</f>
        <v>0</v>
      </c>
      <c r="N141" s="49">
        <f>'2025年中心利润表 '!N141+'2025年江苏分部利润表'!N141+'2025年浙江分部利润表'!N141+'2025年上海分部利润表'!N141+'2025年赣皖区域利润表'!N141</f>
        <v>0</v>
      </c>
      <c r="O141" s="49">
        <f>'2025年中心利润表 '!O141+'2025年江苏分部利润表'!O141+'2025年浙江分部利润表'!O141+'2025年上海分部利润表'!O141+'2025年赣皖区域利润表'!O141</f>
        <v>0</v>
      </c>
      <c r="P141" s="49">
        <f>'2025年中心利润表 '!P141+'2025年江苏分部利润表'!P141+'2025年浙江分部利润表'!P141+'2025年上海分部利润表'!P141+'2025年赣皖区域利润表'!P141</f>
        <v>0</v>
      </c>
      <c r="Q141" s="49">
        <f>'2025年中心利润表 '!Q141+'2025年江苏分部利润表'!Q141+'2025年浙江分部利润表'!Q141+'2025年上海分部利润表'!Q141+'2025年赣皖区域利润表'!Q141</f>
        <v>0</v>
      </c>
      <c r="R141" s="49">
        <f>'2025年中心利润表 '!R141+'2025年江苏分部利润表'!R141+'2025年浙江分部利润表'!R141+'2025年上海分部利润表'!R141+'2025年赣皖区域利润表'!R141</f>
        <v>0</v>
      </c>
      <c r="S141" s="49">
        <f>'2025年中心利润表 '!S141+'2025年江苏分部利润表'!S141+'2025年浙江分部利润表'!S141+'2025年上海分部利润表'!S141+'2025年赣皖区域利润表'!S141</f>
        <v>0</v>
      </c>
      <c r="T141" s="49">
        <f>'2025年中心利润表 '!T141+'2025年江苏分部利润表'!T141+'2025年浙江分部利润表'!T141+'2025年上海分部利润表'!T141+'2025年赣皖区域利润表'!T141</f>
        <v>0</v>
      </c>
      <c r="U141" s="49">
        <f>'2025年中心利润表 '!U141+'2025年江苏分部利润表'!U141+'2025年浙江分部利润表'!U141+'2025年上海分部利润表'!U141+'2025年赣皖区域利润表'!U141</f>
        <v>0</v>
      </c>
      <c r="V141" s="49">
        <f>'2025年中心利润表 '!V141+'2025年江苏分部利润表'!V141+'2025年浙江分部利润表'!V141+'2025年上海分部利润表'!V141+'2025年赣皖区域利润表'!V141</f>
        <v>0</v>
      </c>
      <c r="W141" s="49">
        <f>'2025年中心利润表 '!W141+'2025年江苏分部利润表'!W141+'2025年浙江分部利润表'!W141+'2025年上海分部利润表'!W141+'2025年赣皖区域利润表'!W141</f>
        <v>0</v>
      </c>
      <c r="X141" s="49">
        <f>'2025年中心利润表 '!X141+'2025年江苏分部利润表'!X141+'2025年浙江分部利润表'!X141+'2025年上海分部利润表'!X141+'2025年赣皖区域利润表'!X141</f>
        <v>0</v>
      </c>
      <c r="Y141" s="49">
        <f>'2025年中心利润表 '!Y141+'2025年江苏分部利润表'!Y141+'2025年浙江分部利润表'!Y141+'2025年上海分部利润表'!Y141+'2025年赣皖区域利润表'!Y141</f>
        <v>0</v>
      </c>
      <c r="Z141" s="49">
        <f>'2025年中心利润表 '!Z141+'2025年江苏分部利润表'!Z141+'2025年浙江分部利润表'!Z141+'2025年上海分部利润表'!Z141+'2025年赣皖区域利润表'!Z141</f>
        <v>0</v>
      </c>
      <c r="AA141" s="51">
        <f t="shared" si="24"/>
        <v>0</v>
      </c>
      <c r="AB141" s="51">
        <f t="shared" si="32"/>
        <v>0</v>
      </c>
      <c r="AC141" s="94"/>
      <c r="AD141" s="31">
        <f t="shared" si="26"/>
        <v>0</v>
      </c>
      <c r="AE141" s="31">
        <f t="shared" si="27"/>
        <v>0</v>
      </c>
      <c r="AF141" s="17">
        <f t="shared" si="28"/>
        <v>0</v>
      </c>
      <c r="AG141" s="17">
        <f t="shared" si="29"/>
        <v>0</v>
      </c>
      <c r="AH141" s="17">
        <f>SUM('[1]2024年全面预算利润表 (销售1中心)2.8亿'!E146:H146)</f>
        <v>0</v>
      </c>
    </row>
    <row r="142" spans="1:53" s="19" customFormat="1" ht="18" hidden="1" customHeight="1" outlineLevel="2" x14ac:dyDescent="0.25">
      <c r="A142" s="48" t="s">
        <v>146</v>
      </c>
      <c r="B142" s="53"/>
      <c r="C142" s="49">
        <f>'2025年中心利润表 '!C142+'2025年江苏分部利润表'!C142+'2025年浙江分部利润表'!C142+'2025年上海分部利润表'!C142+'2025年赣皖区域利润表'!C142</f>
        <v>0</v>
      </c>
      <c r="D142" s="49">
        <f>'2025年中心利润表 '!D142+'2025年江苏分部利润表'!D142+'2025年浙江分部利润表'!D142+'2025年上海分部利润表'!D142+'2025年赣皖区域利润表'!D142</f>
        <v>0</v>
      </c>
      <c r="E142" s="49">
        <f>'2025年中心利润表 '!E142+'2025年江苏分部利润表'!E142+'2025年浙江分部利润表'!E142+'2025年上海分部利润表'!E142+'2025年赣皖区域利润表'!E142</f>
        <v>0</v>
      </c>
      <c r="F142" s="49">
        <f>'2025年中心利润表 '!F142+'2025年江苏分部利润表'!F142+'2025年浙江分部利润表'!F142+'2025年上海分部利润表'!F142+'2025年赣皖区域利润表'!F142</f>
        <v>0</v>
      </c>
      <c r="G142" s="49">
        <f>'2025年中心利润表 '!G142+'2025年江苏分部利润表'!G142+'2025年浙江分部利润表'!G142+'2025年上海分部利润表'!G142+'2025年赣皖区域利润表'!G142</f>
        <v>0</v>
      </c>
      <c r="H142" s="49">
        <f>'2025年中心利润表 '!H142+'2025年江苏分部利润表'!H142+'2025年浙江分部利润表'!H142+'2025年上海分部利润表'!H142+'2025年赣皖区域利润表'!H142</f>
        <v>0</v>
      </c>
      <c r="I142" s="49">
        <f>'2025年中心利润表 '!I142+'2025年江苏分部利润表'!I142+'2025年浙江分部利润表'!I142+'2025年上海分部利润表'!I142+'2025年赣皖区域利润表'!I142</f>
        <v>0</v>
      </c>
      <c r="J142" s="49">
        <f>'2025年中心利润表 '!J142+'2025年江苏分部利润表'!J142+'2025年浙江分部利润表'!J142+'2025年上海分部利润表'!J142+'2025年赣皖区域利润表'!J142</f>
        <v>0</v>
      </c>
      <c r="K142" s="49">
        <f>'2025年中心利润表 '!K142+'2025年江苏分部利润表'!K142+'2025年浙江分部利润表'!K142+'2025年上海分部利润表'!K142+'2025年赣皖区域利润表'!K142</f>
        <v>0</v>
      </c>
      <c r="L142" s="49">
        <f>'2025年中心利润表 '!L142+'2025年江苏分部利润表'!L142+'2025年浙江分部利润表'!L142+'2025年上海分部利润表'!L142+'2025年赣皖区域利润表'!L142</f>
        <v>0</v>
      </c>
      <c r="M142" s="49">
        <f>'2025年中心利润表 '!M142+'2025年江苏分部利润表'!M142+'2025年浙江分部利润表'!M142+'2025年上海分部利润表'!M142+'2025年赣皖区域利润表'!M142</f>
        <v>0</v>
      </c>
      <c r="N142" s="49">
        <f>'2025年中心利润表 '!N142+'2025年江苏分部利润表'!N142+'2025年浙江分部利润表'!N142+'2025年上海分部利润表'!N142+'2025年赣皖区域利润表'!N142</f>
        <v>0</v>
      </c>
      <c r="O142" s="49">
        <f>'2025年中心利润表 '!O142+'2025年江苏分部利润表'!O142+'2025年浙江分部利润表'!O142+'2025年上海分部利润表'!O142+'2025年赣皖区域利润表'!O142</f>
        <v>0</v>
      </c>
      <c r="P142" s="49">
        <f>'2025年中心利润表 '!P142+'2025年江苏分部利润表'!P142+'2025年浙江分部利润表'!P142+'2025年上海分部利润表'!P142+'2025年赣皖区域利润表'!P142</f>
        <v>0</v>
      </c>
      <c r="Q142" s="49">
        <f>'2025年中心利润表 '!Q142+'2025年江苏分部利润表'!Q142+'2025年浙江分部利润表'!Q142+'2025年上海分部利润表'!Q142+'2025年赣皖区域利润表'!Q142</f>
        <v>0</v>
      </c>
      <c r="R142" s="49">
        <f>'2025年中心利润表 '!R142+'2025年江苏分部利润表'!R142+'2025年浙江分部利润表'!R142+'2025年上海分部利润表'!R142+'2025年赣皖区域利润表'!R142</f>
        <v>0</v>
      </c>
      <c r="S142" s="49">
        <f>'2025年中心利润表 '!S142+'2025年江苏分部利润表'!S142+'2025年浙江分部利润表'!S142+'2025年上海分部利润表'!S142+'2025年赣皖区域利润表'!S142</f>
        <v>0</v>
      </c>
      <c r="T142" s="49">
        <f>'2025年中心利润表 '!T142+'2025年江苏分部利润表'!T142+'2025年浙江分部利润表'!T142+'2025年上海分部利润表'!T142+'2025年赣皖区域利润表'!T142</f>
        <v>0</v>
      </c>
      <c r="U142" s="49">
        <f>'2025年中心利润表 '!U142+'2025年江苏分部利润表'!U142+'2025年浙江分部利润表'!U142+'2025年上海分部利润表'!U142+'2025年赣皖区域利润表'!U142</f>
        <v>0</v>
      </c>
      <c r="V142" s="49">
        <f>'2025年中心利润表 '!V142+'2025年江苏分部利润表'!V142+'2025年浙江分部利润表'!V142+'2025年上海分部利润表'!V142+'2025年赣皖区域利润表'!V142</f>
        <v>0</v>
      </c>
      <c r="W142" s="49">
        <f>'2025年中心利润表 '!W142+'2025年江苏分部利润表'!W142+'2025年浙江分部利润表'!W142+'2025年上海分部利润表'!W142+'2025年赣皖区域利润表'!W142</f>
        <v>0</v>
      </c>
      <c r="X142" s="49">
        <f>'2025年中心利润表 '!X142+'2025年江苏分部利润表'!X142+'2025年浙江分部利润表'!X142+'2025年上海分部利润表'!X142+'2025年赣皖区域利润表'!X142</f>
        <v>0</v>
      </c>
      <c r="Y142" s="49">
        <f>'2025年中心利润表 '!Y142+'2025年江苏分部利润表'!Y142+'2025年浙江分部利润表'!Y142+'2025年上海分部利润表'!Y142+'2025年赣皖区域利润表'!Y142</f>
        <v>0</v>
      </c>
      <c r="Z142" s="49">
        <f>'2025年中心利润表 '!Z142+'2025年江苏分部利润表'!Z142+'2025年浙江分部利润表'!Z142+'2025年上海分部利润表'!Z142+'2025年赣皖区域利润表'!Z142</f>
        <v>0</v>
      </c>
      <c r="AA142" s="51">
        <f t="shared" si="24"/>
        <v>0</v>
      </c>
      <c r="AB142" s="51">
        <f t="shared" si="32"/>
        <v>0</v>
      </c>
      <c r="AC142" s="94"/>
      <c r="AD142" s="31">
        <f t="shared" si="26"/>
        <v>0</v>
      </c>
      <c r="AE142" s="31">
        <f t="shared" si="27"/>
        <v>0</v>
      </c>
      <c r="AF142" s="17">
        <f t="shared" si="28"/>
        <v>0</v>
      </c>
      <c r="AG142" s="17">
        <f t="shared" si="29"/>
        <v>0</v>
      </c>
      <c r="AH142" s="17">
        <f>SUM('[1]2024年全面预算利润表 (销售1中心)2.8亿'!E147:H147)</f>
        <v>0</v>
      </c>
    </row>
    <row r="143" spans="1:53" s="19" customFormat="1" ht="18" hidden="1" customHeight="1" outlineLevel="1" collapsed="1" x14ac:dyDescent="0.25">
      <c r="A143" s="48" t="s">
        <v>147</v>
      </c>
      <c r="B143" s="53"/>
      <c r="C143" s="49">
        <f>'2025年中心利润表 '!C143+'2025年江苏分部利润表'!C143+'2025年浙江分部利润表'!C143+'2025年上海分部利润表'!C143+'2025年赣皖区域利润表'!C143</f>
        <v>0</v>
      </c>
      <c r="D143" s="49">
        <f>'2025年中心利润表 '!D143+'2025年江苏分部利润表'!D143+'2025年浙江分部利润表'!D143+'2025年上海分部利润表'!D143+'2025年赣皖区域利润表'!D143</f>
        <v>0</v>
      </c>
      <c r="E143" s="49">
        <f>'2025年中心利润表 '!E143+'2025年江苏分部利润表'!E143+'2025年浙江分部利润表'!E143+'2025年上海分部利润表'!E143+'2025年赣皖区域利润表'!E143</f>
        <v>0</v>
      </c>
      <c r="F143" s="49">
        <f>'2025年中心利润表 '!F143+'2025年江苏分部利润表'!F143+'2025年浙江分部利润表'!F143+'2025年上海分部利润表'!F143+'2025年赣皖区域利润表'!F143</f>
        <v>0</v>
      </c>
      <c r="G143" s="49">
        <f>'2025年中心利润表 '!G143+'2025年江苏分部利润表'!G143+'2025年浙江分部利润表'!G143+'2025年上海分部利润表'!G143+'2025年赣皖区域利润表'!G143</f>
        <v>0</v>
      </c>
      <c r="H143" s="49">
        <f>'2025年中心利润表 '!H143+'2025年江苏分部利润表'!H143+'2025年浙江分部利润表'!H143+'2025年上海分部利润表'!H143+'2025年赣皖区域利润表'!H143</f>
        <v>0</v>
      </c>
      <c r="I143" s="49">
        <f>'2025年中心利润表 '!I143+'2025年江苏分部利润表'!I143+'2025年浙江分部利润表'!I143+'2025年上海分部利润表'!I143+'2025年赣皖区域利润表'!I143</f>
        <v>0</v>
      </c>
      <c r="J143" s="49">
        <f>'2025年中心利润表 '!J143+'2025年江苏分部利润表'!J143+'2025年浙江分部利润表'!J143+'2025年上海分部利润表'!J143+'2025年赣皖区域利润表'!J143</f>
        <v>0</v>
      </c>
      <c r="K143" s="49">
        <f>'2025年中心利润表 '!K143+'2025年江苏分部利润表'!K143+'2025年浙江分部利润表'!K143+'2025年上海分部利润表'!K143+'2025年赣皖区域利润表'!K143</f>
        <v>0</v>
      </c>
      <c r="L143" s="49">
        <f>'2025年中心利润表 '!L143+'2025年江苏分部利润表'!L143+'2025年浙江分部利润表'!L143+'2025年上海分部利润表'!L143+'2025年赣皖区域利润表'!L143</f>
        <v>0</v>
      </c>
      <c r="M143" s="49">
        <f>'2025年中心利润表 '!M143+'2025年江苏分部利润表'!M143+'2025年浙江分部利润表'!M143+'2025年上海分部利润表'!M143+'2025年赣皖区域利润表'!M143</f>
        <v>0</v>
      </c>
      <c r="N143" s="49">
        <f>'2025年中心利润表 '!N143+'2025年江苏分部利润表'!N143+'2025年浙江分部利润表'!N143+'2025年上海分部利润表'!N143+'2025年赣皖区域利润表'!N143</f>
        <v>0</v>
      </c>
      <c r="O143" s="49">
        <f>'2025年中心利润表 '!O143+'2025年江苏分部利润表'!O143+'2025年浙江分部利润表'!O143+'2025年上海分部利润表'!O143+'2025年赣皖区域利润表'!O143</f>
        <v>0</v>
      </c>
      <c r="P143" s="49">
        <f>'2025年中心利润表 '!P143+'2025年江苏分部利润表'!P143+'2025年浙江分部利润表'!P143+'2025年上海分部利润表'!P143+'2025年赣皖区域利润表'!P143</f>
        <v>0</v>
      </c>
      <c r="Q143" s="49">
        <f>'2025年中心利润表 '!Q143+'2025年江苏分部利润表'!Q143+'2025年浙江分部利润表'!Q143+'2025年上海分部利润表'!Q143+'2025年赣皖区域利润表'!Q143</f>
        <v>0</v>
      </c>
      <c r="R143" s="49">
        <f>'2025年中心利润表 '!R143+'2025年江苏分部利润表'!R143+'2025年浙江分部利润表'!R143+'2025年上海分部利润表'!R143+'2025年赣皖区域利润表'!R143</f>
        <v>0</v>
      </c>
      <c r="S143" s="49">
        <f>'2025年中心利润表 '!S143+'2025年江苏分部利润表'!S143+'2025年浙江分部利润表'!S143+'2025年上海分部利润表'!S143+'2025年赣皖区域利润表'!S143</f>
        <v>0</v>
      </c>
      <c r="T143" s="49">
        <f>'2025年中心利润表 '!T143+'2025年江苏分部利润表'!T143+'2025年浙江分部利润表'!T143+'2025年上海分部利润表'!T143+'2025年赣皖区域利润表'!T143</f>
        <v>0</v>
      </c>
      <c r="U143" s="49">
        <f>'2025年中心利润表 '!U143+'2025年江苏分部利润表'!U143+'2025年浙江分部利润表'!U143+'2025年上海分部利润表'!U143+'2025年赣皖区域利润表'!U143</f>
        <v>0</v>
      </c>
      <c r="V143" s="49">
        <f>'2025年中心利润表 '!V143+'2025年江苏分部利润表'!V143+'2025年浙江分部利润表'!V143+'2025年上海分部利润表'!V143+'2025年赣皖区域利润表'!V143</f>
        <v>0</v>
      </c>
      <c r="W143" s="49">
        <f>'2025年中心利润表 '!W143+'2025年江苏分部利润表'!W143+'2025年浙江分部利润表'!W143+'2025年上海分部利润表'!W143+'2025年赣皖区域利润表'!W143</f>
        <v>0</v>
      </c>
      <c r="X143" s="49">
        <f>'2025年中心利润表 '!X143+'2025年江苏分部利润表'!X143+'2025年浙江分部利润表'!X143+'2025年上海分部利润表'!X143+'2025年赣皖区域利润表'!X143</f>
        <v>0</v>
      </c>
      <c r="Y143" s="49">
        <f>'2025年中心利润表 '!Y143+'2025年江苏分部利润表'!Y143+'2025年浙江分部利润表'!Y143+'2025年上海分部利润表'!Y143+'2025年赣皖区域利润表'!Y143</f>
        <v>0</v>
      </c>
      <c r="Z143" s="49">
        <f>'2025年中心利润表 '!Z143+'2025年江苏分部利润表'!Z143+'2025年浙江分部利润表'!Z143+'2025年上海分部利润表'!Z143+'2025年赣皖区域利润表'!Z143</f>
        <v>0</v>
      </c>
      <c r="AA143" s="51">
        <f t="shared" si="24"/>
        <v>0</v>
      </c>
      <c r="AB143" s="51">
        <f t="shared" si="32"/>
        <v>0</v>
      </c>
      <c r="AC143" s="94"/>
      <c r="AD143" s="31">
        <f t="shared" si="26"/>
        <v>0</v>
      </c>
      <c r="AE143" s="31">
        <f t="shared" si="27"/>
        <v>0</v>
      </c>
      <c r="AF143" s="17">
        <f t="shared" si="28"/>
        <v>0</v>
      </c>
      <c r="AG143" s="17">
        <f t="shared" si="29"/>
        <v>0</v>
      </c>
      <c r="AH143" s="17">
        <f>SUM('[1]2024年全面预算利润表 (销售1中心)2.8亿'!E148:H148)</f>
        <v>0</v>
      </c>
    </row>
    <row r="144" spans="1:53" s="19" customFormat="1" ht="18" hidden="1" customHeight="1" outlineLevel="1" x14ac:dyDescent="0.25">
      <c r="A144" s="48" t="s">
        <v>148</v>
      </c>
      <c r="B144" s="53"/>
      <c r="C144" s="49">
        <f>'2025年中心利润表 '!C144+'2025年江苏分部利润表'!C144+'2025年浙江分部利润表'!C144+'2025年上海分部利润表'!C144+'2025年赣皖区域利润表'!C144</f>
        <v>0</v>
      </c>
      <c r="D144" s="49">
        <f>'2025年中心利润表 '!D144+'2025年江苏分部利润表'!D144+'2025年浙江分部利润表'!D144+'2025年上海分部利润表'!D144+'2025年赣皖区域利润表'!D144</f>
        <v>0</v>
      </c>
      <c r="E144" s="49">
        <f>'2025年中心利润表 '!E144+'2025年江苏分部利润表'!E144+'2025年浙江分部利润表'!E144+'2025年上海分部利润表'!E144+'2025年赣皖区域利润表'!E144</f>
        <v>0</v>
      </c>
      <c r="F144" s="49">
        <f>'2025年中心利润表 '!F144+'2025年江苏分部利润表'!F144+'2025年浙江分部利润表'!F144+'2025年上海分部利润表'!F144+'2025年赣皖区域利润表'!F144</f>
        <v>0</v>
      </c>
      <c r="G144" s="49">
        <f>'2025年中心利润表 '!G144+'2025年江苏分部利润表'!G144+'2025年浙江分部利润表'!G144+'2025年上海分部利润表'!G144+'2025年赣皖区域利润表'!G144</f>
        <v>0</v>
      </c>
      <c r="H144" s="49">
        <f>'2025年中心利润表 '!H144+'2025年江苏分部利润表'!H144+'2025年浙江分部利润表'!H144+'2025年上海分部利润表'!H144+'2025年赣皖区域利润表'!H144</f>
        <v>0</v>
      </c>
      <c r="I144" s="49">
        <f>'2025年中心利润表 '!I144+'2025年江苏分部利润表'!I144+'2025年浙江分部利润表'!I144+'2025年上海分部利润表'!I144+'2025年赣皖区域利润表'!I144</f>
        <v>0</v>
      </c>
      <c r="J144" s="49">
        <f>'2025年中心利润表 '!J144+'2025年江苏分部利润表'!J144+'2025年浙江分部利润表'!J144+'2025年上海分部利润表'!J144+'2025年赣皖区域利润表'!J144</f>
        <v>0</v>
      </c>
      <c r="K144" s="49">
        <f>'2025年中心利润表 '!K144+'2025年江苏分部利润表'!K144+'2025年浙江分部利润表'!K144+'2025年上海分部利润表'!K144+'2025年赣皖区域利润表'!K144</f>
        <v>0</v>
      </c>
      <c r="L144" s="49">
        <f>'2025年中心利润表 '!L144+'2025年江苏分部利润表'!L144+'2025年浙江分部利润表'!L144+'2025年上海分部利润表'!L144+'2025年赣皖区域利润表'!L144</f>
        <v>0</v>
      </c>
      <c r="M144" s="49">
        <f>'2025年中心利润表 '!M144+'2025年江苏分部利润表'!M144+'2025年浙江分部利润表'!M144+'2025年上海分部利润表'!M144+'2025年赣皖区域利润表'!M144</f>
        <v>0</v>
      </c>
      <c r="N144" s="49">
        <f>'2025年中心利润表 '!N144+'2025年江苏分部利润表'!N144+'2025年浙江分部利润表'!N144+'2025年上海分部利润表'!N144+'2025年赣皖区域利润表'!N144</f>
        <v>0</v>
      </c>
      <c r="O144" s="49">
        <f>'2025年中心利润表 '!O144+'2025年江苏分部利润表'!O144+'2025年浙江分部利润表'!O144+'2025年上海分部利润表'!O144+'2025年赣皖区域利润表'!O144</f>
        <v>0</v>
      </c>
      <c r="P144" s="49">
        <f>'2025年中心利润表 '!P144+'2025年江苏分部利润表'!P144+'2025年浙江分部利润表'!P144+'2025年上海分部利润表'!P144+'2025年赣皖区域利润表'!P144</f>
        <v>0</v>
      </c>
      <c r="Q144" s="49">
        <f>'2025年中心利润表 '!Q144+'2025年江苏分部利润表'!Q144+'2025年浙江分部利润表'!Q144+'2025年上海分部利润表'!Q144+'2025年赣皖区域利润表'!Q144</f>
        <v>0</v>
      </c>
      <c r="R144" s="49">
        <f>'2025年中心利润表 '!R144+'2025年江苏分部利润表'!R144+'2025年浙江分部利润表'!R144+'2025年上海分部利润表'!R144+'2025年赣皖区域利润表'!R144</f>
        <v>0</v>
      </c>
      <c r="S144" s="49">
        <f>'2025年中心利润表 '!S144+'2025年江苏分部利润表'!S144+'2025年浙江分部利润表'!S144+'2025年上海分部利润表'!S144+'2025年赣皖区域利润表'!S144</f>
        <v>0</v>
      </c>
      <c r="T144" s="49">
        <f>'2025年中心利润表 '!T144+'2025年江苏分部利润表'!T144+'2025年浙江分部利润表'!T144+'2025年上海分部利润表'!T144+'2025年赣皖区域利润表'!T144</f>
        <v>0</v>
      </c>
      <c r="U144" s="49">
        <f>'2025年中心利润表 '!U144+'2025年江苏分部利润表'!U144+'2025年浙江分部利润表'!U144+'2025年上海分部利润表'!U144+'2025年赣皖区域利润表'!U144</f>
        <v>0</v>
      </c>
      <c r="V144" s="49">
        <f>'2025年中心利润表 '!V144+'2025年江苏分部利润表'!V144+'2025年浙江分部利润表'!V144+'2025年上海分部利润表'!V144+'2025年赣皖区域利润表'!V144</f>
        <v>0</v>
      </c>
      <c r="W144" s="49">
        <f>'2025年中心利润表 '!W144+'2025年江苏分部利润表'!W144+'2025年浙江分部利润表'!W144+'2025年上海分部利润表'!W144+'2025年赣皖区域利润表'!W144</f>
        <v>0</v>
      </c>
      <c r="X144" s="49">
        <f>'2025年中心利润表 '!X144+'2025年江苏分部利润表'!X144+'2025年浙江分部利润表'!X144+'2025年上海分部利润表'!X144+'2025年赣皖区域利润表'!X144</f>
        <v>0</v>
      </c>
      <c r="Y144" s="49">
        <f>'2025年中心利润表 '!Y144+'2025年江苏分部利润表'!Y144+'2025年浙江分部利润表'!Y144+'2025年上海分部利润表'!Y144+'2025年赣皖区域利润表'!Y144</f>
        <v>0</v>
      </c>
      <c r="Z144" s="49">
        <f>'2025年中心利润表 '!Z144+'2025年江苏分部利润表'!Z144+'2025年浙江分部利润表'!Z144+'2025年上海分部利润表'!Z144+'2025年赣皖区域利润表'!Z144</f>
        <v>0</v>
      </c>
      <c r="AA144" s="51">
        <f t="shared" si="24"/>
        <v>0</v>
      </c>
      <c r="AB144" s="51">
        <f t="shared" si="32"/>
        <v>0</v>
      </c>
      <c r="AC144" s="94"/>
      <c r="AD144" s="31">
        <f t="shared" si="26"/>
        <v>0</v>
      </c>
      <c r="AE144" s="31">
        <f t="shared" si="27"/>
        <v>0</v>
      </c>
      <c r="AF144" s="17">
        <f t="shared" si="28"/>
        <v>0</v>
      </c>
      <c r="AG144" s="17">
        <f t="shared" si="29"/>
        <v>0</v>
      </c>
      <c r="AH144" s="17">
        <f>SUM('[1]2024年全面预算利润表 (销售1中心)2.8亿'!E149:H149)</f>
        <v>0</v>
      </c>
    </row>
    <row r="145" spans="1:34" s="19" customFormat="1" ht="18" hidden="1" customHeight="1" outlineLevel="1" x14ac:dyDescent="0.25">
      <c r="A145" s="48" t="s">
        <v>149</v>
      </c>
      <c r="B145" s="53"/>
      <c r="C145" s="49">
        <f>'2025年中心利润表 '!C145+'2025年江苏分部利润表'!C145+'2025年浙江分部利润表'!C145+'2025年上海分部利润表'!C145+'2025年赣皖区域利润表'!C145</f>
        <v>0</v>
      </c>
      <c r="D145" s="49">
        <f>'2025年中心利润表 '!D145+'2025年江苏分部利润表'!D145+'2025年浙江分部利润表'!D145+'2025年上海分部利润表'!D145+'2025年赣皖区域利润表'!D145</f>
        <v>0</v>
      </c>
      <c r="E145" s="49">
        <f>'2025年中心利润表 '!E145+'2025年江苏分部利润表'!E145+'2025年浙江分部利润表'!E145+'2025年上海分部利润表'!E145+'2025年赣皖区域利润表'!E145</f>
        <v>0</v>
      </c>
      <c r="F145" s="49">
        <f>'2025年中心利润表 '!F145+'2025年江苏分部利润表'!F145+'2025年浙江分部利润表'!F145+'2025年上海分部利润表'!F145+'2025年赣皖区域利润表'!F145</f>
        <v>0</v>
      </c>
      <c r="G145" s="49">
        <f>'2025年中心利润表 '!G145+'2025年江苏分部利润表'!G145+'2025年浙江分部利润表'!G145+'2025年上海分部利润表'!G145+'2025年赣皖区域利润表'!G145</f>
        <v>0</v>
      </c>
      <c r="H145" s="49">
        <f>'2025年中心利润表 '!H145+'2025年江苏分部利润表'!H145+'2025年浙江分部利润表'!H145+'2025年上海分部利润表'!H145+'2025年赣皖区域利润表'!H145</f>
        <v>0</v>
      </c>
      <c r="I145" s="49">
        <f>'2025年中心利润表 '!I145+'2025年江苏分部利润表'!I145+'2025年浙江分部利润表'!I145+'2025年上海分部利润表'!I145+'2025年赣皖区域利润表'!I145</f>
        <v>0</v>
      </c>
      <c r="J145" s="49">
        <f>'2025年中心利润表 '!J145+'2025年江苏分部利润表'!J145+'2025年浙江分部利润表'!J145+'2025年上海分部利润表'!J145+'2025年赣皖区域利润表'!J145</f>
        <v>0</v>
      </c>
      <c r="K145" s="49">
        <f>'2025年中心利润表 '!K145+'2025年江苏分部利润表'!K145+'2025年浙江分部利润表'!K145+'2025年上海分部利润表'!K145+'2025年赣皖区域利润表'!K145</f>
        <v>0</v>
      </c>
      <c r="L145" s="49">
        <f>'2025年中心利润表 '!L145+'2025年江苏分部利润表'!L145+'2025年浙江分部利润表'!L145+'2025年上海分部利润表'!L145+'2025年赣皖区域利润表'!L145</f>
        <v>0</v>
      </c>
      <c r="M145" s="49">
        <f>'2025年中心利润表 '!M145+'2025年江苏分部利润表'!M145+'2025年浙江分部利润表'!M145+'2025年上海分部利润表'!M145+'2025年赣皖区域利润表'!M145</f>
        <v>0</v>
      </c>
      <c r="N145" s="49">
        <f>'2025年中心利润表 '!N145+'2025年江苏分部利润表'!N145+'2025年浙江分部利润表'!N145+'2025年上海分部利润表'!N145+'2025年赣皖区域利润表'!N145</f>
        <v>0</v>
      </c>
      <c r="O145" s="49">
        <f>'2025年中心利润表 '!O145+'2025年江苏分部利润表'!O145+'2025年浙江分部利润表'!O145+'2025年上海分部利润表'!O145+'2025年赣皖区域利润表'!O145</f>
        <v>0</v>
      </c>
      <c r="P145" s="49">
        <f>'2025年中心利润表 '!P145+'2025年江苏分部利润表'!P145+'2025年浙江分部利润表'!P145+'2025年上海分部利润表'!P145+'2025年赣皖区域利润表'!P145</f>
        <v>0</v>
      </c>
      <c r="Q145" s="49">
        <f>'2025年中心利润表 '!Q145+'2025年江苏分部利润表'!Q145+'2025年浙江分部利润表'!Q145+'2025年上海分部利润表'!Q145+'2025年赣皖区域利润表'!Q145</f>
        <v>0</v>
      </c>
      <c r="R145" s="49">
        <f>'2025年中心利润表 '!R145+'2025年江苏分部利润表'!R145+'2025年浙江分部利润表'!R145+'2025年上海分部利润表'!R145+'2025年赣皖区域利润表'!R145</f>
        <v>0</v>
      </c>
      <c r="S145" s="49">
        <f>'2025年中心利润表 '!S145+'2025年江苏分部利润表'!S145+'2025年浙江分部利润表'!S145+'2025年上海分部利润表'!S145+'2025年赣皖区域利润表'!S145</f>
        <v>0</v>
      </c>
      <c r="T145" s="49">
        <f>'2025年中心利润表 '!T145+'2025年江苏分部利润表'!T145+'2025年浙江分部利润表'!T145+'2025年上海分部利润表'!T145+'2025年赣皖区域利润表'!T145</f>
        <v>0</v>
      </c>
      <c r="U145" s="49">
        <f>'2025年中心利润表 '!U145+'2025年江苏分部利润表'!U145+'2025年浙江分部利润表'!U145+'2025年上海分部利润表'!U145+'2025年赣皖区域利润表'!U145</f>
        <v>0</v>
      </c>
      <c r="V145" s="49">
        <f>'2025年中心利润表 '!V145+'2025年江苏分部利润表'!V145+'2025年浙江分部利润表'!V145+'2025年上海分部利润表'!V145+'2025年赣皖区域利润表'!V145</f>
        <v>0</v>
      </c>
      <c r="W145" s="49">
        <f>'2025年中心利润表 '!W145+'2025年江苏分部利润表'!W145+'2025年浙江分部利润表'!W145+'2025年上海分部利润表'!W145+'2025年赣皖区域利润表'!W145</f>
        <v>0</v>
      </c>
      <c r="X145" s="49">
        <f>'2025年中心利润表 '!X145+'2025年江苏分部利润表'!X145+'2025年浙江分部利润表'!X145+'2025年上海分部利润表'!X145+'2025年赣皖区域利润表'!X145</f>
        <v>0</v>
      </c>
      <c r="Y145" s="49">
        <f>'2025年中心利润表 '!Y145+'2025年江苏分部利润表'!Y145+'2025年浙江分部利润表'!Y145+'2025年上海分部利润表'!Y145+'2025年赣皖区域利润表'!Y145</f>
        <v>0</v>
      </c>
      <c r="Z145" s="49">
        <f>'2025年中心利润表 '!Z145+'2025年江苏分部利润表'!Z145+'2025年浙江分部利润表'!Z145+'2025年上海分部利润表'!Z145+'2025年赣皖区域利润表'!Z145</f>
        <v>0</v>
      </c>
      <c r="AA145" s="51">
        <f t="shared" si="24"/>
        <v>0</v>
      </c>
      <c r="AB145" s="51">
        <f t="shared" si="32"/>
        <v>0</v>
      </c>
      <c r="AC145" s="94"/>
      <c r="AD145" s="31">
        <f t="shared" si="26"/>
        <v>0</v>
      </c>
      <c r="AE145" s="31">
        <f t="shared" si="27"/>
        <v>0</v>
      </c>
      <c r="AF145" s="17">
        <f t="shared" si="28"/>
        <v>0</v>
      </c>
      <c r="AG145" s="17">
        <f t="shared" si="29"/>
        <v>0</v>
      </c>
      <c r="AH145" s="17">
        <f>SUM('[1]2024年全面预算利润表 (销售1中心)2.8亿'!E150:H150)</f>
        <v>0</v>
      </c>
    </row>
    <row r="146" spans="1:34" s="19" customFormat="1" ht="18" hidden="1" customHeight="1" outlineLevel="1" x14ac:dyDescent="0.25">
      <c r="A146" s="48" t="s">
        <v>150</v>
      </c>
      <c r="B146" s="53"/>
      <c r="C146" s="49">
        <f>'2025年中心利润表 '!C146+'2025年江苏分部利润表'!C146+'2025年浙江分部利润表'!C146+'2025年上海分部利润表'!C146+'2025年赣皖区域利润表'!C146</f>
        <v>0</v>
      </c>
      <c r="D146" s="49">
        <f>'2025年中心利润表 '!D146+'2025年江苏分部利润表'!D146+'2025年浙江分部利润表'!D146+'2025年上海分部利润表'!D146+'2025年赣皖区域利润表'!D146</f>
        <v>0</v>
      </c>
      <c r="E146" s="49">
        <f>'2025年中心利润表 '!E146+'2025年江苏分部利润表'!E146+'2025年浙江分部利润表'!E146+'2025年上海分部利润表'!E146+'2025年赣皖区域利润表'!E146</f>
        <v>0</v>
      </c>
      <c r="F146" s="49">
        <f>'2025年中心利润表 '!F146+'2025年江苏分部利润表'!F146+'2025年浙江分部利润表'!F146+'2025年上海分部利润表'!F146+'2025年赣皖区域利润表'!F146</f>
        <v>0</v>
      </c>
      <c r="G146" s="49">
        <f>'2025年中心利润表 '!G146+'2025年江苏分部利润表'!G146+'2025年浙江分部利润表'!G146+'2025年上海分部利润表'!G146+'2025年赣皖区域利润表'!G146</f>
        <v>0</v>
      </c>
      <c r="H146" s="49">
        <f>'2025年中心利润表 '!H146+'2025年江苏分部利润表'!H146+'2025年浙江分部利润表'!H146+'2025年上海分部利润表'!H146+'2025年赣皖区域利润表'!H146</f>
        <v>0</v>
      </c>
      <c r="I146" s="49">
        <f>'2025年中心利润表 '!I146+'2025年江苏分部利润表'!I146+'2025年浙江分部利润表'!I146+'2025年上海分部利润表'!I146+'2025年赣皖区域利润表'!I146</f>
        <v>0</v>
      </c>
      <c r="J146" s="49">
        <f>'2025年中心利润表 '!J146+'2025年江苏分部利润表'!J146+'2025年浙江分部利润表'!J146+'2025年上海分部利润表'!J146+'2025年赣皖区域利润表'!J146</f>
        <v>0</v>
      </c>
      <c r="K146" s="49">
        <f>'2025年中心利润表 '!K146+'2025年江苏分部利润表'!K146+'2025年浙江分部利润表'!K146+'2025年上海分部利润表'!K146+'2025年赣皖区域利润表'!K146</f>
        <v>0</v>
      </c>
      <c r="L146" s="49">
        <f>'2025年中心利润表 '!L146+'2025年江苏分部利润表'!L146+'2025年浙江分部利润表'!L146+'2025年上海分部利润表'!L146+'2025年赣皖区域利润表'!L146</f>
        <v>0</v>
      </c>
      <c r="M146" s="49">
        <f>'2025年中心利润表 '!M146+'2025年江苏分部利润表'!M146+'2025年浙江分部利润表'!M146+'2025年上海分部利润表'!M146+'2025年赣皖区域利润表'!M146</f>
        <v>0</v>
      </c>
      <c r="N146" s="49">
        <f>'2025年中心利润表 '!N146+'2025年江苏分部利润表'!N146+'2025年浙江分部利润表'!N146+'2025年上海分部利润表'!N146+'2025年赣皖区域利润表'!N146</f>
        <v>0</v>
      </c>
      <c r="O146" s="49">
        <f>'2025年中心利润表 '!O146+'2025年江苏分部利润表'!O146+'2025年浙江分部利润表'!O146+'2025年上海分部利润表'!O146+'2025年赣皖区域利润表'!O146</f>
        <v>0</v>
      </c>
      <c r="P146" s="49">
        <f>'2025年中心利润表 '!P146+'2025年江苏分部利润表'!P146+'2025年浙江分部利润表'!P146+'2025年上海分部利润表'!P146+'2025年赣皖区域利润表'!P146</f>
        <v>0</v>
      </c>
      <c r="Q146" s="49">
        <f>'2025年中心利润表 '!Q146+'2025年江苏分部利润表'!Q146+'2025年浙江分部利润表'!Q146+'2025年上海分部利润表'!Q146+'2025年赣皖区域利润表'!Q146</f>
        <v>0</v>
      </c>
      <c r="R146" s="49">
        <f>'2025年中心利润表 '!R146+'2025年江苏分部利润表'!R146+'2025年浙江分部利润表'!R146+'2025年上海分部利润表'!R146+'2025年赣皖区域利润表'!R146</f>
        <v>0</v>
      </c>
      <c r="S146" s="49">
        <f>'2025年中心利润表 '!S146+'2025年江苏分部利润表'!S146+'2025年浙江分部利润表'!S146+'2025年上海分部利润表'!S146+'2025年赣皖区域利润表'!S146</f>
        <v>0</v>
      </c>
      <c r="T146" s="49">
        <f>'2025年中心利润表 '!T146+'2025年江苏分部利润表'!T146+'2025年浙江分部利润表'!T146+'2025年上海分部利润表'!T146+'2025年赣皖区域利润表'!T146</f>
        <v>0</v>
      </c>
      <c r="U146" s="49">
        <f>'2025年中心利润表 '!U146+'2025年江苏分部利润表'!U146+'2025年浙江分部利润表'!U146+'2025年上海分部利润表'!U146+'2025年赣皖区域利润表'!U146</f>
        <v>0</v>
      </c>
      <c r="V146" s="49">
        <f>'2025年中心利润表 '!V146+'2025年江苏分部利润表'!V146+'2025年浙江分部利润表'!V146+'2025年上海分部利润表'!V146+'2025年赣皖区域利润表'!V146</f>
        <v>0</v>
      </c>
      <c r="W146" s="49">
        <f>'2025年中心利润表 '!W146+'2025年江苏分部利润表'!W146+'2025年浙江分部利润表'!W146+'2025年上海分部利润表'!W146+'2025年赣皖区域利润表'!W146</f>
        <v>0</v>
      </c>
      <c r="X146" s="49">
        <f>'2025年中心利润表 '!X146+'2025年江苏分部利润表'!X146+'2025年浙江分部利润表'!X146+'2025年上海分部利润表'!X146+'2025年赣皖区域利润表'!X146</f>
        <v>0</v>
      </c>
      <c r="Y146" s="49">
        <f>'2025年中心利润表 '!Y146+'2025年江苏分部利润表'!Y146+'2025年浙江分部利润表'!Y146+'2025年上海分部利润表'!Y146+'2025年赣皖区域利润表'!Y146</f>
        <v>0</v>
      </c>
      <c r="Z146" s="49">
        <f>'2025年中心利润表 '!Z146+'2025年江苏分部利润表'!Z146+'2025年浙江分部利润表'!Z146+'2025年上海分部利润表'!Z146+'2025年赣皖区域利润表'!Z146</f>
        <v>0</v>
      </c>
      <c r="AA146" s="51">
        <f t="shared" si="24"/>
        <v>0</v>
      </c>
      <c r="AB146" s="51">
        <f t="shared" si="32"/>
        <v>0</v>
      </c>
      <c r="AC146" s="94"/>
      <c r="AD146" s="31">
        <f t="shared" si="26"/>
        <v>0</v>
      </c>
      <c r="AE146" s="31">
        <f t="shared" si="27"/>
        <v>0</v>
      </c>
      <c r="AF146" s="17">
        <f t="shared" si="28"/>
        <v>0</v>
      </c>
      <c r="AG146" s="17">
        <f t="shared" si="29"/>
        <v>0</v>
      </c>
      <c r="AH146" s="17">
        <f>SUM('[1]2024年全面预算利润表 (销售1中心)2.8亿'!E151:H151)</f>
        <v>0</v>
      </c>
    </row>
    <row r="147" spans="1:34" s="19" customFormat="1" ht="18" hidden="1" customHeight="1" outlineLevel="1" x14ac:dyDescent="0.25">
      <c r="A147" s="48" t="s">
        <v>151</v>
      </c>
      <c r="B147" s="53"/>
      <c r="C147" s="49">
        <f>'2025年中心利润表 '!C147+'2025年江苏分部利润表'!C147+'2025年浙江分部利润表'!C147+'2025年上海分部利润表'!C147+'2025年赣皖区域利润表'!C147</f>
        <v>0</v>
      </c>
      <c r="D147" s="49">
        <f>'2025年中心利润表 '!D147+'2025年江苏分部利润表'!D147+'2025年浙江分部利润表'!D147+'2025年上海分部利润表'!D147+'2025年赣皖区域利润表'!D147</f>
        <v>0</v>
      </c>
      <c r="E147" s="49">
        <f>'2025年中心利润表 '!E147+'2025年江苏分部利润表'!E147+'2025年浙江分部利润表'!E147+'2025年上海分部利润表'!E147+'2025年赣皖区域利润表'!E147</f>
        <v>0</v>
      </c>
      <c r="F147" s="49">
        <f>'2025年中心利润表 '!F147+'2025年江苏分部利润表'!F147+'2025年浙江分部利润表'!F147+'2025年上海分部利润表'!F147+'2025年赣皖区域利润表'!F147</f>
        <v>0</v>
      </c>
      <c r="G147" s="49">
        <f>'2025年中心利润表 '!G147+'2025年江苏分部利润表'!G147+'2025年浙江分部利润表'!G147+'2025年上海分部利润表'!G147+'2025年赣皖区域利润表'!G147</f>
        <v>0</v>
      </c>
      <c r="H147" s="49">
        <f>'2025年中心利润表 '!H147+'2025年江苏分部利润表'!H147+'2025年浙江分部利润表'!H147+'2025年上海分部利润表'!H147+'2025年赣皖区域利润表'!H147</f>
        <v>0</v>
      </c>
      <c r="I147" s="49">
        <f>'2025年中心利润表 '!I147+'2025年江苏分部利润表'!I147+'2025年浙江分部利润表'!I147+'2025年上海分部利润表'!I147+'2025年赣皖区域利润表'!I147</f>
        <v>0</v>
      </c>
      <c r="J147" s="49">
        <f>'2025年中心利润表 '!J147+'2025年江苏分部利润表'!J147+'2025年浙江分部利润表'!J147+'2025年上海分部利润表'!J147+'2025年赣皖区域利润表'!J147</f>
        <v>0</v>
      </c>
      <c r="K147" s="49">
        <f>'2025年中心利润表 '!K147+'2025年江苏分部利润表'!K147+'2025年浙江分部利润表'!K147+'2025年上海分部利润表'!K147+'2025年赣皖区域利润表'!K147</f>
        <v>0</v>
      </c>
      <c r="L147" s="49">
        <f>'2025年中心利润表 '!L147+'2025年江苏分部利润表'!L147+'2025年浙江分部利润表'!L147+'2025年上海分部利润表'!L147+'2025年赣皖区域利润表'!L147</f>
        <v>0</v>
      </c>
      <c r="M147" s="49">
        <f>'2025年中心利润表 '!M147+'2025年江苏分部利润表'!M147+'2025年浙江分部利润表'!M147+'2025年上海分部利润表'!M147+'2025年赣皖区域利润表'!M147</f>
        <v>0</v>
      </c>
      <c r="N147" s="49">
        <f>'2025年中心利润表 '!N147+'2025年江苏分部利润表'!N147+'2025年浙江分部利润表'!N147+'2025年上海分部利润表'!N147+'2025年赣皖区域利润表'!N147</f>
        <v>0</v>
      </c>
      <c r="O147" s="49">
        <f>'2025年中心利润表 '!O147+'2025年江苏分部利润表'!O147+'2025年浙江分部利润表'!O147+'2025年上海分部利润表'!O147+'2025年赣皖区域利润表'!O147</f>
        <v>0</v>
      </c>
      <c r="P147" s="49">
        <f>'2025年中心利润表 '!P147+'2025年江苏分部利润表'!P147+'2025年浙江分部利润表'!P147+'2025年上海分部利润表'!P147+'2025年赣皖区域利润表'!P147</f>
        <v>0</v>
      </c>
      <c r="Q147" s="49">
        <f>'2025年中心利润表 '!Q147+'2025年江苏分部利润表'!Q147+'2025年浙江分部利润表'!Q147+'2025年上海分部利润表'!Q147+'2025年赣皖区域利润表'!Q147</f>
        <v>0</v>
      </c>
      <c r="R147" s="49">
        <f>'2025年中心利润表 '!R147+'2025年江苏分部利润表'!R147+'2025年浙江分部利润表'!R147+'2025年上海分部利润表'!R147+'2025年赣皖区域利润表'!R147</f>
        <v>0</v>
      </c>
      <c r="S147" s="49">
        <f>'2025年中心利润表 '!S147+'2025年江苏分部利润表'!S147+'2025年浙江分部利润表'!S147+'2025年上海分部利润表'!S147+'2025年赣皖区域利润表'!S147</f>
        <v>0</v>
      </c>
      <c r="T147" s="49">
        <f>'2025年中心利润表 '!T147+'2025年江苏分部利润表'!T147+'2025年浙江分部利润表'!T147+'2025年上海分部利润表'!T147+'2025年赣皖区域利润表'!T147</f>
        <v>0</v>
      </c>
      <c r="U147" s="49">
        <f>'2025年中心利润表 '!U147+'2025年江苏分部利润表'!U147+'2025年浙江分部利润表'!U147+'2025年上海分部利润表'!U147+'2025年赣皖区域利润表'!U147</f>
        <v>0</v>
      </c>
      <c r="V147" s="49">
        <f>'2025年中心利润表 '!V147+'2025年江苏分部利润表'!V147+'2025年浙江分部利润表'!V147+'2025年上海分部利润表'!V147+'2025年赣皖区域利润表'!V147</f>
        <v>0</v>
      </c>
      <c r="W147" s="49">
        <f>'2025年中心利润表 '!W147+'2025年江苏分部利润表'!W147+'2025年浙江分部利润表'!W147+'2025年上海分部利润表'!W147+'2025年赣皖区域利润表'!W147</f>
        <v>0</v>
      </c>
      <c r="X147" s="49">
        <f>'2025年中心利润表 '!X147+'2025年江苏分部利润表'!X147+'2025年浙江分部利润表'!X147+'2025年上海分部利润表'!X147+'2025年赣皖区域利润表'!X147</f>
        <v>0</v>
      </c>
      <c r="Y147" s="49">
        <f>'2025年中心利润表 '!Y147+'2025年江苏分部利润表'!Y147+'2025年浙江分部利润表'!Y147+'2025年上海分部利润表'!Y147+'2025年赣皖区域利润表'!Y147</f>
        <v>0</v>
      </c>
      <c r="Z147" s="49">
        <f>'2025年中心利润表 '!Z147+'2025年江苏分部利润表'!Z147+'2025年浙江分部利润表'!Z147+'2025年上海分部利润表'!Z147+'2025年赣皖区域利润表'!Z147</f>
        <v>0</v>
      </c>
      <c r="AA147" s="51">
        <f t="shared" si="24"/>
        <v>0</v>
      </c>
      <c r="AB147" s="51">
        <f t="shared" si="32"/>
        <v>0</v>
      </c>
      <c r="AC147" s="94"/>
      <c r="AD147" s="31">
        <f t="shared" si="26"/>
        <v>0</v>
      </c>
      <c r="AE147" s="31">
        <f t="shared" si="27"/>
        <v>0</v>
      </c>
      <c r="AF147" s="17">
        <f t="shared" si="28"/>
        <v>0</v>
      </c>
      <c r="AG147" s="17">
        <f t="shared" si="29"/>
        <v>0</v>
      </c>
      <c r="AH147" s="17">
        <f>SUM('[1]2024年全面预算利润表 (销售1中心)2.8亿'!E152:H152)</f>
        <v>0</v>
      </c>
    </row>
    <row r="148" spans="1:34" s="19" customFormat="1" ht="18" hidden="1" customHeight="1" outlineLevel="1" x14ac:dyDescent="0.25">
      <c r="A148" s="48" t="s">
        <v>152</v>
      </c>
      <c r="B148" s="53"/>
      <c r="C148" s="49">
        <f>'2025年中心利润表 '!C148+'2025年江苏分部利润表'!C148+'2025年浙江分部利润表'!C148+'2025年上海分部利润表'!C148+'2025年赣皖区域利润表'!C148</f>
        <v>0</v>
      </c>
      <c r="D148" s="49">
        <f>'2025年中心利润表 '!D148+'2025年江苏分部利润表'!D148+'2025年浙江分部利润表'!D148+'2025年上海分部利润表'!D148+'2025年赣皖区域利润表'!D148</f>
        <v>0</v>
      </c>
      <c r="E148" s="49">
        <f>'2025年中心利润表 '!E148+'2025年江苏分部利润表'!E148+'2025年浙江分部利润表'!E148+'2025年上海分部利润表'!E148+'2025年赣皖区域利润表'!E148</f>
        <v>0</v>
      </c>
      <c r="F148" s="49">
        <f>'2025年中心利润表 '!F148+'2025年江苏分部利润表'!F148+'2025年浙江分部利润表'!F148+'2025年上海分部利润表'!F148+'2025年赣皖区域利润表'!F148</f>
        <v>0</v>
      </c>
      <c r="G148" s="49">
        <f>'2025年中心利润表 '!G148+'2025年江苏分部利润表'!G148+'2025年浙江分部利润表'!G148+'2025年上海分部利润表'!G148+'2025年赣皖区域利润表'!G148</f>
        <v>0</v>
      </c>
      <c r="H148" s="49">
        <f>'2025年中心利润表 '!H148+'2025年江苏分部利润表'!H148+'2025年浙江分部利润表'!H148+'2025年上海分部利润表'!H148+'2025年赣皖区域利润表'!H148</f>
        <v>0</v>
      </c>
      <c r="I148" s="49">
        <f>'2025年中心利润表 '!I148+'2025年江苏分部利润表'!I148+'2025年浙江分部利润表'!I148+'2025年上海分部利润表'!I148+'2025年赣皖区域利润表'!I148</f>
        <v>0</v>
      </c>
      <c r="J148" s="49">
        <f>'2025年中心利润表 '!J148+'2025年江苏分部利润表'!J148+'2025年浙江分部利润表'!J148+'2025年上海分部利润表'!J148+'2025年赣皖区域利润表'!J148</f>
        <v>0</v>
      </c>
      <c r="K148" s="49">
        <f>'2025年中心利润表 '!K148+'2025年江苏分部利润表'!K148+'2025年浙江分部利润表'!K148+'2025年上海分部利润表'!K148+'2025年赣皖区域利润表'!K148</f>
        <v>0</v>
      </c>
      <c r="L148" s="49">
        <f>'2025年中心利润表 '!L148+'2025年江苏分部利润表'!L148+'2025年浙江分部利润表'!L148+'2025年上海分部利润表'!L148+'2025年赣皖区域利润表'!L148</f>
        <v>0</v>
      </c>
      <c r="M148" s="49">
        <f>'2025年中心利润表 '!M148+'2025年江苏分部利润表'!M148+'2025年浙江分部利润表'!M148+'2025年上海分部利润表'!M148+'2025年赣皖区域利润表'!M148</f>
        <v>0</v>
      </c>
      <c r="N148" s="49">
        <f>'2025年中心利润表 '!N148+'2025年江苏分部利润表'!N148+'2025年浙江分部利润表'!N148+'2025年上海分部利润表'!N148+'2025年赣皖区域利润表'!N148</f>
        <v>0</v>
      </c>
      <c r="O148" s="49">
        <f>'2025年中心利润表 '!O148+'2025年江苏分部利润表'!O148+'2025年浙江分部利润表'!O148+'2025年上海分部利润表'!O148+'2025年赣皖区域利润表'!O148</f>
        <v>0</v>
      </c>
      <c r="P148" s="49">
        <f>'2025年中心利润表 '!P148+'2025年江苏分部利润表'!P148+'2025年浙江分部利润表'!P148+'2025年上海分部利润表'!P148+'2025年赣皖区域利润表'!P148</f>
        <v>0</v>
      </c>
      <c r="Q148" s="49">
        <f>'2025年中心利润表 '!Q148+'2025年江苏分部利润表'!Q148+'2025年浙江分部利润表'!Q148+'2025年上海分部利润表'!Q148+'2025年赣皖区域利润表'!Q148</f>
        <v>0</v>
      </c>
      <c r="R148" s="49">
        <f>'2025年中心利润表 '!R148+'2025年江苏分部利润表'!R148+'2025年浙江分部利润表'!R148+'2025年上海分部利润表'!R148+'2025年赣皖区域利润表'!R148</f>
        <v>0</v>
      </c>
      <c r="S148" s="49">
        <f>'2025年中心利润表 '!S148+'2025年江苏分部利润表'!S148+'2025年浙江分部利润表'!S148+'2025年上海分部利润表'!S148+'2025年赣皖区域利润表'!S148</f>
        <v>0</v>
      </c>
      <c r="T148" s="49">
        <f>'2025年中心利润表 '!T148+'2025年江苏分部利润表'!T148+'2025年浙江分部利润表'!T148+'2025年上海分部利润表'!T148+'2025年赣皖区域利润表'!T148</f>
        <v>0</v>
      </c>
      <c r="U148" s="49">
        <f>'2025年中心利润表 '!U148+'2025年江苏分部利润表'!U148+'2025年浙江分部利润表'!U148+'2025年上海分部利润表'!U148+'2025年赣皖区域利润表'!U148</f>
        <v>0</v>
      </c>
      <c r="V148" s="49">
        <f>'2025年中心利润表 '!V148+'2025年江苏分部利润表'!V148+'2025年浙江分部利润表'!V148+'2025年上海分部利润表'!V148+'2025年赣皖区域利润表'!V148</f>
        <v>0</v>
      </c>
      <c r="W148" s="49">
        <f>'2025年中心利润表 '!W148+'2025年江苏分部利润表'!W148+'2025年浙江分部利润表'!W148+'2025年上海分部利润表'!W148+'2025年赣皖区域利润表'!W148</f>
        <v>0</v>
      </c>
      <c r="X148" s="49">
        <f>'2025年中心利润表 '!X148+'2025年江苏分部利润表'!X148+'2025年浙江分部利润表'!X148+'2025年上海分部利润表'!X148+'2025年赣皖区域利润表'!X148</f>
        <v>0</v>
      </c>
      <c r="Y148" s="49">
        <f>'2025年中心利润表 '!Y148+'2025年江苏分部利润表'!Y148+'2025年浙江分部利润表'!Y148+'2025年上海分部利润表'!Y148+'2025年赣皖区域利润表'!Y148</f>
        <v>0</v>
      </c>
      <c r="Z148" s="49">
        <f>'2025年中心利润表 '!Z148+'2025年江苏分部利润表'!Z148+'2025年浙江分部利润表'!Z148+'2025年上海分部利润表'!Z148+'2025年赣皖区域利润表'!Z148</f>
        <v>0</v>
      </c>
      <c r="AA148" s="51">
        <f t="shared" si="24"/>
        <v>0</v>
      </c>
      <c r="AB148" s="51">
        <f t="shared" si="32"/>
        <v>0</v>
      </c>
      <c r="AC148" s="94"/>
      <c r="AD148" s="31">
        <f t="shared" si="26"/>
        <v>0</v>
      </c>
      <c r="AE148" s="31">
        <f t="shared" si="27"/>
        <v>0</v>
      </c>
      <c r="AF148" s="17">
        <f t="shared" si="28"/>
        <v>0</v>
      </c>
      <c r="AG148" s="17">
        <f t="shared" si="29"/>
        <v>0</v>
      </c>
      <c r="AH148" s="17">
        <f>SUM('[1]2024年全面预算利润表 (销售1中心)2.8亿'!E153:H153)</f>
        <v>0</v>
      </c>
    </row>
    <row r="149" spans="1:34" s="19" customFormat="1" ht="18" hidden="1" customHeight="1" outlineLevel="1" x14ac:dyDescent="0.25">
      <c r="A149" s="48" t="s">
        <v>153</v>
      </c>
      <c r="B149" s="53"/>
      <c r="C149" s="49">
        <f>'2025年中心利润表 '!C149+'2025年江苏分部利润表'!C149+'2025年浙江分部利润表'!C149+'2025年上海分部利润表'!C149+'2025年赣皖区域利润表'!C149</f>
        <v>0</v>
      </c>
      <c r="D149" s="49">
        <f>'2025年中心利润表 '!D149+'2025年江苏分部利润表'!D149+'2025年浙江分部利润表'!D149+'2025年上海分部利润表'!D149+'2025年赣皖区域利润表'!D149</f>
        <v>0</v>
      </c>
      <c r="E149" s="49">
        <f>'2025年中心利润表 '!E149+'2025年江苏分部利润表'!E149+'2025年浙江分部利润表'!E149+'2025年上海分部利润表'!E149+'2025年赣皖区域利润表'!E149</f>
        <v>0</v>
      </c>
      <c r="F149" s="49">
        <f>'2025年中心利润表 '!F149+'2025年江苏分部利润表'!F149+'2025年浙江分部利润表'!F149+'2025年上海分部利润表'!F149+'2025年赣皖区域利润表'!F149</f>
        <v>0</v>
      </c>
      <c r="G149" s="49">
        <f>'2025年中心利润表 '!G149+'2025年江苏分部利润表'!G149+'2025年浙江分部利润表'!G149+'2025年上海分部利润表'!G149+'2025年赣皖区域利润表'!G149</f>
        <v>0</v>
      </c>
      <c r="H149" s="49">
        <f>'2025年中心利润表 '!H149+'2025年江苏分部利润表'!H149+'2025年浙江分部利润表'!H149+'2025年上海分部利润表'!H149+'2025年赣皖区域利润表'!H149</f>
        <v>0</v>
      </c>
      <c r="I149" s="49">
        <f>'2025年中心利润表 '!I149+'2025年江苏分部利润表'!I149+'2025年浙江分部利润表'!I149+'2025年上海分部利润表'!I149+'2025年赣皖区域利润表'!I149</f>
        <v>0</v>
      </c>
      <c r="J149" s="49">
        <f>'2025年中心利润表 '!J149+'2025年江苏分部利润表'!J149+'2025年浙江分部利润表'!J149+'2025年上海分部利润表'!J149+'2025年赣皖区域利润表'!J149</f>
        <v>0</v>
      </c>
      <c r="K149" s="49">
        <f>'2025年中心利润表 '!K149+'2025年江苏分部利润表'!K149+'2025年浙江分部利润表'!K149+'2025年上海分部利润表'!K149+'2025年赣皖区域利润表'!K149</f>
        <v>0</v>
      </c>
      <c r="L149" s="49">
        <f>'2025年中心利润表 '!L149+'2025年江苏分部利润表'!L149+'2025年浙江分部利润表'!L149+'2025年上海分部利润表'!L149+'2025年赣皖区域利润表'!L149</f>
        <v>0</v>
      </c>
      <c r="M149" s="49">
        <f>'2025年中心利润表 '!M149+'2025年江苏分部利润表'!M149+'2025年浙江分部利润表'!M149+'2025年上海分部利润表'!M149+'2025年赣皖区域利润表'!M149</f>
        <v>0</v>
      </c>
      <c r="N149" s="49">
        <f>'2025年中心利润表 '!N149+'2025年江苏分部利润表'!N149+'2025年浙江分部利润表'!N149+'2025年上海分部利润表'!N149+'2025年赣皖区域利润表'!N149</f>
        <v>0</v>
      </c>
      <c r="O149" s="49">
        <f>'2025年中心利润表 '!O149+'2025年江苏分部利润表'!O149+'2025年浙江分部利润表'!O149+'2025年上海分部利润表'!O149+'2025年赣皖区域利润表'!O149</f>
        <v>0</v>
      </c>
      <c r="P149" s="49">
        <f>'2025年中心利润表 '!P149+'2025年江苏分部利润表'!P149+'2025年浙江分部利润表'!P149+'2025年上海分部利润表'!P149+'2025年赣皖区域利润表'!P149</f>
        <v>0</v>
      </c>
      <c r="Q149" s="49">
        <f>'2025年中心利润表 '!Q149+'2025年江苏分部利润表'!Q149+'2025年浙江分部利润表'!Q149+'2025年上海分部利润表'!Q149+'2025年赣皖区域利润表'!Q149</f>
        <v>0</v>
      </c>
      <c r="R149" s="49">
        <f>'2025年中心利润表 '!R149+'2025年江苏分部利润表'!R149+'2025年浙江分部利润表'!R149+'2025年上海分部利润表'!R149+'2025年赣皖区域利润表'!R149</f>
        <v>0</v>
      </c>
      <c r="S149" s="49">
        <f>'2025年中心利润表 '!S149+'2025年江苏分部利润表'!S149+'2025年浙江分部利润表'!S149+'2025年上海分部利润表'!S149+'2025年赣皖区域利润表'!S149</f>
        <v>0</v>
      </c>
      <c r="T149" s="49">
        <f>'2025年中心利润表 '!T149+'2025年江苏分部利润表'!T149+'2025年浙江分部利润表'!T149+'2025年上海分部利润表'!T149+'2025年赣皖区域利润表'!T149</f>
        <v>0</v>
      </c>
      <c r="U149" s="49">
        <f>'2025年中心利润表 '!U149+'2025年江苏分部利润表'!U149+'2025年浙江分部利润表'!U149+'2025年上海分部利润表'!U149+'2025年赣皖区域利润表'!U149</f>
        <v>0</v>
      </c>
      <c r="V149" s="49">
        <f>'2025年中心利润表 '!V149+'2025年江苏分部利润表'!V149+'2025年浙江分部利润表'!V149+'2025年上海分部利润表'!V149+'2025年赣皖区域利润表'!V149</f>
        <v>0</v>
      </c>
      <c r="W149" s="49">
        <f>'2025年中心利润表 '!W149+'2025年江苏分部利润表'!W149+'2025年浙江分部利润表'!W149+'2025年上海分部利润表'!W149+'2025年赣皖区域利润表'!W149</f>
        <v>0</v>
      </c>
      <c r="X149" s="49">
        <f>'2025年中心利润表 '!X149+'2025年江苏分部利润表'!X149+'2025年浙江分部利润表'!X149+'2025年上海分部利润表'!X149+'2025年赣皖区域利润表'!X149</f>
        <v>0</v>
      </c>
      <c r="Y149" s="49">
        <f>'2025年中心利润表 '!Y149+'2025年江苏分部利润表'!Y149+'2025年浙江分部利润表'!Y149+'2025年上海分部利润表'!Y149+'2025年赣皖区域利润表'!Y149</f>
        <v>0</v>
      </c>
      <c r="Z149" s="49">
        <f>'2025年中心利润表 '!Z149+'2025年江苏分部利润表'!Z149+'2025年浙江分部利润表'!Z149+'2025年上海分部利润表'!Z149+'2025年赣皖区域利润表'!Z149</f>
        <v>0</v>
      </c>
      <c r="AA149" s="51">
        <f t="shared" si="24"/>
        <v>0</v>
      </c>
      <c r="AB149" s="51">
        <f t="shared" si="32"/>
        <v>0</v>
      </c>
      <c r="AC149" s="94"/>
      <c r="AD149" s="31">
        <f t="shared" si="26"/>
        <v>0</v>
      </c>
      <c r="AE149" s="31">
        <f t="shared" si="27"/>
        <v>0</v>
      </c>
      <c r="AF149" s="17">
        <f t="shared" si="28"/>
        <v>0</v>
      </c>
      <c r="AG149" s="17">
        <f t="shared" si="29"/>
        <v>0</v>
      </c>
      <c r="AH149" s="17">
        <f>SUM('[1]2024年全面预算利润表 (销售1中心)2.8亿'!E154:H154)</f>
        <v>0</v>
      </c>
    </row>
    <row r="150" spans="1:34" s="19" customFormat="1" ht="18" hidden="1" customHeight="1" outlineLevel="1" x14ac:dyDescent="0.25">
      <c r="A150" s="48" t="s">
        <v>154</v>
      </c>
      <c r="B150" s="53"/>
      <c r="C150" s="49">
        <f>'2025年中心利润表 '!C150+'2025年江苏分部利润表'!C150+'2025年浙江分部利润表'!C150+'2025年上海分部利润表'!C150+'2025年赣皖区域利润表'!C150</f>
        <v>0</v>
      </c>
      <c r="D150" s="49">
        <f>'2025年中心利润表 '!D150+'2025年江苏分部利润表'!D150+'2025年浙江分部利润表'!D150+'2025年上海分部利润表'!D150+'2025年赣皖区域利润表'!D150</f>
        <v>0</v>
      </c>
      <c r="E150" s="49">
        <f>'2025年中心利润表 '!E150+'2025年江苏分部利润表'!E150+'2025年浙江分部利润表'!E150+'2025年上海分部利润表'!E150+'2025年赣皖区域利润表'!E150</f>
        <v>0</v>
      </c>
      <c r="F150" s="49">
        <f>'2025年中心利润表 '!F150+'2025年江苏分部利润表'!F150+'2025年浙江分部利润表'!F150+'2025年上海分部利润表'!F150+'2025年赣皖区域利润表'!F150</f>
        <v>0</v>
      </c>
      <c r="G150" s="49">
        <f>'2025年中心利润表 '!G150+'2025年江苏分部利润表'!G150+'2025年浙江分部利润表'!G150+'2025年上海分部利润表'!G150+'2025年赣皖区域利润表'!G150</f>
        <v>0</v>
      </c>
      <c r="H150" s="49">
        <f>'2025年中心利润表 '!H150+'2025年江苏分部利润表'!H150+'2025年浙江分部利润表'!H150+'2025年上海分部利润表'!H150+'2025年赣皖区域利润表'!H150</f>
        <v>0</v>
      </c>
      <c r="I150" s="49">
        <f>'2025年中心利润表 '!I150+'2025年江苏分部利润表'!I150+'2025年浙江分部利润表'!I150+'2025年上海分部利润表'!I150+'2025年赣皖区域利润表'!I150</f>
        <v>0</v>
      </c>
      <c r="J150" s="49">
        <f>'2025年中心利润表 '!J150+'2025年江苏分部利润表'!J150+'2025年浙江分部利润表'!J150+'2025年上海分部利润表'!J150+'2025年赣皖区域利润表'!J150</f>
        <v>0</v>
      </c>
      <c r="K150" s="49">
        <f>'2025年中心利润表 '!K150+'2025年江苏分部利润表'!K150+'2025年浙江分部利润表'!K150+'2025年上海分部利润表'!K150+'2025年赣皖区域利润表'!K150</f>
        <v>0</v>
      </c>
      <c r="L150" s="49">
        <f>'2025年中心利润表 '!L150+'2025年江苏分部利润表'!L150+'2025年浙江分部利润表'!L150+'2025年上海分部利润表'!L150+'2025年赣皖区域利润表'!L150</f>
        <v>0</v>
      </c>
      <c r="M150" s="49">
        <f>'2025年中心利润表 '!M150+'2025年江苏分部利润表'!M150+'2025年浙江分部利润表'!M150+'2025年上海分部利润表'!M150+'2025年赣皖区域利润表'!M150</f>
        <v>0</v>
      </c>
      <c r="N150" s="49">
        <f>'2025年中心利润表 '!N150+'2025年江苏分部利润表'!N150+'2025年浙江分部利润表'!N150+'2025年上海分部利润表'!N150+'2025年赣皖区域利润表'!N150</f>
        <v>0</v>
      </c>
      <c r="O150" s="49">
        <f>'2025年中心利润表 '!O150+'2025年江苏分部利润表'!O150+'2025年浙江分部利润表'!O150+'2025年上海分部利润表'!O150+'2025年赣皖区域利润表'!O150</f>
        <v>0</v>
      </c>
      <c r="P150" s="49">
        <f>'2025年中心利润表 '!P150+'2025年江苏分部利润表'!P150+'2025年浙江分部利润表'!P150+'2025年上海分部利润表'!P150+'2025年赣皖区域利润表'!P150</f>
        <v>0</v>
      </c>
      <c r="Q150" s="49">
        <f>'2025年中心利润表 '!Q150+'2025年江苏分部利润表'!Q150+'2025年浙江分部利润表'!Q150+'2025年上海分部利润表'!Q150+'2025年赣皖区域利润表'!Q150</f>
        <v>0</v>
      </c>
      <c r="R150" s="49">
        <f>'2025年中心利润表 '!R150+'2025年江苏分部利润表'!R150+'2025年浙江分部利润表'!R150+'2025年上海分部利润表'!R150+'2025年赣皖区域利润表'!R150</f>
        <v>0</v>
      </c>
      <c r="S150" s="49">
        <f>'2025年中心利润表 '!S150+'2025年江苏分部利润表'!S150+'2025年浙江分部利润表'!S150+'2025年上海分部利润表'!S150+'2025年赣皖区域利润表'!S150</f>
        <v>0</v>
      </c>
      <c r="T150" s="49">
        <f>'2025年中心利润表 '!T150+'2025年江苏分部利润表'!T150+'2025年浙江分部利润表'!T150+'2025年上海分部利润表'!T150+'2025年赣皖区域利润表'!T150</f>
        <v>0</v>
      </c>
      <c r="U150" s="49">
        <f>'2025年中心利润表 '!U150+'2025年江苏分部利润表'!U150+'2025年浙江分部利润表'!U150+'2025年上海分部利润表'!U150+'2025年赣皖区域利润表'!U150</f>
        <v>0</v>
      </c>
      <c r="V150" s="49">
        <f>'2025年中心利润表 '!V150+'2025年江苏分部利润表'!V150+'2025年浙江分部利润表'!V150+'2025年上海分部利润表'!V150+'2025年赣皖区域利润表'!V150</f>
        <v>0</v>
      </c>
      <c r="W150" s="49">
        <f>'2025年中心利润表 '!W150+'2025年江苏分部利润表'!W150+'2025年浙江分部利润表'!W150+'2025年上海分部利润表'!W150+'2025年赣皖区域利润表'!W150</f>
        <v>0</v>
      </c>
      <c r="X150" s="49">
        <f>'2025年中心利润表 '!X150+'2025年江苏分部利润表'!X150+'2025年浙江分部利润表'!X150+'2025年上海分部利润表'!X150+'2025年赣皖区域利润表'!X150</f>
        <v>0</v>
      </c>
      <c r="Y150" s="49">
        <f>'2025年中心利润表 '!Y150+'2025年江苏分部利润表'!Y150+'2025年浙江分部利润表'!Y150+'2025年上海分部利润表'!Y150+'2025年赣皖区域利润表'!Y150</f>
        <v>0</v>
      </c>
      <c r="Z150" s="49">
        <f>'2025年中心利润表 '!Z150+'2025年江苏分部利润表'!Z150+'2025年浙江分部利润表'!Z150+'2025年上海分部利润表'!Z150+'2025年赣皖区域利润表'!Z150</f>
        <v>0</v>
      </c>
      <c r="AA150" s="51">
        <f t="shared" si="24"/>
        <v>0</v>
      </c>
      <c r="AB150" s="51">
        <f t="shared" si="32"/>
        <v>0</v>
      </c>
      <c r="AC150" s="94"/>
      <c r="AD150" s="31">
        <f t="shared" si="26"/>
        <v>0</v>
      </c>
      <c r="AE150" s="31">
        <f t="shared" si="27"/>
        <v>0</v>
      </c>
      <c r="AF150" s="17">
        <f t="shared" si="28"/>
        <v>0</v>
      </c>
      <c r="AG150" s="17">
        <f t="shared" si="29"/>
        <v>0</v>
      </c>
      <c r="AH150" s="17">
        <f>SUM('[1]2024年全面预算利润表 (销售1中心)2.8亿'!E155:H155)</f>
        <v>0</v>
      </c>
    </row>
    <row r="151" spans="1:34" s="19" customFormat="1" ht="18" hidden="1" customHeight="1" outlineLevel="1" x14ac:dyDescent="0.25">
      <c r="A151" s="48" t="s">
        <v>155</v>
      </c>
      <c r="B151" s="53"/>
      <c r="C151" s="49">
        <f>'2025年中心利润表 '!C151+'2025年江苏分部利润表'!C151+'2025年浙江分部利润表'!C151+'2025年上海分部利润表'!C151+'2025年赣皖区域利润表'!C151</f>
        <v>0</v>
      </c>
      <c r="D151" s="49">
        <f>'2025年中心利润表 '!D151+'2025年江苏分部利润表'!D151+'2025年浙江分部利润表'!D151+'2025年上海分部利润表'!D151+'2025年赣皖区域利润表'!D151</f>
        <v>0</v>
      </c>
      <c r="E151" s="49">
        <f>'2025年中心利润表 '!E151+'2025年江苏分部利润表'!E151+'2025年浙江分部利润表'!E151+'2025年上海分部利润表'!E151+'2025年赣皖区域利润表'!E151</f>
        <v>0</v>
      </c>
      <c r="F151" s="49">
        <f>'2025年中心利润表 '!F151+'2025年江苏分部利润表'!F151+'2025年浙江分部利润表'!F151+'2025年上海分部利润表'!F151+'2025年赣皖区域利润表'!F151</f>
        <v>0</v>
      </c>
      <c r="G151" s="49">
        <f>'2025年中心利润表 '!G151+'2025年江苏分部利润表'!G151+'2025年浙江分部利润表'!G151+'2025年上海分部利润表'!G151+'2025年赣皖区域利润表'!G151</f>
        <v>0</v>
      </c>
      <c r="H151" s="49">
        <f>'2025年中心利润表 '!H151+'2025年江苏分部利润表'!H151+'2025年浙江分部利润表'!H151+'2025年上海分部利润表'!H151+'2025年赣皖区域利润表'!H151</f>
        <v>0</v>
      </c>
      <c r="I151" s="49">
        <f>'2025年中心利润表 '!I151+'2025年江苏分部利润表'!I151+'2025年浙江分部利润表'!I151+'2025年上海分部利润表'!I151+'2025年赣皖区域利润表'!I151</f>
        <v>0</v>
      </c>
      <c r="J151" s="49">
        <f>'2025年中心利润表 '!J151+'2025年江苏分部利润表'!J151+'2025年浙江分部利润表'!J151+'2025年上海分部利润表'!J151+'2025年赣皖区域利润表'!J151</f>
        <v>0</v>
      </c>
      <c r="K151" s="49">
        <f>'2025年中心利润表 '!K151+'2025年江苏分部利润表'!K151+'2025年浙江分部利润表'!K151+'2025年上海分部利润表'!K151+'2025年赣皖区域利润表'!K151</f>
        <v>0</v>
      </c>
      <c r="L151" s="49">
        <f>'2025年中心利润表 '!L151+'2025年江苏分部利润表'!L151+'2025年浙江分部利润表'!L151+'2025年上海分部利润表'!L151+'2025年赣皖区域利润表'!L151</f>
        <v>0</v>
      </c>
      <c r="M151" s="49">
        <f>'2025年中心利润表 '!M151+'2025年江苏分部利润表'!M151+'2025年浙江分部利润表'!M151+'2025年上海分部利润表'!M151+'2025年赣皖区域利润表'!M151</f>
        <v>0</v>
      </c>
      <c r="N151" s="49">
        <f>'2025年中心利润表 '!N151+'2025年江苏分部利润表'!N151+'2025年浙江分部利润表'!N151+'2025年上海分部利润表'!N151+'2025年赣皖区域利润表'!N151</f>
        <v>0</v>
      </c>
      <c r="O151" s="49">
        <f>'2025年中心利润表 '!O151+'2025年江苏分部利润表'!O151+'2025年浙江分部利润表'!O151+'2025年上海分部利润表'!O151+'2025年赣皖区域利润表'!O151</f>
        <v>0</v>
      </c>
      <c r="P151" s="49">
        <f>'2025年中心利润表 '!P151+'2025年江苏分部利润表'!P151+'2025年浙江分部利润表'!P151+'2025年上海分部利润表'!P151+'2025年赣皖区域利润表'!P151</f>
        <v>0</v>
      </c>
      <c r="Q151" s="49">
        <f>'2025年中心利润表 '!Q151+'2025年江苏分部利润表'!Q151+'2025年浙江分部利润表'!Q151+'2025年上海分部利润表'!Q151+'2025年赣皖区域利润表'!Q151</f>
        <v>0</v>
      </c>
      <c r="R151" s="49">
        <f>'2025年中心利润表 '!R151+'2025年江苏分部利润表'!R151+'2025年浙江分部利润表'!R151+'2025年上海分部利润表'!R151+'2025年赣皖区域利润表'!R151</f>
        <v>0</v>
      </c>
      <c r="S151" s="49">
        <f>'2025年中心利润表 '!S151+'2025年江苏分部利润表'!S151+'2025年浙江分部利润表'!S151+'2025年上海分部利润表'!S151+'2025年赣皖区域利润表'!S151</f>
        <v>0</v>
      </c>
      <c r="T151" s="49">
        <f>'2025年中心利润表 '!T151+'2025年江苏分部利润表'!T151+'2025年浙江分部利润表'!T151+'2025年上海分部利润表'!T151+'2025年赣皖区域利润表'!T151</f>
        <v>0</v>
      </c>
      <c r="U151" s="49">
        <f>'2025年中心利润表 '!U151+'2025年江苏分部利润表'!U151+'2025年浙江分部利润表'!U151+'2025年上海分部利润表'!U151+'2025年赣皖区域利润表'!U151</f>
        <v>0</v>
      </c>
      <c r="V151" s="49">
        <f>'2025年中心利润表 '!V151+'2025年江苏分部利润表'!V151+'2025年浙江分部利润表'!V151+'2025年上海分部利润表'!V151+'2025年赣皖区域利润表'!V151</f>
        <v>0</v>
      </c>
      <c r="W151" s="49">
        <f>'2025年中心利润表 '!W151+'2025年江苏分部利润表'!W151+'2025年浙江分部利润表'!W151+'2025年上海分部利润表'!W151+'2025年赣皖区域利润表'!W151</f>
        <v>0</v>
      </c>
      <c r="X151" s="49">
        <f>'2025年中心利润表 '!X151+'2025年江苏分部利润表'!X151+'2025年浙江分部利润表'!X151+'2025年上海分部利润表'!X151+'2025年赣皖区域利润表'!X151</f>
        <v>0</v>
      </c>
      <c r="Y151" s="49">
        <f>'2025年中心利润表 '!Y151+'2025年江苏分部利润表'!Y151+'2025年浙江分部利润表'!Y151+'2025年上海分部利润表'!Y151+'2025年赣皖区域利润表'!Y151</f>
        <v>0</v>
      </c>
      <c r="Z151" s="49">
        <f>'2025年中心利润表 '!Z151+'2025年江苏分部利润表'!Z151+'2025年浙江分部利润表'!Z151+'2025年上海分部利润表'!Z151+'2025年赣皖区域利润表'!Z151</f>
        <v>0</v>
      </c>
      <c r="AA151" s="51">
        <f t="shared" si="24"/>
        <v>0</v>
      </c>
      <c r="AB151" s="51">
        <f t="shared" si="32"/>
        <v>0</v>
      </c>
      <c r="AC151" s="94"/>
      <c r="AD151" s="31">
        <f t="shared" si="26"/>
        <v>0</v>
      </c>
      <c r="AE151" s="31">
        <f t="shared" si="27"/>
        <v>0</v>
      </c>
      <c r="AF151" s="17">
        <f t="shared" si="28"/>
        <v>0</v>
      </c>
      <c r="AG151" s="17">
        <f t="shared" si="29"/>
        <v>0</v>
      </c>
      <c r="AH151" s="17">
        <f>SUM('[1]2024年全面预算利润表 (销售1中心)2.8亿'!E156:H156)</f>
        <v>0</v>
      </c>
    </row>
    <row r="152" spans="1:34" s="19" customFormat="1" ht="18" hidden="1" customHeight="1" outlineLevel="1" x14ac:dyDescent="0.25">
      <c r="A152" s="48" t="s">
        <v>156</v>
      </c>
      <c r="B152" s="53"/>
      <c r="C152" s="49">
        <f>'2025年中心利润表 '!C152+'2025年江苏分部利润表'!C152+'2025年浙江分部利润表'!C152+'2025年上海分部利润表'!C152+'2025年赣皖区域利润表'!C152</f>
        <v>0</v>
      </c>
      <c r="D152" s="49">
        <f>'2025年中心利润表 '!D152+'2025年江苏分部利润表'!D152+'2025年浙江分部利润表'!D152+'2025年上海分部利润表'!D152+'2025年赣皖区域利润表'!D152</f>
        <v>0</v>
      </c>
      <c r="E152" s="49">
        <f>'2025年中心利润表 '!E152+'2025年江苏分部利润表'!E152+'2025年浙江分部利润表'!E152+'2025年上海分部利润表'!E152+'2025年赣皖区域利润表'!E152</f>
        <v>0</v>
      </c>
      <c r="F152" s="49">
        <f>'2025年中心利润表 '!F152+'2025年江苏分部利润表'!F152+'2025年浙江分部利润表'!F152+'2025年上海分部利润表'!F152+'2025年赣皖区域利润表'!F152</f>
        <v>0</v>
      </c>
      <c r="G152" s="49">
        <f>'2025年中心利润表 '!G152+'2025年江苏分部利润表'!G152+'2025年浙江分部利润表'!G152+'2025年上海分部利润表'!G152+'2025年赣皖区域利润表'!G152</f>
        <v>0</v>
      </c>
      <c r="H152" s="49">
        <f>'2025年中心利润表 '!H152+'2025年江苏分部利润表'!H152+'2025年浙江分部利润表'!H152+'2025年上海分部利润表'!H152+'2025年赣皖区域利润表'!H152</f>
        <v>0</v>
      </c>
      <c r="I152" s="49">
        <f>'2025年中心利润表 '!I152+'2025年江苏分部利润表'!I152+'2025年浙江分部利润表'!I152+'2025年上海分部利润表'!I152+'2025年赣皖区域利润表'!I152</f>
        <v>0</v>
      </c>
      <c r="J152" s="49">
        <f>'2025年中心利润表 '!J152+'2025年江苏分部利润表'!J152+'2025年浙江分部利润表'!J152+'2025年上海分部利润表'!J152+'2025年赣皖区域利润表'!J152</f>
        <v>0</v>
      </c>
      <c r="K152" s="49">
        <f>'2025年中心利润表 '!K152+'2025年江苏分部利润表'!K152+'2025年浙江分部利润表'!K152+'2025年上海分部利润表'!K152+'2025年赣皖区域利润表'!K152</f>
        <v>0</v>
      </c>
      <c r="L152" s="49">
        <f>'2025年中心利润表 '!L152+'2025年江苏分部利润表'!L152+'2025年浙江分部利润表'!L152+'2025年上海分部利润表'!L152+'2025年赣皖区域利润表'!L152</f>
        <v>0</v>
      </c>
      <c r="M152" s="49">
        <f>'2025年中心利润表 '!M152+'2025年江苏分部利润表'!M152+'2025年浙江分部利润表'!M152+'2025年上海分部利润表'!M152+'2025年赣皖区域利润表'!M152</f>
        <v>0</v>
      </c>
      <c r="N152" s="49">
        <f>'2025年中心利润表 '!N152+'2025年江苏分部利润表'!N152+'2025年浙江分部利润表'!N152+'2025年上海分部利润表'!N152+'2025年赣皖区域利润表'!N152</f>
        <v>0</v>
      </c>
      <c r="O152" s="49">
        <f>'2025年中心利润表 '!O152+'2025年江苏分部利润表'!O152+'2025年浙江分部利润表'!O152+'2025年上海分部利润表'!O152+'2025年赣皖区域利润表'!O152</f>
        <v>0</v>
      </c>
      <c r="P152" s="49">
        <f>'2025年中心利润表 '!P152+'2025年江苏分部利润表'!P152+'2025年浙江分部利润表'!P152+'2025年上海分部利润表'!P152+'2025年赣皖区域利润表'!P152</f>
        <v>0</v>
      </c>
      <c r="Q152" s="49">
        <f>'2025年中心利润表 '!Q152+'2025年江苏分部利润表'!Q152+'2025年浙江分部利润表'!Q152+'2025年上海分部利润表'!Q152+'2025年赣皖区域利润表'!Q152</f>
        <v>0</v>
      </c>
      <c r="R152" s="49">
        <f>'2025年中心利润表 '!R152+'2025年江苏分部利润表'!R152+'2025年浙江分部利润表'!R152+'2025年上海分部利润表'!R152+'2025年赣皖区域利润表'!R152</f>
        <v>0</v>
      </c>
      <c r="S152" s="49">
        <f>'2025年中心利润表 '!S152+'2025年江苏分部利润表'!S152+'2025年浙江分部利润表'!S152+'2025年上海分部利润表'!S152+'2025年赣皖区域利润表'!S152</f>
        <v>0</v>
      </c>
      <c r="T152" s="49">
        <f>'2025年中心利润表 '!T152+'2025年江苏分部利润表'!T152+'2025年浙江分部利润表'!T152+'2025年上海分部利润表'!T152+'2025年赣皖区域利润表'!T152</f>
        <v>0</v>
      </c>
      <c r="U152" s="49">
        <f>'2025年中心利润表 '!U152+'2025年江苏分部利润表'!U152+'2025年浙江分部利润表'!U152+'2025年上海分部利润表'!U152+'2025年赣皖区域利润表'!U152</f>
        <v>0</v>
      </c>
      <c r="V152" s="49">
        <f>'2025年中心利润表 '!V152+'2025年江苏分部利润表'!V152+'2025年浙江分部利润表'!V152+'2025年上海分部利润表'!V152+'2025年赣皖区域利润表'!V152</f>
        <v>0</v>
      </c>
      <c r="W152" s="49">
        <f>'2025年中心利润表 '!W152+'2025年江苏分部利润表'!W152+'2025年浙江分部利润表'!W152+'2025年上海分部利润表'!W152+'2025年赣皖区域利润表'!W152</f>
        <v>0</v>
      </c>
      <c r="X152" s="49">
        <f>'2025年中心利润表 '!X152+'2025年江苏分部利润表'!X152+'2025年浙江分部利润表'!X152+'2025年上海分部利润表'!X152+'2025年赣皖区域利润表'!X152</f>
        <v>0</v>
      </c>
      <c r="Y152" s="49">
        <f>'2025年中心利润表 '!Y152+'2025年江苏分部利润表'!Y152+'2025年浙江分部利润表'!Y152+'2025年上海分部利润表'!Y152+'2025年赣皖区域利润表'!Y152</f>
        <v>0</v>
      </c>
      <c r="Z152" s="49">
        <f>'2025年中心利润表 '!Z152+'2025年江苏分部利润表'!Z152+'2025年浙江分部利润表'!Z152+'2025年上海分部利润表'!Z152+'2025年赣皖区域利润表'!Z152</f>
        <v>0</v>
      </c>
      <c r="AA152" s="51">
        <f t="shared" si="24"/>
        <v>0</v>
      </c>
      <c r="AB152" s="51">
        <f t="shared" si="32"/>
        <v>0</v>
      </c>
      <c r="AC152" s="94"/>
      <c r="AD152" s="31">
        <f t="shared" si="26"/>
        <v>0</v>
      </c>
      <c r="AE152" s="31">
        <f t="shared" si="27"/>
        <v>0</v>
      </c>
      <c r="AF152" s="17">
        <f t="shared" si="28"/>
        <v>0</v>
      </c>
      <c r="AG152" s="17">
        <f t="shared" si="29"/>
        <v>0</v>
      </c>
      <c r="AH152" s="17">
        <f>SUM('[1]2024年全面预算利润表 (销售1中心)2.8亿'!E157:H157)</f>
        <v>0</v>
      </c>
    </row>
    <row r="153" spans="1:34" s="19" customFormat="1" ht="18" hidden="1" customHeight="1" outlineLevel="1" x14ac:dyDescent="0.25">
      <c r="A153" s="48" t="s">
        <v>157</v>
      </c>
      <c r="B153" s="53"/>
      <c r="C153" s="49">
        <f>'2025年中心利润表 '!C153+'2025年江苏分部利润表'!C153+'2025年浙江分部利润表'!C153+'2025年上海分部利润表'!C153+'2025年赣皖区域利润表'!C153</f>
        <v>0</v>
      </c>
      <c r="D153" s="49">
        <f>'2025年中心利润表 '!D153+'2025年江苏分部利润表'!D153+'2025年浙江分部利润表'!D153+'2025年上海分部利润表'!D153+'2025年赣皖区域利润表'!D153</f>
        <v>0</v>
      </c>
      <c r="E153" s="49">
        <f>'2025年中心利润表 '!E153+'2025年江苏分部利润表'!E153+'2025年浙江分部利润表'!E153+'2025年上海分部利润表'!E153+'2025年赣皖区域利润表'!E153</f>
        <v>0</v>
      </c>
      <c r="F153" s="49">
        <f>'2025年中心利润表 '!F153+'2025年江苏分部利润表'!F153+'2025年浙江分部利润表'!F153+'2025年上海分部利润表'!F153+'2025年赣皖区域利润表'!F153</f>
        <v>0</v>
      </c>
      <c r="G153" s="49">
        <f>'2025年中心利润表 '!G153+'2025年江苏分部利润表'!G153+'2025年浙江分部利润表'!G153+'2025年上海分部利润表'!G153+'2025年赣皖区域利润表'!G153</f>
        <v>0</v>
      </c>
      <c r="H153" s="49">
        <f>'2025年中心利润表 '!H153+'2025年江苏分部利润表'!H153+'2025年浙江分部利润表'!H153+'2025年上海分部利润表'!H153+'2025年赣皖区域利润表'!H153</f>
        <v>0</v>
      </c>
      <c r="I153" s="49">
        <f>'2025年中心利润表 '!I153+'2025年江苏分部利润表'!I153+'2025年浙江分部利润表'!I153+'2025年上海分部利润表'!I153+'2025年赣皖区域利润表'!I153</f>
        <v>0</v>
      </c>
      <c r="J153" s="49">
        <f>'2025年中心利润表 '!J153+'2025年江苏分部利润表'!J153+'2025年浙江分部利润表'!J153+'2025年上海分部利润表'!J153+'2025年赣皖区域利润表'!J153</f>
        <v>0</v>
      </c>
      <c r="K153" s="49">
        <f>'2025年中心利润表 '!K153+'2025年江苏分部利润表'!K153+'2025年浙江分部利润表'!K153+'2025年上海分部利润表'!K153+'2025年赣皖区域利润表'!K153</f>
        <v>0</v>
      </c>
      <c r="L153" s="49">
        <f>'2025年中心利润表 '!L153+'2025年江苏分部利润表'!L153+'2025年浙江分部利润表'!L153+'2025年上海分部利润表'!L153+'2025年赣皖区域利润表'!L153</f>
        <v>0</v>
      </c>
      <c r="M153" s="49">
        <f>'2025年中心利润表 '!M153+'2025年江苏分部利润表'!M153+'2025年浙江分部利润表'!M153+'2025年上海分部利润表'!M153+'2025年赣皖区域利润表'!M153</f>
        <v>0</v>
      </c>
      <c r="N153" s="49">
        <f>'2025年中心利润表 '!N153+'2025年江苏分部利润表'!N153+'2025年浙江分部利润表'!N153+'2025年上海分部利润表'!N153+'2025年赣皖区域利润表'!N153</f>
        <v>0</v>
      </c>
      <c r="O153" s="49">
        <f>'2025年中心利润表 '!O153+'2025年江苏分部利润表'!O153+'2025年浙江分部利润表'!O153+'2025年上海分部利润表'!O153+'2025年赣皖区域利润表'!O153</f>
        <v>0</v>
      </c>
      <c r="P153" s="49">
        <f>'2025年中心利润表 '!P153+'2025年江苏分部利润表'!P153+'2025年浙江分部利润表'!P153+'2025年上海分部利润表'!P153+'2025年赣皖区域利润表'!P153</f>
        <v>0</v>
      </c>
      <c r="Q153" s="49">
        <f>'2025年中心利润表 '!Q153+'2025年江苏分部利润表'!Q153+'2025年浙江分部利润表'!Q153+'2025年上海分部利润表'!Q153+'2025年赣皖区域利润表'!Q153</f>
        <v>0</v>
      </c>
      <c r="R153" s="49">
        <f>'2025年中心利润表 '!R153+'2025年江苏分部利润表'!R153+'2025年浙江分部利润表'!R153+'2025年上海分部利润表'!R153+'2025年赣皖区域利润表'!R153</f>
        <v>0</v>
      </c>
      <c r="S153" s="49">
        <f>'2025年中心利润表 '!S153+'2025年江苏分部利润表'!S153+'2025年浙江分部利润表'!S153+'2025年上海分部利润表'!S153+'2025年赣皖区域利润表'!S153</f>
        <v>0</v>
      </c>
      <c r="T153" s="49">
        <f>'2025年中心利润表 '!T153+'2025年江苏分部利润表'!T153+'2025年浙江分部利润表'!T153+'2025年上海分部利润表'!T153+'2025年赣皖区域利润表'!T153</f>
        <v>0</v>
      </c>
      <c r="U153" s="49">
        <f>'2025年中心利润表 '!U153+'2025年江苏分部利润表'!U153+'2025年浙江分部利润表'!U153+'2025年上海分部利润表'!U153+'2025年赣皖区域利润表'!U153</f>
        <v>0</v>
      </c>
      <c r="V153" s="49">
        <f>'2025年中心利润表 '!V153+'2025年江苏分部利润表'!V153+'2025年浙江分部利润表'!V153+'2025年上海分部利润表'!V153+'2025年赣皖区域利润表'!V153</f>
        <v>0</v>
      </c>
      <c r="W153" s="49">
        <f>'2025年中心利润表 '!W153+'2025年江苏分部利润表'!W153+'2025年浙江分部利润表'!W153+'2025年上海分部利润表'!W153+'2025年赣皖区域利润表'!W153</f>
        <v>0</v>
      </c>
      <c r="X153" s="49">
        <f>'2025年中心利润表 '!X153+'2025年江苏分部利润表'!X153+'2025年浙江分部利润表'!X153+'2025年上海分部利润表'!X153+'2025年赣皖区域利润表'!X153</f>
        <v>0</v>
      </c>
      <c r="Y153" s="49">
        <f>'2025年中心利润表 '!Y153+'2025年江苏分部利润表'!Y153+'2025年浙江分部利润表'!Y153+'2025年上海分部利润表'!Y153+'2025年赣皖区域利润表'!Y153</f>
        <v>0</v>
      </c>
      <c r="Z153" s="49">
        <f>'2025年中心利润表 '!Z153+'2025年江苏分部利润表'!Z153+'2025年浙江分部利润表'!Z153+'2025年上海分部利润表'!Z153+'2025年赣皖区域利润表'!Z153</f>
        <v>0</v>
      </c>
      <c r="AA153" s="51">
        <f t="shared" si="24"/>
        <v>0</v>
      </c>
      <c r="AB153" s="51">
        <f t="shared" si="32"/>
        <v>0</v>
      </c>
      <c r="AC153" s="94"/>
      <c r="AD153" s="31">
        <f t="shared" si="26"/>
        <v>0</v>
      </c>
      <c r="AE153" s="31">
        <f t="shared" si="27"/>
        <v>0</v>
      </c>
      <c r="AF153" s="17">
        <f t="shared" si="28"/>
        <v>0</v>
      </c>
      <c r="AG153" s="17">
        <f t="shared" si="29"/>
        <v>0</v>
      </c>
      <c r="AH153" s="17">
        <f>SUM('[1]2024年全面预算利润表 (销售1中心)2.8亿'!E158:H158)</f>
        <v>0</v>
      </c>
    </row>
    <row r="154" spans="1:34" s="19" customFormat="1" ht="18" hidden="1" customHeight="1" outlineLevel="1" x14ac:dyDescent="0.25">
      <c r="A154" s="48" t="s">
        <v>158</v>
      </c>
      <c r="B154" s="53"/>
      <c r="C154" s="49">
        <f>'2025年中心利润表 '!C154+'2025年江苏分部利润表'!C154+'2025年浙江分部利润表'!C154+'2025年上海分部利润表'!C154+'2025年赣皖区域利润表'!C154</f>
        <v>0</v>
      </c>
      <c r="D154" s="49">
        <f>'2025年中心利润表 '!D154+'2025年江苏分部利润表'!D154+'2025年浙江分部利润表'!D154+'2025年上海分部利润表'!D154+'2025年赣皖区域利润表'!D154</f>
        <v>0</v>
      </c>
      <c r="E154" s="49">
        <f>'2025年中心利润表 '!E154+'2025年江苏分部利润表'!E154+'2025年浙江分部利润表'!E154+'2025年上海分部利润表'!E154+'2025年赣皖区域利润表'!E154</f>
        <v>0</v>
      </c>
      <c r="F154" s="49">
        <f>'2025年中心利润表 '!F154+'2025年江苏分部利润表'!F154+'2025年浙江分部利润表'!F154+'2025年上海分部利润表'!F154+'2025年赣皖区域利润表'!F154</f>
        <v>0</v>
      </c>
      <c r="G154" s="49">
        <f>'2025年中心利润表 '!G154+'2025年江苏分部利润表'!G154+'2025年浙江分部利润表'!G154+'2025年上海分部利润表'!G154+'2025年赣皖区域利润表'!G154</f>
        <v>0</v>
      </c>
      <c r="H154" s="49">
        <f>'2025年中心利润表 '!H154+'2025年江苏分部利润表'!H154+'2025年浙江分部利润表'!H154+'2025年上海分部利润表'!H154+'2025年赣皖区域利润表'!H154</f>
        <v>0</v>
      </c>
      <c r="I154" s="49">
        <f>'2025年中心利润表 '!I154+'2025年江苏分部利润表'!I154+'2025年浙江分部利润表'!I154+'2025年上海分部利润表'!I154+'2025年赣皖区域利润表'!I154</f>
        <v>0</v>
      </c>
      <c r="J154" s="49">
        <f>'2025年中心利润表 '!J154+'2025年江苏分部利润表'!J154+'2025年浙江分部利润表'!J154+'2025年上海分部利润表'!J154+'2025年赣皖区域利润表'!J154</f>
        <v>0</v>
      </c>
      <c r="K154" s="49">
        <f>'2025年中心利润表 '!K154+'2025年江苏分部利润表'!K154+'2025年浙江分部利润表'!K154+'2025年上海分部利润表'!K154+'2025年赣皖区域利润表'!K154</f>
        <v>0</v>
      </c>
      <c r="L154" s="49">
        <f>'2025年中心利润表 '!L154+'2025年江苏分部利润表'!L154+'2025年浙江分部利润表'!L154+'2025年上海分部利润表'!L154+'2025年赣皖区域利润表'!L154</f>
        <v>0</v>
      </c>
      <c r="M154" s="49">
        <f>'2025年中心利润表 '!M154+'2025年江苏分部利润表'!M154+'2025年浙江分部利润表'!M154+'2025年上海分部利润表'!M154+'2025年赣皖区域利润表'!M154</f>
        <v>0</v>
      </c>
      <c r="N154" s="49">
        <f>'2025年中心利润表 '!N154+'2025年江苏分部利润表'!N154+'2025年浙江分部利润表'!N154+'2025年上海分部利润表'!N154+'2025年赣皖区域利润表'!N154</f>
        <v>0</v>
      </c>
      <c r="O154" s="49">
        <f>'2025年中心利润表 '!O154+'2025年江苏分部利润表'!O154+'2025年浙江分部利润表'!O154+'2025年上海分部利润表'!O154+'2025年赣皖区域利润表'!O154</f>
        <v>0</v>
      </c>
      <c r="P154" s="49">
        <f>'2025年中心利润表 '!P154+'2025年江苏分部利润表'!P154+'2025年浙江分部利润表'!P154+'2025年上海分部利润表'!P154+'2025年赣皖区域利润表'!P154</f>
        <v>0</v>
      </c>
      <c r="Q154" s="49">
        <f>'2025年中心利润表 '!Q154+'2025年江苏分部利润表'!Q154+'2025年浙江分部利润表'!Q154+'2025年上海分部利润表'!Q154+'2025年赣皖区域利润表'!Q154</f>
        <v>0</v>
      </c>
      <c r="R154" s="49">
        <f>'2025年中心利润表 '!R154+'2025年江苏分部利润表'!R154+'2025年浙江分部利润表'!R154+'2025年上海分部利润表'!R154+'2025年赣皖区域利润表'!R154</f>
        <v>0</v>
      </c>
      <c r="S154" s="49">
        <f>'2025年中心利润表 '!S154+'2025年江苏分部利润表'!S154+'2025年浙江分部利润表'!S154+'2025年上海分部利润表'!S154+'2025年赣皖区域利润表'!S154</f>
        <v>0</v>
      </c>
      <c r="T154" s="49">
        <f>'2025年中心利润表 '!T154+'2025年江苏分部利润表'!T154+'2025年浙江分部利润表'!T154+'2025年上海分部利润表'!T154+'2025年赣皖区域利润表'!T154</f>
        <v>0</v>
      </c>
      <c r="U154" s="49">
        <f>'2025年中心利润表 '!U154+'2025年江苏分部利润表'!U154+'2025年浙江分部利润表'!U154+'2025年上海分部利润表'!U154+'2025年赣皖区域利润表'!U154</f>
        <v>0</v>
      </c>
      <c r="V154" s="49">
        <f>'2025年中心利润表 '!V154+'2025年江苏分部利润表'!V154+'2025年浙江分部利润表'!V154+'2025年上海分部利润表'!V154+'2025年赣皖区域利润表'!V154</f>
        <v>0</v>
      </c>
      <c r="W154" s="49">
        <f>'2025年中心利润表 '!W154+'2025年江苏分部利润表'!W154+'2025年浙江分部利润表'!W154+'2025年上海分部利润表'!W154+'2025年赣皖区域利润表'!W154</f>
        <v>0</v>
      </c>
      <c r="X154" s="49">
        <f>'2025年中心利润表 '!X154+'2025年江苏分部利润表'!X154+'2025年浙江分部利润表'!X154+'2025年上海分部利润表'!X154+'2025年赣皖区域利润表'!X154</f>
        <v>0</v>
      </c>
      <c r="Y154" s="49">
        <f>'2025年中心利润表 '!Y154+'2025年江苏分部利润表'!Y154+'2025年浙江分部利润表'!Y154+'2025年上海分部利润表'!Y154+'2025年赣皖区域利润表'!Y154</f>
        <v>0</v>
      </c>
      <c r="Z154" s="49">
        <f>'2025年中心利润表 '!Z154+'2025年江苏分部利润表'!Z154+'2025年浙江分部利润表'!Z154+'2025年上海分部利润表'!Z154+'2025年赣皖区域利润表'!Z154</f>
        <v>0</v>
      </c>
      <c r="AA154" s="51">
        <f t="shared" si="24"/>
        <v>0</v>
      </c>
      <c r="AB154" s="51">
        <f t="shared" si="32"/>
        <v>0</v>
      </c>
      <c r="AC154" s="94"/>
      <c r="AD154" s="31">
        <f t="shared" si="26"/>
        <v>0</v>
      </c>
      <c r="AE154" s="31">
        <f t="shared" si="27"/>
        <v>0</v>
      </c>
      <c r="AF154" s="17">
        <f t="shared" si="28"/>
        <v>0</v>
      </c>
      <c r="AG154" s="17">
        <f t="shared" si="29"/>
        <v>0</v>
      </c>
      <c r="AH154" s="17">
        <f>SUM('[1]2024年全面预算利润表 (销售1中心)2.8亿'!E159:H159)</f>
        <v>0</v>
      </c>
    </row>
    <row r="155" spans="1:34" s="19" customFormat="1" ht="18" hidden="1" customHeight="1" outlineLevel="1" x14ac:dyDescent="0.25">
      <c r="A155" s="48" t="s">
        <v>100</v>
      </c>
      <c r="B155" s="53"/>
      <c r="C155" s="49">
        <f>'2025年中心利润表 '!C155+'2025年江苏分部利润表'!C155+'2025年浙江分部利润表'!C155+'2025年上海分部利润表'!C155+'2025年赣皖区域利润表'!C155</f>
        <v>0</v>
      </c>
      <c r="D155" s="49">
        <f>'2025年中心利润表 '!D155+'2025年江苏分部利润表'!D155+'2025年浙江分部利润表'!D155+'2025年上海分部利润表'!D155+'2025年赣皖区域利润表'!D155</f>
        <v>0</v>
      </c>
      <c r="E155" s="49">
        <f>'2025年中心利润表 '!E155+'2025年江苏分部利润表'!E155+'2025年浙江分部利润表'!E155+'2025年上海分部利润表'!E155+'2025年赣皖区域利润表'!E155</f>
        <v>0</v>
      </c>
      <c r="F155" s="49">
        <f>'2025年中心利润表 '!F155+'2025年江苏分部利润表'!F155+'2025年浙江分部利润表'!F155+'2025年上海分部利润表'!F155+'2025年赣皖区域利润表'!F155</f>
        <v>0</v>
      </c>
      <c r="G155" s="49">
        <f>'2025年中心利润表 '!G155+'2025年江苏分部利润表'!G155+'2025年浙江分部利润表'!G155+'2025年上海分部利润表'!G155+'2025年赣皖区域利润表'!G155</f>
        <v>0</v>
      </c>
      <c r="H155" s="49">
        <f>'2025年中心利润表 '!H155+'2025年江苏分部利润表'!H155+'2025年浙江分部利润表'!H155+'2025年上海分部利润表'!H155+'2025年赣皖区域利润表'!H155</f>
        <v>0</v>
      </c>
      <c r="I155" s="49">
        <f>'2025年中心利润表 '!I155+'2025年江苏分部利润表'!I155+'2025年浙江分部利润表'!I155+'2025年上海分部利润表'!I155+'2025年赣皖区域利润表'!I155</f>
        <v>0</v>
      </c>
      <c r="J155" s="49">
        <f>'2025年中心利润表 '!J155+'2025年江苏分部利润表'!J155+'2025年浙江分部利润表'!J155+'2025年上海分部利润表'!J155+'2025年赣皖区域利润表'!J155</f>
        <v>0</v>
      </c>
      <c r="K155" s="49">
        <f>'2025年中心利润表 '!K155+'2025年江苏分部利润表'!K155+'2025年浙江分部利润表'!K155+'2025年上海分部利润表'!K155+'2025年赣皖区域利润表'!K155</f>
        <v>0</v>
      </c>
      <c r="L155" s="49">
        <f>'2025年中心利润表 '!L155+'2025年江苏分部利润表'!L155+'2025年浙江分部利润表'!L155+'2025年上海分部利润表'!L155+'2025年赣皖区域利润表'!L155</f>
        <v>0</v>
      </c>
      <c r="M155" s="49">
        <f>'2025年中心利润表 '!M155+'2025年江苏分部利润表'!M155+'2025年浙江分部利润表'!M155+'2025年上海分部利润表'!M155+'2025年赣皖区域利润表'!M155</f>
        <v>0</v>
      </c>
      <c r="N155" s="49">
        <f>'2025年中心利润表 '!N155+'2025年江苏分部利润表'!N155+'2025年浙江分部利润表'!N155+'2025年上海分部利润表'!N155+'2025年赣皖区域利润表'!N155</f>
        <v>0</v>
      </c>
      <c r="O155" s="49">
        <f>'2025年中心利润表 '!O155+'2025年江苏分部利润表'!O155+'2025年浙江分部利润表'!O155+'2025年上海分部利润表'!O155+'2025年赣皖区域利润表'!O155</f>
        <v>0</v>
      </c>
      <c r="P155" s="49">
        <f>'2025年中心利润表 '!P155+'2025年江苏分部利润表'!P155+'2025年浙江分部利润表'!P155+'2025年上海分部利润表'!P155+'2025年赣皖区域利润表'!P155</f>
        <v>0</v>
      </c>
      <c r="Q155" s="49">
        <f>'2025年中心利润表 '!Q155+'2025年江苏分部利润表'!Q155+'2025年浙江分部利润表'!Q155+'2025年上海分部利润表'!Q155+'2025年赣皖区域利润表'!Q155</f>
        <v>0</v>
      </c>
      <c r="R155" s="49">
        <f>'2025年中心利润表 '!R155+'2025年江苏分部利润表'!R155+'2025年浙江分部利润表'!R155+'2025年上海分部利润表'!R155+'2025年赣皖区域利润表'!R155</f>
        <v>0</v>
      </c>
      <c r="S155" s="49">
        <f>'2025年中心利润表 '!S155+'2025年江苏分部利润表'!S155+'2025年浙江分部利润表'!S155+'2025年上海分部利润表'!S155+'2025年赣皖区域利润表'!S155</f>
        <v>0</v>
      </c>
      <c r="T155" s="49">
        <f>'2025年中心利润表 '!T155+'2025年江苏分部利润表'!T155+'2025年浙江分部利润表'!T155+'2025年上海分部利润表'!T155+'2025年赣皖区域利润表'!T155</f>
        <v>0</v>
      </c>
      <c r="U155" s="49">
        <f>'2025年中心利润表 '!U155+'2025年江苏分部利润表'!U155+'2025年浙江分部利润表'!U155+'2025年上海分部利润表'!U155+'2025年赣皖区域利润表'!U155</f>
        <v>0</v>
      </c>
      <c r="V155" s="49">
        <f>'2025年中心利润表 '!V155+'2025年江苏分部利润表'!V155+'2025年浙江分部利润表'!V155+'2025年上海分部利润表'!V155+'2025年赣皖区域利润表'!V155</f>
        <v>0</v>
      </c>
      <c r="W155" s="49">
        <f>'2025年中心利润表 '!W155+'2025年江苏分部利润表'!W155+'2025年浙江分部利润表'!W155+'2025年上海分部利润表'!W155+'2025年赣皖区域利润表'!W155</f>
        <v>0</v>
      </c>
      <c r="X155" s="49">
        <f>'2025年中心利润表 '!X155+'2025年江苏分部利润表'!X155+'2025年浙江分部利润表'!X155+'2025年上海分部利润表'!X155+'2025年赣皖区域利润表'!X155</f>
        <v>0</v>
      </c>
      <c r="Y155" s="49">
        <f>'2025年中心利润表 '!Y155+'2025年江苏分部利润表'!Y155+'2025年浙江分部利润表'!Y155+'2025年上海分部利润表'!Y155+'2025年赣皖区域利润表'!Y155</f>
        <v>0</v>
      </c>
      <c r="Z155" s="49">
        <f>'2025年中心利润表 '!Z155+'2025年江苏分部利润表'!Z155+'2025年浙江分部利润表'!Z155+'2025年上海分部利润表'!Z155+'2025年赣皖区域利润表'!Z155</f>
        <v>0</v>
      </c>
      <c r="AA155" s="51">
        <f t="shared" si="24"/>
        <v>0</v>
      </c>
      <c r="AB155" s="51">
        <f t="shared" si="32"/>
        <v>0</v>
      </c>
      <c r="AC155" s="94"/>
      <c r="AD155" s="31">
        <f t="shared" si="26"/>
        <v>0</v>
      </c>
      <c r="AE155" s="31">
        <f t="shared" si="27"/>
        <v>0</v>
      </c>
      <c r="AF155" s="17">
        <f t="shared" si="28"/>
        <v>0</v>
      </c>
      <c r="AG155" s="17">
        <f t="shared" si="29"/>
        <v>0</v>
      </c>
      <c r="AH155" s="17">
        <f>SUM('[1]2024年全面预算利润表 (销售1中心)2.8亿'!E160:H160)</f>
        <v>0</v>
      </c>
    </row>
    <row r="156" spans="1:34" s="19" customFormat="1" ht="18" hidden="1" customHeight="1" outlineLevel="1" x14ac:dyDescent="0.25">
      <c r="A156" s="48" t="s">
        <v>159</v>
      </c>
      <c r="B156" s="53"/>
      <c r="C156" s="49">
        <f>'2025年中心利润表 '!C156+'2025年江苏分部利润表'!C156+'2025年浙江分部利润表'!C156+'2025年上海分部利润表'!C156+'2025年赣皖区域利润表'!C156</f>
        <v>0</v>
      </c>
      <c r="D156" s="49">
        <f>'2025年中心利润表 '!D156+'2025年江苏分部利润表'!D156+'2025年浙江分部利润表'!D156+'2025年上海分部利润表'!D156+'2025年赣皖区域利润表'!D156</f>
        <v>0</v>
      </c>
      <c r="E156" s="49">
        <f>'2025年中心利润表 '!E156+'2025年江苏分部利润表'!E156+'2025年浙江分部利润表'!E156+'2025年上海分部利润表'!E156+'2025年赣皖区域利润表'!E156</f>
        <v>0</v>
      </c>
      <c r="F156" s="49">
        <f>'2025年中心利润表 '!F156+'2025年江苏分部利润表'!F156+'2025年浙江分部利润表'!F156+'2025年上海分部利润表'!F156+'2025年赣皖区域利润表'!F156</f>
        <v>0</v>
      </c>
      <c r="G156" s="49">
        <f>'2025年中心利润表 '!G156+'2025年江苏分部利润表'!G156+'2025年浙江分部利润表'!G156+'2025年上海分部利润表'!G156+'2025年赣皖区域利润表'!G156</f>
        <v>0</v>
      </c>
      <c r="H156" s="49">
        <f>'2025年中心利润表 '!H156+'2025年江苏分部利润表'!H156+'2025年浙江分部利润表'!H156+'2025年上海分部利润表'!H156+'2025年赣皖区域利润表'!H156</f>
        <v>0</v>
      </c>
      <c r="I156" s="49">
        <f>'2025年中心利润表 '!I156+'2025年江苏分部利润表'!I156+'2025年浙江分部利润表'!I156+'2025年上海分部利润表'!I156+'2025年赣皖区域利润表'!I156</f>
        <v>0</v>
      </c>
      <c r="J156" s="49">
        <f>'2025年中心利润表 '!J156+'2025年江苏分部利润表'!J156+'2025年浙江分部利润表'!J156+'2025年上海分部利润表'!J156+'2025年赣皖区域利润表'!J156</f>
        <v>0</v>
      </c>
      <c r="K156" s="49">
        <f>'2025年中心利润表 '!K156+'2025年江苏分部利润表'!K156+'2025年浙江分部利润表'!K156+'2025年上海分部利润表'!K156+'2025年赣皖区域利润表'!K156</f>
        <v>0</v>
      </c>
      <c r="L156" s="49">
        <f>'2025年中心利润表 '!L156+'2025年江苏分部利润表'!L156+'2025年浙江分部利润表'!L156+'2025年上海分部利润表'!L156+'2025年赣皖区域利润表'!L156</f>
        <v>0</v>
      </c>
      <c r="M156" s="49">
        <f>'2025年中心利润表 '!M156+'2025年江苏分部利润表'!M156+'2025年浙江分部利润表'!M156+'2025年上海分部利润表'!M156+'2025年赣皖区域利润表'!M156</f>
        <v>0</v>
      </c>
      <c r="N156" s="49">
        <f>'2025年中心利润表 '!N156+'2025年江苏分部利润表'!N156+'2025年浙江分部利润表'!N156+'2025年上海分部利润表'!N156+'2025年赣皖区域利润表'!N156</f>
        <v>0</v>
      </c>
      <c r="O156" s="49">
        <f>'2025年中心利润表 '!O156+'2025年江苏分部利润表'!O156+'2025年浙江分部利润表'!O156+'2025年上海分部利润表'!O156+'2025年赣皖区域利润表'!O156</f>
        <v>0</v>
      </c>
      <c r="P156" s="49">
        <f>'2025年中心利润表 '!P156+'2025年江苏分部利润表'!P156+'2025年浙江分部利润表'!P156+'2025年上海分部利润表'!P156+'2025年赣皖区域利润表'!P156</f>
        <v>0</v>
      </c>
      <c r="Q156" s="49">
        <f>'2025年中心利润表 '!Q156+'2025年江苏分部利润表'!Q156+'2025年浙江分部利润表'!Q156+'2025年上海分部利润表'!Q156+'2025年赣皖区域利润表'!Q156</f>
        <v>0</v>
      </c>
      <c r="R156" s="49">
        <f>'2025年中心利润表 '!R156+'2025年江苏分部利润表'!R156+'2025年浙江分部利润表'!R156+'2025年上海分部利润表'!R156+'2025年赣皖区域利润表'!R156</f>
        <v>0</v>
      </c>
      <c r="S156" s="49">
        <f>'2025年中心利润表 '!S156+'2025年江苏分部利润表'!S156+'2025年浙江分部利润表'!S156+'2025年上海分部利润表'!S156+'2025年赣皖区域利润表'!S156</f>
        <v>0</v>
      </c>
      <c r="T156" s="49">
        <f>'2025年中心利润表 '!T156+'2025年江苏分部利润表'!T156+'2025年浙江分部利润表'!T156+'2025年上海分部利润表'!T156+'2025年赣皖区域利润表'!T156</f>
        <v>0</v>
      </c>
      <c r="U156" s="49">
        <f>'2025年中心利润表 '!U156+'2025年江苏分部利润表'!U156+'2025年浙江分部利润表'!U156+'2025年上海分部利润表'!U156+'2025年赣皖区域利润表'!U156</f>
        <v>0</v>
      </c>
      <c r="V156" s="49">
        <f>'2025年中心利润表 '!V156+'2025年江苏分部利润表'!V156+'2025年浙江分部利润表'!V156+'2025年上海分部利润表'!V156+'2025年赣皖区域利润表'!V156</f>
        <v>0</v>
      </c>
      <c r="W156" s="49">
        <f>'2025年中心利润表 '!W156+'2025年江苏分部利润表'!W156+'2025年浙江分部利润表'!W156+'2025年上海分部利润表'!W156+'2025年赣皖区域利润表'!W156</f>
        <v>0</v>
      </c>
      <c r="X156" s="49">
        <f>'2025年中心利润表 '!X156+'2025年江苏分部利润表'!X156+'2025年浙江分部利润表'!X156+'2025年上海分部利润表'!X156+'2025年赣皖区域利润表'!X156</f>
        <v>0</v>
      </c>
      <c r="Y156" s="49">
        <f>'2025年中心利润表 '!Y156+'2025年江苏分部利润表'!Y156+'2025年浙江分部利润表'!Y156+'2025年上海分部利润表'!Y156+'2025年赣皖区域利润表'!Y156</f>
        <v>0</v>
      </c>
      <c r="Z156" s="49">
        <f>'2025年中心利润表 '!Z156+'2025年江苏分部利润表'!Z156+'2025年浙江分部利润表'!Z156+'2025年上海分部利润表'!Z156+'2025年赣皖区域利润表'!Z156</f>
        <v>0</v>
      </c>
      <c r="AA156" s="51">
        <f t="shared" ref="AA156:AA219" si="36">C156+E156+G156+I156+K156+M156+O156+Q156+S156+U156+W156+Y156</f>
        <v>0</v>
      </c>
      <c r="AB156" s="51">
        <f t="shared" si="32"/>
        <v>0</v>
      </c>
      <c r="AC156" s="94"/>
      <c r="AD156" s="31">
        <f t="shared" ref="AD156:AD219" si="37">SUMIF($C$5:$Z$5,$AD$5,C156:Z156)</f>
        <v>0</v>
      </c>
      <c r="AE156" s="31">
        <f t="shared" ref="AE156:AE219" si="38">SUMIF($C$5:$Z$5,$AD$5,D156:AA156)</f>
        <v>0</v>
      </c>
      <c r="AF156" s="17">
        <f t="shared" si="28"/>
        <v>0</v>
      </c>
      <c r="AG156" s="17">
        <f t="shared" si="29"/>
        <v>0</v>
      </c>
      <c r="AH156" s="17">
        <f>SUM('[1]2024年全面预算利润表 (销售1中心)2.8亿'!E161:H161)</f>
        <v>0</v>
      </c>
    </row>
    <row r="157" spans="1:34" s="19" customFormat="1" ht="18" hidden="1" customHeight="1" outlineLevel="1" x14ac:dyDescent="0.25">
      <c r="A157" s="48" t="s">
        <v>160</v>
      </c>
      <c r="B157" s="53"/>
      <c r="C157" s="49">
        <f>'2025年中心利润表 '!C157+'2025年江苏分部利润表'!C157+'2025年浙江分部利润表'!C157+'2025年上海分部利润表'!C157+'2025年赣皖区域利润表'!C157</f>
        <v>0</v>
      </c>
      <c r="D157" s="49">
        <f>'2025年中心利润表 '!D157+'2025年江苏分部利润表'!D157+'2025年浙江分部利润表'!D157+'2025年上海分部利润表'!D157+'2025年赣皖区域利润表'!D157</f>
        <v>0</v>
      </c>
      <c r="E157" s="49">
        <f>'2025年中心利润表 '!E157+'2025年江苏分部利润表'!E157+'2025年浙江分部利润表'!E157+'2025年上海分部利润表'!E157+'2025年赣皖区域利润表'!E157</f>
        <v>0</v>
      </c>
      <c r="F157" s="49">
        <f>'2025年中心利润表 '!F157+'2025年江苏分部利润表'!F157+'2025年浙江分部利润表'!F157+'2025年上海分部利润表'!F157+'2025年赣皖区域利润表'!F157</f>
        <v>0</v>
      </c>
      <c r="G157" s="49">
        <f>'2025年中心利润表 '!G157+'2025年江苏分部利润表'!G157+'2025年浙江分部利润表'!G157+'2025年上海分部利润表'!G157+'2025年赣皖区域利润表'!G157</f>
        <v>0</v>
      </c>
      <c r="H157" s="49">
        <f>'2025年中心利润表 '!H157+'2025年江苏分部利润表'!H157+'2025年浙江分部利润表'!H157+'2025年上海分部利润表'!H157+'2025年赣皖区域利润表'!H157</f>
        <v>0</v>
      </c>
      <c r="I157" s="49">
        <f>'2025年中心利润表 '!I157+'2025年江苏分部利润表'!I157+'2025年浙江分部利润表'!I157+'2025年上海分部利润表'!I157+'2025年赣皖区域利润表'!I157</f>
        <v>0</v>
      </c>
      <c r="J157" s="49">
        <f>'2025年中心利润表 '!J157+'2025年江苏分部利润表'!J157+'2025年浙江分部利润表'!J157+'2025年上海分部利润表'!J157+'2025年赣皖区域利润表'!J157</f>
        <v>0</v>
      </c>
      <c r="K157" s="49">
        <f>'2025年中心利润表 '!K157+'2025年江苏分部利润表'!K157+'2025年浙江分部利润表'!K157+'2025年上海分部利润表'!K157+'2025年赣皖区域利润表'!K157</f>
        <v>0</v>
      </c>
      <c r="L157" s="49">
        <f>'2025年中心利润表 '!L157+'2025年江苏分部利润表'!L157+'2025年浙江分部利润表'!L157+'2025年上海分部利润表'!L157+'2025年赣皖区域利润表'!L157</f>
        <v>0</v>
      </c>
      <c r="M157" s="49">
        <f>'2025年中心利润表 '!M157+'2025年江苏分部利润表'!M157+'2025年浙江分部利润表'!M157+'2025年上海分部利润表'!M157+'2025年赣皖区域利润表'!M157</f>
        <v>0</v>
      </c>
      <c r="N157" s="49">
        <f>'2025年中心利润表 '!N157+'2025年江苏分部利润表'!N157+'2025年浙江分部利润表'!N157+'2025年上海分部利润表'!N157+'2025年赣皖区域利润表'!N157</f>
        <v>0</v>
      </c>
      <c r="O157" s="49">
        <f>'2025年中心利润表 '!O157+'2025年江苏分部利润表'!O157+'2025年浙江分部利润表'!O157+'2025年上海分部利润表'!O157+'2025年赣皖区域利润表'!O157</f>
        <v>0</v>
      </c>
      <c r="P157" s="49">
        <f>'2025年中心利润表 '!P157+'2025年江苏分部利润表'!P157+'2025年浙江分部利润表'!P157+'2025年上海分部利润表'!P157+'2025年赣皖区域利润表'!P157</f>
        <v>0</v>
      </c>
      <c r="Q157" s="49">
        <f>'2025年中心利润表 '!Q157+'2025年江苏分部利润表'!Q157+'2025年浙江分部利润表'!Q157+'2025年上海分部利润表'!Q157+'2025年赣皖区域利润表'!Q157</f>
        <v>0</v>
      </c>
      <c r="R157" s="49">
        <f>'2025年中心利润表 '!R157+'2025年江苏分部利润表'!R157+'2025年浙江分部利润表'!R157+'2025年上海分部利润表'!R157+'2025年赣皖区域利润表'!R157</f>
        <v>0</v>
      </c>
      <c r="S157" s="49">
        <f>'2025年中心利润表 '!S157+'2025年江苏分部利润表'!S157+'2025年浙江分部利润表'!S157+'2025年上海分部利润表'!S157+'2025年赣皖区域利润表'!S157</f>
        <v>0</v>
      </c>
      <c r="T157" s="49">
        <f>'2025年中心利润表 '!T157+'2025年江苏分部利润表'!T157+'2025年浙江分部利润表'!T157+'2025年上海分部利润表'!T157+'2025年赣皖区域利润表'!T157</f>
        <v>0</v>
      </c>
      <c r="U157" s="49">
        <f>'2025年中心利润表 '!U157+'2025年江苏分部利润表'!U157+'2025年浙江分部利润表'!U157+'2025年上海分部利润表'!U157+'2025年赣皖区域利润表'!U157</f>
        <v>0</v>
      </c>
      <c r="V157" s="49">
        <f>'2025年中心利润表 '!V157+'2025年江苏分部利润表'!V157+'2025年浙江分部利润表'!V157+'2025年上海分部利润表'!V157+'2025年赣皖区域利润表'!V157</f>
        <v>0</v>
      </c>
      <c r="W157" s="49">
        <f>'2025年中心利润表 '!W157+'2025年江苏分部利润表'!W157+'2025年浙江分部利润表'!W157+'2025年上海分部利润表'!W157+'2025年赣皖区域利润表'!W157</f>
        <v>0</v>
      </c>
      <c r="X157" s="49">
        <f>'2025年中心利润表 '!X157+'2025年江苏分部利润表'!X157+'2025年浙江分部利润表'!X157+'2025年上海分部利润表'!X157+'2025年赣皖区域利润表'!X157</f>
        <v>0</v>
      </c>
      <c r="Y157" s="49">
        <f>'2025年中心利润表 '!Y157+'2025年江苏分部利润表'!Y157+'2025年浙江分部利润表'!Y157+'2025年上海分部利润表'!Y157+'2025年赣皖区域利润表'!Y157</f>
        <v>0</v>
      </c>
      <c r="Z157" s="49">
        <f>'2025年中心利润表 '!Z157+'2025年江苏分部利润表'!Z157+'2025年浙江分部利润表'!Z157+'2025年上海分部利润表'!Z157+'2025年赣皖区域利润表'!Z157</f>
        <v>0</v>
      </c>
      <c r="AA157" s="51">
        <f t="shared" si="36"/>
        <v>0</v>
      </c>
      <c r="AB157" s="51">
        <f t="shared" si="32"/>
        <v>0</v>
      </c>
      <c r="AC157" s="94"/>
      <c r="AD157" s="31">
        <f t="shared" si="37"/>
        <v>0</v>
      </c>
      <c r="AE157" s="31">
        <f t="shared" si="38"/>
        <v>0</v>
      </c>
      <c r="AF157" s="17">
        <f t="shared" si="28"/>
        <v>0</v>
      </c>
      <c r="AG157" s="17">
        <f t="shared" si="29"/>
        <v>0</v>
      </c>
      <c r="AH157" s="17">
        <f>SUM('[1]2024年全面预算利润表 (销售1中心)2.8亿'!E162:H162)</f>
        <v>0</v>
      </c>
    </row>
    <row r="158" spans="1:34" s="19" customFormat="1" ht="18" hidden="1" customHeight="1" outlineLevel="1" x14ac:dyDescent="0.25">
      <c r="A158" s="48" t="s">
        <v>161</v>
      </c>
      <c r="B158" s="53"/>
      <c r="C158" s="49">
        <f>'2025年中心利润表 '!C158+'2025年江苏分部利润表'!C158+'2025年浙江分部利润表'!C158+'2025年上海分部利润表'!C158+'2025年赣皖区域利润表'!C158</f>
        <v>0</v>
      </c>
      <c r="D158" s="49">
        <f>'2025年中心利润表 '!D158+'2025年江苏分部利润表'!D158+'2025年浙江分部利润表'!D158+'2025年上海分部利润表'!D158+'2025年赣皖区域利润表'!D158</f>
        <v>0</v>
      </c>
      <c r="E158" s="49">
        <f>'2025年中心利润表 '!E158+'2025年江苏分部利润表'!E158+'2025年浙江分部利润表'!E158+'2025年上海分部利润表'!E158+'2025年赣皖区域利润表'!E158</f>
        <v>0</v>
      </c>
      <c r="F158" s="49">
        <f>'2025年中心利润表 '!F158+'2025年江苏分部利润表'!F158+'2025年浙江分部利润表'!F158+'2025年上海分部利润表'!F158+'2025年赣皖区域利润表'!F158</f>
        <v>0</v>
      </c>
      <c r="G158" s="49">
        <f>'2025年中心利润表 '!G158+'2025年江苏分部利润表'!G158+'2025年浙江分部利润表'!G158+'2025年上海分部利润表'!G158+'2025年赣皖区域利润表'!G158</f>
        <v>0</v>
      </c>
      <c r="H158" s="49">
        <f>'2025年中心利润表 '!H158+'2025年江苏分部利润表'!H158+'2025年浙江分部利润表'!H158+'2025年上海分部利润表'!H158+'2025年赣皖区域利润表'!H158</f>
        <v>0</v>
      </c>
      <c r="I158" s="49">
        <f>'2025年中心利润表 '!I158+'2025年江苏分部利润表'!I158+'2025年浙江分部利润表'!I158+'2025年上海分部利润表'!I158+'2025年赣皖区域利润表'!I158</f>
        <v>0</v>
      </c>
      <c r="J158" s="49">
        <f>'2025年中心利润表 '!J158+'2025年江苏分部利润表'!J158+'2025年浙江分部利润表'!J158+'2025年上海分部利润表'!J158+'2025年赣皖区域利润表'!J158</f>
        <v>0</v>
      </c>
      <c r="K158" s="49">
        <f>'2025年中心利润表 '!K158+'2025年江苏分部利润表'!K158+'2025年浙江分部利润表'!K158+'2025年上海分部利润表'!K158+'2025年赣皖区域利润表'!K158</f>
        <v>0</v>
      </c>
      <c r="L158" s="49">
        <f>'2025年中心利润表 '!L158+'2025年江苏分部利润表'!L158+'2025年浙江分部利润表'!L158+'2025年上海分部利润表'!L158+'2025年赣皖区域利润表'!L158</f>
        <v>0</v>
      </c>
      <c r="M158" s="49">
        <f>'2025年中心利润表 '!M158+'2025年江苏分部利润表'!M158+'2025年浙江分部利润表'!M158+'2025年上海分部利润表'!M158+'2025年赣皖区域利润表'!M158</f>
        <v>0</v>
      </c>
      <c r="N158" s="49">
        <f>'2025年中心利润表 '!N158+'2025年江苏分部利润表'!N158+'2025年浙江分部利润表'!N158+'2025年上海分部利润表'!N158+'2025年赣皖区域利润表'!N158</f>
        <v>0</v>
      </c>
      <c r="O158" s="49">
        <f>'2025年中心利润表 '!O158+'2025年江苏分部利润表'!O158+'2025年浙江分部利润表'!O158+'2025年上海分部利润表'!O158+'2025年赣皖区域利润表'!O158</f>
        <v>0</v>
      </c>
      <c r="P158" s="49">
        <f>'2025年中心利润表 '!P158+'2025年江苏分部利润表'!P158+'2025年浙江分部利润表'!P158+'2025年上海分部利润表'!P158+'2025年赣皖区域利润表'!P158</f>
        <v>0</v>
      </c>
      <c r="Q158" s="49">
        <f>'2025年中心利润表 '!Q158+'2025年江苏分部利润表'!Q158+'2025年浙江分部利润表'!Q158+'2025年上海分部利润表'!Q158+'2025年赣皖区域利润表'!Q158</f>
        <v>0</v>
      </c>
      <c r="R158" s="49">
        <f>'2025年中心利润表 '!R158+'2025年江苏分部利润表'!R158+'2025年浙江分部利润表'!R158+'2025年上海分部利润表'!R158+'2025年赣皖区域利润表'!R158</f>
        <v>0</v>
      </c>
      <c r="S158" s="49">
        <f>'2025年中心利润表 '!S158+'2025年江苏分部利润表'!S158+'2025年浙江分部利润表'!S158+'2025年上海分部利润表'!S158+'2025年赣皖区域利润表'!S158</f>
        <v>0</v>
      </c>
      <c r="T158" s="49">
        <f>'2025年中心利润表 '!T158+'2025年江苏分部利润表'!T158+'2025年浙江分部利润表'!T158+'2025年上海分部利润表'!T158+'2025年赣皖区域利润表'!T158</f>
        <v>0</v>
      </c>
      <c r="U158" s="49">
        <f>'2025年中心利润表 '!U158+'2025年江苏分部利润表'!U158+'2025年浙江分部利润表'!U158+'2025年上海分部利润表'!U158+'2025年赣皖区域利润表'!U158</f>
        <v>0</v>
      </c>
      <c r="V158" s="49">
        <f>'2025年中心利润表 '!V158+'2025年江苏分部利润表'!V158+'2025年浙江分部利润表'!V158+'2025年上海分部利润表'!V158+'2025年赣皖区域利润表'!V158</f>
        <v>0</v>
      </c>
      <c r="W158" s="49">
        <f>'2025年中心利润表 '!W158+'2025年江苏分部利润表'!W158+'2025年浙江分部利润表'!W158+'2025年上海分部利润表'!W158+'2025年赣皖区域利润表'!W158</f>
        <v>0</v>
      </c>
      <c r="X158" s="49">
        <f>'2025年中心利润表 '!X158+'2025年江苏分部利润表'!X158+'2025年浙江分部利润表'!X158+'2025年上海分部利润表'!X158+'2025年赣皖区域利润表'!X158</f>
        <v>0</v>
      </c>
      <c r="Y158" s="49">
        <f>'2025年中心利润表 '!Y158+'2025年江苏分部利润表'!Y158+'2025年浙江分部利润表'!Y158+'2025年上海分部利润表'!Y158+'2025年赣皖区域利润表'!Y158</f>
        <v>0</v>
      </c>
      <c r="Z158" s="49">
        <f>'2025年中心利润表 '!Z158+'2025年江苏分部利润表'!Z158+'2025年浙江分部利润表'!Z158+'2025年上海分部利润表'!Z158+'2025年赣皖区域利润表'!Z158</f>
        <v>0</v>
      </c>
      <c r="AA158" s="51">
        <f t="shared" si="36"/>
        <v>0</v>
      </c>
      <c r="AB158" s="51">
        <f t="shared" si="32"/>
        <v>0</v>
      </c>
      <c r="AC158" s="94"/>
      <c r="AD158" s="31">
        <f t="shared" si="37"/>
        <v>0</v>
      </c>
      <c r="AE158" s="31">
        <f t="shared" si="38"/>
        <v>0</v>
      </c>
      <c r="AF158" s="17">
        <f t="shared" ref="AF158:AF221" si="39">AA158-AD158</f>
        <v>0</v>
      </c>
      <c r="AG158" s="17">
        <f t="shared" ref="AG158:AG221" si="40">AB158-AE158</f>
        <v>0</v>
      </c>
      <c r="AH158" s="17">
        <f>SUM('[1]2024年全面预算利润表 (销售1中心)2.8亿'!E163:H163)</f>
        <v>0</v>
      </c>
    </row>
    <row r="159" spans="1:34" s="19" customFormat="1" ht="18" hidden="1" customHeight="1" outlineLevel="1" x14ac:dyDescent="0.25">
      <c r="A159" s="48" t="s">
        <v>162</v>
      </c>
      <c r="B159" s="53"/>
      <c r="C159" s="49">
        <f>'2025年中心利润表 '!C159+'2025年江苏分部利润表'!C159+'2025年浙江分部利润表'!C159+'2025年上海分部利润表'!C159+'2025年赣皖区域利润表'!C159</f>
        <v>0</v>
      </c>
      <c r="D159" s="49">
        <f>'2025年中心利润表 '!D159+'2025年江苏分部利润表'!D159+'2025年浙江分部利润表'!D159+'2025年上海分部利润表'!D159+'2025年赣皖区域利润表'!D159</f>
        <v>0</v>
      </c>
      <c r="E159" s="49">
        <f>'2025年中心利润表 '!E159+'2025年江苏分部利润表'!E159+'2025年浙江分部利润表'!E159+'2025年上海分部利润表'!E159+'2025年赣皖区域利润表'!E159</f>
        <v>0</v>
      </c>
      <c r="F159" s="49">
        <f>'2025年中心利润表 '!F159+'2025年江苏分部利润表'!F159+'2025年浙江分部利润表'!F159+'2025年上海分部利润表'!F159+'2025年赣皖区域利润表'!F159</f>
        <v>0</v>
      </c>
      <c r="G159" s="49">
        <f>'2025年中心利润表 '!G159+'2025年江苏分部利润表'!G159+'2025年浙江分部利润表'!G159+'2025年上海分部利润表'!G159+'2025年赣皖区域利润表'!G159</f>
        <v>0</v>
      </c>
      <c r="H159" s="49">
        <f>'2025年中心利润表 '!H159+'2025年江苏分部利润表'!H159+'2025年浙江分部利润表'!H159+'2025年上海分部利润表'!H159+'2025年赣皖区域利润表'!H159</f>
        <v>0</v>
      </c>
      <c r="I159" s="49">
        <f>'2025年中心利润表 '!I159+'2025年江苏分部利润表'!I159+'2025年浙江分部利润表'!I159+'2025年上海分部利润表'!I159+'2025年赣皖区域利润表'!I159</f>
        <v>0</v>
      </c>
      <c r="J159" s="49">
        <f>'2025年中心利润表 '!J159+'2025年江苏分部利润表'!J159+'2025年浙江分部利润表'!J159+'2025年上海分部利润表'!J159+'2025年赣皖区域利润表'!J159</f>
        <v>0</v>
      </c>
      <c r="K159" s="49">
        <f>'2025年中心利润表 '!K159+'2025年江苏分部利润表'!K159+'2025年浙江分部利润表'!K159+'2025年上海分部利润表'!K159+'2025年赣皖区域利润表'!K159</f>
        <v>0</v>
      </c>
      <c r="L159" s="49">
        <f>'2025年中心利润表 '!L159+'2025年江苏分部利润表'!L159+'2025年浙江分部利润表'!L159+'2025年上海分部利润表'!L159+'2025年赣皖区域利润表'!L159</f>
        <v>0</v>
      </c>
      <c r="M159" s="49">
        <f>'2025年中心利润表 '!M159+'2025年江苏分部利润表'!M159+'2025年浙江分部利润表'!M159+'2025年上海分部利润表'!M159+'2025年赣皖区域利润表'!M159</f>
        <v>0</v>
      </c>
      <c r="N159" s="49">
        <f>'2025年中心利润表 '!N159+'2025年江苏分部利润表'!N159+'2025年浙江分部利润表'!N159+'2025年上海分部利润表'!N159+'2025年赣皖区域利润表'!N159</f>
        <v>0</v>
      </c>
      <c r="O159" s="49">
        <f>'2025年中心利润表 '!O159+'2025年江苏分部利润表'!O159+'2025年浙江分部利润表'!O159+'2025年上海分部利润表'!O159+'2025年赣皖区域利润表'!O159</f>
        <v>0</v>
      </c>
      <c r="P159" s="49">
        <f>'2025年中心利润表 '!P159+'2025年江苏分部利润表'!P159+'2025年浙江分部利润表'!P159+'2025年上海分部利润表'!P159+'2025年赣皖区域利润表'!P159</f>
        <v>0</v>
      </c>
      <c r="Q159" s="49">
        <f>'2025年中心利润表 '!Q159+'2025年江苏分部利润表'!Q159+'2025年浙江分部利润表'!Q159+'2025年上海分部利润表'!Q159+'2025年赣皖区域利润表'!Q159</f>
        <v>0</v>
      </c>
      <c r="R159" s="49">
        <f>'2025年中心利润表 '!R159+'2025年江苏分部利润表'!R159+'2025年浙江分部利润表'!R159+'2025年上海分部利润表'!R159+'2025年赣皖区域利润表'!R159</f>
        <v>0</v>
      </c>
      <c r="S159" s="49">
        <f>'2025年中心利润表 '!S159+'2025年江苏分部利润表'!S159+'2025年浙江分部利润表'!S159+'2025年上海分部利润表'!S159+'2025年赣皖区域利润表'!S159</f>
        <v>0</v>
      </c>
      <c r="T159" s="49">
        <f>'2025年中心利润表 '!T159+'2025年江苏分部利润表'!T159+'2025年浙江分部利润表'!T159+'2025年上海分部利润表'!T159+'2025年赣皖区域利润表'!T159</f>
        <v>0</v>
      </c>
      <c r="U159" s="49">
        <f>'2025年中心利润表 '!U159+'2025年江苏分部利润表'!U159+'2025年浙江分部利润表'!U159+'2025年上海分部利润表'!U159+'2025年赣皖区域利润表'!U159</f>
        <v>0</v>
      </c>
      <c r="V159" s="49">
        <f>'2025年中心利润表 '!V159+'2025年江苏分部利润表'!V159+'2025年浙江分部利润表'!V159+'2025年上海分部利润表'!V159+'2025年赣皖区域利润表'!V159</f>
        <v>0</v>
      </c>
      <c r="W159" s="49">
        <f>'2025年中心利润表 '!W159+'2025年江苏分部利润表'!W159+'2025年浙江分部利润表'!W159+'2025年上海分部利润表'!W159+'2025年赣皖区域利润表'!W159</f>
        <v>0</v>
      </c>
      <c r="X159" s="49">
        <f>'2025年中心利润表 '!X159+'2025年江苏分部利润表'!X159+'2025年浙江分部利润表'!X159+'2025年上海分部利润表'!X159+'2025年赣皖区域利润表'!X159</f>
        <v>0</v>
      </c>
      <c r="Y159" s="49">
        <f>'2025年中心利润表 '!Y159+'2025年江苏分部利润表'!Y159+'2025年浙江分部利润表'!Y159+'2025年上海分部利润表'!Y159+'2025年赣皖区域利润表'!Y159</f>
        <v>0</v>
      </c>
      <c r="Z159" s="49">
        <f>'2025年中心利润表 '!Z159+'2025年江苏分部利润表'!Z159+'2025年浙江分部利润表'!Z159+'2025年上海分部利润表'!Z159+'2025年赣皖区域利润表'!Z159</f>
        <v>0</v>
      </c>
      <c r="AA159" s="51">
        <f t="shared" si="36"/>
        <v>0</v>
      </c>
      <c r="AB159" s="51">
        <f t="shared" si="32"/>
        <v>0</v>
      </c>
      <c r="AC159" s="94"/>
      <c r="AD159" s="31">
        <f t="shared" si="37"/>
        <v>0</v>
      </c>
      <c r="AE159" s="31">
        <f t="shared" si="38"/>
        <v>0</v>
      </c>
      <c r="AF159" s="17">
        <f t="shared" si="39"/>
        <v>0</v>
      </c>
      <c r="AG159" s="17">
        <f t="shared" si="40"/>
        <v>0</v>
      </c>
      <c r="AH159" s="17">
        <f>SUM('[1]2024年全面预算利润表 (销售1中心)2.8亿'!E164:H164)</f>
        <v>0</v>
      </c>
    </row>
    <row r="160" spans="1:34" s="19" customFormat="1" ht="18" hidden="1" customHeight="1" outlineLevel="1" x14ac:dyDescent="0.25">
      <c r="A160" s="48" t="s">
        <v>163</v>
      </c>
      <c r="B160" s="53"/>
      <c r="C160" s="49">
        <f>'2025年中心利润表 '!C160+'2025年江苏分部利润表'!C160+'2025年浙江分部利润表'!C160+'2025年上海分部利润表'!C160+'2025年赣皖区域利润表'!C160</f>
        <v>0</v>
      </c>
      <c r="D160" s="49">
        <f>'2025年中心利润表 '!D160+'2025年江苏分部利润表'!D160+'2025年浙江分部利润表'!D160+'2025年上海分部利润表'!D160+'2025年赣皖区域利润表'!D160</f>
        <v>0</v>
      </c>
      <c r="E160" s="49">
        <f>'2025年中心利润表 '!E160+'2025年江苏分部利润表'!E160+'2025年浙江分部利润表'!E160+'2025年上海分部利润表'!E160+'2025年赣皖区域利润表'!E160</f>
        <v>0</v>
      </c>
      <c r="F160" s="49">
        <f>'2025年中心利润表 '!F160+'2025年江苏分部利润表'!F160+'2025年浙江分部利润表'!F160+'2025年上海分部利润表'!F160+'2025年赣皖区域利润表'!F160</f>
        <v>0</v>
      </c>
      <c r="G160" s="49">
        <f>'2025年中心利润表 '!G160+'2025年江苏分部利润表'!G160+'2025年浙江分部利润表'!G160+'2025年上海分部利润表'!G160+'2025年赣皖区域利润表'!G160</f>
        <v>0</v>
      </c>
      <c r="H160" s="49">
        <f>'2025年中心利润表 '!H160+'2025年江苏分部利润表'!H160+'2025年浙江分部利润表'!H160+'2025年上海分部利润表'!H160+'2025年赣皖区域利润表'!H160</f>
        <v>0</v>
      </c>
      <c r="I160" s="49">
        <f>'2025年中心利润表 '!I160+'2025年江苏分部利润表'!I160+'2025年浙江分部利润表'!I160+'2025年上海分部利润表'!I160+'2025年赣皖区域利润表'!I160</f>
        <v>0</v>
      </c>
      <c r="J160" s="49">
        <f>'2025年中心利润表 '!J160+'2025年江苏分部利润表'!J160+'2025年浙江分部利润表'!J160+'2025年上海分部利润表'!J160+'2025年赣皖区域利润表'!J160</f>
        <v>0</v>
      </c>
      <c r="K160" s="49">
        <f>'2025年中心利润表 '!K160+'2025年江苏分部利润表'!K160+'2025年浙江分部利润表'!K160+'2025年上海分部利润表'!K160+'2025年赣皖区域利润表'!K160</f>
        <v>0</v>
      </c>
      <c r="L160" s="49">
        <f>'2025年中心利润表 '!L160+'2025年江苏分部利润表'!L160+'2025年浙江分部利润表'!L160+'2025年上海分部利润表'!L160+'2025年赣皖区域利润表'!L160</f>
        <v>0</v>
      </c>
      <c r="M160" s="49">
        <f>'2025年中心利润表 '!M160+'2025年江苏分部利润表'!M160+'2025年浙江分部利润表'!M160+'2025年上海分部利润表'!M160+'2025年赣皖区域利润表'!M160</f>
        <v>0</v>
      </c>
      <c r="N160" s="49">
        <f>'2025年中心利润表 '!N160+'2025年江苏分部利润表'!N160+'2025年浙江分部利润表'!N160+'2025年上海分部利润表'!N160+'2025年赣皖区域利润表'!N160</f>
        <v>0</v>
      </c>
      <c r="O160" s="49">
        <f>'2025年中心利润表 '!O160+'2025年江苏分部利润表'!O160+'2025年浙江分部利润表'!O160+'2025年上海分部利润表'!O160+'2025年赣皖区域利润表'!O160</f>
        <v>0</v>
      </c>
      <c r="P160" s="49">
        <f>'2025年中心利润表 '!P160+'2025年江苏分部利润表'!P160+'2025年浙江分部利润表'!P160+'2025年上海分部利润表'!P160+'2025年赣皖区域利润表'!P160</f>
        <v>0</v>
      </c>
      <c r="Q160" s="49">
        <f>'2025年中心利润表 '!Q160+'2025年江苏分部利润表'!Q160+'2025年浙江分部利润表'!Q160+'2025年上海分部利润表'!Q160+'2025年赣皖区域利润表'!Q160</f>
        <v>0</v>
      </c>
      <c r="R160" s="49">
        <f>'2025年中心利润表 '!R160+'2025年江苏分部利润表'!R160+'2025年浙江分部利润表'!R160+'2025年上海分部利润表'!R160+'2025年赣皖区域利润表'!R160</f>
        <v>0</v>
      </c>
      <c r="S160" s="49">
        <f>'2025年中心利润表 '!S160+'2025年江苏分部利润表'!S160+'2025年浙江分部利润表'!S160+'2025年上海分部利润表'!S160+'2025年赣皖区域利润表'!S160</f>
        <v>0</v>
      </c>
      <c r="T160" s="49">
        <f>'2025年中心利润表 '!T160+'2025年江苏分部利润表'!T160+'2025年浙江分部利润表'!T160+'2025年上海分部利润表'!T160+'2025年赣皖区域利润表'!T160</f>
        <v>0</v>
      </c>
      <c r="U160" s="49">
        <f>'2025年中心利润表 '!U160+'2025年江苏分部利润表'!U160+'2025年浙江分部利润表'!U160+'2025年上海分部利润表'!U160+'2025年赣皖区域利润表'!U160</f>
        <v>0</v>
      </c>
      <c r="V160" s="49">
        <f>'2025年中心利润表 '!V160+'2025年江苏分部利润表'!V160+'2025年浙江分部利润表'!V160+'2025年上海分部利润表'!V160+'2025年赣皖区域利润表'!V160</f>
        <v>0</v>
      </c>
      <c r="W160" s="49">
        <f>'2025年中心利润表 '!W160+'2025年江苏分部利润表'!W160+'2025年浙江分部利润表'!W160+'2025年上海分部利润表'!W160+'2025年赣皖区域利润表'!W160</f>
        <v>0</v>
      </c>
      <c r="X160" s="49">
        <f>'2025年中心利润表 '!X160+'2025年江苏分部利润表'!X160+'2025年浙江分部利润表'!X160+'2025年上海分部利润表'!X160+'2025年赣皖区域利润表'!X160</f>
        <v>0</v>
      </c>
      <c r="Y160" s="49">
        <f>'2025年中心利润表 '!Y160+'2025年江苏分部利润表'!Y160+'2025年浙江分部利润表'!Y160+'2025年上海分部利润表'!Y160+'2025年赣皖区域利润表'!Y160</f>
        <v>0</v>
      </c>
      <c r="Z160" s="49">
        <f>'2025年中心利润表 '!Z160+'2025年江苏分部利润表'!Z160+'2025年浙江分部利润表'!Z160+'2025年上海分部利润表'!Z160+'2025年赣皖区域利润表'!Z160</f>
        <v>0</v>
      </c>
      <c r="AA160" s="51">
        <f t="shared" si="36"/>
        <v>0</v>
      </c>
      <c r="AB160" s="51">
        <f t="shared" si="32"/>
        <v>0</v>
      </c>
      <c r="AC160" s="94"/>
      <c r="AD160" s="31">
        <f t="shared" si="37"/>
        <v>0</v>
      </c>
      <c r="AE160" s="31">
        <f t="shared" si="38"/>
        <v>0</v>
      </c>
      <c r="AF160" s="17">
        <f t="shared" si="39"/>
        <v>0</v>
      </c>
      <c r="AG160" s="17">
        <f t="shared" si="40"/>
        <v>0</v>
      </c>
      <c r="AH160" s="17">
        <f>SUM('[1]2024年全面预算利润表 (销售1中心)2.8亿'!E165:H165)</f>
        <v>0</v>
      </c>
    </row>
    <row r="161" spans="1:34" s="19" customFormat="1" ht="18" hidden="1" customHeight="1" outlineLevel="1" x14ac:dyDescent="0.25">
      <c r="A161" s="48" t="s">
        <v>164</v>
      </c>
      <c r="B161" s="53"/>
      <c r="C161" s="49">
        <f>'2025年中心利润表 '!C161+'2025年江苏分部利润表'!C161+'2025年浙江分部利润表'!C161+'2025年上海分部利润表'!C161+'2025年赣皖区域利润表'!C161</f>
        <v>0</v>
      </c>
      <c r="D161" s="49">
        <f>'2025年中心利润表 '!D161+'2025年江苏分部利润表'!D161+'2025年浙江分部利润表'!D161+'2025年上海分部利润表'!D161+'2025年赣皖区域利润表'!D161</f>
        <v>0</v>
      </c>
      <c r="E161" s="49">
        <f>'2025年中心利润表 '!E161+'2025年江苏分部利润表'!E161+'2025年浙江分部利润表'!E161+'2025年上海分部利润表'!E161+'2025年赣皖区域利润表'!E161</f>
        <v>0</v>
      </c>
      <c r="F161" s="49">
        <f>'2025年中心利润表 '!F161+'2025年江苏分部利润表'!F161+'2025年浙江分部利润表'!F161+'2025年上海分部利润表'!F161+'2025年赣皖区域利润表'!F161</f>
        <v>0</v>
      </c>
      <c r="G161" s="49">
        <f>'2025年中心利润表 '!G161+'2025年江苏分部利润表'!G161+'2025年浙江分部利润表'!G161+'2025年上海分部利润表'!G161+'2025年赣皖区域利润表'!G161</f>
        <v>0</v>
      </c>
      <c r="H161" s="49">
        <f>'2025年中心利润表 '!H161+'2025年江苏分部利润表'!H161+'2025年浙江分部利润表'!H161+'2025年上海分部利润表'!H161+'2025年赣皖区域利润表'!H161</f>
        <v>0</v>
      </c>
      <c r="I161" s="49">
        <f>'2025年中心利润表 '!I161+'2025年江苏分部利润表'!I161+'2025年浙江分部利润表'!I161+'2025年上海分部利润表'!I161+'2025年赣皖区域利润表'!I161</f>
        <v>0</v>
      </c>
      <c r="J161" s="49">
        <f>'2025年中心利润表 '!J161+'2025年江苏分部利润表'!J161+'2025年浙江分部利润表'!J161+'2025年上海分部利润表'!J161+'2025年赣皖区域利润表'!J161</f>
        <v>0</v>
      </c>
      <c r="K161" s="49">
        <f>'2025年中心利润表 '!K161+'2025年江苏分部利润表'!K161+'2025年浙江分部利润表'!K161+'2025年上海分部利润表'!K161+'2025年赣皖区域利润表'!K161</f>
        <v>0</v>
      </c>
      <c r="L161" s="49">
        <f>'2025年中心利润表 '!L161+'2025年江苏分部利润表'!L161+'2025年浙江分部利润表'!L161+'2025年上海分部利润表'!L161+'2025年赣皖区域利润表'!L161</f>
        <v>0</v>
      </c>
      <c r="M161" s="49">
        <f>'2025年中心利润表 '!M161+'2025年江苏分部利润表'!M161+'2025年浙江分部利润表'!M161+'2025年上海分部利润表'!M161+'2025年赣皖区域利润表'!M161</f>
        <v>0</v>
      </c>
      <c r="N161" s="49">
        <f>'2025年中心利润表 '!N161+'2025年江苏分部利润表'!N161+'2025年浙江分部利润表'!N161+'2025年上海分部利润表'!N161+'2025年赣皖区域利润表'!N161</f>
        <v>0</v>
      </c>
      <c r="O161" s="49">
        <f>'2025年中心利润表 '!O161+'2025年江苏分部利润表'!O161+'2025年浙江分部利润表'!O161+'2025年上海分部利润表'!O161+'2025年赣皖区域利润表'!O161</f>
        <v>0</v>
      </c>
      <c r="P161" s="49">
        <f>'2025年中心利润表 '!P161+'2025年江苏分部利润表'!P161+'2025年浙江分部利润表'!P161+'2025年上海分部利润表'!P161+'2025年赣皖区域利润表'!P161</f>
        <v>0</v>
      </c>
      <c r="Q161" s="49">
        <f>'2025年中心利润表 '!Q161+'2025年江苏分部利润表'!Q161+'2025年浙江分部利润表'!Q161+'2025年上海分部利润表'!Q161+'2025年赣皖区域利润表'!Q161</f>
        <v>0</v>
      </c>
      <c r="R161" s="49">
        <f>'2025年中心利润表 '!R161+'2025年江苏分部利润表'!R161+'2025年浙江分部利润表'!R161+'2025年上海分部利润表'!R161+'2025年赣皖区域利润表'!R161</f>
        <v>0</v>
      </c>
      <c r="S161" s="49">
        <f>'2025年中心利润表 '!S161+'2025年江苏分部利润表'!S161+'2025年浙江分部利润表'!S161+'2025年上海分部利润表'!S161+'2025年赣皖区域利润表'!S161</f>
        <v>0</v>
      </c>
      <c r="T161" s="49">
        <f>'2025年中心利润表 '!T161+'2025年江苏分部利润表'!T161+'2025年浙江分部利润表'!T161+'2025年上海分部利润表'!T161+'2025年赣皖区域利润表'!T161</f>
        <v>0</v>
      </c>
      <c r="U161" s="49">
        <f>'2025年中心利润表 '!U161+'2025年江苏分部利润表'!U161+'2025年浙江分部利润表'!U161+'2025年上海分部利润表'!U161+'2025年赣皖区域利润表'!U161</f>
        <v>0</v>
      </c>
      <c r="V161" s="49">
        <f>'2025年中心利润表 '!V161+'2025年江苏分部利润表'!V161+'2025年浙江分部利润表'!V161+'2025年上海分部利润表'!V161+'2025年赣皖区域利润表'!V161</f>
        <v>0</v>
      </c>
      <c r="W161" s="49">
        <f>'2025年中心利润表 '!W161+'2025年江苏分部利润表'!W161+'2025年浙江分部利润表'!W161+'2025年上海分部利润表'!W161+'2025年赣皖区域利润表'!W161</f>
        <v>0</v>
      </c>
      <c r="X161" s="49">
        <f>'2025年中心利润表 '!X161+'2025年江苏分部利润表'!X161+'2025年浙江分部利润表'!X161+'2025年上海分部利润表'!X161+'2025年赣皖区域利润表'!X161</f>
        <v>0</v>
      </c>
      <c r="Y161" s="49">
        <f>'2025年中心利润表 '!Y161+'2025年江苏分部利润表'!Y161+'2025年浙江分部利润表'!Y161+'2025年上海分部利润表'!Y161+'2025年赣皖区域利润表'!Y161</f>
        <v>0</v>
      </c>
      <c r="Z161" s="49">
        <f>'2025年中心利润表 '!Z161+'2025年江苏分部利润表'!Z161+'2025年浙江分部利润表'!Z161+'2025年上海分部利润表'!Z161+'2025年赣皖区域利润表'!Z161</f>
        <v>0</v>
      </c>
      <c r="AA161" s="51">
        <f t="shared" si="36"/>
        <v>0</v>
      </c>
      <c r="AB161" s="51">
        <f t="shared" si="32"/>
        <v>0</v>
      </c>
      <c r="AC161" s="94"/>
      <c r="AD161" s="31">
        <f t="shared" si="37"/>
        <v>0</v>
      </c>
      <c r="AE161" s="31">
        <f t="shared" si="38"/>
        <v>0</v>
      </c>
      <c r="AF161" s="17">
        <f t="shared" si="39"/>
        <v>0</v>
      </c>
      <c r="AG161" s="17">
        <f t="shared" si="40"/>
        <v>0</v>
      </c>
      <c r="AH161" s="17">
        <f>SUM('[1]2024年全面预算利润表 (销售1中心)2.8亿'!E166:H166)</f>
        <v>0</v>
      </c>
    </row>
    <row r="162" spans="1:34" s="19" customFormat="1" ht="18" hidden="1" customHeight="1" outlineLevel="1" x14ac:dyDescent="0.25">
      <c r="A162" s="48" t="s">
        <v>165</v>
      </c>
      <c r="B162" s="53"/>
      <c r="C162" s="49">
        <f>'2025年中心利润表 '!C162+'2025年江苏分部利润表'!C162+'2025年浙江分部利润表'!C162+'2025年上海分部利润表'!C162+'2025年赣皖区域利润表'!C162</f>
        <v>0</v>
      </c>
      <c r="D162" s="49">
        <f>'2025年中心利润表 '!D162+'2025年江苏分部利润表'!D162+'2025年浙江分部利润表'!D162+'2025年上海分部利润表'!D162+'2025年赣皖区域利润表'!D162</f>
        <v>0</v>
      </c>
      <c r="E162" s="49">
        <f>'2025年中心利润表 '!E162+'2025年江苏分部利润表'!E162+'2025年浙江分部利润表'!E162+'2025年上海分部利润表'!E162+'2025年赣皖区域利润表'!E162</f>
        <v>0</v>
      </c>
      <c r="F162" s="49">
        <f>'2025年中心利润表 '!F162+'2025年江苏分部利润表'!F162+'2025年浙江分部利润表'!F162+'2025年上海分部利润表'!F162+'2025年赣皖区域利润表'!F162</f>
        <v>0</v>
      </c>
      <c r="G162" s="49">
        <f>'2025年中心利润表 '!G162+'2025年江苏分部利润表'!G162+'2025年浙江分部利润表'!G162+'2025年上海分部利润表'!G162+'2025年赣皖区域利润表'!G162</f>
        <v>0</v>
      </c>
      <c r="H162" s="49">
        <f>'2025年中心利润表 '!H162+'2025年江苏分部利润表'!H162+'2025年浙江分部利润表'!H162+'2025年上海分部利润表'!H162+'2025年赣皖区域利润表'!H162</f>
        <v>0</v>
      </c>
      <c r="I162" s="49">
        <f>'2025年中心利润表 '!I162+'2025年江苏分部利润表'!I162+'2025年浙江分部利润表'!I162+'2025年上海分部利润表'!I162+'2025年赣皖区域利润表'!I162</f>
        <v>0</v>
      </c>
      <c r="J162" s="49">
        <f>'2025年中心利润表 '!J162+'2025年江苏分部利润表'!J162+'2025年浙江分部利润表'!J162+'2025年上海分部利润表'!J162+'2025年赣皖区域利润表'!J162</f>
        <v>0</v>
      </c>
      <c r="K162" s="49">
        <f>'2025年中心利润表 '!K162+'2025年江苏分部利润表'!K162+'2025年浙江分部利润表'!K162+'2025年上海分部利润表'!K162+'2025年赣皖区域利润表'!K162</f>
        <v>0</v>
      </c>
      <c r="L162" s="49">
        <f>'2025年中心利润表 '!L162+'2025年江苏分部利润表'!L162+'2025年浙江分部利润表'!L162+'2025年上海分部利润表'!L162+'2025年赣皖区域利润表'!L162</f>
        <v>0</v>
      </c>
      <c r="M162" s="49">
        <f>'2025年中心利润表 '!M162+'2025年江苏分部利润表'!M162+'2025年浙江分部利润表'!M162+'2025年上海分部利润表'!M162+'2025年赣皖区域利润表'!M162</f>
        <v>0</v>
      </c>
      <c r="N162" s="49">
        <f>'2025年中心利润表 '!N162+'2025年江苏分部利润表'!N162+'2025年浙江分部利润表'!N162+'2025年上海分部利润表'!N162+'2025年赣皖区域利润表'!N162</f>
        <v>0</v>
      </c>
      <c r="O162" s="49">
        <f>'2025年中心利润表 '!O162+'2025年江苏分部利润表'!O162+'2025年浙江分部利润表'!O162+'2025年上海分部利润表'!O162+'2025年赣皖区域利润表'!O162</f>
        <v>0</v>
      </c>
      <c r="P162" s="49">
        <f>'2025年中心利润表 '!P162+'2025年江苏分部利润表'!P162+'2025年浙江分部利润表'!P162+'2025年上海分部利润表'!P162+'2025年赣皖区域利润表'!P162</f>
        <v>0</v>
      </c>
      <c r="Q162" s="49">
        <f>'2025年中心利润表 '!Q162+'2025年江苏分部利润表'!Q162+'2025年浙江分部利润表'!Q162+'2025年上海分部利润表'!Q162+'2025年赣皖区域利润表'!Q162</f>
        <v>0</v>
      </c>
      <c r="R162" s="49">
        <f>'2025年中心利润表 '!R162+'2025年江苏分部利润表'!R162+'2025年浙江分部利润表'!R162+'2025年上海分部利润表'!R162+'2025年赣皖区域利润表'!R162</f>
        <v>0</v>
      </c>
      <c r="S162" s="49">
        <f>'2025年中心利润表 '!S162+'2025年江苏分部利润表'!S162+'2025年浙江分部利润表'!S162+'2025年上海分部利润表'!S162+'2025年赣皖区域利润表'!S162</f>
        <v>0</v>
      </c>
      <c r="T162" s="49">
        <f>'2025年中心利润表 '!T162+'2025年江苏分部利润表'!T162+'2025年浙江分部利润表'!T162+'2025年上海分部利润表'!T162+'2025年赣皖区域利润表'!T162</f>
        <v>0</v>
      </c>
      <c r="U162" s="49">
        <f>'2025年中心利润表 '!U162+'2025年江苏分部利润表'!U162+'2025年浙江分部利润表'!U162+'2025年上海分部利润表'!U162+'2025年赣皖区域利润表'!U162</f>
        <v>0</v>
      </c>
      <c r="V162" s="49">
        <f>'2025年中心利润表 '!V162+'2025年江苏分部利润表'!V162+'2025年浙江分部利润表'!V162+'2025年上海分部利润表'!V162+'2025年赣皖区域利润表'!V162</f>
        <v>0</v>
      </c>
      <c r="W162" s="49">
        <f>'2025年中心利润表 '!W162+'2025年江苏分部利润表'!W162+'2025年浙江分部利润表'!W162+'2025年上海分部利润表'!W162+'2025年赣皖区域利润表'!W162</f>
        <v>0</v>
      </c>
      <c r="X162" s="49">
        <f>'2025年中心利润表 '!X162+'2025年江苏分部利润表'!X162+'2025年浙江分部利润表'!X162+'2025年上海分部利润表'!X162+'2025年赣皖区域利润表'!X162</f>
        <v>0</v>
      </c>
      <c r="Y162" s="49">
        <f>'2025年中心利润表 '!Y162+'2025年江苏分部利润表'!Y162+'2025年浙江分部利润表'!Y162+'2025年上海分部利润表'!Y162+'2025年赣皖区域利润表'!Y162</f>
        <v>0</v>
      </c>
      <c r="Z162" s="49">
        <f>'2025年中心利润表 '!Z162+'2025年江苏分部利润表'!Z162+'2025年浙江分部利润表'!Z162+'2025年上海分部利润表'!Z162+'2025年赣皖区域利润表'!Z162</f>
        <v>0</v>
      </c>
      <c r="AA162" s="51">
        <f t="shared" si="36"/>
        <v>0</v>
      </c>
      <c r="AB162" s="51">
        <f t="shared" si="32"/>
        <v>0</v>
      </c>
      <c r="AC162" s="94"/>
      <c r="AD162" s="31">
        <f t="shared" si="37"/>
        <v>0</v>
      </c>
      <c r="AE162" s="31">
        <f t="shared" si="38"/>
        <v>0</v>
      </c>
      <c r="AF162" s="17">
        <f t="shared" si="39"/>
        <v>0</v>
      </c>
      <c r="AG162" s="17">
        <f t="shared" si="40"/>
        <v>0</v>
      </c>
      <c r="AH162" s="17">
        <f>SUM('[1]2024年全面预算利润表 (销售1中心)2.8亿'!E167:H167)</f>
        <v>0</v>
      </c>
    </row>
    <row r="163" spans="1:34" s="19" customFormat="1" ht="18" hidden="1" customHeight="1" outlineLevel="1" x14ac:dyDescent="0.25">
      <c r="A163" s="48" t="s">
        <v>166</v>
      </c>
      <c r="B163" s="53"/>
      <c r="C163" s="49">
        <f>'2025年中心利润表 '!C163+'2025年江苏分部利润表'!C163+'2025年浙江分部利润表'!C163+'2025年上海分部利润表'!C163+'2025年赣皖区域利润表'!C163</f>
        <v>0</v>
      </c>
      <c r="D163" s="49">
        <f>'2025年中心利润表 '!D163+'2025年江苏分部利润表'!D163+'2025年浙江分部利润表'!D163+'2025年上海分部利润表'!D163+'2025年赣皖区域利润表'!D163</f>
        <v>0</v>
      </c>
      <c r="E163" s="49">
        <f>'2025年中心利润表 '!E163+'2025年江苏分部利润表'!E163+'2025年浙江分部利润表'!E163+'2025年上海分部利润表'!E163+'2025年赣皖区域利润表'!E163</f>
        <v>0</v>
      </c>
      <c r="F163" s="49">
        <f>'2025年中心利润表 '!F163+'2025年江苏分部利润表'!F163+'2025年浙江分部利润表'!F163+'2025年上海分部利润表'!F163+'2025年赣皖区域利润表'!F163</f>
        <v>0</v>
      </c>
      <c r="G163" s="49">
        <f>'2025年中心利润表 '!G163+'2025年江苏分部利润表'!G163+'2025年浙江分部利润表'!G163+'2025年上海分部利润表'!G163+'2025年赣皖区域利润表'!G163</f>
        <v>0</v>
      </c>
      <c r="H163" s="49">
        <f>'2025年中心利润表 '!H163+'2025年江苏分部利润表'!H163+'2025年浙江分部利润表'!H163+'2025年上海分部利润表'!H163+'2025年赣皖区域利润表'!H163</f>
        <v>0</v>
      </c>
      <c r="I163" s="49">
        <f>'2025年中心利润表 '!I163+'2025年江苏分部利润表'!I163+'2025年浙江分部利润表'!I163+'2025年上海分部利润表'!I163+'2025年赣皖区域利润表'!I163</f>
        <v>0</v>
      </c>
      <c r="J163" s="49">
        <f>'2025年中心利润表 '!J163+'2025年江苏分部利润表'!J163+'2025年浙江分部利润表'!J163+'2025年上海分部利润表'!J163+'2025年赣皖区域利润表'!J163</f>
        <v>0</v>
      </c>
      <c r="K163" s="49">
        <f>'2025年中心利润表 '!K163+'2025年江苏分部利润表'!K163+'2025年浙江分部利润表'!K163+'2025年上海分部利润表'!K163+'2025年赣皖区域利润表'!K163</f>
        <v>0</v>
      </c>
      <c r="L163" s="49">
        <f>'2025年中心利润表 '!L163+'2025年江苏分部利润表'!L163+'2025年浙江分部利润表'!L163+'2025年上海分部利润表'!L163+'2025年赣皖区域利润表'!L163</f>
        <v>0</v>
      </c>
      <c r="M163" s="49">
        <f>'2025年中心利润表 '!M163+'2025年江苏分部利润表'!M163+'2025年浙江分部利润表'!M163+'2025年上海分部利润表'!M163+'2025年赣皖区域利润表'!M163</f>
        <v>0</v>
      </c>
      <c r="N163" s="49">
        <f>'2025年中心利润表 '!N163+'2025年江苏分部利润表'!N163+'2025年浙江分部利润表'!N163+'2025年上海分部利润表'!N163+'2025年赣皖区域利润表'!N163</f>
        <v>0</v>
      </c>
      <c r="O163" s="49">
        <f>'2025年中心利润表 '!O163+'2025年江苏分部利润表'!O163+'2025年浙江分部利润表'!O163+'2025年上海分部利润表'!O163+'2025年赣皖区域利润表'!O163</f>
        <v>0</v>
      </c>
      <c r="P163" s="49">
        <f>'2025年中心利润表 '!P163+'2025年江苏分部利润表'!P163+'2025年浙江分部利润表'!P163+'2025年上海分部利润表'!P163+'2025年赣皖区域利润表'!P163</f>
        <v>0</v>
      </c>
      <c r="Q163" s="49">
        <f>'2025年中心利润表 '!Q163+'2025年江苏分部利润表'!Q163+'2025年浙江分部利润表'!Q163+'2025年上海分部利润表'!Q163+'2025年赣皖区域利润表'!Q163</f>
        <v>0</v>
      </c>
      <c r="R163" s="49">
        <f>'2025年中心利润表 '!R163+'2025年江苏分部利润表'!R163+'2025年浙江分部利润表'!R163+'2025年上海分部利润表'!R163+'2025年赣皖区域利润表'!R163</f>
        <v>0</v>
      </c>
      <c r="S163" s="49">
        <f>'2025年中心利润表 '!S163+'2025年江苏分部利润表'!S163+'2025年浙江分部利润表'!S163+'2025年上海分部利润表'!S163+'2025年赣皖区域利润表'!S163</f>
        <v>0</v>
      </c>
      <c r="T163" s="49">
        <f>'2025年中心利润表 '!T163+'2025年江苏分部利润表'!T163+'2025年浙江分部利润表'!T163+'2025年上海分部利润表'!T163+'2025年赣皖区域利润表'!T163</f>
        <v>0</v>
      </c>
      <c r="U163" s="49">
        <f>'2025年中心利润表 '!U163+'2025年江苏分部利润表'!U163+'2025年浙江分部利润表'!U163+'2025年上海分部利润表'!U163+'2025年赣皖区域利润表'!U163</f>
        <v>0</v>
      </c>
      <c r="V163" s="49">
        <f>'2025年中心利润表 '!V163+'2025年江苏分部利润表'!V163+'2025年浙江分部利润表'!V163+'2025年上海分部利润表'!V163+'2025年赣皖区域利润表'!V163</f>
        <v>0</v>
      </c>
      <c r="W163" s="49">
        <f>'2025年中心利润表 '!W163+'2025年江苏分部利润表'!W163+'2025年浙江分部利润表'!W163+'2025年上海分部利润表'!W163+'2025年赣皖区域利润表'!W163</f>
        <v>0</v>
      </c>
      <c r="X163" s="49">
        <f>'2025年中心利润表 '!X163+'2025年江苏分部利润表'!X163+'2025年浙江分部利润表'!X163+'2025年上海分部利润表'!X163+'2025年赣皖区域利润表'!X163</f>
        <v>0</v>
      </c>
      <c r="Y163" s="49">
        <f>'2025年中心利润表 '!Y163+'2025年江苏分部利润表'!Y163+'2025年浙江分部利润表'!Y163+'2025年上海分部利润表'!Y163+'2025年赣皖区域利润表'!Y163</f>
        <v>0</v>
      </c>
      <c r="Z163" s="49">
        <f>'2025年中心利润表 '!Z163+'2025年江苏分部利润表'!Z163+'2025年浙江分部利润表'!Z163+'2025年上海分部利润表'!Z163+'2025年赣皖区域利润表'!Z163</f>
        <v>0</v>
      </c>
      <c r="AA163" s="51">
        <f t="shared" si="36"/>
        <v>0</v>
      </c>
      <c r="AB163" s="51">
        <f t="shared" si="32"/>
        <v>0</v>
      </c>
      <c r="AC163" s="94"/>
      <c r="AD163" s="31">
        <f t="shared" si="37"/>
        <v>0</v>
      </c>
      <c r="AE163" s="31">
        <f t="shared" si="38"/>
        <v>0</v>
      </c>
      <c r="AF163" s="17">
        <f t="shared" si="39"/>
        <v>0</v>
      </c>
      <c r="AG163" s="17">
        <f t="shared" si="40"/>
        <v>0</v>
      </c>
      <c r="AH163" s="17">
        <f>SUM('[1]2024年全面预算利润表 (销售1中心)2.8亿'!E168:H168)</f>
        <v>0</v>
      </c>
    </row>
    <row r="164" spans="1:34" s="19" customFormat="1" ht="18" hidden="1" customHeight="1" outlineLevel="1" x14ac:dyDescent="0.25">
      <c r="A164" s="48" t="s">
        <v>167</v>
      </c>
      <c r="B164" s="53"/>
      <c r="C164" s="49">
        <f>'2025年中心利润表 '!C164+'2025年江苏分部利润表'!C164+'2025年浙江分部利润表'!C164+'2025年上海分部利润表'!C164+'2025年赣皖区域利润表'!C164</f>
        <v>0</v>
      </c>
      <c r="D164" s="49">
        <f>'2025年中心利润表 '!D164+'2025年江苏分部利润表'!D164+'2025年浙江分部利润表'!D164+'2025年上海分部利润表'!D164+'2025年赣皖区域利润表'!D164</f>
        <v>0</v>
      </c>
      <c r="E164" s="49">
        <f>'2025年中心利润表 '!E164+'2025年江苏分部利润表'!E164+'2025年浙江分部利润表'!E164+'2025年上海分部利润表'!E164+'2025年赣皖区域利润表'!E164</f>
        <v>0</v>
      </c>
      <c r="F164" s="49">
        <f>'2025年中心利润表 '!F164+'2025年江苏分部利润表'!F164+'2025年浙江分部利润表'!F164+'2025年上海分部利润表'!F164+'2025年赣皖区域利润表'!F164</f>
        <v>0</v>
      </c>
      <c r="G164" s="49">
        <f>'2025年中心利润表 '!G164+'2025年江苏分部利润表'!G164+'2025年浙江分部利润表'!G164+'2025年上海分部利润表'!G164+'2025年赣皖区域利润表'!G164</f>
        <v>0</v>
      </c>
      <c r="H164" s="49">
        <f>'2025年中心利润表 '!H164+'2025年江苏分部利润表'!H164+'2025年浙江分部利润表'!H164+'2025年上海分部利润表'!H164+'2025年赣皖区域利润表'!H164</f>
        <v>0</v>
      </c>
      <c r="I164" s="49">
        <f>'2025年中心利润表 '!I164+'2025年江苏分部利润表'!I164+'2025年浙江分部利润表'!I164+'2025年上海分部利润表'!I164+'2025年赣皖区域利润表'!I164</f>
        <v>0</v>
      </c>
      <c r="J164" s="49">
        <f>'2025年中心利润表 '!J164+'2025年江苏分部利润表'!J164+'2025年浙江分部利润表'!J164+'2025年上海分部利润表'!J164+'2025年赣皖区域利润表'!J164</f>
        <v>0</v>
      </c>
      <c r="K164" s="49">
        <f>'2025年中心利润表 '!K164+'2025年江苏分部利润表'!K164+'2025年浙江分部利润表'!K164+'2025年上海分部利润表'!K164+'2025年赣皖区域利润表'!K164</f>
        <v>0</v>
      </c>
      <c r="L164" s="49">
        <f>'2025年中心利润表 '!L164+'2025年江苏分部利润表'!L164+'2025年浙江分部利润表'!L164+'2025年上海分部利润表'!L164+'2025年赣皖区域利润表'!L164</f>
        <v>0</v>
      </c>
      <c r="M164" s="49">
        <f>'2025年中心利润表 '!M164+'2025年江苏分部利润表'!M164+'2025年浙江分部利润表'!M164+'2025年上海分部利润表'!M164+'2025年赣皖区域利润表'!M164</f>
        <v>0</v>
      </c>
      <c r="N164" s="49">
        <f>'2025年中心利润表 '!N164+'2025年江苏分部利润表'!N164+'2025年浙江分部利润表'!N164+'2025年上海分部利润表'!N164+'2025年赣皖区域利润表'!N164</f>
        <v>0</v>
      </c>
      <c r="O164" s="49">
        <f>'2025年中心利润表 '!O164+'2025年江苏分部利润表'!O164+'2025年浙江分部利润表'!O164+'2025年上海分部利润表'!O164+'2025年赣皖区域利润表'!O164</f>
        <v>0</v>
      </c>
      <c r="P164" s="49">
        <f>'2025年中心利润表 '!P164+'2025年江苏分部利润表'!P164+'2025年浙江分部利润表'!P164+'2025年上海分部利润表'!P164+'2025年赣皖区域利润表'!P164</f>
        <v>0</v>
      </c>
      <c r="Q164" s="49">
        <f>'2025年中心利润表 '!Q164+'2025年江苏分部利润表'!Q164+'2025年浙江分部利润表'!Q164+'2025年上海分部利润表'!Q164+'2025年赣皖区域利润表'!Q164</f>
        <v>0</v>
      </c>
      <c r="R164" s="49">
        <f>'2025年中心利润表 '!R164+'2025年江苏分部利润表'!R164+'2025年浙江分部利润表'!R164+'2025年上海分部利润表'!R164+'2025年赣皖区域利润表'!R164</f>
        <v>0</v>
      </c>
      <c r="S164" s="49">
        <f>'2025年中心利润表 '!S164+'2025年江苏分部利润表'!S164+'2025年浙江分部利润表'!S164+'2025年上海分部利润表'!S164+'2025年赣皖区域利润表'!S164</f>
        <v>0</v>
      </c>
      <c r="T164" s="49">
        <f>'2025年中心利润表 '!T164+'2025年江苏分部利润表'!T164+'2025年浙江分部利润表'!T164+'2025年上海分部利润表'!T164+'2025年赣皖区域利润表'!T164</f>
        <v>0</v>
      </c>
      <c r="U164" s="49">
        <f>'2025年中心利润表 '!U164+'2025年江苏分部利润表'!U164+'2025年浙江分部利润表'!U164+'2025年上海分部利润表'!U164+'2025年赣皖区域利润表'!U164</f>
        <v>0</v>
      </c>
      <c r="V164" s="49">
        <f>'2025年中心利润表 '!V164+'2025年江苏分部利润表'!V164+'2025年浙江分部利润表'!V164+'2025年上海分部利润表'!V164+'2025年赣皖区域利润表'!V164</f>
        <v>0</v>
      </c>
      <c r="W164" s="49">
        <f>'2025年中心利润表 '!W164+'2025年江苏分部利润表'!W164+'2025年浙江分部利润表'!W164+'2025年上海分部利润表'!W164+'2025年赣皖区域利润表'!W164</f>
        <v>0</v>
      </c>
      <c r="X164" s="49">
        <f>'2025年中心利润表 '!X164+'2025年江苏分部利润表'!X164+'2025年浙江分部利润表'!X164+'2025年上海分部利润表'!X164+'2025年赣皖区域利润表'!X164</f>
        <v>0</v>
      </c>
      <c r="Y164" s="49">
        <f>'2025年中心利润表 '!Y164+'2025年江苏分部利润表'!Y164+'2025年浙江分部利润表'!Y164+'2025年上海分部利润表'!Y164+'2025年赣皖区域利润表'!Y164</f>
        <v>0</v>
      </c>
      <c r="Z164" s="49">
        <f>'2025年中心利润表 '!Z164+'2025年江苏分部利润表'!Z164+'2025年浙江分部利润表'!Z164+'2025年上海分部利润表'!Z164+'2025年赣皖区域利润表'!Z164</f>
        <v>0</v>
      </c>
      <c r="AA164" s="51">
        <f t="shared" si="36"/>
        <v>0</v>
      </c>
      <c r="AB164" s="51">
        <f t="shared" si="32"/>
        <v>0</v>
      </c>
      <c r="AC164" s="94"/>
      <c r="AD164" s="31">
        <f t="shared" si="37"/>
        <v>0</v>
      </c>
      <c r="AE164" s="31">
        <f t="shared" si="38"/>
        <v>0</v>
      </c>
      <c r="AF164" s="17">
        <f t="shared" si="39"/>
        <v>0</v>
      </c>
      <c r="AG164" s="17">
        <f t="shared" si="40"/>
        <v>0</v>
      </c>
      <c r="AH164" s="17">
        <f>SUM('[1]2024年全面预算利润表 (销售1中心)2.8亿'!E169:H169)</f>
        <v>0</v>
      </c>
    </row>
    <row r="165" spans="1:34" s="19" customFormat="1" ht="18" hidden="1" customHeight="1" outlineLevel="1" x14ac:dyDescent="0.25">
      <c r="A165" s="48" t="s">
        <v>168</v>
      </c>
      <c r="B165" s="53"/>
      <c r="C165" s="49">
        <f>'2025年中心利润表 '!C165+'2025年江苏分部利润表'!C165+'2025年浙江分部利润表'!C165+'2025年上海分部利润表'!C165+'2025年赣皖区域利润表'!C165</f>
        <v>0</v>
      </c>
      <c r="D165" s="49">
        <f>'2025年中心利润表 '!D165+'2025年江苏分部利润表'!D165+'2025年浙江分部利润表'!D165+'2025年上海分部利润表'!D165+'2025年赣皖区域利润表'!D165</f>
        <v>0</v>
      </c>
      <c r="E165" s="49">
        <f>'2025年中心利润表 '!E165+'2025年江苏分部利润表'!E165+'2025年浙江分部利润表'!E165+'2025年上海分部利润表'!E165+'2025年赣皖区域利润表'!E165</f>
        <v>0</v>
      </c>
      <c r="F165" s="49">
        <f>'2025年中心利润表 '!F165+'2025年江苏分部利润表'!F165+'2025年浙江分部利润表'!F165+'2025年上海分部利润表'!F165+'2025年赣皖区域利润表'!F165</f>
        <v>0</v>
      </c>
      <c r="G165" s="49">
        <f>'2025年中心利润表 '!G165+'2025年江苏分部利润表'!G165+'2025年浙江分部利润表'!G165+'2025年上海分部利润表'!G165+'2025年赣皖区域利润表'!G165</f>
        <v>0</v>
      </c>
      <c r="H165" s="49">
        <f>'2025年中心利润表 '!H165+'2025年江苏分部利润表'!H165+'2025年浙江分部利润表'!H165+'2025年上海分部利润表'!H165+'2025年赣皖区域利润表'!H165</f>
        <v>0</v>
      </c>
      <c r="I165" s="49">
        <f>'2025年中心利润表 '!I165+'2025年江苏分部利润表'!I165+'2025年浙江分部利润表'!I165+'2025年上海分部利润表'!I165+'2025年赣皖区域利润表'!I165</f>
        <v>0</v>
      </c>
      <c r="J165" s="49">
        <f>'2025年中心利润表 '!J165+'2025年江苏分部利润表'!J165+'2025年浙江分部利润表'!J165+'2025年上海分部利润表'!J165+'2025年赣皖区域利润表'!J165</f>
        <v>0</v>
      </c>
      <c r="K165" s="49">
        <f>'2025年中心利润表 '!K165+'2025年江苏分部利润表'!K165+'2025年浙江分部利润表'!K165+'2025年上海分部利润表'!K165+'2025年赣皖区域利润表'!K165</f>
        <v>0</v>
      </c>
      <c r="L165" s="49">
        <f>'2025年中心利润表 '!L165+'2025年江苏分部利润表'!L165+'2025年浙江分部利润表'!L165+'2025年上海分部利润表'!L165+'2025年赣皖区域利润表'!L165</f>
        <v>0</v>
      </c>
      <c r="M165" s="49">
        <f>'2025年中心利润表 '!M165+'2025年江苏分部利润表'!M165+'2025年浙江分部利润表'!M165+'2025年上海分部利润表'!M165+'2025年赣皖区域利润表'!M165</f>
        <v>0</v>
      </c>
      <c r="N165" s="49">
        <f>'2025年中心利润表 '!N165+'2025年江苏分部利润表'!N165+'2025年浙江分部利润表'!N165+'2025年上海分部利润表'!N165+'2025年赣皖区域利润表'!N165</f>
        <v>0</v>
      </c>
      <c r="O165" s="49">
        <f>'2025年中心利润表 '!O165+'2025年江苏分部利润表'!O165+'2025年浙江分部利润表'!O165+'2025年上海分部利润表'!O165+'2025年赣皖区域利润表'!O165</f>
        <v>0</v>
      </c>
      <c r="P165" s="49">
        <f>'2025年中心利润表 '!P165+'2025年江苏分部利润表'!P165+'2025年浙江分部利润表'!P165+'2025年上海分部利润表'!P165+'2025年赣皖区域利润表'!P165</f>
        <v>0</v>
      </c>
      <c r="Q165" s="49">
        <f>'2025年中心利润表 '!Q165+'2025年江苏分部利润表'!Q165+'2025年浙江分部利润表'!Q165+'2025年上海分部利润表'!Q165+'2025年赣皖区域利润表'!Q165</f>
        <v>0</v>
      </c>
      <c r="R165" s="49">
        <f>'2025年中心利润表 '!R165+'2025年江苏分部利润表'!R165+'2025年浙江分部利润表'!R165+'2025年上海分部利润表'!R165+'2025年赣皖区域利润表'!R165</f>
        <v>0</v>
      </c>
      <c r="S165" s="49">
        <f>'2025年中心利润表 '!S165+'2025年江苏分部利润表'!S165+'2025年浙江分部利润表'!S165+'2025年上海分部利润表'!S165+'2025年赣皖区域利润表'!S165</f>
        <v>0</v>
      </c>
      <c r="T165" s="49">
        <f>'2025年中心利润表 '!T165+'2025年江苏分部利润表'!T165+'2025年浙江分部利润表'!T165+'2025年上海分部利润表'!T165+'2025年赣皖区域利润表'!T165</f>
        <v>0</v>
      </c>
      <c r="U165" s="49">
        <f>'2025年中心利润表 '!U165+'2025年江苏分部利润表'!U165+'2025年浙江分部利润表'!U165+'2025年上海分部利润表'!U165+'2025年赣皖区域利润表'!U165</f>
        <v>0</v>
      </c>
      <c r="V165" s="49">
        <f>'2025年中心利润表 '!V165+'2025年江苏分部利润表'!V165+'2025年浙江分部利润表'!V165+'2025年上海分部利润表'!V165+'2025年赣皖区域利润表'!V165</f>
        <v>0</v>
      </c>
      <c r="W165" s="49">
        <f>'2025年中心利润表 '!W165+'2025年江苏分部利润表'!W165+'2025年浙江分部利润表'!W165+'2025年上海分部利润表'!W165+'2025年赣皖区域利润表'!W165</f>
        <v>0</v>
      </c>
      <c r="X165" s="49">
        <f>'2025年中心利润表 '!X165+'2025年江苏分部利润表'!X165+'2025年浙江分部利润表'!X165+'2025年上海分部利润表'!X165+'2025年赣皖区域利润表'!X165</f>
        <v>0</v>
      </c>
      <c r="Y165" s="49">
        <f>'2025年中心利润表 '!Y165+'2025年江苏分部利润表'!Y165+'2025年浙江分部利润表'!Y165+'2025年上海分部利润表'!Y165+'2025年赣皖区域利润表'!Y165</f>
        <v>0</v>
      </c>
      <c r="Z165" s="49">
        <f>'2025年中心利润表 '!Z165+'2025年江苏分部利润表'!Z165+'2025年浙江分部利润表'!Z165+'2025年上海分部利润表'!Z165+'2025年赣皖区域利润表'!Z165</f>
        <v>0</v>
      </c>
      <c r="AA165" s="51">
        <f t="shared" si="36"/>
        <v>0</v>
      </c>
      <c r="AB165" s="51">
        <f t="shared" si="32"/>
        <v>0</v>
      </c>
      <c r="AC165" s="94"/>
      <c r="AD165" s="31">
        <f t="shared" si="37"/>
        <v>0</v>
      </c>
      <c r="AE165" s="31">
        <f t="shared" si="38"/>
        <v>0</v>
      </c>
      <c r="AF165" s="17">
        <f t="shared" si="39"/>
        <v>0</v>
      </c>
      <c r="AG165" s="17">
        <f t="shared" si="40"/>
        <v>0</v>
      </c>
      <c r="AH165" s="17">
        <f>SUM('[1]2024年全面预算利润表 (销售1中心)2.8亿'!E170:H170)</f>
        <v>0</v>
      </c>
    </row>
    <row r="166" spans="1:34" s="19" customFormat="1" ht="18" hidden="1" customHeight="1" outlineLevel="1" x14ac:dyDescent="0.25">
      <c r="A166" s="48" t="s">
        <v>169</v>
      </c>
      <c r="B166" s="53"/>
      <c r="C166" s="49">
        <f>'2025年中心利润表 '!C166+'2025年江苏分部利润表'!C166+'2025年浙江分部利润表'!C166+'2025年上海分部利润表'!C166+'2025年赣皖区域利润表'!C166</f>
        <v>0</v>
      </c>
      <c r="D166" s="49">
        <f>'2025年中心利润表 '!D166+'2025年江苏分部利润表'!D166+'2025年浙江分部利润表'!D166+'2025年上海分部利润表'!D166+'2025年赣皖区域利润表'!D166</f>
        <v>0</v>
      </c>
      <c r="E166" s="49">
        <f>'2025年中心利润表 '!E166+'2025年江苏分部利润表'!E166+'2025年浙江分部利润表'!E166+'2025年上海分部利润表'!E166+'2025年赣皖区域利润表'!E166</f>
        <v>0</v>
      </c>
      <c r="F166" s="49">
        <f>'2025年中心利润表 '!F166+'2025年江苏分部利润表'!F166+'2025年浙江分部利润表'!F166+'2025年上海分部利润表'!F166+'2025年赣皖区域利润表'!F166</f>
        <v>0</v>
      </c>
      <c r="G166" s="49">
        <f>'2025年中心利润表 '!G166+'2025年江苏分部利润表'!G166+'2025年浙江分部利润表'!G166+'2025年上海分部利润表'!G166+'2025年赣皖区域利润表'!G166</f>
        <v>0</v>
      </c>
      <c r="H166" s="49">
        <f>'2025年中心利润表 '!H166+'2025年江苏分部利润表'!H166+'2025年浙江分部利润表'!H166+'2025年上海分部利润表'!H166+'2025年赣皖区域利润表'!H166</f>
        <v>0</v>
      </c>
      <c r="I166" s="49">
        <f>'2025年中心利润表 '!I166+'2025年江苏分部利润表'!I166+'2025年浙江分部利润表'!I166+'2025年上海分部利润表'!I166+'2025年赣皖区域利润表'!I166</f>
        <v>0</v>
      </c>
      <c r="J166" s="49">
        <f>'2025年中心利润表 '!J166+'2025年江苏分部利润表'!J166+'2025年浙江分部利润表'!J166+'2025年上海分部利润表'!J166+'2025年赣皖区域利润表'!J166</f>
        <v>0</v>
      </c>
      <c r="K166" s="49">
        <f>'2025年中心利润表 '!K166+'2025年江苏分部利润表'!K166+'2025年浙江分部利润表'!K166+'2025年上海分部利润表'!K166+'2025年赣皖区域利润表'!K166</f>
        <v>0</v>
      </c>
      <c r="L166" s="49">
        <f>'2025年中心利润表 '!L166+'2025年江苏分部利润表'!L166+'2025年浙江分部利润表'!L166+'2025年上海分部利润表'!L166+'2025年赣皖区域利润表'!L166</f>
        <v>0</v>
      </c>
      <c r="M166" s="49">
        <f>'2025年中心利润表 '!M166+'2025年江苏分部利润表'!M166+'2025年浙江分部利润表'!M166+'2025年上海分部利润表'!M166+'2025年赣皖区域利润表'!M166</f>
        <v>0</v>
      </c>
      <c r="N166" s="49">
        <f>'2025年中心利润表 '!N166+'2025年江苏分部利润表'!N166+'2025年浙江分部利润表'!N166+'2025年上海分部利润表'!N166+'2025年赣皖区域利润表'!N166</f>
        <v>0</v>
      </c>
      <c r="O166" s="49">
        <f>'2025年中心利润表 '!O166+'2025年江苏分部利润表'!O166+'2025年浙江分部利润表'!O166+'2025年上海分部利润表'!O166+'2025年赣皖区域利润表'!O166</f>
        <v>0</v>
      </c>
      <c r="P166" s="49">
        <f>'2025年中心利润表 '!P166+'2025年江苏分部利润表'!P166+'2025年浙江分部利润表'!P166+'2025年上海分部利润表'!P166+'2025年赣皖区域利润表'!P166</f>
        <v>0</v>
      </c>
      <c r="Q166" s="49">
        <f>'2025年中心利润表 '!Q166+'2025年江苏分部利润表'!Q166+'2025年浙江分部利润表'!Q166+'2025年上海分部利润表'!Q166+'2025年赣皖区域利润表'!Q166</f>
        <v>0</v>
      </c>
      <c r="R166" s="49">
        <f>'2025年中心利润表 '!R166+'2025年江苏分部利润表'!R166+'2025年浙江分部利润表'!R166+'2025年上海分部利润表'!R166+'2025年赣皖区域利润表'!R166</f>
        <v>0</v>
      </c>
      <c r="S166" s="49">
        <f>'2025年中心利润表 '!S166+'2025年江苏分部利润表'!S166+'2025年浙江分部利润表'!S166+'2025年上海分部利润表'!S166+'2025年赣皖区域利润表'!S166</f>
        <v>0</v>
      </c>
      <c r="T166" s="49">
        <f>'2025年中心利润表 '!T166+'2025年江苏分部利润表'!T166+'2025年浙江分部利润表'!T166+'2025年上海分部利润表'!T166+'2025年赣皖区域利润表'!T166</f>
        <v>0</v>
      </c>
      <c r="U166" s="49">
        <f>'2025年中心利润表 '!U166+'2025年江苏分部利润表'!U166+'2025年浙江分部利润表'!U166+'2025年上海分部利润表'!U166+'2025年赣皖区域利润表'!U166</f>
        <v>0</v>
      </c>
      <c r="V166" s="49">
        <f>'2025年中心利润表 '!V166+'2025年江苏分部利润表'!V166+'2025年浙江分部利润表'!V166+'2025年上海分部利润表'!V166+'2025年赣皖区域利润表'!V166</f>
        <v>0</v>
      </c>
      <c r="W166" s="49">
        <f>'2025年中心利润表 '!W166+'2025年江苏分部利润表'!W166+'2025年浙江分部利润表'!W166+'2025年上海分部利润表'!W166+'2025年赣皖区域利润表'!W166</f>
        <v>0</v>
      </c>
      <c r="X166" s="49">
        <f>'2025年中心利润表 '!X166+'2025年江苏分部利润表'!X166+'2025年浙江分部利润表'!X166+'2025年上海分部利润表'!X166+'2025年赣皖区域利润表'!X166</f>
        <v>0</v>
      </c>
      <c r="Y166" s="49">
        <f>'2025年中心利润表 '!Y166+'2025年江苏分部利润表'!Y166+'2025年浙江分部利润表'!Y166+'2025年上海分部利润表'!Y166+'2025年赣皖区域利润表'!Y166</f>
        <v>0</v>
      </c>
      <c r="Z166" s="49">
        <f>'2025年中心利润表 '!Z166+'2025年江苏分部利润表'!Z166+'2025年浙江分部利润表'!Z166+'2025年上海分部利润表'!Z166+'2025年赣皖区域利润表'!Z166</f>
        <v>0</v>
      </c>
      <c r="AA166" s="51">
        <f t="shared" si="36"/>
        <v>0</v>
      </c>
      <c r="AB166" s="51">
        <f t="shared" si="32"/>
        <v>0</v>
      </c>
      <c r="AC166" s="94"/>
      <c r="AD166" s="31">
        <f t="shared" si="37"/>
        <v>0</v>
      </c>
      <c r="AE166" s="31">
        <f t="shared" si="38"/>
        <v>0</v>
      </c>
      <c r="AF166" s="17">
        <f t="shared" si="39"/>
        <v>0</v>
      </c>
      <c r="AG166" s="17">
        <f t="shared" si="40"/>
        <v>0</v>
      </c>
      <c r="AH166" s="17">
        <f>SUM('[1]2024年全面预算利润表 (销售1中心)2.8亿'!E171:H171)</f>
        <v>0</v>
      </c>
    </row>
    <row r="167" spans="1:34" s="19" customFormat="1" ht="18" hidden="1" customHeight="1" outlineLevel="1" x14ac:dyDescent="0.25">
      <c r="A167" s="48" t="s">
        <v>170</v>
      </c>
      <c r="B167" s="53"/>
      <c r="C167" s="49">
        <f>'2025年中心利润表 '!C167+'2025年江苏分部利润表'!C167+'2025年浙江分部利润表'!C167+'2025年上海分部利润表'!C167+'2025年赣皖区域利润表'!C167</f>
        <v>0</v>
      </c>
      <c r="D167" s="49">
        <f>'2025年中心利润表 '!D167+'2025年江苏分部利润表'!D167+'2025年浙江分部利润表'!D167+'2025年上海分部利润表'!D167+'2025年赣皖区域利润表'!D167</f>
        <v>0</v>
      </c>
      <c r="E167" s="49">
        <f>'2025年中心利润表 '!E167+'2025年江苏分部利润表'!E167+'2025年浙江分部利润表'!E167+'2025年上海分部利润表'!E167+'2025年赣皖区域利润表'!E167</f>
        <v>0</v>
      </c>
      <c r="F167" s="49">
        <f>'2025年中心利润表 '!F167+'2025年江苏分部利润表'!F167+'2025年浙江分部利润表'!F167+'2025年上海分部利润表'!F167+'2025年赣皖区域利润表'!F167</f>
        <v>0</v>
      </c>
      <c r="G167" s="49">
        <f>'2025年中心利润表 '!G167+'2025年江苏分部利润表'!G167+'2025年浙江分部利润表'!G167+'2025年上海分部利润表'!G167+'2025年赣皖区域利润表'!G167</f>
        <v>0</v>
      </c>
      <c r="H167" s="49">
        <f>'2025年中心利润表 '!H167+'2025年江苏分部利润表'!H167+'2025年浙江分部利润表'!H167+'2025年上海分部利润表'!H167+'2025年赣皖区域利润表'!H167</f>
        <v>0</v>
      </c>
      <c r="I167" s="49">
        <f>'2025年中心利润表 '!I167+'2025年江苏分部利润表'!I167+'2025年浙江分部利润表'!I167+'2025年上海分部利润表'!I167+'2025年赣皖区域利润表'!I167</f>
        <v>0</v>
      </c>
      <c r="J167" s="49">
        <f>'2025年中心利润表 '!J167+'2025年江苏分部利润表'!J167+'2025年浙江分部利润表'!J167+'2025年上海分部利润表'!J167+'2025年赣皖区域利润表'!J167</f>
        <v>0</v>
      </c>
      <c r="K167" s="49">
        <f>'2025年中心利润表 '!K167+'2025年江苏分部利润表'!K167+'2025年浙江分部利润表'!K167+'2025年上海分部利润表'!K167+'2025年赣皖区域利润表'!K167</f>
        <v>0</v>
      </c>
      <c r="L167" s="49">
        <f>'2025年中心利润表 '!L167+'2025年江苏分部利润表'!L167+'2025年浙江分部利润表'!L167+'2025年上海分部利润表'!L167+'2025年赣皖区域利润表'!L167</f>
        <v>0</v>
      </c>
      <c r="M167" s="49">
        <f>'2025年中心利润表 '!M167+'2025年江苏分部利润表'!M167+'2025年浙江分部利润表'!M167+'2025年上海分部利润表'!M167+'2025年赣皖区域利润表'!M167</f>
        <v>0</v>
      </c>
      <c r="N167" s="49">
        <f>'2025年中心利润表 '!N167+'2025年江苏分部利润表'!N167+'2025年浙江分部利润表'!N167+'2025年上海分部利润表'!N167+'2025年赣皖区域利润表'!N167</f>
        <v>0</v>
      </c>
      <c r="O167" s="49">
        <f>'2025年中心利润表 '!O167+'2025年江苏分部利润表'!O167+'2025年浙江分部利润表'!O167+'2025年上海分部利润表'!O167+'2025年赣皖区域利润表'!O167</f>
        <v>0</v>
      </c>
      <c r="P167" s="49">
        <f>'2025年中心利润表 '!P167+'2025年江苏分部利润表'!P167+'2025年浙江分部利润表'!P167+'2025年上海分部利润表'!P167+'2025年赣皖区域利润表'!P167</f>
        <v>0</v>
      </c>
      <c r="Q167" s="49">
        <f>'2025年中心利润表 '!Q167+'2025年江苏分部利润表'!Q167+'2025年浙江分部利润表'!Q167+'2025年上海分部利润表'!Q167+'2025年赣皖区域利润表'!Q167</f>
        <v>0</v>
      </c>
      <c r="R167" s="49">
        <f>'2025年中心利润表 '!R167+'2025年江苏分部利润表'!R167+'2025年浙江分部利润表'!R167+'2025年上海分部利润表'!R167+'2025年赣皖区域利润表'!R167</f>
        <v>0</v>
      </c>
      <c r="S167" s="49">
        <f>'2025年中心利润表 '!S167+'2025年江苏分部利润表'!S167+'2025年浙江分部利润表'!S167+'2025年上海分部利润表'!S167+'2025年赣皖区域利润表'!S167</f>
        <v>0</v>
      </c>
      <c r="T167" s="49">
        <f>'2025年中心利润表 '!T167+'2025年江苏分部利润表'!T167+'2025年浙江分部利润表'!T167+'2025年上海分部利润表'!T167+'2025年赣皖区域利润表'!T167</f>
        <v>0</v>
      </c>
      <c r="U167" s="49">
        <f>'2025年中心利润表 '!U167+'2025年江苏分部利润表'!U167+'2025年浙江分部利润表'!U167+'2025年上海分部利润表'!U167+'2025年赣皖区域利润表'!U167</f>
        <v>0</v>
      </c>
      <c r="V167" s="49">
        <f>'2025年中心利润表 '!V167+'2025年江苏分部利润表'!V167+'2025年浙江分部利润表'!V167+'2025年上海分部利润表'!V167+'2025年赣皖区域利润表'!V167</f>
        <v>0</v>
      </c>
      <c r="W167" s="49">
        <f>'2025年中心利润表 '!W167+'2025年江苏分部利润表'!W167+'2025年浙江分部利润表'!W167+'2025年上海分部利润表'!W167+'2025年赣皖区域利润表'!W167</f>
        <v>0</v>
      </c>
      <c r="X167" s="49">
        <f>'2025年中心利润表 '!X167+'2025年江苏分部利润表'!X167+'2025年浙江分部利润表'!X167+'2025年上海分部利润表'!X167+'2025年赣皖区域利润表'!X167</f>
        <v>0</v>
      </c>
      <c r="Y167" s="49">
        <f>'2025年中心利润表 '!Y167+'2025年江苏分部利润表'!Y167+'2025年浙江分部利润表'!Y167+'2025年上海分部利润表'!Y167+'2025年赣皖区域利润表'!Y167</f>
        <v>0</v>
      </c>
      <c r="Z167" s="49">
        <f>'2025年中心利润表 '!Z167+'2025年江苏分部利润表'!Z167+'2025年浙江分部利润表'!Z167+'2025年上海分部利润表'!Z167+'2025年赣皖区域利润表'!Z167</f>
        <v>0</v>
      </c>
      <c r="AA167" s="51">
        <f t="shared" si="36"/>
        <v>0</v>
      </c>
      <c r="AB167" s="51">
        <f t="shared" ref="AB167:AB175" si="41">D167+F167+H167+J167+L167+N167+P167+R167+T167+V167+X167+Z167</f>
        <v>0</v>
      </c>
      <c r="AC167" s="94"/>
      <c r="AD167" s="31">
        <f t="shared" si="37"/>
        <v>0</v>
      </c>
      <c r="AE167" s="31">
        <f t="shared" si="38"/>
        <v>0</v>
      </c>
      <c r="AF167" s="17">
        <f t="shared" si="39"/>
        <v>0</v>
      </c>
      <c r="AG167" s="17">
        <f t="shared" si="40"/>
        <v>0</v>
      </c>
      <c r="AH167" s="17">
        <f>SUM('[1]2024年全面预算利润表 (销售1中心)2.8亿'!E172:H172)</f>
        <v>0</v>
      </c>
    </row>
    <row r="168" spans="1:34" s="19" customFormat="1" ht="18" hidden="1" customHeight="1" outlineLevel="1" x14ac:dyDescent="0.25">
      <c r="A168" s="48" t="s">
        <v>171</v>
      </c>
      <c r="B168" s="53"/>
      <c r="C168" s="49">
        <f>'2025年中心利润表 '!C168+'2025年江苏分部利润表'!C168+'2025年浙江分部利润表'!C168+'2025年上海分部利润表'!C168+'2025年赣皖区域利润表'!C168</f>
        <v>0</v>
      </c>
      <c r="D168" s="49">
        <f>'2025年中心利润表 '!D168+'2025年江苏分部利润表'!D168+'2025年浙江分部利润表'!D168+'2025年上海分部利润表'!D168+'2025年赣皖区域利润表'!D168</f>
        <v>0</v>
      </c>
      <c r="E168" s="49">
        <f>'2025年中心利润表 '!E168+'2025年江苏分部利润表'!E168+'2025年浙江分部利润表'!E168+'2025年上海分部利润表'!E168+'2025年赣皖区域利润表'!E168</f>
        <v>0</v>
      </c>
      <c r="F168" s="49">
        <f>'2025年中心利润表 '!F168+'2025年江苏分部利润表'!F168+'2025年浙江分部利润表'!F168+'2025年上海分部利润表'!F168+'2025年赣皖区域利润表'!F168</f>
        <v>0</v>
      </c>
      <c r="G168" s="49">
        <f>'2025年中心利润表 '!G168+'2025年江苏分部利润表'!G168+'2025年浙江分部利润表'!G168+'2025年上海分部利润表'!G168+'2025年赣皖区域利润表'!G168</f>
        <v>0</v>
      </c>
      <c r="H168" s="49">
        <f>'2025年中心利润表 '!H168+'2025年江苏分部利润表'!H168+'2025年浙江分部利润表'!H168+'2025年上海分部利润表'!H168+'2025年赣皖区域利润表'!H168</f>
        <v>0</v>
      </c>
      <c r="I168" s="49">
        <f>'2025年中心利润表 '!I168+'2025年江苏分部利润表'!I168+'2025年浙江分部利润表'!I168+'2025年上海分部利润表'!I168+'2025年赣皖区域利润表'!I168</f>
        <v>0</v>
      </c>
      <c r="J168" s="49">
        <f>'2025年中心利润表 '!J168+'2025年江苏分部利润表'!J168+'2025年浙江分部利润表'!J168+'2025年上海分部利润表'!J168+'2025年赣皖区域利润表'!J168</f>
        <v>0</v>
      </c>
      <c r="K168" s="49">
        <f>'2025年中心利润表 '!K168+'2025年江苏分部利润表'!K168+'2025年浙江分部利润表'!K168+'2025年上海分部利润表'!K168+'2025年赣皖区域利润表'!K168</f>
        <v>0</v>
      </c>
      <c r="L168" s="49">
        <f>'2025年中心利润表 '!L168+'2025年江苏分部利润表'!L168+'2025年浙江分部利润表'!L168+'2025年上海分部利润表'!L168+'2025年赣皖区域利润表'!L168</f>
        <v>0</v>
      </c>
      <c r="M168" s="49">
        <f>'2025年中心利润表 '!M168+'2025年江苏分部利润表'!M168+'2025年浙江分部利润表'!M168+'2025年上海分部利润表'!M168+'2025年赣皖区域利润表'!M168</f>
        <v>0</v>
      </c>
      <c r="N168" s="49">
        <f>'2025年中心利润表 '!N168+'2025年江苏分部利润表'!N168+'2025年浙江分部利润表'!N168+'2025年上海分部利润表'!N168+'2025年赣皖区域利润表'!N168</f>
        <v>0</v>
      </c>
      <c r="O168" s="49">
        <f>'2025年中心利润表 '!O168+'2025年江苏分部利润表'!O168+'2025年浙江分部利润表'!O168+'2025年上海分部利润表'!O168+'2025年赣皖区域利润表'!O168</f>
        <v>0</v>
      </c>
      <c r="P168" s="49">
        <f>'2025年中心利润表 '!P168+'2025年江苏分部利润表'!P168+'2025年浙江分部利润表'!P168+'2025年上海分部利润表'!P168+'2025年赣皖区域利润表'!P168</f>
        <v>0</v>
      </c>
      <c r="Q168" s="49">
        <f>'2025年中心利润表 '!Q168+'2025年江苏分部利润表'!Q168+'2025年浙江分部利润表'!Q168+'2025年上海分部利润表'!Q168+'2025年赣皖区域利润表'!Q168</f>
        <v>0</v>
      </c>
      <c r="R168" s="49">
        <f>'2025年中心利润表 '!R168+'2025年江苏分部利润表'!R168+'2025年浙江分部利润表'!R168+'2025年上海分部利润表'!R168+'2025年赣皖区域利润表'!R168</f>
        <v>0</v>
      </c>
      <c r="S168" s="49">
        <f>'2025年中心利润表 '!S168+'2025年江苏分部利润表'!S168+'2025年浙江分部利润表'!S168+'2025年上海分部利润表'!S168+'2025年赣皖区域利润表'!S168</f>
        <v>0</v>
      </c>
      <c r="T168" s="49">
        <f>'2025年中心利润表 '!T168+'2025年江苏分部利润表'!T168+'2025年浙江分部利润表'!T168+'2025年上海分部利润表'!T168+'2025年赣皖区域利润表'!T168</f>
        <v>0</v>
      </c>
      <c r="U168" s="49">
        <f>'2025年中心利润表 '!U168+'2025年江苏分部利润表'!U168+'2025年浙江分部利润表'!U168+'2025年上海分部利润表'!U168+'2025年赣皖区域利润表'!U168</f>
        <v>0</v>
      </c>
      <c r="V168" s="49">
        <f>'2025年中心利润表 '!V168+'2025年江苏分部利润表'!V168+'2025年浙江分部利润表'!V168+'2025年上海分部利润表'!V168+'2025年赣皖区域利润表'!V168</f>
        <v>0</v>
      </c>
      <c r="W168" s="49">
        <f>'2025年中心利润表 '!W168+'2025年江苏分部利润表'!W168+'2025年浙江分部利润表'!W168+'2025年上海分部利润表'!W168+'2025年赣皖区域利润表'!W168</f>
        <v>0</v>
      </c>
      <c r="X168" s="49">
        <f>'2025年中心利润表 '!X168+'2025年江苏分部利润表'!X168+'2025年浙江分部利润表'!X168+'2025年上海分部利润表'!X168+'2025年赣皖区域利润表'!X168</f>
        <v>0</v>
      </c>
      <c r="Y168" s="49">
        <f>'2025年中心利润表 '!Y168+'2025年江苏分部利润表'!Y168+'2025年浙江分部利润表'!Y168+'2025年上海分部利润表'!Y168+'2025年赣皖区域利润表'!Y168</f>
        <v>0</v>
      </c>
      <c r="Z168" s="49">
        <f>'2025年中心利润表 '!Z168+'2025年江苏分部利润表'!Z168+'2025年浙江分部利润表'!Z168+'2025年上海分部利润表'!Z168+'2025年赣皖区域利润表'!Z168</f>
        <v>0</v>
      </c>
      <c r="AA168" s="51">
        <f t="shared" si="36"/>
        <v>0</v>
      </c>
      <c r="AB168" s="51">
        <f t="shared" si="41"/>
        <v>0</v>
      </c>
      <c r="AC168" s="94"/>
      <c r="AD168" s="31">
        <f t="shared" si="37"/>
        <v>0</v>
      </c>
      <c r="AE168" s="31">
        <f t="shared" si="38"/>
        <v>0</v>
      </c>
      <c r="AF168" s="17">
        <f t="shared" si="39"/>
        <v>0</v>
      </c>
      <c r="AG168" s="17">
        <f t="shared" si="40"/>
        <v>0</v>
      </c>
      <c r="AH168" s="17">
        <f>SUM('[1]2024年全面预算利润表 (销售1中心)2.8亿'!E173:H173)</f>
        <v>0</v>
      </c>
    </row>
    <row r="169" spans="1:34" s="19" customFormat="1" ht="18" hidden="1" customHeight="1" outlineLevel="1" x14ac:dyDescent="0.25">
      <c r="A169" s="48" t="s">
        <v>172</v>
      </c>
      <c r="B169" s="53"/>
      <c r="C169" s="49">
        <f>'2025年中心利润表 '!C169+'2025年江苏分部利润表'!C169+'2025年浙江分部利润表'!C169+'2025年上海分部利润表'!C169+'2025年赣皖区域利润表'!C169</f>
        <v>0</v>
      </c>
      <c r="D169" s="49">
        <f>'2025年中心利润表 '!D169+'2025年江苏分部利润表'!D169+'2025年浙江分部利润表'!D169+'2025年上海分部利润表'!D169+'2025年赣皖区域利润表'!D169</f>
        <v>0</v>
      </c>
      <c r="E169" s="49">
        <f>'2025年中心利润表 '!E169+'2025年江苏分部利润表'!E169+'2025年浙江分部利润表'!E169+'2025年上海分部利润表'!E169+'2025年赣皖区域利润表'!E169</f>
        <v>0</v>
      </c>
      <c r="F169" s="49">
        <f>'2025年中心利润表 '!F169+'2025年江苏分部利润表'!F169+'2025年浙江分部利润表'!F169+'2025年上海分部利润表'!F169+'2025年赣皖区域利润表'!F169</f>
        <v>0</v>
      </c>
      <c r="G169" s="49">
        <f>'2025年中心利润表 '!G169+'2025年江苏分部利润表'!G169+'2025年浙江分部利润表'!G169+'2025年上海分部利润表'!G169+'2025年赣皖区域利润表'!G169</f>
        <v>0</v>
      </c>
      <c r="H169" s="49">
        <f>'2025年中心利润表 '!H169+'2025年江苏分部利润表'!H169+'2025年浙江分部利润表'!H169+'2025年上海分部利润表'!H169+'2025年赣皖区域利润表'!H169</f>
        <v>0</v>
      </c>
      <c r="I169" s="49">
        <f>'2025年中心利润表 '!I169+'2025年江苏分部利润表'!I169+'2025年浙江分部利润表'!I169+'2025年上海分部利润表'!I169+'2025年赣皖区域利润表'!I169</f>
        <v>0</v>
      </c>
      <c r="J169" s="49">
        <f>'2025年中心利润表 '!J169+'2025年江苏分部利润表'!J169+'2025年浙江分部利润表'!J169+'2025年上海分部利润表'!J169+'2025年赣皖区域利润表'!J169</f>
        <v>0</v>
      </c>
      <c r="K169" s="49">
        <f>'2025年中心利润表 '!K169+'2025年江苏分部利润表'!K169+'2025年浙江分部利润表'!K169+'2025年上海分部利润表'!K169+'2025年赣皖区域利润表'!K169</f>
        <v>0</v>
      </c>
      <c r="L169" s="49">
        <f>'2025年中心利润表 '!L169+'2025年江苏分部利润表'!L169+'2025年浙江分部利润表'!L169+'2025年上海分部利润表'!L169+'2025年赣皖区域利润表'!L169</f>
        <v>0</v>
      </c>
      <c r="M169" s="49">
        <f>'2025年中心利润表 '!M169+'2025年江苏分部利润表'!M169+'2025年浙江分部利润表'!M169+'2025年上海分部利润表'!M169+'2025年赣皖区域利润表'!M169</f>
        <v>0</v>
      </c>
      <c r="N169" s="49">
        <f>'2025年中心利润表 '!N169+'2025年江苏分部利润表'!N169+'2025年浙江分部利润表'!N169+'2025年上海分部利润表'!N169+'2025年赣皖区域利润表'!N169</f>
        <v>0</v>
      </c>
      <c r="O169" s="49">
        <f>'2025年中心利润表 '!O169+'2025年江苏分部利润表'!O169+'2025年浙江分部利润表'!O169+'2025年上海分部利润表'!O169+'2025年赣皖区域利润表'!O169</f>
        <v>0</v>
      </c>
      <c r="P169" s="49">
        <f>'2025年中心利润表 '!P169+'2025年江苏分部利润表'!P169+'2025年浙江分部利润表'!P169+'2025年上海分部利润表'!P169+'2025年赣皖区域利润表'!P169</f>
        <v>0</v>
      </c>
      <c r="Q169" s="49">
        <f>'2025年中心利润表 '!Q169+'2025年江苏分部利润表'!Q169+'2025年浙江分部利润表'!Q169+'2025年上海分部利润表'!Q169+'2025年赣皖区域利润表'!Q169</f>
        <v>0</v>
      </c>
      <c r="R169" s="49">
        <f>'2025年中心利润表 '!R169+'2025年江苏分部利润表'!R169+'2025年浙江分部利润表'!R169+'2025年上海分部利润表'!R169+'2025年赣皖区域利润表'!R169</f>
        <v>0</v>
      </c>
      <c r="S169" s="49">
        <f>'2025年中心利润表 '!S169+'2025年江苏分部利润表'!S169+'2025年浙江分部利润表'!S169+'2025年上海分部利润表'!S169+'2025年赣皖区域利润表'!S169</f>
        <v>0</v>
      </c>
      <c r="T169" s="49">
        <f>'2025年中心利润表 '!T169+'2025年江苏分部利润表'!T169+'2025年浙江分部利润表'!T169+'2025年上海分部利润表'!T169+'2025年赣皖区域利润表'!T169</f>
        <v>0</v>
      </c>
      <c r="U169" s="49">
        <f>'2025年中心利润表 '!U169+'2025年江苏分部利润表'!U169+'2025年浙江分部利润表'!U169+'2025年上海分部利润表'!U169+'2025年赣皖区域利润表'!U169</f>
        <v>0</v>
      </c>
      <c r="V169" s="49">
        <f>'2025年中心利润表 '!V169+'2025年江苏分部利润表'!V169+'2025年浙江分部利润表'!V169+'2025年上海分部利润表'!V169+'2025年赣皖区域利润表'!V169</f>
        <v>0</v>
      </c>
      <c r="W169" s="49">
        <f>'2025年中心利润表 '!W169+'2025年江苏分部利润表'!W169+'2025年浙江分部利润表'!W169+'2025年上海分部利润表'!W169+'2025年赣皖区域利润表'!W169</f>
        <v>0</v>
      </c>
      <c r="X169" s="49">
        <f>'2025年中心利润表 '!X169+'2025年江苏分部利润表'!X169+'2025年浙江分部利润表'!X169+'2025年上海分部利润表'!X169+'2025年赣皖区域利润表'!X169</f>
        <v>0</v>
      </c>
      <c r="Y169" s="49">
        <f>'2025年中心利润表 '!Y169+'2025年江苏分部利润表'!Y169+'2025年浙江分部利润表'!Y169+'2025年上海分部利润表'!Y169+'2025年赣皖区域利润表'!Y169</f>
        <v>0</v>
      </c>
      <c r="Z169" s="49">
        <f>'2025年中心利润表 '!Z169+'2025年江苏分部利润表'!Z169+'2025年浙江分部利润表'!Z169+'2025年上海分部利润表'!Z169+'2025年赣皖区域利润表'!Z169</f>
        <v>0</v>
      </c>
      <c r="AA169" s="51">
        <f t="shared" si="36"/>
        <v>0</v>
      </c>
      <c r="AB169" s="51">
        <f t="shared" si="41"/>
        <v>0</v>
      </c>
      <c r="AC169" s="94"/>
      <c r="AD169" s="31">
        <f t="shared" si="37"/>
        <v>0</v>
      </c>
      <c r="AE169" s="31">
        <f t="shared" si="38"/>
        <v>0</v>
      </c>
      <c r="AF169" s="17">
        <f t="shared" si="39"/>
        <v>0</v>
      </c>
      <c r="AG169" s="17">
        <f t="shared" si="40"/>
        <v>0</v>
      </c>
      <c r="AH169" s="17">
        <f>SUM('[1]2024年全面预算利润表 (销售1中心)2.8亿'!E174:H174)</f>
        <v>0</v>
      </c>
    </row>
    <row r="170" spans="1:34" s="19" customFormat="1" ht="18" hidden="1" customHeight="1" outlineLevel="1" x14ac:dyDescent="0.25">
      <c r="A170" s="48" t="s">
        <v>173</v>
      </c>
      <c r="B170" s="53"/>
      <c r="C170" s="49">
        <f>'2025年中心利润表 '!C170+'2025年江苏分部利润表'!C170+'2025年浙江分部利润表'!C170+'2025年上海分部利润表'!C170+'2025年赣皖区域利润表'!C170</f>
        <v>0</v>
      </c>
      <c r="D170" s="49">
        <f>'2025年中心利润表 '!D170+'2025年江苏分部利润表'!D170+'2025年浙江分部利润表'!D170+'2025年上海分部利润表'!D170+'2025年赣皖区域利润表'!D170</f>
        <v>0</v>
      </c>
      <c r="E170" s="49">
        <f>'2025年中心利润表 '!E170+'2025年江苏分部利润表'!E170+'2025年浙江分部利润表'!E170+'2025年上海分部利润表'!E170+'2025年赣皖区域利润表'!E170</f>
        <v>0</v>
      </c>
      <c r="F170" s="49">
        <f>'2025年中心利润表 '!F170+'2025年江苏分部利润表'!F170+'2025年浙江分部利润表'!F170+'2025年上海分部利润表'!F170+'2025年赣皖区域利润表'!F170</f>
        <v>0</v>
      </c>
      <c r="G170" s="49">
        <f>'2025年中心利润表 '!G170+'2025年江苏分部利润表'!G170+'2025年浙江分部利润表'!G170+'2025年上海分部利润表'!G170+'2025年赣皖区域利润表'!G170</f>
        <v>0</v>
      </c>
      <c r="H170" s="49">
        <f>'2025年中心利润表 '!H170+'2025年江苏分部利润表'!H170+'2025年浙江分部利润表'!H170+'2025年上海分部利润表'!H170+'2025年赣皖区域利润表'!H170</f>
        <v>0</v>
      </c>
      <c r="I170" s="49">
        <f>'2025年中心利润表 '!I170+'2025年江苏分部利润表'!I170+'2025年浙江分部利润表'!I170+'2025年上海分部利润表'!I170+'2025年赣皖区域利润表'!I170</f>
        <v>0</v>
      </c>
      <c r="J170" s="49">
        <f>'2025年中心利润表 '!J170+'2025年江苏分部利润表'!J170+'2025年浙江分部利润表'!J170+'2025年上海分部利润表'!J170+'2025年赣皖区域利润表'!J170</f>
        <v>0</v>
      </c>
      <c r="K170" s="49">
        <f>'2025年中心利润表 '!K170+'2025年江苏分部利润表'!K170+'2025年浙江分部利润表'!K170+'2025年上海分部利润表'!K170+'2025年赣皖区域利润表'!K170</f>
        <v>0</v>
      </c>
      <c r="L170" s="49">
        <f>'2025年中心利润表 '!L170+'2025年江苏分部利润表'!L170+'2025年浙江分部利润表'!L170+'2025年上海分部利润表'!L170+'2025年赣皖区域利润表'!L170</f>
        <v>0</v>
      </c>
      <c r="M170" s="49">
        <f>'2025年中心利润表 '!M170+'2025年江苏分部利润表'!M170+'2025年浙江分部利润表'!M170+'2025年上海分部利润表'!M170+'2025年赣皖区域利润表'!M170</f>
        <v>0</v>
      </c>
      <c r="N170" s="49">
        <f>'2025年中心利润表 '!N170+'2025年江苏分部利润表'!N170+'2025年浙江分部利润表'!N170+'2025年上海分部利润表'!N170+'2025年赣皖区域利润表'!N170</f>
        <v>0</v>
      </c>
      <c r="O170" s="49">
        <f>'2025年中心利润表 '!O170+'2025年江苏分部利润表'!O170+'2025年浙江分部利润表'!O170+'2025年上海分部利润表'!O170+'2025年赣皖区域利润表'!O170</f>
        <v>0</v>
      </c>
      <c r="P170" s="49">
        <f>'2025年中心利润表 '!P170+'2025年江苏分部利润表'!P170+'2025年浙江分部利润表'!P170+'2025年上海分部利润表'!P170+'2025年赣皖区域利润表'!P170</f>
        <v>0</v>
      </c>
      <c r="Q170" s="49">
        <f>'2025年中心利润表 '!Q170+'2025年江苏分部利润表'!Q170+'2025年浙江分部利润表'!Q170+'2025年上海分部利润表'!Q170+'2025年赣皖区域利润表'!Q170</f>
        <v>0</v>
      </c>
      <c r="R170" s="49">
        <f>'2025年中心利润表 '!R170+'2025年江苏分部利润表'!R170+'2025年浙江分部利润表'!R170+'2025年上海分部利润表'!R170+'2025年赣皖区域利润表'!R170</f>
        <v>0</v>
      </c>
      <c r="S170" s="49">
        <f>'2025年中心利润表 '!S170+'2025年江苏分部利润表'!S170+'2025年浙江分部利润表'!S170+'2025年上海分部利润表'!S170+'2025年赣皖区域利润表'!S170</f>
        <v>0</v>
      </c>
      <c r="T170" s="49">
        <f>'2025年中心利润表 '!T170+'2025年江苏分部利润表'!T170+'2025年浙江分部利润表'!T170+'2025年上海分部利润表'!T170+'2025年赣皖区域利润表'!T170</f>
        <v>0</v>
      </c>
      <c r="U170" s="49">
        <f>'2025年中心利润表 '!U170+'2025年江苏分部利润表'!U170+'2025年浙江分部利润表'!U170+'2025年上海分部利润表'!U170+'2025年赣皖区域利润表'!U170</f>
        <v>0</v>
      </c>
      <c r="V170" s="49">
        <f>'2025年中心利润表 '!V170+'2025年江苏分部利润表'!V170+'2025年浙江分部利润表'!V170+'2025年上海分部利润表'!V170+'2025年赣皖区域利润表'!V170</f>
        <v>0</v>
      </c>
      <c r="W170" s="49">
        <f>'2025年中心利润表 '!W170+'2025年江苏分部利润表'!W170+'2025年浙江分部利润表'!W170+'2025年上海分部利润表'!W170+'2025年赣皖区域利润表'!W170</f>
        <v>0</v>
      </c>
      <c r="X170" s="49">
        <f>'2025年中心利润表 '!X170+'2025年江苏分部利润表'!X170+'2025年浙江分部利润表'!X170+'2025年上海分部利润表'!X170+'2025年赣皖区域利润表'!X170</f>
        <v>0</v>
      </c>
      <c r="Y170" s="49">
        <f>'2025年中心利润表 '!Y170+'2025年江苏分部利润表'!Y170+'2025年浙江分部利润表'!Y170+'2025年上海分部利润表'!Y170+'2025年赣皖区域利润表'!Y170</f>
        <v>0</v>
      </c>
      <c r="Z170" s="49">
        <f>'2025年中心利润表 '!Z170+'2025年江苏分部利润表'!Z170+'2025年浙江分部利润表'!Z170+'2025年上海分部利润表'!Z170+'2025年赣皖区域利润表'!Z170</f>
        <v>0</v>
      </c>
      <c r="AA170" s="51">
        <f t="shared" si="36"/>
        <v>0</v>
      </c>
      <c r="AB170" s="51">
        <f t="shared" si="41"/>
        <v>0</v>
      </c>
      <c r="AC170" s="94"/>
      <c r="AD170" s="31">
        <f t="shared" si="37"/>
        <v>0</v>
      </c>
      <c r="AE170" s="31">
        <f t="shared" si="38"/>
        <v>0</v>
      </c>
      <c r="AF170" s="17">
        <f t="shared" si="39"/>
        <v>0</v>
      </c>
      <c r="AG170" s="17">
        <f t="shared" si="40"/>
        <v>0</v>
      </c>
      <c r="AH170" s="17">
        <f>SUM('[1]2024年全面预算利润表 (销售1中心)2.8亿'!E175:H175)</f>
        <v>0</v>
      </c>
    </row>
    <row r="171" spans="1:34" s="19" customFormat="1" ht="18" hidden="1" customHeight="1" outlineLevel="1" x14ac:dyDescent="0.25">
      <c r="A171" s="48" t="s">
        <v>174</v>
      </c>
      <c r="B171" s="53"/>
      <c r="C171" s="49">
        <f>'2025年中心利润表 '!C171+'2025年江苏分部利润表'!C171+'2025年浙江分部利润表'!C171+'2025年上海分部利润表'!C171+'2025年赣皖区域利润表'!C171</f>
        <v>0</v>
      </c>
      <c r="D171" s="49">
        <f>'2025年中心利润表 '!D171+'2025年江苏分部利润表'!D171+'2025年浙江分部利润表'!D171+'2025年上海分部利润表'!D171+'2025年赣皖区域利润表'!D171</f>
        <v>0</v>
      </c>
      <c r="E171" s="49">
        <f>'2025年中心利润表 '!E171+'2025年江苏分部利润表'!E171+'2025年浙江分部利润表'!E171+'2025年上海分部利润表'!E171+'2025年赣皖区域利润表'!E171</f>
        <v>0</v>
      </c>
      <c r="F171" s="49">
        <f>'2025年中心利润表 '!F171+'2025年江苏分部利润表'!F171+'2025年浙江分部利润表'!F171+'2025年上海分部利润表'!F171+'2025年赣皖区域利润表'!F171</f>
        <v>0</v>
      </c>
      <c r="G171" s="49">
        <f>'2025年中心利润表 '!G171+'2025年江苏分部利润表'!G171+'2025年浙江分部利润表'!G171+'2025年上海分部利润表'!G171+'2025年赣皖区域利润表'!G171</f>
        <v>0</v>
      </c>
      <c r="H171" s="49">
        <f>'2025年中心利润表 '!H171+'2025年江苏分部利润表'!H171+'2025年浙江分部利润表'!H171+'2025年上海分部利润表'!H171+'2025年赣皖区域利润表'!H171</f>
        <v>0</v>
      </c>
      <c r="I171" s="49">
        <f>'2025年中心利润表 '!I171+'2025年江苏分部利润表'!I171+'2025年浙江分部利润表'!I171+'2025年上海分部利润表'!I171+'2025年赣皖区域利润表'!I171</f>
        <v>0</v>
      </c>
      <c r="J171" s="49">
        <f>'2025年中心利润表 '!J171+'2025年江苏分部利润表'!J171+'2025年浙江分部利润表'!J171+'2025年上海分部利润表'!J171+'2025年赣皖区域利润表'!J171</f>
        <v>0</v>
      </c>
      <c r="K171" s="49">
        <f>'2025年中心利润表 '!K171+'2025年江苏分部利润表'!K171+'2025年浙江分部利润表'!K171+'2025年上海分部利润表'!K171+'2025年赣皖区域利润表'!K171</f>
        <v>0</v>
      </c>
      <c r="L171" s="49">
        <f>'2025年中心利润表 '!L171+'2025年江苏分部利润表'!L171+'2025年浙江分部利润表'!L171+'2025年上海分部利润表'!L171+'2025年赣皖区域利润表'!L171</f>
        <v>0</v>
      </c>
      <c r="M171" s="49">
        <f>'2025年中心利润表 '!M171+'2025年江苏分部利润表'!M171+'2025年浙江分部利润表'!M171+'2025年上海分部利润表'!M171+'2025年赣皖区域利润表'!M171</f>
        <v>0</v>
      </c>
      <c r="N171" s="49">
        <f>'2025年中心利润表 '!N171+'2025年江苏分部利润表'!N171+'2025年浙江分部利润表'!N171+'2025年上海分部利润表'!N171+'2025年赣皖区域利润表'!N171</f>
        <v>0</v>
      </c>
      <c r="O171" s="49">
        <f>'2025年中心利润表 '!O171+'2025年江苏分部利润表'!O171+'2025年浙江分部利润表'!O171+'2025年上海分部利润表'!O171+'2025年赣皖区域利润表'!O171</f>
        <v>0</v>
      </c>
      <c r="P171" s="49">
        <f>'2025年中心利润表 '!P171+'2025年江苏分部利润表'!P171+'2025年浙江分部利润表'!P171+'2025年上海分部利润表'!P171+'2025年赣皖区域利润表'!P171</f>
        <v>0</v>
      </c>
      <c r="Q171" s="49">
        <f>'2025年中心利润表 '!Q171+'2025年江苏分部利润表'!Q171+'2025年浙江分部利润表'!Q171+'2025年上海分部利润表'!Q171+'2025年赣皖区域利润表'!Q171</f>
        <v>0</v>
      </c>
      <c r="R171" s="49">
        <f>'2025年中心利润表 '!R171+'2025年江苏分部利润表'!R171+'2025年浙江分部利润表'!R171+'2025年上海分部利润表'!R171+'2025年赣皖区域利润表'!R171</f>
        <v>0</v>
      </c>
      <c r="S171" s="49">
        <f>'2025年中心利润表 '!S171+'2025年江苏分部利润表'!S171+'2025年浙江分部利润表'!S171+'2025年上海分部利润表'!S171+'2025年赣皖区域利润表'!S171</f>
        <v>0</v>
      </c>
      <c r="T171" s="49">
        <f>'2025年中心利润表 '!T171+'2025年江苏分部利润表'!T171+'2025年浙江分部利润表'!T171+'2025年上海分部利润表'!T171+'2025年赣皖区域利润表'!T171</f>
        <v>0</v>
      </c>
      <c r="U171" s="49">
        <f>'2025年中心利润表 '!U171+'2025年江苏分部利润表'!U171+'2025年浙江分部利润表'!U171+'2025年上海分部利润表'!U171+'2025年赣皖区域利润表'!U171</f>
        <v>0</v>
      </c>
      <c r="V171" s="49">
        <f>'2025年中心利润表 '!V171+'2025年江苏分部利润表'!V171+'2025年浙江分部利润表'!V171+'2025年上海分部利润表'!V171+'2025年赣皖区域利润表'!V171</f>
        <v>0</v>
      </c>
      <c r="W171" s="49">
        <f>'2025年中心利润表 '!W171+'2025年江苏分部利润表'!W171+'2025年浙江分部利润表'!W171+'2025年上海分部利润表'!W171+'2025年赣皖区域利润表'!W171</f>
        <v>0</v>
      </c>
      <c r="X171" s="49">
        <f>'2025年中心利润表 '!X171+'2025年江苏分部利润表'!X171+'2025年浙江分部利润表'!X171+'2025年上海分部利润表'!X171+'2025年赣皖区域利润表'!X171</f>
        <v>0</v>
      </c>
      <c r="Y171" s="49">
        <f>'2025年中心利润表 '!Y171+'2025年江苏分部利润表'!Y171+'2025年浙江分部利润表'!Y171+'2025年上海分部利润表'!Y171+'2025年赣皖区域利润表'!Y171</f>
        <v>0</v>
      </c>
      <c r="Z171" s="49">
        <f>'2025年中心利润表 '!Z171+'2025年江苏分部利润表'!Z171+'2025年浙江分部利润表'!Z171+'2025年上海分部利润表'!Z171+'2025年赣皖区域利润表'!Z171</f>
        <v>0</v>
      </c>
      <c r="AA171" s="51">
        <f t="shared" si="36"/>
        <v>0</v>
      </c>
      <c r="AB171" s="51">
        <f t="shared" si="41"/>
        <v>0</v>
      </c>
      <c r="AC171" s="94"/>
      <c r="AD171" s="31">
        <f t="shared" si="37"/>
        <v>0</v>
      </c>
      <c r="AE171" s="31">
        <f t="shared" si="38"/>
        <v>0</v>
      </c>
      <c r="AF171" s="17">
        <f t="shared" si="39"/>
        <v>0</v>
      </c>
      <c r="AG171" s="17">
        <f t="shared" si="40"/>
        <v>0</v>
      </c>
      <c r="AH171" s="17">
        <f>SUM('[1]2024年全面预算利润表 (销售1中心)2.8亿'!E176:H176)</f>
        <v>0</v>
      </c>
    </row>
    <row r="172" spans="1:34" s="19" customFormat="1" ht="18" hidden="1" customHeight="1" outlineLevel="1" x14ac:dyDescent="0.25">
      <c r="A172" s="48" t="s">
        <v>175</v>
      </c>
      <c r="B172" s="53"/>
      <c r="C172" s="49">
        <f>'2025年中心利润表 '!C172+'2025年江苏分部利润表'!C172+'2025年浙江分部利润表'!C172+'2025年上海分部利润表'!C172+'2025年赣皖区域利润表'!C172</f>
        <v>0</v>
      </c>
      <c r="D172" s="49">
        <f>'2025年中心利润表 '!D172+'2025年江苏分部利润表'!D172+'2025年浙江分部利润表'!D172+'2025年上海分部利润表'!D172+'2025年赣皖区域利润表'!D172</f>
        <v>0</v>
      </c>
      <c r="E172" s="49">
        <f>'2025年中心利润表 '!E172+'2025年江苏分部利润表'!E172+'2025年浙江分部利润表'!E172+'2025年上海分部利润表'!E172+'2025年赣皖区域利润表'!E172</f>
        <v>0</v>
      </c>
      <c r="F172" s="49">
        <f>'2025年中心利润表 '!F172+'2025年江苏分部利润表'!F172+'2025年浙江分部利润表'!F172+'2025年上海分部利润表'!F172+'2025年赣皖区域利润表'!F172</f>
        <v>0</v>
      </c>
      <c r="G172" s="49">
        <f>'2025年中心利润表 '!G172+'2025年江苏分部利润表'!G172+'2025年浙江分部利润表'!G172+'2025年上海分部利润表'!G172+'2025年赣皖区域利润表'!G172</f>
        <v>0</v>
      </c>
      <c r="H172" s="49">
        <f>'2025年中心利润表 '!H172+'2025年江苏分部利润表'!H172+'2025年浙江分部利润表'!H172+'2025年上海分部利润表'!H172+'2025年赣皖区域利润表'!H172</f>
        <v>0</v>
      </c>
      <c r="I172" s="49">
        <f>'2025年中心利润表 '!I172+'2025年江苏分部利润表'!I172+'2025年浙江分部利润表'!I172+'2025年上海分部利润表'!I172+'2025年赣皖区域利润表'!I172</f>
        <v>0</v>
      </c>
      <c r="J172" s="49">
        <f>'2025年中心利润表 '!J172+'2025年江苏分部利润表'!J172+'2025年浙江分部利润表'!J172+'2025年上海分部利润表'!J172+'2025年赣皖区域利润表'!J172</f>
        <v>0</v>
      </c>
      <c r="K172" s="49">
        <f>'2025年中心利润表 '!K172+'2025年江苏分部利润表'!K172+'2025年浙江分部利润表'!K172+'2025年上海分部利润表'!K172+'2025年赣皖区域利润表'!K172</f>
        <v>0</v>
      </c>
      <c r="L172" s="49">
        <f>'2025年中心利润表 '!L172+'2025年江苏分部利润表'!L172+'2025年浙江分部利润表'!L172+'2025年上海分部利润表'!L172+'2025年赣皖区域利润表'!L172</f>
        <v>0</v>
      </c>
      <c r="M172" s="49">
        <f>'2025年中心利润表 '!M172+'2025年江苏分部利润表'!M172+'2025年浙江分部利润表'!M172+'2025年上海分部利润表'!M172+'2025年赣皖区域利润表'!M172</f>
        <v>0</v>
      </c>
      <c r="N172" s="49">
        <f>'2025年中心利润表 '!N172+'2025年江苏分部利润表'!N172+'2025年浙江分部利润表'!N172+'2025年上海分部利润表'!N172+'2025年赣皖区域利润表'!N172</f>
        <v>0</v>
      </c>
      <c r="O172" s="49">
        <f>'2025年中心利润表 '!O172+'2025年江苏分部利润表'!O172+'2025年浙江分部利润表'!O172+'2025年上海分部利润表'!O172+'2025年赣皖区域利润表'!O172</f>
        <v>0</v>
      </c>
      <c r="P172" s="49">
        <f>'2025年中心利润表 '!P172+'2025年江苏分部利润表'!P172+'2025年浙江分部利润表'!P172+'2025年上海分部利润表'!P172+'2025年赣皖区域利润表'!P172</f>
        <v>0</v>
      </c>
      <c r="Q172" s="49">
        <f>'2025年中心利润表 '!Q172+'2025年江苏分部利润表'!Q172+'2025年浙江分部利润表'!Q172+'2025年上海分部利润表'!Q172+'2025年赣皖区域利润表'!Q172</f>
        <v>0</v>
      </c>
      <c r="R172" s="49">
        <f>'2025年中心利润表 '!R172+'2025年江苏分部利润表'!R172+'2025年浙江分部利润表'!R172+'2025年上海分部利润表'!R172+'2025年赣皖区域利润表'!R172</f>
        <v>0</v>
      </c>
      <c r="S172" s="49">
        <f>'2025年中心利润表 '!S172+'2025年江苏分部利润表'!S172+'2025年浙江分部利润表'!S172+'2025年上海分部利润表'!S172+'2025年赣皖区域利润表'!S172</f>
        <v>0</v>
      </c>
      <c r="T172" s="49">
        <f>'2025年中心利润表 '!T172+'2025年江苏分部利润表'!T172+'2025年浙江分部利润表'!T172+'2025年上海分部利润表'!T172+'2025年赣皖区域利润表'!T172</f>
        <v>0</v>
      </c>
      <c r="U172" s="49">
        <f>'2025年中心利润表 '!U172+'2025年江苏分部利润表'!U172+'2025年浙江分部利润表'!U172+'2025年上海分部利润表'!U172+'2025年赣皖区域利润表'!U172</f>
        <v>0</v>
      </c>
      <c r="V172" s="49">
        <f>'2025年中心利润表 '!V172+'2025年江苏分部利润表'!V172+'2025年浙江分部利润表'!V172+'2025年上海分部利润表'!V172+'2025年赣皖区域利润表'!V172</f>
        <v>0</v>
      </c>
      <c r="W172" s="49">
        <f>'2025年中心利润表 '!W172+'2025年江苏分部利润表'!W172+'2025年浙江分部利润表'!W172+'2025年上海分部利润表'!W172+'2025年赣皖区域利润表'!W172</f>
        <v>0</v>
      </c>
      <c r="X172" s="49">
        <f>'2025年中心利润表 '!X172+'2025年江苏分部利润表'!X172+'2025年浙江分部利润表'!X172+'2025年上海分部利润表'!X172+'2025年赣皖区域利润表'!X172</f>
        <v>0</v>
      </c>
      <c r="Y172" s="49">
        <f>'2025年中心利润表 '!Y172+'2025年江苏分部利润表'!Y172+'2025年浙江分部利润表'!Y172+'2025年上海分部利润表'!Y172+'2025年赣皖区域利润表'!Y172</f>
        <v>0</v>
      </c>
      <c r="Z172" s="49">
        <f>'2025年中心利润表 '!Z172+'2025年江苏分部利润表'!Z172+'2025年浙江分部利润表'!Z172+'2025年上海分部利润表'!Z172+'2025年赣皖区域利润表'!Z172</f>
        <v>0</v>
      </c>
      <c r="AA172" s="51">
        <f t="shared" si="36"/>
        <v>0</v>
      </c>
      <c r="AB172" s="51">
        <f t="shared" si="41"/>
        <v>0</v>
      </c>
      <c r="AC172" s="94"/>
      <c r="AD172" s="31">
        <f t="shared" si="37"/>
        <v>0</v>
      </c>
      <c r="AE172" s="31">
        <f t="shared" si="38"/>
        <v>0</v>
      </c>
      <c r="AF172" s="17">
        <f t="shared" si="39"/>
        <v>0</v>
      </c>
      <c r="AG172" s="17">
        <f t="shared" si="40"/>
        <v>0</v>
      </c>
      <c r="AH172" s="17">
        <f>SUM('[1]2024年全面预算利润表 (销售1中心)2.8亿'!E177:H177)</f>
        <v>0</v>
      </c>
    </row>
    <row r="173" spans="1:34" s="19" customFormat="1" ht="18" hidden="1" customHeight="1" outlineLevel="1" x14ac:dyDescent="0.25">
      <c r="A173" s="48" t="s">
        <v>176</v>
      </c>
      <c r="B173" s="53"/>
      <c r="C173" s="49">
        <f>'2025年中心利润表 '!C173+'2025年江苏分部利润表'!C173+'2025年浙江分部利润表'!C173+'2025年上海分部利润表'!C173+'2025年赣皖区域利润表'!C173</f>
        <v>0</v>
      </c>
      <c r="D173" s="49">
        <f>'2025年中心利润表 '!D173+'2025年江苏分部利润表'!D173+'2025年浙江分部利润表'!D173+'2025年上海分部利润表'!D173+'2025年赣皖区域利润表'!D173</f>
        <v>0</v>
      </c>
      <c r="E173" s="49">
        <f>'2025年中心利润表 '!E173+'2025年江苏分部利润表'!E173+'2025年浙江分部利润表'!E173+'2025年上海分部利润表'!E173+'2025年赣皖区域利润表'!E173</f>
        <v>0</v>
      </c>
      <c r="F173" s="49">
        <f>'2025年中心利润表 '!F173+'2025年江苏分部利润表'!F173+'2025年浙江分部利润表'!F173+'2025年上海分部利润表'!F173+'2025年赣皖区域利润表'!F173</f>
        <v>0</v>
      </c>
      <c r="G173" s="49">
        <f>'2025年中心利润表 '!G173+'2025年江苏分部利润表'!G173+'2025年浙江分部利润表'!G173+'2025年上海分部利润表'!G173+'2025年赣皖区域利润表'!G173</f>
        <v>0</v>
      </c>
      <c r="H173" s="49">
        <f>'2025年中心利润表 '!H173+'2025年江苏分部利润表'!H173+'2025年浙江分部利润表'!H173+'2025年上海分部利润表'!H173+'2025年赣皖区域利润表'!H173</f>
        <v>0</v>
      </c>
      <c r="I173" s="49">
        <f>'2025年中心利润表 '!I173+'2025年江苏分部利润表'!I173+'2025年浙江分部利润表'!I173+'2025年上海分部利润表'!I173+'2025年赣皖区域利润表'!I173</f>
        <v>0</v>
      </c>
      <c r="J173" s="49">
        <f>'2025年中心利润表 '!J173+'2025年江苏分部利润表'!J173+'2025年浙江分部利润表'!J173+'2025年上海分部利润表'!J173+'2025年赣皖区域利润表'!J173</f>
        <v>0</v>
      </c>
      <c r="K173" s="49">
        <f>'2025年中心利润表 '!K173+'2025年江苏分部利润表'!K173+'2025年浙江分部利润表'!K173+'2025年上海分部利润表'!K173+'2025年赣皖区域利润表'!K173</f>
        <v>0</v>
      </c>
      <c r="L173" s="49">
        <f>'2025年中心利润表 '!L173+'2025年江苏分部利润表'!L173+'2025年浙江分部利润表'!L173+'2025年上海分部利润表'!L173+'2025年赣皖区域利润表'!L173</f>
        <v>0</v>
      </c>
      <c r="M173" s="49">
        <f>'2025年中心利润表 '!M173+'2025年江苏分部利润表'!M173+'2025年浙江分部利润表'!M173+'2025年上海分部利润表'!M173+'2025年赣皖区域利润表'!M173</f>
        <v>0</v>
      </c>
      <c r="N173" s="49">
        <f>'2025年中心利润表 '!N173+'2025年江苏分部利润表'!N173+'2025年浙江分部利润表'!N173+'2025年上海分部利润表'!N173+'2025年赣皖区域利润表'!N173</f>
        <v>0</v>
      </c>
      <c r="O173" s="49">
        <f>'2025年中心利润表 '!O173+'2025年江苏分部利润表'!O173+'2025年浙江分部利润表'!O173+'2025年上海分部利润表'!O173+'2025年赣皖区域利润表'!O173</f>
        <v>0</v>
      </c>
      <c r="P173" s="49">
        <f>'2025年中心利润表 '!P173+'2025年江苏分部利润表'!P173+'2025年浙江分部利润表'!P173+'2025年上海分部利润表'!P173+'2025年赣皖区域利润表'!P173</f>
        <v>0</v>
      </c>
      <c r="Q173" s="49">
        <f>'2025年中心利润表 '!Q173+'2025年江苏分部利润表'!Q173+'2025年浙江分部利润表'!Q173+'2025年上海分部利润表'!Q173+'2025年赣皖区域利润表'!Q173</f>
        <v>0</v>
      </c>
      <c r="R173" s="49">
        <f>'2025年中心利润表 '!R173+'2025年江苏分部利润表'!R173+'2025年浙江分部利润表'!R173+'2025年上海分部利润表'!R173+'2025年赣皖区域利润表'!R173</f>
        <v>0</v>
      </c>
      <c r="S173" s="49">
        <f>'2025年中心利润表 '!S173+'2025年江苏分部利润表'!S173+'2025年浙江分部利润表'!S173+'2025年上海分部利润表'!S173+'2025年赣皖区域利润表'!S173</f>
        <v>0</v>
      </c>
      <c r="T173" s="49">
        <f>'2025年中心利润表 '!T173+'2025年江苏分部利润表'!T173+'2025年浙江分部利润表'!T173+'2025年上海分部利润表'!T173+'2025年赣皖区域利润表'!T173</f>
        <v>0</v>
      </c>
      <c r="U173" s="49">
        <f>'2025年中心利润表 '!U173+'2025年江苏分部利润表'!U173+'2025年浙江分部利润表'!U173+'2025年上海分部利润表'!U173+'2025年赣皖区域利润表'!U173</f>
        <v>0</v>
      </c>
      <c r="V173" s="49">
        <f>'2025年中心利润表 '!V173+'2025年江苏分部利润表'!V173+'2025年浙江分部利润表'!V173+'2025年上海分部利润表'!V173+'2025年赣皖区域利润表'!V173</f>
        <v>0</v>
      </c>
      <c r="W173" s="49">
        <f>'2025年中心利润表 '!W173+'2025年江苏分部利润表'!W173+'2025年浙江分部利润表'!W173+'2025年上海分部利润表'!W173+'2025年赣皖区域利润表'!W173</f>
        <v>0</v>
      </c>
      <c r="X173" s="49">
        <f>'2025年中心利润表 '!X173+'2025年江苏分部利润表'!X173+'2025年浙江分部利润表'!X173+'2025年上海分部利润表'!X173+'2025年赣皖区域利润表'!X173</f>
        <v>0</v>
      </c>
      <c r="Y173" s="49">
        <f>'2025年中心利润表 '!Y173+'2025年江苏分部利润表'!Y173+'2025年浙江分部利润表'!Y173+'2025年上海分部利润表'!Y173+'2025年赣皖区域利润表'!Y173</f>
        <v>0</v>
      </c>
      <c r="Z173" s="49">
        <f>'2025年中心利润表 '!Z173+'2025年江苏分部利润表'!Z173+'2025年浙江分部利润表'!Z173+'2025年上海分部利润表'!Z173+'2025年赣皖区域利润表'!Z173</f>
        <v>0</v>
      </c>
      <c r="AA173" s="51">
        <f t="shared" si="36"/>
        <v>0</v>
      </c>
      <c r="AB173" s="51">
        <f t="shared" si="41"/>
        <v>0</v>
      </c>
      <c r="AC173" s="94"/>
      <c r="AD173" s="31">
        <f t="shared" si="37"/>
        <v>0</v>
      </c>
      <c r="AE173" s="31">
        <f t="shared" si="38"/>
        <v>0</v>
      </c>
      <c r="AF173" s="17">
        <f t="shared" si="39"/>
        <v>0</v>
      </c>
      <c r="AG173" s="17">
        <f t="shared" si="40"/>
        <v>0</v>
      </c>
      <c r="AH173" s="17">
        <f>SUM('[1]2024年全面预算利润表 (销售1中心)2.8亿'!E178:H178)</f>
        <v>0</v>
      </c>
    </row>
    <row r="174" spans="1:34" s="19" customFormat="1" ht="18" hidden="1" customHeight="1" outlineLevel="1" x14ac:dyDescent="0.25">
      <c r="A174" s="48" t="s">
        <v>177</v>
      </c>
      <c r="B174" s="53"/>
      <c r="C174" s="49">
        <f>'2025年中心利润表 '!C174+'2025年江苏分部利润表'!C174+'2025年浙江分部利润表'!C174+'2025年上海分部利润表'!C174+'2025年赣皖区域利润表'!C174</f>
        <v>0</v>
      </c>
      <c r="D174" s="49">
        <f>'2025年中心利润表 '!D174+'2025年江苏分部利润表'!D174+'2025年浙江分部利润表'!D174+'2025年上海分部利润表'!D174+'2025年赣皖区域利润表'!D174</f>
        <v>0</v>
      </c>
      <c r="E174" s="49">
        <f>'2025年中心利润表 '!E174+'2025年江苏分部利润表'!E174+'2025年浙江分部利润表'!E174+'2025年上海分部利润表'!E174+'2025年赣皖区域利润表'!E174</f>
        <v>0</v>
      </c>
      <c r="F174" s="49">
        <f>'2025年中心利润表 '!F174+'2025年江苏分部利润表'!F174+'2025年浙江分部利润表'!F174+'2025年上海分部利润表'!F174+'2025年赣皖区域利润表'!F174</f>
        <v>0</v>
      </c>
      <c r="G174" s="49">
        <f>'2025年中心利润表 '!G174+'2025年江苏分部利润表'!G174+'2025年浙江分部利润表'!G174+'2025年上海分部利润表'!G174+'2025年赣皖区域利润表'!G174</f>
        <v>0</v>
      </c>
      <c r="H174" s="49">
        <f>'2025年中心利润表 '!H174+'2025年江苏分部利润表'!H174+'2025年浙江分部利润表'!H174+'2025年上海分部利润表'!H174+'2025年赣皖区域利润表'!H174</f>
        <v>0</v>
      </c>
      <c r="I174" s="49">
        <f>'2025年中心利润表 '!I174+'2025年江苏分部利润表'!I174+'2025年浙江分部利润表'!I174+'2025年上海分部利润表'!I174+'2025年赣皖区域利润表'!I174</f>
        <v>0</v>
      </c>
      <c r="J174" s="49">
        <f>'2025年中心利润表 '!J174+'2025年江苏分部利润表'!J174+'2025年浙江分部利润表'!J174+'2025年上海分部利润表'!J174+'2025年赣皖区域利润表'!J174</f>
        <v>0</v>
      </c>
      <c r="K174" s="49">
        <f>'2025年中心利润表 '!K174+'2025年江苏分部利润表'!K174+'2025年浙江分部利润表'!K174+'2025年上海分部利润表'!K174+'2025年赣皖区域利润表'!K174</f>
        <v>0</v>
      </c>
      <c r="L174" s="49">
        <f>'2025年中心利润表 '!L174+'2025年江苏分部利润表'!L174+'2025年浙江分部利润表'!L174+'2025年上海分部利润表'!L174+'2025年赣皖区域利润表'!L174</f>
        <v>0</v>
      </c>
      <c r="M174" s="49">
        <f>'2025年中心利润表 '!M174+'2025年江苏分部利润表'!M174+'2025年浙江分部利润表'!M174+'2025年上海分部利润表'!M174+'2025年赣皖区域利润表'!M174</f>
        <v>0</v>
      </c>
      <c r="N174" s="49">
        <f>'2025年中心利润表 '!N174+'2025年江苏分部利润表'!N174+'2025年浙江分部利润表'!N174+'2025年上海分部利润表'!N174+'2025年赣皖区域利润表'!N174</f>
        <v>0</v>
      </c>
      <c r="O174" s="49">
        <f>'2025年中心利润表 '!O174+'2025年江苏分部利润表'!O174+'2025年浙江分部利润表'!O174+'2025年上海分部利润表'!O174+'2025年赣皖区域利润表'!O174</f>
        <v>0</v>
      </c>
      <c r="P174" s="49">
        <f>'2025年中心利润表 '!P174+'2025年江苏分部利润表'!P174+'2025年浙江分部利润表'!P174+'2025年上海分部利润表'!P174+'2025年赣皖区域利润表'!P174</f>
        <v>0</v>
      </c>
      <c r="Q174" s="49">
        <f>'2025年中心利润表 '!Q174+'2025年江苏分部利润表'!Q174+'2025年浙江分部利润表'!Q174+'2025年上海分部利润表'!Q174+'2025年赣皖区域利润表'!Q174</f>
        <v>0</v>
      </c>
      <c r="R174" s="49">
        <f>'2025年中心利润表 '!R174+'2025年江苏分部利润表'!R174+'2025年浙江分部利润表'!R174+'2025年上海分部利润表'!R174+'2025年赣皖区域利润表'!R174</f>
        <v>0</v>
      </c>
      <c r="S174" s="49">
        <f>'2025年中心利润表 '!S174+'2025年江苏分部利润表'!S174+'2025年浙江分部利润表'!S174+'2025年上海分部利润表'!S174+'2025年赣皖区域利润表'!S174</f>
        <v>0</v>
      </c>
      <c r="T174" s="49">
        <f>'2025年中心利润表 '!T174+'2025年江苏分部利润表'!T174+'2025年浙江分部利润表'!T174+'2025年上海分部利润表'!T174+'2025年赣皖区域利润表'!T174</f>
        <v>0</v>
      </c>
      <c r="U174" s="49">
        <f>'2025年中心利润表 '!U174+'2025年江苏分部利润表'!U174+'2025年浙江分部利润表'!U174+'2025年上海分部利润表'!U174+'2025年赣皖区域利润表'!U174</f>
        <v>0</v>
      </c>
      <c r="V174" s="49">
        <f>'2025年中心利润表 '!V174+'2025年江苏分部利润表'!V174+'2025年浙江分部利润表'!V174+'2025年上海分部利润表'!V174+'2025年赣皖区域利润表'!V174</f>
        <v>0</v>
      </c>
      <c r="W174" s="49">
        <f>'2025年中心利润表 '!W174+'2025年江苏分部利润表'!W174+'2025年浙江分部利润表'!W174+'2025年上海分部利润表'!W174+'2025年赣皖区域利润表'!W174</f>
        <v>0</v>
      </c>
      <c r="X174" s="49">
        <f>'2025年中心利润表 '!X174+'2025年江苏分部利润表'!X174+'2025年浙江分部利润表'!X174+'2025年上海分部利润表'!X174+'2025年赣皖区域利润表'!X174</f>
        <v>0</v>
      </c>
      <c r="Y174" s="49">
        <f>'2025年中心利润表 '!Y174+'2025年江苏分部利润表'!Y174+'2025年浙江分部利润表'!Y174+'2025年上海分部利润表'!Y174+'2025年赣皖区域利润表'!Y174</f>
        <v>0</v>
      </c>
      <c r="Z174" s="49">
        <f>'2025年中心利润表 '!Z174+'2025年江苏分部利润表'!Z174+'2025年浙江分部利润表'!Z174+'2025年上海分部利润表'!Z174+'2025年赣皖区域利润表'!Z174</f>
        <v>0</v>
      </c>
      <c r="AA174" s="51">
        <f t="shared" si="36"/>
        <v>0</v>
      </c>
      <c r="AB174" s="51">
        <f t="shared" si="41"/>
        <v>0</v>
      </c>
      <c r="AC174" s="94"/>
      <c r="AD174" s="31">
        <f t="shared" si="37"/>
        <v>0</v>
      </c>
      <c r="AE174" s="31">
        <f t="shared" si="38"/>
        <v>0</v>
      </c>
      <c r="AF174" s="17">
        <f t="shared" si="39"/>
        <v>0</v>
      </c>
      <c r="AG174" s="17">
        <f t="shared" si="40"/>
        <v>0</v>
      </c>
      <c r="AH174" s="17">
        <f>SUM('[1]2024年全面预算利润表 (销售1中心)2.8亿'!E179:H179)</f>
        <v>0</v>
      </c>
    </row>
    <row r="175" spans="1:34" s="19" customFormat="1" ht="18" hidden="1" customHeight="1" outlineLevel="1" x14ac:dyDescent="0.25">
      <c r="A175" s="48" t="s">
        <v>178</v>
      </c>
      <c r="B175" s="53"/>
      <c r="C175" s="49">
        <f>'2025年中心利润表 '!C175+'2025年江苏分部利润表'!C175+'2025年浙江分部利润表'!C175+'2025年上海分部利润表'!C175+'2025年赣皖区域利润表'!C175</f>
        <v>0</v>
      </c>
      <c r="D175" s="49">
        <f>'2025年中心利润表 '!D175+'2025年江苏分部利润表'!D175+'2025年浙江分部利润表'!D175+'2025年上海分部利润表'!D175+'2025年赣皖区域利润表'!D175</f>
        <v>0</v>
      </c>
      <c r="E175" s="49">
        <f>'2025年中心利润表 '!E175+'2025年江苏分部利润表'!E175+'2025年浙江分部利润表'!E175+'2025年上海分部利润表'!E175+'2025年赣皖区域利润表'!E175</f>
        <v>0</v>
      </c>
      <c r="F175" s="49">
        <f>'2025年中心利润表 '!F175+'2025年江苏分部利润表'!F175+'2025年浙江分部利润表'!F175+'2025年上海分部利润表'!F175+'2025年赣皖区域利润表'!F175</f>
        <v>0</v>
      </c>
      <c r="G175" s="49">
        <f>'2025年中心利润表 '!G175+'2025年江苏分部利润表'!G175+'2025年浙江分部利润表'!G175+'2025年上海分部利润表'!G175+'2025年赣皖区域利润表'!G175</f>
        <v>0</v>
      </c>
      <c r="H175" s="49">
        <f>'2025年中心利润表 '!H175+'2025年江苏分部利润表'!H175+'2025年浙江分部利润表'!H175+'2025年上海分部利润表'!H175+'2025年赣皖区域利润表'!H175</f>
        <v>0</v>
      </c>
      <c r="I175" s="49">
        <f>'2025年中心利润表 '!I175+'2025年江苏分部利润表'!I175+'2025年浙江分部利润表'!I175+'2025年上海分部利润表'!I175+'2025年赣皖区域利润表'!I175</f>
        <v>0</v>
      </c>
      <c r="J175" s="49">
        <f>'2025年中心利润表 '!J175+'2025年江苏分部利润表'!J175+'2025年浙江分部利润表'!J175+'2025年上海分部利润表'!J175+'2025年赣皖区域利润表'!J175</f>
        <v>0</v>
      </c>
      <c r="K175" s="49">
        <f>'2025年中心利润表 '!K175+'2025年江苏分部利润表'!K175+'2025年浙江分部利润表'!K175+'2025年上海分部利润表'!K175+'2025年赣皖区域利润表'!K175</f>
        <v>0</v>
      </c>
      <c r="L175" s="49">
        <f>'2025年中心利润表 '!L175+'2025年江苏分部利润表'!L175+'2025年浙江分部利润表'!L175+'2025年上海分部利润表'!L175+'2025年赣皖区域利润表'!L175</f>
        <v>0</v>
      </c>
      <c r="M175" s="49">
        <f>'2025年中心利润表 '!M175+'2025年江苏分部利润表'!M175+'2025年浙江分部利润表'!M175+'2025年上海分部利润表'!M175+'2025年赣皖区域利润表'!M175</f>
        <v>0</v>
      </c>
      <c r="N175" s="49">
        <f>'2025年中心利润表 '!N175+'2025年江苏分部利润表'!N175+'2025年浙江分部利润表'!N175+'2025年上海分部利润表'!N175+'2025年赣皖区域利润表'!N175</f>
        <v>0</v>
      </c>
      <c r="O175" s="49">
        <f>'2025年中心利润表 '!O175+'2025年江苏分部利润表'!O175+'2025年浙江分部利润表'!O175+'2025年上海分部利润表'!O175+'2025年赣皖区域利润表'!O175</f>
        <v>0</v>
      </c>
      <c r="P175" s="49">
        <f>'2025年中心利润表 '!P175+'2025年江苏分部利润表'!P175+'2025年浙江分部利润表'!P175+'2025年上海分部利润表'!P175+'2025年赣皖区域利润表'!P175</f>
        <v>0</v>
      </c>
      <c r="Q175" s="49">
        <f>'2025年中心利润表 '!Q175+'2025年江苏分部利润表'!Q175+'2025年浙江分部利润表'!Q175+'2025年上海分部利润表'!Q175+'2025年赣皖区域利润表'!Q175</f>
        <v>0</v>
      </c>
      <c r="R175" s="49">
        <f>'2025年中心利润表 '!R175+'2025年江苏分部利润表'!R175+'2025年浙江分部利润表'!R175+'2025年上海分部利润表'!R175+'2025年赣皖区域利润表'!R175</f>
        <v>0</v>
      </c>
      <c r="S175" s="49">
        <f>'2025年中心利润表 '!S175+'2025年江苏分部利润表'!S175+'2025年浙江分部利润表'!S175+'2025年上海分部利润表'!S175+'2025年赣皖区域利润表'!S175</f>
        <v>0</v>
      </c>
      <c r="T175" s="49">
        <f>'2025年中心利润表 '!T175+'2025年江苏分部利润表'!T175+'2025年浙江分部利润表'!T175+'2025年上海分部利润表'!T175+'2025年赣皖区域利润表'!T175</f>
        <v>0</v>
      </c>
      <c r="U175" s="49">
        <f>'2025年中心利润表 '!U175+'2025年江苏分部利润表'!U175+'2025年浙江分部利润表'!U175+'2025年上海分部利润表'!U175+'2025年赣皖区域利润表'!U175</f>
        <v>0</v>
      </c>
      <c r="V175" s="49">
        <f>'2025年中心利润表 '!V175+'2025年江苏分部利润表'!V175+'2025年浙江分部利润表'!V175+'2025年上海分部利润表'!V175+'2025年赣皖区域利润表'!V175</f>
        <v>0</v>
      </c>
      <c r="W175" s="49">
        <f>'2025年中心利润表 '!W175+'2025年江苏分部利润表'!W175+'2025年浙江分部利润表'!W175+'2025年上海分部利润表'!W175+'2025年赣皖区域利润表'!W175</f>
        <v>0</v>
      </c>
      <c r="X175" s="49">
        <f>'2025年中心利润表 '!X175+'2025年江苏分部利润表'!X175+'2025年浙江分部利润表'!X175+'2025年上海分部利润表'!X175+'2025年赣皖区域利润表'!X175</f>
        <v>0</v>
      </c>
      <c r="Y175" s="49">
        <f>'2025年中心利润表 '!Y175+'2025年江苏分部利润表'!Y175+'2025年浙江分部利润表'!Y175+'2025年上海分部利润表'!Y175+'2025年赣皖区域利润表'!Y175</f>
        <v>0</v>
      </c>
      <c r="Z175" s="49">
        <f>'2025年中心利润表 '!Z175+'2025年江苏分部利润表'!Z175+'2025年浙江分部利润表'!Z175+'2025年上海分部利润表'!Z175+'2025年赣皖区域利润表'!Z175</f>
        <v>0</v>
      </c>
      <c r="AA175" s="51">
        <f t="shared" si="36"/>
        <v>0</v>
      </c>
      <c r="AB175" s="51">
        <f t="shared" si="41"/>
        <v>0</v>
      </c>
      <c r="AC175" s="94"/>
      <c r="AD175" s="31">
        <f t="shared" si="37"/>
        <v>0</v>
      </c>
      <c r="AE175" s="31">
        <f t="shared" si="38"/>
        <v>0</v>
      </c>
      <c r="AF175" s="17">
        <f t="shared" si="39"/>
        <v>0</v>
      </c>
      <c r="AG175" s="17">
        <f t="shared" si="40"/>
        <v>0</v>
      </c>
      <c r="AH175" s="17">
        <f>SUM('[1]2024年全面预算利润表 (销售1中心)2.8亿'!E180:H180)</f>
        <v>0</v>
      </c>
    </row>
    <row r="176" spans="1:34" s="21" customFormat="1" ht="18" customHeight="1" collapsed="1" x14ac:dyDescent="0.25">
      <c r="A176" s="52" t="s">
        <v>181</v>
      </c>
      <c r="B176" s="45">
        <v>8</v>
      </c>
      <c r="C176" s="65">
        <f t="shared" ref="C176:Z176" si="42">SUM(C177:C249)-C177-C180-C189-C200-C212</f>
        <v>0</v>
      </c>
      <c r="D176" s="65">
        <f t="shared" si="42"/>
        <v>0</v>
      </c>
      <c r="E176" s="65">
        <f t="shared" si="42"/>
        <v>0</v>
      </c>
      <c r="F176" s="65">
        <f t="shared" si="42"/>
        <v>0</v>
      </c>
      <c r="G176" s="65">
        <f t="shared" si="42"/>
        <v>0</v>
      </c>
      <c r="H176" s="65">
        <f t="shared" si="42"/>
        <v>0</v>
      </c>
      <c r="I176" s="65">
        <f t="shared" si="42"/>
        <v>0</v>
      </c>
      <c r="J176" s="65">
        <f t="shared" si="42"/>
        <v>0</v>
      </c>
      <c r="K176" s="65">
        <f t="shared" si="42"/>
        <v>0</v>
      </c>
      <c r="L176" s="65">
        <f t="shared" si="42"/>
        <v>0</v>
      </c>
      <c r="M176" s="65">
        <f t="shared" si="42"/>
        <v>0</v>
      </c>
      <c r="N176" s="65">
        <f t="shared" si="42"/>
        <v>0</v>
      </c>
      <c r="O176" s="65">
        <f t="shared" si="42"/>
        <v>0</v>
      </c>
      <c r="P176" s="65">
        <f t="shared" si="42"/>
        <v>0</v>
      </c>
      <c r="Q176" s="65">
        <f t="shared" si="42"/>
        <v>0</v>
      </c>
      <c r="R176" s="65">
        <f t="shared" si="42"/>
        <v>0</v>
      </c>
      <c r="S176" s="65">
        <f t="shared" si="42"/>
        <v>0</v>
      </c>
      <c r="T176" s="65">
        <f t="shared" si="42"/>
        <v>0</v>
      </c>
      <c r="U176" s="65">
        <f t="shared" si="42"/>
        <v>0</v>
      </c>
      <c r="V176" s="65">
        <f t="shared" si="42"/>
        <v>0</v>
      </c>
      <c r="W176" s="65">
        <f t="shared" si="42"/>
        <v>0</v>
      </c>
      <c r="X176" s="65">
        <f t="shared" si="42"/>
        <v>0</v>
      </c>
      <c r="Y176" s="65">
        <f t="shared" si="42"/>
        <v>0</v>
      </c>
      <c r="Z176" s="65">
        <f t="shared" si="42"/>
        <v>0</v>
      </c>
      <c r="AA176" s="51">
        <f t="shared" si="36"/>
        <v>0</v>
      </c>
      <c r="AB176" s="70">
        <f>SUM(D176:Z176)</f>
        <v>0</v>
      </c>
      <c r="AC176" s="129"/>
      <c r="AD176" s="31">
        <f t="shared" si="37"/>
        <v>0</v>
      </c>
      <c r="AE176" s="31">
        <f t="shared" si="38"/>
        <v>0</v>
      </c>
      <c r="AF176" s="17">
        <f t="shared" si="39"/>
        <v>0</v>
      </c>
      <c r="AG176" s="17">
        <f t="shared" si="40"/>
        <v>0</v>
      </c>
      <c r="AH176" s="17">
        <f>SUM('[1]2024年全面预算利润表 (销售1中心)2.8亿'!E181:H181)</f>
        <v>0</v>
      </c>
    </row>
    <row r="177" spans="1:53" s="17" customFormat="1" ht="18" hidden="1" customHeight="1" outlineLevel="1" x14ac:dyDescent="0.25">
      <c r="A177" s="67" t="s">
        <v>107</v>
      </c>
      <c r="B177" s="45"/>
      <c r="C177" s="65">
        <f t="shared" ref="C177:Z177" si="43">SUM(C178:C179)</f>
        <v>0</v>
      </c>
      <c r="D177" s="65">
        <f t="shared" si="43"/>
        <v>0</v>
      </c>
      <c r="E177" s="65">
        <f t="shared" si="43"/>
        <v>0</v>
      </c>
      <c r="F177" s="65">
        <f t="shared" si="43"/>
        <v>0</v>
      </c>
      <c r="G177" s="65">
        <f t="shared" si="43"/>
        <v>0</v>
      </c>
      <c r="H177" s="65">
        <f t="shared" si="43"/>
        <v>0</v>
      </c>
      <c r="I177" s="65">
        <f t="shared" si="43"/>
        <v>0</v>
      </c>
      <c r="J177" s="65">
        <f t="shared" si="43"/>
        <v>0</v>
      </c>
      <c r="K177" s="65">
        <f t="shared" si="43"/>
        <v>0</v>
      </c>
      <c r="L177" s="65">
        <f t="shared" si="43"/>
        <v>0</v>
      </c>
      <c r="M177" s="65">
        <f t="shared" si="43"/>
        <v>0</v>
      </c>
      <c r="N177" s="65">
        <f t="shared" si="43"/>
        <v>0</v>
      </c>
      <c r="O177" s="65">
        <f t="shared" si="43"/>
        <v>0</v>
      </c>
      <c r="P177" s="65">
        <f t="shared" si="43"/>
        <v>0</v>
      </c>
      <c r="Q177" s="65">
        <f t="shared" si="43"/>
        <v>0</v>
      </c>
      <c r="R177" s="65">
        <f t="shared" si="43"/>
        <v>0</v>
      </c>
      <c r="S177" s="65">
        <f t="shared" si="43"/>
        <v>0</v>
      </c>
      <c r="T177" s="65">
        <f t="shared" si="43"/>
        <v>0</v>
      </c>
      <c r="U177" s="65">
        <f t="shared" si="43"/>
        <v>0</v>
      </c>
      <c r="V177" s="65">
        <f t="shared" si="43"/>
        <v>0</v>
      </c>
      <c r="W177" s="65">
        <f t="shared" si="43"/>
        <v>0</v>
      </c>
      <c r="X177" s="65">
        <f t="shared" si="43"/>
        <v>0</v>
      </c>
      <c r="Y177" s="65">
        <f t="shared" si="43"/>
        <v>0</v>
      </c>
      <c r="Z177" s="65">
        <f t="shared" si="43"/>
        <v>0</v>
      </c>
      <c r="AA177" s="51">
        <f t="shared" si="36"/>
        <v>0</v>
      </c>
      <c r="AB177" s="51">
        <f t="shared" ref="AB177:AB240" si="44">D177+F177+H177+J177+L177+N177+P177+R177+T177+V177+X177+Z177</f>
        <v>0</v>
      </c>
      <c r="AC177" s="132"/>
      <c r="AD177" s="31">
        <f t="shared" si="37"/>
        <v>0</v>
      </c>
      <c r="AE177" s="31">
        <f t="shared" si="38"/>
        <v>0</v>
      </c>
      <c r="AF177" s="17">
        <f t="shared" si="39"/>
        <v>0</v>
      </c>
      <c r="AG177" s="17">
        <f t="shared" si="40"/>
        <v>0</v>
      </c>
      <c r="AH177" s="17">
        <f>SUM('[1]2024年全面预算利润表 (销售1中心)2.8亿'!E182:H182)</f>
        <v>0</v>
      </c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</row>
    <row r="178" spans="1:53" s="19" customFormat="1" ht="18" hidden="1" customHeight="1" outlineLevel="2" x14ac:dyDescent="0.25">
      <c r="A178" s="48" t="s">
        <v>108</v>
      </c>
      <c r="B178" s="53"/>
      <c r="C178" s="49">
        <f>'2025年中心利润表 '!C178+'2025年江苏分部利润表'!C178+'2025年浙江分部利润表'!C178+'2025年上海分部利润表'!C178+'2025年赣皖区域利润表'!C178</f>
        <v>0</v>
      </c>
      <c r="D178" s="49">
        <f>'2025年中心利润表 '!D178+'2025年江苏分部利润表'!D178+'2025年浙江分部利润表'!D178+'2025年上海分部利润表'!D178+'2025年赣皖区域利润表'!D178</f>
        <v>0</v>
      </c>
      <c r="E178" s="49">
        <f>'2025年中心利润表 '!E178+'2025年江苏分部利润表'!E178+'2025年浙江分部利润表'!E178+'2025年上海分部利润表'!E178+'2025年赣皖区域利润表'!E178</f>
        <v>0</v>
      </c>
      <c r="F178" s="49">
        <f>'2025年中心利润表 '!F178+'2025年江苏分部利润表'!F178+'2025年浙江分部利润表'!F178+'2025年上海分部利润表'!F178+'2025年赣皖区域利润表'!F178</f>
        <v>0</v>
      </c>
      <c r="G178" s="49">
        <f>'2025年中心利润表 '!G178+'2025年江苏分部利润表'!G178+'2025年浙江分部利润表'!G178+'2025年上海分部利润表'!G178+'2025年赣皖区域利润表'!G178</f>
        <v>0</v>
      </c>
      <c r="H178" s="49">
        <f>'2025年中心利润表 '!H178+'2025年江苏分部利润表'!H178+'2025年浙江分部利润表'!H178+'2025年上海分部利润表'!H178+'2025年赣皖区域利润表'!H178</f>
        <v>0</v>
      </c>
      <c r="I178" s="49">
        <f>'2025年中心利润表 '!I178+'2025年江苏分部利润表'!I178+'2025年浙江分部利润表'!I178+'2025年上海分部利润表'!I178+'2025年赣皖区域利润表'!I178</f>
        <v>0</v>
      </c>
      <c r="J178" s="49">
        <f>'2025年中心利润表 '!J178+'2025年江苏分部利润表'!J178+'2025年浙江分部利润表'!J178+'2025年上海分部利润表'!J178+'2025年赣皖区域利润表'!J178</f>
        <v>0</v>
      </c>
      <c r="K178" s="49">
        <f>'2025年中心利润表 '!K178+'2025年江苏分部利润表'!K178+'2025年浙江分部利润表'!K178+'2025年上海分部利润表'!K178+'2025年赣皖区域利润表'!K178</f>
        <v>0</v>
      </c>
      <c r="L178" s="49">
        <f>'2025年中心利润表 '!L178+'2025年江苏分部利润表'!L178+'2025年浙江分部利润表'!L178+'2025年上海分部利润表'!L178+'2025年赣皖区域利润表'!L178</f>
        <v>0</v>
      </c>
      <c r="M178" s="49">
        <f>'2025年中心利润表 '!M178+'2025年江苏分部利润表'!M178+'2025年浙江分部利润表'!M178+'2025年上海分部利润表'!M178+'2025年赣皖区域利润表'!M178</f>
        <v>0</v>
      </c>
      <c r="N178" s="49">
        <f>'2025年中心利润表 '!N178+'2025年江苏分部利润表'!N178+'2025年浙江分部利润表'!N178+'2025年上海分部利润表'!N178+'2025年赣皖区域利润表'!N178</f>
        <v>0</v>
      </c>
      <c r="O178" s="49">
        <f>'2025年中心利润表 '!O178+'2025年江苏分部利润表'!O178+'2025年浙江分部利润表'!O178+'2025年上海分部利润表'!O178+'2025年赣皖区域利润表'!O178</f>
        <v>0</v>
      </c>
      <c r="P178" s="49">
        <f>'2025年中心利润表 '!P178+'2025年江苏分部利润表'!P178+'2025年浙江分部利润表'!P178+'2025年上海分部利润表'!P178+'2025年赣皖区域利润表'!P178</f>
        <v>0</v>
      </c>
      <c r="Q178" s="49">
        <f>'2025年中心利润表 '!Q178+'2025年江苏分部利润表'!Q178+'2025年浙江分部利润表'!Q178+'2025年上海分部利润表'!Q178+'2025年赣皖区域利润表'!Q178</f>
        <v>0</v>
      </c>
      <c r="R178" s="49">
        <f>'2025年中心利润表 '!R178+'2025年江苏分部利润表'!R178+'2025年浙江分部利润表'!R178+'2025年上海分部利润表'!R178+'2025年赣皖区域利润表'!R178</f>
        <v>0</v>
      </c>
      <c r="S178" s="49">
        <f>'2025年中心利润表 '!S178+'2025年江苏分部利润表'!S178+'2025年浙江分部利润表'!S178+'2025年上海分部利润表'!S178+'2025年赣皖区域利润表'!S178</f>
        <v>0</v>
      </c>
      <c r="T178" s="49">
        <f>'2025年中心利润表 '!T178+'2025年江苏分部利润表'!T178+'2025年浙江分部利润表'!T178+'2025年上海分部利润表'!T178+'2025年赣皖区域利润表'!T178</f>
        <v>0</v>
      </c>
      <c r="U178" s="49">
        <f>'2025年中心利润表 '!U178+'2025年江苏分部利润表'!U178+'2025年浙江分部利润表'!U178+'2025年上海分部利润表'!U178+'2025年赣皖区域利润表'!U178</f>
        <v>0</v>
      </c>
      <c r="V178" s="49">
        <f>'2025年中心利润表 '!V178+'2025年江苏分部利润表'!V178+'2025年浙江分部利润表'!V178+'2025年上海分部利润表'!V178+'2025年赣皖区域利润表'!V178</f>
        <v>0</v>
      </c>
      <c r="W178" s="49">
        <f>'2025年中心利润表 '!W178+'2025年江苏分部利润表'!W178+'2025年浙江分部利润表'!W178+'2025年上海分部利润表'!W178+'2025年赣皖区域利润表'!W178</f>
        <v>0</v>
      </c>
      <c r="X178" s="49">
        <f>'2025年中心利润表 '!X178+'2025年江苏分部利润表'!X178+'2025年浙江分部利润表'!X178+'2025年上海分部利润表'!X178+'2025年赣皖区域利润表'!X178</f>
        <v>0</v>
      </c>
      <c r="Y178" s="49">
        <f>'2025年中心利润表 '!Y178+'2025年江苏分部利润表'!Y178+'2025年浙江分部利润表'!Y178+'2025年上海分部利润表'!Y178+'2025年赣皖区域利润表'!Y178</f>
        <v>0</v>
      </c>
      <c r="Z178" s="49">
        <f>'2025年中心利润表 '!Z178+'2025年江苏分部利润表'!Z178+'2025年浙江分部利润表'!Z178+'2025年上海分部利润表'!Z178+'2025年赣皖区域利润表'!Z178</f>
        <v>0</v>
      </c>
      <c r="AA178" s="51">
        <f t="shared" si="36"/>
        <v>0</v>
      </c>
      <c r="AB178" s="51">
        <f t="shared" si="44"/>
        <v>0</v>
      </c>
      <c r="AC178" s="94"/>
      <c r="AD178" s="31">
        <f t="shared" si="37"/>
        <v>0</v>
      </c>
      <c r="AE178" s="31">
        <f t="shared" si="38"/>
        <v>0</v>
      </c>
      <c r="AF178" s="17">
        <f t="shared" si="39"/>
        <v>0</v>
      </c>
      <c r="AG178" s="17">
        <f t="shared" si="40"/>
        <v>0</v>
      </c>
      <c r="AH178" s="17">
        <f>SUM('[1]2024年全面预算利润表 (销售1中心)2.8亿'!E183:H183)</f>
        <v>0</v>
      </c>
    </row>
    <row r="179" spans="1:53" s="19" customFormat="1" ht="18" hidden="1" customHeight="1" outlineLevel="2" x14ac:dyDescent="0.25">
      <c r="A179" s="48" t="s">
        <v>109</v>
      </c>
      <c r="B179" s="53"/>
      <c r="C179" s="49">
        <f>'2025年中心利润表 '!C179+'2025年江苏分部利润表'!C179+'2025年浙江分部利润表'!C179+'2025年上海分部利润表'!C179+'2025年赣皖区域利润表'!C179</f>
        <v>0</v>
      </c>
      <c r="D179" s="49">
        <f>'2025年中心利润表 '!D179+'2025年江苏分部利润表'!D179+'2025年浙江分部利润表'!D179+'2025年上海分部利润表'!D179+'2025年赣皖区域利润表'!D179</f>
        <v>0</v>
      </c>
      <c r="E179" s="49">
        <f>'2025年中心利润表 '!E179+'2025年江苏分部利润表'!E179+'2025年浙江分部利润表'!E179+'2025年上海分部利润表'!E179+'2025年赣皖区域利润表'!E179</f>
        <v>0</v>
      </c>
      <c r="F179" s="49">
        <f>'2025年中心利润表 '!F179+'2025年江苏分部利润表'!F179+'2025年浙江分部利润表'!F179+'2025年上海分部利润表'!F179+'2025年赣皖区域利润表'!F179</f>
        <v>0</v>
      </c>
      <c r="G179" s="49">
        <f>'2025年中心利润表 '!G179+'2025年江苏分部利润表'!G179+'2025年浙江分部利润表'!G179+'2025年上海分部利润表'!G179+'2025年赣皖区域利润表'!G179</f>
        <v>0</v>
      </c>
      <c r="H179" s="49">
        <f>'2025年中心利润表 '!H179+'2025年江苏分部利润表'!H179+'2025年浙江分部利润表'!H179+'2025年上海分部利润表'!H179+'2025年赣皖区域利润表'!H179</f>
        <v>0</v>
      </c>
      <c r="I179" s="49">
        <f>'2025年中心利润表 '!I179+'2025年江苏分部利润表'!I179+'2025年浙江分部利润表'!I179+'2025年上海分部利润表'!I179+'2025年赣皖区域利润表'!I179</f>
        <v>0</v>
      </c>
      <c r="J179" s="49">
        <f>'2025年中心利润表 '!J179+'2025年江苏分部利润表'!J179+'2025年浙江分部利润表'!J179+'2025年上海分部利润表'!J179+'2025年赣皖区域利润表'!J179</f>
        <v>0</v>
      </c>
      <c r="K179" s="49">
        <f>'2025年中心利润表 '!K179+'2025年江苏分部利润表'!K179+'2025年浙江分部利润表'!K179+'2025年上海分部利润表'!K179+'2025年赣皖区域利润表'!K179</f>
        <v>0</v>
      </c>
      <c r="L179" s="49">
        <f>'2025年中心利润表 '!L179+'2025年江苏分部利润表'!L179+'2025年浙江分部利润表'!L179+'2025年上海分部利润表'!L179+'2025年赣皖区域利润表'!L179</f>
        <v>0</v>
      </c>
      <c r="M179" s="49">
        <f>'2025年中心利润表 '!M179+'2025年江苏分部利润表'!M179+'2025年浙江分部利润表'!M179+'2025年上海分部利润表'!M179+'2025年赣皖区域利润表'!M179</f>
        <v>0</v>
      </c>
      <c r="N179" s="49">
        <f>'2025年中心利润表 '!N179+'2025年江苏分部利润表'!N179+'2025年浙江分部利润表'!N179+'2025年上海分部利润表'!N179+'2025年赣皖区域利润表'!N179</f>
        <v>0</v>
      </c>
      <c r="O179" s="49">
        <f>'2025年中心利润表 '!O179+'2025年江苏分部利润表'!O179+'2025年浙江分部利润表'!O179+'2025年上海分部利润表'!O179+'2025年赣皖区域利润表'!O179</f>
        <v>0</v>
      </c>
      <c r="P179" s="49">
        <f>'2025年中心利润表 '!P179+'2025年江苏分部利润表'!P179+'2025年浙江分部利润表'!P179+'2025年上海分部利润表'!P179+'2025年赣皖区域利润表'!P179</f>
        <v>0</v>
      </c>
      <c r="Q179" s="49">
        <f>'2025年中心利润表 '!Q179+'2025年江苏分部利润表'!Q179+'2025年浙江分部利润表'!Q179+'2025年上海分部利润表'!Q179+'2025年赣皖区域利润表'!Q179</f>
        <v>0</v>
      </c>
      <c r="R179" s="49">
        <f>'2025年中心利润表 '!R179+'2025年江苏分部利润表'!R179+'2025年浙江分部利润表'!R179+'2025年上海分部利润表'!R179+'2025年赣皖区域利润表'!R179</f>
        <v>0</v>
      </c>
      <c r="S179" s="49">
        <f>'2025年中心利润表 '!S179+'2025年江苏分部利润表'!S179+'2025年浙江分部利润表'!S179+'2025年上海分部利润表'!S179+'2025年赣皖区域利润表'!S179</f>
        <v>0</v>
      </c>
      <c r="T179" s="49">
        <f>'2025年中心利润表 '!T179+'2025年江苏分部利润表'!T179+'2025年浙江分部利润表'!T179+'2025年上海分部利润表'!T179+'2025年赣皖区域利润表'!T179</f>
        <v>0</v>
      </c>
      <c r="U179" s="49">
        <f>'2025年中心利润表 '!U179+'2025年江苏分部利润表'!U179+'2025年浙江分部利润表'!U179+'2025年上海分部利润表'!U179+'2025年赣皖区域利润表'!U179</f>
        <v>0</v>
      </c>
      <c r="V179" s="49">
        <f>'2025年中心利润表 '!V179+'2025年江苏分部利润表'!V179+'2025年浙江分部利润表'!V179+'2025年上海分部利润表'!V179+'2025年赣皖区域利润表'!V179</f>
        <v>0</v>
      </c>
      <c r="W179" s="49">
        <f>'2025年中心利润表 '!W179+'2025年江苏分部利润表'!W179+'2025年浙江分部利润表'!W179+'2025年上海分部利润表'!W179+'2025年赣皖区域利润表'!W179</f>
        <v>0</v>
      </c>
      <c r="X179" s="49">
        <f>'2025年中心利润表 '!X179+'2025年江苏分部利润表'!X179+'2025年浙江分部利润表'!X179+'2025年上海分部利润表'!X179+'2025年赣皖区域利润表'!X179</f>
        <v>0</v>
      </c>
      <c r="Y179" s="49">
        <f>'2025年中心利润表 '!Y179+'2025年江苏分部利润表'!Y179+'2025年浙江分部利润表'!Y179+'2025年上海分部利润表'!Y179+'2025年赣皖区域利润表'!Y179</f>
        <v>0</v>
      </c>
      <c r="Z179" s="49">
        <f>'2025年中心利润表 '!Z179+'2025年江苏分部利润表'!Z179+'2025年浙江分部利润表'!Z179+'2025年上海分部利润表'!Z179+'2025年赣皖区域利润表'!Z179</f>
        <v>0</v>
      </c>
      <c r="AA179" s="51">
        <f t="shared" si="36"/>
        <v>0</v>
      </c>
      <c r="AB179" s="51">
        <f t="shared" si="44"/>
        <v>0</v>
      </c>
      <c r="AC179" s="94"/>
      <c r="AD179" s="31">
        <f t="shared" si="37"/>
        <v>0</v>
      </c>
      <c r="AE179" s="31">
        <f t="shared" si="38"/>
        <v>0</v>
      </c>
      <c r="AF179" s="17">
        <f t="shared" si="39"/>
        <v>0</v>
      </c>
      <c r="AG179" s="17">
        <f t="shared" si="40"/>
        <v>0</v>
      </c>
      <c r="AH179" s="17">
        <f>SUM('[1]2024年全面预算利润表 (销售1中心)2.8亿'!E184:H184)</f>
        <v>0</v>
      </c>
    </row>
    <row r="180" spans="1:53" s="17" customFormat="1" ht="18" hidden="1" customHeight="1" outlineLevel="1" collapsed="1" x14ac:dyDescent="0.25">
      <c r="A180" s="67" t="s">
        <v>110</v>
      </c>
      <c r="B180" s="45"/>
      <c r="C180" s="65">
        <f t="shared" ref="C180:Z180" si="45">SUM(C181:C185)</f>
        <v>0</v>
      </c>
      <c r="D180" s="65">
        <f t="shared" si="45"/>
        <v>0</v>
      </c>
      <c r="E180" s="65">
        <f t="shared" si="45"/>
        <v>0</v>
      </c>
      <c r="F180" s="65">
        <f t="shared" si="45"/>
        <v>0</v>
      </c>
      <c r="G180" s="65">
        <f t="shared" si="45"/>
        <v>0</v>
      </c>
      <c r="H180" s="65">
        <f t="shared" si="45"/>
        <v>0</v>
      </c>
      <c r="I180" s="65">
        <f t="shared" si="45"/>
        <v>0</v>
      </c>
      <c r="J180" s="65">
        <f t="shared" si="45"/>
        <v>0</v>
      </c>
      <c r="K180" s="65">
        <f t="shared" si="45"/>
        <v>0</v>
      </c>
      <c r="L180" s="65">
        <f t="shared" si="45"/>
        <v>0</v>
      </c>
      <c r="M180" s="65">
        <f t="shared" si="45"/>
        <v>0</v>
      </c>
      <c r="N180" s="65">
        <f t="shared" si="45"/>
        <v>0</v>
      </c>
      <c r="O180" s="65">
        <f t="shared" si="45"/>
        <v>0</v>
      </c>
      <c r="P180" s="65">
        <f t="shared" si="45"/>
        <v>0</v>
      </c>
      <c r="Q180" s="65">
        <f t="shared" si="45"/>
        <v>0</v>
      </c>
      <c r="R180" s="65">
        <f t="shared" si="45"/>
        <v>0</v>
      </c>
      <c r="S180" s="65">
        <f t="shared" si="45"/>
        <v>0</v>
      </c>
      <c r="T180" s="65">
        <f t="shared" si="45"/>
        <v>0</v>
      </c>
      <c r="U180" s="65">
        <f t="shared" si="45"/>
        <v>0</v>
      </c>
      <c r="V180" s="65">
        <f t="shared" si="45"/>
        <v>0</v>
      </c>
      <c r="W180" s="65">
        <f t="shared" si="45"/>
        <v>0</v>
      </c>
      <c r="X180" s="65">
        <f t="shared" si="45"/>
        <v>0</v>
      </c>
      <c r="Y180" s="65">
        <f t="shared" si="45"/>
        <v>0</v>
      </c>
      <c r="Z180" s="65">
        <f t="shared" si="45"/>
        <v>0</v>
      </c>
      <c r="AA180" s="51">
        <f t="shared" si="36"/>
        <v>0</v>
      </c>
      <c r="AB180" s="51">
        <f t="shared" si="44"/>
        <v>0</v>
      </c>
      <c r="AC180" s="132"/>
      <c r="AD180" s="31">
        <f t="shared" si="37"/>
        <v>0</v>
      </c>
      <c r="AE180" s="31">
        <f t="shared" si="38"/>
        <v>0</v>
      </c>
      <c r="AF180" s="17">
        <f t="shared" si="39"/>
        <v>0</v>
      </c>
      <c r="AG180" s="17">
        <f t="shared" si="40"/>
        <v>0</v>
      </c>
      <c r="AH180" s="17">
        <f>SUM('[1]2024年全面预算利润表 (销售1中心)2.8亿'!E185:H185)</f>
        <v>0</v>
      </c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</row>
    <row r="181" spans="1:53" s="19" customFormat="1" ht="18" hidden="1" customHeight="1" outlineLevel="2" x14ac:dyDescent="0.25">
      <c r="A181" s="48" t="s">
        <v>111</v>
      </c>
      <c r="B181" s="53"/>
      <c r="C181" s="49">
        <f>'2025年中心利润表 '!C181+'2025年江苏分部利润表'!C181+'2025年浙江分部利润表'!C181+'2025年上海分部利润表'!C181+'2025年赣皖区域利润表'!C181</f>
        <v>0</v>
      </c>
      <c r="D181" s="49">
        <f>'2025年中心利润表 '!D181+'2025年江苏分部利润表'!D181+'2025年浙江分部利润表'!D181+'2025年上海分部利润表'!D181+'2025年赣皖区域利润表'!D181</f>
        <v>0</v>
      </c>
      <c r="E181" s="49">
        <f>'2025年中心利润表 '!E181+'2025年江苏分部利润表'!E181+'2025年浙江分部利润表'!E181+'2025年上海分部利润表'!E181+'2025年赣皖区域利润表'!E181</f>
        <v>0</v>
      </c>
      <c r="F181" s="49">
        <f>'2025年中心利润表 '!F181+'2025年江苏分部利润表'!F181+'2025年浙江分部利润表'!F181+'2025年上海分部利润表'!F181+'2025年赣皖区域利润表'!F181</f>
        <v>0</v>
      </c>
      <c r="G181" s="49">
        <f>'2025年中心利润表 '!G181+'2025年江苏分部利润表'!G181+'2025年浙江分部利润表'!G181+'2025年上海分部利润表'!G181+'2025年赣皖区域利润表'!G181</f>
        <v>0</v>
      </c>
      <c r="H181" s="49">
        <f>'2025年中心利润表 '!H181+'2025年江苏分部利润表'!H181+'2025年浙江分部利润表'!H181+'2025年上海分部利润表'!H181+'2025年赣皖区域利润表'!H181</f>
        <v>0</v>
      </c>
      <c r="I181" s="49">
        <f>'2025年中心利润表 '!I181+'2025年江苏分部利润表'!I181+'2025年浙江分部利润表'!I181+'2025年上海分部利润表'!I181+'2025年赣皖区域利润表'!I181</f>
        <v>0</v>
      </c>
      <c r="J181" s="49">
        <f>'2025年中心利润表 '!J181+'2025年江苏分部利润表'!J181+'2025年浙江分部利润表'!J181+'2025年上海分部利润表'!J181+'2025年赣皖区域利润表'!J181</f>
        <v>0</v>
      </c>
      <c r="K181" s="49">
        <f>'2025年中心利润表 '!K181+'2025年江苏分部利润表'!K181+'2025年浙江分部利润表'!K181+'2025年上海分部利润表'!K181+'2025年赣皖区域利润表'!K181</f>
        <v>0</v>
      </c>
      <c r="L181" s="49">
        <f>'2025年中心利润表 '!L181+'2025年江苏分部利润表'!L181+'2025年浙江分部利润表'!L181+'2025年上海分部利润表'!L181+'2025年赣皖区域利润表'!L181</f>
        <v>0</v>
      </c>
      <c r="M181" s="49">
        <f>'2025年中心利润表 '!M181+'2025年江苏分部利润表'!M181+'2025年浙江分部利润表'!M181+'2025年上海分部利润表'!M181+'2025年赣皖区域利润表'!M181</f>
        <v>0</v>
      </c>
      <c r="N181" s="49">
        <f>'2025年中心利润表 '!N181+'2025年江苏分部利润表'!N181+'2025年浙江分部利润表'!N181+'2025年上海分部利润表'!N181+'2025年赣皖区域利润表'!N181</f>
        <v>0</v>
      </c>
      <c r="O181" s="49">
        <f>'2025年中心利润表 '!O181+'2025年江苏分部利润表'!O181+'2025年浙江分部利润表'!O181+'2025年上海分部利润表'!O181+'2025年赣皖区域利润表'!O181</f>
        <v>0</v>
      </c>
      <c r="P181" s="49">
        <f>'2025年中心利润表 '!P181+'2025年江苏分部利润表'!P181+'2025年浙江分部利润表'!P181+'2025年上海分部利润表'!P181+'2025年赣皖区域利润表'!P181</f>
        <v>0</v>
      </c>
      <c r="Q181" s="49">
        <f>'2025年中心利润表 '!Q181+'2025年江苏分部利润表'!Q181+'2025年浙江分部利润表'!Q181+'2025年上海分部利润表'!Q181+'2025年赣皖区域利润表'!Q181</f>
        <v>0</v>
      </c>
      <c r="R181" s="49">
        <f>'2025年中心利润表 '!R181+'2025年江苏分部利润表'!R181+'2025年浙江分部利润表'!R181+'2025年上海分部利润表'!R181+'2025年赣皖区域利润表'!R181</f>
        <v>0</v>
      </c>
      <c r="S181" s="49">
        <f>'2025年中心利润表 '!S181+'2025年江苏分部利润表'!S181+'2025年浙江分部利润表'!S181+'2025年上海分部利润表'!S181+'2025年赣皖区域利润表'!S181</f>
        <v>0</v>
      </c>
      <c r="T181" s="49">
        <f>'2025年中心利润表 '!T181+'2025年江苏分部利润表'!T181+'2025年浙江分部利润表'!T181+'2025年上海分部利润表'!T181+'2025年赣皖区域利润表'!T181</f>
        <v>0</v>
      </c>
      <c r="U181" s="49">
        <f>'2025年中心利润表 '!U181+'2025年江苏分部利润表'!U181+'2025年浙江分部利润表'!U181+'2025年上海分部利润表'!U181+'2025年赣皖区域利润表'!U181</f>
        <v>0</v>
      </c>
      <c r="V181" s="49">
        <f>'2025年中心利润表 '!V181+'2025年江苏分部利润表'!V181+'2025年浙江分部利润表'!V181+'2025年上海分部利润表'!V181+'2025年赣皖区域利润表'!V181</f>
        <v>0</v>
      </c>
      <c r="W181" s="49">
        <f>'2025年中心利润表 '!W181+'2025年江苏分部利润表'!W181+'2025年浙江分部利润表'!W181+'2025年上海分部利润表'!W181+'2025年赣皖区域利润表'!W181</f>
        <v>0</v>
      </c>
      <c r="X181" s="49">
        <f>'2025年中心利润表 '!X181+'2025年江苏分部利润表'!X181+'2025年浙江分部利润表'!X181+'2025年上海分部利润表'!X181+'2025年赣皖区域利润表'!X181</f>
        <v>0</v>
      </c>
      <c r="Y181" s="49">
        <f>'2025年中心利润表 '!Y181+'2025年江苏分部利润表'!Y181+'2025年浙江分部利润表'!Y181+'2025年上海分部利润表'!Y181+'2025年赣皖区域利润表'!Y181</f>
        <v>0</v>
      </c>
      <c r="Z181" s="49">
        <f>'2025年中心利润表 '!Z181+'2025年江苏分部利润表'!Z181+'2025年浙江分部利润表'!Z181+'2025年上海分部利润表'!Z181+'2025年赣皖区域利润表'!Z181</f>
        <v>0</v>
      </c>
      <c r="AA181" s="51">
        <f t="shared" si="36"/>
        <v>0</v>
      </c>
      <c r="AB181" s="51">
        <f t="shared" si="44"/>
        <v>0</v>
      </c>
      <c r="AC181" s="94"/>
      <c r="AD181" s="31">
        <f t="shared" si="37"/>
        <v>0</v>
      </c>
      <c r="AE181" s="31">
        <f t="shared" si="38"/>
        <v>0</v>
      </c>
      <c r="AF181" s="17">
        <f t="shared" si="39"/>
        <v>0</v>
      </c>
      <c r="AG181" s="17">
        <f t="shared" si="40"/>
        <v>0</v>
      </c>
      <c r="AH181" s="17">
        <f>SUM('[1]2024年全面预算利润表 (销售1中心)2.8亿'!E186:H186)</f>
        <v>0</v>
      </c>
    </row>
    <row r="182" spans="1:53" s="19" customFormat="1" ht="18" hidden="1" customHeight="1" outlineLevel="2" x14ac:dyDescent="0.25">
      <c r="A182" s="48" t="s">
        <v>112</v>
      </c>
      <c r="B182" s="53"/>
      <c r="C182" s="49">
        <f>'2025年中心利润表 '!C182+'2025年江苏分部利润表'!C182+'2025年浙江分部利润表'!C182+'2025年上海分部利润表'!C182+'2025年赣皖区域利润表'!C182</f>
        <v>0</v>
      </c>
      <c r="D182" s="49">
        <f>'2025年中心利润表 '!D182+'2025年江苏分部利润表'!D182+'2025年浙江分部利润表'!D182+'2025年上海分部利润表'!D182+'2025年赣皖区域利润表'!D182</f>
        <v>0</v>
      </c>
      <c r="E182" s="49">
        <f>'2025年中心利润表 '!E182+'2025年江苏分部利润表'!E182+'2025年浙江分部利润表'!E182+'2025年上海分部利润表'!E182+'2025年赣皖区域利润表'!E182</f>
        <v>0</v>
      </c>
      <c r="F182" s="49">
        <f>'2025年中心利润表 '!F182+'2025年江苏分部利润表'!F182+'2025年浙江分部利润表'!F182+'2025年上海分部利润表'!F182+'2025年赣皖区域利润表'!F182</f>
        <v>0</v>
      </c>
      <c r="G182" s="49">
        <f>'2025年中心利润表 '!G182+'2025年江苏分部利润表'!G182+'2025年浙江分部利润表'!G182+'2025年上海分部利润表'!G182+'2025年赣皖区域利润表'!G182</f>
        <v>0</v>
      </c>
      <c r="H182" s="49">
        <f>'2025年中心利润表 '!H182+'2025年江苏分部利润表'!H182+'2025年浙江分部利润表'!H182+'2025年上海分部利润表'!H182+'2025年赣皖区域利润表'!H182</f>
        <v>0</v>
      </c>
      <c r="I182" s="49">
        <f>'2025年中心利润表 '!I182+'2025年江苏分部利润表'!I182+'2025年浙江分部利润表'!I182+'2025年上海分部利润表'!I182+'2025年赣皖区域利润表'!I182</f>
        <v>0</v>
      </c>
      <c r="J182" s="49">
        <f>'2025年中心利润表 '!J182+'2025年江苏分部利润表'!J182+'2025年浙江分部利润表'!J182+'2025年上海分部利润表'!J182+'2025年赣皖区域利润表'!J182</f>
        <v>0</v>
      </c>
      <c r="K182" s="49">
        <f>'2025年中心利润表 '!K182+'2025年江苏分部利润表'!K182+'2025年浙江分部利润表'!K182+'2025年上海分部利润表'!K182+'2025年赣皖区域利润表'!K182</f>
        <v>0</v>
      </c>
      <c r="L182" s="49">
        <f>'2025年中心利润表 '!L182+'2025年江苏分部利润表'!L182+'2025年浙江分部利润表'!L182+'2025年上海分部利润表'!L182+'2025年赣皖区域利润表'!L182</f>
        <v>0</v>
      </c>
      <c r="M182" s="49">
        <f>'2025年中心利润表 '!M182+'2025年江苏分部利润表'!M182+'2025年浙江分部利润表'!M182+'2025年上海分部利润表'!M182+'2025年赣皖区域利润表'!M182</f>
        <v>0</v>
      </c>
      <c r="N182" s="49">
        <f>'2025年中心利润表 '!N182+'2025年江苏分部利润表'!N182+'2025年浙江分部利润表'!N182+'2025年上海分部利润表'!N182+'2025年赣皖区域利润表'!N182</f>
        <v>0</v>
      </c>
      <c r="O182" s="49">
        <f>'2025年中心利润表 '!O182+'2025年江苏分部利润表'!O182+'2025年浙江分部利润表'!O182+'2025年上海分部利润表'!O182+'2025年赣皖区域利润表'!O182</f>
        <v>0</v>
      </c>
      <c r="P182" s="49">
        <f>'2025年中心利润表 '!P182+'2025年江苏分部利润表'!P182+'2025年浙江分部利润表'!P182+'2025年上海分部利润表'!P182+'2025年赣皖区域利润表'!P182</f>
        <v>0</v>
      </c>
      <c r="Q182" s="49">
        <f>'2025年中心利润表 '!Q182+'2025年江苏分部利润表'!Q182+'2025年浙江分部利润表'!Q182+'2025年上海分部利润表'!Q182+'2025年赣皖区域利润表'!Q182</f>
        <v>0</v>
      </c>
      <c r="R182" s="49">
        <f>'2025年中心利润表 '!R182+'2025年江苏分部利润表'!R182+'2025年浙江分部利润表'!R182+'2025年上海分部利润表'!R182+'2025年赣皖区域利润表'!R182</f>
        <v>0</v>
      </c>
      <c r="S182" s="49">
        <f>'2025年中心利润表 '!S182+'2025年江苏分部利润表'!S182+'2025年浙江分部利润表'!S182+'2025年上海分部利润表'!S182+'2025年赣皖区域利润表'!S182</f>
        <v>0</v>
      </c>
      <c r="T182" s="49">
        <f>'2025年中心利润表 '!T182+'2025年江苏分部利润表'!T182+'2025年浙江分部利润表'!T182+'2025年上海分部利润表'!T182+'2025年赣皖区域利润表'!T182</f>
        <v>0</v>
      </c>
      <c r="U182" s="49">
        <f>'2025年中心利润表 '!U182+'2025年江苏分部利润表'!U182+'2025年浙江分部利润表'!U182+'2025年上海分部利润表'!U182+'2025年赣皖区域利润表'!U182</f>
        <v>0</v>
      </c>
      <c r="V182" s="49">
        <f>'2025年中心利润表 '!V182+'2025年江苏分部利润表'!V182+'2025年浙江分部利润表'!V182+'2025年上海分部利润表'!V182+'2025年赣皖区域利润表'!V182</f>
        <v>0</v>
      </c>
      <c r="W182" s="49">
        <f>'2025年中心利润表 '!W182+'2025年江苏分部利润表'!W182+'2025年浙江分部利润表'!W182+'2025年上海分部利润表'!W182+'2025年赣皖区域利润表'!W182</f>
        <v>0</v>
      </c>
      <c r="X182" s="49">
        <f>'2025年中心利润表 '!X182+'2025年江苏分部利润表'!X182+'2025年浙江分部利润表'!X182+'2025年上海分部利润表'!X182+'2025年赣皖区域利润表'!X182</f>
        <v>0</v>
      </c>
      <c r="Y182" s="49">
        <f>'2025年中心利润表 '!Y182+'2025年江苏分部利润表'!Y182+'2025年浙江分部利润表'!Y182+'2025年上海分部利润表'!Y182+'2025年赣皖区域利润表'!Y182</f>
        <v>0</v>
      </c>
      <c r="Z182" s="49">
        <f>'2025年中心利润表 '!Z182+'2025年江苏分部利润表'!Z182+'2025年浙江分部利润表'!Z182+'2025年上海分部利润表'!Z182+'2025年赣皖区域利润表'!Z182</f>
        <v>0</v>
      </c>
      <c r="AA182" s="51">
        <f t="shared" si="36"/>
        <v>0</v>
      </c>
      <c r="AB182" s="51">
        <f t="shared" si="44"/>
        <v>0</v>
      </c>
      <c r="AC182" s="94"/>
      <c r="AD182" s="31">
        <f t="shared" si="37"/>
        <v>0</v>
      </c>
      <c r="AE182" s="31">
        <f t="shared" si="38"/>
        <v>0</v>
      </c>
      <c r="AF182" s="17">
        <f t="shared" si="39"/>
        <v>0</v>
      </c>
      <c r="AG182" s="17">
        <f t="shared" si="40"/>
        <v>0</v>
      </c>
      <c r="AH182" s="17">
        <f>SUM('[1]2024年全面预算利润表 (销售1中心)2.8亿'!E187:H187)</f>
        <v>0</v>
      </c>
    </row>
    <row r="183" spans="1:53" s="19" customFormat="1" ht="18" hidden="1" customHeight="1" outlineLevel="2" x14ac:dyDescent="0.25">
      <c r="A183" s="48" t="s">
        <v>113</v>
      </c>
      <c r="B183" s="53"/>
      <c r="C183" s="49">
        <f>'2025年中心利润表 '!C183+'2025年江苏分部利润表'!C183+'2025年浙江分部利润表'!C183+'2025年上海分部利润表'!C183+'2025年赣皖区域利润表'!C183</f>
        <v>0</v>
      </c>
      <c r="D183" s="49">
        <f>'2025年中心利润表 '!D183+'2025年江苏分部利润表'!D183+'2025年浙江分部利润表'!D183+'2025年上海分部利润表'!D183+'2025年赣皖区域利润表'!D183</f>
        <v>0</v>
      </c>
      <c r="E183" s="49">
        <f>'2025年中心利润表 '!E183+'2025年江苏分部利润表'!E183+'2025年浙江分部利润表'!E183+'2025年上海分部利润表'!E183+'2025年赣皖区域利润表'!E183</f>
        <v>0</v>
      </c>
      <c r="F183" s="49">
        <f>'2025年中心利润表 '!F183+'2025年江苏分部利润表'!F183+'2025年浙江分部利润表'!F183+'2025年上海分部利润表'!F183+'2025年赣皖区域利润表'!F183</f>
        <v>0</v>
      </c>
      <c r="G183" s="49">
        <f>'2025年中心利润表 '!G183+'2025年江苏分部利润表'!G183+'2025年浙江分部利润表'!G183+'2025年上海分部利润表'!G183+'2025年赣皖区域利润表'!G183</f>
        <v>0</v>
      </c>
      <c r="H183" s="49">
        <f>'2025年中心利润表 '!H183+'2025年江苏分部利润表'!H183+'2025年浙江分部利润表'!H183+'2025年上海分部利润表'!H183+'2025年赣皖区域利润表'!H183</f>
        <v>0</v>
      </c>
      <c r="I183" s="49">
        <f>'2025年中心利润表 '!I183+'2025年江苏分部利润表'!I183+'2025年浙江分部利润表'!I183+'2025年上海分部利润表'!I183+'2025年赣皖区域利润表'!I183</f>
        <v>0</v>
      </c>
      <c r="J183" s="49">
        <f>'2025年中心利润表 '!J183+'2025年江苏分部利润表'!J183+'2025年浙江分部利润表'!J183+'2025年上海分部利润表'!J183+'2025年赣皖区域利润表'!J183</f>
        <v>0</v>
      </c>
      <c r="K183" s="49">
        <f>'2025年中心利润表 '!K183+'2025年江苏分部利润表'!K183+'2025年浙江分部利润表'!K183+'2025年上海分部利润表'!K183+'2025年赣皖区域利润表'!K183</f>
        <v>0</v>
      </c>
      <c r="L183" s="49">
        <f>'2025年中心利润表 '!L183+'2025年江苏分部利润表'!L183+'2025年浙江分部利润表'!L183+'2025年上海分部利润表'!L183+'2025年赣皖区域利润表'!L183</f>
        <v>0</v>
      </c>
      <c r="M183" s="49">
        <f>'2025年中心利润表 '!M183+'2025年江苏分部利润表'!M183+'2025年浙江分部利润表'!M183+'2025年上海分部利润表'!M183+'2025年赣皖区域利润表'!M183</f>
        <v>0</v>
      </c>
      <c r="N183" s="49">
        <f>'2025年中心利润表 '!N183+'2025年江苏分部利润表'!N183+'2025年浙江分部利润表'!N183+'2025年上海分部利润表'!N183+'2025年赣皖区域利润表'!N183</f>
        <v>0</v>
      </c>
      <c r="O183" s="49">
        <f>'2025年中心利润表 '!O183+'2025年江苏分部利润表'!O183+'2025年浙江分部利润表'!O183+'2025年上海分部利润表'!O183+'2025年赣皖区域利润表'!O183</f>
        <v>0</v>
      </c>
      <c r="P183" s="49">
        <f>'2025年中心利润表 '!P183+'2025年江苏分部利润表'!P183+'2025年浙江分部利润表'!P183+'2025年上海分部利润表'!P183+'2025年赣皖区域利润表'!P183</f>
        <v>0</v>
      </c>
      <c r="Q183" s="49">
        <f>'2025年中心利润表 '!Q183+'2025年江苏分部利润表'!Q183+'2025年浙江分部利润表'!Q183+'2025年上海分部利润表'!Q183+'2025年赣皖区域利润表'!Q183</f>
        <v>0</v>
      </c>
      <c r="R183" s="49">
        <f>'2025年中心利润表 '!R183+'2025年江苏分部利润表'!R183+'2025年浙江分部利润表'!R183+'2025年上海分部利润表'!R183+'2025年赣皖区域利润表'!R183</f>
        <v>0</v>
      </c>
      <c r="S183" s="49">
        <f>'2025年中心利润表 '!S183+'2025年江苏分部利润表'!S183+'2025年浙江分部利润表'!S183+'2025年上海分部利润表'!S183+'2025年赣皖区域利润表'!S183</f>
        <v>0</v>
      </c>
      <c r="T183" s="49">
        <f>'2025年中心利润表 '!T183+'2025年江苏分部利润表'!T183+'2025年浙江分部利润表'!T183+'2025年上海分部利润表'!T183+'2025年赣皖区域利润表'!T183</f>
        <v>0</v>
      </c>
      <c r="U183" s="49">
        <f>'2025年中心利润表 '!U183+'2025年江苏分部利润表'!U183+'2025年浙江分部利润表'!U183+'2025年上海分部利润表'!U183+'2025年赣皖区域利润表'!U183</f>
        <v>0</v>
      </c>
      <c r="V183" s="49">
        <f>'2025年中心利润表 '!V183+'2025年江苏分部利润表'!V183+'2025年浙江分部利润表'!V183+'2025年上海分部利润表'!V183+'2025年赣皖区域利润表'!V183</f>
        <v>0</v>
      </c>
      <c r="W183" s="49">
        <f>'2025年中心利润表 '!W183+'2025年江苏分部利润表'!W183+'2025年浙江分部利润表'!W183+'2025年上海分部利润表'!W183+'2025年赣皖区域利润表'!W183</f>
        <v>0</v>
      </c>
      <c r="X183" s="49">
        <f>'2025年中心利润表 '!X183+'2025年江苏分部利润表'!X183+'2025年浙江分部利润表'!X183+'2025年上海分部利润表'!X183+'2025年赣皖区域利润表'!X183</f>
        <v>0</v>
      </c>
      <c r="Y183" s="49">
        <f>'2025年中心利润表 '!Y183+'2025年江苏分部利润表'!Y183+'2025年浙江分部利润表'!Y183+'2025年上海分部利润表'!Y183+'2025年赣皖区域利润表'!Y183</f>
        <v>0</v>
      </c>
      <c r="Z183" s="49">
        <f>'2025年中心利润表 '!Z183+'2025年江苏分部利润表'!Z183+'2025年浙江分部利润表'!Z183+'2025年上海分部利润表'!Z183+'2025年赣皖区域利润表'!Z183</f>
        <v>0</v>
      </c>
      <c r="AA183" s="51">
        <f t="shared" si="36"/>
        <v>0</v>
      </c>
      <c r="AB183" s="51">
        <f t="shared" si="44"/>
        <v>0</v>
      </c>
      <c r="AC183" s="94"/>
      <c r="AD183" s="31">
        <f t="shared" si="37"/>
        <v>0</v>
      </c>
      <c r="AE183" s="31">
        <f t="shared" si="38"/>
        <v>0</v>
      </c>
      <c r="AF183" s="17">
        <f t="shared" si="39"/>
        <v>0</v>
      </c>
      <c r="AG183" s="17">
        <f t="shared" si="40"/>
        <v>0</v>
      </c>
      <c r="AH183" s="17">
        <f>SUM('[1]2024年全面预算利润表 (销售1中心)2.8亿'!E188:H188)</f>
        <v>0</v>
      </c>
    </row>
    <row r="184" spans="1:53" s="19" customFormat="1" ht="18" hidden="1" customHeight="1" outlineLevel="2" x14ac:dyDescent="0.25">
      <c r="A184" s="48" t="s">
        <v>114</v>
      </c>
      <c r="B184" s="53"/>
      <c r="C184" s="49">
        <f>'2025年中心利润表 '!C184+'2025年江苏分部利润表'!C184+'2025年浙江分部利润表'!C184+'2025年上海分部利润表'!C184+'2025年赣皖区域利润表'!C184</f>
        <v>0</v>
      </c>
      <c r="D184" s="49">
        <f>'2025年中心利润表 '!D184+'2025年江苏分部利润表'!D184+'2025年浙江分部利润表'!D184+'2025年上海分部利润表'!D184+'2025年赣皖区域利润表'!D184</f>
        <v>0</v>
      </c>
      <c r="E184" s="49">
        <f>'2025年中心利润表 '!E184+'2025年江苏分部利润表'!E184+'2025年浙江分部利润表'!E184+'2025年上海分部利润表'!E184+'2025年赣皖区域利润表'!E184</f>
        <v>0</v>
      </c>
      <c r="F184" s="49">
        <f>'2025年中心利润表 '!F184+'2025年江苏分部利润表'!F184+'2025年浙江分部利润表'!F184+'2025年上海分部利润表'!F184+'2025年赣皖区域利润表'!F184</f>
        <v>0</v>
      </c>
      <c r="G184" s="49">
        <f>'2025年中心利润表 '!G184+'2025年江苏分部利润表'!G184+'2025年浙江分部利润表'!G184+'2025年上海分部利润表'!G184+'2025年赣皖区域利润表'!G184</f>
        <v>0</v>
      </c>
      <c r="H184" s="49">
        <f>'2025年中心利润表 '!H184+'2025年江苏分部利润表'!H184+'2025年浙江分部利润表'!H184+'2025年上海分部利润表'!H184+'2025年赣皖区域利润表'!H184</f>
        <v>0</v>
      </c>
      <c r="I184" s="49">
        <f>'2025年中心利润表 '!I184+'2025年江苏分部利润表'!I184+'2025年浙江分部利润表'!I184+'2025年上海分部利润表'!I184+'2025年赣皖区域利润表'!I184</f>
        <v>0</v>
      </c>
      <c r="J184" s="49">
        <f>'2025年中心利润表 '!J184+'2025年江苏分部利润表'!J184+'2025年浙江分部利润表'!J184+'2025年上海分部利润表'!J184+'2025年赣皖区域利润表'!J184</f>
        <v>0</v>
      </c>
      <c r="K184" s="49">
        <f>'2025年中心利润表 '!K184+'2025年江苏分部利润表'!K184+'2025年浙江分部利润表'!K184+'2025年上海分部利润表'!K184+'2025年赣皖区域利润表'!K184</f>
        <v>0</v>
      </c>
      <c r="L184" s="49">
        <f>'2025年中心利润表 '!L184+'2025年江苏分部利润表'!L184+'2025年浙江分部利润表'!L184+'2025年上海分部利润表'!L184+'2025年赣皖区域利润表'!L184</f>
        <v>0</v>
      </c>
      <c r="M184" s="49">
        <f>'2025年中心利润表 '!M184+'2025年江苏分部利润表'!M184+'2025年浙江分部利润表'!M184+'2025年上海分部利润表'!M184+'2025年赣皖区域利润表'!M184</f>
        <v>0</v>
      </c>
      <c r="N184" s="49">
        <f>'2025年中心利润表 '!N184+'2025年江苏分部利润表'!N184+'2025年浙江分部利润表'!N184+'2025年上海分部利润表'!N184+'2025年赣皖区域利润表'!N184</f>
        <v>0</v>
      </c>
      <c r="O184" s="49">
        <f>'2025年中心利润表 '!O184+'2025年江苏分部利润表'!O184+'2025年浙江分部利润表'!O184+'2025年上海分部利润表'!O184+'2025年赣皖区域利润表'!O184</f>
        <v>0</v>
      </c>
      <c r="P184" s="49">
        <f>'2025年中心利润表 '!P184+'2025年江苏分部利润表'!P184+'2025年浙江分部利润表'!P184+'2025年上海分部利润表'!P184+'2025年赣皖区域利润表'!P184</f>
        <v>0</v>
      </c>
      <c r="Q184" s="49">
        <f>'2025年中心利润表 '!Q184+'2025年江苏分部利润表'!Q184+'2025年浙江分部利润表'!Q184+'2025年上海分部利润表'!Q184+'2025年赣皖区域利润表'!Q184</f>
        <v>0</v>
      </c>
      <c r="R184" s="49">
        <f>'2025年中心利润表 '!R184+'2025年江苏分部利润表'!R184+'2025年浙江分部利润表'!R184+'2025年上海分部利润表'!R184+'2025年赣皖区域利润表'!R184</f>
        <v>0</v>
      </c>
      <c r="S184" s="49">
        <f>'2025年中心利润表 '!S184+'2025年江苏分部利润表'!S184+'2025年浙江分部利润表'!S184+'2025年上海分部利润表'!S184+'2025年赣皖区域利润表'!S184</f>
        <v>0</v>
      </c>
      <c r="T184" s="49">
        <f>'2025年中心利润表 '!T184+'2025年江苏分部利润表'!T184+'2025年浙江分部利润表'!T184+'2025年上海分部利润表'!T184+'2025年赣皖区域利润表'!T184</f>
        <v>0</v>
      </c>
      <c r="U184" s="49">
        <f>'2025年中心利润表 '!U184+'2025年江苏分部利润表'!U184+'2025年浙江分部利润表'!U184+'2025年上海分部利润表'!U184+'2025年赣皖区域利润表'!U184</f>
        <v>0</v>
      </c>
      <c r="V184" s="49">
        <f>'2025年中心利润表 '!V184+'2025年江苏分部利润表'!V184+'2025年浙江分部利润表'!V184+'2025年上海分部利润表'!V184+'2025年赣皖区域利润表'!V184</f>
        <v>0</v>
      </c>
      <c r="W184" s="49">
        <f>'2025年中心利润表 '!W184+'2025年江苏分部利润表'!W184+'2025年浙江分部利润表'!W184+'2025年上海分部利润表'!W184+'2025年赣皖区域利润表'!W184</f>
        <v>0</v>
      </c>
      <c r="X184" s="49">
        <f>'2025年中心利润表 '!X184+'2025年江苏分部利润表'!X184+'2025年浙江分部利润表'!X184+'2025年上海分部利润表'!X184+'2025年赣皖区域利润表'!X184</f>
        <v>0</v>
      </c>
      <c r="Y184" s="49">
        <f>'2025年中心利润表 '!Y184+'2025年江苏分部利润表'!Y184+'2025年浙江分部利润表'!Y184+'2025年上海分部利润表'!Y184+'2025年赣皖区域利润表'!Y184</f>
        <v>0</v>
      </c>
      <c r="Z184" s="49">
        <f>'2025年中心利润表 '!Z184+'2025年江苏分部利润表'!Z184+'2025年浙江分部利润表'!Z184+'2025年上海分部利润表'!Z184+'2025年赣皖区域利润表'!Z184</f>
        <v>0</v>
      </c>
      <c r="AA184" s="51">
        <f t="shared" si="36"/>
        <v>0</v>
      </c>
      <c r="AB184" s="51">
        <f t="shared" si="44"/>
        <v>0</v>
      </c>
      <c r="AC184" s="94"/>
      <c r="AD184" s="31">
        <f t="shared" si="37"/>
        <v>0</v>
      </c>
      <c r="AE184" s="31">
        <f t="shared" si="38"/>
        <v>0</v>
      </c>
      <c r="AF184" s="17">
        <f t="shared" si="39"/>
        <v>0</v>
      </c>
      <c r="AG184" s="17">
        <f t="shared" si="40"/>
        <v>0</v>
      </c>
      <c r="AH184" s="17">
        <f>SUM('[1]2024年全面预算利润表 (销售1中心)2.8亿'!E189:H189)</f>
        <v>0</v>
      </c>
    </row>
    <row r="185" spans="1:53" s="19" customFormat="1" ht="18" hidden="1" customHeight="1" outlineLevel="2" x14ac:dyDescent="0.25">
      <c r="A185" s="48" t="s">
        <v>115</v>
      </c>
      <c r="B185" s="53"/>
      <c r="C185" s="49">
        <f>'2025年中心利润表 '!C185+'2025年江苏分部利润表'!C185+'2025年浙江分部利润表'!C185+'2025年上海分部利润表'!C185+'2025年赣皖区域利润表'!C185</f>
        <v>0</v>
      </c>
      <c r="D185" s="49">
        <f>'2025年中心利润表 '!D185+'2025年江苏分部利润表'!D185+'2025年浙江分部利润表'!D185+'2025年上海分部利润表'!D185+'2025年赣皖区域利润表'!D185</f>
        <v>0</v>
      </c>
      <c r="E185" s="49">
        <f>'2025年中心利润表 '!E185+'2025年江苏分部利润表'!E185+'2025年浙江分部利润表'!E185+'2025年上海分部利润表'!E185+'2025年赣皖区域利润表'!E185</f>
        <v>0</v>
      </c>
      <c r="F185" s="49">
        <f>'2025年中心利润表 '!F185+'2025年江苏分部利润表'!F185+'2025年浙江分部利润表'!F185+'2025年上海分部利润表'!F185+'2025年赣皖区域利润表'!F185</f>
        <v>0</v>
      </c>
      <c r="G185" s="49">
        <f>'2025年中心利润表 '!G185+'2025年江苏分部利润表'!G185+'2025年浙江分部利润表'!G185+'2025年上海分部利润表'!G185+'2025年赣皖区域利润表'!G185</f>
        <v>0</v>
      </c>
      <c r="H185" s="49">
        <f>'2025年中心利润表 '!H185+'2025年江苏分部利润表'!H185+'2025年浙江分部利润表'!H185+'2025年上海分部利润表'!H185+'2025年赣皖区域利润表'!H185</f>
        <v>0</v>
      </c>
      <c r="I185" s="49">
        <f>'2025年中心利润表 '!I185+'2025年江苏分部利润表'!I185+'2025年浙江分部利润表'!I185+'2025年上海分部利润表'!I185+'2025年赣皖区域利润表'!I185</f>
        <v>0</v>
      </c>
      <c r="J185" s="49">
        <f>'2025年中心利润表 '!J185+'2025年江苏分部利润表'!J185+'2025年浙江分部利润表'!J185+'2025年上海分部利润表'!J185+'2025年赣皖区域利润表'!J185</f>
        <v>0</v>
      </c>
      <c r="K185" s="49">
        <f>'2025年中心利润表 '!K185+'2025年江苏分部利润表'!K185+'2025年浙江分部利润表'!K185+'2025年上海分部利润表'!K185+'2025年赣皖区域利润表'!K185</f>
        <v>0</v>
      </c>
      <c r="L185" s="49">
        <f>'2025年中心利润表 '!L185+'2025年江苏分部利润表'!L185+'2025年浙江分部利润表'!L185+'2025年上海分部利润表'!L185+'2025年赣皖区域利润表'!L185</f>
        <v>0</v>
      </c>
      <c r="M185" s="49">
        <f>'2025年中心利润表 '!M185+'2025年江苏分部利润表'!M185+'2025年浙江分部利润表'!M185+'2025年上海分部利润表'!M185+'2025年赣皖区域利润表'!M185</f>
        <v>0</v>
      </c>
      <c r="N185" s="49">
        <f>'2025年中心利润表 '!N185+'2025年江苏分部利润表'!N185+'2025年浙江分部利润表'!N185+'2025年上海分部利润表'!N185+'2025年赣皖区域利润表'!N185</f>
        <v>0</v>
      </c>
      <c r="O185" s="49">
        <f>'2025年中心利润表 '!O185+'2025年江苏分部利润表'!O185+'2025年浙江分部利润表'!O185+'2025年上海分部利润表'!O185+'2025年赣皖区域利润表'!O185</f>
        <v>0</v>
      </c>
      <c r="P185" s="49">
        <f>'2025年中心利润表 '!P185+'2025年江苏分部利润表'!P185+'2025年浙江分部利润表'!P185+'2025年上海分部利润表'!P185+'2025年赣皖区域利润表'!P185</f>
        <v>0</v>
      </c>
      <c r="Q185" s="49">
        <f>'2025年中心利润表 '!Q185+'2025年江苏分部利润表'!Q185+'2025年浙江分部利润表'!Q185+'2025年上海分部利润表'!Q185+'2025年赣皖区域利润表'!Q185</f>
        <v>0</v>
      </c>
      <c r="R185" s="49">
        <f>'2025年中心利润表 '!R185+'2025年江苏分部利润表'!R185+'2025年浙江分部利润表'!R185+'2025年上海分部利润表'!R185+'2025年赣皖区域利润表'!R185</f>
        <v>0</v>
      </c>
      <c r="S185" s="49">
        <f>'2025年中心利润表 '!S185+'2025年江苏分部利润表'!S185+'2025年浙江分部利润表'!S185+'2025年上海分部利润表'!S185+'2025年赣皖区域利润表'!S185</f>
        <v>0</v>
      </c>
      <c r="T185" s="49">
        <f>'2025年中心利润表 '!T185+'2025年江苏分部利润表'!T185+'2025年浙江分部利润表'!T185+'2025年上海分部利润表'!T185+'2025年赣皖区域利润表'!T185</f>
        <v>0</v>
      </c>
      <c r="U185" s="49">
        <f>'2025年中心利润表 '!U185+'2025年江苏分部利润表'!U185+'2025年浙江分部利润表'!U185+'2025年上海分部利润表'!U185+'2025年赣皖区域利润表'!U185</f>
        <v>0</v>
      </c>
      <c r="V185" s="49">
        <f>'2025年中心利润表 '!V185+'2025年江苏分部利润表'!V185+'2025年浙江分部利润表'!V185+'2025年上海分部利润表'!V185+'2025年赣皖区域利润表'!V185</f>
        <v>0</v>
      </c>
      <c r="W185" s="49">
        <f>'2025年中心利润表 '!W185+'2025年江苏分部利润表'!W185+'2025年浙江分部利润表'!W185+'2025年上海分部利润表'!W185+'2025年赣皖区域利润表'!W185</f>
        <v>0</v>
      </c>
      <c r="X185" s="49">
        <f>'2025年中心利润表 '!X185+'2025年江苏分部利润表'!X185+'2025年浙江分部利润表'!X185+'2025年上海分部利润表'!X185+'2025年赣皖区域利润表'!X185</f>
        <v>0</v>
      </c>
      <c r="Y185" s="49">
        <f>'2025年中心利润表 '!Y185+'2025年江苏分部利润表'!Y185+'2025年浙江分部利润表'!Y185+'2025年上海分部利润表'!Y185+'2025年赣皖区域利润表'!Y185</f>
        <v>0</v>
      </c>
      <c r="Z185" s="49">
        <f>'2025年中心利润表 '!Z185+'2025年江苏分部利润表'!Z185+'2025年浙江分部利润表'!Z185+'2025年上海分部利润表'!Z185+'2025年赣皖区域利润表'!Z185</f>
        <v>0</v>
      </c>
      <c r="AA185" s="51">
        <f t="shared" si="36"/>
        <v>0</v>
      </c>
      <c r="AB185" s="51">
        <f t="shared" si="44"/>
        <v>0</v>
      </c>
      <c r="AC185" s="94"/>
      <c r="AD185" s="31">
        <f t="shared" si="37"/>
        <v>0</v>
      </c>
      <c r="AE185" s="31">
        <f t="shared" si="38"/>
        <v>0</v>
      </c>
      <c r="AF185" s="17">
        <f t="shared" si="39"/>
        <v>0</v>
      </c>
      <c r="AG185" s="17">
        <f t="shared" si="40"/>
        <v>0</v>
      </c>
      <c r="AH185" s="17">
        <f>SUM('[1]2024年全面预算利润表 (销售1中心)2.8亿'!E190:H190)</f>
        <v>0</v>
      </c>
    </row>
    <row r="186" spans="1:53" s="19" customFormat="1" ht="18" hidden="1" customHeight="1" outlineLevel="1" collapsed="1" x14ac:dyDescent="0.25">
      <c r="A186" s="48" t="s">
        <v>116</v>
      </c>
      <c r="B186" s="53"/>
      <c r="C186" s="49">
        <f>'2025年中心利润表 '!C186+'2025年江苏分部利润表'!C186+'2025年浙江分部利润表'!C186+'2025年上海分部利润表'!C186+'2025年赣皖区域利润表'!C186</f>
        <v>0</v>
      </c>
      <c r="D186" s="49">
        <f>'2025年中心利润表 '!D186+'2025年江苏分部利润表'!D186+'2025年浙江分部利润表'!D186+'2025年上海分部利润表'!D186+'2025年赣皖区域利润表'!D186</f>
        <v>0</v>
      </c>
      <c r="E186" s="49">
        <f>'2025年中心利润表 '!E186+'2025年江苏分部利润表'!E186+'2025年浙江分部利润表'!E186+'2025年上海分部利润表'!E186+'2025年赣皖区域利润表'!E186</f>
        <v>0</v>
      </c>
      <c r="F186" s="49">
        <f>'2025年中心利润表 '!F186+'2025年江苏分部利润表'!F186+'2025年浙江分部利润表'!F186+'2025年上海分部利润表'!F186+'2025年赣皖区域利润表'!F186</f>
        <v>0</v>
      </c>
      <c r="G186" s="49">
        <f>'2025年中心利润表 '!G186+'2025年江苏分部利润表'!G186+'2025年浙江分部利润表'!G186+'2025年上海分部利润表'!G186+'2025年赣皖区域利润表'!G186</f>
        <v>0</v>
      </c>
      <c r="H186" s="49">
        <f>'2025年中心利润表 '!H186+'2025年江苏分部利润表'!H186+'2025年浙江分部利润表'!H186+'2025年上海分部利润表'!H186+'2025年赣皖区域利润表'!H186</f>
        <v>0</v>
      </c>
      <c r="I186" s="49">
        <f>'2025年中心利润表 '!I186+'2025年江苏分部利润表'!I186+'2025年浙江分部利润表'!I186+'2025年上海分部利润表'!I186+'2025年赣皖区域利润表'!I186</f>
        <v>0</v>
      </c>
      <c r="J186" s="49">
        <f>'2025年中心利润表 '!J186+'2025年江苏分部利润表'!J186+'2025年浙江分部利润表'!J186+'2025年上海分部利润表'!J186+'2025年赣皖区域利润表'!J186</f>
        <v>0</v>
      </c>
      <c r="K186" s="49">
        <f>'2025年中心利润表 '!K186+'2025年江苏分部利润表'!K186+'2025年浙江分部利润表'!K186+'2025年上海分部利润表'!K186+'2025年赣皖区域利润表'!K186</f>
        <v>0</v>
      </c>
      <c r="L186" s="49">
        <f>'2025年中心利润表 '!L186+'2025年江苏分部利润表'!L186+'2025年浙江分部利润表'!L186+'2025年上海分部利润表'!L186+'2025年赣皖区域利润表'!L186</f>
        <v>0</v>
      </c>
      <c r="M186" s="49">
        <f>'2025年中心利润表 '!M186+'2025年江苏分部利润表'!M186+'2025年浙江分部利润表'!M186+'2025年上海分部利润表'!M186+'2025年赣皖区域利润表'!M186</f>
        <v>0</v>
      </c>
      <c r="N186" s="49">
        <f>'2025年中心利润表 '!N186+'2025年江苏分部利润表'!N186+'2025年浙江分部利润表'!N186+'2025年上海分部利润表'!N186+'2025年赣皖区域利润表'!N186</f>
        <v>0</v>
      </c>
      <c r="O186" s="49">
        <f>'2025年中心利润表 '!O186+'2025年江苏分部利润表'!O186+'2025年浙江分部利润表'!O186+'2025年上海分部利润表'!O186+'2025年赣皖区域利润表'!O186</f>
        <v>0</v>
      </c>
      <c r="P186" s="49">
        <f>'2025年中心利润表 '!P186+'2025年江苏分部利润表'!P186+'2025年浙江分部利润表'!P186+'2025年上海分部利润表'!P186+'2025年赣皖区域利润表'!P186</f>
        <v>0</v>
      </c>
      <c r="Q186" s="49">
        <f>'2025年中心利润表 '!Q186+'2025年江苏分部利润表'!Q186+'2025年浙江分部利润表'!Q186+'2025年上海分部利润表'!Q186+'2025年赣皖区域利润表'!Q186</f>
        <v>0</v>
      </c>
      <c r="R186" s="49">
        <f>'2025年中心利润表 '!R186+'2025年江苏分部利润表'!R186+'2025年浙江分部利润表'!R186+'2025年上海分部利润表'!R186+'2025年赣皖区域利润表'!R186</f>
        <v>0</v>
      </c>
      <c r="S186" s="49">
        <f>'2025年中心利润表 '!S186+'2025年江苏分部利润表'!S186+'2025年浙江分部利润表'!S186+'2025年上海分部利润表'!S186+'2025年赣皖区域利润表'!S186</f>
        <v>0</v>
      </c>
      <c r="T186" s="49">
        <f>'2025年中心利润表 '!T186+'2025年江苏分部利润表'!T186+'2025年浙江分部利润表'!T186+'2025年上海分部利润表'!T186+'2025年赣皖区域利润表'!T186</f>
        <v>0</v>
      </c>
      <c r="U186" s="49">
        <f>'2025年中心利润表 '!U186+'2025年江苏分部利润表'!U186+'2025年浙江分部利润表'!U186+'2025年上海分部利润表'!U186+'2025年赣皖区域利润表'!U186</f>
        <v>0</v>
      </c>
      <c r="V186" s="49">
        <f>'2025年中心利润表 '!V186+'2025年江苏分部利润表'!V186+'2025年浙江分部利润表'!V186+'2025年上海分部利润表'!V186+'2025年赣皖区域利润表'!V186</f>
        <v>0</v>
      </c>
      <c r="W186" s="49">
        <f>'2025年中心利润表 '!W186+'2025年江苏分部利润表'!W186+'2025年浙江分部利润表'!W186+'2025年上海分部利润表'!W186+'2025年赣皖区域利润表'!W186</f>
        <v>0</v>
      </c>
      <c r="X186" s="49">
        <f>'2025年中心利润表 '!X186+'2025年江苏分部利润表'!X186+'2025年浙江分部利润表'!X186+'2025年上海分部利润表'!X186+'2025年赣皖区域利润表'!X186</f>
        <v>0</v>
      </c>
      <c r="Y186" s="49">
        <f>'2025年中心利润表 '!Y186+'2025年江苏分部利润表'!Y186+'2025年浙江分部利润表'!Y186+'2025年上海分部利润表'!Y186+'2025年赣皖区域利润表'!Y186</f>
        <v>0</v>
      </c>
      <c r="Z186" s="49">
        <f>'2025年中心利润表 '!Z186+'2025年江苏分部利润表'!Z186+'2025年浙江分部利润表'!Z186+'2025年上海分部利润表'!Z186+'2025年赣皖区域利润表'!Z186</f>
        <v>0</v>
      </c>
      <c r="AA186" s="51">
        <f t="shared" si="36"/>
        <v>0</v>
      </c>
      <c r="AB186" s="51">
        <f t="shared" si="44"/>
        <v>0</v>
      </c>
      <c r="AC186" s="94"/>
      <c r="AD186" s="31">
        <f t="shared" si="37"/>
        <v>0</v>
      </c>
      <c r="AE186" s="31">
        <f t="shared" si="38"/>
        <v>0</v>
      </c>
      <c r="AF186" s="17">
        <f t="shared" si="39"/>
        <v>0</v>
      </c>
      <c r="AG186" s="17">
        <f t="shared" si="40"/>
        <v>0</v>
      </c>
      <c r="AH186" s="17">
        <f>SUM('[1]2024年全面预算利润表 (销售1中心)2.8亿'!E191:H191)</f>
        <v>0</v>
      </c>
    </row>
    <row r="187" spans="1:53" s="19" customFormat="1" ht="18" hidden="1" customHeight="1" outlineLevel="1" x14ac:dyDescent="0.25">
      <c r="A187" s="48" t="s">
        <v>117</v>
      </c>
      <c r="B187" s="53"/>
      <c r="C187" s="49">
        <f>'2025年中心利润表 '!C187+'2025年江苏分部利润表'!C187+'2025年浙江分部利润表'!C187+'2025年上海分部利润表'!C187+'2025年赣皖区域利润表'!C187</f>
        <v>0</v>
      </c>
      <c r="D187" s="49">
        <f>'2025年中心利润表 '!D187+'2025年江苏分部利润表'!D187+'2025年浙江分部利润表'!D187+'2025年上海分部利润表'!D187+'2025年赣皖区域利润表'!D187</f>
        <v>0</v>
      </c>
      <c r="E187" s="49">
        <f>'2025年中心利润表 '!E187+'2025年江苏分部利润表'!E187+'2025年浙江分部利润表'!E187+'2025年上海分部利润表'!E187+'2025年赣皖区域利润表'!E187</f>
        <v>0</v>
      </c>
      <c r="F187" s="49">
        <f>'2025年中心利润表 '!F187+'2025年江苏分部利润表'!F187+'2025年浙江分部利润表'!F187+'2025年上海分部利润表'!F187+'2025年赣皖区域利润表'!F187</f>
        <v>0</v>
      </c>
      <c r="G187" s="49">
        <f>'2025年中心利润表 '!G187+'2025年江苏分部利润表'!G187+'2025年浙江分部利润表'!G187+'2025年上海分部利润表'!G187+'2025年赣皖区域利润表'!G187</f>
        <v>0</v>
      </c>
      <c r="H187" s="49">
        <f>'2025年中心利润表 '!H187+'2025年江苏分部利润表'!H187+'2025年浙江分部利润表'!H187+'2025年上海分部利润表'!H187+'2025年赣皖区域利润表'!H187</f>
        <v>0</v>
      </c>
      <c r="I187" s="49">
        <f>'2025年中心利润表 '!I187+'2025年江苏分部利润表'!I187+'2025年浙江分部利润表'!I187+'2025年上海分部利润表'!I187+'2025年赣皖区域利润表'!I187</f>
        <v>0</v>
      </c>
      <c r="J187" s="49">
        <f>'2025年中心利润表 '!J187+'2025年江苏分部利润表'!J187+'2025年浙江分部利润表'!J187+'2025年上海分部利润表'!J187+'2025年赣皖区域利润表'!J187</f>
        <v>0</v>
      </c>
      <c r="K187" s="49">
        <f>'2025年中心利润表 '!K187+'2025年江苏分部利润表'!K187+'2025年浙江分部利润表'!K187+'2025年上海分部利润表'!K187+'2025年赣皖区域利润表'!K187</f>
        <v>0</v>
      </c>
      <c r="L187" s="49">
        <f>'2025年中心利润表 '!L187+'2025年江苏分部利润表'!L187+'2025年浙江分部利润表'!L187+'2025年上海分部利润表'!L187+'2025年赣皖区域利润表'!L187</f>
        <v>0</v>
      </c>
      <c r="M187" s="49">
        <f>'2025年中心利润表 '!M187+'2025年江苏分部利润表'!M187+'2025年浙江分部利润表'!M187+'2025年上海分部利润表'!M187+'2025年赣皖区域利润表'!M187</f>
        <v>0</v>
      </c>
      <c r="N187" s="49">
        <f>'2025年中心利润表 '!N187+'2025年江苏分部利润表'!N187+'2025年浙江分部利润表'!N187+'2025年上海分部利润表'!N187+'2025年赣皖区域利润表'!N187</f>
        <v>0</v>
      </c>
      <c r="O187" s="49">
        <f>'2025年中心利润表 '!O187+'2025年江苏分部利润表'!O187+'2025年浙江分部利润表'!O187+'2025年上海分部利润表'!O187+'2025年赣皖区域利润表'!O187</f>
        <v>0</v>
      </c>
      <c r="P187" s="49">
        <f>'2025年中心利润表 '!P187+'2025年江苏分部利润表'!P187+'2025年浙江分部利润表'!P187+'2025年上海分部利润表'!P187+'2025年赣皖区域利润表'!P187</f>
        <v>0</v>
      </c>
      <c r="Q187" s="49">
        <f>'2025年中心利润表 '!Q187+'2025年江苏分部利润表'!Q187+'2025年浙江分部利润表'!Q187+'2025年上海分部利润表'!Q187+'2025年赣皖区域利润表'!Q187</f>
        <v>0</v>
      </c>
      <c r="R187" s="49">
        <f>'2025年中心利润表 '!R187+'2025年江苏分部利润表'!R187+'2025年浙江分部利润表'!R187+'2025年上海分部利润表'!R187+'2025年赣皖区域利润表'!R187</f>
        <v>0</v>
      </c>
      <c r="S187" s="49">
        <f>'2025年中心利润表 '!S187+'2025年江苏分部利润表'!S187+'2025年浙江分部利润表'!S187+'2025年上海分部利润表'!S187+'2025年赣皖区域利润表'!S187</f>
        <v>0</v>
      </c>
      <c r="T187" s="49">
        <f>'2025年中心利润表 '!T187+'2025年江苏分部利润表'!T187+'2025年浙江分部利润表'!T187+'2025年上海分部利润表'!T187+'2025年赣皖区域利润表'!T187</f>
        <v>0</v>
      </c>
      <c r="U187" s="49">
        <f>'2025年中心利润表 '!U187+'2025年江苏分部利润表'!U187+'2025年浙江分部利润表'!U187+'2025年上海分部利润表'!U187+'2025年赣皖区域利润表'!U187</f>
        <v>0</v>
      </c>
      <c r="V187" s="49">
        <f>'2025年中心利润表 '!V187+'2025年江苏分部利润表'!V187+'2025年浙江分部利润表'!V187+'2025年上海分部利润表'!V187+'2025年赣皖区域利润表'!V187</f>
        <v>0</v>
      </c>
      <c r="W187" s="49">
        <f>'2025年中心利润表 '!W187+'2025年江苏分部利润表'!W187+'2025年浙江分部利润表'!W187+'2025年上海分部利润表'!W187+'2025年赣皖区域利润表'!W187</f>
        <v>0</v>
      </c>
      <c r="X187" s="49">
        <f>'2025年中心利润表 '!X187+'2025年江苏分部利润表'!X187+'2025年浙江分部利润表'!X187+'2025年上海分部利润表'!X187+'2025年赣皖区域利润表'!X187</f>
        <v>0</v>
      </c>
      <c r="Y187" s="49">
        <f>'2025年中心利润表 '!Y187+'2025年江苏分部利润表'!Y187+'2025年浙江分部利润表'!Y187+'2025年上海分部利润表'!Y187+'2025年赣皖区域利润表'!Y187</f>
        <v>0</v>
      </c>
      <c r="Z187" s="49">
        <f>'2025年中心利润表 '!Z187+'2025年江苏分部利润表'!Z187+'2025年浙江分部利润表'!Z187+'2025年上海分部利润表'!Z187+'2025年赣皖区域利润表'!Z187</f>
        <v>0</v>
      </c>
      <c r="AA187" s="51">
        <f t="shared" si="36"/>
        <v>0</v>
      </c>
      <c r="AB187" s="51">
        <f t="shared" si="44"/>
        <v>0</v>
      </c>
      <c r="AC187" s="94"/>
      <c r="AD187" s="31">
        <f t="shared" si="37"/>
        <v>0</v>
      </c>
      <c r="AE187" s="31">
        <f t="shared" si="38"/>
        <v>0</v>
      </c>
      <c r="AF187" s="17">
        <f t="shared" si="39"/>
        <v>0</v>
      </c>
      <c r="AG187" s="17">
        <f t="shared" si="40"/>
        <v>0</v>
      </c>
      <c r="AH187" s="17">
        <f>SUM('[1]2024年全面预算利润表 (销售1中心)2.8亿'!E192:H192)</f>
        <v>0</v>
      </c>
    </row>
    <row r="188" spans="1:53" s="19" customFormat="1" ht="18" hidden="1" customHeight="1" outlineLevel="1" x14ac:dyDescent="0.25">
      <c r="A188" s="48" t="s">
        <v>118</v>
      </c>
      <c r="B188" s="53"/>
      <c r="C188" s="49">
        <f>'2025年中心利润表 '!C188+'2025年江苏分部利润表'!C188+'2025年浙江分部利润表'!C188+'2025年上海分部利润表'!C188+'2025年赣皖区域利润表'!C188</f>
        <v>0</v>
      </c>
      <c r="D188" s="49">
        <f>'2025年中心利润表 '!D188+'2025年江苏分部利润表'!D188+'2025年浙江分部利润表'!D188+'2025年上海分部利润表'!D188+'2025年赣皖区域利润表'!D188</f>
        <v>0</v>
      </c>
      <c r="E188" s="49">
        <f>'2025年中心利润表 '!E188+'2025年江苏分部利润表'!E188+'2025年浙江分部利润表'!E188+'2025年上海分部利润表'!E188+'2025年赣皖区域利润表'!E188</f>
        <v>0</v>
      </c>
      <c r="F188" s="49">
        <f>'2025年中心利润表 '!F188+'2025年江苏分部利润表'!F188+'2025年浙江分部利润表'!F188+'2025年上海分部利润表'!F188+'2025年赣皖区域利润表'!F188</f>
        <v>0</v>
      </c>
      <c r="G188" s="49">
        <f>'2025年中心利润表 '!G188+'2025年江苏分部利润表'!G188+'2025年浙江分部利润表'!G188+'2025年上海分部利润表'!G188+'2025年赣皖区域利润表'!G188</f>
        <v>0</v>
      </c>
      <c r="H188" s="49">
        <f>'2025年中心利润表 '!H188+'2025年江苏分部利润表'!H188+'2025年浙江分部利润表'!H188+'2025年上海分部利润表'!H188+'2025年赣皖区域利润表'!H188</f>
        <v>0</v>
      </c>
      <c r="I188" s="49">
        <f>'2025年中心利润表 '!I188+'2025年江苏分部利润表'!I188+'2025年浙江分部利润表'!I188+'2025年上海分部利润表'!I188+'2025年赣皖区域利润表'!I188</f>
        <v>0</v>
      </c>
      <c r="J188" s="49">
        <f>'2025年中心利润表 '!J188+'2025年江苏分部利润表'!J188+'2025年浙江分部利润表'!J188+'2025年上海分部利润表'!J188+'2025年赣皖区域利润表'!J188</f>
        <v>0</v>
      </c>
      <c r="K188" s="49">
        <f>'2025年中心利润表 '!K188+'2025年江苏分部利润表'!K188+'2025年浙江分部利润表'!K188+'2025年上海分部利润表'!K188+'2025年赣皖区域利润表'!K188</f>
        <v>0</v>
      </c>
      <c r="L188" s="49">
        <f>'2025年中心利润表 '!L188+'2025年江苏分部利润表'!L188+'2025年浙江分部利润表'!L188+'2025年上海分部利润表'!L188+'2025年赣皖区域利润表'!L188</f>
        <v>0</v>
      </c>
      <c r="M188" s="49">
        <f>'2025年中心利润表 '!M188+'2025年江苏分部利润表'!M188+'2025年浙江分部利润表'!M188+'2025年上海分部利润表'!M188+'2025年赣皖区域利润表'!M188</f>
        <v>0</v>
      </c>
      <c r="N188" s="49">
        <f>'2025年中心利润表 '!N188+'2025年江苏分部利润表'!N188+'2025年浙江分部利润表'!N188+'2025年上海分部利润表'!N188+'2025年赣皖区域利润表'!N188</f>
        <v>0</v>
      </c>
      <c r="O188" s="49">
        <f>'2025年中心利润表 '!O188+'2025年江苏分部利润表'!O188+'2025年浙江分部利润表'!O188+'2025年上海分部利润表'!O188+'2025年赣皖区域利润表'!O188</f>
        <v>0</v>
      </c>
      <c r="P188" s="49">
        <f>'2025年中心利润表 '!P188+'2025年江苏分部利润表'!P188+'2025年浙江分部利润表'!P188+'2025年上海分部利润表'!P188+'2025年赣皖区域利润表'!P188</f>
        <v>0</v>
      </c>
      <c r="Q188" s="49">
        <f>'2025年中心利润表 '!Q188+'2025年江苏分部利润表'!Q188+'2025年浙江分部利润表'!Q188+'2025年上海分部利润表'!Q188+'2025年赣皖区域利润表'!Q188</f>
        <v>0</v>
      </c>
      <c r="R188" s="49">
        <f>'2025年中心利润表 '!R188+'2025年江苏分部利润表'!R188+'2025年浙江分部利润表'!R188+'2025年上海分部利润表'!R188+'2025年赣皖区域利润表'!R188</f>
        <v>0</v>
      </c>
      <c r="S188" s="49">
        <f>'2025年中心利润表 '!S188+'2025年江苏分部利润表'!S188+'2025年浙江分部利润表'!S188+'2025年上海分部利润表'!S188+'2025年赣皖区域利润表'!S188</f>
        <v>0</v>
      </c>
      <c r="T188" s="49">
        <f>'2025年中心利润表 '!T188+'2025年江苏分部利润表'!T188+'2025年浙江分部利润表'!T188+'2025年上海分部利润表'!T188+'2025年赣皖区域利润表'!T188</f>
        <v>0</v>
      </c>
      <c r="U188" s="49">
        <f>'2025年中心利润表 '!U188+'2025年江苏分部利润表'!U188+'2025年浙江分部利润表'!U188+'2025年上海分部利润表'!U188+'2025年赣皖区域利润表'!U188</f>
        <v>0</v>
      </c>
      <c r="V188" s="49">
        <f>'2025年中心利润表 '!V188+'2025年江苏分部利润表'!V188+'2025年浙江分部利润表'!V188+'2025年上海分部利润表'!V188+'2025年赣皖区域利润表'!V188</f>
        <v>0</v>
      </c>
      <c r="W188" s="49">
        <f>'2025年中心利润表 '!W188+'2025年江苏分部利润表'!W188+'2025年浙江分部利润表'!W188+'2025年上海分部利润表'!W188+'2025年赣皖区域利润表'!W188</f>
        <v>0</v>
      </c>
      <c r="X188" s="49">
        <f>'2025年中心利润表 '!X188+'2025年江苏分部利润表'!X188+'2025年浙江分部利润表'!X188+'2025年上海分部利润表'!X188+'2025年赣皖区域利润表'!X188</f>
        <v>0</v>
      </c>
      <c r="Y188" s="49">
        <f>'2025年中心利润表 '!Y188+'2025年江苏分部利润表'!Y188+'2025年浙江分部利润表'!Y188+'2025年上海分部利润表'!Y188+'2025年赣皖区域利润表'!Y188</f>
        <v>0</v>
      </c>
      <c r="Z188" s="49">
        <f>'2025年中心利润表 '!Z188+'2025年江苏分部利润表'!Z188+'2025年浙江分部利润表'!Z188+'2025年上海分部利润表'!Z188+'2025年赣皖区域利润表'!Z188</f>
        <v>0</v>
      </c>
      <c r="AA188" s="51">
        <f t="shared" si="36"/>
        <v>0</v>
      </c>
      <c r="AB188" s="51">
        <f t="shared" si="44"/>
        <v>0</v>
      </c>
      <c r="AC188" s="94"/>
      <c r="AD188" s="31">
        <f t="shared" si="37"/>
        <v>0</v>
      </c>
      <c r="AE188" s="31">
        <f t="shared" si="38"/>
        <v>0</v>
      </c>
      <c r="AF188" s="17">
        <f t="shared" si="39"/>
        <v>0</v>
      </c>
      <c r="AG188" s="17">
        <f t="shared" si="40"/>
        <v>0</v>
      </c>
      <c r="AH188" s="17">
        <f>SUM('[1]2024年全面预算利润表 (销售1中心)2.8亿'!E193:H193)</f>
        <v>0</v>
      </c>
    </row>
    <row r="189" spans="1:53" s="17" customFormat="1" ht="18" hidden="1" customHeight="1" outlineLevel="1" x14ac:dyDescent="0.25">
      <c r="A189" s="67" t="s">
        <v>119</v>
      </c>
      <c r="B189" s="45"/>
      <c r="C189" s="65">
        <f t="shared" ref="C189:Z189" si="46">SUM(C190:C196)</f>
        <v>0</v>
      </c>
      <c r="D189" s="65">
        <f t="shared" si="46"/>
        <v>0</v>
      </c>
      <c r="E189" s="65">
        <f t="shared" si="46"/>
        <v>0</v>
      </c>
      <c r="F189" s="65">
        <f t="shared" si="46"/>
        <v>0</v>
      </c>
      <c r="G189" s="65">
        <f t="shared" si="46"/>
        <v>0</v>
      </c>
      <c r="H189" s="65">
        <f t="shared" si="46"/>
        <v>0</v>
      </c>
      <c r="I189" s="65">
        <f t="shared" si="46"/>
        <v>0</v>
      </c>
      <c r="J189" s="65">
        <f t="shared" si="46"/>
        <v>0</v>
      </c>
      <c r="K189" s="65">
        <f t="shared" si="46"/>
        <v>0</v>
      </c>
      <c r="L189" s="65">
        <f t="shared" si="46"/>
        <v>0</v>
      </c>
      <c r="M189" s="65">
        <f t="shared" si="46"/>
        <v>0</v>
      </c>
      <c r="N189" s="65">
        <f t="shared" si="46"/>
        <v>0</v>
      </c>
      <c r="O189" s="65">
        <f t="shared" si="46"/>
        <v>0</v>
      </c>
      <c r="P189" s="65">
        <f t="shared" si="46"/>
        <v>0</v>
      </c>
      <c r="Q189" s="65">
        <f t="shared" si="46"/>
        <v>0</v>
      </c>
      <c r="R189" s="65">
        <f t="shared" si="46"/>
        <v>0</v>
      </c>
      <c r="S189" s="65">
        <f t="shared" si="46"/>
        <v>0</v>
      </c>
      <c r="T189" s="65">
        <f t="shared" si="46"/>
        <v>0</v>
      </c>
      <c r="U189" s="65">
        <f t="shared" si="46"/>
        <v>0</v>
      </c>
      <c r="V189" s="65">
        <f t="shared" si="46"/>
        <v>0</v>
      </c>
      <c r="W189" s="65">
        <f t="shared" si="46"/>
        <v>0</v>
      </c>
      <c r="X189" s="65">
        <f t="shared" si="46"/>
        <v>0</v>
      </c>
      <c r="Y189" s="65">
        <f t="shared" si="46"/>
        <v>0</v>
      </c>
      <c r="Z189" s="65">
        <f t="shared" si="46"/>
        <v>0</v>
      </c>
      <c r="AA189" s="51">
        <f t="shared" si="36"/>
        <v>0</v>
      </c>
      <c r="AB189" s="51">
        <f t="shared" si="44"/>
        <v>0</v>
      </c>
      <c r="AC189" s="132"/>
      <c r="AD189" s="31">
        <f t="shared" si="37"/>
        <v>0</v>
      </c>
      <c r="AE189" s="31">
        <f t="shared" si="38"/>
        <v>0</v>
      </c>
      <c r="AF189" s="17">
        <f t="shared" si="39"/>
        <v>0</v>
      </c>
      <c r="AG189" s="17">
        <f t="shared" si="40"/>
        <v>0</v>
      </c>
      <c r="AH189" s="17">
        <f>SUM('[1]2024年全面预算利润表 (销售1中心)2.8亿'!E194:H194)</f>
        <v>0</v>
      </c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</row>
    <row r="190" spans="1:53" s="19" customFormat="1" ht="18" hidden="1" customHeight="1" outlineLevel="2" x14ac:dyDescent="0.25">
      <c r="A190" s="48" t="s">
        <v>120</v>
      </c>
      <c r="B190" s="53"/>
      <c r="C190" s="49">
        <f>'2025年中心利润表 '!C190+'2025年江苏分部利润表'!C190+'2025年浙江分部利润表'!C190+'2025年上海分部利润表'!C190+'2025年赣皖区域利润表'!C190</f>
        <v>0</v>
      </c>
      <c r="D190" s="49">
        <f>'2025年中心利润表 '!D190+'2025年江苏分部利润表'!D190+'2025年浙江分部利润表'!D190+'2025年上海分部利润表'!D190+'2025年赣皖区域利润表'!D190</f>
        <v>0</v>
      </c>
      <c r="E190" s="49">
        <f>'2025年中心利润表 '!E190+'2025年江苏分部利润表'!E190+'2025年浙江分部利润表'!E190+'2025年上海分部利润表'!E190+'2025年赣皖区域利润表'!E190</f>
        <v>0</v>
      </c>
      <c r="F190" s="49">
        <f>'2025年中心利润表 '!F190+'2025年江苏分部利润表'!F190+'2025年浙江分部利润表'!F190+'2025年上海分部利润表'!F190+'2025年赣皖区域利润表'!F190</f>
        <v>0</v>
      </c>
      <c r="G190" s="49">
        <f>'2025年中心利润表 '!G190+'2025年江苏分部利润表'!G190+'2025年浙江分部利润表'!G190+'2025年上海分部利润表'!G190+'2025年赣皖区域利润表'!G190</f>
        <v>0</v>
      </c>
      <c r="H190" s="49">
        <f>'2025年中心利润表 '!H190+'2025年江苏分部利润表'!H190+'2025年浙江分部利润表'!H190+'2025年上海分部利润表'!H190+'2025年赣皖区域利润表'!H190</f>
        <v>0</v>
      </c>
      <c r="I190" s="49">
        <f>'2025年中心利润表 '!I190+'2025年江苏分部利润表'!I190+'2025年浙江分部利润表'!I190+'2025年上海分部利润表'!I190+'2025年赣皖区域利润表'!I190</f>
        <v>0</v>
      </c>
      <c r="J190" s="49">
        <f>'2025年中心利润表 '!J190+'2025年江苏分部利润表'!J190+'2025年浙江分部利润表'!J190+'2025年上海分部利润表'!J190+'2025年赣皖区域利润表'!J190</f>
        <v>0</v>
      </c>
      <c r="K190" s="49">
        <f>'2025年中心利润表 '!K190+'2025年江苏分部利润表'!K190+'2025年浙江分部利润表'!K190+'2025年上海分部利润表'!K190+'2025年赣皖区域利润表'!K190</f>
        <v>0</v>
      </c>
      <c r="L190" s="49">
        <f>'2025年中心利润表 '!L190+'2025年江苏分部利润表'!L190+'2025年浙江分部利润表'!L190+'2025年上海分部利润表'!L190+'2025年赣皖区域利润表'!L190</f>
        <v>0</v>
      </c>
      <c r="M190" s="49">
        <f>'2025年中心利润表 '!M190+'2025年江苏分部利润表'!M190+'2025年浙江分部利润表'!M190+'2025年上海分部利润表'!M190+'2025年赣皖区域利润表'!M190</f>
        <v>0</v>
      </c>
      <c r="N190" s="49">
        <f>'2025年中心利润表 '!N190+'2025年江苏分部利润表'!N190+'2025年浙江分部利润表'!N190+'2025年上海分部利润表'!N190+'2025年赣皖区域利润表'!N190</f>
        <v>0</v>
      </c>
      <c r="O190" s="49">
        <f>'2025年中心利润表 '!O190+'2025年江苏分部利润表'!O190+'2025年浙江分部利润表'!O190+'2025年上海分部利润表'!O190+'2025年赣皖区域利润表'!O190</f>
        <v>0</v>
      </c>
      <c r="P190" s="49">
        <f>'2025年中心利润表 '!P190+'2025年江苏分部利润表'!P190+'2025年浙江分部利润表'!P190+'2025年上海分部利润表'!P190+'2025年赣皖区域利润表'!P190</f>
        <v>0</v>
      </c>
      <c r="Q190" s="49">
        <f>'2025年中心利润表 '!Q190+'2025年江苏分部利润表'!Q190+'2025年浙江分部利润表'!Q190+'2025年上海分部利润表'!Q190+'2025年赣皖区域利润表'!Q190</f>
        <v>0</v>
      </c>
      <c r="R190" s="49">
        <f>'2025年中心利润表 '!R190+'2025年江苏分部利润表'!R190+'2025年浙江分部利润表'!R190+'2025年上海分部利润表'!R190+'2025年赣皖区域利润表'!R190</f>
        <v>0</v>
      </c>
      <c r="S190" s="49">
        <f>'2025年中心利润表 '!S190+'2025年江苏分部利润表'!S190+'2025年浙江分部利润表'!S190+'2025年上海分部利润表'!S190+'2025年赣皖区域利润表'!S190</f>
        <v>0</v>
      </c>
      <c r="T190" s="49">
        <f>'2025年中心利润表 '!T190+'2025年江苏分部利润表'!T190+'2025年浙江分部利润表'!T190+'2025年上海分部利润表'!T190+'2025年赣皖区域利润表'!T190</f>
        <v>0</v>
      </c>
      <c r="U190" s="49">
        <f>'2025年中心利润表 '!U190+'2025年江苏分部利润表'!U190+'2025年浙江分部利润表'!U190+'2025年上海分部利润表'!U190+'2025年赣皖区域利润表'!U190</f>
        <v>0</v>
      </c>
      <c r="V190" s="49">
        <f>'2025年中心利润表 '!V190+'2025年江苏分部利润表'!V190+'2025年浙江分部利润表'!V190+'2025年上海分部利润表'!V190+'2025年赣皖区域利润表'!V190</f>
        <v>0</v>
      </c>
      <c r="W190" s="49">
        <f>'2025年中心利润表 '!W190+'2025年江苏分部利润表'!W190+'2025年浙江分部利润表'!W190+'2025年上海分部利润表'!W190+'2025年赣皖区域利润表'!W190</f>
        <v>0</v>
      </c>
      <c r="X190" s="49">
        <f>'2025年中心利润表 '!X190+'2025年江苏分部利润表'!X190+'2025年浙江分部利润表'!X190+'2025年上海分部利润表'!X190+'2025年赣皖区域利润表'!X190</f>
        <v>0</v>
      </c>
      <c r="Y190" s="49">
        <f>'2025年中心利润表 '!Y190+'2025年江苏分部利润表'!Y190+'2025年浙江分部利润表'!Y190+'2025年上海分部利润表'!Y190+'2025年赣皖区域利润表'!Y190</f>
        <v>0</v>
      </c>
      <c r="Z190" s="49">
        <f>'2025年中心利润表 '!Z190+'2025年江苏分部利润表'!Z190+'2025年浙江分部利润表'!Z190+'2025年上海分部利润表'!Z190+'2025年赣皖区域利润表'!Z190</f>
        <v>0</v>
      </c>
      <c r="AA190" s="51">
        <f t="shared" si="36"/>
        <v>0</v>
      </c>
      <c r="AB190" s="51">
        <f t="shared" si="44"/>
        <v>0</v>
      </c>
      <c r="AC190" s="94"/>
      <c r="AD190" s="31">
        <f t="shared" si="37"/>
        <v>0</v>
      </c>
      <c r="AE190" s="31">
        <f t="shared" si="38"/>
        <v>0</v>
      </c>
      <c r="AF190" s="17">
        <f t="shared" si="39"/>
        <v>0</v>
      </c>
      <c r="AG190" s="17">
        <f t="shared" si="40"/>
        <v>0</v>
      </c>
      <c r="AH190" s="17">
        <f>SUM('[1]2024年全面预算利润表 (销售1中心)2.8亿'!E195:H195)</f>
        <v>0</v>
      </c>
    </row>
    <row r="191" spans="1:53" s="19" customFormat="1" ht="18" hidden="1" customHeight="1" outlineLevel="2" x14ac:dyDescent="0.25">
      <c r="A191" s="48" t="s">
        <v>121</v>
      </c>
      <c r="B191" s="53"/>
      <c r="C191" s="49">
        <f>'2025年中心利润表 '!C191+'2025年江苏分部利润表'!C191+'2025年浙江分部利润表'!C191+'2025年上海分部利润表'!C191+'2025年赣皖区域利润表'!C191</f>
        <v>0</v>
      </c>
      <c r="D191" s="49">
        <f>'2025年中心利润表 '!D191+'2025年江苏分部利润表'!D191+'2025年浙江分部利润表'!D191+'2025年上海分部利润表'!D191+'2025年赣皖区域利润表'!D191</f>
        <v>0</v>
      </c>
      <c r="E191" s="49">
        <f>'2025年中心利润表 '!E191+'2025年江苏分部利润表'!E191+'2025年浙江分部利润表'!E191+'2025年上海分部利润表'!E191+'2025年赣皖区域利润表'!E191</f>
        <v>0</v>
      </c>
      <c r="F191" s="49">
        <f>'2025年中心利润表 '!F191+'2025年江苏分部利润表'!F191+'2025年浙江分部利润表'!F191+'2025年上海分部利润表'!F191+'2025年赣皖区域利润表'!F191</f>
        <v>0</v>
      </c>
      <c r="G191" s="49">
        <f>'2025年中心利润表 '!G191+'2025年江苏分部利润表'!G191+'2025年浙江分部利润表'!G191+'2025年上海分部利润表'!G191+'2025年赣皖区域利润表'!G191</f>
        <v>0</v>
      </c>
      <c r="H191" s="49">
        <f>'2025年中心利润表 '!H191+'2025年江苏分部利润表'!H191+'2025年浙江分部利润表'!H191+'2025年上海分部利润表'!H191+'2025年赣皖区域利润表'!H191</f>
        <v>0</v>
      </c>
      <c r="I191" s="49">
        <f>'2025年中心利润表 '!I191+'2025年江苏分部利润表'!I191+'2025年浙江分部利润表'!I191+'2025年上海分部利润表'!I191+'2025年赣皖区域利润表'!I191</f>
        <v>0</v>
      </c>
      <c r="J191" s="49">
        <f>'2025年中心利润表 '!J191+'2025年江苏分部利润表'!J191+'2025年浙江分部利润表'!J191+'2025年上海分部利润表'!J191+'2025年赣皖区域利润表'!J191</f>
        <v>0</v>
      </c>
      <c r="K191" s="49">
        <f>'2025年中心利润表 '!K191+'2025年江苏分部利润表'!K191+'2025年浙江分部利润表'!K191+'2025年上海分部利润表'!K191+'2025年赣皖区域利润表'!K191</f>
        <v>0</v>
      </c>
      <c r="L191" s="49">
        <f>'2025年中心利润表 '!L191+'2025年江苏分部利润表'!L191+'2025年浙江分部利润表'!L191+'2025年上海分部利润表'!L191+'2025年赣皖区域利润表'!L191</f>
        <v>0</v>
      </c>
      <c r="M191" s="49">
        <f>'2025年中心利润表 '!M191+'2025年江苏分部利润表'!M191+'2025年浙江分部利润表'!M191+'2025年上海分部利润表'!M191+'2025年赣皖区域利润表'!M191</f>
        <v>0</v>
      </c>
      <c r="N191" s="49">
        <f>'2025年中心利润表 '!N191+'2025年江苏分部利润表'!N191+'2025年浙江分部利润表'!N191+'2025年上海分部利润表'!N191+'2025年赣皖区域利润表'!N191</f>
        <v>0</v>
      </c>
      <c r="O191" s="49">
        <f>'2025年中心利润表 '!O191+'2025年江苏分部利润表'!O191+'2025年浙江分部利润表'!O191+'2025年上海分部利润表'!O191+'2025年赣皖区域利润表'!O191</f>
        <v>0</v>
      </c>
      <c r="P191" s="49">
        <f>'2025年中心利润表 '!P191+'2025年江苏分部利润表'!P191+'2025年浙江分部利润表'!P191+'2025年上海分部利润表'!P191+'2025年赣皖区域利润表'!P191</f>
        <v>0</v>
      </c>
      <c r="Q191" s="49">
        <f>'2025年中心利润表 '!Q191+'2025年江苏分部利润表'!Q191+'2025年浙江分部利润表'!Q191+'2025年上海分部利润表'!Q191+'2025年赣皖区域利润表'!Q191</f>
        <v>0</v>
      </c>
      <c r="R191" s="49">
        <f>'2025年中心利润表 '!R191+'2025年江苏分部利润表'!R191+'2025年浙江分部利润表'!R191+'2025年上海分部利润表'!R191+'2025年赣皖区域利润表'!R191</f>
        <v>0</v>
      </c>
      <c r="S191" s="49">
        <f>'2025年中心利润表 '!S191+'2025年江苏分部利润表'!S191+'2025年浙江分部利润表'!S191+'2025年上海分部利润表'!S191+'2025年赣皖区域利润表'!S191</f>
        <v>0</v>
      </c>
      <c r="T191" s="49">
        <f>'2025年中心利润表 '!T191+'2025年江苏分部利润表'!T191+'2025年浙江分部利润表'!T191+'2025年上海分部利润表'!T191+'2025年赣皖区域利润表'!T191</f>
        <v>0</v>
      </c>
      <c r="U191" s="49">
        <f>'2025年中心利润表 '!U191+'2025年江苏分部利润表'!U191+'2025年浙江分部利润表'!U191+'2025年上海分部利润表'!U191+'2025年赣皖区域利润表'!U191</f>
        <v>0</v>
      </c>
      <c r="V191" s="49">
        <f>'2025年中心利润表 '!V191+'2025年江苏分部利润表'!V191+'2025年浙江分部利润表'!V191+'2025年上海分部利润表'!V191+'2025年赣皖区域利润表'!V191</f>
        <v>0</v>
      </c>
      <c r="W191" s="49">
        <f>'2025年中心利润表 '!W191+'2025年江苏分部利润表'!W191+'2025年浙江分部利润表'!W191+'2025年上海分部利润表'!W191+'2025年赣皖区域利润表'!W191</f>
        <v>0</v>
      </c>
      <c r="X191" s="49">
        <f>'2025年中心利润表 '!X191+'2025年江苏分部利润表'!X191+'2025年浙江分部利润表'!X191+'2025年上海分部利润表'!X191+'2025年赣皖区域利润表'!X191</f>
        <v>0</v>
      </c>
      <c r="Y191" s="49">
        <f>'2025年中心利润表 '!Y191+'2025年江苏分部利润表'!Y191+'2025年浙江分部利润表'!Y191+'2025年上海分部利润表'!Y191+'2025年赣皖区域利润表'!Y191</f>
        <v>0</v>
      </c>
      <c r="Z191" s="49">
        <f>'2025年中心利润表 '!Z191+'2025年江苏分部利润表'!Z191+'2025年浙江分部利润表'!Z191+'2025年上海分部利润表'!Z191+'2025年赣皖区域利润表'!Z191</f>
        <v>0</v>
      </c>
      <c r="AA191" s="51">
        <f t="shared" si="36"/>
        <v>0</v>
      </c>
      <c r="AB191" s="51">
        <f t="shared" si="44"/>
        <v>0</v>
      </c>
      <c r="AC191" s="94"/>
      <c r="AD191" s="31">
        <f t="shared" si="37"/>
        <v>0</v>
      </c>
      <c r="AE191" s="31">
        <f t="shared" si="38"/>
        <v>0</v>
      </c>
      <c r="AF191" s="17">
        <f t="shared" si="39"/>
        <v>0</v>
      </c>
      <c r="AG191" s="17">
        <f t="shared" si="40"/>
        <v>0</v>
      </c>
      <c r="AH191" s="17">
        <f>SUM('[1]2024年全面预算利润表 (销售1中心)2.8亿'!E196:H196)</f>
        <v>0</v>
      </c>
    </row>
    <row r="192" spans="1:53" s="19" customFormat="1" ht="18" hidden="1" customHeight="1" outlineLevel="2" x14ac:dyDescent="0.25">
      <c r="A192" s="48" t="s">
        <v>122</v>
      </c>
      <c r="B192" s="53"/>
      <c r="C192" s="49">
        <f>'2025年中心利润表 '!C192+'2025年江苏分部利润表'!C192+'2025年浙江分部利润表'!C192+'2025年上海分部利润表'!C192+'2025年赣皖区域利润表'!C192</f>
        <v>0</v>
      </c>
      <c r="D192" s="49">
        <f>'2025年中心利润表 '!D192+'2025年江苏分部利润表'!D192+'2025年浙江分部利润表'!D192+'2025年上海分部利润表'!D192+'2025年赣皖区域利润表'!D192</f>
        <v>0</v>
      </c>
      <c r="E192" s="49">
        <f>'2025年中心利润表 '!E192+'2025年江苏分部利润表'!E192+'2025年浙江分部利润表'!E192+'2025年上海分部利润表'!E192+'2025年赣皖区域利润表'!E192</f>
        <v>0</v>
      </c>
      <c r="F192" s="49">
        <f>'2025年中心利润表 '!F192+'2025年江苏分部利润表'!F192+'2025年浙江分部利润表'!F192+'2025年上海分部利润表'!F192+'2025年赣皖区域利润表'!F192</f>
        <v>0</v>
      </c>
      <c r="G192" s="49">
        <f>'2025年中心利润表 '!G192+'2025年江苏分部利润表'!G192+'2025年浙江分部利润表'!G192+'2025年上海分部利润表'!G192+'2025年赣皖区域利润表'!G192</f>
        <v>0</v>
      </c>
      <c r="H192" s="49">
        <f>'2025年中心利润表 '!H192+'2025年江苏分部利润表'!H192+'2025年浙江分部利润表'!H192+'2025年上海分部利润表'!H192+'2025年赣皖区域利润表'!H192</f>
        <v>0</v>
      </c>
      <c r="I192" s="49">
        <f>'2025年中心利润表 '!I192+'2025年江苏分部利润表'!I192+'2025年浙江分部利润表'!I192+'2025年上海分部利润表'!I192+'2025年赣皖区域利润表'!I192</f>
        <v>0</v>
      </c>
      <c r="J192" s="49">
        <f>'2025年中心利润表 '!J192+'2025年江苏分部利润表'!J192+'2025年浙江分部利润表'!J192+'2025年上海分部利润表'!J192+'2025年赣皖区域利润表'!J192</f>
        <v>0</v>
      </c>
      <c r="K192" s="49">
        <f>'2025年中心利润表 '!K192+'2025年江苏分部利润表'!K192+'2025年浙江分部利润表'!K192+'2025年上海分部利润表'!K192+'2025年赣皖区域利润表'!K192</f>
        <v>0</v>
      </c>
      <c r="L192" s="49">
        <f>'2025年中心利润表 '!L192+'2025年江苏分部利润表'!L192+'2025年浙江分部利润表'!L192+'2025年上海分部利润表'!L192+'2025年赣皖区域利润表'!L192</f>
        <v>0</v>
      </c>
      <c r="M192" s="49">
        <f>'2025年中心利润表 '!M192+'2025年江苏分部利润表'!M192+'2025年浙江分部利润表'!M192+'2025年上海分部利润表'!M192+'2025年赣皖区域利润表'!M192</f>
        <v>0</v>
      </c>
      <c r="N192" s="49">
        <f>'2025年中心利润表 '!N192+'2025年江苏分部利润表'!N192+'2025年浙江分部利润表'!N192+'2025年上海分部利润表'!N192+'2025年赣皖区域利润表'!N192</f>
        <v>0</v>
      </c>
      <c r="O192" s="49">
        <f>'2025年中心利润表 '!O192+'2025年江苏分部利润表'!O192+'2025年浙江分部利润表'!O192+'2025年上海分部利润表'!O192+'2025年赣皖区域利润表'!O192</f>
        <v>0</v>
      </c>
      <c r="P192" s="49">
        <f>'2025年中心利润表 '!P192+'2025年江苏分部利润表'!P192+'2025年浙江分部利润表'!P192+'2025年上海分部利润表'!P192+'2025年赣皖区域利润表'!P192</f>
        <v>0</v>
      </c>
      <c r="Q192" s="49">
        <f>'2025年中心利润表 '!Q192+'2025年江苏分部利润表'!Q192+'2025年浙江分部利润表'!Q192+'2025年上海分部利润表'!Q192+'2025年赣皖区域利润表'!Q192</f>
        <v>0</v>
      </c>
      <c r="R192" s="49">
        <f>'2025年中心利润表 '!R192+'2025年江苏分部利润表'!R192+'2025年浙江分部利润表'!R192+'2025年上海分部利润表'!R192+'2025年赣皖区域利润表'!R192</f>
        <v>0</v>
      </c>
      <c r="S192" s="49">
        <f>'2025年中心利润表 '!S192+'2025年江苏分部利润表'!S192+'2025年浙江分部利润表'!S192+'2025年上海分部利润表'!S192+'2025年赣皖区域利润表'!S192</f>
        <v>0</v>
      </c>
      <c r="T192" s="49">
        <f>'2025年中心利润表 '!T192+'2025年江苏分部利润表'!T192+'2025年浙江分部利润表'!T192+'2025年上海分部利润表'!T192+'2025年赣皖区域利润表'!T192</f>
        <v>0</v>
      </c>
      <c r="U192" s="49">
        <f>'2025年中心利润表 '!U192+'2025年江苏分部利润表'!U192+'2025年浙江分部利润表'!U192+'2025年上海分部利润表'!U192+'2025年赣皖区域利润表'!U192</f>
        <v>0</v>
      </c>
      <c r="V192" s="49">
        <f>'2025年中心利润表 '!V192+'2025年江苏分部利润表'!V192+'2025年浙江分部利润表'!V192+'2025年上海分部利润表'!V192+'2025年赣皖区域利润表'!V192</f>
        <v>0</v>
      </c>
      <c r="W192" s="49">
        <f>'2025年中心利润表 '!W192+'2025年江苏分部利润表'!W192+'2025年浙江分部利润表'!W192+'2025年上海分部利润表'!W192+'2025年赣皖区域利润表'!W192</f>
        <v>0</v>
      </c>
      <c r="X192" s="49">
        <f>'2025年中心利润表 '!X192+'2025年江苏分部利润表'!X192+'2025年浙江分部利润表'!X192+'2025年上海分部利润表'!X192+'2025年赣皖区域利润表'!X192</f>
        <v>0</v>
      </c>
      <c r="Y192" s="49">
        <f>'2025年中心利润表 '!Y192+'2025年江苏分部利润表'!Y192+'2025年浙江分部利润表'!Y192+'2025年上海分部利润表'!Y192+'2025年赣皖区域利润表'!Y192</f>
        <v>0</v>
      </c>
      <c r="Z192" s="49">
        <f>'2025年中心利润表 '!Z192+'2025年江苏分部利润表'!Z192+'2025年浙江分部利润表'!Z192+'2025年上海分部利润表'!Z192+'2025年赣皖区域利润表'!Z192</f>
        <v>0</v>
      </c>
      <c r="AA192" s="51">
        <f t="shared" si="36"/>
        <v>0</v>
      </c>
      <c r="AB192" s="51">
        <f t="shared" si="44"/>
        <v>0</v>
      </c>
      <c r="AC192" s="94"/>
      <c r="AD192" s="31">
        <f t="shared" si="37"/>
        <v>0</v>
      </c>
      <c r="AE192" s="31">
        <f t="shared" si="38"/>
        <v>0</v>
      </c>
      <c r="AF192" s="17">
        <f t="shared" si="39"/>
        <v>0</v>
      </c>
      <c r="AG192" s="17">
        <f t="shared" si="40"/>
        <v>0</v>
      </c>
      <c r="AH192" s="17">
        <f>SUM('[1]2024年全面预算利润表 (销售1中心)2.8亿'!E197:H197)</f>
        <v>0</v>
      </c>
    </row>
    <row r="193" spans="1:53" s="19" customFormat="1" ht="18" hidden="1" customHeight="1" outlineLevel="2" x14ac:dyDescent="0.25">
      <c r="A193" s="48" t="s">
        <v>123</v>
      </c>
      <c r="B193" s="53"/>
      <c r="C193" s="49">
        <f>'2025年中心利润表 '!C193+'2025年江苏分部利润表'!C193+'2025年浙江分部利润表'!C193+'2025年上海分部利润表'!C193+'2025年赣皖区域利润表'!C193</f>
        <v>0</v>
      </c>
      <c r="D193" s="49">
        <f>'2025年中心利润表 '!D193+'2025年江苏分部利润表'!D193+'2025年浙江分部利润表'!D193+'2025年上海分部利润表'!D193+'2025年赣皖区域利润表'!D193</f>
        <v>0</v>
      </c>
      <c r="E193" s="49">
        <f>'2025年中心利润表 '!E193+'2025年江苏分部利润表'!E193+'2025年浙江分部利润表'!E193+'2025年上海分部利润表'!E193+'2025年赣皖区域利润表'!E193</f>
        <v>0</v>
      </c>
      <c r="F193" s="49">
        <f>'2025年中心利润表 '!F193+'2025年江苏分部利润表'!F193+'2025年浙江分部利润表'!F193+'2025年上海分部利润表'!F193+'2025年赣皖区域利润表'!F193</f>
        <v>0</v>
      </c>
      <c r="G193" s="49">
        <f>'2025年中心利润表 '!G193+'2025年江苏分部利润表'!G193+'2025年浙江分部利润表'!G193+'2025年上海分部利润表'!G193+'2025年赣皖区域利润表'!G193</f>
        <v>0</v>
      </c>
      <c r="H193" s="49">
        <f>'2025年中心利润表 '!H193+'2025年江苏分部利润表'!H193+'2025年浙江分部利润表'!H193+'2025年上海分部利润表'!H193+'2025年赣皖区域利润表'!H193</f>
        <v>0</v>
      </c>
      <c r="I193" s="49">
        <f>'2025年中心利润表 '!I193+'2025年江苏分部利润表'!I193+'2025年浙江分部利润表'!I193+'2025年上海分部利润表'!I193+'2025年赣皖区域利润表'!I193</f>
        <v>0</v>
      </c>
      <c r="J193" s="49">
        <f>'2025年中心利润表 '!J193+'2025年江苏分部利润表'!J193+'2025年浙江分部利润表'!J193+'2025年上海分部利润表'!J193+'2025年赣皖区域利润表'!J193</f>
        <v>0</v>
      </c>
      <c r="K193" s="49">
        <f>'2025年中心利润表 '!K193+'2025年江苏分部利润表'!K193+'2025年浙江分部利润表'!K193+'2025年上海分部利润表'!K193+'2025年赣皖区域利润表'!K193</f>
        <v>0</v>
      </c>
      <c r="L193" s="49">
        <f>'2025年中心利润表 '!L193+'2025年江苏分部利润表'!L193+'2025年浙江分部利润表'!L193+'2025年上海分部利润表'!L193+'2025年赣皖区域利润表'!L193</f>
        <v>0</v>
      </c>
      <c r="M193" s="49">
        <f>'2025年中心利润表 '!M193+'2025年江苏分部利润表'!M193+'2025年浙江分部利润表'!M193+'2025年上海分部利润表'!M193+'2025年赣皖区域利润表'!M193</f>
        <v>0</v>
      </c>
      <c r="N193" s="49">
        <f>'2025年中心利润表 '!N193+'2025年江苏分部利润表'!N193+'2025年浙江分部利润表'!N193+'2025年上海分部利润表'!N193+'2025年赣皖区域利润表'!N193</f>
        <v>0</v>
      </c>
      <c r="O193" s="49">
        <f>'2025年中心利润表 '!O193+'2025年江苏分部利润表'!O193+'2025年浙江分部利润表'!O193+'2025年上海分部利润表'!O193+'2025年赣皖区域利润表'!O193</f>
        <v>0</v>
      </c>
      <c r="P193" s="49">
        <f>'2025年中心利润表 '!P193+'2025年江苏分部利润表'!P193+'2025年浙江分部利润表'!P193+'2025年上海分部利润表'!P193+'2025年赣皖区域利润表'!P193</f>
        <v>0</v>
      </c>
      <c r="Q193" s="49">
        <f>'2025年中心利润表 '!Q193+'2025年江苏分部利润表'!Q193+'2025年浙江分部利润表'!Q193+'2025年上海分部利润表'!Q193+'2025年赣皖区域利润表'!Q193</f>
        <v>0</v>
      </c>
      <c r="R193" s="49">
        <f>'2025年中心利润表 '!R193+'2025年江苏分部利润表'!R193+'2025年浙江分部利润表'!R193+'2025年上海分部利润表'!R193+'2025年赣皖区域利润表'!R193</f>
        <v>0</v>
      </c>
      <c r="S193" s="49">
        <f>'2025年中心利润表 '!S193+'2025年江苏分部利润表'!S193+'2025年浙江分部利润表'!S193+'2025年上海分部利润表'!S193+'2025年赣皖区域利润表'!S193</f>
        <v>0</v>
      </c>
      <c r="T193" s="49">
        <f>'2025年中心利润表 '!T193+'2025年江苏分部利润表'!T193+'2025年浙江分部利润表'!T193+'2025年上海分部利润表'!T193+'2025年赣皖区域利润表'!T193</f>
        <v>0</v>
      </c>
      <c r="U193" s="49">
        <f>'2025年中心利润表 '!U193+'2025年江苏分部利润表'!U193+'2025年浙江分部利润表'!U193+'2025年上海分部利润表'!U193+'2025年赣皖区域利润表'!U193</f>
        <v>0</v>
      </c>
      <c r="V193" s="49">
        <f>'2025年中心利润表 '!V193+'2025年江苏分部利润表'!V193+'2025年浙江分部利润表'!V193+'2025年上海分部利润表'!V193+'2025年赣皖区域利润表'!V193</f>
        <v>0</v>
      </c>
      <c r="W193" s="49">
        <f>'2025年中心利润表 '!W193+'2025年江苏分部利润表'!W193+'2025年浙江分部利润表'!W193+'2025年上海分部利润表'!W193+'2025年赣皖区域利润表'!W193</f>
        <v>0</v>
      </c>
      <c r="X193" s="49">
        <f>'2025年中心利润表 '!X193+'2025年江苏分部利润表'!X193+'2025年浙江分部利润表'!X193+'2025年上海分部利润表'!X193+'2025年赣皖区域利润表'!X193</f>
        <v>0</v>
      </c>
      <c r="Y193" s="49">
        <f>'2025年中心利润表 '!Y193+'2025年江苏分部利润表'!Y193+'2025年浙江分部利润表'!Y193+'2025年上海分部利润表'!Y193+'2025年赣皖区域利润表'!Y193</f>
        <v>0</v>
      </c>
      <c r="Z193" s="49">
        <f>'2025年中心利润表 '!Z193+'2025年江苏分部利润表'!Z193+'2025年浙江分部利润表'!Z193+'2025年上海分部利润表'!Z193+'2025年赣皖区域利润表'!Z193</f>
        <v>0</v>
      </c>
      <c r="AA193" s="51">
        <f t="shared" si="36"/>
        <v>0</v>
      </c>
      <c r="AB193" s="51">
        <f t="shared" si="44"/>
        <v>0</v>
      </c>
      <c r="AC193" s="94"/>
      <c r="AD193" s="31">
        <f t="shared" si="37"/>
        <v>0</v>
      </c>
      <c r="AE193" s="31">
        <f t="shared" si="38"/>
        <v>0</v>
      </c>
      <c r="AF193" s="17">
        <f t="shared" si="39"/>
        <v>0</v>
      </c>
      <c r="AG193" s="17">
        <f t="shared" si="40"/>
        <v>0</v>
      </c>
      <c r="AH193" s="17">
        <f>SUM('[1]2024年全面预算利润表 (销售1中心)2.8亿'!E198:H198)</f>
        <v>0</v>
      </c>
    </row>
    <row r="194" spans="1:53" s="19" customFormat="1" ht="18" hidden="1" customHeight="1" outlineLevel="2" x14ac:dyDescent="0.25">
      <c r="A194" s="48" t="s">
        <v>124</v>
      </c>
      <c r="B194" s="53"/>
      <c r="C194" s="49">
        <f>'2025年中心利润表 '!C194+'2025年江苏分部利润表'!C194+'2025年浙江分部利润表'!C194+'2025年上海分部利润表'!C194+'2025年赣皖区域利润表'!C194</f>
        <v>0</v>
      </c>
      <c r="D194" s="49">
        <f>'2025年中心利润表 '!D194+'2025年江苏分部利润表'!D194+'2025年浙江分部利润表'!D194+'2025年上海分部利润表'!D194+'2025年赣皖区域利润表'!D194</f>
        <v>0</v>
      </c>
      <c r="E194" s="49">
        <f>'2025年中心利润表 '!E194+'2025年江苏分部利润表'!E194+'2025年浙江分部利润表'!E194+'2025年上海分部利润表'!E194+'2025年赣皖区域利润表'!E194</f>
        <v>0</v>
      </c>
      <c r="F194" s="49">
        <f>'2025年中心利润表 '!F194+'2025年江苏分部利润表'!F194+'2025年浙江分部利润表'!F194+'2025年上海分部利润表'!F194+'2025年赣皖区域利润表'!F194</f>
        <v>0</v>
      </c>
      <c r="G194" s="49">
        <f>'2025年中心利润表 '!G194+'2025年江苏分部利润表'!G194+'2025年浙江分部利润表'!G194+'2025年上海分部利润表'!G194+'2025年赣皖区域利润表'!G194</f>
        <v>0</v>
      </c>
      <c r="H194" s="49">
        <f>'2025年中心利润表 '!H194+'2025年江苏分部利润表'!H194+'2025年浙江分部利润表'!H194+'2025年上海分部利润表'!H194+'2025年赣皖区域利润表'!H194</f>
        <v>0</v>
      </c>
      <c r="I194" s="49">
        <f>'2025年中心利润表 '!I194+'2025年江苏分部利润表'!I194+'2025年浙江分部利润表'!I194+'2025年上海分部利润表'!I194+'2025年赣皖区域利润表'!I194</f>
        <v>0</v>
      </c>
      <c r="J194" s="49">
        <f>'2025年中心利润表 '!J194+'2025年江苏分部利润表'!J194+'2025年浙江分部利润表'!J194+'2025年上海分部利润表'!J194+'2025年赣皖区域利润表'!J194</f>
        <v>0</v>
      </c>
      <c r="K194" s="49">
        <f>'2025年中心利润表 '!K194+'2025年江苏分部利润表'!K194+'2025年浙江分部利润表'!K194+'2025年上海分部利润表'!K194+'2025年赣皖区域利润表'!K194</f>
        <v>0</v>
      </c>
      <c r="L194" s="49">
        <f>'2025年中心利润表 '!L194+'2025年江苏分部利润表'!L194+'2025年浙江分部利润表'!L194+'2025年上海分部利润表'!L194+'2025年赣皖区域利润表'!L194</f>
        <v>0</v>
      </c>
      <c r="M194" s="49">
        <f>'2025年中心利润表 '!M194+'2025年江苏分部利润表'!M194+'2025年浙江分部利润表'!M194+'2025年上海分部利润表'!M194+'2025年赣皖区域利润表'!M194</f>
        <v>0</v>
      </c>
      <c r="N194" s="49">
        <f>'2025年中心利润表 '!N194+'2025年江苏分部利润表'!N194+'2025年浙江分部利润表'!N194+'2025年上海分部利润表'!N194+'2025年赣皖区域利润表'!N194</f>
        <v>0</v>
      </c>
      <c r="O194" s="49">
        <f>'2025年中心利润表 '!O194+'2025年江苏分部利润表'!O194+'2025年浙江分部利润表'!O194+'2025年上海分部利润表'!O194+'2025年赣皖区域利润表'!O194</f>
        <v>0</v>
      </c>
      <c r="P194" s="49">
        <f>'2025年中心利润表 '!P194+'2025年江苏分部利润表'!P194+'2025年浙江分部利润表'!P194+'2025年上海分部利润表'!P194+'2025年赣皖区域利润表'!P194</f>
        <v>0</v>
      </c>
      <c r="Q194" s="49">
        <f>'2025年中心利润表 '!Q194+'2025年江苏分部利润表'!Q194+'2025年浙江分部利润表'!Q194+'2025年上海分部利润表'!Q194+'2025年赣皖区域利润表'!Q194</f>
        <v>0</v>
      </c>
      <c r="R194" s="49">
        <f>'2025年中心利润表 '!R194+'2025年江苏分部利润表'!R194+'2025年浙江分部利润表'!R194+'2025年上海分部利润表'!R194+'2025年赣皖区域利润表'!R194</f>
        <v>0</v>
      </c>
      <c r="S194" s="49">
        <f>'2025年中心利润表 '!S194+'2025年江苏分部利润表'!S194+'2025年浙江分部利润表'!S194+'2025年上海分部利润表'!S194+'2025年赣皖区域利润表'!S194</f>
        <v>0</v>
      </c>
      <c r="T194" s="49">
        <f>'2025年中心利润表 '!T194+'2025年江苏分部利润表'!T194+'2025年浙江分部利润表'!T194+'2025年上海分部利润表'!T194+'2025年赣皖区域利润表'!T194</f>
        <v>0</v>
      </c>
      <c r="U194" s="49">
        <f>'2025年中心利润表 '!U194+'2025年江苏分部利润表'!U194+'2025年浙江分部利润表'!U194+'2025年上海分部利润表'!U194+'2025年赣皖区域利润表'!U194</f>
        <v>0</v>
      </c>
      <c r="V194" s="49">
        <f>'2025年中心利润表 '!V194+'2025年江苏分部利润表'!V194+'2025年浙江分部利润表'!V194+'2025年上海分部利润表'!V194+'2025年赣皖区域利润表'!V194</f>
        <v>0</v>
      </c>
      <c r="W194" s="49">
        <f>'2025年中心利润表 '!W194+'2025年江苏分部利润表'!W194+'2025年浙江分部利润表'!W194+'2025年上海分部利润表'!W194+'2025年赣皖区域利润表'!W194</f>
        <v>0</v>
      </c>
      <c r="X194" s="49">
        <f>'2025年中心利润表 '!X194+'2025年江苏分部利润表'!X194+'2025年浙江分部利润表'!X194+'2025年上海分部利润表'!X194+'2025年赣皖区域利润表'!X194</f>
        <v>0</v>
      </c>
      <c r="Y194" s="49">
        <f>'2025年中心利润表 '!Y194+'2025年江苏分部利润表'!Y194+'2025年浙江分部利润表'!Y194+'2025年上海分部利润表'!Y194+'2025年赣皖区域利润表'!Y194</f>
        <v>0</v>
      </c>
      <c r="Z194" s="49">
        <f>'2025年中心利润表 '!Z194+'2025年江苏分部利润表'!Z194+'2025年浙江分部利润表'!Z194+'2025年上海分部利润表'!Z194+'2025年赣皖区域利润表'!Z194</f>
        <v>0</v>
      </c>
      <c r="AA194" s="51">
        <f t="shared" si="36"/>
        <v>0</v>
      </c>
      <c r="AB194" s="51">
        <f t="shared" si="44"/>
        <v>0</v>
      </c>
      <c r="AC194" s="94"/>
      <c r="AD194" s="31">
        <f t="shared" si="37"/>
        <v>0</v>
      </c>
      <c r="AE194" s="31">
        <f t="shared" si="38"/>
        <v>0</v>
      </c>
      <c r="AF194" s="17">
        <f t="shared" si="39"/>
        <v>0</v>
      </c>
      <c r="AG194" s="17">
        <f t="shared" si="40"/>
        <v>0</v>
      </c>
      <c r="AH194" s="17">
        <f>SUM('[1]2024年全面预算利润表 (销售1中心)2.8亿'!E199:H199)</f>
        <v>0</v>
      </c>
    </row>
    <row r="195" spans="1:53" s="19" customFormat="1" ht="18" hidden="1" customHeight="1" outlineLevel="2" x14ac:dyDescent="0.25">
      <c r="A195" s="48" t="s">
        <v>125</v>
      </c>
      <c r="B195" s="53"/>
      <c r="C195" s="49">
        <f>'2025年中心利润表 '!C195+'2025年江苏分部利润表'!C195+'2025年浙江分部利润表'!C195+'2025年上海分部利润表'!C195+'2025年赣皖区域利润表'!C195</f>
        <v>0</v>
      </c>
      <c r="D195" s="49">
        <f>'2025年中心利润表 '!D195+'2025年江苏分部利润表'!D195+'2025年浙江分部利润表'!D195+'2025年上海分部利润表'!D195+'2025年赣皖区域利润表'!D195</f>
        <v>0</v>
      </c>
      <c r="E195" s="49">
        <f>'2025年中心利润表 '!E195+'2025年江苏分部利润表'!E195+'2025年浙江分部利润表'!E195+'2025年上海分部利润表'!E195+'2025年赣皖区域利润表'!E195</f>
        <v>0</v>
      </c>
      <c r="F195" s="49">
        <f>'2025年中心利润表 '!F195+'2025年江苏分部利润表'!F195+'2025年浙江分部利润表'!F195+'2025年上海分部利润表'!F195+'2025年赣皖区域利润表'!F195</f>
        <v>0</v>
      </c>
      <c r="G195" s="49">
        <f>'2025年中心利润表 '!G195+'2025年江苏分部利润表'!G195+'2025年浙江分部利润表'!G195+'2025年上海分部利润表'!G195+'2025年赣皖区域利润表'!G195</f>
        <v>0</v>
      </c>
      <c r="H195" s="49">
        <f>'2025年中心利润表 '!H195+'2025年江苏分部利润表'!H195+'2025年浙江分部利润表'!H195+'2025年上海分部利润表'!H195+'2025年赣皖区域利润表'!H195</f>
        <v>0</v>
      </c>
      <c r="I195" s="49">
        <f>'2025年中心利润表 '!I195+'2025年江苏分部利润表'!I195+'2025年浙江分部利润表'!I195+'2025年上海分部利润表'!I195+'2025年赣皖区域利润表'!I195</f>
        <v>0</v>
      </c>
      <c r="J195" s="49">
        <f>'2025年中心利润表 '!J195+'2025年江苏分部利润表'!J195+'2025年浙江分部利润表'!J195+'2025年上海分部利润表'!J195+'2025年赣皖区域利润表'!J195</f>
        <v>0</v>
      </c>
      <c r="K195" s="49">
        <f>'2025年中心利润表 '!K195+'2025年江苏分部利润表'!K195+'2025年浙江分部利润表'!K195+'2025年上海分部利润表'!K195+'2025年赣皖区域利润表'!K195</f>
        <v>0</v>
      </c>
      <c r="L195" s="49">
        <f>'2025年中心利润表 '!L195+'2025年江苏分部利润表'!L195+'2025年浙江分部利润表'!L195+'2025年上海分部利润表'!L195+'2025年赣皖区域利润表'!L195</f>
        <v>0</v>
      </c>
      <c r="M195" s="49">
        <f>'2025年中心利润表 '!M195+'2025年江苏分部利润表'!M195+'2025年浙江分部利润表'!M195+'2025年上海分部利润表'!M195+'2025年赣皖区域利润表'!M195</f>
        <v>0</v>
      </c>
      <c r="N195" s="49">
        <f>'2025年中心利润表 '!N195+'2025年江苏分部利润表'!N195+'2025年浙江分部利润表'!N195+'2025年上海分部利润表'!N195+'2025年赣皖区域利润表'!N195</f>
        <v>0</v>
      </c>
      <c r="O195" s="49">
        <f>'2025年中心利润表 '!O195+'2025年江苏分部利润表'!O195+'2025年浙江分部利润表'!O195+'2025年上海分部利润表'!O195+'2025年赣皖区域利润表'!O195</f>
        <v>0</v>
      </c>
      <c r="P195" s="49">
        <f>'2025年中心利润表 '!P195+'2025年江苏分部利润表'!P195+'2025年浙江分部利润表'!P195+'2025年上海分部利润表'!P195+'2025年赣皖区域利润表'!P195</f>
        <v>0</v>
      </c>
      <c r="Q195" s="49">
        <f>'2025年中心利润表 '!Q195+'2025年江苏分部利润表'!Q195+'2025年浙江分部利润表'!Q195+'2025年上海分部利润表'!Q195+'2025年赣皖区域利润表'!Q195</f>
        <v>0</v>
      </c>
      <c r="R195" s="49">
        <f>'2025年中心利润表 '!R195+'2025年江苏分部利润表'!R195+'2025年浙江分部利润表'!R195+'2025年上海分部利润表'!R195+'2025年赣皖区域利润表'!R195</f>
        <v>0</v>
      </c>
      <c r="S195" s="49">
        <f>'2025年中心利润表 '!S195+'2025年江苏分部利润表'!S195+'2025年浙江分部利润表'!S195+'2025年上海分部利润表'!S195+'2025年赣皖区域利润表'!S195</f>
        <v>0</v>
      </c>
      <c r="T195" s="49">
        <f>'2025年中心利润表 '!T195+'2025年江苏分部利润表'!T195+'2025年浙江分部利润表'!T195+'2025年上海分部利润表'!T195+'2025年赣皖区域利润表'!T195</f>
        <v>0</v>
      </c>
      <c r="U195" s="49">
        <f>'2025年中心利润表 '!U195+'2025年江苏分部利润表'!U195+'2025年浙江分部利润表'!U195+'2025年上海分部利润表'!U195+'2025年赣皖区域利润表'!U195</f>
        <v>0</v>
      </c>
      <c r="V195" s="49">
        <f>'2025年中心利润表 '!V195+'2025年江苏分部利润表'!V195+'2025年浙江分部利润表'!V195+'2025年上海分部利润表'!V195+'2025年赣皖区域利润表'!V195</f>
        <v>0</v>
      </c>
      <c r="W195" s="49">
        <f>'2025年中心利润表 '!W195+'2025年江苏分部利润表'!W195+'2025年浙江分部利润表'!W195+'2025年上海分部利润表'!W195+'2025年赣皖区域利润表'!W195</f>
        <v>0</v>
      </c>
      <c r="X195" s="49">
        <f>'2025年中心利润表 '!X195+'2025年江苏分部利润表'!X195+'2025年浙江分部利润表'!X195+'2025年上海分部利润表'!X195+'2025年赣皖区域利润表'!X195</f>
        <v>0</v>
      </c>
      <c r="Y195" s="49">
        <f>'2025年中心利润表 '!Y195+'2025年江苏分部利润表'!Y195+'2025年浙江分部利润表'!Y195+'2025年上海分部利润表'!Y195+'2025年赣皖区域利润表'!Y195</f>
        <v>0</v>
      </c>
      <c r="Z195" s="49">
        <f>'2025年中心利润表 '!Z195+'2025年江苏分部利润表'!Z195+'2025年浙江分部利润表'!Z195+'2025年上海分部利润表'!Z195+'2025年赣皖区域利润表'!Z195</f>
        <v>0</v>
      </c>
      <c r="AA195" s="51">
        <f t="shared" si="36"/>
        <v>0</v>
      </c>
      <c r="AB195" s="51">
        <f t="shared" si="44"/>
        <v>0</v>
      </c>
      <c r="AC195" s="94"/>
      <c r="AD195" s="31">
        <f t="shared" si="37"/>
        <v>0</v>
      </c>
      <c r="AE195" s="31">
        <f t="shared" si="38"/>
        <v>0</v>
      </c>
      <c r="AF195" s="17">
        <f t="shared" si="39"/>
        <v>0</v>
      </c>
      <c r="AG195" s="17">
        <f t="shared" si="40"/>
        <v>0</v>
      </c>
      <c r="AH195" s="17">
        <f>SUM('[1]2024年全面预算利润表 (销售1中心)2.8亿'!E200:H200)</f>
        <v>0</v>
      </c>
    </row>
    <row r="196" spans="1:53" s="19" customFormat="1" ht="18" hidden="1" customHeight="1" outlineLevel="2" x14ac:dyDescent="0.25">
      <c r="A196" s="48" t="s">
        <v>126</v>
      </c>
      <c r="B196" s="53"/>
      <c r="C196" s="49">
        <f>'2025年中心利润表 '!C196+'2025年江苏分部利润表'!C196+'2025年浙江分部利润表'!C196+'2025年上海分部利润表'!C196+'2025年赣皖区域利润表'!C196</f>
        <v>0</v>
      </c>
      <c r="D196" s="49">
        <f>'2025年中心利润表 '!D196+'2025年江苏分部利润表'!D196+'2025年浙江分部利润表'!D196+'2025年上海分部利润表'!D196+'2025年赣皖区域利润表'!D196</f>
        <v>0</v>
      </c>
      <c r="E196" s="49">
        <f>'2025年中心利润表 '!E196+'2025年江苏分部利润表'!E196+'2025年浙江分部利润表'!E196+'2025年上海分部利润表'!E196+'2025年赣皖区域利润表'!E196</f>
        <v>0</v>
      </c>
      <c r="F196" s="49">
        <f>'2025年中心利润表 '!F196+'2025年江苏分部利润表'!F196+'2025年浙江分部利润表'!F196+'2025年上海分部利润表'!F196+'2025年赣皖区域利润表'!F196</f>
        <v>0</v>
      </c>
      <c r="G196" s="49">
        <f>'2025年中心利润表 '!G196+'2025年江苏分部利润表'!G196+'2025年浙江分部利润表'!G196+'2025年上海分部利润表'!G196+'2025年赣皖区域利润表'!G196</f>
        <v>0</v>
      </c>
      <c r="H196" s="49">
        <f>'2025年中心利润表 '!H196+'2025年江苏分部利润表'!H196+'2025年浙江分部利润表'!H196+'2025年上海分部利润表'!H196+'2025年赣皖区域利润表'!H196</f>
        <v>0</v>
      </c>
      <c r="I196" s="49">
        <f>'2025年中心利润表 '!I196+'2025年江苏分部利润表'!I196+'2025年浙江分部利润表'!I196+'2025年上海分部利润表'!I196+'2025年赣皖区域利润表'!I196</f>
        <v>0</v>
      </c>
      <c r="J196" s="49">
        <f>'2025年中心利润表 '!J196+'2025年江苏分部利润表'!J196+'2025年浙江分部利润表'!J196+'2025年上海分部利润表'!J196+'2025年赣皖区域利润表'!J196</f>
        <v>0</v>
      </c>
      <c r="K196" s="49">
        <f>'2025年中心利润表 '!K196+'2025年江苏分部利润表'!K196+'2025年浙江分部利润表'!K196+'2025年上海分部利润表'!K196+'2025年赣皖区域利润表'!K196</f>
        <v>0</v>
      </c>
      <c r="L196" s="49">
        <f>'2025年中心利润表 '!L196+'2025年江苏分部利润表'!L196+'2025年浙江分部利润表'!L196+'2025年上海分部利润表'!L196+'2025年赣皖区域利润表'!L196</f>
        <v>0</v>
      </c>
      <c r="M196" s="49">
        <f>'2025年中心利润表 '!M196+'2025年江苏分部利润表'!M196+'2025年浙江分部利润表'!M196+'2025年上海分部利润表'!M196+'2025年赣皖区域利润表'!M196</f>
        <v>0</v>
      </c>
      <c r="N196" s="49">
        <f>'2025年中心利润表 '!N196+'2025年江苏分部利润表'!N196+'2025年浙江分部利润表'!N196+'2025年上海分部利润表'!N196+'2025年赣皖区域利润表'!N196</f>
        <v>0</v>
      </c>
      <c r="O196" s="49">
        <f>'2025年中心利润表 '!O196+'2025年江苏分部利润表'!O196+'2025年浙江分部利润表'!O196+'2025年上海分部利润表'!O196+'2025年赣皖区域利润表'!O196</f>
        <v>0</v>
      </c>
      <c r="P196" s="49">
        <f>'2025年中心利润表 '!P196+'2025年江苏分部利润表'!P196+'2025年浙江分部利润表'!P196+'2025年上海分部利润表'!P196+'2025年赣皖区域利润表'!P196</f>
        <v>0</v>
      </c>
      <c r="Q196" s="49">
        <f>'2025年中心利润表 '!Q196+'2025年江苏分部利润表'!Q196+'2025年浙江分部利润表'!Q196+'2025年上海分部利润表'!Q196+'2025年赣皖区域利润表'!Q196</f>
        <v>0</v>
      </c>
      <c r="R196" s="49">
        <f>'2025年中心利润表 '!R196+'2025年江苏分部利润表'!R196+'2025年浙江分部利润表'!R196+'2025年上海分部利润表'!R196+'2025年赣皖区域利润表'!R196</f>
        <v>0</v>
      </c>
      <c r="S196" s="49">
        <f>'2025年中心利润表 '!S196+'2025年江苏分部利润表'!S196+'2025年浙江分部利润表'!S196+'2025年上海分部利润表'!S196+'2025年赣皖区域利润表'!S196</f>
        <v>0</v>
      </c>
      <c r="T196" s="49">
        <f>'2025年中心利润表 '!T196+'2025年江苏分部利润表'!T196+'2025年浙江分部利润表'!T196+'2025年上海分部利润表'!T196+'2025年赣皖区域利润表'!T196</f>
        <v>0</v>
      </c>
      <c r="U196" s="49">
        <f>'2025年中心利润表 '!U196+'2025年江苏分部利润表'!U196+'2025年浙江分部利润表'!U196+'2025年上海分部利润表'!U196+'2025年赣皖区域利润表'!U196</f>
        <v>0</v>
      </c>
      <c r="V196" s="49">
        <f>'2025年中心利润表 '!V196+'2025年江苏分部利润表'!V196+'2025年浙江分部利润表'!V196+'2025年上海分部利润表'!V196+'2025年赣皖区域利润表'!V196</f>
        <v>0</v>
      </c>
      <c r="W196" s="49">
        <f>'2025年中心利润表 '!W196+'2025年江苏分部利润表'!W196+'2025年浙江分部利润表'!W196+'2025年上海分部利润表'!W196+'2025年赣皖区域利润表'!W196</f>
        <v>0</v>
      </c>
      <c r="X196" s="49">
        <f>'2025年中心利润表 '!X196+'2025年江苏分部利润表'!X196+'2025年浙江分部利润表'!X196+'2025年上海分部利润表'!X196+'2025年赣皖区域利润表'!X196</f>
        <v>0</v>
      </c>
      <c r="Y196" s="49">
        <f>'2025年中心利润表 '!Y196+'2025年江苏分部利润表'!Y196+'2025年浙江分部利润表'!Y196+'2025年上海分部利润表'!Y196+'2025年赣皖区域利润表'!Y196</f>
        <v>0</v>
      </c>
      <c r="Z196" s="49">
        <f>'2025年中心利润表 '!Z196+'2025年江苏分部利润表'!Z196+'2025年浙江分部利润表'!Z196+'2025年上海分部利润表'!Z196+'2025年赣皖区域利润表'!Z196</f>
        <v>0</v>
      </c>
      <c r="AA196" s="51">
        <f t="shared" si="36"/>
        <v>0</v>
      </c>
      <c r="AB196" s="51">
        <f t="shared" si="44"/>
        <v>0</v>
      </c>
      <c r="AC196" s="94"/>
      <c r="AD196" s="31">
        <f t="shared" si="37"/>
        <v>0</v>
      </c>
      <c r="AE196" s="31">
        <f t="shared" si="38"/>
        <v>0</v>
      </c>
      <c r="AF196" s="17">
        <f t="shared" si="39"/>
        <v>0</v>
      </c>
      <c r="AG196" s="17">
        <f t="shared" si="40"/>
        <v>0</v>
      </c>
      <c r="AH196" s="17">
        <f>SUM('[1]2024年全面预算利润表 (销售1中心)2.8亿'!E201:H201)</f>
        <v>0</v>
      </c>
    </row>
    <row r="197" spans="1:53" s="19" customFormat="1" ht="18" hidden="1" customHeight="1" outlineLevel="1" collapsed="1" x14ac:dyDescent="0.25">
      <c r="A197" s="48" t="s">
        <v>127</v>
      </c>
      <c r="B197" s="53"/>
      <c r="C197" s="49">
        <f>'2025年中心利润表 '!C197+'2025年江苏分部利润表'!C197+'2025年浙江分部利润表'!C197+'2025年上海分部利润表'!C197+'2025年赣皖区域利润表'!C197</f>
        <v>0</v>
      </c>
      <c r="D197" s="49">
        <f>'2025年中心利润表 '!D197+'2025年江苏分部利润表'!D197+'2025年浙江分部利润表'!D197+'2025年上海分部利润表'!D197+'2025年赣皖区域利润表'!D197</f>
        <v>0</v>
      </c>
      <c r="E197" s="49">
        <f>'2025年中心利润表 '!E197+'2025年江苏分部利润表'!E197+'2025年浙江分部利润表'!E197+'2025年上海分部利润表'!E197+'2025年赣皖区域利润表'!E197</f>
        <v>0</v>
      </c>
      <c r="F197" s="49">
        <f>'2025年中心利润表 '!F197+'2025年江苏分部利润表'!F197+'2025年浙江分部利润表'!F197+'2025年上海分部利润表'!F197+'2025年赣皖区域利润表'!F197</f>
        <v>0</v>
      </c>
      <c r="G197" s="49">
        <f>'2025年中心利润表 '!G197+'2025年江苏分部利润表'!G197+'2025年浙江分部利润表'!G197+'2025年上海分部利润表'!G197+'2025年赣皖区域利润表'!G197</f>
        <v>0</v>
      </c>
      <c r="H197" s="49">
        <f>'2025年中心利润表 '!H197+'2025年江苏分部利润表'!H197+'2025年浙江分部利润表'!H197+'2025年上海分部利润表'!H197+'2025年赣皖区域利润表'!H197</f>
        <v>0</v>
      </c>
      <c r="I197" s="49">
        <f>'2025年中心利润表 '!I197+'2025年江苏分部利润表'!I197+'2025年浙江分部利润表'!I197+'2025年上海分部利润表'!I197+'2025年赣皖区域利润表'!I197</f>
        <v>0</v>
      </c>
      <c r="J197" s="49">
        <f>'2025年中心利润表 '!J197+'2025年江苏分部利润表'!J197+'2025年浙江分部利润表'!J197+'2025年上海分部利润表'!J197+'2025年赣皖区域利润表'!J197</f>
        <v>0</v>
      </c>
      <c r="K197" s="49">
        <f>'2025年中心利润表 '!K197+'2025年江苏分部利润表'!K197+'2025年浙江分部利润表'!K197+'2025年上海分部利润表'!K197+'2025年赣皖区域利润表'!K197</f>
        <v>0</v>
      </c>
      <c r="L197" s="49">
        <f>'2025年中心利润表 '!L197+'2025年江苏分部利润表'!L197+'2025年浙江分部利润表'!L197+'2025年上海分部利润表'!L197+'2025年赣皖区域利润表'!L197</f>
        <v>0</v>
      </c>
      <c r="M197" s="49">
        <f>'2025年中心利润表 '!M197+'2025年江苏分部利润表'!M197+'2025年浙江分部利润表'!M197+'2025年上海分部利润表'!M197+'2025年赣皖区域利润表'!M197</f>
        <v>0</v>
      </c>
      <c r="N197" s="49">
        <f>'2025年中心利润表 '!N197+'2025年江苏分部利润表'!N197+'2025年浙江分部利润表'!N197+'2025年上海分部利润表'!N197+'2025年赣皖区域利润表'!N197</f>
        <v>0</v>
      </c>
      <c r="O197" s="49">
        <f>'2025年中心利润表 '!O197+'2025年江苏分部利润表'!O197+'2025年浙江分部利润表'!O197+'2025年上海分部利润表'!O197+'2025年赣皖区域利润表'!O197</f>
        <v>0</v>
      </c>
      <c r="P197" s="49">
        <f>'2025年中心利润表 '!P197+'2025年江苏分部利润表'!P197+'2025年浙江分部利润表'!P197+'2025年上海分部利润表'!P197+'2025年赣皖区域利润表'!P197</f>
        <v>0</v>
      </c>
      <c r="Q197" s="49">
        <f>'2025年中心利润表 '!Q197+'2025年江苏分部利润表'!Q197+'2025年浙江分部利润表'!Q197+'2025年上海分部利润表'!Q197+'2025年赣皖区域利润表'!Q197</f>
        <v>0</v>
      </c>
      <c r="R197" s="49">
        <f>'2025年中心利润表 '!R197+'2025年江苏分部利润表'!R197+'2025年浙江分部利润表'!R197+'2025年上海分部利润表'!R197+'2025年赣皖区域利润表'!R197</f>
        <v>0</v>
      </c>
      <c r="S197" s="49">
        <f>'2025年中心利润表 '!S197+'2025年江苏分部利润表'!S197+'2025年浙江分部利润表'!S197+'2025年上海分部利润表'!S197+'2025年赣皖区域利润表'!S197</f>
        <v>0</v>
      </c>
      <c r="T197" s="49">
        <f>'2025年中心利润表 '!T197+'2025年江苏分部利润表'!T197+'2025年浙江分部利润表'!T197+'2025年上海分部利润表'!T197+'2025年赣皖区域利润表'!T197</f>
        <v>0</v>
      </c>
      <c r="U197" s="49">
        <f>'2025年中心利润表 '!U197+'2025年江苏分部利润表'!U197+'2025年浙江分部利润表'!U197+'2025年上海分部利润表'!U197+'2025年赣皖区域利润表'!U197</f>
        <v>0</v>
      </c>
      <c r="V197" s="49">
        <f>'2025年中心利润表 '!V197+'2025年江苏分部利润表'!V197+'2025年浙江分部利润表'!V197+'2025年上海分部利润表'!V197+'2025年赣皖区域利润表'!V197</f>
        <v>0</v>
      </c>
      <c r="W197" s="49">
        <f>'2025年中心利润表 '!W197+'2025年江苏分部利润表'!W197+'2025年浙江分部利润表'!W197+'2025年上海分部利润表'!W197+'2025年赣皖区域利润表'!W197</f>
        <v>0</v>
      </c>
      <c r="X197" s="49">
        <f>'2025年中心利润表 '!X197+'2025年江苏分部利润表'!X197+'2025年浙江分部利润表'!X197+'2025年上海分部利润表'!X197+'2025年赣皖区域利润表'!X197</f>
        <v>0</v>
      </c>
      <c r="Y197" s="49">
        <f>'2025年中心利润表 '!Y197+'2025年江苏分部利润表'!Y197+'2025年浙江分部利润表'!Y197+'2025年上海分部利润表'!Y197+'2025年赣皖区域利润表'!Y197</f>
        <v>0</v>
      </c>
      <c r="Z197" s="49">
        <f>'2025年中心利润表 '!Z197+'2025年江苏分部利润表'!Z197+'2025年浙江分部利润表'!Z197+'2025年上海分部利润表'!Z197+'2025年赣皖区域利润表'!Z197</f>
        <v>0</v>
      </c>
      <c r="AA197" s="51">
        <f t="shared" si="36"/>
        <v>0</v>
      </c>
      <c r="AB197" s="51">
        <f t="shared" si="44"/>
        <v>0</v>
      </c>
      <c r="AC197" s="94"/>
      <c r="AD197" s="31">
        <f t="shared" si="37"/>
        <v>0</v>
      </c>
      <c r="AE197" s="31">
        <f t="shared" si="38"/>
        <v>0</v>
      </c>
      <c r="AF197" s="17">
        <f t="shared" si="39"/>
        <v>0</v>
      </c>
      <c r="AG197" s="17">
        <f t="shared" si="40"/>
        <v>0</v>
      </c>
      <c r="AH197" s="17">
        <f>SUM('[1]2024年全面预算利润表 (销售1中心)2.8亿'!E202:H202)</f>
        <v>0</v>
      </c>
    </row>
    <row r="198" spans="1:53" s="19" customFormat="1" ht="18" hidden="1" customHeight="1" outlineLevel="1" x14ac:dyDescent="0.25">
      <c r="A198" s="48" t="s">
        <v>128</v>
      </c>
      <c r="B198" s="53"/>
      <c r="C198" s="49">
        <f>'2025年中心利润表 '!C198+'2025年江苏分部利润表'!C198+'2025年浙江分部利润表'!C198+'2025年上海分部利润表'!C198+'2025年赣皖区域利润表'!C198</f>
        <v>0</v>
      </c>
      <c r="D198" s="49">
        <f>'2025年中心利润表 '!D198+'2025年江苏分部利润表'!D198+'2025年浙江分部利润表'!D198+'2025年上海分部利润表'!D198+'2025年赣皖区域利润表'!D198</f>
        <v>0</v>
      </c>
      <c r="E198" s="49">
        <f>'2025年中心利润表 '!E198+'2025年江苏分部利润表'!E198+'2025年浙江分部利润表'!E198+'2025年上海分部利润表'!E198+'2025年赣皖区域利润表'!E198</f>
        <v>0</v>
      </c>
      <c r="F198" s="49">
        <f>'2025年中心利润表 '!F198+'2025年江苏分部利润表'!F198+'2025年浙江分部利润表'!F198+'2025年上海分部利润表'!F198+'2025年赣皖区域利润表'!F198</f>
        <v>0</v>
      </c>
      <c r="G198" s="49">
        <f>'2025年中心利润表 '!G198+'2025年江苏分部利润表'!G198+'2025年浙江分部利润表'!G198+'2025年上海分部利润表'!G198+'2025年赣皖区域利润表'!G198</f>
        <v>0</v>
      </c>
      <c r="H198" s="49">
        <f>'2025年中心利润表 '!H198+'2025年江苏分部利润表'!H198+'2025年浙江分部利润表'!H198+'2025年上海分部利润表'!H198+'2025年赣皖区域利润表'!H198</f>
        <v>0</v>
      </c>
      <c r="I198" s="49">
        <f>'2025年中心利润表 '!I198+'2025年江苏分部利润表'!I198+'2025年浙江分部利润表'!I198+'2025年上海分部利润表'!I198+'2025年赣皖区域利润表'!I198</f>
        <v>0</v>
      </c>
      <c r="J198" s="49">
        <f>'2025年中心利润表 '!J198+'2025年江苏分部利润表'!J198+'2025年浙江分部利润表'!J198+'2025年上海分部利润表'!J198+'2025年赣皖区域利润表'!J198</f>
        <v>0</v>
      </c>
      <c r="K198" s="49">
        <f>'2025年中心利润表 '!K198+'2025年江苏分部利润表'!K198+'2025年浙江分部利润表'!K198+'2025年上海分部利润表'!K198+'2025年赣皖区域利润表'!K198</f>
        <v>0</v>
      </c>
      <c r="L198" s="49">
        <f>'2025年中心利润表 '!L198+'2025年江苏分部利润表'!L198+'2025年浙江分部利润表'!L198+'2025年上海分部利润表'!L198+'2025年赣皖区域利润表'!L198</f>
        <v>0</v>
      </c>
      <c r="M198" s="49">
        <f>'2025年中心利润表 '!M198+'2025年江苏分部利润表'!M198+'2025年浙江分部利润表'!M198+'2025年上海分部利润表'!M198+'2025年赣皖区域利润表'!M198</f>
        <v>0</v>
      </c>
      <c r="N198" s="49">
        <f>'2025年中心利润表 '!N198+'2025年江苏分部利润表'!N198+'2025年浙江分部利润表'!N198+'2025年上海分部利润表'!N198+'2025年赣皖区域利润表'!N198</f>
        <v>0</v>
      </c>
      <c r="O198" s="49">
        <f>'2025年中心利润表 '!O198+'2025年江苏分部利润表'!O198+'2025年浙江分部利润表'!O198+'2025年上海分部利润表'!O198+'2025年赣皖区域利润表'!O198</f>
        <v>0</v>
      </c>
      <c r="P198" s="49">
        <f>'2025年中心利润表 '!P198+'2025年江苏分部利润表'!P198+'2025年浙江分部利润表'!P198+'2025年上海分部利润表'!P198+'2025年赣皖区域利润表'!P198</f>
        <v>0</v>
      </c>
      <c r="Q198" s="49">
        <f>'2025年中心利润表 '!Q198+'2025年江苏分部利润表'!Q198+'2025年浙江分部利润表'!Q198+'2025年上海分部利润表'!Q198+'2025年赣皖区域利润表'!Q198</f>
        <v>0</v>
      </c>
      <c r="R198" s="49">
        <f>'2025年中心利润表 '!R198+'2025年江苏分部利润表'!R198+'2025年浙江分部利润表'!R198+'2025年上海分部利润表'!R198+'2025年赣皖区域利润表'!R198</f>
        <v>0</v>
      </c>
      <c r="S198" s="49">
        <f>'2025年中心利润表 '!S198+'2025年江苏分部利润表'!S198+'2025年浙江分部利润表'!S198+'2025年上海分部利润表'!S198+'2025年赣皖区域利润表'!S198</f>
        <v>0</v>
      </c>
      <c r="T198" s="49">
        <f>'2025年中心利润表 '!T198+'2025年江苏分部利润表'!T198+'2025年浙江分部利润表'!T198+'2025年上海分部利润表'!T198+'2025年赣皖区域利润表'!T198</f>
        <v>0</v>
      </c>
      <c r="U198" s="49">
        <f>'2025年中心利润表 '!U198+'2025年江苏分部利润表'!U198+'2025年浙江分部利润表'!U198+'2025年上海分部利润表'!U198+'2025年赣皖区域利润表'!U198</f>
        <v>0</v>
      </c>
      <c r="V198" s="49">
        <f>'2025年中心利润表 '!V198+'2025年江苏分部利润表'!V198+'2025年浙江分部利润表'!V198+'2025年上海分部利润表'!V198+'2025年赣皖区域利润表'!V198</f>
        <v>0</v>
      </c>
      <c r="W198" s="49">
        <f>'2025年中心利润表 '!W198+'2025年江苏分部利润表'!W198+'2025年浙江分部利润表'!W198+'2025年上海分部利润表'!W198+'2025年赣皖区域利润表'!W198</f>
        <v>0</v>
      </c>
      <c r="X198" s="49">
        <f>'2025年中心利润表 '!X198+'2025年江苏分部利润表'!X198+'2025年浙江分部利润表'!X198+'2025年上海分部利润表'!X198+'2025年赣皖区域利润表'!X198</f>
        <v>0</v>
      </c>
      <c r="Y198" s="49">
        <f>'2025年中心利润表 '!Y198+'2025年江苏分部利润表'!Y198+'2025年浙江分部利润表'!Y198+'2025年上海分部利润表'!Y198+'2025年赣皖区域利润表'!Y198</f>
        <v>0</v>
      </c>
      <c r="Z198" s="49">
        <f>'2025年中心利润表 '!Z198+'2025年江苏分部利润表'!Z198+'2025年浙江分部利润表'!Z198+'2025年上海分部利润表'!Z198+'2025年赣皖区域利润表'!Z198</f>
        <v>0</v>
      </c>
      <c r="AA198" s="51">
        <f t="shared" si="36"/>
        <v>0</v>
      </c>
      <c r="AB198" s="51">
        <f t="shared" si="44"/>
        <v>0</v>
      </c>
      <c r="AC198" s="94"/>
      <c r="AD198" s="31">
        <f t="shared" si="37"/>
        <v>0</v>
      </c>
      <c r="AE198" s="31">
        <f t="shared" si="38"/>
        <v>0</v>
      </c>
      <c r="AF198" s="17">
        <f t="shared" si="39"/>
        <v>0</v>
      </c>
      <c r="AG198" s="17">
        <f t="shared" si="40"/>
        <v>0</v>
      </c>
      <c r="AH198" s="17">
        <f>SUM('[1]2024年全面预算利润表 (销售1中心)2.8亿'!E203:H203)</f>
        <v>0</v>
      </c>
    </row>
    <row r="199" spans="1:53" s="19" customFormat="1" ht="18" hidden="1" customHeight="1" outlineLevel="1" x14ac:dyDescent="0.25">
      <c r="A199" s="48" t="s">
        <v>129</v>
      </c>
      <c r="B199" s="53"/>
      <c r="C199" s="49">
        <f>'2025年中心利润表 '!C199+'2025年江苏分部利润表'!C199+'2025年浙江分部利润表'!C199+'2025年上海分部利润表'!C199+'2025年赣皖区域利润表'!C199</f>
        <v>0</v>
      </c>
      <c r="D199" s="49">
        <f>'2025年中心利润表 '!D199+'2025年江苏分部利润表'!D199+'2025年浙江分部利润表'!D199+'2025年上海分部利润表'!D199+'2025年赣皖区域利润表'!D199</f>
        <v>0</v>
      </c>
      <c r="E199" s="49">
        <f>'2025年中心利润表 '!E199+'2025年江苏分部利润表'!E199+'2025年浙江分部利润表'!E199+'2025年上海分部利润表'!E199+'2025年赣皖区域利润表'!E199</f>
        <v>0</v>
      </c>
      <c r="F199" s="49">
        <f>'2025年中心利润表 '!F199+'2025年江苏分部利润表'!F199+'2025年浙江分部利润表'!F199+'2025年上海分部利润表'!F199+'2025年赣皖区域利润表'!F199</f>
        <v>0</v>
      </c>
      <c r="G199" s="49">
        <f>'2025年中心利润表 '!G199+'2025年江苏分部利润表'!G199+'2025年浙江分部利润表'!G199+'2025年上海分部利润表'!G199+'2025年赣皖区域利润表'!G199</f>
        <v>0</v>
      </c>
      <c r="H199" s="49">
        <f>'2025年中心利润表 '!H199+'2025年江苏分部利润表'!H199+'2025年浙江分部利润表'!H199+'2025年上海分部利润表'!H199+'2025年赣皖区域利润表'!H199</f>
        <v>0</v>
      </c>
      <c r="I199" s="49">
        <f>'2025年中心利润表 '!I199+'2025年江苏分部利润表'!I199+'2025年浙江分部利润表'!I199+'2025年上海分部利润表'!I199+'2025年赣皖区域利润表'!I199</f>
        <v>0</v>
      </c>
      <c r="J199" s="49">
        <f>'2025年中心利润表 '!J199+'2025年江苏分部利润表'!J199+'2025年浙江分部利润表'!J199+'2025年上海分部利润表'!J199+'2025年赣皖区域利润表'!J199</f>
        <v>0</v>
      </c>
      <c r="K199" s="49">
        <f>'2025年中心利润表 '!K199+'2025年江苏分部利润表'!K199+'2025年浙江分部利润表'!K199+'2025年上海分部利润表'!K199+'2025年赣皖区域利润表'!K199</f>
        <v>0</v>
      </c>
      <c r="L199" s="49">
        <f>'2025年中心利润表 '!L199+'2025年江苏分部利润表'!L199+'2025年浙江分部利润表'!L199+'2025年上海分部利润表'!L199+'2025年赣皖区域利润表'!L199</f>
        <v>0</v>
      </c>
      <c r="M199" s="49">
        <f>'2025年中心利润表 '!M199+'2025年江苏分部利润表'!M199+'2025年浙江分部利润表'!M199+'2025年上海分部利润表'!M199+'2025年赣皖区域利润表'!M199</f>
        <v>0</v>
      </c>
      <c r="N199" s="49">
        <f>'2025年中心利润表 '!N199+'2025年江苏分部利润表'!N199+'2025年浙江分部利润表'!N199+'2025年上海分部利润表'!N199+'2025年赣皖区域利润表'!N199</f>
        <v>0</v>
      </c>
      <c r="O199" s="49">
        <f>'2025年中心利润表 '!O199+'2025年江苏分部利润表'!O199+'2025年浙江分部利润表'!O199+'2025年上海分部利润表'!O199+'2025年赣皖区域利润表'!O199</f>
        <v>0</v>
      </c>
      <c r="P199" s="49">
        <f>'2025年中心利润表 '!P199+'2025年江苏分部利润表'!P199+'2025年浙江分部利润表'!P199+'2025年上海分部利润表'!P199+'2025年赣皖区域利润表'!P199</f>
        <v>0</v>
      </c>
      <c r="Q199" s="49">
        <f>'2025年中心利润表 '!Q199+'2025年江苏分部利润表'!Q199+'2025年浙江分部利润表'!Q199+'2025年上海分部利润表'!Q199+'2025年赣皖区域利润表'!Q199</f>
        <v>0</v>
      </c>
      <c r="R199" s="49">
        <f>'2025年中心利润表 '!R199+'2025年江苏分部利润表'!R199+'2025年浙江分部利润表'!R199+'2025年上海分部利润表'!R199+'2025年赣皖区域利润表'!R199</f>
        <v>0</v>
      </c>
      <c r="S199" s="49">
        <f>'2025年中心利润表 '!S199+'2025年江苏分部利润表'!S199+'2025年浙江分部利润表'!S199+'2025年上海分部利润表'!S199+'2025年赣皖区域利润表'!S199</f>
        <v>0</v>
      </c>
      <c r="T199" s="49">
        <f>'2025年中心利润表 '!T199+'2025年江苏分部利润表'!T199+'2025年浙江分部利润表'!T199+'2025年上海分部利润表'!T199+'2025年赣皖区域利润表'!T199</f>
        <v>0</v>
      </c>
      <c r="U199" s="49">
        <f>'2025年中心利润表 '!U199+'2025年江苏分部利润表'!U199+'2025年浙江分部利润表'!U199+'2025年上海分部利润表'!U199+'2025年赣皖区域利润表'!U199</f>
        <v>0</v>
      </c>
      <c r="V199" s="49">
        <f>'2025年中心利润表 '!V199+'2025年江苏分部利润表'!V199+'2025年浙江分部利润表'!V199+'2025年上海分部利润表'!V199+'2025年赣皖区域利润表'!V199</f>
        <v>0</v>
      </c>
      <c r="W199" s="49">
        <f>'2025年中心利润表 '!W199+'2025年江苏分部利润表'!W199+'2025年浙江分部利润表'!W199+'2025年上海分部利润表'!W199+'2025年赣皖区域利润表'!W199</f>
        <v>0</v>
      </c>
      <c r="X199" s="49">
        <f>'2025年中心利润表 '!X199+'2025年江苏分部利润表'!X199+'2025年浙江分部利润表'!X199+'2025年上海分部利润表'!X199+'2025年赣皖区域利润表'!X199</f>
        <v>0</v>
      </c>
      <c r="Y199" s="49">
        <f>'2025年中心利润表 '!Y199+'2025年江苏分部利润表'!Y199+'2025年浙江分部利润表'!Y199+'2025年上海分部利润表'!Y199+'2025年赣皖区域利润表'!Y199</f>
        <v>0</v>
      </c>
      <c r="Z199" s="49">
        <f>'2025年中心利润表 '!Z199+'2025年江苏分部利润表'!Z199+'2025年浙江分部利润表'!Z199+'2025年上海分部利润表'!Z199+'2025年赣皖区域利润表'!Z199</f>
        <v>0</v>
      </c>
      <c r="AA199" s="51">
        <f t="shared" si="36"/>
        <v>0</v>
      </c>
      <c r="AB199" s="51">
        <f t="shared" si="44"/>
        <v>0</v>
      </c>
      <c r="AC199" s="94"/>
      <c r="AD199" s="31">
        <f t="shared" si="37"/>
        <v>0</v>
      </c>
      <c r="AE199" s="31">
        <f t="shared" si="38"/>
        <v>0</v>
      </c>
      <c r="AF199" s="17">
        <f t="shared" si="39"/>
        <v>0</v>
      </c>
      <c r="AG199" s="17">
        <f t="shared" si="40"/>
        <v>0</v>
      </c>
      <c r="AH199" s="17">
        <f>SUM('[1]2024年全面预算利润表 (销售1中心)2.8亿'!E204:H204)</f>
        <v>0</v>
      </c>
    </row>
    <row r="200" spans="1:53" s="17" customFormat="1" ht="18" hidden="1" customHeight="1" outlineLevel="1" x14ac:dyDescent="0.25">
      <c r="A200" s="67" t="s">
        <v>130</v>
      </c>
      <c r="B200" s="45"/>
      <c r="C200" s="65">
        <f t="shared" ref="C200:Z200" si="47">SUM(C201:C205)</f>
        <v>0</v>
      </c>
      <c r="D200" s="65">
        <f t="shared" si="47"/>
        <v>0</v>
      </c>
      <c r="E200" s="65">
        <f t="shared" si="47"/>
        <v>0</v>
      </c>
      <c r="F200" s="65">
        <f t="shared" si="47"/>
        <v>0</v>
      </c>
      <c r="G200" s="65">
        <f t="shared" si="47"/>
        <v>0</v>
      </c>
      <c r="H200" s="65">
        <f t="shared" si="47"/>
        <v>0</v>
      </c>
      <c r="I200" s="65">
        <f t="shared" si="47"/>
        <v>0</v>
      </c>
      <c r="J200" s="65">
        <f t="shared" si="47"/>
        <v>0</v>
      </c>
      <c r="K200" s="65">
        <f t="shared" si="47"/>
        <v>0</v>
      </c>
      <c r="L200" s="65">
        <f t="shared" si="47"/>
        <v>0</v>
      </c>
      <c r="M200" s="65">
        <f t="shared" si="47"/>
        <v>0</v>
      </c>
      <c r="N200" s="65">
        <f t="shared" si="47"/>
        <v>0</v>
      </c>
      <c r="O200" s="65">
        <f t="shared" si="47"/>
        <v>0</v>
      </c>
      <c r="P200" s="65">
        <f t="shared" si="47"/>
        <v>0</v>
      </c>
      <c r="Q200" s="65">
        <f t="shared" si="47"/>
        <v>0</v>
      </c>
      <c r="R200" s="65">
        <f t="shared" si="47"/>
        <v>0</v>
      </c>
      <c r="S200" s="65">
        <f t="shared" si="47"/>
        <v>0</v>
      </c>
      <c r="T200" s="65">
        <f t="shared" si="47"/>
        <v>0</v>
      </c>
      <c r="U200" s="65">
        <f t="shared" si="47"/>
        <v>0</v>
      </c>
      <c r="V200" s="65">
        <f t="shared" si="47"/>
        <v>0</v>
      </c>
      <c r="W200" s="65">
        <f t="shared" si="47"/>
        <v>0</v>
      </c>
      <c r="X200" s="65">
        <f t="shared" si="47"/>
        <v>0</v>
      </c>
      <c r="Y200" s="65">
        <f t="shared" si="47"/>
        <v>0</v>
      </c>
      <c r="Z200" s="65">
        <f t="shared" si="47"/>
        <v>0</v>
      </c>
      <c r="AA200" s="51">
        <f t="shared" si="36"/>
        <v>0</v>
      </c>
      <c r="AB200" s="51">
        <f t="shared" si="44"/>
        <v>0</v>
      </c>
      <c r="AC200" s="132"/>
      <c r="AD200" s="31">
        <f t="shared" si="37"/>
        <v>0</v>
      </c>
      <c r="AE200" s="31">
        <f t="shared" si="38"/>
        <v>0</v>
      </c>
      <c r="AF200" s="17">
        <f t="shared" si="39"/>
        <v>0</v>
      </c>
      <c r="AG200" s="17">
        <f t="shared" si="40"/>
        <v>0</v>
      </c>
      <c r="AH200" s="17">
        <f>SUM('[1]2024年全面预算利润表 (销售1中心)2.8亿'!E205:H205)</f>
        <v>0</v>
      </c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</row>
    <row r="201" spans="1:53" s="19" customFormat="1" ht="18" hidden="1" customHeight="1" outlineLevel="2" x14ac:dyDescent="0.25">
      <c r="A201" s="48" t="s">
        <v>131</v>
      </c>
      <c r="B201" s="53"/>
      <c r="C201" s="49">
        <f>'2025年中心利润表 '!C201+'2025年江苏分部利润表'!C201+'2025年浙江分部利润表'!C201+'2025年上海分部利润表'!C201+'2025年赣皖区域利润表'!C201</f>
        <v>0</v>
      </c>
      <c r="D201" s="49">
        <f>'2025年中心利润表 '!D201+'2025年江苏分部利润表'!D201+'2025年浙江分部利润表'!D201+'2025年上海分部利润表'!D201+'2025年赣皖区域利润表'!D201</f>
        <v>0</v>
      </c>
      <c r="E201" s="49">
        <f>'2025年中心利润表 '!E201+'2025年江苏分部利润表'!E201+'2025年浙江分部利润表'!E201+'2025年上海分部利润表'!E201+'2025年赣皖区域利润表'!E201</f>
        <v>0</v>
      </c>
      <c r="F201" s="49">
        <f>'2025年中心利润表 '!F201+'2025年江苏分部利润表'!F201+'2025年浙江分部利润表'!F201+'2025年上海分部利润表'!F201+'2025年赣皖区域利润表'!F201</f>
        <v>0</v>
      </c>
      <c r="G201" s="49">
        <f>'2025年中心利润表 '!G201+'2025年江苏分部利润表'!G201+'2025年浙江分部利润表'!G201+'2025年上海分部利润表'!G201+'2025年赣皖区域利润表'!G201</f>
        <v>0</v>
      </c>
      <c r="H201" s="49">
        <f>'2025年中心利润表 '!H201+'2025年江苏分部利润表'!H201+'2025年浙江分部利润表'!H201+'2025年上海分部利润表'!H201+'2025年赣皖区域利润表'!H201</f>
        <v>0</v>
      </c>
      <c r="I201" s="49">
        <f>'2025年中心利润表 '!I201+'2025年江苏分部利润表'!I201+'2025年浙江分部利润表'!I201+'2025年上海分部利润表'!I201+'2025年赣皖区域利润表'!I201</f>
        <v>0</v>
      </c>
      <c r="J201" s="49">
        <f>'2025年中心利润表 '!J201+'2025年江苏分部利润表'!J201+'2025年浙江分部利润表'!J201+'2025年上海分部利润表'!J201+'2025年赣皖区域利润表'!J201</f>
        <v>0</v>
      </c>
      <c r="K201" s="49">
        <f>'2025年中心利润表 '!K201+'2025年江苏分部利润表'!K201+'2025年浙江分部利润表'!K201+'2025年上海分部利润表'!K201+'2025年赣皖区域利润表'!K201</f>
        <v>0</v>
      </c>
      <c r="L201" s="49">
        <f>'2025年中心利润表 '!L201+'2025年江苏分部利润表'!L201+'2025年浙江分部利润表'!L201+'2025年上海分部利润表'!L201+'2025年赣皖区域利润表'!L201</f>
        <v>0</v>
      </c>
      <c r="M201" s="49">
        <f>'2025年中心利润表 '!M201+'2025年江苏分部利润表'!M201+'2025年浙江分部利润表'!M201+'2025年上海分部利润表'!M201+'2025年赣皖区域利润表'!M201</f>
        <v>0</v>
      </c>
      <c r="N201" s="49">
        <f>'2025年中心利润表 '!N201+'2025年江苏分部利润表'!N201+'2025年浙江分部利润表'!N201+'2025年上海分部利润表'!N201+'2025年赣皖区域利润表'!N201</f>
        <v>0</v>
      </c>
      <c r="O201" s="49">
        <f>'2025年中心利润表 '!O201+'2025年江苏分部利润表'!O201+'2025年浙江分部利润表'!O201+'2025年上海分部利润表'!O201+'2025年赣皖区域利润表'!O201</f>
        <v>0</v>
      </c>
      <c r="P201" s="49">
        <f>'2025年中心利润表 '!P201+'2025年江苏分部利润表'!P201+'2025年浙江分部利润表'!P201+'2025年上海分部利润表'!P201+'2025年赣皖区域利润表'!P201</f>
        <v>0</v>
      </c>
      <c r="Q201" s="49">
        <f>'2025年中心利润表 '!Q201+'2025年江苏分部利润表'!Q201+'2025年浙江分部利润表'!Q201+'2025年上海分部利润表'!Q201+'2025年赣皖区域利润表'!Q201</f>
        <v>0</v>
      </c>
      <c r="R201" s="49">
        <f>'2025年中心利润表 '!R201+'2025年江苏分部利润表'!R201+'2025年浙江分部利润表'!R201+'2025年上海分部利润表'!R201+'2025年赣皖区域利润表'!R201</f>
        <v>0</v>
      </c>
      <c r="S201" s="49">
        <f>'2025年中心利润表 '!S201+'2025年江苏分部利润表'!S201+'2025年浙江分部利润表'!S201+'2025年上海分部利润表'!S201+'2025年赣皖区域利润表'!S201</f>
        <v>0</v>
      </c>
      <c r="T201" s="49">
        <f>'2025年中心利润表 '!T201+'2025年江苏分部利润表'!T201+'2025年浙江分部利润表'!T201+'2025年上海分部利润表'!T201+'2025年赣皖区域利润表'!T201</f>
        <v>0</v>
      </c>
      <c r="U201" s="49">
        <f>'2025年中心利润表 '!U201+'2025年江苏分部利润表'!U201+'2025年浙江分部利润表'!U201+'2025年上海分部利润表'!U201+'2025年赣皖区域利润表'!U201</f>
        <v>0</v>
      </c>
      <c r="V201" s="49">
        <f>'2025年中心利润表 '!V201+'2025年江苏分部利润表'!V201+'2025年浙江分部利润表'!V201+'2025年上海分部利润表'!V201+'2025年赣皖区域利润表'!V201</f>
        <v>0</v>
      </c>
      <c r="W201" s="49">
        <f>'2025年中心利润表 '!W201+'2025年江苏分部利润表'!W201+'2025年浙江分部利润表'!W201+'2025年上海分部利润表'!W201+'2025年赣皖区域利润表'!W201</f>
        <v>0</v>
      </c>
      <c r="X201" s="49">
        <f>'2025年中心利润表 '!X201+'2025年江苏分部利润表'!X201+'2025年浙江分部利润表'!X201+'2025年上海分部利润表'!X201+'2025年赣皖区域利润表'!X201</f>
        <v>0</v>
      </c>
      <c r="Y201" s="49">
        <f>'2025年中心利润表 '!Y201+'2025年江苏分部利润表'!Y201+'2025年浙江分部利润表'!Y201+'2025年上海分部利润表'!Y201+'2025年赣皖区域利润表'!Y201</f>
        <v>0</v>
      </c>
      <c r="Z201" s="49">
        <f>'2025年中心利润表 '!Z201+'2025年江苏分部利润表'!Z201+'2025年浙江分部利润表'!Z201+'2025年上海分部利润表'!Z201+'2025年赣皖区域利润表'!Z201</f>
        <v>0</v>
      </c>
      <c r="AA201" s="51">
        <f t="shared" si="36"/>
        <v>0</v>
      </c>
      <c r="AB201" s="51">
        <f t="shared" si="44"/>
        <v>0</v>
      </c>
      <c r="AC201" s="94"/>
      <c r="AD201" s="31">
        <f t="shared" si="37"/>
        <v>0</v>
      </c>
      <c r="AE201" s="31">
        <f t="shared" si="38"/>
        <v>0</v>
      </c>
      <c r="AF201" s="17">
        <f t="shared" si="39"/>
        <v>0</v>
      </c>
      <c r="AG201" s="17">
        <f t="shared" si="40"/>
        <v>0</v>
      </c>
      <c r="AH201" s="17">
        <f>SUM('[1]2024年全面预算利润表 (销售1中心)2.8亿'!E206:H206)</f>
        <v>0</v>
      </c>
    </row>
    <row r="202" spans="1:53" s="19" customFormat="1" ht="18" hidden="1" customHeight="1" outlineLevel="2" x14ac:dyDescent="0.25">
      <c r="A202" s="48" t="s">
        <v>132</v>
      </c>
      <c r="B202" s="53"/>
      <c r="C202" s="49">
        <f>'2025年中心利润表 '!C202+'2025年江苏分部利润表'!C202+'2025年浙江分部利润表'!C202+'2025年上海分部利润表'!C202+'2025年赣皖区域利润表'!C202</f>
        <v>0</v>
      </c>
      <c r="D202" s="49">
        <f>'2025年中心利润表 '!D202+'2025年江苏分部利润表'!D202+'2025年浙江分部利润表'!D202+'2025年上海分部利润表'!D202+'2025年赣皖区域利润表'!D202</f>
        <v>0</v>
      </c>
      <c r="E202" s="49">
        <f>'2025年中心利润表 '!E202+'2025年江苏分部利润表'!E202+'2025年浙江分部利润表'!E202+'2025年上海分部利润表'!E202+'2025年赣皖区域利润表'!E202</f>
        <v>0</v>
      </c>
      <c r="F202" s="49">
        <f>'2025年中心利润表 '!F202+'2025年江苏分部利润表'!F202+'2025年浙江分部利润表'!F202+'2025年上海分部利润表'!F202+'2025年赣皖区域利润表'!F202</f>
        <v>0</v>
      </c>
      <c r="G202" s="49">
        <f>'2025年中心利润表 '!G202+'2025年江苏分部利润表'!G202+'2025年浙江分部利润表'!G202+'2025年上海分部利润表'!G202+'2025年赣皖区域利润表'!G202</f>
        <v>0</v>
      </c>
      <c r="H202" s="49">
        <f>'2025年中心利润表 '!H202+'2025年江苏分部利润表'!H202+'2025年浙江分部利润表'!H202+'2025年上海分部利润表'!H202+'2025年赣皖区域利润表'!H202</f>
        <v>0</v>
      </c>
      <c r="I202" s="49">
        <f>'2025年中心利润表 '!I202+'2025年江苏分部利润表'!I202+'2025年浙江分部利润表'!I202+'2025年上海分部利润表'!I202+'2025年赣皖区域利润表'!I202</f>
        <v>0</v>
      </c>
      <c r="J202" s="49">
        <f>'2025年中心利润表 '!J202+'2025年江苏分部利润表'!J202+'2025年浙江分部利润表'!J202+'2025年上海分部利润表'!J202+'2025年赣皖区域利润表'!J202</f>
        <v>0</v>
      </c>
      <c r="K202" s="49">
        <f>'2025年中心利润表 '!K202+'2025年江苏分部利润表'!K202+'2025年浙江分部利润表'!K202+'2025年上海分部利润表'!K202+'2025年赣皖区域利润表'!K202</f>
        <v>0</v>
      </c>
      <c r="L202" s="49">
        <f>'2025年中心利润表 '!L202+'2025年江苏分部利润表'!L202+'2025年浙江分部利润表'!L202+'2025年上海分部利润表'!L202+'2025年赣皖区域利润表'!L202</f>
        <v>0</v>
      </c>
      <c r="M202" s="49">
        <f>'2025年中心利润表 '!M202+'2025年江苏分部利润表'!M202+'2025年浙江分部利润表'!M202+'2025年上海分部利润表'!M202+'2025年赣皖区域利润表'!M202</f>
        <v>0</v>
      </c>
      <c r="N202" s="49">
        <f>'2025年中心利润表 '!N202+'2025年江苏分部利润表'!N202+'2025年浙江分部利润表'!N202+'2025年上海分部利润表'!N202+'2025年赣皖区域利润表'!N202</f>
        <v>0</v>
      </c>
      <c r="O202" s="49">
        <f>'2025年中心利润表 '!O202+'2025年江苏分部利润表'!O202+'2025年浙江分部利润表'!O202+'2025年上海分部利润表'!O202+'2025年赣皖区域利润表'!O202</f>
        <v>0</v>
      </c>
      <c r="P202" s="49">
        <f>'2025年中心利润表 '!P202+'2025年江苏分部利润表'!P202+'2025年浙江分部利润表'!P202+'2025年上海分部利润表'!P202+'2025年赣皖区域利润表'!P202</f>
        <v>0</v>
      </c>
      <c r="Q202" s="49">
        <f>'2025年中心利润表 '!Q202+'2025年江苏分部利润表'!Q202+'2025年浙江分部利润表'!Q202+'2025年上海分部利润表'!Q202+'2025年赣皖区域利润表'!Q202</f>
        <v>0</v>
      </c>
      <c r="R202" s="49">
        <f>'2025年中心利润表 '!R202+'2025年江苏分部利润表'!R202+'2025年浙江分部利润表'!R202+'2025年上海分部利润表'!R202+'2025年赣皖区域利润表'!R202</f>
        <v>0</v>
      </c>
      <c r="S202" s="49">
        <f>'2025年中心利润表 '!S202+'2025年江苏分部利润表'!S202+'2025年浙江分部利润表'!S202+'2025年上海分部利润表'!S202+'2025年赣皖区域利润表'!S202</f>
        <v>0</v>
      </c>
      <c r="T202" s="49">
        <f>'2025年中心利润表 '!T202+'2025年江苏分部利润表'!T202+'2025年浙江分部利润表'!T202+'2025年上海分部利润表'!T202+'2025年赣皖区域利润表'!T202</f>
        <v>0</v>
      </c>
      <c r="U202" s="49">
        <f>'2025年中心利润表 '!U202+'2025年江苏分部利润表'!U202+'2025年浙江分部利润表'!U202+'2025年上海分部利润表'!U202+'2025年赣皖区域利润表'!U202</f>
        <v>0</v>
      </c>
      <c r="V202" s="49">
        <f>'2025年中心利润表 '!V202+'2025年江苏分部利润表'!V202+'2025年浙江分部利润表'!V202+'2025年上海分部利润表'!V202+'2025年赣皖区域利润表'!V202</f>
        <v>0</v>
      </c>
      <c r="W202" s="49">
        <f>'2025年中心利润表 '!W202+'2025年江苏分部利润表'!W202+'2025年浙江分部利润表'!W202+'2025年上海分部利润表'!W202+'2025年赣皖区域利润表'!W202</f>
        <v>0</v>
      </c>
      <c r="X202" s="49">
        <f>'2025年中心利润表 '!X202+'2025年江苏分部利润表'!X202+'2025年浙江分部利润表'!X202+'2025年上海分部利润表'!X202+'2025年赣皖区域利润表'!X202</f>
        <v>0</v>
      </c>
      <c r="Y202" s="49">
        <f>'2025年中心利润表 '!Y202+'2025年江苏分部利润表'!Y202+'2025年浙江分部利润表'!Y202+'2025年上海分部利润表'!Y202+'2025年赣皖区域利润表'!Y202</f>
        <v>0</v>
      </c>
      <c r="Z202" s="49">
        <f>'2025年中心利润表 '!Z202+'2025年江苏分部利润表'!Z202+'2025年浙江分部利润表'!Z202+'2025年上海分部利润表'!Z202+'2025年赣皖区域利润表'!Z202</f>
        <v>0</v>
      </c>
      <c r="AA202" s="51">
        <f t="shared" si="36"/>
        <v>0</v>
      </c>
      <c r="AB202" s="51">
        <f t="shared" si="44"/>
        <v>0</v>
      </c>
      <c r="AC202" s="94"/>
      <c r="AD202" s="31">
        <f t="shared" si="37"/>
        <v>0</v>
      </c>
      <c r="AE202" s="31">
        <f t="shared" si="38"/>
        <v>0</v>
      </c>
      <c r="AF202" s="17">
        <f t="shared" si="39"/>
        <v>0</v>
      </c>
      <c r="AG202" s="17">
        <f t="shared" si="40"/>
        <v>0</v>
      </c>
      <c r="AH202" s="17">
        <f>SUM('[1]2024年全面预算利润表 (销售1中心)2.8亿'!E207:H207)</f>
        <v>0</v>
      </c>
    </row>
    <row r="203" spans="1:53" s="19" customFormat="1" ht="18" hidden="1" customHeight="1" outlineLevel="2" x14ac:dyDescent="0.25">
      <c r="A203" s="48" t="s">
        <v>180</v>
      </c>
      <c r="B203" s="53"/>
      <c r="C203" s="49">
        <f>'2025年中心利润表 '!C203+'2025年江苏分部利润表'!C203+'2025年浙江分部利润表'!C203+'2025年上海分部利润表'!C203+'2025年赣皖区域利润表'!C203</f>
        <v>0</v>
      </c>
      <c r="D203" s="49">
        <f>'2025年中心利润表 '!D203+'2025年江苏分部利润表'!D203+'2025年浙江分部利润表'!D203+'2025年上海分部利润表'!D203+'2025年赣皖区域利润表'!D203</f>
        <v>0</v>
      </c>
      <c r="E203" s="49">
        <f>'2025年中心利润表 '!E203+'2025年江苏分部利润表'!E203+'2025年浙江分部利润表'!E203+'2025年上海分部利润表'!E203+'2025年赣皖区域利润表'!E203</f>
        <v>0</v>
      </c>
      <c r="F203" s="49">
        <f>'2025年中心利润表 '!F203+'2025年江苏分部利润表'!F203+'2025年浙江分部利润表'!F203+'2025年上海分部利润表'!F203+'2025年赣皖区域利润表'!F203</f>
        <v>0</v>
      </c>
      <c r="G203" s="49">
        <f>'2025年中心利润表 '!G203+'2025年江苏分部利润表'!G203+'2025年浙江分部利润表'!G203+'2025年上海分部利润表'!G203+'2025年赣皖区域利润表'!G203</f>
        <v>0</v>
      </c>
      <c r="H203" s="49">
        <f>'2025年中心利润表 '!H203+'2025年江苏分部利润表'!H203+'2025年浙江分部利润表'!H203+'2025年上海分部利润表'!H203+'2025年赣皖区域利润表'!H203</f>
        <v>0</v>
      </c>
      <c r="I203" s="49">
        <f>'2025年中心利润表 '!I203+'2025年江苏分部利润表'!I203+'2025年浙江分部利润表'!I203+'2025年上海分部利润表'!I203+'2025年赣皖区域利润表'!I203</f>
        <v>0</v>
      </c>
      <c r="J203" s="49">
        <f>'2025年中心利润表 '!J203+'2025年江苏分部利润表'!J203+'2025年浙江分部利润表'!J203+'2025年上海分部利润表'!J203+'2025年赣皖区域利润表'!J203</f>
        <v>0</v>
      </c>
      <c r="K203" s="49">
        <f>'2025年中心利润表 '!K203+'2025年江苏分部利润表'!K203+'2025年浙江分部利润表'!K203+'2025年上海分部利润表'!K203+'2025年赣皖区域利润表'!K203</f>
        <v>0</v>
      </c>
      <c r="L203" s="49">
        <f>'2025年中心利润表 '!L203+'2025年江苏分部利润表'!L203+'2025年浙江分部利润表'!L203+'2025年上海分部利润表'!L203+'2025年赣皖区域利润表'!L203</f>
        <v>0</v>
      </c>
      <c r="M203" s="49">
        <f>'2025年中心利润表 '!M203+'2025年江苏分部利润表'!M203+'2025年浙江分部利润表'!M203+'2025年上海分部利润表'!M203+'2025年赣皖区域利润表'!M203</f>
        <v>0</v>
      </c>
      <c r="N203" s="49">
        <f>'2025年中心利润表 '!N203+'2025年江苏分部利润表'!N203+'2025年浙江分部利润表'!N203+'2025年上海分部利润表'!N203+'2025年赣皖区域利润表'!N203</f>
        <v>0</v>
      </c>
      <c r="O203" s="49">
        <f>'2025年中心利润表 '!O203+'2025年江苏分部利润表'!O203+'2025年浙江分部利润表'!O203+'2025年上海分部利润表'!O203+'2025年赣皖区域利润表'!O203</f>
        <v>0</v>
      </c>
      <c r="P203" s="49">
        <f>'2025年中心利润表 '!P203+'2025年江苏分部利润表'!P203+'2025年浙江分部利润表'!P203+'2025年上海分部利润表'!P203+'2025年赣皖区域利润表'!P203</f>
        <v>0</v>
      </c>
      <c r="Q203" s="49">
        <f>'2025年中心利润表 '!Q203+'2025年江苏分部利润表'!Q203+'2025年浙江分部利润表'!Q203+'2025年上海分部利润表'!Q203+'2025年赣皖区域利润表'!Q203</f>
        <v>0</v>
      </c>
      <c r="R203" s="49">
        <f>'2025年中心利润表 '!R203+'2025年江苏分部利润表'!R203+'2025年浙江分部利润表'!R203+'2025年上海分部利润表'!R203+'2025年赣皖区域利润表'!R203</f>
        <v>0</v>
      </c>
      <c r="S203" s="49">
        <f>'2025年中心利润表 '!S203+'2025年江苏分部利润表'!S203+'2025年浙江分部利润表'!S203+'2025年上海分部利润表'!S203+'2025年赣皖区域利润表'!S203</f>
        <v>0</v>
      </c>
      <c r="T203" s="49">
        <f>'2025年中心利润表 '!T203+'2025年江苏分部利润表'!T203+'2025年浙江分部利润表'!T203+'2025年上海分部利润表'!T203+'2025年赣皖区域利润表'!T203</f>
        <v>0</v>
      </c>
      <c r="U203" s="49">
        <f>'2025年中心利润表 '!U203+'2025年江苏分部利润表'!U203+'2025年浙江分部利润表'!U203+'2025年上海分部利润表'!U203+'2025年赣皖区域利润表'!U203</f>
        <v>0</v>
      </c>
      <c r="V203" s="49">
        <f>'2025年中心利润表 '!V203+'2025年江苏分部利润表'!V203+'2025年浙江分部利润表'!V203+'2025年上海分部利润表'!V203+'2025年赣皖区域利润表'!V203</f>
        <v>0</v>
      </c>
      <c r="W203" s="49">
        <f>'2025年中心利润表 '!W203+'2025年江苏分部利润表'!W203+'2025年浙江分部利润表'!W203+'2025年上海分部利润表'!W203+'2025年赣皖区域利润表'!W203</f>
        <v>0</v>
      </c>
      <c r="X203" s="49">
        <f>'2025年中心利润表 '!X203+'2025年江苏分部利润表'!X203+'2025年浙江分部利润表'!X203+'2025年上海分部利润表'!X203+'2025年赣皖区域利润表'!X203</f>
        <v>0</v>
      </c>
      <c r="Y203" s="49">
        <f>'2025年中心利润表 '!Y203+'2025年江苏分部利润表'!Y203+'2025年浙江分部利润表'!Y203+'2025年上海分部利润表'!Y203+'2025年赣皖区域利润表'!Y203</f>
        <v>0</v>
      </c>
      <c r="Z203" s="49">
        <f>'2025年中心利润表 '!Z203+'2025年江苏分部利润表'!Z203+'2025年浙江分部利润表'!Z203+'2025年上海分部利润表'!Z203+'2025年赣皖区域利润表'!Z203</f>
        <v>0</v>
      </c>
      <c r="AA203" s="51">
        <f t="shared" si="36"/>
        <v>0</v>
      </c>
      <c r="AB203" s="51">
        <f t="shared" si="44"/>
        <v>0</v>
      </c>
      <c r="AC203" s="94"/>
      <c r="AD203" s="31">
        <f t="shared" si="37"/>
        <v>0</v>
      </c>
      <c r="AE203" s="31">
        <f t="shared" si="38"/>
        <v>0</v>
      </c>
      <c r="AF203" s="17">
        <f t="shared" si="39"/>
        <v>0</v>
      </c>
      <c r="AG203" s="17">
        <f t="shared" si="40"/>
        <v>0</v>
      </c>
      <c r="AH203" s="17">
        <f>SUM('[1]2024年全面预算利润表 (销售1中心)2.8亿'!E208:H208)</f>
        <v>0</v>
      </c>
    </row>
    <row r="204" spans="1:53" s="19" customFormat="1" ht="18" hidden="1" customHeight="1" outlineLevel="2" x14ac:dyDescent="0.25">
      <c r="A204" s="48" t="s">
        <v>134</v>
      </c>
      <c r="B204" s="53"/>
      <c r="C204" s="49">
        <f>'2025年中心利润表 '!C204+'2025年江苏分部利润表'!C204+'2025年浙江分部利润表'!C204+'2025年上海分部利润表'!C204+'2025年赣皖区域利润表'!C204</f>
        <v>0</v>
      </c>
      <c r="D204" s="49">
        <f>'2025年中心利润表 '!D204+'2025年江苏分部利润表'!D204+'2025年浙江分部利润表'!D204+'2025年上海分部利润表'!D204+'2025年赣皖区域利润表'!D204</f>
        <v>0</v>
      </c>
      <c r="E204" s="49">
        <f>'2025年中心利润表 '!E204+'2025年江苏分部利润表'!E204+'2025年浙江分部利润表'!E204+'2025年上海分部利润表'!E204+'2025年赣皖区域利润表'!E204</f>
        <v>0</v>
      </c>
      <c r="F204" s="49">
        <f>'2025年中心利润表 '!F204+'2025年江苏分部利润表'!F204+'2025年浙江分部利润表'!F204+'2025年上海分部利润表'!F204+'2025年赣皖区域利润表'!F204</f>
        <v>0</v>
      </c>
      <c r="G204" s="49">
        <f>'2025年中心利润表 '!G204+'2025年江苏分部利润表'!G204+'2025年浙江分部利润表'!G204+'2025年上海分部利润表'!G204+'2025年赣皖区域利润表'!G204</f>
        <v>0</v>
      </c>
      <c r="H204" s="49">
        <f>'2025年中心利润表 '!H204+'2025年江苏分部利润表'!H204+'2025年浙江分部利润表'!H204+'2025年上海分部利润表'!H204+'2025年赣皖区域利润表'!H204</f>
        <v>0</v>
      </c>
      <c r="I204" s="49">
        <f>'2025年中心利润表 '!I204+'2025年江苏分部利润表'!I204+'2025年浙江分部利润表'!I204+'2025年上海分部利润表'!I204+'2025年赣皖区域利润表'!I204</f>
        <v>0</v>
      </c>
      <c r="J204" s="49">
        <f>'2025年中心利润表 '!J204+'2025年江苏分部利润表'!J204+'2025年浙江分部利润表'!J204+'2025年上海分部利润表'!J204+'2025年赣皖区域利润表'!J204</f>
        <v>0</v>
      </c>
      <c r="K204" s="49">
        <f>'2025年中心利润表 '!K204+'2025年江苏分部利润表'!K204+'2025年浙江分部利润表'!K204+'2025年上海分部利润表'!K204+'2025年赣皖区域利润表'!K204</f>
        <v>0</v>
      </c>
      <c r="L204" s="49">
        <f>'2025年中心利润表 '!L204+'2025年江苏分部利润表'!L204+'2025年浙江分部利润表'!L204+'2025年上海分部利润表'!L204+'2025年赣皖区域利润表'!L204</f>
        <v>0</v>
      </c>
      <c r="M204" s="49">
        <f>'2025年中心利润表 '!M204+'2025年江苏分部利润表'!M204+'2025年浙江分部利润表'!M204+'2025年上海分部利润表'!M204+'2025年赣皖区域利润表'!M204</f>
        <v>0</v>
      </c>
      <c r="N204" s="49">
        <f>'2025年中心利润表 '!N204+'2025年江苏分部利润表'!N204+'2025年浙江分部利润表'!N204+'2025年上海分部利润表'!N204+'2025年赣皖区域利润表'!N204</f>
        <v>0</v>
      </c>
      <c r="O204" s="49">
        <f>'2025年中心利润表 '!O204+'2025年江苏分部利润表'!O204+'2025年浙江分部利润表'!O204+'2025年上海分部利润表'!O204+'2025年赣皖区域利润表'!O204</f>
        <v>0</v>
      </c>
      <c r="P204" s="49">
        <f>'2025年中心利润表 '!P204+'2025年江苏分部利润表'!P204+'2025年浙江分部利润表'!P204+'2025年上海分部利润表'!P204+'2025年赣皖区域利润表'!P204</f>
        <v>0</v>
      </c>
      <c r="Q204" s="49">
        <f>'2025年中心利润表 '!Q204+'2025年江苏分部利润表'!Q204+'2025年浙江分部利润表'!Q204+'2025年上海分部利润表'!Q204+'2025年赣皖区域利润表'!Q204</f>
        <v>0</v>
      </c>
      <c r="R204" s="49">
        <f>'2025年中心利润表 '!R204+'2025年江苏分部利润表'!R204+'2025年浙江分部利润表'!R204+'2025年上海分部利润表'!R204+'2025年赣皖区域利润表'!R204</f>
        <v>0</v>
      </c>
      <c r="S204" s="49">
        <f>'2025年中心利润表 '!S204+'2025年江苏分部利润表'!S204+'2025年浙江分部利润表'!S204+'2025年上海分部利润表'!S204+'2025年赣皖区域利润表'!S204</f>
        <v>0</v>
      </c>
      <c r="T204" s="49">
        <f>'2025年中心利润表 '!T204+'2025年江苏分部利润表'!T204+'2025年浙江分部利润表'!T204+'2025年上海分部利润表'!T204+'2025年赣皖区域利润表'!T204</f>
        <v>0</v>
      </c>
      <c r="U204" s="49">
        <f>'2025年中心利润表 '!U204+'2025年江苏分部利润表'!U204+'2025年浙江分部利润表'!U204+'2025年上海分部利润表'!U204+'2025年赣皖区域利润表'!U204</f>
        <v>0</v>
      </c>
      <c r="V204" s="49">
        <f>'2025年中心利润表 '!V204+'2025年江苏分部利润表'!V204+'2025年浙江分部利润表'!V204+'2025年上海分部利润表'!V204+'2025年赣皖区域利润表'!V204</f>
        <v>0</v>
      </c>
      <c r="W204" s="49">
        <f>'2025年中心利润表 '!W204+'2025年江苏分部利润表'!W204+'2025年浙江分部利润表'!W204+'2025年上海分部利润表'!W204+'2025年赣皖区域利润表'!W204</f>
        <v>0</v>
      </c>
      <c r="X204" s="49">
        <f>'2025年中心利润表 '!X204+'2025年江苏分部利润表'!X204+'2025年浙江分部利润表'!X204+'2025年上海分部利润表'!X204+'2025年赣皖区域利润表'!X204</f>
        <v>0</v>
      </c>
      <c r="Y204" s="49">
        <f>'2025年中心利润表 '!Y204+'2025年江苏分部利润表'!Y204+'2025年浙江分部利润表'!Y204+'2025年上海分部利润表'!Y204+'2025年赣皖区域利润表'!Y204</f>
        <v>0</v>
      </c>
      <c r="Z204" s="49">
        <f>'2025年中心利润表 '!Z204+'2025年江苏分部利润表'!Z204+'2025年浙江分部利润表'!Z204+'2025年上海分部利润表'!Z204+'2025年赣皖区域利润表'!Z204</f>
        <v>0</v>
      </c>
      <c r="AA204" s="51">
        <f t="shared" si="36"/>
        <v>0</v>
      </c>
      <c r="AB204" s="51">
        <f t="shared" si="44"/>
        <v>0</v>
      </c>
      <c r="AC204" s="94"/>
      <c r="AD204" s="31">
        <f t="shared" si="37"/>
        <v>0</v>
      </c>
      <c r="AE204" s="31">
        <f t="shared" si="38"/>
        <v>0</v>
      </c>
      <c r="AF204" s="17">
        <f t="shared" si="39"/>
        <v>0</v>
      </c>
      <c r="AG204" s="17">
        <f t="shared" si="40"/>
        <v>0</v>
      </c>
      <c r="AH204" s="17">
        <f>SUM('[1]2024年全面预算利润表 (销售1中心)2.8亿'!E209:H209)</f>
        <v>0</v>
      </c>
    </row>
    <row r="205" spans="1:53" s="19" customFormat="1" ht="18" hidden="1" customHeight="1" outlineLevel="2" x14ac:dyDescent="0.25">
      <c r="A205" s="48" t="s">
        <v>135</v>
      </c>
      <c r="B205" s="53"/>
      <c r="C205" s="49">
        <f>'2025年中心利润表 '!C205+'2025年江苏分部利润表'!C205+'2025年浙江分部利润表'!C205+'2025年上海分部利润表'!C205+'2025年赣皖区域利润表'!C205</f>
        <v>0</v>
      </c>
      <c r="D205" s="49">
        <f>'2025年中心利润表 '!D205+'2025年江苏分部利润表'!D205+'2025年浙江分部利润表'!D205+'2025年上海分部利润表'!D205+'2025年赣皖区域利润表'!D205</f>
        <v>0</v>
      </c>
      <c r="E205" s="49">
        <f>'2025年中心利润表 '!E205+'2025年江苏分部利润表'!E205+'2025年浙江分部利润表'!E205+'2025年上海分部利润表'!E205+'2025年赣皖区域利润表'!E205</f>
        <v>0</v>
      </c>
      <c r="F205" s="49">
        <f>'2025年中心利润表 '!F205+'2025年江苏分部利润表'!F205+'2025年浙江分部利润表'!F205+'2025年上海分部利润表'!F205+'2025年赣皖区域利润表'!F205</f>
        <v>0</v>
      </c>
      <c r="G205" s="49">
        <f>'2025年中心利润表 '!G205+'2025年江苏分部利润表'!G205+'2025年浙江分部利润表'!G205+'2025年上海分部利润表'!G205+'2025年赣皖区域利润表'!G205</f>
        <v>0</v>
      </c>
      <c r="H205" s="49">
        <f>'2025年中心利润表 '!H205+'2025年江苏分部利润表'!H205+'2025年浙江分部利润表'!H205+'2025年上海分部利润表'!H205+'2025年赣皖区域利润表'!H205</f>
        <v>0</v>
      </c>
      <c r="I205" s="49">
        <f>'2025年中心利润表 '!I205+'2025年江苏分部利润表'!I205+'2025年浙江分部利润表'!I205+'2025年上海分部利润表'!I205+'2025年赣皖区域利润表'!I205</f>
        <v>0</v>
      </c>
      <c r="J205" s="49">
        <f>'2025年中心利润表 '!J205+'2025年江苏分部利润表'!J205+'2025年浙江分部利润表'!J205+'2025年上海分部利润表'!J205+'2025年赣皖区域利润表'!J205</f>
        <v>0</v>
      </c>
      <c r="K205" s="49">
        <f>'2025年中心利润表 '!K205+'2025年江苏分部利润表'!K205+'2025年浙江分部利润表'!K205+'2025年上海分部利润表'!K205+'2025年赣皖区域利润表'!K205</f>
        <v>0</v>
      </c>
      <c r="L205" s="49">
        <f>'2025年中心利润表 '!L205+'2025年江苏分部利润表'!L205+'2025年浙江分部利润表'!L205+'2025年上海分部利润表'!L205+'2025年赣皖区域利润表'!L205</f>
        <v>0</v>
      </c>
      <c r="M205" s="49">
        <f>'2025年中心利润表 '!M205+'2025年江苏分部利润表'!M205+'2025年浙江分部利润表'!M205+'2025年上海分部利润表'!M205+'2025年赣皖区域利润表'!M205</f>
        <v>0</v>
      </c>
      <c r="N205" s="49">
        <f>'2025年中心利润表 '!N205+'2025年江苏分部利润表'!N205+'2025年浙江分部利润表'!N205+'2025年上海分部利润表'!N205+'2025年赣皖区域利润表'!N205</f>
        <v>0</v>
      </c>
      <c r="O205" s="49">
        <f>'2025年中心利润表 '!O205+'2025年江苏分部利润表'!O205+'2025年浙江分部利润表'!O205+'2025年上海分部利润表'!O205+'2025年赣皖区域利润表'!O205</f>
        <v>0</v>
      </c>
      <c r="P205" s="49">
        <f>'2025年中心利润表 '!P205+'2025年江苏分部利润表'!P205+'2025年浙江分部利润表'!P205+'2025年上海分部利润表'!P205+'2025年赣皖区域利润表'!P205</f>
        <v>0</v>
      </c>
      <c r="Q205" s="49">
        <f>'2025年中心利润表 '!Q205+'2025年江苏分部利润表'!Q205+'2025年浙江分部利润表'!Q205+'2025年上海分部利润表'!Q205+'2025年赣皖区域利润表'!Q205</f>
        <v>0</v>
      </c>
      <c r="R205" s="49">
        <f>'2025年中心利润表 '!R205+'2025年江苏分部利润表'!R205+'2025年浙江分部利润表'!R205+'2025年上海分部利润表'!R205+'2025年赣皖区域利润表'!R205</f>
        <v>0</v>
      </c>
      <c r="S205" s="49">
        <f>'2025年中心利润表 '!S205+'2025年江苏分部利润表'!S205+'2025年浙江分部利润表'!S205+'2025年上海分部利润表'!S205+'2025年赣皖区域利润表'!S205</f>
        <v>0</v>
      </c>
      <c r="T205" s="49">
        <f>'2025年中心利润表 '!T205+'2025年江苏分部利润表'!T205+'2025年浙江分部利润表'!T205+'2025年上海分部利润表'!T205+'2025年赣皖区域利润表'!T205</f>
        <v>0</v>
      </c>
      <c r="U205" s="49">
        <f>'2025年中心利润表 '!U205+'2025年江苏分部利润表'!U205+'2025年浙江分部利润表'!U205+'2025年上海分部利润表'!U205+'2025年赣皖区域利润表'!U205</f>
        <v>0</v>
      </c>
      <c r="V205" s="49">
        <f>'2025年中心利润表 '!V205+'2025年江苏分部利润表'!V205+'2025年浙江分部利润表'!V205+'2025年上海分部利润表'!V205+'2025年赣皖区域利润表'!V205</f>
        <v>0</v>
      </c>
      <c r="W205" s="49">
        <f>'2025年中心利润表 '!W205+'2025年江苏分部利润表'!W205+'2025年浙江分部利润表'!W205+'2025年上海分部利润表'!W205+'2025年赣皖区域利润表'!W205</f>
        <v>0</v>
      </c>
      <c r="X205" s="49">
        <f>'2025年中心利润表 '!X205+'2025年江苏分部利润表'!X205+'2025年浙江分部利润表'!X205+'2025年上海分部利润表'!X205+'2025年赣皖区域利润表'!X205</f>
        <v>0</v>
      </c>
      <c r="Y205" s="49">
        <f>'2025年中心利润表 '!Y205+'2025年江苏分部利润表'!Y205+'2025年浙江分部利润表'!Y205+'2025年上海分部利润表'!Y205+'2025年赣皖区域利润表'!Y205</f>
        <v>0</v>
      </c>
      <c r="Z205" s="49">
        <f>'2025年中心利润表 '!Z205+'2025年江苏分部利润表'!Z205+'2025年浙江分部利润表'!Z205+'2025年上海分部利润表'!Z205+'2025年赣皖区域利润表'!Z205</f>
        <v>0</v>
      </c>
      <c r="AA205" s="51">
        <f t="shared" si="36"/>
        <v>0</v>
      </c>
      <c r="AB205" s="51">
        <f t="shared" si="44"/>
        <v>0</v>
      </c>
      <c r="AC205" s="94"/>
      <c r="AD205" s="31">
        <f t="shared" si="37"/>
        <v>0</v>
      </c>
      <c r="AE205" s="31">
        <f t="shared" si="38"/>
        <v>0</v>
      </c>
      <c r="AF205" s="17">
        <f t="shared" si="39"/>
        <v>0</v>
      </c>
      <c r="AG205" s="17">
        <f t="shared" si="40"/>
        <v>0</v>
      </c>
      <c r="AH205" s="17">
        <f>SUM('[1]2024年全面预算利润表 (销售1中心)2.8亿'!E210:H210)</f>
        <v>0</v>
      </c>
    </row>
    <row r="206" spans="1:53" s="19" customFormat="1" ht="18" hidden="1" customHeight="1" outlineLevel="1" collapsed="1" x14ac:dyDescent="0.25">
      <c r="A206" s="48" t="s">
        <v>136</v>
      </c>
      <c r="B206" s="53"/>
      <c r="C206" s="49">
        <f>'2025年中心利润表 '!C206+'2025年江苏分部利润表'!C206+'2025年浙江分部利润表'!C206+'2025年上海分部利润表'!C206+'2025年赣皖区域利润表'!C206</f>
        <v>0</v>
      </c>
      <c r="D206" s="49">
        <f>'2025年中心利润表 '!D206+'2025年江苏分部利润表'!D206+'2025年浙江分部利润表'!D206+'2025年上海分部利润表'!D206+'2025年赣皖区域利润表'!D206</f>
        <v>0</v>
      </c>
      <c r="E206" s="49">
        <f>'2025年中心利润表 '!E206+'2025年江苏分部利润表'!E206+'2025年浙江分部利润表'!E206+'2025年上海分部利润表'!E206+'2025年赣皖区域利润表'!E206</f>
        <v>0</v>
      </c>
      <c r="F206" s="49">
        <f>'2025年中心利润表 '!F206+'2025年江苏分部利润表'!F206+'2025年浙江分部利润表'!F206+'2025年上海分部利润表'!F206+'2025年赣皖区域利润表'!F206</f>
        <v>0</v>
      </c>
      <c r="G206" s="49">
        <f>'2025年中心利润表 '!G206+'2025年江苏分部利润表'!G206+'2025年浙江分部利润表'!G206+'2025年上海分部利润表'!G206+'2025年赣皖区域利润表'!G206</f>
        <v>0</v>
      </c>
      <c r="H206" s="49">
        <f>'2025年中心利润表 '!H206+'2025年江苏分部利润表'!H206+'2025年浙江分部利润表'!H206+'2025年上海分部利润表'!H206+'2025年赣皖区域利润表'!H206</f>
        <v>0</v>
      </c>
      <c r="I206" s="49">
        <f>'2025年中心利润表 '!I206+'2025年江苏分部利润表'!I206+'2025年浙江分部利润表'!I206+'2025年上海分部利润表'!I206+'2025年赣皖区域利润表'!I206</f>
        <v>0</v>
      </c>
      <c r="J206" s="49">
        <f>'2025年中心利润表 '!J206+'2025年江苏分部利润表'!J206+'2025年浙江分部利润表'!J206+'2025年上海分部利润表'!J206+'2025年赣皖区域利润表'!J206</f>
        <v>0</v>
      </c>
      <c r="K206" s="49">
        <f>'2025年中心利润表 '!K206+'2025年江苏分部利润表'!K206+'2025年浙江分部利润表'!K206+'2025年上海分部利润表'!K206+'2025年赣皖区域利润表'!K206</f>
        <v>0</v>
      </c>
      <c r="L206" s="49">
        <f>'2025年中心利润表 '!L206+'2025年江苏分部利润表'!L206+'2025年浙江分部利润表'!L206+'2025年上海分部利润表'!L206+'2025年赣皖区域利润表'!L206</f>
        <v>0</v>
      </c>
      <c r="M206" s="49">
        <f>'2025年中心利润表 '!M206+'2025年江苏分部利润表'!M206+'2025年浙江分部利润表'!M206+'2025年上海分部利润表'!M206+'2025年赣皖区域利润表'!M206</f>
        <v>0</v>
      </c>
      <c r="N206" s="49">
        <f>'2025年中心利润表 '!N206+'2025年江苏分部利润表'!N206+'2025年浙江分部利润表'!N206+'2025年上海分部利润表'!N206+'2025年赣皖区域利润表'!N206</f>
        <v>0</v>
      </c>
      <c r="O206" s="49">
        <f>'2025年中心利润表 '!O206+'2025年江苏分部利润表'!O206+'2025年浙江分部利润表'!O206+'2025年上海分部利润表'!O206+'2025年赣皖区域利润表'!O206</f>
        <v>0</v>
      </c>
      <c r="P206" s="49">
        <f>'2025年中心利润表 '!P206+'2025年江苏分部利润表'!P206+'2025年浙江分部利润表'!P206+'2025年上海分部利润表'!P206+'2025年赣皖区域利润表'!P206</f>
        <v>0</v>
      </c>
      <c r="Q206" s="49">
        <f>'2025年中心利润表 '!Q206+'2025年江苏分部利润表'!Q206+'2025年浙江分部利润表'!Q206+'2025年上海分部利润表'!Q206+'2025年赣皖区域利润表'!Q206</f>
        <v>0</v>
      </c>
      <c r="R206" s="49">
        <f>'2025年中心利润表 '!R206+'2025年江苏分部利润表'!R206+'2025年浙江分部利润表'!R206+'2025年上海分部利润表'!R206+'2025年赣皖区域利润表'!R206</f>
        <v>0</v>
      </c>
      <c r="S206" s="49">
        <f>'2025年中心利润表 '!S206+'2025年江苏分部利润表'!S206+'2025年浙江分部利润表'!S206+'2025年上海分部利润表'!S206+'2025年赣皖区域利润表'!S206</f>
        <v>0</v>
      </c>
      <c r="T206" s="49">
        <f>'2025年中心利润表 '!T206+'2025年江苏分部利润表'!T206+'2025年浙江分部利润表'!T206+'2025年上海分部利润表'!T206+'2025年赣皖区域利润表'!T206</f>
        <v>0</v>
      </c>
      <c r="U206" s="49">
        <f>'2025年中心利润表 '!U206+'2025年江苏分部利润表'!U206+'2025年浙江分部利润表'!U206+'2025年上海分部利润表'!U206+'2025年赣皖区域利润表'!U206</f>
        <v>0</v>
      </c>
      <c r="V206" s="49">
        <f>'2025年中心利润表 '!V206+'2025年江苏分部利润表'!V206+'2025年浙江分部利润表'!V206+'2025年上海分部利润表'!V206+'2025年赣皖区域利润表'!V206</f>
        <v>0</v>
      </c>
      <c r="W206" s="49">
        <f>'2025年中心利润表 '!W206+'2025年江苏分部利润表'!W206+'2025年浙江分部利润表'!W206+'2025年上海分部利润表'!W206+'2025年赣皖区域利润表'!W206</f>
        <v>0</v>
      </c>
      <c r="X206" s="49">
        <f>'2025年中心利润表 '!X206+'2025年江苏分部利润表'!X206+'2025年浙江分部利润表'!X206+'2025年上海分部利润表'!X206+'2025年赣皖区域利润表'!X206</f>
        <v>0</v>
      </c>
      <c r="Y206" s="49">
        <f>'2025年中心利润表 '!Y206+'2025年江苏分部利润表'!Y206+'2025年浙江分部利润表'!Y206+'2025年上海分部利润表'!Y206+'2025年赣皖区域利润表'!Y206</f>
        <v>0</v>
      </c>
      <c r="Z206" s="49">
        <f>'2025年中心利润表 '!Z206+'2025年江苏分部利润表'!Z206+'2025年浙江分部利润表'!Z206+'2025年上海分部利润表'!Z206+'2025年赣皖区域利润表'!Z206</f>
        <v>0</v>
      </c>
      <c r="AA206" s="51">
        <f t="shared" si="36"/>
        <v>0</v>
      </c>
      <c r="AB206" s="51">
        <f t="shared" si="44"/>
        <v>0</v>
      </c>
      <c r="AC206" s="94"/>
      <c r="AD206" s="31">
        <f t="shared" si="37"/>
        <v>0</v>
      </c>
      <c r="AE206" s="31">
        <f t="shared" si="38"/>
        <v>0</v>
      </c>
      <c r="AF206" s="17">
        <f t="shared" si="39"/>
        <v>0</v>
      </c>
      <c r="AG206" s="17">
        <f t="shared" si="40"/>
        <v>0</v>
      </c>
      <c r="AH206" s="17">
        <f>SUM('[1]2024年全面预算利润表 (销售1中心)2.8亿'!E211:H211)</f>
        <v>0</v>
      </c>
    </row>
    <row r="207" spans="1:53" s="19" customFormat="1" ht="18" hidden="1" customHeight="1" outlineLevel="1" x14ac:dyDescent="0.25">
      <c r="A207" s="48" t="s">
        <v>137</v>
      </c>
      <c r="B207" s="53"/>
      <c r="C207" s="49">
        <f>'2025年中心利润表 '!C207+'2025年江苏分部利润表'!C207+'2025年浙江分部利润表'!C207+'2025年上海分部利润表'!C207+'2025年赣皖区域利润表'!C207</f>
        <v>0</v>
      </c>
      <c r="D207" s="49">
        <f>'2025年中心利润表 '!D207+'2025年江苏分部利润表'!D207+'2025年浙江分部利润表'!D207+'2025年上海分部利润表'!D207+'2025年赣皖区域利润表'!D207</f>
        <v>0</v>
      </c>
      <c r="E207" s="49">
        <f>'2025年中心利润表 '!E207+'2025年江苏分部利润表'!E207+'2025年浙江分部利润表'!E207+'2025年上海分部利润表'!E207+'2025年赣皖区域利润表'!E207</f>
        <v>0</v>
      </c>
      <c r="F207" s="49">
        <f>'2025年中心利润表 '!F207+'2025年江苏分部利润表'!F207+'2025年浙江分部利润表'!F207+'2025年上海分部利润表'!F207+'2025年赣皖区域利润表'!F207</f>
        <v>0</v>
      </c>
      <c r="G207" s="49">
        <f>'2025年中心利润表 '!G207+'2025年江苏分部利润表'!G207+'2025年浙江分部利润表'!G207+'2025年上海分部利润表'!G207+'2025年赣皖区域利润表'!G207</f>
        <v>0</v>
      </c>
      <c r="H207" s="49">
        <f>'2025年中心利润表 '!H207+'2025年江苏分部利润表'!H207+'2025年浙江分部利润表'!H207+'2025年上海分部利润表'!H207+'2025年赣皖区域利润表'!H207</f>
        <v>0</v>
      </c>
      <c r="I207" s="49">
        <f>'2025年中心利润表 '!I207+'2025年江苏分部利润表'!I207+'2025年浙江分部利润表'!I207+'2025年上海分部利润表'!I207+'2025年赣皖区域利润表'!I207</f>
        <v>0</v>
      </c>
      <c r="J207" s="49">
        <f>'2025年中心利润表 '!J207+'2025年江苏分部利润表'!J207+'2025年浙江分部利润表'!J207+'2025年上海分部利润表'!J207+'2025年赣皖区域利润表'!J207</f>
        <v>0</v>
      </c>
      <c r="K207" s="49">
        <f>'2025年中心利润表 '!K207+'2025年江苏分部利润表'!K207+'2025年浙江分部利润表'!K207+'2025年上海分部利润表'!K207+'2025年赣皖区域利润表'!K207</f>
        <v>0</v>
      </c>
      <c r="L207" s="49">
        <f>'2025年中心利润表 '!L207+'2025年江苏分部利润表'!L207+'2025年浙江分部利润表'!L207+'2025年上海分部利润表'!L207+'2025年赣皖区域利润表'!L207</f>
        <v>0</v>
      </c>
      <c r="M207" s="49">
        <f>'2025年中心利润表 '!M207+'2025年江苏分部利润表'!M207+'2025年浙江分部利润表'!M207+'2025年上海分部利润表'!M207+'2025年赣皖区域利润表'!M207</f>
        <v>0</v>
      </c>
      <c r="N207" s="49">
        <f>'2025年中心利润表 '!N207+'2025年江苏分部利润表'!N207+'2025年浙江分部利润表'!N207+'2025年上海分部利润表'!N207+'2025年赣皖区域利润表'!N207</f>
        <v>0</v>
      </c>
      <c r="O207" s="49">
        <f>'2025年中心利润表 '!O207+'2025年江苏分部利润表'!O207+'2025年浙江分部利润表'!O207+'2025年上海分部利润表'!O207+'2025年赣皖区域利润表'!O207</f>
        <v>0</v>
      </c>
      <c r="P207" s="49">
        <f>'2025年中心利润表 '!P207+'2025年江苏分部利润表'!P207+'2025年浙江分部利润表'!P207+'2025年上海分部利润表'!P207+'2025年赣皖区域利润表'!P207</f>
        <v>0</v>
      </c>
      <c r="Q207" s="49">
        <f>'2025年中心利润表 '!Q207+'2025年江苏分部利润表'!Q207+'2025年浙江分部利润表'!Q207+'2025年上海分部利润表'!Q207+'2025年赣皖区域利润表'!Q207</f>
        <v>0</v>
      </c>
      <c r="R207" s="49">
        <f>'2025年中心利润表 '!R207+'2025年江苏分部利润表'!R207+'2025年浙江分部利润表'!R207+'2025年上海分部利润表'!R207+'2025年赣皖区域利润表'!R207</f>
        <v>0</v>
      </c>
      <c r="S207" s="49">
        <f>'2025年中心利润表 '!S207+'2025年江苏分部利润表'!S207+'2025年浙江分部利润表'!S207+'2025年上海分部利润表'!S207+'2025年赣皖区域利润表'!S207</f>
        <v>0</v>
      </c>
      <c r="T207" s="49">
        <f>'2025年中心利润表 '!T207+'2025年江苏分部利润表'!T207+'2025年浙江分部利润表'!T207+'2025年上海分部利润表'!T207+'2025年赣皖区域利润表'!T207</f>
        <v>0</v>
      </c>
      <c r="U207" s="49">
        <f>'2025年中心利润表 '!U207+'2025年江苏分部利润表'!U207+'2025年浙江分部利润表'!U207+'2025年上海分部利润表'!U207+'2025年赣皖区域利润表'!U207</f>
        <v>0</v>
      </c>
      <c r="V207" s="49">
        <f>'2025年中心利润表 '!V207+'2025年江苏分部利润表'!V207+'2025年浙江分部利润表'!V207+'2025年上海分部利润表'!V207+'2025年赣皖区域利润表'!V207</f>
        <v>0</v>
      </c>
      <c r="W207" s="49">
        <f>'2025年中心利润表 '!W207+'2025年江苏分部利润表'!W207+'2025年浙江分部利润表'!W207+'2025年上海分部利润表'!W207+'2025年赣皖区域利润表'!W207</f>
        <v>0</v>
      </c>
      <c r="X207" s="49">
        <f>'2025年中心利润表 '!X207+'2025年江苏分部利润表'!X207+'2025年浙江分部利润表'!X207+'2025年上海分部利润表'!X207+'2025年赣皖区域利润表'!X207</f>
        <v>0</v>
      </c>
      <c r="Y207" s="49">
        <f>'2025年中心利润表 '!Y207+'2025年江苏分部利润表'!Y207+'2025年浙江分部利润表'!Y207+'2025年上海分部利润表'!Y207+'2025年赣皖区域利润表'!Y207</f>
        <v>0</v>
      </c>
      <c r="Z207" s="49">
        <f>'2025年中心利润表 '!Z207+'2025年江苏分部利润表'!Z207+'2025年浙江分部利润表'!Z207+'2025年上海分部利润表'!Z207+'2025年赣皖区域利润表'!Z207</f>
        <v>0</v>
      </c>
      <c r="AA207" s="51">
        <f t="shared" si="36"/>
        <v>0</v>
      </c>
      <c r="AB207" s="51">
        <f t="shared" si="44"/>
        <v>0</v>
      </c>
      <c r="AC207" s="94"/>
      <c r="AD207" s="31">
        <f t="shared" si="37"/>
        <v>0</v>
      </c>
      <c r="AE207" s="31">
        <f t="shared" si="38"/>
        <v>0</v>
      </c>
      <c r="AF207" s="17">
        <f t="shared" si="39"/>
        <v>0</v>
      </c>
      <c r="AG207" s="17">
        <f t="shared" si="40"/>
        <v>0</v>
      </c>
      <c r="AH207" s="17">
        <f>SUM('[1]2024年全面预算利润表 (销售1中心)2.8亿'!E212:H212)</f>
        <v>0</v>
      </c>
    </row>
    <row r="208" spans="1:53" s="19" customFormat="1" ht="18" hidden="1" customHeight="1" outlineLevel="1" x14ac:dyDescent="0.25">
      <c r="A208" s="48" t="s">
        <v>138</v>
      </c>
      <c r="B208" s="53"/>
      <c r="C208" s="49">
        <f>'2025年中心利润表 '!C208+'2025年江苏分部利润表'!C208+'2025年浙江分部利润表'!C208+'2025年上海分部利润表'!C208+'2025年赣皖区域利润表'!C208</f>
        <v>0</v>
      </c>
      <c r="D208" s="49">
        <f>'2025年中心利润表 '!D208+'2025年江苏分部利润表'!D208+'2025年浙江分部利润表'!D208+'2025年上海分部利润表'!D208+'2025年赣皖区域利润表'!D208</f>
        <v>0</v>
      </c>
      <c r="E208" s="49">
        <f>'2025年中心利润表 '!E208+'2025年江苏分部利润表'!E208+'2025年浙江分部利润表'!E208+'2025年上海分部利润表'!E208+'2025年赣皖区域利润表'!E208</f>
        <v>0</v>
      </c>
      <c r="F208" s="49">
        <f>'2025年中心利润表 '!F208+'2025年江苏分部利润表'!F208+'2025年浙江分部利润表'!F208+'2025年上海分部利润表'!F208+'2025年赣皖区域利润表'!F208</f>
        <v>0</v>
      </c>
      <c r="G208" s="49">
        <f>'2025年中心利润表 '!G208+'2025年江苏分部利润表'!G208+'2025年浙江分部利润表'!G208+'2025年上海分部利润表'!G208+'2025年赣皖区域利润表'!G208</f>
        <v>0</v>
      </c>
      <c r="H208" s="49">
        <f>'2025年中心利润表 '!H208+'2025年江苏分部利润表'!H208+'2025年浙江分部利润表'!H208+'2025年上海分部利润表'!H208+'2025年赣皖区域利润表'!H208</f>
        <v>0</v>
      </c>
      <c r="I208" s="49">
        <f>'2025年中心利润表 '!I208+'2025年江苏分部利润表'!I208+'2025年浙江分部利润表'!I208+'2025年上海分部利润表'!I208+'2025年赣皖区域利润表'!I208</f>
        <v>0</v>
      </c>
      <c r="J208" s="49">
        <f>'2025年中心利润表 '!J208+'2025年江苏分部利润表'!J208+'2025年浙江分部利润表'!J208+'2025年上海分部利润表'!J208+'2025年赣皖区域利润表'!J208</f>
        <v>0</v>
      </c>
      <c r="K208" s="49">
        <f>'2025年中心利润表 '!K208+'2025年江苏分部利润表'!K208+'2025年浙江分部利润表'!K208+'2025年上海分部利润表'!K208+'2025年赣皖区域利润表'!K208</f>
        <v>0</v>
      </c>
      <c r="L208" s="49">
        <f>'2025年中心利润表 '!L208+'2025年江苏分部利润表'!L208+'2025年浙江分部利润表'!L208+'2025年上海分部利润表'!L208+'2025年赣皖区域利润表'!L208</f>
        <v>0</v>
      </c>
      <c r="M208" s="49">
        <f>'2025年中心利润表 '!M208+'2025年江苏分部利润表'!M208+'2025年浙江分部利润表'!M208+'2025年上海分部利润表'!M208+'2025年赣皖区域利润表'!M208</f>
        <v>0</v>
      </c>
      <c r="N208" s="49">
        <f>'2025年中心利润表 '!N208+'2025年江苏分部利润表'!N208+'2025年浙江分部利润表'!N208+'2025年上海分部利润表'!N208+'2025年赣皖区域利润表'!N208</f>
        <v>0</v>
      </c>
      <c r="O208" s="49">
        <f>'2025年中心利润表 '!O208+'2025年江苏分部利润表'!O208+'2025年浙江分部利润表'!O208+'2025年上海分部利润表'!O208+'2025年赣皖区域利润表'!O208</f>
        <v>0</v>
      </c>
      <c r="P208" s="49">
        <f>'2025年中心利润表 '!P208+'2025年江苏分部利润表'!P208+'2025年浙江分部利润表'!P208+'2025年上海分部利润表'!P208+'2025年赣皖区域利润表'!P208</f>
        <v>0</v>
      </c>
      <c r="Q208" s="49">
        <f>'2025年中心利润表 '!Q208+'2025年江苏分部利润表'!Q208+'2025年浙江分部利润表'!Q208+'2025年上海分部利润表'!Q208+'2025年赣皖区域利润表'!Q208</f>
        <v>0</v>
      </c>
      <c r="R208" s="49">
        <f>'2025年中心利润表 '!R208+'2025年江苏分部利润表'!R208+'2025年浙江分部利润表'!R208+'2025年上海分部利润表'!R208+'2025年赣皖区域利润表'!R208</f>
        <v>0</v>
      </c>
      <c r="S208" s="49">
        <f>'2025年中心利润表 '!S208+'2025年江苏分部利润表'!S208+'2025年浙江分部利润表'!S208+'2025年上海分部利润表'!S208+'2025年赣皖区域利润表'!S208</f>
        <v>0</v>
      </c>
      <c r="T208" s="49">
        <f>'2025年中心利润表 '!T208+'2025年江苏分部利润表'!T208+'2025年浙江分部利润表'!T208+'2025年上海分部利润表'!T208+'2025年赣皖区域利润表'!T208</f>
        <v>0</v>
      </c>
      <c r="U208" s="49">
        <f>'2025年中心利润表 '!U208+'2025年江苏分部利润表'!U208+'2025年浙江分部利润表'!U208+'2025年上海分部利润表'!U208+'2025年赣皖区域利润表'!U208</f>
        <v>0</v>
      </c>
      <c r="V208" s="49">
        <f>'2025年中心利润表 '!V208+'2025年江苏分部利润表'!V208+'2025年浙江分部利润表'!V208+'2025年上海分部利润表'!V208+'2025年赣皖区域利润表'!V208</f>
        <v>0</v>
      </c>
      <c r="W208" s="49">
        <f>'2025年中心利润表 '!W208+'2025年江苏分部利润表'!W208+'2025年浙江分部利润表'!W208+'2025年上海分部利润表'!W208+'2025年赣皖区域利润表'!W208</f>
        <v>0</v>
      </c>
      <c r="X208" s="49">
        <f>'2025年中心利润表 '!X208+'2025年江苏分部利润表'!X208+'2025年浙江分部利润表'!X208+'2025年上海分部利润表'!X208+'2025年赣皖区域利润表'!X208</f>
        <v>0</v>
      </c>
      <c r="Y208" s="49">
        <f>'2025年中心利润表 '!Y208+'2025年江苏分部利润表'!Y208+'2025年浙江分部利润表'!Y208+'2025年上海分部利润表'!Y208+'2025年赣皖区域利润表'!Y208</f>
        <v>0</v>
      </c>
      <c r="Z208" s="49">
        <f>'2025年中心利润表 '!Z208+'2025年江苏分部利润表'!Z208+'2025年浙江分部利润表'!Z208+'2025年上海分部利润表'!Z208+'2025年赣皖区域利润表'!Z208</f>
        <v>0</v>
      </c>
      <c r="AA208" s="51">
        <f t="shared" si="36"/>
        <v>0</v>
      </c>
      <c r="AB208" s="51">
        <f t="shared" si="44"/>
        <v>0</v>
      </c>
      <c r="AC208" s="94"/>
      <c r="AD208" s="31">
        <f t="shared" si="37"/>
        <v>0</v>
      </c>
      <c r="AE208" s="31">
        <f t="shared" si="38"/>
        <v>0</v>
      </c>
      <c r="AF208" s="17">
        <f t="shared" si="39"/>
        <v>0</v>
      </c>
      <c r="AG208" s="17">
        <f t="shared" si="40"/>
        <v>0</v>
      </c>
      <c r="AH208" s="17">
        <f>SUM('[1]2024年全面预算利润表 (销售1中心)2.8亿'!E213:H213)</f>
        <v>0</v>
      </c>
    </row>
    <row r="209" spans="1:53" s="19" customFormat="1" ht="18" hidden="1" customHeight="1" outlineLevel="1" x14ac:dyDescent="0.25">
      <c r="A209" s="48" t="s">
        <v>139</v>
      </c>
      <c r="B209" s="53"/>
      <c r="C209" s="49">
        <f>'2025年中心利润表 '!C209+'2025年江苏分部利润表'!C209+'2025年浙江分部利润表'!C209+'2025年上海分部利润表'!C209+'2025年赣皖区域利润表'!C209</f>
        <v>0</v>
      </c>
      <c r="D209" s="49">
        <f>'2025年中心利润表 '!D209+'2025年江苏分部利润表'!D209+'2025年浙江分部利润表'!D209+'2025年上海分部利润表'!D209+'2025年赣皖区域利润表'!D209</f>
        <v>0</v>
      </c>
      <c r="E209" s="49">
        <f>'2025年中心利润表 '!E209+'2025年江苏分部利润表'!E209+'2025年浙江分部利润表'!E209+'2025年上海分部利润表'!E209+'2025年赣皖区域利润表'!E209</f>
        <v>0</v>
      </c>
      <c r="F209" s="49">
        <f>'2025年中心利润表 '!F209+'2025年江苏分部利润表'!F209+'2025年浙江分部利润表'!F209+'2025年上海分部利润表'!F209+'2025年赣皖区域利润表'!F209</f>
        <v>0</v>
      </c>
      <c r="G209" s="49">
        <f>'2025年中心利润表 '!G209+'2025年江苏分部利润表'!G209+'2025年浙江分部利润表'!G209+'2025年上海分部利润表'!G209+'2025年赣皖区域利润表'!G209</f>
        <v>0</v>
      </c>
      <c r="H209" s="49">
        <f>'2025年中心利润表 '!H209+'2025年江苏分部利润表'!H209+'2025年浙江分部利润表'!H209+'2025年上海分部利润表'!H209+'2025年赣皖区域利润表'!H209</f>
        <v>0</v>
      </c>
      <c r="I209" s="49">
        <f>'2025年中心利润表 '!I209+'2025年江苏分部利润表'!I209+'2025年浙江分部利润表'!I209+'2025年上海分部利润表'!I209+'2025年赣皖区域利润表'!I209</f>
        <v>0</v>
      </c>
      <c r="J209" s="49">
        <f>'2025年中心利润表 '!J209+'2025年江苏分部利润表'!J209+'2025年浙江分部利润表'!J209+'2025年上海分部利润表'!J209+'2025年赣皖区域利润表'!J209</f>
        <v>0</v>
      </c>
      <c r="K209" s="49">
        <f>'2025年中心利润表 '!K209+'2025年江苏分部利润表'!K209+'2025年浙江分部利润表'!K209+'2025年上海分部利润表'!K209+'2025年赣皖区域利润表'!K209</f>
        <v>0</v>
      </c>
      <c r="L209" s="49">
        <f>'2025年中心利润表 '!L209+'2025年江苏分部利润表'!L209+'2025年浙江分部利润表'!L209+'2025年上海分部利润表'!L209+'2025年赣皖区域利润表'!L209</f>
        <v>0</v>
      </c>
      <c r="M209" s="49">
        <f>'2025年中心利润表 '!M209+'2025年江苏分部利润表'!M209+'2025年浙江分部利润表'!M209+'2025年上海分部利润表'!M209+'2025年赣皖区域利润表'!M209</f>
        <v>0</v>
      </c>
      <c r="N209" s="49">
        <f>'2025年中心利润表 '!N209+'2025年江苏分部利润表'!N209+'2025年浙江分部利润表'!N209+'2025年上海分部利润表'!N209+'2025年赣皖区域利润表'!N209</f>
        <v>0</v>
      </c>
      <c r="O209" s="49">
        <f>'2025年中心利润表 '!O209+'2025年江苏分部利润表'!O209+'2025年浙江分部利润表'!O209+'2025年上海分部利润表'!O209+'2025年赣皖区域利润表'!O209</f>
        <v>0</v>
      </c>
      <c r="P209" s="49">
        <f>'2025年中心利润表 '!P209+'2025年江苏分部利润表'!P209+'2025年浙江分部利润表'!P209+'2025年上海分部利润表'!P209+'2025年赣皖区域利润表'!P209</f>
        <v>0</v>
      </c>
      <c r="Q209" s="49">
        <f>'2025年中心利润表 '!Q209+'2025年江苏分部利润表'!Q209+'2025年浙江分部利润表'!Q209+'2025年上海分部利润表'!Q209+'2025年赣皖区域利润表'!Q209</f>
        <v>0</v>
      </c>
      <c r="R209" s="49">
        <f>'2025年中心利润表 '!R209+'2025年江苏分部利润表'!R209+'2025年浙江分部利润表'!R209+'2025年上海分部利润表'!R209+'2025年赣皖区域利润表'!R209</f>
        <v>0</v>
      </c>
      <c r="S209" s="49">
        <f>'2025年中心利润表 '!S209+'2025年江苏分部利润表'!S209+'2025年浙江分部利润表'!S209+'2025年上海分部利润表'!S209+'2025年赣皖区域利润表'!S209</f>
        <v>0</v>
      </c>
      <c r="T209" s="49">
        <f>'2025年中心利润表 '!T209+'2025年江苏分部利润表'!T209+'2025年浙江分部利润表'!T209+'2025年上海分部利润表'!T209+'2025年赣皖区域利润表'!T209</f>
        <v>0</v>
      </c>
      <c r="U209" s="49">
        <f>'2025年中心利润表 '!U209+'2025年江苏分部利润表'!U209+'2025年浙江分部利润表'!U209+'2025年上海分部利润表'!U209+'2025年赣皖区域利润表'!U209</f>
        <v>0</v>
      </c>
      <c r="V209" s="49">
        <f>'2025年中心利润表 '!V209+'2025年江苏分部利润表'!V209+'2025年浙江分部利润表'!V209+'2025年上海分部利润表'!V209+'2025年赣皖区域利润表'!V209</f>
        <v>0</v>
      </c>
      <c r="W209" s="49">
        <f>'2025年中心利润表 '!W209+'2025年江苏分部利润表'!W209+'2025年浙江分部利润表'!W209+'2025年上海分部利润表'!W209+'2025年赣皖区域利润表'!W209</f>
        <v>0</v>
      </c>
      <c r="X209" s="49">
        <f>'2025年中心利润表 '!X209+'2025年江苏分部利润表'!X209+'2025年浙江分部利润表'!X209+'2025年上海分部利润表'!X209+'2025年赣皖区域利润表'!X209</f>
        <v>0</v>
      </c>
      <c r="Y209" s="49">
        <f>'2025年中心利润表 '!Y209+'2025年江苏分部利润表'!Y209+'2025年浙江分部利润表'!Y209+'2025年上海分部利润表'!Y209+'2025年赣皖区域利润表'!Y209</f>
        <v>0</v>
      </c>
      <c r="Z209" s="49">
        <f>'2025年中心利润表 '!Z209+'2025年江苏分部利润表'!Z209+'2025年浙江分部利润表'!Z209+'2025年上海分部利润表'!Z209+'2025年赣皖区域利润表'!Z209</f>
        <v>0</v>
      </c>
      <c r="AA209" s="51">
        <f t="shared" si="36"/>
        <v>0</v>
      </c>
      <c r="AB209" s="51">
        <f t="shared" si="44"/>
        <v>0</v>
      </c>
      <c r="AC209" s="94"/>
      <c r="AD209" s="31">
        <f t="shared" si="37"/>
        <v>0</v>
      </c>
      <c r="AE209" s="31">
        <f t="shared" si="38"/>
        <v>0</v>
      </c>
      <c r="AF209" s="17">
        <f t="shared" si="39"/>
        <v>0</v>
      </c>
      <c r="AG209" s="17">
        <f t="shared" si="40"/>
        <v>0</v>
      </c>
      <c r="AH209" s="17">
        <f>SUM('[1]2024年全面预算利润表 (销售1中心)2.8亿'!E214:H214)</f>
        <v>0</v>
      </c>
    </row>
    <row r="210" spans="1:53" s="19" customFormat="1" ht="18" hidden="1" customHeight="1" outlineLevel="1" x14ac:dyDescent="0.25">
      <c r="A210" s="48" t="s">
        <v>140</v>
      </c>
      <c r="B210" s="53"/>
      <c r="C210" s="49">
        <f>'2025年中心利润表 '!C210+'2025年江苏分部利润表'!C210+'2025年浙江分部利润表'!C210+'2025年上海分部利润表'!C210+'2025年赣皖区域利润表'!C210</f>
        <v>0</v>
      </c>
      <c r="D210" s="49">
        <f>'2025年中心利润表 '!D210+'2025年江苏分部利润表'!D210+'2025年浙江分部利润表'!D210+'2025年上海分部利润表'!D210+'2025年赣皖区域利润表'!D210</f>
        <v>0</v>
      </c>
      <c r="E210" s="49">
        <f>'2025年中心利润表 '!E210+'2025年江苏分部利润表'!E210+'2025年浙江分部利润表'!E210+'2025年上海分部利润表'!E210+'2025年赣皖区域利润表'!E210</f>
        <v>0</v>
      </c>
      <c r="F210" s="49">
        <f>'2025年中心利润表 '!F210+'2025年江苏分部利润表'!F210+'2025年浙江分部利润表'!F210+'2025年上海分部利润表'!F210+'2025年赣皖区域利润表'!F210</f>
        <v>0</v>
      </c>
      <c r="G210" s="49">
        <f>'2025年中心利润表 '!G210+'2025年江苏分部利润表'!G210+'2025年浙江分部利润表'!G210+'2025年上海分部利润表'!G210+'2025年赣皖区域利润表'!G210</f>
        <v>0</v>
      </c>
      <c r="H210" s="49">
        <f>'2025年中心利润表 '!H210+'2025年江苏分部利润表'!H210+'2025年浙江分部利润表'!H210+'2025年上海分部利润表'!H210+'2025年赣皖区域利润表'!H210</f>
        <v>0</v>
      </c>
      <c r="I210" s="49">
        <f>'2025年中心利润表 '!I210+'2025年江苏分部利润表'!I210+'2025年浙江分部利润表'!I210+'2025年上海分部利润表'!I210+'2025年赣皖区域利润表'!I210</f>
        <v>0</v>
      </c>
      <c r="J210" s="49">
        <f>'2025年中心利润表 '!J210+'2025年江苏分部利润表'!J210+'2025年浙江分部利润表'!J210+'2025年上海分部利润表'!J210+'2025年赣皖区域利润表'!J210</f>
        <v>0</v>
      </c>
      <c r="K210" s="49">
        <f>'2025年中心利润表 '!K210+'2025年江苏分部利润表'!K210+'2025年浙江分部利润表'!K210+'2025年上海分部利润表'!K210+'2025年赣皖区域利润表'!K210</f>
        <v>0</v>
      </c>
      <c r="L210" s="49">
        <f>'2025年中心利润表 '!L210+'2025年江苏分部利润表'!L210+'2025年浙江分部利润表'!L210+'2025年上海分部利润表'!L210+'2025年赣皖区域利润表'!L210</f>
        <v>0</v>
      </c>
      <c r="M210" s="49">
        <f>'2025年中心利润表 '!M210+'2025年江苏分部利润表'!M210+'2025年浙江分部利润表'!M210+'2025年上海分部利润表'!M210+'2025年赣皖区域利润表'!M210</f>
        <v>0</v>
      </c>
      <c r="N210" s="49">
        <f>'2025年中心利润表 '!N210+'2025年江苏分部利润表'!N210+'2025年浙江分部利润表'!N210+'2025年上海分部利润表'!N210+'2025年赣皖区域利润表'!N210</f>
        <v>0</v>
      </c>
      <c r="O210" s="49">
        <f>'2025年中心利润表 '!O210+'2025年江苏分部利润表'!O210+'2025年浙江分部利润表'!O210+'2025年上海分部利润表'!O210+'2025年赣皖区域利润表'!O210</f>
        <v>0</v>
      </c>
      <c r="P210" s="49">
        <f>'2025年中心利润表 '!P210+'2025年江苏分部利润表'!P210+'2025年浙江分部利润表'!P210+'2025年上海分部利润表'!P210+'2025年赣皖区域利润表'!P210</f>
        <v>0</v>
      </c>
      <c r="Q210" s="49">
        <f>'2025年中心利润表 '!Q210+'2025年江苏分部利润表'!Q210+'2025年浙江分部利润表'!Q210+'2025年上海分部利润表'!Q210+'2025年赣皖区域利润表'!Q210</f>
        <v>0</v>
      </c>
      <c r="R210" s="49">
        <f>'2025年中心利润表 '!R210+'2025年江苏分部利润表'!R210+'2025年浙江分部利润表'!R210+'2025年上海分部利润表'!R210+'2025年赣皖区域利润表'!R210</f>
        <v>0</v>
      </c>
      <c r="S210" s="49">
        <f>'2025年中心利润表 '!S210+'2025年江苏分部利润表'!S210+'2025年浙江分部利润表'!S210+'2025年上海分部利润表'!S210+'2025年赣皖区域利润表'!S210</f>
        <v>0</v>
      </c>
      <c r="T210" s="49">
        <f>'2025年中心利润表 '!T210+'2025年江苏分部利润表'!T210+'2025年浙江分部利润表'!T210+'2025年上海分部利润表'!T210+'2025年赣皖区域利润表'!T210</f>
        <v>0</v>
      </c>
      <c r="U210" s="49">
        <f>'2025年中心利润表 '!U210+'2025年江苏分部利润表'!U210+'2025年浙江分部利润表'!U210+'2025年上海分部利润表'!U210+'2025年赣皖区域利润表'!U210</f>
        <v>0</v>
      </c>
      <c r="V210" s="49">
        <f>'2025年中心利润表 '!V210+'2025年江苏分部利润表'!V210+'2025年浙江分部利润表'!V210+'2025年上海分部利润表'!V210+'2025年赣皖区域利润表'!V210</f>
        <v>0</v>
      </c>
      <c r="W210" s="49">
        <f>'2025年中心利润表 '!W210+'2025年江苏分部利润表'!W210+'2025年浙江分部利润表'!W210+'2025年上海分部利润表'!W210+'2025年赣皖区域利润表'!W210</f>
        <v>0</v>
      </c>
      <c r="X210" s="49">
        <f>'2025年中心利润表 '!X210+'2025年江苏分部利润表'!X210+'2025年浙江分部利润表'!X210+'2025年上海分部利润表'!X210+'2025年赣皖区域利润表'!X210</f>
        <v>0</v>
      </c>
      <c r="Y210" s="49">
        <f>'2025年中心利润表 '!Y210+'2025年江苏分部利润表'!Y210+'2025年浙江分部利润表'!Y210+'2025年上海分部利润表'!Y210+'2025年赣皖区域利润表'!Y210</f>
        <v>0</v>
      </c>
      <c r="Z210" s="49">
        <f>'2025年中心利润表 '!Z210+'2025年江苏分部利润表'!Z210+'2025年浙江分部利润表'!Z210+'2025年上海分部利润表'!Z210+'2025年赣皖区域利润表'!Z210</f>
        <v>0</v>
      </c>
      <c r="AA210" s="51">
        <f t="shared" si="36"/>
        <v>0</v>
      </c>
      <c r="AB210" s="51">
        <f t="shared" si="44"/>
        <v>0</v>
      </c>
      <c r="AC210" s="94"/>
      <c r="AD210" s="31">
        <f t="shared" si="37"/>
        <v>0</v>
      </c>
      <c r="AE210" s="31">
        <f t="shared" si="38"/>
        <v>0</v>
      </c>
      <c r="AF210" s="17">
        <f t="shared" si="39"/>
        <v>0</v>
      </c>
      <c r="AG210" s="17">
        <f t="shared" si="40"/>
        <v>0</v>
      </c>
      <c r="AH210" s="17">
        <f>SUM('[1]2024年全面预算利润表 (销售1中心)2.8亿'!E215:H215)</f>
        <v>0</v>
      </c>
    </row>
    <row r="211" spans="1:53" s="19" customFormat="1" ht="18" hidden="1" customHeight="1" outlineLevel="1" x14ac:dyDescent="0.25">
      <c r="A211" s="48" t="s">
        <v>141</v>
      </c>
      <c r="B211" s="53"/>
      <c r="C211" s="49">
        <f>'2025年中心利润表 '!C211+'2025年江苏分部利润表'!C211+'2025年浙江分部利润表'!C211+'2025年上海分部利润表'!C211+'2025年赣皖区域利润表'!C211</f>
        <v>0</v>
      </c>
      <c r="D211" s="49">
        <f>'2025年中心利润表 '!D211+'2025年江苏分部利润表'!D211+'2025年浙江分部利润表'!D211+'2025年上海分部利润表'!D211+'2025年赣皖区域利润表'!D211</f>
        <v>0</v>
      </c>
      <c r="E211" s="49">
        <f>'2025年中心利润表 '!E211+'2025年江苏分部利润表'!E211+'2025年浙江分部利润表'!E211+'2025年上海分部利润表'!E211+'2025年赣皖区域利润表'!E211</f>
        <v>0</v>
      </c>
      <c r="F211" s="49">
        <f>'2025年中心利润表 '!F211+'2025年江苏分部利润表'!F211+'2025年浙江分部利润表'!F211+'2025年上海分部利润表'!F211+'2025年赣皖区域利润表'!F211</f>
        <v>0</v>
      </c>
      <c r="G211" s="49">
        <f>'2025年中心利润表 '!G211+'2025年江苏分部利润表'!G211+'2025年浙江分部利润表'!G211+'2025年上海分部利润表'!G211+'2025年赣皖区域利润表'!G211</f>
        <v>0</v>
      </c>
      <c r="H211" s="49">
        <f>'2025年中心利润表 '!H211+'2025年江苏分部利润表'!H211+'2025年浙江分部利润表'!H211+'2025年上海分部利润表'!H211+'2025年赣皖区域利润表'!H211</f>
        <v>0</v>
      </c>
      <c r="I211" s="49">
        <f>'2025年中心利润表 '!I211+'2025年江苏分部利润表'!I211+'2025年浙江分部利润表'!I211+'2025年上海分部利润表'!I211+'2025年赣皖区域利润表'!I211</f>
        <v>0</v>
      </c>
      <c r="J211" s="49">
        <f>'2025年中心利润表 '!J211+'2025年江苏分部利润表'!J211+'2025年浙江分部利润表'!J211+'2025年上海分部利润表'!J211+'2025年赣皖区域利润表'!J211</f>
        <v>0</v>
      </c>
      <c r="K211" s="49">
        <f>'2025年中心利润表 '!K211+'2025年江苏分部利润表'!K211+'2025年浙江分部利润表'!K211+'2025年上海分部利润表'!K211+'2025年赣皖区域利润表'!K211</f>
        <v>0</v>
      </c>
      <c r="L211" s="49">
        <f>'2025年中心利润表 '!L211+'2025年江苏分部利润表'!L211+'2025年浙江分部利润表'!L211+'2025年上海分部利润表'!L211+'2025年赣皖区域利润表'!L211</f>
        <v>0</v>
      </c>
      <c r="M211" s="49">
        <f>'2025年中心利润表 '!M211+'2025年江苏分部利润表'!M211+'2025年浙江分部利润表'!M211+'2025年上海分部利润表'!M211+'2025年赣皖区域利润表'!M211</f>
        <v>0</v>
      </c>
      <c r="N211" s="49">
        <f>'2025年中心利润表 '!N211+'2025年江苏分部利润表'!N211+'2025年浙江分部利润表'!N211+'2025年上海分部利润表'!N211+'2025年赣皖区域利润表'!N211</f>
        <v>0</v>
      </c>
      <c r="O211" s="49">
        <f>'2025年中心利润表 '!O211+'2025年江苏分部利润表'!O211+'2025年浙江分部利润表'!O211+'2025年上海分部利润表'!O211+'2025年赣皖区域利润表'!O211</f>
        <v>0</v>
      </c>
      <c r="P211" s="49">
        <f>'2025年中心利润表 '!P211+'2025年江苏分部利润表'!P211+'2025年浙江分部利润表'!P211+'2025年上海分部利润表'!P211+'2025年赣皖区域利润表'!P211</f>
        <v>0</v>
      </c>
      <c r="Q211" s="49">
        <f>'2025年中心利润表 '!Q211+'2025年江苏分部利润表'!Q211+'2025年浙江分部利润表'!Q211+'2025年上海分部利润表'!Q211+'2025年赣皖区域利润表'!Q211</f>
        <v>0</v>
      </c>
      <c r="R211" s="49">
        <f>'2025年中心利润表 '!R211+'2025年江苏分部利润表'!R211+'2025年浙江分部利润表'!R211+'2025年上海分部利润表'!R211+'2025年赣皖区域利润表'!R211</f>
        <v>0</v>
      </c>
      <c r="S211" s="49">
        <f>'2025年中心利润表 '!S211+'2025年江苏分部利润表'!S211+'2025年浙江分部利润表'!S211+'2025年上海分部利润表'!S211+'2025年赣皖区域利润表'!S211</f>
        <v>0</v>
      </c>
      <c r="T211" s="49">
        <f>'2025年中心利润表 '!T211+'2025年江苏分部利润表'!T211+'2025年浙江分部利润表'!T211+'2025年上海分部利润表'!T211+'2025年赣皖区域利润表'!T211</f>
        <v>0</v>
      </c>
      <c r="U211" s="49">
        <f>'2025年中心利润表 '!U211+'2025年江苏分部利润表'!U211+'2025年浙江分部利润表'!U211+'2025年上海分部利润表'!U211+'2025年赣皖区域利润表'!U211</f>
        <v>0</v>
      </c>
      <c r="V211" s="49">
        <f>'2025年中心利润表 '!V211+'2025年江苏分部利润表'!V211+'2025年浙江分部利润表'!V211+'2025年上海分部利润表'!V211+'2025年赣皖区域利润表'!V211</f>
        <v>0</v>
      </c>
      <c r="W211" s="49">
        <f>'2025年中心利润表 '!W211+'2025年江苏分部利润表'!W211+'2025年浙江分部利润表'!W211+'2025年上海分部利润表'!W211+'2025年赣皖区域利润表'!W211</f>
        <v>0</v>
      </c>
      <c r="X211" s="49">
        <f>'2025年中心利润表 '!X211+'2025年江苏分部利润表'!X211+'2025年浙江分部利润表'!X211+'2025年上海分部利润表'!X211+'2025年赣皖区域利润表'!X211</f>
        <v>0</v>
      </c>
      <c r="Y211" s="49">
        <f>'2025年中心利润表 '!Y211+'2025年江苏分部利润表'!Y211+'2025年浙江分部利润表'!Y211+'2025年上海分部利润表'!Y211+'2025年赣皖区域利润表'!Y211</f>
        <v>0</v>
      </c>
      <c r="Z211" s="49">
        <f>'2025年中心利润表 '!Z211+'2025年江苏分部利润表'!Z211+'2025年浙江分部利润表'!Z211+'2025年上海分部利润表'!Z211+'2025年赣皖区域利润表'!Z211</f>
        <v>0</v>
      </c>
      <c r="AA211" s="51">
        <f t="shared" si="36"/>
        <v>0</v>
      </c>
      <c r="AB211" s="51">
        <f t="shared" si="44"/>
        <v>0</v>
      </c>
      <c r="AC211" s="94"/>
      <c r="AD211" s="31">
        <f t="shared" si="37"/>
        <v>0</v>
      </c>
      <c r="AE211" s="31">
        <f t="shared" si="38"/>
        <v>0</v>
      </c>
      <c r="AF211" s="17">
        <f t="shared" si="39"/>
        <v>0</v>
      </c>
      <c r="AG211" s="17">
        <f t="shared" si="40"/>
        <v>0</v>
      </c>
      <c r="AH211" s="17">
        <f>SUM('[1]2024年全面预算利润表 (销售1中心)2.8亿'!E216:H216)</f>
        <v>0</v>
      </c>
    </row>
    <row r="212" spans="1:53" s="17" customFormat="1" ht="18" hidden="1" customHeight="1" outlineLevel="1" x14ac:dyDescent="0.25">
      <c r="A212" s="67" t="s">
        <v>142</v>
      </c>
      <c r="B212" s="71"/>
      <c r="C212" s="65">
        <f t="shared" ref="C212:Z212" si="48">SUM(C213:C216)</f>
        <v>0</v>
      </c>
      <c r="D212" s="65">
        <f t="shared" si="48"/>
        <v>0</v>
      </c>
      <c r="E212" s="65">
        <f t="shared" si="48"/>
        <v>0</v>
      </c>
      <c r="F212" s="65">
        <f t="shared" si="48"/>
        <v>0</v>
      </c>
      <c r="G212" s="65">
        <f t="shared" si="48"/>
        <v>0</v>
      </c>
      <c r="H212" s="65">
        <f t="shared" si="48"/>
        <v>0</v>
      </c>
      <c r="I212" s="65">
        <f t="shared" si="48"/>
        <v>0</v>
      </c>
      <c r="J212" s="65">
        <f t="shared" si="48"/>
        <v>0</v>
      </c>
      <c r="K212" s="65">
        <f t="shared" si="48"/>
        <v>0</v>
      </c>
      <c r="L212" s="65">
        <f t="shared" si="48"/>
        <v>0</v>
      </c>
      <c r="M212" s="65">
        <f t="shared" si="48"/>
        <v>0</v>
      </c>
      <c r="N212" s="65">
        <f t="shared" si="48"/>
        <v>0</v>
      </c>
      <c r="O212" s="65">
        <f t="shared" si="48"/>
        <v>0</v>
      </c>
      <c r="P212" s="65">
        <f t="shared" si="48"/>
        <v>0</v>
      </c>
      <c r="Q212" s="65">
        <f t="shared" si="48"/>
        <v>0</v>
      </c>
      <c r="R212" s="65">
        <f t="shared" si="48"/>
        <v>0</v>
      </c>
      <c r="S212" s="65">
        <f t="shared" si="48"/>
        <v>0</v>
      </c>
      <c r="T212" s="65">
        <f t="shared" si="48"/>
        <v>0</v>
      </c>
      <c r="U212" s="65">
        <f t="shared" si="48"/>
        <v>0</v>
      </c>
      <c r="V212" s="65">
        <f t="shared" si="48"/>
        <v>0</v>
      </c>
      <c r="W212" s="65">
        <f t="shared" si="48"/>
        <v>0</v>
      </c>
      <c r="X212" s="65">
        <f t="shared" si="48"/>
        <v>0</v>
      </c>
      <c r="Y212" s="65">
        <f t="shared" si="48"/>
        <v>0</v>
      </c>
      <c r="Z212" s="65">
        <f t="shared" si="48"/>
        <v>0</v>
      </c>
      <c r="AA212" s="51">
        <f t="shared" si="36"/>
        <v>0</v>
      </c>
      <c r="AB212" s="51">
        <f t="shared" si="44"/>
        <v>0</v>
      </c>
      <c r="AC212" s="132"/>
      <c r="AD212" s="31">
        <f t="shared" si="37"/>
        <v>0</v>
      </c>
      <c r="AE212" s="31">
        <f t="shared" si="38"/>
        <v>0</v>
      </c>
      <c r="AF212" s="17">
        <f t="shared" si="39"/>
        <v>0</v>
      </c>
      <c r="AG212" s="17">
        <f t="shared" si="40"/>
        <v>0</v>
      </c>
      <c r="AH212" s="17">
        <f>SUM('[1]2024年全面预算利润表 (销售1中心)2.8亿'!E217:H217)</f>
        <v>0</v>
      </c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</row>
    <row r="213" spans="1:53" s="19" customFormat="1" ht="18" hidden="1" customHeight="1" outlineLevel="2" x14ac:dyDescent="0.25">
      <c r="A213" s="48" t="s">
        <v>143</v>
      </c>
      <c r="B213" s="53"/>
      <c r="C213" s="49">
        <f>'2025年中心利润表 '!C213+'2025年江苏分部利润表'!C213+'2025年浙江分部利润表'!C213+'2025年上海分部利润表'!C213+'2025年赣皖区域利润表'!C213</f>
        <v>0</v>
      </c>
      <c r="D213" s="49">
        <f>'2025年中心利润表 '!D213+'2025年江苏分部利润表'!D213+'2025年浙江分部利润表'!D213+'2025年上海分部利润表'!D213+'2025年赣皖区域利润表'!D213</f>
        <v>0</v>
      </c>
      <c r="E213" s="49">
        <f>'2025年中心利润表 '!E213+'2025年江苏分部利润表'!E213+'2025年浙江分部利润表'!E213+'2025年上海分部利润表'!E213+'2025年赣皖区域利润表'!E213</f>
        <v>0</v>
      </c>
      <c r="F213" s="49">
        <f>'2025年中心利润表 '!F213+'2025年江苏分部利润表'!F213+'2025年浙江分部利润表'!F213+'2025年上海分部利润表'!F213+'2025年赣皖区域利润表'!F213</f>
        <v>0</v>
      </c>
      <c r="G213" s="49">
        <f>'2025年中心利润表 '!G213+'2025年江苏分部利润表'!G213+'2025年浙江分部利润表'!G213+'2025年上海分部利润表'!G213+'2025年赣皖区域利润表'!G213</f>
        <v>0</v>
      </c>
      <c r="H213" s="49">
        <f>'2025年中心利润表 '!H213+'2025年江苏分部利润表'!H213+'2025年浙江分部利润表'!H213+'2025年上海分部利润表'!H213+'2025年赣皖区域利润表'!H213</f>
        <v>0</v>
      </c>
      <c r="I213" s="49">
        <f>'2025年中心利润表 '!I213+'2025年江苏分部利润表'!I213+'2025年浙江分部利润表'!I213+'2025年上海分部利润表'!I213+'2025年赣皖区域利润表'!I213</f>
        <v>0</v>
      </c>
      <c r="J213" s="49">
        <f>'2025年中心利润表 '!J213+'2025年江苏分部利润表'!J213+'2025年浙江分部利润表'!J213+'2025年上海分部利润表'!J213+'2025年赣皖区域利润表'!J213</f>
        <v>0</v>
      </c>
      <c r="K213" s="49">
        <f>'2025年中心利润表 '!K213+'2025年江苏分部利润表'!K213+'2025年浙江分部利润表'!K213+'2025年上海分部利润表'!K213+'2025年赣皖区域利润表'!K213</f>
        <v>0</v>
      </c>
      <c r="L213" s="49">
        <f>'2025年中心利润表 '!L213+'2025年江苏分部利润表'!L213+'2025年浙江分部利润表'!L213+'2025年上海分部利润表'!L213+'2025年赣皖区域利润表'!L213</f>
        <v>0</v>
      </c>
      <c r="M213" s="49">
        <f>'2025年中心利润表 '!M213+'2025年江苏分部利润表'!M213+'2025年浙江分部利润表'!M213+'2025年上海分部利润表'!M213+'2025年赣皖区域利润表'!M213</f>
        <v>0</v>
      </c>
      <c r="N213" s="49">
        <f>'2025年中心利润表 '!N213+'2025年江苏分部利润表'!N213+'2025年浙江分部利润表'!N213+'2025年上海分部利润表'!N213+'2025年赣皖区域利润表'!N213</f>
        <v>0</v>
      </c>
      <c r="O213" s="49">
        <f>'2025年中心利润表 '!O213+'2025年江苏分部利润表'!O213+'2025年浙江分部利润表'!O213+'2025年上海分部利润表'!O213+'2025年赣皖区域利润表'!O213</f>
        <v>0</v>
      </c>
      <c r="P213" s="49">
        <f>'2025年中心利润表 '!P213+'2025年江苏分部利润表'!P213+'2025年浙江分部利润表'!P213+'2025年上海分部利润表'!P213+'2025年赣皖区域利润表'!P213</f>
        <v>0</v>
      </c>
      <c r="Q213" s="49">
        <f>'2025年中心利润表 '!Q213+'2025年江苏分部利润表'!Q213+'2025年浙江分部利润表'!Q213+'2025年上海分部利润表'!Q213+'2025年赣皖区域利润表'!Q213</f>
        <v>0</v>
      </c>
      <c r="R213" s="49">
        <f>'2025年中心利润表 '!R213+'2025年江苏分部利润表'!R213+'2025年浙江分部利润表'!R213+'2025年上海分部利润表'!R213+'2025年赣皖区域利润表'!R213</f>
        <v>0</v>
      </c>
      <c r="S213" s="49">
        <f>'2025年中心利润表 '!S213+'2025年江苏分部利润表'!S213+'2025年浙江分部利润表'!S213+'2025年上海分部利润表'!S213+'2025年赣皖区域利润表'!S213</f>
        <v>0</v>
      </c>
      <c r="T213" s="49">
        <f>'2025年中心利润表 '!T213+'2025年江苏分部利润表'!T213+'2025年浙江分部利润表'!T213+'2025年上海分部利润表'!T213+'2025年赣皖区域利润表'!T213</f>
        <v>0</v>
      </c>
      <c r="U213" s="49">
        <f>'2025年中心利润表 '!U213+'2025年江苏分部利润表'!U213+'2025年浙江分部利润表'!U213+'2025年上海分部利润表'!U213+'2025年赣皖区域利润表'!U213</f>
        <v>0</v>
      </c>
      <c r="V213" s="49">
        <f>'2025年中心利润表 '!V213+'2025年江苏分部利润表'!V213+'2025年浙江分部利润表'!V213+'2025年上海分部利润表'!V213+'2025年赣皖区域利润表'!V213</f>
        <v>0</v>
      </c>
      <c r="W213" s="49">
        <f>'2025年中心利润表 '!W213+'2025年江苏分部利润表'!W213+'2025年浙江分部利润表'!W213+'2025年上海分部利润表'!W213+'2025年赣皖区域利润表'!W213</f>
        <v>0</v>
      </c>
      <c r="X213" s="49">
        <f>'2025年中心利润表 '!X213+'2025年江苏分部利润表'!X213+'2025年浙江分部利润表'!X213+'2025年上海分部利润表'!X213+'2025年赣皖区域利润表'!X213</f>
        <v>0</v>
      </c>
      <c r="Y213" s="49">
        <f>'2025年中心利润表 '!Y213+'2025年江苏分部利润表'!Y213+'2025年浙江分部利润表'!Y213+'2025年上海分部利润表'!Y213+'2025年赣皖区域利润表'!Y213</f>
        <v>0</v>
      </c>
      <c r="Z213" s="49">
        <f>'2025年中心利润表 '!Z213+'2025年江苏分部利润表'!Z213+'2025年浙江分部利润表'!Z213+'2025年上海分部利润表'!Z213+'2025年赣皖区域利润表'!Z213</f>
        <v>0</v>
      </c>
      <c r="AA213" s="51">
        <f t="shared" si="36"/>
        <v>0</v>
      </c>
      <c r="AB213" s="51">
        <f t="shared" si="44"/>
        <v>0</v>
      </c>
      <c r="AC213" s="94"/>
      <c r="AD213" s="31">
        <f t="shared" si="37"/>
        <v>0</v>
      </c>
      <c r="AE213" s="31">
        <f t="shared" si="38"/>
        <v>0</v>
      </c>
      <c r="AF213" s="17">
        <f t="shared" si="39"/>
        <v>0</v>
      </c>
      <c r="AG213" s="17">
        <f t="shared" si="40"/>
        <v>0</v>
      </c>
      <c r="AH213" s="17">
        <f>SUM('[1]2024年全面预算利润表 (销售1中心)2.8亿'!E218:H218)</f>
        <v>0</v>
      </c>
    </row>
    <row r="214" spans="1:53" s="19" customFormat="1" ht="18" hidden="1" customHeight="1" outlineLevel="2" x14ac:dyDescent="0.25">
      <c r="A214" s="48" t="s">
        <v>144</v>
      </c>
      <c r="B214" s="53"/>
      <c r="C214" s="49">
        <f>'2025年中心利润表 '!C214+'2025年江苏分部利润表'!C214+'2025年浙江分部利润表'!C214+'2025年上海分部利润表'!C214+'2025年赣皖区域利润表'!C214</f>
        <v>0</v>
      </c>
      <c r="D214" s="49">
        <f>'2025年中心利润表 '!D214+'2025年江苏分部利润表'!D214+'2025年浙江分部利润表'!D214+'2025年上海分部利润表'!D214+'2025年赣皖区域利润表'!D214</f>
        <v>0</v>
      </c>
      <c r="E214" s="49">
        <f>'2025年中心利润表 '!E214+'2025年江苏分部利润表'!E214+'2025年浙江分部利润表'!E214+'2025年上海分部利润表'!E214+'2025年赣皖区域利润表'!E214</f>
        <v>0</v>
      </c>
      <c r="F214" s="49">
        <f>'2025年中心利润表 '!F214+'2025年江苏分部利润表'!F214+'2025年浙江分部利润表'!F214+'2025年上海分部利润表'!F214+'2025年赣皖区域利润表'!F214</f>
        <v>0</v>
      </c>
      <c r="G214" s="49">
        <f>'2025年中心利润表 '!G214+'2025年江苏分部利润表'!G214+'2025年浙江分部利润表'!G214+'2025年上海分部利润表'!G214+'2025年赣皖区域利润表'!G214</f>
        <v>0</v>
      </c>
      <c r="H214" s="49">
        <f>'2025年中心利润表 '!H214+'2025年江苏分部利润表'!H214+'2025年浙江分部利润表'!H214+'2025年上海分部利润表'!H214+'2025年赣皖区域利润表'!H214</f>
        <v>0</v>
      </c>
      <c r="I214" s="49">
        <f>'2025年中心利润表 '!I214+'2025年江苏分部利润表'!I214+'2025年浙江分部利润表'!I214+'2025年上海分部利润表'!I214+'2025年赣皖区域利润表'!I214</f>
        <v>0</v>
      </c>
      <c r="J214" s="49">
        <f>'2025年中心利润表 '!J214+'2025年江苏分部利润表'!J214+'2025年浙江分部利润表'!J214+'2025年上海分部利润表'!J214+'2025年赣皖区域利润表'!J214</f>
        <v>0</v>
      </c>
      <c r="K214" s="49">
        <f>'2025年中心利润表 '!K214+'2025年江苏分部利润表'!K214+'2025年浙江分部利润表'!K214+'2025年上海分部利润表'!K214+'2025年赣皖区域利润表'!K214</f>
        <v>0</v>
      </c>
      <c r="L214" s="49">
        <f>'2025年中心利润表 '!L214+'2025年江苏分部利润表'!L214+'2025年浙江分部利润表'!L214+'2025年上海分部利润表'!L214+'2025年赣皖区域利润表'!L214</f>
        <v>0</v>
      </c>
      <c r="M214" s="49">
        <f>'2025年中心利润表 '!M214+'2025年江苏分部利润表'!M214+'2025年浙江分部利润表'!M214+'2025年上海分部利润表'!M214+'2025年赣皖区域利润表'!M214</f>
        <v>0</v>
      </c>
      <c r="N214" s="49">
        <f>'2025年中心利润表 '!N214+'2025年江苏分部利润表'!N214+'2025年浙江分部利润表'!N214+'2025年上海分部利润表'!N214+'2025年赣皖区域利润表'!N214</f>
        <v>0</v>
      </c>
      <c r="O214" s="49">
        <f>'2025年中心利润表 '!O214+'2025年江苏分部利润表'!O214+'2025年浙江分部利润表'!O214+'2025年上海分部利润表'!O214+'2025年赣皖区域利润表'!O214</f>
        <v>0</v>
      </c>
      <c r="P214" s="49">
        <f>'2025年中心利润表 '!P214+'2025年江苏分部利润表'!P214+'2025年浙江分部利润表'!P214+'2025年上海分部利润表'!P214+'2025年赣皖区域利润表'!P214</f>
        <v>0</v>
      </c>
      <c r="Q214" s="49">
        <f>'2025年中心利润表 '!Q214+'2025年江苏分部利润表'!Q214+'2025年浙江分部利润表'!Q214+'2025年上海分部利润表'!Q214+'2025年赣皖区域利润表'!Q214</f>
        <v>0</v>
      </c>
      <c r="R214" s="49">
        <f>'2025年中心利润表 '!R214+'2025年江苏分部利润表'!R214+'2025年浙江分部利润表'!R214+'2025年上海分部利润表'!R214+'2025年赣皖区域利润表'!R214</f>
        <v>0</v>
      </c>
      <c r="S214" s="49">
        <f>'2025年中心利润表 '!S214+'2025年江苏分部利润表'!S214+'2025年浙江分部利润表'!S214+'2025年上海分部利润表'!S214+'2025年赣皖区域利润表'!S214</f>
        <v>0</v>
      </c>
      <c r="T214" s="49">
        <f>'2025年中心利润表 '!T214+'2025年江苏分部利润表'!T214+'2025年浙江分部利润表'!T214+'2025年上海分部利润表'!T214+'2025年赣皖区域利润表'!T214</f>
        <v>0</v>
      </c>
      <c r="U214" s="49">
        <f>'2025年中心利润表 '!U214+'2025年江苏分部利润表'!U214+'2025年浙江分部利润表'!U214+'2025年上海分部利润表'!U214+'2025年赣皖区域利润表'!U214</f>
        <v>0</v>
      </c>
      <c r="V214" s="49">
        <f>'2025年中心利润表 '!V214+'2025年江苏分部利润表'!V214+'2025年浙江分部利润表'!V214+'2025年上海分部利润表'!V214+'2025年赣皖区域利润表'!V214</f>
        <v>0</v>
      </c>
      <c r="W214" s="49">
        <f>'2025年中心利润表 '!W214+'2025年江苏分部利润表'!W214+'2025年浙江分部利润表'!W214+'2025年上海分部利润表'!W214+'2025年赣皖区域利润表'!W214</f>
        <v>0</v>
      </c>
      <c r="X214" s="49">
        <f>'2025年中心利润表 '!X214+'2025年江苏分部利润表'!X214+'2025年浙江分部利润表'!X214+'2025年上海分部利润表'!X214+'2025年赣皖区域利润表'!X214</f>
        <v>0</v>
      </c>
      <c r="Y214" s="49">
        <f>'2025年中心利润表 '!Y214+'2025年江苏分部利润表'!Y214+'2025年浙江分部利润表'!Y214+'2025年上海分部利润表'!Y214+'2025年赣皖区域利润表'!Y214</f>
        <v>0</v>
      </c>
      <c r="Z214" s="49">
        <f>'2025年中心利润表 '!Z214+'2025年江苏分部利润表'!Z214+'2025年浙江分部利润表'!Z214+'2025年上海分部利润表'!Z214+'2025年赣皖区域利润表'!Z214</f>
        <v>0</v>
      </c>
      <c r="AA214" s="51">
        <f t="shared" si="36"/>
        <v>0</v>
      </c>
      <c r="AB214" s="51">
        <f t="shared" si="44"/>
        <v>0</v>
      </c>
      <c r="AC214" s="94"/>
      <c r="AD214" s="31">
        <f t="shared" si="37"/>
        <v>0</v>
      </c>
      <c r="AE214" s="31">
        <f t="shared" si="38"/>
        <v>0</v>
      </c>
      <c r="AF214" s="17">
        <f t="shared" si="39"/>
        <v>0</v>
      </c>
      <c r="AG214" s="17">
        <f t="shared" si="40"/>
        <v>0</v>
      </c>
      <c r="AH214" s="17">
        <f>SUM('[1]2024年全面预算利润表 (销售1中心)2.8亿'!E219:H219)</f>
        <v>0</v>
      </c>
    </row>
    <row r="215" spans="1:53" s="19" customFormat="1" ht="18" hidden="1" customHeight="1" outlineLevel="2" x14ac:dyDescent="0.25">
      <c r="A215" s="48" t="s">
        <v>145</v>
      </c>
      <c r="B215" s="53"/>
      <c r="C215" s="49">
        <f>'2025年中心利润表 '!C215+'2025年江苏分部利润表'!C215+'2025年浙江分部利润表'!C215+'2025年上海分部利润表'!C215+'2025年赣皖区域利润表'!C215</f>
        <v>0</v>
      </c>
      <c r="D215" s="49">
        <f>'2025年中心利润表 '!D215+'2025年江苏分部利润表'!D215+'2025年浙江分部利润表'!D215+'2025年上海分部利润表'!D215+'2025年赣皖区域利润表'!D215</f>
        <v>0</v>
      </c>
      <c r="E215" s="49">
        <f>'2025年中心利润表 '!E215+'2025年江苏分部利润表'!E215+'2025年浙江分部利润表'!E215+'2025年上海分部利润表'!E215+'2025年赣皖区域利润表'!E215</f>
        <v>0</v>
      </c>
      <c r="F215" s="49">
        <f>'2025年中心利润表 '!F215+'2025年江苏分部利润表'!F215+'2025年浙江分部利润表'!F215+'2025年上海分部利润表'!F215+'2025年赣皖区域利润表'!F215</f>
        <v>0</v>
      </c>
      <c r="G215" s="49">
        <f>'2025年中心利润表 '!G215+'2025年江苏分部利润表'!G215+'2025年浙江分部利润表'!G215+'2025年上海分部利润表'!G215+'2025年赣皖区域利润表'!G215</f>
        <v>0</v>
      </c>
      <c r="H215" s="49">
        <f>'2025年中心利润表 '!H215+'2025年江苏分部利润表'!H215+'2025年浙江分部利润表'!H215+'2025年上海分部利润表'!H215+'2025年赣皖区域利润表'!H215</f>
        <v>0</v>
      </c>
      <c r="I215" s="49">
        <f>'2025年中心利润表 '!I215+'2025年江苏分部利润表'!I215+'2025年浙江分部利润表'!I215+'2025年上海分部利润表'!I215+'2025年赣皖区域利润表'!I215</f>
        <v>0</v>
      </c>
      <c r="J215" s="49">
        <f>'2025年中心利润表 '!J215+'2025年江苏分部利润表'!J215+'2025年浙江分部利润表'!J215+'2025年上海分部利润表'!J215+'2025年赣皖区域利润表'!J215</f>
        <v>0</v>
      </c>
      <c r="K215" s="49">
        <f>'2025年中心利润表 '!K215+'2025年江苏分部利润表'!K215+'2025年浙江分部利润表'!K215+'2025年上海分部利润表'!K215+'2025年赣皖区域利润表'!K215</f>
        <v>0</v>
      </c>
      <c r="L215" s="49">
        <f>'2025年中心利润表 '!L215+'2025年江苏分部利润表'!L215+'2025年浙江分部利润表'!L215+'2025年上海分部利润表'!L215+'2025年赣皖区域利润表'!L215</f>
        <v>0</v>
      </c>
      <c r="M215" s="49">
        <f>'2025年中心利润表 '!M215+'2025年江苏分部利润表'!M215+'2025年浙江分部利润表'!M215+'2025年上海分部利润表'!M215+'2025年赣皖区域利润表'!M215</f>
        <v>0</v>
      </c>
      <c r="N215" s="49">
        <f>'2025年中心利润表 '!N215+'2025年江苏分部利润表'!N215+'2025年浙江分部利润表'!N215+'2025年上海分部利润表'!N215+'2025年赣皖区域利润表'!N215</f>
        <v>0</v>
      </c>
      <c r="O215" s="49">
        <f>'2025年中心利润表 '!O215+'2025年江苏分部利润表'!O215+'2025年浙江分部利润表'!O215+'2025年上海分部利润表'!O215+'2025年赣皖区域利润表'!O215</f>
        <v>0</v>
      </c>
      <c r="P215" s="49">
        <f>'2025年中心利润表 '!P215+'2025年江苏分部利润表'!P215+'2025年浙江分部利润表'!P215+'2025年上海分部利润表'!P215+'2025年赣皖区域利润表'!P215</f>
        <v>0</v>
      </c>
      <c r="Q215" s="49">
        <f>'2025年中心利润表 '!Q215+'2025年江苏分部利润表'!Q215+'2025年浙江分部利润表'!Q215+'2025年上海分部利润表'!Q215+'2025年赣皖区域利润表'!Q215</f>
        <v>0</v>
      </c>
      <c r="R215" s="49">
        <f>'2025年中心利润表 '!R215+'2025年江苏分部利润表'!R215+'2025年浙江分部利润表'!R215+'2025年上海分部利润表'!R215+'2025年赣皖区域利润表'!R215</f>
        <v>0</v>
      </c>
      <c r="S215" s="49">
        <f>'2025年中心利润表 '!S215+'2025年江苏分部利润表'!S215+'2025年浙江分部利润表'!S215+'2025年上海分部利润表'!S215+'2025年赣皖区域利润表'!S215</f>
        <v>0</v>
      </c>
      <c r="T215" s="49">
        <f>'2025年中心利润表 '!T215+'2025年江苏分部利润表'!T215+'2025年浙江分部利润表'!T215+'2025年上海分部利润表'!T215+'2025年赣皖区域利润表'!T215</f>
        <v>0</v>
      </c>
      <c r="U215" s="49">
        <f>'2025年中心利润表 '!U215+'2025年江苏分部利润表'!U215+'2025年浙江分部利润表'!U215+'2025年上海分部利润表'!U215+'2025年赣皖区域利润表'!U215</f>
        <v>0</v>
      </c>
      <c r="V215" s="49">
        <f>'2025年中心利润表 '!V215+'2025年江苏分部利润表'!V215+'2025年浙江分部利润表'!V215+'2025年上海分部利润表'!V215+'2025年赣皖区域利润表'!V215</f>
        <v>0</v>
      </c>
      <c r="W215" s="49">
        <f>'2025年中心利润表 '!W215+'2025年江苏分部利润表'!W215+'2025年浙江分部利润表'!W215+'2025年上海分部利润表'!W215+'2025年赣皖区域利润表'!W215</f>
        <v>0</v>
      </c>
      <c r="X215" s="49">
        <f>'2025年中心利润表 '!X215+'2025年江苏分部利润表'!X215+'2025年浙江分部利润表'!X215+'2025年上海分部利润表'!X215+'2025年赣皖区域利润表'!X215</f>
        <v>0</v>
      </c>
      <c r="Y215" s="49">
        <f>'2025年中心利润表 '!Y215+'2025年江苏分部利润表'!Y215+'2025年浙江分部利润表'!Y215+'2025年上海分部利润表'!Y215+'2025年赣皖区域利润表'!Y215</f>
        <v>0</v>
      </c>
      <c r="Z215" s="49">
        <f>'2025年中心利润表 '!Z215+'2025年江苏分部利润表'!Z215+'2025年浙江分部利润表'!Z215+'2025年上海分部利润表'!Z215+'2025年赣皖区域利润表'!Z215</f>
        <v>0</v>
      </c>
      <c r="AA215" s="51">
        <f t="shared" si="36"/>
        <v>0</v>
      </c>
      <c r="AB215" s="51">
        <f t="shared" si="44"/>
        <v>0</v>
      </c>
      <c r="AC215" s="94"/>
      <c r="AD215" s="31">
        <f t="shared" si="37"/>
        <v>0</v>
      </c>
      <c r="AE215" s="31">
        <f t="shared" si="38"/>
        <v>0</v>
      </c>
      <c r="AF215" s="17">
        <f t="shared" si="39"/>
        <v>0</v>
      </c>
      <c r="AG215" s="17">
        <f t="shared" si="40"/>
        <v>0</v>
      </c>
      <c r="AH215" s="17">
        <f>SUM('[1]2024年全面预算利润表 (销售1中心)2.8亿'!E220:H220)</f>
        <v>0</v>
      </c>
    </row>
    <row r="216" spans="1:53" s="19" customFormat="1" ht="18" hidden="1" customHeight="1" outlineLevel="2" x14ac:dyDescent="0.25">
      <c r="A216" s="48" t="s">
        <v>146</v>
      </c>
      <c r="B216" s="53"/>
      <c r="C216" s="49">
        <f>'2025年中心利润表 '!C216+'2025年江苏分部利润表'!C216+'2025年浙江分部利润表'!C216+'2025年上海分部利润表'!C216+'2025年赣皖区域利润表'!C216</f>
        <v>0</v>
      </c>
      <c r="D216" s="49">
        <f>'2025年中心利润表 '!D216+'2025年江苏分部利润表'!D216+'2025年浙江分部利润表'!D216+'2025年上海分部利润表'!D216+'2025年赣皖区域利润表'!D216</f>
        <v>0</v>
      </c>
      <c r="E216" s="49">
        <f>'2025年中心利润表 '!E216+'2025年江苏分部利润表'!E216+'2025年浙江分部利润表'!E216+'2025年上海分部利润表'!E216+'2025年赣皖区域利润表'!E216</f>
        <v>0</v>
      </c>
      <c r="F216" s="49">
        <f>'2025年中心利润表 '!F216+'2025年江苏分部利润表'!F216+'2025年浙江分部利润表'!F216+'2025年上海分部利润表'!F216+'2025年赣皖区域利润表'!F216</f>
        <v>0</v>
      </c>
      <c r="G216" s="49">
        <f>'2025年中心利润表 '!G216+'2025年江苏分部利润表'!G216+'2025年浙江分部利润表'!G216+'2025年上海分部利润表'!G216+'2025年赣皖区域利润表'!G216</f>
        <v>0</v>
      </c>
      <c r="H216" s="49">
        <f>'2025年中心利润表 '!H216+'2025年江苏分部利润表'!H216+'2025年浙江分部利润表'!H216+'2025年上海分部利润表'!H216+'2025年赣皖区域利润表'!H216</f>
        <v>0</v>
      </c>
      <c r="I216" s="49">
        <f>'2025年中心利润表 '!I216+'2025年江苏分部利润表'!I216+'2025年浙江分部利润表'!I216+'2025年上海分部利润表'!I216+'2025年赣皖区域利润表'!I216</f>
        <v>0</v>
      </c>
      <c r="J216" s="49">
        <f>'2025年中心利润表 '!J216+'2025年江苏分部利润表'!J216+'2025年浙江分部利润表'!J216+'2025年上海分部利润表'!J216+'2025年赣皖区域利润表'!J216</f>
        <v>0</v>
      </c>
      <c r="K216" s="49">
        <f>'2025年中心利润表 '!K216+'2025年江苏分部利润表'!K216+'2025年浙江分部利润表'!K216+'2025年上海分部利润表'!K216+'2025年赣皖区域利润表'!K216</f>
        <v>0</v>
      </c>
      <c r="L216" s="49">
        <f>'2025年中心利润表 '!L216+'2025年江苏分部利润表'!L216+'2025年浙江分部利润表'!L216+'2025年上海分部利润表'!L216+'2025年赣皖区域利润表'!L216</f>
        <v>0</v>
      </c>
      <c r="M216" s="49">
        <f>'2025年中心利润表 '!M216+'2025年江苏分部利润表'!M216+'2025年浙江分部利润表'!M216+'2025年上海分部利润表'!M216+'2025年赣皖区域利润表'!M216</f>
        <v>0</v>
      </c>
      <c r="N216" s="49">
        <f>'2025年中心利润表 '!N216+'2025年江苏分部利润表'!N216+'2025年浙江分部利润表'!N216+'2025年上海分部利润表'!N216+'2025年赣皖区域利润表'!N216</f>
        <v>0</v>
      </c>
      <c r="O216" s="49">
        <f>'2025年中心利润表 '!O216+'2025年江苏分部利润表'!O216+'2025年浙江分部利润表'!O216+'2025年上海分部利润表'!O216+'2025年赣皖区域利润表'!O216</f>
        <v>0</v>
      </c>
      <c r="P216" s="49">
        <f>'2025年中心利润表 '!P216+'2025年江苏分部利润表'!P216+'2025年浙江分部利润表'!P216+'2025年上海分部利润表'!P216+'2025年赣皖区域利润表'!P216</f>
        <v>0</v>
      </c>
      <c r="Q216" s="49">
        <f>'2025年中心利润表 '!Q216+'2025年江苏分部利润表'!Q216+'2025年浙江分部利润表'!Q216+'2025年上海分部利润表'!Q216+'2025年赣皖区域利润表'!Q216</f>
        <v>0</v>
      </c>
      <c r="R216" s="49">
        <f>'2025年中心利润表 '!R216+'2025年江苏分部利润表'!R216+'2025年浙江分部利润表'!R216+'2025年上海分部利润表'!R216+'2025年赣皖区域利润表'!R216</f>
        <v>0</v>
      </c>
      <c r="S216" s="49">
        <f>'2025年中心利润表 '!S216+'2025年江苏分部利润表'!S216+'2025年浙江分部利润表'!S216+'2025年上海分部利润表'!S216+'2025年赣皖区域利润表'!S216</f>
        <v>0</v>
      </c>
      <c r="T216" s="49">
        <f>'2025年中心利润表 '!T216+'2025年江苏分部利润表'!T216+'2025年浙江分部利润表'!T216+'2025年上海分部利润表'!T216+'2025年赣皖区域利润表'!T216</f>
        <v>0</v>
      </c>
      <c r="U216" s="49">
        <f>'2025年中心利润表 '!U216+'2025年江苏分部利润表'!U216+'2025年浙江分部利润表'!U216+'2025年上海分部利润表'!U216+'2025年赣皖区域利润表'!U216</f>
        <v>0</v>
      </c>
      <c r="V216" s="49">
        <f>'2025年中心利润表 '!V216+'2025年江苏分部利润表'!V216+'2025年浙江分部利润表'!V216+'2025年上海分部利润表'!V216+'2025年赣皖区域利润表'!V216</f>
        <v>0</v>
      </c>
      <c r="W216" s="49">
        <f>'2025年中心利润表 '!W216+'2025年江苏分部利润表'!W216+'2025年浙江分部利润表'!W216+'2025年上海分部利润表'!W216+'2025年赣皖区域利润表'!W216</f>
        <v>0</v>
      </c>
      <c r="X216" s="49">
        <f>'2025年中心利润表 '!X216+'2025年江苏分部利润表'!X216+'2025年浙江分部利润表'!X216+'2025年上海分部利润表'!X216+'2025年赣皖区域利润表'!X216</f>
        <v>0</v>
      </c>
      <c r="Y216" s="49">
        <f>'2025年中心利润表 '!Y216+'2025年江苏分部利润表'!Y216+'2025年浙江分部利润表'!Y216+'2025年上海分部利润表'!Y216+'2025年赣皖区域利润表'!Y216</f>
        <v>0</v>
      </c>
      <c r="Z216" s="49">
        <f>'2025年中心利润表 '!Z216+'2025年江苏分部利润表'!Z216+'2025年浙江分部利润表'!Z216+'2025年上海分部利润表'!Z216+'2025年赣皖区域利润表'!Z216</f>
        <v>0</v>
      </c>
      <c r="AA216" s="51">
        <f t="shared" si="36"/>
        <v>0</v>
      </c>
      <c r="AB216" s="51">
        <f t="shared" si="44"/>
        <v>0</v>
      </c>
      <c r="AC216" s="94"/>
      <c r="AD216" s="31">
        <f t="shared" si="37"/>
        <v>0</v>
      </c>
      <c r="AE216" s="31">
        <f t="shared" si="38"/>
        <v>0</v>
      </c>
      <c r="AF216" s="17">
        <f t="shared" si="39"/>
        <v>0</v>
      </c>
      <c r="AG216" s="17">
        <f t="shared" si="40"/>
        <v>0</v>
      </c>
      <c r="AH216" s="17">
        <f>SUM('[1]2024年全面预算利润表 (销售1中心)2.8亿'!E221:H221)</f>
        <v>0</v>
      </c>
    </row>
    <row r="217" spans="1:53" s="19" customFormat="1" ht="18" hidden="1" customHeight="1" outlineLevel="1" collapsed="1" x14ac:dyDescent="0.25">
      <c r="A217" s="48" t="s">
        <v>147</v>
      </c>
      <c r="B217" s="53"/>
      <c r="C217" s="49">
        <f>'2025年中心利润表 '!C217+'2025年江苏分部利润表'!C217+'2025年浙江分部利润表'!C217+'2025年上海分部利润表'!C217+'2025年赣皖区域利润表'!C217</f>
        <v>0</v>
      </c>
      <c r="D217" s="49">
        <f>'2025年中心利润表 '!D217+'2025年江苏分部利润表'!D217+'2025年浙江分部利润表'!D217+'2025年上海分部利润表'!D217+'2025年赣皖区域利润表'!D217</f>
        <v>0</v>
      </c>
      <c r="E217" s="49">
        <f>'2025年中心利润表 '!E217+'2025年江苏分部利润表'!E217+'2025年浙江分部利润表'!E217+'2025年上海分部利润表'!E217+'2025年赣皖区域利润表'!E217</f>
        <v>0</v>
      </c>
      <c r="F217" s="49">
        <f>'2025年中心利润表 '!F217+'2025年江苏分部利润表'!F217+'2025年浙江分部利润表'!F217+'2025年上海分部利润表'!F217+'2025年赣皖区域利润表'!F217</f>
        <v>0</v>
      </c>
      <c r="G217" s="49">
        <f>'2025年中心利润表 '!G217+'2025年江苏分部利润表'!G217+'2025年浙江分部利润表'!G217+'2025年上海分部利润表'!G217+'2025年赣皖区域利润表'!G217</f>
        <v>0</v>
      </c>
      <c r="H217" s="49">
        <f>'2025年中心利润表 '!H217+'2025年江苏分部利润表'!H217+'2025年浙江分部利润表'!H217+'2025年上海分部利润表'!H217+'2025年赣皖区域利润表'!H217</f>
        <v>0</v>
      </c>
      <c r="I217" s="49">
        <f>'2025年中心利润表 '!I217+'2025年江苏分部利润表'!I217+'2025年浙江分部利润表'!I217+'2025年上海分部利润表'!I217+'2025年赣皖区域利润表'!I217</f>
        <v>0</v>
      </c>
      <c r="J217" s="49">
        <f>'2025年中心利润表 '!J217+'2025年江苏分部利润表'!J217+'2025年浙江分部利润表'!J217+'2025年上海分部利润表'!J217+'2025年赣皖区域利润表'!J217</f>
        <v>0</v>
      </c>
      <c r="K217" s="49">
        <f>'2025年中心利润表 '!K217+'2025年江苏分部利润表'!K217+'2025年浙江分部利润表'!K217+'2025年上海分部利润表'!K217+'2025年赣皖区域利润表'!K217</f>
        <v>0</v>
      </c>
      <c r="L217" s="49">
        <f>'2025年中心利润表 '!L217+'2025年江苏分部利润表'!L217+'2025年浙江分部利润表'!L217+'2025年上海分部利润表'!L217+'2025年赣皖区域利润表'!L217</f>
        <v>0</v>
      </c>
      <c r="M217" s="49">
        <f>'2025年中心利润表 '!M217+'2025年江苏分部利润表'!M217+'2025年浙江分部利润表'!M217+'2025年上海分部利润表'!M217+'2025年赣皖区域利润表'!M217</f>
        <v>0</v>
      </c>
      <c r="N217" s="49">
        <f>'2025年中心利润表 '!N217+'2025年江苏分部利润表'!N217+'2025年浙江分部利润表'!N217+'2025年上海分部利润表'!N217+'2025年赣皖区域利润表'!N217</f>
        <v>0</v>
      </c>
      <c r="O217" s="49">
        <f>'2025年中心利润表 '!O217+'2025年江苏分部利润表'!O217+'2025年浙江分部利润表'!O217+'2025年上海分部利润表'!O217+'2025年赣皖区域利润表'!O217</f>
        <v>0</v>
      </c>
      <c r="P217" s="49">
        <f>'2025年中心利润表 '!P217+'2025年江苏分部利润表'!P217+'2025年浙江分部利润表'!P217+'2025年上海分部利润表'!P217+'2025年赣皖区域利润表'!P217</f>
        <v>0</v>
      </c>
      <c r="Q217" s="49">
        <f>'2025年中心利润表 '!Q217+'2025年江苏分部利润表'!Q217+'2025年浙江分部利润表'!Q217+'2025年上海分部利润表'!Q217+'2025年赣皖区域利润表'!Q217</f>
        <v>0</v>
      </c>
      <c r="R217" s="49">
        <f>'2025年中心利润表 '!R217+'2025年江苏分部利润表'!R217+'2025年浙江分部利润表'!R217+'2025年上海分部利润表'!R217+'2025年赣皖区域利润表'!R217</f>
        <v>0</v>
      </c>
      <c r="S217" s="49">
        <f>'2025年中心利润表 '!S217+'2025年江苏分部利润表'!S217+'2025年浙江分部利润表'!S217+'2025年上海分部利润表'!S217+'2025年赣皖区域利润表'!S217</f>
        <v>0</v>
      </c>
      <c r="T217" s="49">
        <f>'2025年中心利润表 '!T217+'2025年江苏分部利润表'!T217+'2025年浙江分部利润表'!T217+'2025年上海分部利润表'!T217+'2025年赣皖区域利润表'!T217</f>
        <v>0</v>
      </c>
      <c r="U217" s="49">
        <f>'2025年中心利润表 '!U217+'2025年江苏分部利润表'!U217+'2025年浙江分部利润表'!U217+'2025年上海分部利润表'!U217+'2025年赣皖区域利润表'!U217</f>
        <v>0</v>
      </c>
      <c r="V217" s="49">
        <f>'2025年中心利润表 '!V217+'2025年江苏分部利润表'!V217+'2025年浙江分部利润表'!V217+'2025年上海分部利润表'!V217+'2025年赣皖区域利润表'!V217</f>
        <v>0</v>
      </c>
      <c r="W217" s="49">
        <f>'2025年中心利润表 '!W217+'2025年江苏分部利润表'!W217+'2025年浙江分部利润表'!W217+'2025年上海分部利润表'!W217+'2025年赣皖区域利润表'!W217</f>
        <v>0</v>
      </c>
      <c r="X217" s="49">
        <f>'2025年中心利润表 '!X217+'2025年江苏分部利润表'!X217+'2025年浙江分部利润表'!X217+'2025年上海分部利润表'!X217+'2025年赣皖区域利润表'!X217</f>
        <v>0</v>
      </c>
      <c r="Y217" s="49">
        <f>'2025年中心利润表 '!Y217+'2025年江苏分部利润表'!Y217+'2025年浙江分部利润表'!Y217+'2025年上海分部利润表'!Y217+'2025年赣皖区域利润表'!Y217</f>
        <v>0</v>
      </c>
      <c r="Z217" s="49">
        <f>'2025年中心利润表 '!Z217+'2025年江苏分部利润表'!Z217+'2025年浙江分部利润表'!Z217+'2025年上海分部利润表'!Z217+'2025年赣皖区域利润表'!Z217</f>
        <v>0</v>
      </c>
      <c r="AA217" s="51">
        <f t="shared" si="36"/>
        <v>0</v>
      </c>
      <c r="AB217" s="51">
        <f t="shared" si="44"/>
        <v>0</v>
      </c>
      <c r="AC217" s="94"/>
      <c r="AD217" s="31">
        <f t="shared" si="37"/>
        <v>0</v>
      </c>
      <c r="AE217" s="31">
        <f t="shared" si="38"/>
        <v>0</v>
      </c>
      <c r="AF217" s="17">
        <f t="shared" si="39"/>
        <v>0</v>
      </c>
      <c r="AG217" s="17">
        <f t="shared" si="40"/>
        <v>0</v>
      </c>
      <c r="AH217" s="17">
        <f>SUM('[1]2024年全面预算利润表 (销售1中心)2.8亿'!E222:H222)</f>
        <v>0</v>
      </c>
    </row>
    <row r="218" spans="1:53" s="19" customFormat="1" ht="18" hidden="1" customHeight="1" outlineLevel="1" x14ac:dyDescent="0.25">
      <c r="A218" s="48" t="s">
        <v>148</v>
      </c>
      <c r="B218" s="53"/>
      <c r="C218" s="49">
        <f>'2025年中心利润表 '!C218+'2025年江苏分部利润表'!C218+'2025年浙江分部利润表'!C218+'2025年上海分部利润表'!C218+'2025年赣皖区域利润表'!C218</f>
        <v>0</v>
      </c>
      <c r="D218" s="49">
        <f>'2025年中心利润表 '!D218+'2025年江苏分部利润表'!D218+'2025年浙江分部利润表'!D218+'2025年上海分部利润表'!D218+'2025年赣皖区域利润表'!D218</f>
        <v>0</v>
      </c>
      <c r="E218" s="49">
        <f>'2025年中心利润表 '!E218+'2025年江苏分部利润表'!E218+'2025年浙江分部利润表'!E218+'2025年上海分部利润表'!E218+'2025年赣皖区域利润表'!E218</f>
        <v>0</v>
      </c>
      <c r="F218" s="49">
        <f>'2025年中心利润表 '!F218+'2025年江苏分部利润表'!F218+'2025年浙江分部利润表'!F218+'2025年上海分部利润表'!F218+'2025年赣皖区域利润表'!F218</f>
        <v>0</v>
      </c>
      <c r="G218" s="49">
        <f>'2025年中心利润表 '!G218+'2025年江苏分部利润表'!G218+'2025年浙江分部利润表'!G218+'2025年上海分部利润表'!G218+'2025年赣皖区域利润表'!G218</f>
        <v>0</v>
      </c>
      <c r="H218" s="49">
        <f>'2025年中心利润表 '!H218+'2025年江苏分部利润表'!H218+'2025年浙江分部利润表'!H218+'2025年上海分部利润表'!H218+'2025年赣皖区域利润表'!H218</f>
        <v>0</v>
      </c>
      <c r="I218" s="49">
        <f>'2025年中心利润表 '!I218+'2025年江苏分部利润表'!I218+'2025年浙江分部利润表'!I218+'2025年上海分部利润表'!I218+'2025年赣皖区域利润表'!I218</f>
        <v>0</v>
      </c>
      <c r="J218" s="49">
        <f>'2025年中心利润表 '!J218+'2025年江苏分部利润表'!J218+'2025年浙江分部利润表'!J218+'2025年上海分部利润表'!J218+'2025年赣皖区域利润表'!J218</f>
        <v>0</v>
      </c>
      <c r="K218" s="49">
        <f>'2025年中心利润表 '!K218+'2025年江苏分部利润表'!K218+'2025年浙江分部利润表'!K218+'2025年上海分部利润表'!K218+'2025年赣皖区域利润表'!K218</f>
        <v>0</v>
      </c>
      <c r="L218" s="49">
        <f>'2025年中心利润表 '!L218+'2025年江苏分部利润表'!L218+'2025年浙江分部利润表'!L218+'2025年上海分部利润表'!L218+'2025年赣皖区域利润表'!L218</f>
        <v>0</v>
      </c>
      <c r="M218" s="49">
        <f>'2025年中心利润表 '!M218+'2025年江苏分部利润表'!M218+'2025年浙江分部利润表'!M218+'2025年上海分部利润表'!M218+'2025年赣皖区域利润表'!M218</f>
        <v>0</v>
      </c>
      <c r="N218" s="49">
        <f>'2025年中心利润表 '!N218+'2025年江苏分部利润表'!N218+'2025年浙江分部利润表'!N218+'2025年上海分部利润表'!N218+'2025年赣皖区域利润表'!N218</f>
        <v>0</v>
      </c>
      <c r="O218" s="49">
        <f>'2025年中心利润表 '!O218+'2025年江苏分部利润表'!O218+'2025年浙江分部利润表'!O218+'2025年上海分部利润表'!O218+'2025年赣皖区域利润表'!O218</f>
        <v>0</v>
      </c>
      <c r="P218" s="49">
        <f>'2025年中心利润表 '!P218+'2025年江苏分部利润表'!P218+'2025年浙江分部利润表'!P218+'2025年上海分部利润表'!P218+'2025年赣皖区域利润表'!P218</f>
        <v>0</v>
      </c>
      <c r="Q218" s="49">
        <f>'2025年中心利润表 '!Q218+'2025年江苏分部利润表'!Q218+'2025年浙江分部利润表'!Q218+'2025年上海分部利润表'!Q218+'2025年赣皖区域利润表'!Q218</f>
        <v>0</v>
      </c>
      <c r="R218" s="49">
        <f>'2025年中心利润表 '!R218+'2025年江苏分部利润表'!R218+'2025年浙江分部利润表'!R218+'2025年上海分部利润表'!R218+'2025年赣皖区域利润表'!R218</f>
        <v>0</v>
      </c>
      <c r="S218" s="49">
        <f>'2025年中心利润表 '!S218+'2025年江苏分部利润表'!S218+'2025年浙江分部利润表'!S218+'2025年上海分部利润表'!S218+'2025年赣皖区域利润表'!S218</f>
        <v>0</v>
      </c>
      <c r="T218" s="49">
        <f>'2025年中心利润表 '!T218+'2025年江苏分部利润表'!T218+'2025年浙江分部利润表'!T218+'2025年上海分部利润表'!T218+'2025年赣皖区域利润表'!T218</f>
        <v>0</v>
      </c>
      <c r="U218" s="49">
        <f>'2025年中心利润表 '!U218+'2025年江苏分部利润表'!U218+'2025年浙江分部利润表'!U218+'2025年上海分部利润表'!U218+'2025年赣皖区域利润表'!U218</f>
        <v>0</v>
      </c>
      <c r="V218" s="49">
        <f>'2025年中心利润表 '!V218+'2025年江苏分部利润表'!V218+'2025年浙江分部利润表'!V218+'2025年上海分部利润表'!V218+'2025年赣皖区域利润表'!V218</f>
        <v>0</v>
      </c>
      <c r="W218" s="49">
        <f>'2025年中心利润表 '!W218+'2025年江苏分部利润表'!W218+'2025年浙江分部利润表'!W218+'2025年上海分部利润表'!W218+'2025年赣皖区域利润表'!W218</f>
        <v>0</v>
      </c>
      <c r="X218" s="49">
        <f>'2025年中心利润表 '!X218+'2025年江苏分部利润表'!X218+'2025年浙江分部利润表'!X218+'2025年上海分部利润表'!X218+'2025年赣皖区域利润表'!X218</f>
        <v>0</v>
      </c>
      <c r="Y218" s="49">
        <f>'2025年中心利润表 '!Y218+'2025年江苏分部利润表'!Y218+'2025年浙江分部利润表'!Y218+'2025年上海分部利润表'!Y218+'2025年赣皖区域利润表'!Y218</f>
        <v>0</v>
      </c>
      <c r="Z218" s="49">
        <f>'2025年中心利润表 '!Z218+'2025年江苏分部利润表'!Z218+'2025年浙江分部利润表'!Z218+'2025年上海分部利润表'!Z218+'2025年赣皖区域利润表'!Z218</f>
        <v>0</v>
      </c>
      <c r="AA218" s="51">
        <f t="shared" si="36"/>
        <v>0</v>
      </c>
      <c r="AB218" s="51">
        <f t="shared" si="44"/>
        <v>0</v>
      </c>
      <c r="AC218" s="94"/>
      <c r="AD218" s="31">
        <f t="shared" si="37"/>
        <v>0</v>
      </c>
      <c r="AE218" s="31">
        <f t="shared" si="38"/>
        <v>0</v>
      </c>
      <c r="AF218" s="17">
        <f t="shared" si="39"/>
        <v>0</v>
      </c>
      <c r="AG218" s="17">
        <f t="shared" si="40"/>
        <v>0</v>
      </c>
      <c r="AH218" s="17">
        <f>SUM('[1]2024年全面预算利润表 (销售1中心)2.8亿'!E223:H223)</f>
        <v>0</v>
      </c>
    </row>
    <row r="219" spans="1:53" s="19" customFormat="1" ht="18" hidden="1" customHeight="1" outlineLevel="1" x14ac:dyDescent="0.25">
      <c r="A219" s="48" t="s">
        <v>149</v>
      </c>
      <c r="B219" s="53"/>
      <c r="C219" s="49">
        <f>'2025年中心利润表 '!C219+'2025年江苏分部利润表'!C219+'2025年浙江分部利润表'!C219+'2025年上海分部利润表'!C219+'2025年赣皖区域利润表'!C219</f>
        <v>0</v>
      </c>
      <c r="D219" s="49">
        <f>'2025年中心利润表 '!D219+'2025年江苏分部利润表'!D219+'2025年浙江分部利润表'!D219+'2025年上海分部利润表'!D219+'2025年赣皖区域利润表'!D219</f>
        <v>0</v>
      </c>
      <c r="E219" s="49">
        <f>'2025年中心利润表 '!E219+'2025年江苏分部利润表'!E219+'2025年浙江分部利润表'!E219+'2025年上海分部利润表'!E219+'2025年赣皖区域利润表'!E219</f>
        <v>0</v>
      </c>
      <c r="F219" s="49">
        <f>'2025年中心利润表 '!F219+'2025年江苏分部利润表'!F219+'2025年浙江分部利润表'!F219+'2025年上海分部利润表'!F219+'2025年赣皖区域利润表'!F219</f>
        <v>0</v>
      </c>
      <c r="G219" s="49">
        <f>'2025年中心利润表 '!G219+'2025年江苏分部利润表'!G219+'2025年浙江分部利润表'!G219+'2025年上海分部利润表'!G219+'2025年赣皖区域利润表'!G219</f>
        <v>0</v>
      </c>
      <c r="H219" s="49">
        <f>'2025年中心利润表 '!H219+'2025年江苏分部利润表'!H219+'2025年浙江分部利润表'!H219+'2025年上海分部利润表'!H219+'2025年赣皖区域利润表'!H219</f>
        <v>0</v>
      </c>
      <c r="I219" s="49">
        <f>'2025年中心利润表 '!I219+'2025年江苏分部利润表'!I219+'2025年浙江分部利润表'!I219+'2025年上海分部利润表'!I219+'2025年赣皖区域利润表'!I219</f>
        <v>0</v>
      </c>
      <c r="J219" s="49">
        <f>'2025年中心利润表 '!J219+'2025年江苏分部利润表'!J219+'2025年浙江分部利润表'!J219+'2025年上海分部利润表'!J219+'2025年赣皖区域利润表'!J219</f>
        <v>0</v>
      </c>
      <c r="K219" s="49">
        <f>'2025年中心利润表 '!K219+'2025年江苏分部利润表'!K219+'2025年浙江分部利润表'!K219+'2025年上海分部利润表'!K219+'2025年赣皖区域利润表'!K219</f>
        <v>0</v>
      </c>
      <c r="L219" s="49">
        <f>'2025年中心利润表 '!L219+'2025年江苏分部利润表'!L219+'2025年浙江分部利润表'!L219+'2025年上海分部利润表'!L219+'2025年赣皖区域利润表'!L219</f>
        <v>0</v>
      </c>
      <c r="M219" s="49">
        <f>'2025年中心利润表 '!M219+'2025年江苏分部利润表'!M219+'2025年浙江分部利润表'!M219+'2025年上海分部利润表'!M219+'2025年赣皖区域利润表'!M219</f>
        <v>0</v>
      </c>
      <c r="N219" s="49">
        <f>'2025年中心利润表 '!N219+'2025年江苏分部利润表'!N219+'2025年浙江分部利润表'!N219+'2025年上海分部利润表'!N219+'2025年赣皖区域利润表'!N219</f>
        <v>0</v>
      </c>
      <c r="O219" s="49">
        <f>'2025年中心利润表 '!O219+'2025年江苏分部利润表'!O219+'2025年浙江分部利润表'!O219+'2025年上海分部利润表'!O219+'2025年赣皖区域利润表'!O219</f>
        <v>0</v>
      </c>
      <c r="P219" s="49">
        <f>'2025年中心利润表 '!P219+'2025年江苏分部利润表'!P219+'2025年浙江分部利润表'!P219+'2025年上海分部利润表'!P219+'2025年赣皖区域利润表'!P219</f>
        <v>0</v>
      </c>
      <c r="Q219" s="49">
        <f>'2025年中心利润表 '!Q219+'2025年江苏分部利润表'!Q219+'2025年浙江分部利润表'!Q219+'2025年上海分部利润表'!Q219+'2025年赣皖区域利润表'!Q219</f>
        <v>0</v>
      </c>
      <c r="R219" s="49">
        <f>'2025年中心利润表 '!R219+'2025年江苏分部利润表'!R219+'2025年浙江分部利润表'!R219+'2025年上海分部利润表'!R219+'2025年赣皖区域利润表'!R219</f>
        <v>0</v>
      </c>
      <c r="S219" s="49">
        <f>'2025年中心利润表 '!S219+'2025年江苏分部利润表'!S219+'2025年浙江分部利润表'!S219+'2025年上海分部利润表'!S219+'2025年赣皖区域利润表'!S219</f>
        <v>0</v>
      </c>
      <c r="T219" s="49">
        <f>'2025年中心利润表 '!T219+'2025年江苏分部利润表'!T219+'2025年浙江分部利润表'!T219+'2025年上海分部利润表'!T219+'2025年赣皖区域利润表'!T219</f>
        <v>0</v>
      </c>
      <c r="U219" s="49">
        <f>'2025年中心利润表 '!U219+'2025年江苏分部利润表'!U219+'2025年浙江分部利润表'!U219+'2025年上海分部利润表'!U219+'2025年赣皖区域利润表'!U219</f>
        <v>0</v>
      </c>
      <c r="V219" s="49">
        <f>'2025年中心利润表 '!V219+'2025年江苏分部利润表'!V219+'2025年浙江分部利润表'!V219+'2025年上海分部利润表'!V219+'2025年赣皖区域利润表'!V219</f>
        <v>0</v>
      </c>
      <c r="W219" s="49">
        <f>'2025年中心利润表 '!W219+'2025年江苏分部利润表'!W219+'2025年浙江分部利润表'!W219+'2025年上海分部利润表'!W219+'2025年赣皖区域利润表'!W219</f>
        <v>0</v>
      </c>
      <c r="X219" s="49">
        <f>'2025年中心利润表 '!X219+'2025年江苏分部利润表'!X219+'2025年浙江分部利润表'!X219+'2025年上海分部利润表'!X219+'2025年赣皖区域利润表'!X219</f>
        <v>0</v>
      </c>
      <c r="Y219" s="49">
        <f>'2025年中心利润表 '!Y219+'2025年江苏分部利润表'!Y219+'2025年浙江分部利润表'!Y219+'2025年上海分部利润表'!Y219+'2025年赣皖区域利润表'!Y219</f>
        <v>0</v>
      </c>
      <c r="Z219" s="49">
        <f>'2025年中心利润表 '!Z219+'2025年江苏分部利润表'!Z219+'2025年浙江分部利润表'!Z219+'2025年上海分部利润表'!Z219+'2025年赣皖区域利润表'!Z219</f>
        <v>0</v>
      </c>
      <c r="AA219" s="51">
        <f t="shared" si="36"/>
        <v>0</v>
      </c>
      <c r="AB219" s="51">
        <f t="shared" si="44"/>
        <v>0</v>
      </c>
      <c r="AC219" s="94"/>
      <c r="AD219" s="31">
        <f t="shared" si="37"/>
        <v>0</v>
      </c>
      <c r="AE219" s="31">
        <f t="shared" si="38"/>
        <v>0</v>
      </c>
      <c r="AF219" s="17">
        <f t="shared" si="39"/>
        <v>0</v>
      </c>
      <c r="AG219" s="17">
        <f t="shared" si="40"/>
        <v>0</v>
      </c>
      <c r="AH219" s="17">
        <f>SUM('[1]2024年全面预算利润表 (销售1中心)2.8亿'!E224:H224)</f>
        <v>0</v>
      </c>
    </row>
    <row r="220" spans="1:53" s="19" customFormat="1" ht="18" hidden="1" customHeight="1" outlineLevel="1" x14ac:dyDescent="0.25">
      <c r="A220" s="48" t="s">
        <v>150</v>
      </c>
      <c r="B220" s="53"/>
      <c r="C220" s="49">
        <f>'2025年中心利润表 '!C220+'2025年江苏分部利润表'!C220+'2025年浙江分部利润表'!C220+'2025年上海分部利润表'!C220+'2025年赣皖区域利润表'!C220</f>
        <v>0</v>
      </c>
      <c r="D220" s="49">
        <f>'2025年中心利润表 '!D220+'2025年江苏分部利润表'!D220+'2025年浙江分部利润表'!D220+'2025年上海分部利润表'!D220+'2025年赣皖区域利润表'!D220</f>
        <v>0</v>
      </c>
      <c r="E220" s="49">
        <f>'2025年中心利润表 '!E220+'2025年江苏分部利润表'!E220+'2025年浙江分部利润表'!E220+'2025年上海分部利润表'!E220+'2025年赣皖区域利润表'!E220</f>
        <v>0</v>
      </c>
      <c r="F220" s="49">
        <f>'2025年中心利润表 '!F220+'2025年江苏分部利润表'!F220+'2025年浙江分部利润表'!F220+'2025年上海分部利润表'!F220+'2025年赣皖区域利润表'!F220</f>
        <v>0</v>
      </c>
      <c r="G220" s="49">
        <f>'2025年中心利润表 '!G220+'2025年江苏分部利润表'!G220+'2025年浙江分部利润表'!G220+'2025年上海分部利润表'!G220+'2025年赣皖区域利润表'!G220</f>
        <v>0</v>
      </c>
      <c r="H220" s="49">
        <f>'2025年中心利润表 '!H220+'2025年江苏分部利润表'!H220+'2025年浙江分部利润表'!H220+'2025年上海分部利润表'!H220+'2025年赣皖区域利润表'!H220</f>
        <v>0</v>
      </c>
      <c r="I220" s="49">
        <f>'2025年中心利润表 '!I220+'2025年江苏分部利润表'!I220+'2025年浙江分部利润表'!I220+'2025年上海分部利润表'!I220+'2025年赣皖区域利润表'!I220</f>
        <v>0</v>
      </c>
      <c r="J220" s="49">
        <f>'2025年中心利润表 '!J220+'2025年江苏分部利润表'!J220+'2025年浙江分部利润表'!J220+'2025年上海分部利润表'!J220+'2025年赣皖区域利润表'!J220</f>
        <v>0</v>
      </c>
      <c r="K220" s="49">
        <f>'2025年中心利润表 '!K220+'2025年江苏分部利润表'!K220+'2025年浙江分部利润表'!K220+'2025年上海分部利润表'!K220+'2025年赣皖区域利润表'!K220</f>
        <v>0</v>
      </c>
      <c r="L220" s="49">
        <f>'2025年中心利润表 '!L220+'2025年江苏分部利润表'!L220+'2025年浙江分部利润表'!L220+'2025年上海分部利润表'!L220+'2025年赣皖区域利润表'!L220</f>
        <v>0</v>
      </c>
      <c r="M220" s="49">
        <f>'2025年中心利润表 '!M220+'2025年江苏分部利润表'!M220+'2025年浙江分部利润表'!M220+'2025年上海分部利润表'!M220+'2025年赣皖区域利润表'!M220</f>
        <v>0</v>
      </c>
      <c r="N220" s="49">
        <f>'2025年中心利润表 '!N220+'2025年江苏分部利润表'!N220+'2025年浙江分部利润表'!N220+'2025年上海分部利润表'!N220+'2025年赣皖区域利润表'!N220</f>
        <v>0</v>
      </c>
      <c r="O220" s="49">
        <f>'2025年中心利润表 '!O220+'2025年江苏分部利润表'!O220+'2025年浙江分部利润表'!O220+'2025年上海分部利润表'!O220+'2025年赣皖区域利润表'!O220</f>
        <v>0</v>
      </c>
      <c r="P220" s="49">
        <f>'2025年中心利润表 '!P220+'2025年江苏分部利润表'!P220+'2025年浙江分部利润表'!P220+'2025年上海分部利润表'!P220+'2025年赣皖区域利润表'!P220</f>
        <v>0</v>
      </c>
      <c r="Q220" s="49">
        <f>'2025年中心利润表 '!Q220+'2025年江苏分部利润表'!Q220+'2025年浙江分部利润表'!Q220+'2025年上海分部利润表'!Q220+'2025年赣皖区域利润表'!Q220</f>
        <v>0</v>
      </c>
      <c r="R220" s="49">
        <f>'2025年中心利润表 '!R220+'2025年江苏分部利润表'!R220+'2025年浙江分部利润表'!R220+'2025年上海分部利润表'!R220+'2025年赣皖区域利润表'!R220</f>
        <v>0</v>
      </c>
      <c r="S220" s="49">
        <f>'2025年中心利润表 '!S220+'2025年江苏分部利润表'!S220+'2025年浙江分部利润表'!S220+'2025年上海分部利润表'!S220+'2025年赣皖区域利润表'!S220</f>
        <v>0</v>
      </c>
      <c r="T220" s="49">
        <f>'2025年中心利润表 '!T220+'2025年江苏分部利润表'!T220+'2025年浙江分部利润表'!T220+'2025年上海分部利润表'!T220+'2025年赣皖区域利润表'!T220</f>
        <v>0</v>
      </c>
      <c r="U220" s="49">
        <f>'2025年中心利润表 '!U220+'2025年江苏分部利润表'!U220+'2025年浙江分部利润表'!U220+'2025年上海分部利润表'!U220+'2025年赣皖区域利润表'!U220</f>
        <v>0</v>
      </c>
      <c r="V220" s="49">
        <f>'2025年中心利润表 '!V220+'2025年江苏分部利润表'!V220+'2025年浙江分部利润表'!V220+'2025年上海分部利润表'!V220+'2025年赣皖区域利润表'!V220</f>
        <v>0</v>
      </c>
      <c r="W220" s="49">
        <f>'2025年中心利润表 '!W220+'2025年江苏分部利润表'!W220+'2025年浙江分部利润表'!W220+'2025年上海分部利润表'!W220+'2025年赣皖区域利润表'!W220</f>
        <v>0</v>
      </c>
      <c r="X220" s="49">
        <f>'2025年中心利润表 '!X220+'2025年江苏分部利润表'!X220+'2025年浙江分部利润表'!X220+'2025年上海分部利润表'!X220+'2025年赣皖区域利润表'!X220</f>
        <v>0</v>
      </c>
      <c r="Y220" s="49">
        <f>'2025年中心利润表 '!Y220+'2025年江苏分部利润表'!Y220+'2025年浙江分部利润表'!Y220+'2025年上海分部利润表'!Y220+'2025年赣皖区域利润表'!Y220</f>
        <v>0</v>
      </c>
      <c r="Z220" s="49">
        <f>'2025年中心利润表 '!Z220+'2025年江苏分部利润表'!Z220+'2025年浙江分部利润表'!Z220+'2025年上海分部利润表'!Z220+'2025年赣皖区域利润表'!Z220</f>
        <v>0</v>
      </c>
      <c r="AA220" s="51">
        <f t="shared" ref="AA220:AA257" si="49">C220+E220+G220+I220+K220+M220+O220+Q220+S220+U220+W220+Y220</f>
        <v>0</v>
      </c>
      <c r="AB220" s="51">
        <f t="shared" si="44"/>
        <v>0</v>
      </c>
      <c r="AC220" s="94"/>
      <c r="AD220" s="31">
        <f t="shared" ref="AD220:AD263" si="50">SUMIF($C$5:$Z$5,$AD$5,C220:Z220)</f>
        <v>0</v>
      </c>
      <c r="AE220" s="31">
        <f t="shared" ref="AE220:AE263" si="51">SUMIF($C$5:$Z$5,$AD$5,D220:AA220)</f>
        <v>0</v>
      </c>
      <c r="AF220" s="17">
        <f t="shared" si="39"/>
        <v>0</v>
      </c>
      <c r="AG220" s="17">
        <f t="shared" si="40"/>
        <v>0</v>
      </c>
      <c r="AH220" s="17">
        <f>SUM('[1]2024年全面预算利润表 (销售1中心)2.8亿'!E225:H225)</f>
        <v>0</v>
      </c>
    </row>
    <row r="221" spans="1:53" s="19" customFormat="1" ht="18" hidden="1" customHeight="1" outlineLevel="1" x14ac:dyDescent="0.25">
      <c r="A221" s="48" t="s">
        <v>151</v>
      </c>
      <c r="B221" s="53"/>
      <c r="C221" s="49">
        <f>'2025年中心利润表 '!C221+'2025年江苏分部利润表'!C221+'2025年浙江分部利润表'!C221+'2025年上海分部利润表'!C221+'2025年赣皖区域利润表'!C221</f>
        <v>0</v>
      </c>
      <c r="D221" s="49">
        <f>'2025年中心利润表 '!D221+'2025年江苏分部利润表'!D221+'2025年浙江分部利润表'!D221+'2025年上海分部利润表'!D221+'2025年赣皖区域利润表'!D221</f>
        <v>0</v>
      </c>
      <c r="E221" s="49">
        <f>'2025年中心利润表 '!E221+'2025年江苏分部利润表'!E221+'2025年浙江分部利润表'!E221+'2025年上海分部利润表'!E221+'2025年赣皖区域利润表'!E221</f>
        <v>0</v>
      </c>
      <c r="F221" s="49">
        <f>'2025年中心利润表 '!F221+'2025年江苏分部利润表'!F221+'2025年浙江分部利润表'!F221+'2025年上海分部利润表'!F221+'2025年赣皖区域利润表'!F221</f>
        <v>0</v>
      </c>
      <c r="G221" s="49">
        <f>'2025年中心利润表 '!G221+'2025年江苏分部利润表'!G221+'2025年浙江分部利润表'!G221+'2025年上海分部利润表'!G221+'2025年赣皖区域利润表'!G221</f>
        <v>0</v>
      </c>
      <c r="H221" s="49">
        <f>'2025年中心利润表 '!H221+'2025年江苏分部利润表'!H221+'2025年浙江分部利润表'!H221+'2025年上海分部利润表'!H221+'2025年赣皖区域利润表'!H221</f>
        <v>0</v>
      </c>
      <c r="I221" s="49">
        <f>'2025年中心利润表 '!I221+'2025年江苏分部利润表'!I221+'2025年浙江分部利润表'!I221+'2025年上海分部利润表'!I221+'2025年赣皖区域利润表'!I221</f>
        <v>0</v>
      </c>
      <c r="J221" s="49">
        <f>'2025年中心利润表 '!J221+'2025年江苏分部利润表'!J221+'2025年浙江分部利润表'!J221+'2025年上海分部利润表'!J221+'2025年赣皖区域利润表'!J221</f>
        <v>0</v>
      </c>
      <c r="K221" s="49">
        <f>'2025年中心利润表 '!K221+'2025年江苏分部利润表'!K221+'2025年浙江分部利润表'!K221+'2025年上海分部利润表'!K221+'2025年赣皖区域利润表'!K221</f>
        <v>0</v>
      </c>
      <c r="L221" s="49">
        <f>'2025年中心利润表 '!L221+'2025年江苏分部利润表'!L221+'2025年浙江分部利润表'!L221+'2025年上海分部利润表'!L221+'2025年赣皖区域利润表'!L221</f>
        <v>0</v>
      </c>
      <c r="M221" s="49">
        <f>'2025年中心利润表 '!M221+'2025年江苏分部利润表'!M221+'2025年浙江分部利润表'!M221+'2025年上海分部利润表'!M221+'2025年赣皖区域利润表'!M221</f>
        <v>0</v>
      </c>
      <c r="N221" s="49">
        <f>'2025年中心利润表 '!N221+'2025年江苏分部利润表'!N221+'2025年浙江分部利润表'!N221+'2025年上海分部利润表'!N221+'2025年赣皖区域利润表'!N221</f>
        <v>0</v>
      </c>
      <c r="O221" s="49">
        <f>'2025年中心利润表 '!O221+'2025年江苏分部利润表'!O221+'2025年浙江分部利润表'!O221+'2025年上海分部利润表'!O221+'2025年赣皖区域利润表'!O221</f>
        <v>0</v>
      </c>
      <c r="P221" s="49">
        <f>'2025年中心利润表 '!P221+'2025年江苏分部利润表'!P221+'2025年浙江分部利润表'!P221+'2025年上海分部利润表'!P221+'2025年赣皖区域利润表'!P221</f>
        <v>0</v>
      </c>
      <c r="Q221" s="49">
        <f>'2025年中心利润表 '!Q221+'2025年江苏分部利润表'!Q221+'2025年浙江分部利润表'!Q221+'2025年上海分部利润表'!Q221+'2025年赣皖区域利润表'!Q221</f>
        <v>0</v>
      </c>
      <c r="R221" s="49">
        <f>'2025年中心利润表 '!R221+'2025年江苏分部利润表'!R221+'2025年浙江分部利润表'!R221+'2025年上海分部利润表'!R221+'2025年赣皖区域利润表'!R221</f>
        <v>0</v>
      </c>
      <c r="S221" s="49">
        <f>'2025年中心利润表 '!S221+'2025年江苏分部利润表'!S221+'2025年浙江分部利润表'!S221+'2025年上海分部利润表'!S221+'2025年赣皖区域利润表'!S221</f>
        <v>0</v>
      </c>
      <c r="T221" s="49">
        <f>'2025年中心利润表 '!T221+'2025年江苏分部利润表'!T221+'2025年浙江分部利润表'!T221+'2025年上海分部利润表'!T221+'2025年赣皖区域利润表'!T221</f>
        <v>0</v>
      </c>
      <c r="U221" s="49">
        <f>'2025年中心利润表 '!U221+'2025年江苏分部利润表'!U221+'2025年浙江分部利润表'!U221+'2025年上海分部利润表'!U221+'2025年赣皖区域利润表'!U221</f>
        <v>0</v>
      </c>
      <c r="V221" s="49">
        <f>'2025年中心利润表 '!V221+'2025年江苏分部利润表'!V221+'2025年浙江分部利润表'!V221+'2025年上海分部利润表'!V221+'2025年赣皖区域利润表'!V221</f>
        <v>0</v>
      </c>
      <c r="W221" s="49">
        <f>'2025年中心利润表 '!W221+'2025年江苏分部利润表'!W221+'2025年浙江分部利润表'!W221+'2025年上海分部利润表'!W221+'2025年赣皖区域利润表'!W221</f>
        <v>0</v>
      </c>
      <c r="X221" s="49">
        <f>'2025年中心利润表 '!X221+'2025年江苏分部利润表'!X221+'2025年浙江分部利润表'!X221+'2025年上海分部利润表'!X221+'2025年赣皖区域利润表'!X221</f>
        <v>0</v>
      </c>
      <c r="Y221" s="49">
        <f>'2025年中心利润表 '!Y221+'2025年江苏分部利润表'!Y221+'2025年浙江分部利润表'!Y221+'2025年上海分部利润表'!Y221+'2025年赣皖区域利润表'!Y221</f>
        <v>0</v>
      </c>
      <c r="Z221" s="49">
        <f>'2025年中心利润表 '!Z221+'2025年江苏分部利润表'!Z221+'2025年浙江分部利润表'!Z221+'2025年上海分部利润表'!Z221+'2025年赣皖区域利润表'!Z221</f>
        <v>0</v>
      </c>
      <c r="AA221" s="51">
        <f t="shared" si="49"/>
        <v>0</v>
      </c>
      <c r="AB221" s="51">
        <f t="shared" si="44"/>
        <v>0</v>
      </c>
      <c r="AC221" s="94"/>
      <c r="AD221" s="31">
        <f t="shared" si="50"/>
        <v>0</v>
      </c>
      <c r="AE221" s="31">
        <f t="shared" si="51"/>
        <v>0</v>
      </c>
      <c r="AF221" s="17">
        <f t="shared" si="39"/>
        <v>0</v>
      </c>
      <c r="AG221" s="17">
        <f t="shared" si="40"/>
        <v>0</v>
      </c>
      <c r="AH221" s="17">
        <f>SUM('[1]2024年全面预算利润表 (销售1中心)2.8亿'!E226:H226)</f>
        <v>0</v>
      </c>
    </row>
    <row r="222" spans="1:53" s="19" customFormat="1" ht="18" hidden="1" customHeight="1" outlineLevel="1" x14ac:dyDescent="0.25">
      <c r="A222" s="48" t="s">
        <v>152</v>
      </c>
      <c r="B222" s="53"/>
      <c r="C222" s="49">
        <f>'2025年中心利润表 '!C222+'2025年江苏分部利润表'!C222+'2025年浙江分部利润表'!C222+'2025年上海分部利润表'!C222+'2025年赣皖区域利润表'!C222</f>
        <v>0</v>
      </c>
      <c r="D222" s="49">
        <f>'2025年中心利润表 '!D222+'2025年江苏分部利润表'!D222+'2025年浙江分部利润表'!D222+'2025年上海分部利润表'!D222+'2025年赣皖区域利润表'!D222</f>
        <v>0</v>
      </c>
      <c r="E222" s="49">
        <f>'2025年中心利润表 '!E222+'2025年江苏分部利润表'!E222+'2025年浙江分部利润表'!E222+'2025年上海分部利润表'!E222+'2025年赣皖区域利润表'!E222</f>
        <v>0</v>
      </c>
      <c r="F222" s="49">
        <f>'2025年中心利润表 '!F222+'2025年江苏分部利润表'!F222+'2025年浙江分部利润表'!F222+'2025年上海分部利润表'!F222+'2025年赣皖区域利润表'!F222</f>
        <v>0</v>
      </c>
      <c r="G222" s="49">
        <f>'2025年中心利润表 '!G222+'2025年江苏分部利润表'!G222+'2025年浙江分部利润表'!G222+'2025年上海分部利润表'!G222+'2025年赣皖区域利润表'!G222</f>
        <v>0</v>
      </c>
      <c r="H222" s="49">
        <f>'2025年中心利润表 '!H222+'2025年江苏分部利润表'!H222+'2025年浙江分部利润表'!H222+'2025年上海分部利润表'!H222+'2025年赣皖区域利润表'!H222</f>
        <v>0</v>
      </c>
      <c r="I222" s="49">
        <f>'2025年中心利润表 '!I222+'2025年江苏分部利润表'!I222+'2025年浙江分部利润表'!I222+'2025年上海分部利润表'!I222+'2025年赣皖区域利润表'!I222</f>
        <v>0</v>
      </c>
      <c r="J222" s="49">
        <f>'2025年中心利润表 '!J222+'2025年江苏分部利润表'!J222+'2025年浙江分部利润表'!J222+'2025年上海分部利润表'!J222+'2025年赣皖区域利润表'!J222</f>
        <v>0</v>
      </c>
      <c r="K222" s="49">
        <f>'2025年中心利润表 '!K222+'2025年江苏分部利润表'!K222+'2025年浙江分部利润表'!K222+'2025年上海分部利润表'!K222+'2025年赣皖区域利润表'!K222</f>
        <v>0</v>
      </c>
      <c r="L222" s="49">
        <f>'2025年中心利润表 '!L222+'2025年江苏分部利润表'!L222+'2025年浙江分部利润表'!L222+'2025年上海分部利润表'!L222+'2025年赣皖区域利润表'!L222</f>
        <v>0</v>
      </c>
      <c r="M222" s="49">
        <f>'2025年中心利润表 '!M222+'2025年江苏分部利润表'!M222+'2025年浙江分部利润表'!M222+'2025年上海分部利润表'!M222+'2025年赣皖区域利润表'!M222</f>
        <v>0</v>
      </c>
      <c r="N222" s="49">
        <f>'2025年中心利润表 '!N222+'2025年江苏分部利润表'!N222+'2025年浙江分部利润表'!N222+'2025年上海分部利润表'!N222+'2025年赣皖区域利润表'!N222</f>
        <v>0</v>
      </c>
      <c r="O222" s="49">
        <f>'2025年中心利润表 '!O222+'2025年江苏分部利润表'!O222+'2025年浙江分部利润表'!O222+'2025年上海分部利润表'!O222+'2025年赣皖区域利润表'!O222</f>
        <v>0</v>
      </c>
      <c r="P222" s="49">
        <f>'2025年中心利润表 '!P222+'2025年江苏分部利润表'!P222+'2025年浙江分部利润表'!P222+'2025年上海分部利润表'!P222+'2025年赣皖区域利润表'!P222</f>
        <v>0</v>
      </c>
      <c r="Q222" s="49">
        <f>'2025年中心利润表 '!Q222+'2025年江苏分部利润表'!Q222+'2025年浙江分部利润表'!Q222+'2025年上海分部利润表'!Q222+'2025年赣皖区域利润表'!Q222</f>
        <v>0</v>
      </c>
      <c r="R222" s="49">
        <f>'2025年中心利润表 '!R222+'2025年江苏分部利润表'!R222+'2025年浙江分部利润表'!R222+'2025年上海分部利润表'!R222+'2025年赣皖区域利润表'!R222</f>
        <v>0</v>
      </c>
      <c r="S222" s="49">
        <f>'2025年中心利润表 '!S222+'2025年江苏分部利润表'!S222+'2025年浙江分部利润表'!S222+'2025年上海分部利润表'!S222+'2025年赣皖区域利润表'!S222</f>
        <v>0</v>
      </c>
      <c r="T222" s="49">
        <f>'2025年中心利润表 '!T222+'2025年江苏分部利润表'!T222+'2025年浙江分部利润表'!T222+'2025年上海分部利润表'!T222+'2025年赣皖区域利润表'!T222</f>
        <v>0</v>
      </c>
      <c r="U222" s="49">
        <f>'2025年中心利润表 '!U222+'2025年江苏分部利润表'!U222+'2025年浙江分部利润表'!U222+'2025年上海分部利润表'!U222+'2025年赣皖区域利润表'!U222</f>
        <v>0</v>
      </c>
      <c r="V222" s="49">
        <f>'2025年中心利润表 '!V222+'2025年江苏分部利润表'!V222+'2025年浙江分部利润表'!V222+'2025年上海分部利润表'!V222+'2025年赣皖区域利润表'!V222</f>
        <v>0</v>
      </c>
      <c r="W222" s="49">
        <f>'2025年中心利润表 '!W222+'2025年江苏分部利润表'!W222+'2025年浙江分部利润表'!W222+'2025年上海分部利润表'!W222+'2025年赣皖区域利润表'!W222</f>
        <v>0</v>
      </c>
      <c r="X222" s="49">
        <f>'2025年中心利润表 '!X222+'2025年江苏分部利润表'!X222+'2025年浙江分部利润表'!X222+'2025年上海分部利润表'!X222+'2025年赣皖区域利润表'!X222</f>
        <v>0</v>
      </c>
      <c r="Y222" s="49">
        <f>'2025年中心利润表 '!Y222+'2025年江苏分部利润表'!Y222+'2025年浙江分部利润表'!Y222+'2025年上海分部利润表'!Y222+'2025年赣皖区域利润表'!Y222</f>
        <v>0</v>
      </c>
      <c r="Z222" s="49">
        <f>'2025年中心利润表 '!Z222+'2025年江苏分部利润表'!Z222+'2025年浙江分部利润表'!Z222+'2025年上海分部利润表'!Z222+'2025年赣皖区域利润表'!Z222</f>
        <v>0</v>
      </c>
      <c r="AA222" s="51">
        <f t="shared" si="49"/>
        <v>0</v>
      </c>
      <c r="AB222" s="51">
        <f t="shared" si="44"/>
        <v>0</v>
      </c>
      <c r="AC222" s="94"/>
      <c r="AD222" s="31">
        <f t="shared" si="50"/>
        <v>0</v>
      </c>
      <c r="AE222" s="31">
        <f t="shared" si="51"/>
        <v>0</v>
      </c>
      <c r="AF222" s="17">
        <f t="shared" ref="AF222:AF260" si="52">AA222-AD222</f>
        <v>0</v>
      </c>
      <c r="AG222" s="17">
        <f t="shared" ref="AG222:AG260" si="53">AB222-AE222</f>
        <v>0</v>
      </c>
      <c r="AH222" s="17">
        <f>SUM('[1]2024年全面预算利润表 (销售1中心)2.8亿'!E227:H227)</f>
        <v>0</v>
      </c>
    </row>
    <row r="223" spans="1:53" s="19" customFormat="1" ht="18" hidden="1" customHeight="1" outlineLevel="1" x14ac:dyDescent="0.25">
      <c r="A223" s="48" t="s">
        <v>153</v>
      </c>
      <c r="B223" s="53"/>
      <c r="C223" s="49">
        <f>'2025年中心利润表 '!C223+'2025年江苏分部利润表'!C223+'2025年浙江分部利润表'!C223+'2025年上海分部利润表'!C223+'2025年赣皖区域利润表'!C223</f>
        <v>0</v>
      </c>
      <c r="D223" s="49">
        <f>'2025年中心利润表 '!D223+'2025年江苏分部利润表'!D223+'2025年浙江分部利润表'!D223+'2025年上海分部利润表'!D223+'2025年赣皖区域利润表'!D223</f>
        <v>0</v>
      </c>
      <c r="E223" s="49">
        <f>'2025年中心利润表 '!E223+'2025年江苏分部利润表'!E223+'2025年浙江分部利润表'!E223+'2025年上海分部利润表'!E223+'2025年赣皖区域利润表'!E223</f>
        <v>0</v>
      </c>
      <c r="F223" s="49">
        <f>'2025年中心利润表 '!F223+'2025年江苏分部利润表'!F223+'2025年浙江分部利润表'!F223+'2025年上海分部利润表'!F223+'2025年赣皖区域利润表'!F223</f>
        <v>0</v>
      </c>
      <c r="G223" s="49">
        <f>'2025年中心利润表 '!G223+'2025年江苏分部利润表'!G223+'2025年浙江分部利润表'!G223+'2025年上海分部利润表'!G223+'2025年赣皖区域利润表'!G223</f>
        <v>0</v>
      </c>
      <c r="H223" s="49">
        <f>'2025年中心利润表 '!H223+'2025年江苏分部利润表'!H223+'2025年浙江分部利润表'!H223+'2025年上海分部利润表'!H223+'2025年赣皖区域利润表'!H223</f>
        <v>0</v>
      </c>
      <c r="I223" s="49">
        <f>'2025年中心利润表 '!I223+'2025年江苏分部利润表'!I223+'2025年浙江分部利润表'!I223+'2025年上海分部利润表'!I223+'2025年赣皖区域利润表'!I223</f>
        <v>0</v>
      </c>
      <c r="J223" s="49">
        <f>'2025年中心利润表 '!J223+'2025年江苏分部利润表'!J223+'2025年浙江分部利润表'!J223+'2025年上海分部利润表'!J223+'2025年赣皖区域利润表'!J223</f>
        <v>0</v>
      </c>
      <c r="K223" s="49">
        <f>'2025年中心利润表 '!K223+'2025年江苏分部利润表'!K223+'2025年浙江分部利润表'!K223+'2025年上海分部利润表'!K223+'2025年赣皖区域利润表'!K223</f>
        <v>0</v>
      </c>
      <c r="L223" s="49">
        <f>'2025年中心利润表 '!L223+'2025年江苏分部利润表'!L223+'2025年浙江分部利润表'!L223+'2025年上海分部利润表'!L223+'2025年赣皖区域利润表'!L223</f>
        <v>0</v>
      </c>
      <c r="M223" s="49">
        <f>'2025年中心利润表 '!M223+'2025年江苏分部利润表'!M223+'2025年浙江分部利润表'!M223+'2025年上海分部利润表'!M223+'2025年赣皖区域利润表'!M223</f>
        <v>0</v>
      </c>
      <c r="N223" s="49">
        <f>'2025年中心利润表 '!N223+'2025年江苏分部利润表'!N223+'2025年浙江分部利润表'!N223+'2025年上海分部利润表'!N223+'2025年赣皖区域利润表'!N223</f>
        <v>0</v>
      </c>
      <c r="O223" s="49">
        <f>'2025年中心利润表 '!O223+'2025年江苏分部利润表'!O223+'2025年浙江分部利润表'!O223+'2025年上海分部利润表'!O223+'2025年赣皖区域利润表'!O223</f>
        <v>0</v>
      </c>
      <c r="P223" s="49">
        <f>'2025年中心利润表 '!P223+'2025年江苏分部利润表'!P223+'2025年浙江分部利润表'!P223+'2025年上海分部利润表'!P223+'2025年赣皖区域利润表'!P223</f>
        <v>0</v>
      </c>
      <c r="Q223" s="49">
        <f>'2025年中心利润表 '!Q223+'2025年江苏分部利润表'!Q223+'2025年浙江分部利润表'!Q223+'2025年上海分部利润表'!Q223+'2025年赣皖区域利润表'!Q223</f>
        <v>0</v>
      </c>
      <c r="R223" s="49">
        <f>'2025年中心利润表 '!R223+'2025年江苏分部利润表'!R223+'2025年浙江分部利润表'!R223+'2025年上海分部利润表'!R223+'2025年赣皖区域利润表'!R223</f>
        <v>0</v>
      </c>
      <c r="S223" s="49">
        <f>'2025年中心利润表 '!S223+'2025年江苏分部利润表'!S223+'2025年浙江分部利润表'!S223+'2025年上海分部利润表'!S223+'2025年赣皖区域利润表'!S223</f>
        <v>0</v>
      </c>
      <c r="T223" s="49">
        <f>'2025年中心利润表 '!T223+'2025年江苏分部利润表'!T223+'2025年浙江分部利润表'!T223+'2025年上海分部利润表'!T223+'2025年赣皖区域利润表'!T223</f>
        <v>0</v>
      </c>
      <c r="U223" s="49">
        <f>'2025年中心利润表 '!U223+'2025年江苏分部利润表'!U223+'2025年浙江分部利润表'!U223+'2025年上海分部利润表'!U223+'2025年赣皖区域利润表'!U223</f>
        <v>0</v>
      </c>
      <c r="V223" s="49">
        <f>'2025年中心利润表 '!V223+'2025年江苏分部利润表'!V223+'2025年浙江分部利润表'!V223+'2025年上海分部利润表'!V223+'2025年赣皖区域利润表'!V223</f>
        <v>0</v>
      </c>
      <c r="W223" s="49">
        <f>'2025年中心利润表 '!W223+'2025年江苏分部利润表'!W223+'2025年浙江分部利润表'!W223+'2025年上海分部利润表'!W223+'2025年赣皖区域利润表'!W223</f>
        <v>0</v>
      </c>
      <c r="X223" s="49">
        <f>'2025年中心利润表 '!X223+'2025年江苏分部利润表'!X223+'2025年浙江分部利润表'!X223+'2025年上海分部利润表'!X223+'2025年赣皖区域利润表'!X223</f>
        <v>0</v>
      </c>
      <c r="Y223" s="49">
        <f>'2025年中心利润表 '!Y223+'2025年江苏分部利润表'!Y223+'2025年浙江分部利润表'!Y223+'2025年上海分部利润表'!Y223+'2025年赣皖区域利润表'!Y223</f>
        <v>0</v>
      </c>
      <c r="Z223" s="49">
        <f>'2025年中心利润表 '!Z223+'2025年江苏分部利润表'!Z223+'2025年浙江分部利润表'!Z223+'2025年上海分部利润表'!Z223+'2025年赣皖区域利润表'!Z223</f>
        <v>0</v>
      </c>
      <c r="AA223" s="51">
        <f t="shared" si="49"/>
        <v>0</v>
      </c>
      <c r="AB223" s="51">
        <f t="shared" si="44"/>
        <v>0</v>
      </c>
      <c r="AC223" s="94"/>
      <c r="AD223" s="31">
        <f t="shared" si="50"/>
        <v>0</v>
      </c>
      <c r="AE223" s="31">
        <f t="shared" si="51"/>
        <v>0</v>
      </c>
      <c r="AF223" s="17">
        <f t="shared" si="52"/>
        <v>0</v>
      </c>
      <c r="AG223" s="17">
        <f t="shared" si="53"/>
        <v>0</v>
      </c>
      <c r="AH223" s="17">
        <f>SUM('[1]2024年全面预算利润表 (销售1中心)2.8亿'!E228:H228)</f>
        <v>0</v>
      </c>
    </row>
    <row r="224" spans="1:53" s="19" customFormat="1" ht="18" hidden="1" customHeight="1" outlineLevel="1" x14ac:dyDescent="0.25">
      <c r="A224" s="48" t="s">
        <v>154</v>
      </c>
      <c r="B224" s="53"/>
      <c r="C224" s="49">
        <f>'2025年中心利润表 '!C224+'2025年江苏分部利润表'!C224+'2025年浙江分部利润表'!C224+'2025年上海分部利润表'!C224+'2025年赣皖区域利润表'!C224</f>
        <v>0</v>
      </c>
      <c r="D224" s="49">
        <f>'2025年中心利润表 '!D224+'2025年江苏分部利润表'!D224+'2025年浙江分部利润表'!D224+'2025年上海分部利润表'!D224+'2025年赣皖区域利润表'!D224</f>
        <v>0</v>
      </c>
      <c r="E224" s="49">
        <f>'2025年中心利润表 '!E224+'2025年江苏分部利润表'!E224+'2025年浙江分部利润表'!E224+'2025年上海分部利润表'!E224+'2025年赣皖区域利润表'!E224</f>
        <v>0</v>
      </c>
      <c r="F224" s="49">
        <f>'2025年中心利润表 '!F224+'2025年江苏分部利润表'!F224+'2025年浙江分部利润表'!F224+'2025年上海分部利润表'!F224+'2025年赣皖区域利润表'!F224</f>
        <v>0</v>
      </c>
      <c r="G224" s="49">
        <f>'2025年中心利润表 '!G224+'2025年江苏分部利润表'!G224+'2025年浙江分部利润表'!G224+'2025年上海分部利润表'!G224+'2025年赣皖区域利润表'!G224</f>
        <v>0</v>
      </c>
      <c r="H224" s="49">
        <f>'2025年中心利润表 '!H224+'2025年江苏分部利润表'!H224+'2025年浙江分部利润表'!H224+'2025年上海分部利润表'!H224+'2025年赣皖区域利润表'!H224</f>
        <v>0</v>
      </c>
      <c r="I224" s="49">
        <f>'2025年中心利润表 '!I224+'2025年江苏分部利润表'!I224+'2025年浙江分部利润表'!I224+'2025年上海分部利润表'!I224+'2025年赣皖区域利润表'!I224</f>
        <v>0</v>
      </c>
      <c r="J224" s="49">
        <f>'2025年中心利润表 '!J224+'2025年江苏分部利润表'!J224+'2025年浙江分部利润表'!J224+'2025年上海分部利润表'!J224+'2025年赣皖区域利润表'!J224</f>
        <v>0</v>
      </c>
      <c r="K224" s="49">
        <f>'2025年中心利润表 '!K224+'2025年江苏分部利润表'!K224+'2025年浙江分部利润表'!K224+'2025年上海分部利润表'!K224+'2025年赣皖区域利润表'!K224</f>
        <v>0</v>
      </c>
      <c r="L224" s="49">
        <f>'2025年中心利润表 '!L224+'2025年江苏分部利润表'!L224+'2025年浙江分部利润表'!L224+'2025年上海分部利润表'!L224+'2025年赣皖区域利润表'!L224</f>
        <v>0</v>
      </c>
      <c r="M224" s="49">
        <f>'2025年中心利润表 '!M224+'2025年江苏分部利润表'!M224+'2025年浙江分部利润表'!M224+'2025年上海分部利润表'!M224+'2025年赣皖区域利润表'!M224</f>
        <v>0</v>
      </c>
      <c r="N224" s="49">
        <f>'2025年中心利润表 '!N224+'2025年江苏分部利润表'!N224+'2025年浙江分部利润表'!N224+'2025年上海分部利润表'!N224+'2025年赣皖区域利润表'!N224</f>
        <v>0</v>
      </c>
      <c r="O224" s="49">
        <f>'2025年中心利润表 '!O224+'2025年江苏分部利润表'!O224+'2025年浙江分部利润表'!O224+'2025年上海分部利润表'!O224+'2025年赣皖区域利润表'!O224</f>
        <v>0</v>
      </c>
      <c r="P224" s="49">
        <f>'2025年中心利润表 '!P224+'2025年江苏分部利润表'!P224+'2025年浙江分部利润表'!P224+'2025年上海分部利润表'!P224+'2025年赣皖区域利润表'!P224</f>
        <v>0</v>
      </c>
      <c r="Q224" s="49">
        <f>'2025年中心利润表 '!Q224+'2025年江苏分部利润表'!Q224+'2025年浙江分部利润表'!Q224+'2025年上海分部利润表'!Q224+'2025年赣皖区域利润表'!Q224</f>
        <v>0</v>
      </c>
      <c r="R224" s="49">
        <f>'2025年中心利润表 '!R224+'2025年江苏分部利润表'!R224+'2025年浙江分部利润表'!R224+'2025年上海分部利润表'!R224+'2025年赣皖区域利润表'!R224</f>
        <v>0</v>
      </c>
      <c r="S224" s="49">
        <f>'2025年中心利润表 '!S224+'2025年江苏分部利润表'!S224+'2025年浙江分部利润表'!S224+'2025年上海分部利润表'!S224+'2025年赣皖区域利润表'!S224</f>
        <v>0</v>
      </c>
      <c r="T224" s="49">
        <f>'2025年中心利润表 '!T224+'2025年江苏分部利润表'!T224+'2025年浙江分部利润表'!T224+'2025年上海分部利润表'!T224+'2025年赣皖区域利润表'!T224</f>
        <v>0</v>
      </c>
      <c r="U224" s="49">
        <f>'2025年中心利润表 '!U224+'2025年江苏分部利润表'!U224+'2025年浙江分部利润表'!U224+'2025年上海分部利润表'!U224+'2025年赣皖区域利润表'!U224</f>
        <v>0</v>
      </c>
      <c r="V224" s="49">
        <f>'2025年中心利润表 '!V224+'2025年江苏分部利润表'!V224+'2025年浙江分部利润表'!V224+'2025年上海分部利润表'!V224+'2025年赣皖区域利润表'!V224</f>
        <v>0</v>
      </c>
      <c r="W224" s="49">
        <f>'2025年中心利润表 '!W224+'2025年江苏分部利润表'!W224+'2025年浙江分部利润表'!W224+'2025年上海分部利润表'!W224+'2025年赣皖区域利润表'!W224</f>
        <v>0</v>
      </c>
      <c r="X224" s="49">
        <f>'2025年中心利润表 '!X224+'2025年江苏分部利润表'!X224+'2025年浙江分部利润表'!X224+'2025年上海分部利润表'!X224+'2025年赣皖区域利润表'!X224</f>
        <v>0</v>
      </c>
      <c r="Y224" s="49">
        <f>'2025年中心利润表 '!Y224+'2025年江苏分部利润表'!Y224+'2025年浙江分部利润表'!Y224+'2025年上海分部利润表'!Y224+'2025年赣皖区域利润表'!Y224</f>
        <v>0</v>
      </c>
      <c r="Z224" s="49">
        <f>'2025年中心利润表 '!Z224+'2025年江苏分部利润表'!Z224+'2025年浙江分部利润表'!Z224+'2025年上海分部利润表'!Z224+'2025年赣皖区域利润表'!Z224</f>
        <v>0</v>
      </c>
      <c r="AA224" s="51">
        <f t="shared" si="49"/>
        <v>0</v>
      </c>
      <c r="AB224" s="51">
        <f t="shared" si="44"/>
        <v>0</v>
      </c>
      <c r="AC224" s="94"/>
      <c r="AD224" s="31">
        <f t="shared" si="50"/>
        <v>0</v>
      </c>
      <c r="AE224" s="31">
        <f t="shared" si="51"/>
        <v>0</v>
      </c>
      <c r="AF224" s="17">
        <f t="shared" si="52"/>
        <v>0</v>
      </c>
      <c r="AG224" s="17">
        <f t="shared" si="53"/>
        <v>0</v>
      </c>
      <c r="AH224" s="17">
        <f>SUM('[1]2024年全面预算利润表 (销售1中心)2.8亿'!E229:H229)</f>
        <v>0</v>
      </c>
    </row>
    <row r="225" spans="1:34" s="19" customFormat="1" ht="18" hidden="1" customHeight="1" outlineLevel="1" x14ac:dyDescent="0.25">
      <c r="A225" s="48" t="s">
        <v>155</v>
      </c>
      <c r="B225" s="53"/>
      <c r="C225" s="49">
        <f>'2025年中心利润表 '!C225+'2025年江苏分部利润表'!C225+'2025年浙江分部利润表'!C225+'2025年上海分部利润表'!C225+'2025年赣皖区域利润表'!C225</f>
        <v>0</v>
      </c>
      <c r="D225" s="49">
        <f>'2025年中心利润表 '!D225+'2025年江苏分部利润表'!D225+'2025年浙江分部利润表'!D225+'2025年上海分部利润表'!D225+'2025年赣皖区域利润表'!D225</f>
        <v>0</v>
      </c>
      <c r="E225" s="49">
        <f>'2025年中心利润表 '!E225+'2025年江苏分部利润表'!E225+'2025年浙江分部利润表'!E225+'2025年上海分部利润表'!E225+'2025年赣皖区域利润表'!E225</f>
        <v>0</v>
      </c>
      <c r="F225" s="49">
        <f>'2025年中心利润表 '!F225+'2025年江苏分部利润表'!F225+'2025年浙江分部利润表'!F225+'2025年上海分部利润表'!F225+'2025年赣皖区域利润表'!F225</f>
        <v>0</v>
      </c>
      <c r="G225" s="49">
        <f>'2025年中心利润表 '!G225+'2025年江苏分部利润表'!G225+'2025年浙江分部利润表'!G225+'2025年上海分部利润表'!G225+'2025年赣皖区域利润表'!G225</f>
        <v>0</v>
      </c>
      <c r="H225" s="49">
        <f>'2025年中心利润表 '!H225+'2025年江苏分部利润表'!H225+'2025年浙江分部利润表'!H225+'2025年上海分部利润表'!H225+'2025年赣皖区域利润表'!H225</f>
        <v>0</v>
      </c>
      <c r="I225" s="49">
        <f>'2025年中心利润表 '!I225+'2025年江苏分部利润表'!I225+'2025年浙江分部利润表'!I225+'2025年上海分部利润表'!I225+'2025年赣皖区域利润表'!I225</f>
        <v>0</v>
      </c>
      <c r="J225" s="49">
        <f>'2025年中心利润表 '!J225+'2025年江苏分部利润表'!J225+'2025年浙江分部利润表'!J225+'2025年上海分部利润表'!J225+'2025年赣皖区域利润表'!J225</f>
        <v>0</v>
      </c>
      <c r="K225" s="49">
        <f>'2025年中心利润表 '!K225+'2025年江苏分部利润表'!K225+'2025年浙江分部利润表'!K225+'2025年上海分部利润表'!K225+'2025年赣皖区域利润表'!K225</f>
        <v>0</v>
      </c>
      <c r="L225" s="49">
        <f>'2025年中心利润表 '!L225+'2025年江苏分部利润表'!L225+'2025年浙江分部利润表'!L225+'2025年上海分部利润表'!L225+'2025年赣皖区域利润表'!L225</f>
        <v>0</v>
      </c>
      <c r="M225" s="49">
        <f>'2025年中心利润表 '!M225+'2025年江苏分部利润表'!M225+'2025年浙江分部利润表'!M225+'2025年上海分部利润表'!M225+'2025年赣皖区域利润表'!M225</f>
        <v>0</v>
      </c>
      <c r="N225" s="49">
        <f>'2025年中心利润表 '!N225+'2025年江苏分部利润表'!N225+'2025年浙江分部利润表'!N225+'2025年上海分部利润表'!N225+'2025年赣皖区域利润表'!N225</f>
        <v>0</v>
      </c>
      <c r="O225" s="49">
        <f>'2025年中心利润表 '!O225+'2025年江苏分部利润表'!O225+'2025年浙江分部利润表'!O225+'2025年上海分部利润表'!O225+'2025年赣皖区域利润表'!O225</f>
        <v>0</v>
      </c>
      <c r="P225" s="49">
        <f>'2025年中心利润表 '!P225+'2025年江苏分部利润表'!P225+'2025年浙江分部利润表'!P225+'2025年上海分部利润表'!P225+'2025年赣皖区域利润表'!P225</f>
        <v>0</v>
      </c>
      <c r="Q225" s="49">
        <f>'2025年中心利润表 '!Q225+'2025年江苏分部利润表'!Q225+'2025年浙江分部利润表'!Q225+'2025年上海分部利润表'!Q225+'2025年赣皖区域利润表'!Q225</f>
        <v>0</v>
      </c>
      <c r="R225" s="49">
        <f>'2025年中心利润表 '!R225+'2025年江苏分部利润表'!R225+'2025年浙江分部利润表'!R225+'2025年上海分部利润表'!R225+'2025年赣皖区域利润表'!R225</f>
        <v>0</v>
      </c>
      <c r="S225" s="49">
        <f>'2025年中心利润表 '!S225+'2025年江苏分部利润表'!S225+'2025年浙江分部利润表'!S225+'2025年上海分部利润表'!S225+'2025年赣皖区域利润表'!S225</f>
        <v>0</v>
      </c>
      <c r="T225" s="49">
        <f>'2025年中心利润表 '!T225+'2025年江苏分部利润表'!T225+'2025年浙江分部利润表'!T225+'2025年上海分部利润表'!T225+'2025年赣皖区域利润表'!T225</f>
        <v>0</v>
      </c>
      <c r="U225" s="49">
        <f>'2025年中心利润表 '!U225+'2025年江苏分部利润表'!U225+'2025年浙江分部利润表'!U225+'2025年上海分部利润表'!U225+'2025年赣皖区域利润表'!U225</f>
        <v>0</v>
      </c>
      <c r="V225" s="49">
        <f>'2025年中心利润表 '!V225+'2025年江苏分部利润表'!V225+'2025年浙江分部利润表'!V225+'2025年上海分部利润表'!V225+'2025年赣皖区域利润表'!V225</f>
        <v>0</v>
      </c>
      <c r="W225" s="49">
        <f>'2025年中心利润表 '!W225+'2025年江苏分部利润表'!W225+'2025年浙江分部利润表'!W225+'2025年上海分部利润表'!W225+'2025年赣皖区域利润表'!W225</f>
        <v>0</v>
      </c>
      <c r="X225" s="49">
        <f>'2025年中心利润表 '!X225+'2025年江苏分部利润表'!X225+'2025年浙江分部利润表'!X225+'2025年上海分部利润表'!X225+'2025年赣皖区域利润表'!X225</f>
        <v>0</v>
      </c>
      <c r="Y225" s="49">
        <f>'2025年中心利润表 '!Y225+'2025年江苏分部利润表'!Y225+'2025年浙江分部利润表'!Y225+'2025年上海分部利润表'!Y225+'2025年赣皖区域利润表'!Y225</f>
        <v>0</v>
      </c>
      <c r="Z225" s="49">
        <f>'2025年中心利润表 '!Z225+'2025年江苏分部利润表'!Z225+'2025年浙江分部利润表'!Z225+'2025年上海分部利润表'!Z225+'2025年赣皖区域利润表'!Z225</f>
        <v>0</v>
      </c>
      <c r="AA225" s="51">
        <f t="shared" si="49"/>
        <v>0</v>
      </c>
      <c r="AB225" s="51">
        <f t="shared" si="44"/>
        <v>0</v>
      </c>
      <c r="AC225" s="94"/>
      <c r="AD225" s="31">
        <f t="shared" si="50"/>
        <v>0</v>
      </c>
      <c r="AE225" s="31">
        <f t="shared" si="51"/>
        <v>0</v>
      </c>
      <c r="AF225" s="17">
        <f t="shared" si="52"/>
        <v>0</v>
      </c>
      <c r="AG225" s="17">
        <f t="shared" si="53"/>
        <v>0</v>
      </c>
      <c r="AH225" s="17">
        <f>SUM('[1]2024年全面预算利润表 (销售1中心)2.8亿'!E230:H230)</f>
        <v>0</v>
      </c>
    </row>
    <row r="226" spans="1:34" s="19" customFormat="1" ht="18" hidden="1" customHeight="1" outlineLevel="1" x14ac:dyDescent="0.25">
      <c r="A226" s="48" t="s">
        <v>156</v>
      </c>
      <c r="B226" s="53"/>
      <c r="C226" s="49">
        <f>'2025年中心利润表 '!C226+'2025年江苏分部利润表'!C226+'2025年浙江分部利润表'!C226+'2025年上海分部利润表'!C226+'2025年赣皖区域利润表'!C226</f>
        <v>0</v>
      </c>
      <c r="D226" s="49">
        <f>'2025年中心利润表 '!D226+'2025年江苏分部利润表'!D226+'2025年浙江分部利润表'!D226+'2025年上海分部利润表'!D226+'2025年赣皖区域利润表'!D226</f>
        <v>0</v>
      </c>
      <c r="E226" s="49">
        <f>'2025年中心利润表 '!E226+'2025年江苏分部利润表'!E226+'2025年浙江分部利润表'!E226+'2025年上海分部利润表'!E226+'2025年赣皖区域利润表'!E226</f>
        <v>0</v>
      </c>
      <c r="F226" s="49">
        <f>'2025年中心利润表 '!F226+'2025年江苏分部利润表'!F226+'2025年浙江分部利润表'!F226+'2025年上海分部利润表'!F226+'2025年赣皖区域利润表'!F226</f>
        <v>0</v>
      </c>
      <c r="G226" s="49">
        <f>'2025年中心利润表 '!G226+'2025年江苏分部利润表'!G226+'2025年浙江分部利润表'!G226+'2025年上海分部利润表'!G226+'2025年赣皖区域利润表'!G226</f>
        <v>0</v>
      </c>
      <c r="H226" s="49">
        <f>'2025年中心利润表 '!H226+'2025年江苏分部利润表'!H226+'2025年浙江分部利润表'!H226+'2025年上海分部利润表'!H226+'2025年赣皖区域利润表'!H226</f>
        <v>0</v>
      </c>
      <c r="I226" s="49">
        <f>'2025年中心利润表 '!I226+'2025年江苏分部利润表'!I226+'2025年浙江分部利润表'!I226+'2025年上海分部利润表'!I226+'2025年赣皖区域利润表'!I226</f>
        <v>0</v>
      </c>
      <c r="J226" s="49">
        <f>'2025年中心利润表 '!J226+'2025年江苏分部利润表'!J226+'2025年浙江分部利润表'!J226+'2025年上海分部利润表'!J226+'2025年赣皖区域利润表'!J226</f>
        <v>0</v>
      </c>
      <c r="K226" s="49">
        <f>'2025年中心利润表 '!K226+'2025年江苏分部利润表'!K226+'2025年浙江分部利润表'!K226+'2025年上海分部利润表'!K226+'2025年赣皖区域利润表'!K226</f>
        <v>0</v>
      </c>
      <c r="L226" s="49">
        <f>'2025年中心利润表 '!L226+'2025年江苏分部利润表'!L226+'2025年浙江分部利润表'!L226+'2025年上海分部利润表'!L226+'2025年赣皖区域利润表'!L226</f>
        <v>0</v>
      </c>
      <c r="M226" s="49">
        <f>'2025年中心利润表 '!M226+'2025年江苏分部利润表'!M226+'2025年浙江分部利润表'!M226+'2025年上海分部利润表'!M226+'2025年赣皖区域利润表'!M226</f>
        <v>0</v>
      </c>
      <c r="N226" s="49">
        <f>'2025年中心利润表 '!N226+'2025年江苏分部利润表'!N226+'2025年浙江分部利润表'!N226+'2025年上海分部利润表'!N226+'2025年赣皖区域利润表'!N226</f>
        <v>0</v>
      </c>
      <c r="O226" s="49">
        <f>'2025年中心利润表 '!O226+'2025年江苏分部利润表'!O226+'2025年浙江分部利润表'!O226+'2025年上海分部利润表'!O226+'2025年赣皖区域利润表'!O226</f>
        <v>0</v>
      </c>
      <c r="P226" s="49">
        <f>'2025年中心利润表 '!P226+'2025年江苏分部利润表'!P226+'2025年浙江分部利润表'!P226+'2025年上海分部利润表'!P226+'2025年赣皖区域利润表'!P226</f>
        <v>0</v>
      </c>
      <c r="Q226" s="49">
        <f>'2025年中心利润表 '!Q226+'2025年江苏分部利润表'!Q226+'2025年浙江分部利润表'!Q226+'2025年上海分部利润表'!Q226+'2025年赣皖区域利润表'!Q226</f>
        <v>0</v>
      </c>
      <c r="R226" s="49">
        <f>'2025年中心利润表 '!R226+'2025年江苏分部利润表'!R226+'2025年浙江分部利润表'!R226+'2025年上海分部利润表'!R226+'2025年赣皖区域利润表'!R226</f>
        <v>0</v>
      </c>
      <c r="S226" s="49">
        <f>'2025年中心利润表 '!S226+'2025年江苏分部利润表'!S226+'2025年浙江分部利润表'!S226+'2025年上海分部利润表'!S226+'2025年赣皖区域利润表'!S226</f>
        <v>0</v>
      </c>
      <c r="T226" s="49">
        <f>'2025年中心利润表 '!T226+'2025年江苏分部利润表'!T226+'2025年浙江分部利润表'!T226+'2025年上海分部利润表'!T226+'2025年赣皖区域利润表'!T226</f>
        <v>0</v>
      </c>
      <c r="U226" s="49">
        <f>'2025年中心利润表 '!U226+'2025年江苏分部利润表'!U226+'2025年浙江分部利润表'!U226+'2025年上海分部利润表'!U226+'2025年赣皖区域利润表'!U226</f>
        <v>0</v>
      </c>
      <c r="V226" s="49">
        <f>'2025年中心利润表 '!V226+'2025年江苏分部利润表'!V226+'2025年浙江分部利润表'!V226+'2025年上海分部利润表'!V226+'2025年赣皖区域利润表'!V226</f>
        <v>0</v>
      </c>
      <c r="W226" s="49">
        <f>'2025年中心利润表 '!W226+'2025年江苏分部利润表'!W226+'2025年浙江分部利润表'!W226+'2025年上海分部利润表'!W226+'2025年赣皖区域利润表'!W226</f>
        <v>0</v>
      </c>
      <c r="X226" s="49">
        <f>'2025年中心利润表 '!X226+'2025年江苏分部利润表'!X226+'2025年浙江分部利润表'!X226+'2025年上海分部利润表'!X226+'2025年赣皖区域利润表'!X226</f>
        <v>0</v>
      </c>
      <c r="Y226" s="49">
        <f>'2025年中心利润表 '!Y226+'2025年江苏分部利润表'!Y226+'2025年浙江分部利润表'!Y226+'2025年上海分部利润表'!Y226+'2025年赣皖区域利润表'!Y226</f>
        <v>0</v>
      </c>
      <c r="Z226" s="49">
        <f>'2025年中心利润表 '!Z226+'2025年江苏分部利润表'!Z226+'2025年浙江分部利润表'!Z226+'2025年上海分部利润表'!Z226+'2025年赣皖区域利润表'!Z226</f>
        <v>0</v>
      </c>
      <c r="AA226" s="51">
        <f t="shared" si="49"/>
        <v>0</v>
      </c>
      <c r="AB226" s="51">
        <f t="shared" si="44"/>
        <v>0</v>
      </c>
      <c r="AC226" s="94"/>
      <c r="AD226" s="31">
        <f t="shared" si="50"/>
        <v>0</v>
      </c>
      <c r="AE226" s="31">
        <f t="shared" si="51"/>
        <v>0</v>
      </c>
      <c r="AF226" s="17">
        <f t="shared" si="52"/>
        <v>0</v>
      </c>
      <c r="AG226" s="17">
        <f t="shared" si="53"/>
        <v>0</v>
      </c>
      <c r="AH226" s="17">
        <f>SUM('[1]2024年全面预算利润表 (销售1中心)2.8亿'!E231:H231)</f>
        <v>0</v>
      </c>
    </row>
    <row r="227" spans="1:34" s="19" customFormat="1" ht="18" hidden="1" customHeight="1" outlineLevel="1" x14ac:dyDescent="0.25">
      <c r="A227" s="48" t="s">
        <v>157</v>
      </c>
      <c r="B227" s="53"/>
      <c r="C227" s="49">
        <f>'2025年中心利润表 '!C227+'2025年江苏分部利润表'!C227+'2025年浙江分部利润表'!C227+'2025年上海分部利润表'!C227+'2025年赣皖区域利润表'!C227</f>
        <v>0</v>
      </c>
      <c r="D227" s="49">
        <f>'2025年中心利润表 '!D227+'2025年江苏分部利润表'!D227+'2025年浙江分部利润表'!D227+'2025年上海分部利润表'!D227+'2025年赣皖区域利润表'!D227</f>
        <v>0</v>
      </c>
      <c r="E227" s="49">
        <f>'2025年中心利润表 '!E227+'2025年江苏分部利润表'!E227+'2025年浙江分部利润表'!E227+'2025年上海分部利润表'!E227+'2025年赣皖区域利润表'!E227</f>
        <v>0</v>
      </c>
      <c r="F227" s="49">
        <f>'2025年中心利润表 '!F227+'2025年江苏分部利润表'!F227+'2025年浙江分部利润表'!F227+'2025年上海分部利润表'!F227+'2025年赣皖区域利润表'!F227</f>
        <v>0</v>
      </c>
      <c r="G227" s="49">
        <f>'2025年中心利润表 '!G227+'2025年江苏分部利润表'!G227+'2025年浙江分部利润表'!G227+'2025年上海分部利润表'!G227+'2025年赣皖区域利润表'!G227</f>
        <v>0</v>
      </c>
      <c r="H227" s="49">
        <f>'2025年中心利润表 '!H227+'2025年江苏分部利润表'!H227+'2025年浙江分部利润表'!H227+'2025年上海分部利润表'!H227+'2025年赣皖区域利润表'!H227</f>
        <v>0</v>
      </c>
      <c r="I227" s="49">
        <f>'2025年中心利润表 '!I227+'2025年江苏分部利润表'!I227+'2025年浙江分部利润表'!I227+'2025年上海分部利润表'!I227+'2025年赣皖区域利润表'!I227</f>
        <v>0</v>
      </c>
      <c r="J227" s="49">
        <f>'2025年中心利润表 '!J227+'2025年江苏分部利润表'!J227+'2025年浙江分部利润表'!J227+'2025年上海分部利润表'!J227+'2025年赣皖区域利润表'!J227</f>
        <v>0</v>
      </c>
      <c r="K227" s="49">
        <f>'2025年中心利润表 '!K227+'2025年江苏分部利润表'!K227+'2025年浙江分部利润表'!K227+'2025年上海分部利润表'!K227+'2025年赣皖区域利润表'!K227</f>
        <v>0</v>
      </c>
      <c r="L227" s="49">
        <f>'2025年中心利润表 '!L227+'2025年江苏分部利润表'!L227+'2025年浙江分部利润表'!L227+'2025年上海分部利润表'!L227+'2025年赣皖区域利润表'!L227</f>
        <v>0</v>
      </c>
      <c r="M227" s="49">
        <f>'2025年中心利润表 '!M227+'2025年江苏分部利润表'!M227+'2025年浙江分部利润表'!M227+'2025年上海分部利润表'!M227+'2025年赣皖区域利润表'!M227</f>
        <v>0</v>
      </c>
      <c r="N227" s="49">
        <f>'2025年中心利润表 '!N227+'2025年江苏分部利润表'!N227+'2025年浙江分部利润表'!N227+'2025年上海分部利润表'!N227+'2025年赣皖区域利润表'!N227</f>
        <v>0</v>
      </c>
      <c r="O227" s="49">
        <f>'2025年中心利润表 '!O227+'2025年江苏分部利润表'!O227+'2025年浙江分部利润表'!O227+'2025年上海分部利润表'!O227+'2025年赣皖区域利润表'!O227</f>
        <v>0</v>
      </c>
      <c r="P227" s="49">
        <f>'2025年中心利润表 '!P227+'2025年江苏分部利润表'!P227+'2025年浙江分部利润表'!P227+'2025年上海分部利润表'!P227+'2025年赣皖区域利润表'!P227</f>
        <v>0</v>
      </c>
      <c r="Q227" s="49">
        <f>'2025年中心利润表 '!Q227+'2025年江苏分部利润表'!Q227+'2025年浙江分部利润表'!Q227+'2025年上海分部利润表'!Q227+'2025年赣皖区域利润表'!Q227</f>
        <v>0</v>
      </c>
      <c r="R227" s="49">
        <f>'2025年中心利润表 '!R227+'2025年江苏分部利润表'!R227+'2025年浙江分部利润表'!R227+'2025年上海分部利润表'!R227+'2025年赣皖区域利润表'!R227</f>
        <v>0</v>
      </c>
      <c r="S227" s="49">
        <f>'2025年中心利润表 '!S227+'2025年江苏分部利润表'!S227+'2025年浙江分部利润表'!S227+'2025年上海分部利润表'!S227+'2025年赣皖区域利润表'!S227</f>
        <v>0</v>
      </c>
      <c r="T227" s="49">
        <f>'2025年中心利润表 '!T227+'2025年江苏分部利润表'!T227+'2025年浙江分部利润表'!T227+'2025年上海分部利润表'!T227+'2025年赣皖区域利润表'!T227</f>
        <v>0</v>
      </c>
      <c r="U227" s="49">
        <f>'2025年中心利润表 '!U227+'2025年江苏分部利润表'!U227+'2025年浙江分部利润表'!U227+'2025年上海分部利润表'!U227+'2025年赣皖区域利润表'!U227</f>
        <v>0</v>
      </c>
      <c r="V227" s="49">
        <f>'2025年中心利润表 '!V227+'2025年江苏分部利润表'!V227+'2025年浙江分部利润表'!V227+'2025年上海分部利润表'!V227+'2025年赣皖区域利润表'!V227</f>
        <v>0</v>
      </c>
      <c r="W227" s="49">
        <f>'2025年中心利润表 '!W227+'2025年江苏分部利润表'!W227+'2025年浙江分部利润表'!W227+'2025年上海分部利润表'!W227+'2025年赣皖区域利润表'!W227</f>
        <v>0</v>
      </c>
      <c r="X227" s="49">
        <f>'2025年中心利润表 '!X227+'2025年江苏分部利润表'!X227+'2025年浙江分部利润表'!X227+'2025年上海分部利润表'!X227+'2025年赣皖区域利润表'!X227</f>
        <v>0</v>
      </c>
      <c r="Y227" s="49">
        <f>'2025年中心利润表 '!Y227+'2025年江苏分部利润表'!Y227+'2025年浙江分部利润表'!Y227+'2025年上海分部利润表'!Y227+'2025年赣皖区域利润表'!Y227</f>
        <v>0</v>
      </c>
      <c r="Z227" s="49">
        <f>'2025年中心利润表 '!Z227+'2025年江苏分部利润表'!Z227+'2025年浙江分部利润表'!Z227+'2025年上海分部利润表'!Z227+'2025年赣皖区域利润表'!Z227</f>
        <v>0</v>
      </c>
      <c r="AA227" s="51">
        <f t="shared" si="49"/>
        <v>0</v>
      </c>
      <c r="AB227" s="51">
        <f t="shared" si="44"/>
        <v>0</v>
      </c>
      <c r="AC227" s="94"/>
      <c r="AD227" s="31">
        <f t="shared" si="50"/>
        <v>0</v>
      </c>
      <c r="AE227" s="31">
        <f t="shared" si="51"/>
        <v>0</v>
      </c>
      <c r="AF227" s="17">
        <f t="shared" si="52"/>
        <v>0</v>
      </c>
      <c r="AG227" s="17">
        <f t="shared" si="53"/>
        <v>0</v>
      </c>
      <c r="AH227" s="17">
        <f>SUM('[1]2024年全面预算利润表 (销售1中心)2.8亿'!E232:H232)</f>
        <v>0</v>
      </c>
    </row>
    <row r="228" spans="1:34" s="19" customFormat="1" ht="18" hidden="1" customHeight="1" outlineLevel="1" x14ac:dyDescent="0.25">
      <c r="A228" s="48" t="s">
        <v>158</v>
      </c>
      <c r="B228" s="53"/>
      <c r="C228" s="49">
        <f>'2025年中心利润表 '!C228+'2025年江苏分部利润表'!C228+'2025年浙江分部利润表'!C228+'2025年上海分部利润表'!C228+'2025年赣皖区域利润表'!C228</f>
        <v>0</v>
      </c>
      <c r="D228" s="49">
        <f>'2025年中心利润表 '!D228+'2025年江苏分部利润表'!D228+'2025年浙江分部利润表'!D228+'2025年上海分部利润表'!D228+'2025年赣皖区域利润表'!D228</f>
        <v>0</v>
      </c>
      <c r="E228" s="49">
        <f>'2025年中心利润表 '!E228+'2025年江苏分部利润表'!E228+'2025年浙江分部利润表'!E228+'2025年上海分部利润表'!E228+'2025年赣皖区域利润表'!E228</f>
        <v>0</v>
      </c>
      <c r="F228" s="49">
        <f>'2025年中心利润表 '!F228+'2025年江苏分部利润表'!F228+'2025年浙江分部利润表'!F228+'2025年上海分部利润表'!F228+'2025年赣皖区域利润表'!F228</f>
        <v>0</v>
      </c>
      <c r="G228" s="49">
        <f>'2025年中心利润表 '!G228+'2025年江苏分部利润表'!G228+'2025年浙江分部利润表'!G228+'2025年上海分部利润表'!G228+'2025年赣皖区域利润表'!G228</f>
        <v>0</v>
      </c>
      <c r="H228" s="49">
        <f>'2025年中心利润表 '!H228+'2025年江苏分部利润表'!H228+'2025年浙江分部利润表'!H228+'2025年上海分部利润表'!H228+'2025年赣皖区域利润表'!H228</f>
        <v>0</v>
      </c>
      <c r="I228" s="49">
        <f>'2025年中心利润表 '!I228+'2025年江苏分部利润表'!I228+'2025年浙江分部利润表'!I228+'2025年上海分部利润表'!I228+'2025年赣皖区域利润表'!I228</f>
        <v>0</v>
      </c>
      <c r="J228" s="49">
        <f>'2025年中心利润表 '!J228+'2025年江苏分部利润表'!J228+'2025年浙江分部利润表'!J228+'2025年上海分部利润表'!J228+'2025年赣皖区域利润表'!J228</f>
        <v>0</v>
      </c>
      <c r="K228" s="49">
        <f>'2025年中心利润表 '!K228+'2025年江苏分部利润表'!K228+'2025年浙江分部利润表'!K228+'2025年上海分部利润表'!K228+'2025年赣皖区域利润表'!K228</f>
        <v>0</v>
      </c>
      <c r="L228" s="49">
        <f>'2025年中心利润表 '!L228+'2025年江苏分部利润表'!L228+'2025年浙江分部利润表'!L228+'2025年上海分部利润表'!L228+'2025年赣皖区域利润表'!L228</f>
        <v>0</v>
      </c>
      <c r="M228" s="49">
        <f>'2025年中心利润表 '!M228+'2025年江苏分部利润表'!M228+'2025年浙江分部利润表'!M228+'2025年上海分部利润表'!M228+'2025年赣皖区域利润表'!M228</f>
        <v>0</v>
      </c>
      <c r="N228" s="49">
        <f>'2025年中心利润表 '!N228+'2025年江苏分部利润表'!N228+'2025年浙江分部利润表'!N228+'2025年上海分部利润表'!N228+'2025年赣皖区域利润表'!N228</f>
        <v>0</v>
      </c>
      <c r="O228" s="49">
        <f>'2025年中心利润表 '!O228+'2025年江苏分部利润表'!O228+'2025年浙江分部利润表'!O228+'2025年上海分部利润表'!O228+'2025年赣皖区域利润表'!O228</f>
        <v>0</v>
      </c>
      <c r="P228" s="49">
        <f>'2025年中心利润表 '!P228+'2025年江苏分部利润表'!P228+'2025年浙江分部利润表'!P228+'2025年上海分部利润表'!P228+'2025年赣皖区域利润表'!P228</f>
        <v>0</v>
      </c>
      <c r="Q228" s="49">
        <f>'2025年中心利润表 '!Q228+'2025年江苏分部利润表'!Q228+'2025年浙江分部利润表'!Q228+'2025年上海分部利润表'!Q228+'2025年赣皖区域利润表'!Q228</f>
        <v>0</v>
      </c>
      <c r="R228" s="49">
        <f>'2025年中心利润表 '!R228+'2025年江苏分部利润表'!R228+'2025年浙江分部利润表'!R228+'2025年上海分部利润表'!R228+'2025年赣皖区域利润表'!R228</f>
        <v>0</v>
      </c>
      <c r="S228" s="49">
        <f>'2025年中心利润表 '!S228+'2025年江苏分部利润表'!S228+'2025年浙江分部利润表'!S228+'2025年上海分部利润表'!S228+'2025年赣皖区域利润表'!S228</f>
        <v>0</v>
      </c>
      <c r="T228" s="49">
        <f>'2025年中心利润表 '!T228+'2025年江苏分部利润表'!T228+'2025年浙江分部利润表'!T228+'2025年上海分部利润表'!T228+'2025年赣皖区域利润表'!T228</f>
        <v>0</v>
      </c>
      <c r="U228" s="49">
        <f>'2025年中心利润表 '!U228+'2025年江苏分部利润表'!U228+'2025年浙江分部利润表'!U228+'2025年上海分部利润表'!U228+'2025年赣皖区域利润表'!U228</f>
        <v>0</v>
      </c>
      <c r="V228" s="49">
        <f>'2025年中心利润表 '!V228+'2025年江苏分部利润表'!V228+'2025年浙江分部利润表'!V228+'2025年上海分部利润表'!V228+'2025年赣皖区域利润表'!V228</f>
        <v>0</v>
      </c>
      <c r="W228" s="49">
        <f>'2025年中心利润表 '!W228+'2025年江苏分部利润表'!W228+'2025年浙江分部利润表'!W228+'2025年上海分部利润表'!W228+'2025年赣皖区域利润表'!W228</f>
        <v>0</v>
      </c>
      <c r="X228" s="49">
        <f>'2025年中心利润表 '!X228+'2025年江苏分部利润表'!X228+'2025年浙江分部利润表'!X228+'2025年上海分部利润表'!X228+'2025年赣皖区域利润表'!X228</f>
        <v>0</v>
      </c>
      <c r="Y228" s="49">
        <f>'2025年中心利润表 '!Y228+'2025年江苏分部利润表'!Y228+'2025年浙江分部利润表'!Y228+'2025年上海分部利润表'!Y228+'2025年赣皖区域利润表'!Y228</f>
        <v>0</v>
      </c>
      <c r="Z228" s="49">
        <f>'2025年中心利润表 '!Z228+'2025年江苏分部利润表'!Z228+'2025年浙江分部利润表'!Z228+'2025年上海分部利润表'!Z228+'2025年赣皖区域利润表'!Z228</f>
        <v>0</v>
      </c>
      <c r="AA228" s="51">
        <f t="shared" si="49"/>
        <v>0</v>
      </c>
      <c r="AB228" s="51">
        <f t="shared" si="44"/>
        <v>0</v>
      </c>
      <c r="AC228" s="94"/>
      <c r="AD228" s="31">
        <f t="shared" si="50"/>
        <v>0</v>
      </c>
      <c r="AE228" s="31">
        <f t="shared" si="51"/>
        <v>0</v>
      </c>
      <c r="AF228" s="17">
        <f t="shared" si="52"/>
        <v>0</v>
      </c>
      <c r="AG228" s="17">
        <f t="shared" si="53"/>
        <v>0</v>
      </c>
      <c r="AH228" s="17">
        <f>SUM('[1]2024年全面预算利润表 (销售1中心)2.8亿'!E233:H233)</f>
        <v>0</v>
      </c>
    </row>
    <row r="229" spans="1:34" s="19" customFormat="1" ht="18" hidden="1" customHeight="1" outlineLevel="1" x14ac:dyDescent="0.25">
      <c r="A229" s="48" t="s">
        <v>100</v>
      </c>
      <c r="B229" s="53"/>
      <c r="C229" s="49">
        <f>'2025年中心利润表 '!C229+'2025年江苏分部利润表'!C229+'2025年浙江分部利润表'!C229+'2025年上海分部利润表'!C229+'2025年赣皖区域利润表'!C229</f>
        <v>0</v>
      </c>
      <c r="D229" s="49">
        <f>'2025年中心利润表 '!D229+'2025年江苏分部利润表'!D229+'2025年浙江分部利润表'!D229+'2025年上海分部利润表'!D229+'2025年赣皖区域利润表'!D229</f>
        <v>0</v>
      </c>
      <c r="E229" s="49">
        <f>'2025年中心利润表 '!E229+'2025年江苏分部利润表'!E229+'2025年浙江分部利润表'!E229+'2025年上海分部利润表'!E229+'2025年赣皖区域利润表'!E229</f>
        <v>0</v>
      </c>
      <c r="F229" s="49">
        <f>'2025年中心利润表 '!F229+'2025年江苏分部利润表'!F229+'2025年浙江分部利润表'!F229+'2025年上海分部利润表'!F229+'2025年赣皖区域利润表'!F229</f>
        <v>0</v>
      </c>
      <c r="G229" s="49">
        <f>'2025年中心利润表 '!G229+'2025年江苏分部利润表'!G229+'2025年浙江分部利润表'!G229+'2025年上海分部利润表'!G229+'2025年赣皖区域利润表'!G229</f>
        <v>0</v>
      </c>
      <c r="H229" s="49">
        <f>'2025年中心利润表 '!H229+'2025年江苏分部利润表'!H229+'2025年浙江分部利润表'!H229+'2025年上海分部利润表'!H229+'2025年赣皖区域利润表'!H229</f>
        <v>0</v>
      </c>
      <c r="I229" s="49">
        <f>'2025年中心利润表 '!I229+'2025年江苏分部利润表'!I229+'2025年浙江分部利润表'!I229+'2025年上海分部利润表'!I229+'2025年赣皖区域利润表'!I229</f>
        <v>0</v>
      </c>
      <c r="J229" s="49">
        <f>'2025年中心利润表 '!J229+'2025年江苏分部利润表'!J229+'2025年浙江分部利润表'!J229+'2025年上海分部利润表'!J229+'2025年赣皖区域利润表'!J229</f>
        <v>0</v>
      </c>
      <c r="K229" s="49">
        <f>'2025年中心利润表 '!K229+'2025年江苏分部利润表'!K229+'2025年浙江分部利润表'!K229+'2025年上海分部利润表'!K229+'2025年赣皖区域利润表'!K229</f>
        <v>0</v>
      </c>
      <c r="L229" s="49">
        <f>'2025年中心利润表 '!L229+'2025年江苏分部利润表'!L229+'2025年浙江分部利润表'!L229+'2025年上海分部利润表'!L229+'2025年赣皖区域利润表'!L229</f>
        <v>0</v>
      </c>
      <c r="M229" s="49">
        <f>'2025年中心利润表 '!M229+'2025年江苏分部利润表'!M229+'2025年浙江分部利润表'!M229+'2025年上海分部利润表'!M229+'2025年赣皖区域利润表'!M229</f>
        <v>0</v>
      </c>
      <c r="N229" s="49">
        <f>'2025年中心利润表 '!N229+'2025年江苏分部利润表'!N229+'2025年浙江分部利润表'!N229+'2025年上海分部利润表'!N229+'2025年赣皖区域利润表'!N229</f>
        <v>0</v>
      </c>
      <c r="O229" s="49">
        <f>'2025年中心利润表 '!O229+'2025年江苏分部利润表'!O229+'2025年浙江分部利润表'!O229+'2025年上海分部利润表'!O229+'2025年赣皖区域利润表'!O229</f>
        <v>0</v>
      </c>
      <c r="P229" s="49">
        <f>'2025年中心利润表 '!P229+'2025年江苏分部利润表'!P229+'2025年浙江分部利润表'!P229+'2025年上海分部利润表'!P229+'2025年赣皖区域利润表'!P229</f>
        <v>0</v>
      </c>
      <c r="Q229" s="49">
        <f>'2025年中心利润表 '!Q229+'2025年江苏分部利润表'!Q229+'2025年浙江分部利润表'!Q229+'2025年上海分部利润表'!Q229+'2025年赣皖区域利润表'!Q229</f>
        <v>0</v>
      </c>
      <c r="R229" s="49">
        <f>'2025年中心利润表 '!R229+'2025年江苏分部利润表'!R229+'2025年浙江分部利润表'!R229+'2025年上海分部利润表'!R229+'2025年赣皖区域利润表'!R229</f>
        <v>0</v>
      </c>
      <c r="S229" s="49">
        <f>'2025年中心利润表 '!S229+'2025年江苏分部利润表'!S229+'2025年浙江分部利润表'!S229+'2025年上海分部利润表'!S229+'2025年赣皖区域利润表'!S229</f>
        <v>0</v>
      </c>
      <c r="T229" s="49">
        <f>'2025年中心利润表 '!T229+'2025年江苏分部利润表'!T229+'2025年浙江分部利润表'!T229+'2025年上海分部利润表'!T229+'2025年赣皖区域利润表'!T229</f>
        <v>0</v>
      </c>
      <c r="U229" s="49">
        <f>'2025年中心利润表 '!U229+'2025年江苏分部利润表'!U229+'2025年浙江分部利润表'!U229+'2025年上海分部利润表'!U229+'2025年赣皖区域利润表'!U229</f>
        <v>0</v>
      </c>
      <c r="V229" s="49">
        <f>'2025年中心利润表 '!V229+'2025年江苏分部利润表'!V229+'2025年浙江分部利润表'!V229+'2025年上海分部利润表'!V229+'2025年赣皖区域利润表'!V229</f>
        <v>0</v>
      </c>
      <c r="W229" s="49">
        <f>'2025年中心利润表 '!W229+'2025年江苏分部利润表'!W229+'2025年浙江分部利润表'!W229+'2025年上海分部利润表'!W229+'2025年赣皖区域利润表'!W229</f>
        <v>0</v>
      </c>
      <c r="X229" s="49">
        <f>'2025年中心利润表 '!X229+'2025年江苏分部利润表'!X229+'2025年浙江分部利润表'!X229+'2025年上海分部利润表'!X229+'2025年赣皖区域利润表'!X229</f>
        <v>0</v>
      </c>
      <c r="Y229" s="49">
        <f>'2025年中心利润表 '!Y229+'2025年江苏分部利润表'!Y229+'2025年浙江分部利润表'!Y229+'2025年上海分部利润表'!Y229+'2025年赣皖区域利润表'!Y229</f>
        <v>0</v>
      </c>
      <c r="Z229" s="49">
        <f>'2025年中心利润表 '!Z229+'2025年江苏分部利润表'!Z229+'2025年浙江分部利润表'!Z229+'2025年上海分部利润表'!Z229+'2025年赣皖区域利润表'!Z229</f>
        <v>0</v>
      </c>
      <c r="AA229" s="51">
        <f t="shared" si="49"/>
        <v>0</v>
      </c>
      <c r="AB229" s="51">
        <f t="shared" si="44"/>
        <v>0</v>
      </c>
      <c r="AC229" s="94"/>
      <c r="AD229" s="31">
        <f t="shared" si="50"/>
        <v>0</v>
      </c>
      <c r="AE229" s="31">
        <f t="shared" si="51"/>
        <v>0</v>
      </c>
      <c r="AF229" s="17">
        <f t="shared" si="52"/>
        <v>0</v>
      </c>
      <c r="AG229" s="17">
        <f t="shared" si="53"/>
        <v>0</v>
      </c>
      <c r="AH229" s="17">
        <f>SUM('[1]2024年全面预算利润表 (销售1中心)2.8亿'!E234:H234)</f>
        <v>0</v>
      </c>
    </row>
    <row r="230" spans="1:34" s="19" customFormat="1" ht="18" hidden="1" customHeight="1" outlineLevel="1" x14ac:dyDescent="0.25">
      <c r="A230" s="48" t="s">
        <v>159</v>
      </c>
      <c r="B230" s="53"/>
      <c r="C230" s="49">
        <f>'2025年中心利润表 '!C230+'2025年江苏分部利润表'!C230+'2025年浙江分部利润表'!C230+'2025年上海分部利润表'!C230+'2025年赣皖区域利润表'!C230</f>
        <v>0</v>
      </c>
      <c r="D230" s="49">
        <f>'2025年中心利润表 '!D230+'2025年江苏分部利润表'!D230+'2025年浙江分部利润表'!D230+'2025年上海分部利润表'!D230+'2025年赣皖区域利润表'!D230</f>
        <v>0</v>
      </c>
      <c r="E230" s="49">
        <f>'2025年中心利润表 '!E230+'2025年江苏分部利润表'!E230+'2025年浙江分部利润表'!E230+'2025年上海分部利润表'!E230+'2025年赣皖区域利润表'!E230</f>
        <v>0</v>
      </c>
      <c r="F230" s="49">
        <f>'2025年中心利润表 '!F230+'2025年江苏分部利润表'!F230+'2025年浙江分部利润表'!F230+'2025年上海分部利润表'!F230+'2025年赣皖区域利润表'!F230</f>
        <v>0</v>
      </c>
      <c r="G230" s="49">
        <f>'2025年中心利润表 '!G230+'2025年江苏分部利润表'!G230+'2025年浙江分部利润表'!G230+'2025年上海分部利润表'!G230+'2025年赣皖区域利润表'!G230</f>
        <v>0</v>
      </c>
      <c r="H230" s="49">
        <f>'2025年中心利润表 '!H230+'2025年江苏分部利润表'!H230+'2025年浙江分部利润表'!H230+'2025年上海分部利润表'!H230+'2025年赣皖区域利润表'!H230</f>
        <v>0</v>
      </c>
      <c r="I230" s="49">
        <f>'2025年中心利润表 '!I230+'2025年江苏分部利润表'!I230+'2025年浙江分部利润表'!I230+'2025年上海分部利润表'!I230+'2025年赣皖区域利润表'!I230</f>
        <v>0</v>
      </c>
      <c r="J230" s="49">
        <f>'2025年中心利润表 '!J230+'2025年江苏分部利润表'!J230+'2025年浙江分部利润表'!J230+'2025年上海分部利润表'!J230+'2025年赣皖区域利润表'!J230</f>
        <v>0</v>
      </c>
      <c r="K230" s="49">
        <f>'2025年中心利润表 '!K230+'2025年江苏分部利润表'!K230+'2025年浙江分部利润表'!K230+'2025年上海分部利润表'!K230+'2025年赣皖区域利润表'!K230</f>
        <v>0</v>
      </c>
      <c r="L230" s="49">
        <f>'2025年中心利润表 '!L230+'2025年江苏分部利润表'!L230+'2025年浙江分部利润表'!L230+'2025年上海分部利润表'!L230+'2025年赣皖区域利润表'!L230</f>
        <v>0</v>
      </c>
      <c r="M230" s="49">
        <f>'2025年中心利润表 '!M230+'2025年江苏分部利润表'!M230+'2025年浙江分部利润表'!M230+'2025年上海分部利润表'!M230+'2025年赣皖区域利润表'!M230</f>
        <v>0</v>
      </c>
      <c r="N230" s="49">
        <f>'2025年中心利润表 '!N230+'2025年江苏分部利润表'!N230+'2025年浙江分部利润表'!N230+'2025年上海分部利润表'!N230+'2025年赣皖区域利润表'!N230</f>
        <v>0</v>
      </c>
      <c r="O230" s="49">
        <f>'2025年中心利润表 '!O230+'2025年江苏分部利润表'!O230+'2025年浙江分部利润表'!O230+'2025年上海分部利润表'!O230+'2025年赣皖区域利润表'!O230</f>
        <v>0</v>
      </c>
      <c r="P230" s="49">
        <f>'2025年中心利润表 '!P230+'2025年江苏分部利润表'!P230+'2025年浙江分部利润表'!P230+'2025年上海分部利润表'!P230+'2025年赣皖区域利润表'!P230</f>
        <v>0</v>
      </c>
      <c r="Q230" s="49">
        <f>'2025年中心利润表 '!Q230+'2025年江苏分部利润表'!Q230+'2025年浙江分部利润表'!Q230+'2025年上海分部利润表'!Q230+'2025年赣皖区域利润表'!Q230</f>
        <v>0</v>
      </c>
      <c r="R230" s="49">
        <f>'2025年中心利润表 '!R230+'2025年江苏分部利润表'!R230+'2025年浙江分部利润表'!R230+'2025年上海分部利润表'!R230+'2025年赣皖区域利润表'!R230</f>
        <v>0</v>
      </c>
      <c r="S230" s="49">
        <f>'2025年中心利润表 '!S230+'2025年江苏分部利润表'!S230+'2025年浙江分部利润表'!S230+'2025年上海分部利润表'!S230+'2025年赣皖区域利润表'!S230</f>
        <v>0</v>
      </c>
      <c r="T230" s="49">
        <f>'2025年中心利润表 '!T230+'2025年江苏分部利润表'!T230+'2025年浙江分部利润表'!T230+'2025年上海分部利润表'!T230+'2025年赣皖区域利润表'!T230</f>
        <v>0</v>
      </c>
      <c r="U230" s="49">
        <f>'2025年中心利润表 '!U230+'2025年江苏分部利润表'!U230+'2025年浙江分部利润表'!U230+'2025年上海分部利润表'!U230+'2025年赣皖区域利润表'!U230</f>
        <v>0</v>
      </c>
      <c r="V230" s="49">
        <f>'2025年中心利润表 '!V230+'2025年江苏分部利润表'!V230+'2025年浙江分部利润表'!V230+'2025年上海分部利润表'!V230+'2025年赣皖区域利润表'!V230</f>
        <v>0</v>
      </c>
      <c r="W230" s="49">
        <f>'2025年中心利润表 '!W230+'2025年江苏分部利润表'!W230+'2025年浙江分部利润表'!W230+'2025年上海分部利润表'!W230+'2025年赣皖区域利润表'!W230</f>
        <v>0</v>
      </c>
      <c r="X230" s="49">
        <f>'2025年中心利润表 '!X230+'2025年江苏分部利润表'!X230+'2025年浙江分部利润表'!X230+'2025年上海分部利润表'!X230+'2025年赣皖区域利润表'!X230</f>
        <v>0</v>
      </c>
      <c r="Y230" s="49">
        <f>'2025年中心利润表 '!Y230+'2025年江苏分部利润表'!Y230+'2025年浙江分部利润表'!Y230+'2025年上海分部利润表'!Y230+'2025年赣皖区域利润表'!Y230</f>
        <v>0</v>
      </c>
      <c r="Z230" s="49">
        <f>'2025年中心利润表 '!Z230+'2025年江苏分部利润表'!Z230+'2025年浙江分部利润表'!Z230+'2025年上海分部利润表'!Z230+'2025年赣皖区域利润表'!Z230</f>
        <v>0</v>
      </c>
      <c r="AA230" s="51">
        <f t="shared" si="49"/>
        <v>0</v>
      </c>
      <c r="AB230" s="51">
        <f t="shared" si="44"/>
        <v>0</v>
      </c>
      <c r="AC230" s="94"/>
      <c r="AD230" s="31">
        <f t="shared" si="50"/>
        <v>0</v>
      </c>
      <c r="AE230" s="31">
        <f t="shared" si="51"/>
        <v>0</v>
      </c>
      <c r="AF230" s="17">
        <f t="shared" si="52"/>
        <v>0</v>
      </c>
      <c r="AG230" s="17">
        <f t="shared" si="53"/>
        <v>0</v>
      </c>
      <c r="AH230" s="17">
        <f>SUM('[1]2024年全面预算利润表 (销售1中心)2.8亿'!E235:H235)</f>
        <v>0</v>
      </c>
    </row>
    <row r="231" spans="1:34" s="19" customFormat="1" ht="18" hidden="1" customHeight="1" outlineLevel="1" x14ac:dyDescent="0.25">
      <c r="A231" s="48" t="s">
        <v>160</v>
      </c>
      <c r="B231" s="53"/>
      <c r="C231" s="49">
        <f>'2025年中心利润表 '!C231+'2025年江苏分部利润表'!C231+'2025年浙江分部利润表'!C231+'2025年上海分部利润表'!C231+'2025年赣皖区域利润表'!C231</f>
        <v>0</v>
      </c>
      <c r="D231" s="49">
        <f>'2025年中心利润表 '!D231+'2025年江苏分部利润表'!D231+'2025年浙江分部利润表'!D231+'2025年上海分部利润表'!D231+'2025年赣皖区域利润表'!D231</f>
        <v>0</v>
      </c>
      <c r="E231" s="49">
        <f>'2025年中心利润表 '!E231+'2025年江苏分部利润表'!E231+'2025年浙江分部利润表'!E231+'2025年上海分部利润表'!E231+'2025年赣皖区域利润表'!E231</f>
        <v>0</v>
      </c>
      <c r="F231" s="49">
        <f>'2025年中心利润表 '!F231+'2025年江苏分部利润表'!F231+'2025年浙江分部利润表'!F231+'2025年上海分部利润表'!F231+'2025年赣皖区域利润表'!F231</f>
        <v>0</v>
      </c>
      <c r="G231" s="49">
        <f>'2025年中心利润表 '!G231+'2025年江苏分部利润表'!G231+'2025年浙江分部利润表'!G231+'2025年上海分部利润表'!G231+'2025年赣皖区域利润表'!G231</f>
        <v>0</v>
      </c>
      <c r="H231" s="49">
        <f>'2025年中心利润表 '!H231+'2025年江苏分部利润表'!H231+'2025年浙江分部利润表'!H231+'2025年上海分部利润表'!H231+'2025年赣皖区域利润表'!H231</f>
        <v>0</v>
      </c>
      <c r="I231" s="49">
        <f>'2025年中心利润表 '!I231+'2025年江苏分部利润表'!I231+'2025年浙江分部利润表'!I231+'2025年上海分部利润表'!I231+'2025年赣皖区域利润表'!I231</f>
        <v>0</v>
      </c>
      <c r="J231" s="49">
        <f>'2025年中心利润表 '!J231+'2025年江苏分部利润表'!J231+'2025年浙江分部利润表'!J231+'2025年上海分部利润表'!J231+'2025年赣皖区域利润表'!J231</f>
        <v>0</v>
      </c>
      <c r="K231" s="49">
        <f>'2025年中心利润表 '!K231+'2025年江苏分部利润表'!K231+'2025年浙江分部利润表'!K231+'2025年上海分部利润表'!K231+'2025年赣皖区域利润表'!K231</f>
        <v>0</v>
      </c>
      <c r="L231" s="49">
        <f>'2025年中心利润表 '!L231+'2025年江苏分部利润表'!L231+'2025年浙江分部利润表'!L231+'2025年上海分部利润表'!L231+'2025年赣皖区域利润表'!L231</f>
        <v>0</v>
      </c>
      <c r="M231" s="49">
        <f>'2025年中心利润表 '!M231+'2025年江苏分部利润表'!M231+'2025年浙江分部利润表'!M231+'2025年上海分部利润表'!M231+'2025年赣皖区域利润表'!M231</f>
        <v>0</v>
      </c>
      <c r="N231" s="49">
        <f>'2025年中心利润表 '!N231+'2025年江苏分部利润表'!N231+'2025年浙江分部利润表'!N231+'2025年上海分部利润表'!N231+'2025年赣皖区域利润表'!N231</f>
        <v>0</v>
      </c>
      <c r="O231" s="49">
        <f>'2025年中心利润表 '!O231+'2025年江苏分部利润表'!O231+'2025年浙江分部利润表'!O231+'2025年上海分部利润表'!O231+'2025年赣皖区域利润表'!O231</f>
        <v>0</v>
      </c>
      <c r="P231" s="49">
        <f>'2025年中心利润表 '!P231+'2025年江苏分部利润表'!P231+'2025年浙江分部利润表'!P231+'2025年上海分部利润表'!P231+'2025年赣皖区域利润表'!P231</f>
        <v>0</v>
      </c>
      <c r="Q231" s="49">
        <f>'2025年中心利润表 '!Q231+'2025年江苏分部利润表'!Q231+'2025年浙江分部利润表'!Q231+'2025年上海分部利润表'!Q231+'2025年赣皖区域利润表'!Q231</f>
        <v>0</v>
      </c>
      <c r="R231" s="49">
        <f>'2025年中心利润表 '!R231+'2025年江苏分部利润表'!R231+'2025年浙江分部利润表'!R231+'2025年上海分部利润表'!R231+'2025年赣皖区域利润表'!R231</f>
        <v>0</v>
      </c>
      <c r="S231" s="49">
        <f>'2025年中心利润表 '!S231+'2025年江苏分部利润表'!S231+'2025年浙江分部利润表'!S231+'2025年上海分部利润表'!S231+'2025年赣皖区域利润表'!S231</f>
        <v>0</v>
      </c>
      <c r="T231" s="49">
        <f>'2025年中心利润表 '!T231+'2025年江苏分部利润表'!T231+'2025年浙江分部利润表'!T231+'2025年上海分部利润表'!T231+'2025年赣皖区域利润表'!T231</f>
        <v>0</v>
      </c>
      <c r="U231" s="49">
        <f>'2025年中心利润表 '!U231+'2025年江苏分部利润表'!U231+'2025年浙江分部利润表'!U231+'2025年上海分部利润表'!U231+'2025年赣皖区域利润表'!U231</f>
        <v>0</v>
      </c>
      <c r="V231" s="49">
        <f>'2025年中心利润表 '!V231+'2025年江苏分部利润表'!V231+'2025年浙江分部利润表'!V231+'2025年上海分部利润表'!V231+'2025年赣皖区域利润表'!V231</f>
        <v>0</v>
      </c>
      <c r="W231" s="49">
        <f>'2025年中心利润表 '!W231+'2025年江苏分部利润表'!W231+'2025年浙江分部利润表'!W231+'2025年上海分部利润表'!W231+'2025年赣皖区域利润表'!W231</f>
        <v>0</v>
      </c>
      <c r="X231" s="49">
        <f>'2025年中心利润表 '!X231+'2025年江苏分部利润表'!X231+'2025年浙江分部利润表'!X231+'2025年上海分部利润表'!X231+'2025年赣皖区域利润表'!X231</f>
        <v>0</v>
      </c>
      <c r="Y231" s="49">
        <f>'2025年中心利润表 '!Y231+'2025年江苏分部利润表'!Y231+'2025年浙江分部利润表'!Y231+'2025年上海分部利润表'!Y231+'2025年赣皖区域利润表'!Y231</f>
        <v>0</v>
      </c>
      <c r="Z231" s="49">
        <f>'2025年中心利润表 '!Z231+'2025年江苏分部利润表'!Z231+'2025年浙江分部利润表'!Z231+'2025年上海分部利润表'!Z231+'2025年赣皖区域利润表'!Z231</f>
        <v>0</v>
      </c>
      <c r="AA231" s="51">
        <f t="shared" si="49"/>
        <v>0</v>
      </c>
      <c r="AB231" s="51">
        <f t="shared" si="44"/>
        <v>0</v>
      </c>
      <c r="AC231" s="94"/>
      <c r="AD231" s="31">
        <f t="shared" si="50"/>
        <v>0</v>
      </c>
      <c r="AE231" s="31">
        <f t="shared" si="51"/>
        <v>0</v>
      </c>
      <c r="AF231" s="17">
        <f t="shared" si="52"/>
        <v>0</v>
      </c>
      <c r="AG231" s="17">
        <f t="shared" si="53"/>
        <v>0</v>
      </c>
      <c r="AH231" s="17">
        <f>SUM('[1]2024年全面预算利润表 (销售1中心)2.8亿'!E236:H236)</f>
        <v>0</v>
      </c>
    </row>
    <row r="232" spans="1:34" s="19" customFormat="1" ht="18" hidden="1" customHeight="1" outlineLevel="1" x14ac:dyDescent="0.25">
      <c r="A232" s="48" t="s">
        <v>161</v>
      </c>
      <c r="B232" s="53"/>
      <c r="C232" s="49">
        <f>'2025年中心利润表 '!C232+'2025年江苏分部利润表'!C232+'2025年浙江分部利润表'!C232+'2025年上海分部利润表'!C232+'2025年赣皖区域利润表'!C232</f>
        <v>0</v>
      </c>
      <c r="D232" s="49">
        <f>'2025年中心利润表 '!D232+'2025年江苏分部利润表'!D232+'2025年浙江分部利润表'!D232+'2025年上海分部利润表'!D232+'2025年赣皖区域利润表'!D232</f>
        <v>0</v>
      </c>
      <c r="E232" s="49">
        <f>'2025年中心利润表 '!E232+'2025年江苏分部利润表'!E232+'2025年浙江分部利润表'!E232+'2025年上海分部利润表'!E232+'2025年赣皖区域利润表'!E232</f>
        <v>0</v>
      </c>
      <c r="F232" s="49">
        <f>'2025年中心利润表 '!F232+'2025年江苏分部利润表'!F232+'2025年浙江分部利润表'!F232+'2025年上海分部利润表'!F232+'2025年赣皖区域利润表'!F232</f>
        <v>0</v>
      </c>
      <c r="G232" s="49">
        <f>'2025年中心利润表 '!G232+'2025年江苏分部利润表'!G232+'2025年浙江分部利润表'!G232+'2025年上海分部利润表'!G232+'2025年赣皖区域利润表'!G232</f>
        <v>0</v>
      </c>
      <c r="H232" s="49">
        <f>'2025年中心利润表 '!H232+'2025年江苏分部利润表'!H232+'2025年浙江分部利润表'!H232+'2025年上海分部利润表'!H232+'2025年赣皖区域利润表'!H232</f>
        <v>0</v>
      </c>
      <c r="I232" s="49">
        <f>'2025年中心利润表 '!I232+'2025年江苏分部利润表'!I232+'2025年浙江分部利润表'!I232+'2025年上海分部利润表'!I232+'2025年赣皖区域利润表'!I232</f>
        <v>0</v>
      </c>
      <c r="J232" s="49">
        <f>'2025年中心利润表 '!J232+'2025年江苏分部利润表'!J232+'2025年浙江分部利润表'!J232+'2025年上海分部利润表'!J232+'2025年赣皖区域利润表'!J232</f>
        <v>0</v>
      </c>
      <c r="K232" s="49">
        <f>'2025年中心利润表 '!K232+'2025年江苏分部利润表'!K232+'2025年浙江分部利润表'!K232+'2025年上海分部利润表'!K232+'2025年赣皖区域利润表'!K232</f>
        <v>0</v>
      </c>
      <c r="L232" s="49">
        <f>'2025年中心利润表 '!L232+'2025年江苏分部利润表'!L232+'2025年浙江分部利润表'!L232+'2025年上海分部利润表'!L232+'2025年赣皖区域利润表'!L232</f>
        <v>0</v>
      </c>
      <c r="M232" s="49">
        <f>'2025年中心利润表 '!M232+'2025年江苏分部利润表'!M232+'2025年浙江分部利润表'!M232+'2025年上海分部利润表'!M232+'2025年赣皖区域利润表'!M232</f>
        <v>0</v>
      </c>
      <c r="N232" s="49">
        <f>'2025年中心利润表 '!N232+'2025年江苏分部利润表'!N232+'2025年浙江分部利润表'!N232+'2025年上海分部利润表'!N232+'2025年赣皖区域利润表'!N232</f>
        <v>0</v>
      </c>
      <c r="O232" s="49">
        <f>'2025年中心利润表 '!O232+'2025年江苏分部利润表'!O232+'2025年浙江分部利润表'!O232+'2025年上海分部利润表'!O232+'2025年赣皖区域利润表'!O232</f>
        <v>0</v>
      </c>
      <c r="P232" s="49">
        <f>'2025年中心利润表 '!P232+'2025年江苏分部利润表'!P232+'2025年浙江分部利润表'!P232+'2025年上海分部利润表'!P232+'2025年赣皖区域利润表'!P232</f>
        <v>0</v>
      </c>
      <c r="Q232" s="49">
        <f>'2025年中心利润表 '!Q232+'2025年江苏分部利润表'!Q232+'2025年浙江分部利润表'!Q232+'2025年上海分部利润表'!Q232+'2025年赣皖区域利润表'!Q232</f>
        <v>0</v>
      </c>
      <c r="R232" s="49">
        <f>'2025年中心利润表 '!R232+'2025年江苏分部利润表'!R232+'2025年浙江分部利润表'!R232+'2025年上海分部利润表'!R232+'2025年赣皖区域利润表'!R232</f>
        <v>0</v>
      </c>
      <c r="S232" s="49">
        <f>'2025年中心利润表 '!S232+'2025年江苏分部利润表'!S232+'2025年浙江分部利润表'!S232+'2025年上海分部利润表'!S232+'2025年赣皖区域利润表'!S232</f>
        <v>0</v>
      </c>
      <c r="T232" s="49">
        <f>'2025年中心利润表 '!T232+'2025年江苏分部利润表'!T232+'2025年浙江分部利润表'!T232+'2025年上海分部利润表'!T232+'2025年赣皖区域利润表'!T232</f>
        <v>0</v>
      </c>
      <c r="U232" s="49">
        <f>'2025年中心利润表 '!U232+'2025年江苏分部利润表'!U232+'2025年浙江分部利润表'!U232+'2025年上海分部利润表'!U232+'2025年赣皖区域利润表'!U232</f>
        <v>0</v>
      </c>
      <c r="V232" s="49">
        <f>'2025年中心利润表 '!V232+'2025年江苏分部利润表'!V232+'2025年浙江分部利润表'!V232+'2025年上海分部利润表'!V232+'2025年赣皖区域利润表'!V232</f>
        <v>0</v>
      </c>
      <c r="W232" s="49">
        <f>'2025年中心利润表 '!W232+'2025年江苏分部利润表'!W232+'2025年浙江分部利润表'!W232+'2025年上海分部利润表'!W232+'2025年赣皖区域利润表'!W232</f>
        <v>0</v>
      </c>
      <c r="X232" s="49">
        <f>'2025年中心利润表 '!X232+'2025年江苏分部利润表'!X232+'2025年浙江分部利润表'!X232+'2025年上海分部利润表'!X232+'2025年赣皖区域利润表'!X232</f>
        <v>0</v>
      </c>
      <c r="Y232" s="49">
        <f>'2025年中心利润表 '!Y232+'2025年江苏分部利润表'!Y232+'2025年浙江分部利润表'!Y232+'2025年上海分部利润表'!Y232+'2025年赣皖区域利润表'!Y232</f>
        <v>0</v>
      </c>
      <c r="Z232" s="49">
        <f>'2025年中心利润表 '!Z232+'2025年江苏分部利润表'!Z232+'2025年浙江分部利润表'!Z232+'2025年上海分部利润表'!Z232+'2025年赣皖区域利润表'!Z232</f>
        <v>0</v>
      </c>
      <c r="AA232" s="51">
        <f t="shared" si="49"/>
        <v>0</v>
      </c>
      <c r="AB232" s="51">
        <f t="shared" si="44"/>
        <v>0</v>
      </c>
      <c r="AC232" s="94"/>
      <c r="AD232" s="31">
        <f t="shared" si="50"/>
        <v>0</v>
      </c>
      <c r="AE232" s="31">
        <f t="shared" si="51"/>
        <v>0</v>
      </c>
      <c r="AF232" s="17">
        <f t="shared" si="52"/>
        <v>0</v>
      </c>
      <c r="AG232" s="17">
        <f t="shared" si="53"/>
        <v>0</v>
      </c>
      <c r="AH232" s="17">
        <f>SUM('[1]2024年全面预算利润表 (销售1中心)2.8亿'!E237:H237)</f>
        <v>0</v>
      </c>
    </row>
    <row r="233" spans="1:34" s="19" customFormat="1" ht="18" hidden="1" customHeight="1" outlineLevel="1" x14ac:dyDescent="0.25">
      <c r="A233" s="48" t="s">
        <v>162</v>
      </c>
      <c r="B233" s="53"/>
      <c r="C233" s="49">
        <f>'2025年中心利润表 '!C233+'2025年江苏分部利润表'!C233+'2025年浙江分部利润表'!C233+'2025年上海分部利润表'!C233+'2025年赣皖区域利润表'!C233</f>
        <v>0</v>
      </c>
      <c r="D233" s="49">
        <f>'2025年中心利润表 '!D233+'2025年江苏分部利润表'!D233+'2025年浙江分部利润表'!D233+'2025年上海分部利润表'!D233+'2025年赣皖区域利润表'!D233</f>
        <v>0</v>
      </c>
      <c r="E233" s="49">
        <f>'2025年中心利润表 '!E233+'2025年江苏分部利润表'!E233+'2025年浙江分部利润表'!E233+'2025年上海分部利润表'!E233+'2025年赣皖区域利润表'!E233</f>
        <v>0</v>
      </c>
      <c r="F233" s="49">
        <f>'2025年中心利润表 '!F233+'2025年江苏分部利润表'!F233+'2025年浙江分部利润表'!F233+'2025年上海分部利润表'!F233+'2025年赣皖区域利润表'!F233</f>
        <v>0</v>
      </c>
      <c r="G233" s="49">
        <f>'2025年中心利润表 '!G233+'2025年江苏分部利润表'!G233+'2025年浙江分部利润表'!G233+'2025年上海分部利润表'!G233+'2025年赣皖区域利润表'!G233</f>
        <v>0</v>
      </c>
      <c r="H233" s="49">
        <f>'2025年中心利润表 '!H233+'2025年江苏分部利润表'!H233+'2025年浙江分部利润表'!H233+'2025年上海分部利润表'!H233+'2025年赣皖区域利润表'!H233</f>
        <v>0</v>
      </c>
      <c r="I233" s="49">
        <f>'2025年中心利润表 '!I233+'2025年江苏分部利润表'!I233+'2025年浙江分部利润表'!I233+'2025年上海分部利润表'!I233+'2025年赣皖区域利润表'!I233</f>
        <v>0</v>
      </c>
      <c r="J233" s="49">
        <f>'2025年中心利润表 '!J233+'2025年江苏分部利润表'!J233+'2025年浙江分部利润表'!J233+'2025年上海分部利润表'!J233+'2025年赣皖区域利润表'!J233</f>
        <v>0</v>
      </c>
      <c r="K233" s="49">
        <f>'2025年中心利润表 '!K233+'2025年江苏分部利润表'!K233+'2025年浙江分部利润表'!K233+'2025年上海分部利润表'!K233+'2025年赣皖区域利润表'!K233</f>
        <v>0</v>
      </c>
      <c r="L233" s="49">
        <f>'2025年中心利润表 '!L233+'2025年江苏分部利润表'!L233+'2025年浙江分部利润表'!L233+'2025年上海分部利润表'!L233+'2025年赣皖区域利润表'!L233</f>
        <v>0</v>
      </c>
      <c r="M233" s="49">
        <f>'2025年中心利润表 '!M233+'2025年江苏分部利润表'!M233+'2025年浙江分部利润表'!M233+'2025年上海分部利润表'!M233+'2025年赣皖区域利润表'!M233</f>
        <v>0</v>
      </c>
      <c r="N233" s="49">
        <f>'2025年中心利润表 '!N233+'2025年江苏分部利润表'!N233+'2025年浙江分部利润表'!N233+'2025年上海分部利润表'!N233+'2025年赣皖区域利润表'!N233</f>
        <v>0</v>
      </c>
      <c r="O233" s="49">
        <f>'2025年中心利润表 '!O233+'2025年江苏分部利润表'!O233+'2025年浙江分部利润表'!O233+'2025年上海分部利润表'!O233+'2025年赣皖区域利润表'!O233</f>
        <v>0</v>
      </c>
      <c r="P233" s="49">
        <f>'2025年中心利润表 '!P233+'2025年江苏分部利润表'!P233+'2025年浙江分部利润表'!P233+'2025年上海分部利润表'!P233+'2025年赣皖区域利润表'!P233</f>
        <v>0</v>
      </c>
      <c r="Q233" s="49">
        <f>'2025年中心利润表 '!Q233+'2025年江苏分部利润表'!Q233+'2025年浙江分部利润表'!Q233+'2025年上海分部利润表'!Q233+'2025年赣皖区域利润表'!Q233</f>
        <v>0</v>
      </c>
      <c r="R233" s="49">
        <f>'2025年中心利润表 '!R233+'2025年江苏分部利润表'!R233+'2025年浙江分部利润表'!R233+'2025年上海分部利润表'!R233+'2025年赣皖区域利润表'!R233</f>
        <v>0</v>
      </c>
      <c r="S233" s="49">
        <f>'2025年中心利润表 '!S233+'2025年江苏分部利润表'!S233+'2025年浙江分部利润表'!S233+'2025年上海分部利润表'!S233+'2025年赣皖区域利润表'!S233</f>
        <v>0</v>
      </c>
      <c r="T233" s="49">
        <f>'2025年中心利润表 '!T233+'2025年江苏分部利润表'!T233+'2025年浙江分部利润表'!T233+'2025年上海分部利润表'!T233+'2025年赣皖区域利润表'!T233</f>
        <v>0</v>
      </c>
      <c r="U233" s="49">
        <f>'2025年中心利润表 '!U233+'2025年江苏分部利润表'!U233+'2025年浙江分部利润表'!U233+'2025年上海分部利润表'!U233+'2025年赣皖区域利润表'!U233</f>
        <v>0</v>
      </c>
      <c r="V233" s="49">
        <f>'2025年中心利润表 '!V233+'2025年江苏分部利润表'!V233+'2025年浙江分部利润表'!V233+'2025年上海分部利润表'!V233+'2025年赣皖区域利润表'!V233</f>
        <v>0</v>
      </c>
      <c r="W233" s="49">
        <f>'2025年中心利润表 '!W233+'2025年江苏分部利润表'!W233+'2025年浙江分部利润表'!W233+'2025年上海分部利润表'!W233+'2025年赣皖区域利润表'!W233</f>
        <v>0</v>
      </c>
      <c r="X233" s="49">
        <f>'2025年中心利润表 '!X233+'2025年江苏分部利润表'!X233+'2025年浙江分部利润表'!X233+'2025年上海分部利润表'!X233+'2025年赣皖区域利润表'!X233</f>
        <v>0</v>
      </c>
      <c r="Y233" s="49">
        <f>'2025年中心利润表 '!Y233+'2025年江苏分部利润表'!Y233+'2025年浙江分部利润表'!Y233+'2025年上海分部利润表'!Y233+'2025年赣皖区域利润表'!Y233</f>
        <v>0</v>
      </c>
      <c r="Z233" s="49">
        <f>'2025年中心利润表 '!Z233+'2025年江苏分部利润表'!Z233+'2025年浙江分部利润表'!Z233+'2025年上海分部利润表'!Z233+'2025年赣皖区域利润表'!Z233</f>
        <v>0</v>
      </c>
      <c r="AA233" s="51">
        <f t="shared" si="49"/>
        <v>0</v>
      </c>
      <c r="AB233" s="51">
        <f t="shared" si="44"/>
        <v>0</v>
      </c>
      <c r="AC233" s="94"/>
      <c r="AD233" s="31">
        <f t="shared" si="50"/>
        <v>0</v>
      </c>
      <c r="AE233" s="31">
        <f t="shared" si="51"/>
        <v>0</v>
      </c>
      <c r="AF233" s="17">
        <f t="shared" si="52"/>
        <v>0</v>
      </c>
      <c r="AG233" s="17">
        <f t="shared" si="53"/>
        <v>0</v>
      </c>
      <c r="AH233" s="17">
        <f>SUM('[1]2024年全面预算利润表 (销售1中心)2.8亿'!E238:H238)</f>
        <v>0</v>
      </c>
    </row>
    <row r="234" spans="1:34" s="19" customFormat="1" ht="18" hidden="1" customHeight="1" outlineLevel="1" x14ac:dyDescent="0.25">
      <c r="A234" s="48" t="s">
        <v>163</v>
      </c>
      <c r="B234" s="53"/>
      <c r="C234" s="49">
        <f>'2025年中心利润表 '!C234+'2025年江苏分部利润表'!C234+'2025年浙江分部利润表'!C234+'2025年上海分部利润表'!C234+'2025年赣皖区域利润表'!C234</f>
        <v>0</v>
      </c>
      <c r="D234" s="49">
        <f>'2025年中心利润表 '!D234+'2025年江苏分部利润表'!D234+'2025年浙江分部利润表'!D234+'2025年上海分部利润表'!D234+'2025年赣皖区域利润表'!D234</f>
        <v>0</v>
      </c>
      <c r="E234" s="49">
        <f>'2025年中心利润表 '!E234+'2025年江苏分部利润表'!E234+'2025年浙江分部利润表'!E234+'2025年上海分部利润表'!E234+'2025年赣皖区域利润表'!E234</f>
        <v>0</v>
      </c>
      <c r="F234" s="49">
        <f>'2025年中心利润表 '!F234+'2025年江苏分部利润表'!F234+'2025年浙江分部利润表'!F234+'2025年上海分部利润表'!F234+'2025年赣皖区域利润表'!F234</f>
        <v>0</v>
      </c>
      <c r="G234" s="49">
        <f>'2025年中心利润表 '!G234+'2025年江苏分部利润表'!G234+'2025年浙江分部利润表'!G234+'2025年上海分部利润表'!G234+'2025年赣皖区域利润表'!G234</f>
        <v>0</v>
      </c>
      <c r="H234" s="49">
        <f>'2025年中心利润表 '!H234+'2025年江苏分部利润表'!H234+'2025年浙江分部利润表'!H234+'2025年上海分部利润表'!H234+'2025年赣皖区域利润表'!H234</f>
        <v>0</v>
      </c>
      <c r="I234" s="49">
        <f>'2025年中心利润表 '!I234+'2025年江苏分部利润表'!I234+'2025年浙江分部利润表'!I234+'2025年上海分部利润表'!I234+'2025年赣皖区域利润表'!I234</f>
        <v>0</v>
      </c>
      <c r="J234" s="49">
        <f>'2025年中心利润表 '!J234+'2025年江苏分部利润表'!J234+'2025年浙江分部利润表'!J234+'2025年上海分部利润表'!J234+'2025年赣皖区域利润表'!J234</f>
        <v>0</v>
      </c>
      <c r="K234" s="49">
        <f>'2025年中心利润表 '!K234+'2025年江苏分部利润表'!K234+'2025年浙江分部利润表'!K234+'2025年上海分部利润表'!K234+'2025年赣皖区域利润表'!K234</f>
        <v>0</v>
      </c>
      <c r="L234" s="49">
        <f>'2025年中心利润表 '!L234+'2025年江苏分部利润表'!L234+'2025年浙江分部利润表'!L234+'2025年上海分部利润表'!L234+'2025年赣皖区域利润表'!L234</f>
        <v>0</v>
      </c>
      <c r="M234" s="49">
        <f>'2025年中心利润表 '!M234+'2025年江苏分部利润表'!M234+'2025年浙江分部利润表'!M234+'2025年上海分部利润表'!M234+'2025年赣皖区域利润表'!M234</f>
        <v>0</v>
      </c>
      <c r="N234" s="49">
        <f>'2025年中心利润表 '!N234+'2025年江苏分部利润表'!N234+'2025年浙江分部利润表'!N234+'2025年上海分部利润表'!N234+'2025年赣皖区域利润表'!N234</f>
        <v>0</v>
      </c>
      <c r="O234" s="49">
        <f>'2025年中心利润表 '!O234+'2025年江苏分部利润表'!O234+'2025年浙江分部利润表'!O234+'2025年上海分部利润表'!O234+'2025年赣皖区域利润表'!O234</f>
        <v>0</v>
      </c>
      <c r="P234" s="49">
        <f>'2025年中心利润表 '!P234+'2025年江苏分部利润表'!P234+'2025年浙江分部利润表'!P234+'2025年上海分部利润表'!P234+'2025年赣皖区域利润表'!P234</f>
        <v>0</v>
      </c>
      <c r="Q234" s="49">
        <f>'2025年中心利润表 '!Q234+'2025年江苏分部利润表'!Q234+'2025年浙江分部利润表'!Q234+'2025年上海分部利润表'!Q234+'2025年赣皖区域利润表'!Q234</f>
        <v>0</v>
      </c>
      <c r="R234" s="49">
        <f>'2025年中心利润表 '!R234+'2025年江苏分部利润表'!R234+'2025年浙江分部利润表'!R234+'2025年上海分部利润表'!R234+'2025年赣皖区域利润表'!R234</f>
        <v>0</v>
      </c>
      <c r="S234" s="49">
        <f>'2025年中心利润表 '!S234+'2025年江苏分部利润表'!S234+'2025年浙江分部利润表'!S234+'2025年上海分部利润表'!S234+'2025年赣皖区域利润表'!S234</f>
        <v>0</v>
      </c>
      <c r="T234" s="49">
        <f>'2025年中心利润表 '!T234+'2025年江苏分部利润表'!T234+'2025年浙江分部利润表'!T234+'2025年上海分部利润表'!T234+'2025年赣皖区域利润表'!T234</f>
        <v>0</v>
      </c>
      <c r="U234" s="49">
        <f>'2025年中心利润表 '!U234+'2025年江苏分部利润表'!U234+'2025年浙江分部利润表'!U234+'2025年上海分部利润表'!U234+'2025年赣皖区域利润表'!U234</f>
        <v>0</v>
      </c>
      <c r="V234" s="49">
        <f>'2025年中心利润表 '!V234+'2025年江苏分部利润表'!V234+'2025年浙江分部利润表'!V234+'2025年上海分部利润表'!V234+'2025年赣皖区域利润表'!V234</f>
        <v>0</v>
      </c>
      <c r="W234" s="49">
        <f>'2025年中心利润表 '!W234+'2025年江苏分部利润表'!W234+'2025年浙江分部利润表'!W234+'2025年上海分部利润表'!W234+'2025年赣皖区域利润表'!W234</f>
        <v>0</v>
      </c>
      <c r="X234" s="49">
        <f>'2025年中心利润表 '!X234+'2025年江苏分部利润表'!X234+'2025年浙江分部利润表'!X234+'2025年上海分部利润表'!X234+'2025年赣皖区域利润表'!X234</f>
        <v>0</v>
      </c>
      <c r="Y234" s="49">
        <f>'2025年中心利润表 '!Y234+'2025年江苏分部利润表'!Y234+'2025年浙江分部利润表'!Y234+'2025年上海分部利润表'!Y234+'2025年赣皖区域利润表'!Y234</f>
        <v>0</v>
      </c>
      <c r="Z234" s="49">
        <f>'2025年中心利润表 '!Z234+'2025年江苏分部利润表'!Z234+'2025年浙江分部利润表'!Z234+'2025年上海分部利润表'!Z234+'2025年赣皖区域利润表'!Z234</f>
        <v>0</v>
      </c>
      <c r="AA234" s="51">
        <f t="shared" si="49"/>
        <v>0</v>
      </c>
      <c r="AB234" s="51">
        <f t="shared" si="44"/>
        <v>0</v>
      </c>
      <c r="AC234" s="94"/>
      <c r="AD234" s="31">
        <f t="shared" si="50"/>
        <v>0</v>
      </c>
      <c r="AE234" s="31">
        <f t="shared" si="51"/>
        <v>0</v>
      </c>
      <c r="AF234" s="17">
        <f t="shared" si="52"/>
        <v>0</v>
      </c>
      <c r="AG234" s="17">
        <f t="shared" si="53"/>
        <v>0</v>
      </c>
      <c r="AH234" s="17">
        <f>SUM('[1]2024年全面预算利润表 (销售1中心)2.8亿'!E239:H239)</f>
        <v>0</v>
      </c>
    </row>
    <row r="235" spans="1:34" s="19" customFormat="1" ht="18" hidden="1" customHeight="1" outlineLevel="1" x14ac:dyDescent="0.25">
      <c r="A235" s="48" t="s">
        <v>164</v>
      </c>
      <c r="B235" s="53"/>
      <c r="C235" s="49">
        <f>'2025年中心利润表 '!C235+'2025年江苏分部利润表'!C235+'2025年浙江分部利润表'!C235+'2025年上海分部利润表'!C235+'2025年赣皖区域利润表'!C235</f>
        <v>0</v>
      </c>
      <c r="D235" s="49">
        <f>'2025年中心利润表 '!D235+'2025年江苏分部利润表'!D235+'2025年浙江分部利润表'!D235+'2025年上海分部利润表'!D235+'2025年赣皖区域利润表'!D235</f>
        <v>0</v>
      </c>
      <c r="E235" s="49">
        <f>'2025年中心利润表 '!E235+'2025年江苏分部利润表'!E235+'2025年浙江分部利润表'!E235+'2025年上海分部利润表'!E235+'2025年赣皖区域利润表'!E235</f>
        <v>0</v>
      </c>
      <c r="F235" s="49">
        <f>'2025年中心利润表 '!F235+'2025年江苏分部利润表'!F235+'2025年浙江分部利润表'!F235+'2025年上海分部利润表'!F235+'2025年赣皖区域利润表'!F235</f>
        <v>0</v>
      </c>
      <c r="G235" s="49">
        <f>'2025年中心利润表 '!G235+'2025年江苏分部利润表'!G235+'2025年浙江分部利润表'!G235+'2025年上海分部利润表'!G235+'2025年赣皖区域利润表'!G235</f>
        <v>0</v>
      </c>
      <c r="H235" s="49">
        <f>'2025年中心利润表 '!H235+'2025年江苏分部利润表'!H235+'2025年浙江分部利润表'!H235+'2025年上海分部利润表'!H235+'2025年赣皖区域利润表'!H235</f>
        <v>0</v>
      </c>
      <c r="I235" s="49">
        <f>'2025年中心利润表 '!I235+'2025年江苏分部利润表'!I235+'2025年浙江分部利润表'!I235+'2025年上海分部利润表'!I235+'2025年赣皖区域利润表'!I235</f>
        <v>0</v>
      </c>
      <c r="J235" s="49">
        <f>'2025年中心利润表 '!J235+'2025年江苏分部利润表'!J235+'2025年浙江分部利润表'!J235+'2025年上海分部利润表'!J235+'2025年赣皖区域利润表'!J235</f>
        <v>0</v>
      </c>
      <c r="K235" s="49">
        <f>'2025年中心利润表 '!K235+'2025年江苏分部利润表'!K235+'2025年浙江分部利润表'!K235+'2025年上海分部利润表'!K235+'2025年赣皖区域利润表'!K235</f>
        <v>0</v>
      </c>
      <c r="L235" s="49">
        <f>'2025年中心利润表 '!L235+'2025年江苏分部利润表'!L235+'2025年浙江分部利润表'!L235+'2025年上海分部利润表'!L235+'2025年赣皖区域利润表'!L235</f>
        <v>0</v>
      </c>
      <c r="M235" s="49">
        <f>'2025年中心利润表 '!M235+'2025年江苏分部利润表'!M235+'2025年浙江分部利润表'!M235+'2025年上海分部利润表'!M235+'2025年赣皖区域利润表'!M235</f>
        <v>0</v>
      </c>
      <c r="N235" s="49">
        <f>'2025年中心利润表 '!N235+'2025年江苏分部利润表'!N235+'2025年浙江分部利润表'!N235+'2025年上海分部利润表'!N235+'2025年赣皖区域利润表'!N235</f>
        <v>0</v>
      </c>
      <c r="O235" s="49">
        <f>'2025年中心利润表 '!O235+'2025年江苏分部利润表'!O235+'2025年浙江分部利润表'!O235+'2025年上海分部利润表'!O235+'2025年赣皖区域利润表'!O235</f>
        <v>0</v>
      </c>
      <c r="P235" s="49">
        <f>'2025年中心利润表 '!P235+'2025年江苏分部利润表'!P235+'2025年浙江分部利润表'!P235+'2025年上海分部利润表'!P235+'2025年赣皖区域利润表'!P235</f>
        <v>0</v>
      </c>
      <c r="Q235" s="49">
        <f>'2025年中心利润表 '!Q235+'2025年江苏分部利润表'!Q235+'2025年浙江分部利润表'!Q235+'2025年上海分部利润表'!Q235+'2025年赣皖区域利润表'!Q235</f>
        <v>0</v>
      </c>
      <c r="R235" s="49">
        <f>'2025年中心利润表 '!R235+'2025年江苏分部利润表'!R235+'2025年浙江分部利润表'!R235+'2025年上海分部利润表'!R235+'2025年赣皖区域利润表'!R235</f>
        <v>0</v>
      </c>
      <c r="S235" s="49">
        <f>'2025年中心利润表 '!S235+'2025年江苏分部利润表'!S235+'2025年浙江分部利润表'!S235+'2025年上海分部利润表'!S235+'2025年赣皖区域利润表'!S235</f>
        <v>0</v>
      </c>
      <c r="T235" s="49">
        <f>'2025年中心利润表 '!T235+'2025年江苏分部利润表'!T235+'2025年浙江分部利润表'!T235+'2025年上海分部利润表'!T235+'2025年赣皖区域利润表'!T235</f>
        <v>0</v>
      </c>
      <c r="U235" s="49">
        <f>'2025年中心利润表 '!U235+'2025年江苏分部利润表'!U235+'2025年浙江分部利润表'!U235+'2025年上海分部利润表'!U235+'2025年赣皖区域利润表'!U235</f>
        <v>0</v>
      </c>
      <c r="V235" s="49">
        <f>'2025年中心利润表 '!V235+'2025年江苏分部利润表'!V235+'2025年浙江分部利润表'!V235+'2025年上海分部利润表'!V235+'2025年赣皖区域利润表'!V235</f>
        <v>0</v>
      </c>
      <c r="W235" s="49">
        <f>'2025年中心利润表 '!W235+'2025年江苏分部利润表'!W235+'2025年浙江分部利润表'!W235+'2025年上海分部利润表'!W235+'2025年赣皖区域利润表'!W235</f>
        <v>0</v>
      </c>
      <c r="X235" s="49">
        <f>'2025年中心利润表 '!X235+'2025年江苏分部利润表'!X235+'2025年浙江分部利润表'!X235+'2025年上海分部利润表'!X235+'2025年赣皖区域利润表'!X235</f>
        <v>0</v>
      </c>
      <c r="Y235" s="49">
        <f>'2025年中心利润表 '!Y235+'2025年江苏分部利润表'!Y235+'2025年浙江分部利润表'!Y235+'2025年上海分部利润表'!Y235+'2025年赣皖区域利润表'!Y235</f>
        <v>0</v>
      </c>
      <c r="Z235" s="49">
        <f>'2025年中心利润表 '!Z235+'2025年江苏分部利润表'!Z235+'2025年浙江分部利润表'!Z235+'2025年上海分部利润表'!Z235+'2025年赣皖区域利润表'!Z235</f>
        <v>0</v>
      </c>
      <c r="AA235" s="51">
        <f t="shared" si="49"/>
        <v>0</v>
      </c>
      <c r="AB235" s="51">
        <f t="shared" si="44"/>
        <v>0</v>
      </c>
      <c r="AC235" s="94"/>
      <c r="AD235" s="31">
        <f t="shared" si="50"/>
        <v>0</v>
      </c>
      <c r="AE235" s="31">
        <f t="shared" si="51"/>
        <v>0</v>
      </c>
      <c r="AF235" s="17">
        <f t="shared" si="52"/>
        <v>0</v>
      </c>
      <c r="AG235" s="17">
        <f t="shared" si="53"/>
        <v>0</v>
      </c>
      <c r="AH235" s="17">
        <f>SUM('[1]2024年全面预算利润表 (销售1中心)2.8亿'!E240:H240)</f>
        <v>0</v>
      </c>
    </row>
    <row r="236" spans="1:34" s="19" customFormat="1" ht="18" hidden="1" customHeight="1" outlineLevel="1" x14ac:dyDescent="0.25">
      <c r="A236" s="48" t="s">
        <v>165</v>
      </c>
      <c r="B236" s="53"/>
      <c r="C236" s="49">
        <f>'2025年中心利润表 '!C236+'2025年江苏分部利润表'!C236+'2025年浙江分部利润表'!C236+'2025年上海分部利润表'!C236+'2025年赣皖区域利润表'!C236</f>
        <v>0</v>
      </c>
      <c r="D236" s="49">
        <f>'2025年中心利润表 '!D236+'2025年江苏分部利润表'!D236+'2025年浙江分部利润表'!D236+'2025年上海分部利润表'!D236+'2025年赣皖区域利润表'!D236</f>
        <v>0</v>
      </c>
      <c r="E236" s="49">
        <f>'2025年中心利润表 '!E236+'2025年江苏分部利润表'!E236+'2025年浙江分部利润表'!E236+'2025年上海分部利润表'!E236+'2025年赣皖区域利润表'!E236</f>
        <v>0</v>
      </c>
      <c r="F236" s="49">
        <f>'2025年中心利润表 '!F236+'2025年江苏分部利润表'!F236+'2025年浙江分部利润表'!F236+'2025年上海分部利润表'!F236+'2025年赣皖区域利润表'!F236</f>
        <v>0</v>
      </c>
      <c r="G236" s="49">
        <f>'2025年中心利润表 '!G236+'2025年江苏分部利润表'!G236+'2025年浙江分部利润表'!G236+'2025年上海分部利润表'!G236+'2025年赣皖区域利润表'!G236</f>
        <v>0</v>
      </c>
      <c r="H236" s="49">
        <f>'2025年中心利润表 '!H236+'2025年江苏分部利润表'!H236+'2025年浙江分部利润表'!H236+'2025年上海分部利润表'!H236+'2025年赣皖区域利润表'!H236</f>
        <v>0</v>
      </c>
      <c r="I236" s="49">
        <f>'2025年中心利润表 '!I236+'2025年江苏分部利润表'!I236+'2025年浙江分部利润表'!I236+'2025年上海分部利润表'!I236+'2025年赣皖区域利润表'!I236</f>
        <v>0</v>
      </c>
      <c r="J236" s="49">
        <f>'2025年中心利润表 '!J236+'2025年江苏分部利润表'!J236+'2025年浙江分部利润表'!J236+'2025年上海分部利润表'!J236+'2025年赣皖区域利润表'!J236</f>
        <v>0</v>
      </c>
      <c r="K236" s="49">
        <f>'2025年中心利润表 '!K236+'2025年江苏分部利润表'!K236+'2025年浙江分部利润表'!K236+'2025年上海分部利润表'!K236+'2025年赣皖区域利润表'!K236</f>
        <v>0</v>
      </c>
      <c r="L236" s="49">
        <f>'2025年中心利润表 '!L236+'2025年江苏分部利润表'!L236+'2025年浙江分部利润表'!L236+'2025年上海分部利润表'!L236+'2025年赣皖区域利润表'!L236</f>
        <v>0</v>
      </c>
      <c r="M236" s="49">
        <f>'2025年中心利润表 '!M236+'2025年江苏分部利润表'!M236+'2025年浙江分部利润表'!M236+'2025年上海分部利润表'!M236+'2025年赣皖区域利润表'!M236</f>
        <v>0</v>
      </c>
      <c r="N236" s="49">
        <f>'2025年中心利润表 '!N236+'2025年江苏分部利润表'!N236+'2025年浙江分部利润表'!N236+'2025年上海分部利润表'!N236+'2025年赣皖区域利润表'!N236</f>
        <v>0</v>
      </c>
      <c r="O236" s="49">
        <f>'2025年中心利润表 '!O236+'2025年江苏分部利润表'!O236+'2025年浙江分部利润表'!O236+'2025年上海分部利润表'!O236+'2025年赣皖区域利润表'!O236</f>
        <v>0</v>
      </c>
      <c r="P236" s="49">
        <f>'2025年中心利润表 '!P236+'2025年江苏分部利润表'!P236+'2025年浙江分部利润表'!P236+'2025年上海分部利润表'!P236+'2025年赣皖区域利润表'!P236</f>
        <v>0</v>
      </c>
      <c r="Q236" s="49">
        <f>'2025年中心利润表 '!Q236+'2025年江苏分部利润表'!Q236+'2025年浙江分部利润表'!Q236+'2025年上海分部利润表'!Q236+'2025年赣皖区域利润表'!Q236</f>
        <v>0</v>
      </c>
      <c r="R236" s="49">
        <f>'2025年中心利润表 '!R236+'2025年江苏分部利润表'!R236+'2025年浙江分部利润表'!R236+'2025年上海分部利润表'!R236+'2025年赣皖区域利润表'!R236</f>
        <v>0</v>
      </c>
      <c r="S236" s="49">
        <f>'2025年中心利润表 '!S236+'2025年江苏分部利润表'!S236+'2025年浙江分部利润表'!S236+'2025年上海分部利润表'!S236+'2025年赣皖区域利润表'!S236</f>
        <v>0</v>
      </c>
      <c r="T236" s="49">
        <f>'2025年中心利润表 '!T236+'2025年江苏分部利润表'!T236+'2025年浙江分部利润表'!T236+'2025年上海分部利润表'!T236+'2025年赣皖区域利润表'!T236</f>
        <v>0</v>
      </c>
      <c r="U236" s="49">
        <f>'2025年中心利润表 '!U236+'2025年江苏分部利润表'!U236+'2025年浙江分部利润表'!U236+'2025年上海分部利润表'!U236+'2025年赣皖区域利润表'!U236</f>
        <v>0</v>
      </c>
      <c r="V236" s="49">
        <f>'2025年中心利润表 '!V236+'2025年江苏分部利润表'!V236+'2025年浙江分部利润表'!V236+'2025年上海分部利润表'!V236+'2025年赣皖区域利润表'!V236</f>
        <v>0</v>
      </c>
      <c r="W236" s="49">
        <f>'2025年中心利润表 '!W236+'2025年江苏分部利润表'!W236+'2025年浙江分部利润表'!W236+'2025年上海分部利润表'!W236+'2025年赣皖区域利润表'!W236</f>
        <v>0</v>
      </c>
      <c r="X236" s="49">
        <f>'2025年中心利润表 '!X236+'2025年江苏分部利润表'!X236+'2025年浙江分部利润表'!X236+'2025年上海分部利润表'!X236+'2025年赣皖区域利润表'!X236</f>
        <v>0</v>
      </c>
      <c r="Y236" s="49">
        <f>'2025年中心利润表 '!Y236+'2025年江苏分部利润表'!Y236+'2025年浙江分部利润表'!Y236+'2025年上海分部利润表'!Y236+'2025年赣皖区域利润表'!Y236</f>
        <v>0</v>
      </c>
      <c r="Z236" s="49">
        <f>'2025年中心利润表 '!Z236+'2025年江苏分部利润表'!Z236+'2025年浙江分部利润表'!Z236+'2025年上海分部利润表'!Z236+'2025年赣皖区域利润表'!Z236</f>
        <v>0</v>
      </c>
      <c r="AA236" s="51">
        <f t="shared" si="49"/>
        <v>0</v>
      </c>
      <c r="AB236" s="51">
        <f t="shared" si="44"/>
        <v>0</v>
      </c>
      <c r="AC236" s="94"/>
      <c r="AD236" s="31">
        <f t="shared" si="50"/>
        <v>0</v>
      </c>
      <c r="AE236" s="31">
        <f t="shared" si="51"/>
        <v>0</v>
      </c>
      <c r="AF236" s="17">
        <f t="shared" si="52"/>
        <v>0</v>
      </c>
      <c r="AG236" s="17">
        <f t="shared" si="53"/>
        <v>0</v>
      </c>
      <c r="AH236" s="17">
        <f>SUM('[1]2024年全面预算利润表 (销售1中心)2.8亿'!E241:H241)</f>
        <v>0</v>
      </c>
    </row>
    <row r="237" spans="1:34" s="19" customFormat="1" ht="18" hidden="1" customHeight="1" outlineLevel="1" x14ac:dyDescent="0.25">
      <c r="A237" s="48" t="s">
        <v>166</v>
      </c>
      <c r="B237" s="53"/>
      <c r="C237" s="49">
        <f>'2025年中心利润表 '!C237+'2025年江苏分部利润表'!C237+'2025年浙江分部利润表'!C237+'2025年上海分部利润表'!C237+'2025年赣皖区域利润表'!C237</f>
        <v>0</v>
      </c>
      <c r="D237" s="49">
        <f>'2025年中心利润表 '!D237+'2025年江苏分部利润表'!D237+'2025年浙江分部利润表'!D237+'2025年上海分部利润表'!D237+'2025年赣皖区域利润表'!D237</f>
        <v>0</v>
      </c>
      <c r="E237" s="49">
        <f>'2025年中心利润表 '!E237+'2025年江苏分部利润表'!E237+'2025年浙江分部利润表'!E237+'2025年上海分部利润表'!E237+'2025年赣皖区域利润表'!E237</f>
        <v>0</v>
      </c>
      <c r="F237" s="49">
        <f>'2025年中心利润表 '!F237+'2025年江苏分部利润表'!F237+'2025年浙江分部利润表'!F237+'2025年上海分部利润表'!F237+'2025年赣皖区域利润表'!F237</f>
        <v>0</v>
      </c>
      <c r="G237" s="49">
        <f>'2025年中心利润表 '!G237+'2025年江苏分部利润表'!G237+'2025年浙江分部利润表'!G237+'2025年上海分部利润表'!G237+'2025年赣皖区域利润表'!G237</f>
        <v>0</v>
      </c>
      <c r="H237" s="49">
        <f>'2025年中心利润表 '!H237+'2025年江苏分部利润表'!H237+'2025年浙江分部利润表'!H237+'2025年上海分部利润表'!H237+'2025年赣皖区域利润表'!H237</f>
        <v>0</v>
      </c>
      <c r="I237" s="49">
        <f>'2025年中心利润表 '!I237+'2025年江苏分部利润表'!I237+'2025年浙江分部利润表'!I237+'2025年上海分部利润表'!I237+'2025年赣皖区域利润表'!I237</f>
        <v>0</v>
      </c>
      <c r="J237" s="49">
        <f>'2025年中心利润表 '!J237+'2025年江苏分部利润表'!J237+'2025年浙江分部利润表'!J237+'2025年上海分部利润表'!J237+'2025年赣皖区域利润表'!J237</f>
        <v>0</v>
      </c>
      <c r="K237" s="49">
        <f>'2025年中心利润表 '!K237+'2025年江苏分部利润表'!K237+'2025年浙江分部利润表'!K237+'2025年上海分部利润表'!K237+'2025年赣皖区域利润表'!K237</f>
        <v>0</v>
      </c>
      <c r="L237" s="49">
        <f>'2025年中心利润表 '!L237+'2025年江苏分部利润表'!L237+'2025年浙江分部利润表'!L237+'2025年上海分部利润表'!L237+'2025年赣皖区域利润表'!L237</f>
        <v>0</v>
      </c>
      <c r="M237" s="49">
        <f>'2025年中心利润表 '!M237+'2025年江苏分部利润表'!M237+'2025年浙江分部利润表'!M237+'2025年上海分部利润表'!M237+'2025年赣皖区域利润表'!M237</f>
        <v>0</v>
      </c>
      <c r="N237" s="49">
        <f>'2025年中心利润表 '!N237+'2025年江苏分部利润表'!N237+'2025年浙江分部利润表'!N237+'2025年上海分部利润表'!N237+'2025年赣皖区域利润表'!N237</f>
        <v>0</v>
      </c>
      <c r="O237" s="49">
        <f>'2025年中心利润表 '!O237+'2025年江苏分部利润表'!O237+'2025年浙江分部利润表'!O237+'2025年上海分部利润表'!O237+'2025年赣皖区域利润表'!O237</f>
        <v>0</v>
      </c>
      <c r="P237" s="49">
        <f>'2025年中心利润表 '!P237+'2025年江苏分部利润表'!P237+'2025年浙江分部利润表'!P237+'2025年上海分部利润表'!P237+'2025年赣皖区域利润表'!P237</f>
        <v>0</v>
      </c>
      <c r="Q237" s="49">
        <f>'2025年中心利润表 '!Q237+'2025年江苏分部利润表'!Q237+'2025年浙江分部利润表'!Q237+'2025年上海分部利润表'!Q237+'2025年赣皖区域利润表'!Q237</f>
        <v>0</v>
      </c>
      <c r="R237" s="49">
        <f>'2025年中心利润表 '!R237+'2025年江苏分部利润表'!R237+'2025年浙江分部利润表'!R237+'2025年上海分部利润表'!R237+'2025年赣皖区域利润表'!R237</f>
        <v>0</v>
      </c>
      <c r="S237" s="49">
        <f>'2025年中心利润表 '!S237+'2025年江苏分部利润表'!S237+'2025年浙江分部利润表'!S237+'2025年上海分部利润表'!S237+'2025年赣皖区域利润表'!S237</f>
        <v>0</v>
      </c>
      <c r="T237" s="49">
        <f>'2025年中心利润表 '!T237+'2025年江苏分部利润表'!T237+'2025年浙江分部利润表'!T237+'2025年上海分部利润表'!T237+'2025年赣皖区域利润表'!T237</f>
        <v>0</v>
      </c>
      <c r="U237" s="49">
        <f>'2025年中心利润表 '!U237+'2025年江苏分部利润表'!U237+'2025年浙江分部利润表'!U237+'2025年上海分部利润表'!U237+'2025年赣皖区域利润表'!U237</f>
        <v>0</v>
      </c>
      <c r="V237" s="49">
        <f>'2025年中心利润表 '!V237+'2025年江苏分部利润表'!V237+'2025年浙江分部利润表'!V237+'2025年上海分部利润表'!V237+'2025年赣皖区域利润表'!V237</f>
        <v>0</v>
      </c>
      <c r="W237" s="49">
        <f>'2025年中心利润表 '!W237+'2025年江苏分部利润表'!W237+'2025年浙江分部利润表'!W237+'2025年上海分部利润表'!W237+'2025年赣皖区域利润表'!W237</f>
        <v>0</v>
      </c>
      <c r="X237" s="49">
        <f>'2025年中心利润表 '!X237+'2025年江苏分部利润表'!X237+'2025年浙江分部利润表'!X237+'2025年上海分部利润表'!X237+'2025年赣皖区域利润表'!X237</f>
        <v>0</v>
      </c>
      <c r="Y237" s="49">
        <f>'2025年中心利润表 '!Y237+'2025年江苏分部利润表'!Y237+'2025年浙江分部利润表'!Y237+'2025年上海分部利润表'!Y237+'2025年赣皖区域利润表'!Y237</f>
        <v>0</v>
      </c>
      <c r="Z237" s="49">
        <f>'2025年中心利润表 '!Z237+'2025年江苏分部利润表'!Z237+'2025年浙江分部利润表'!Z237+'2025年上海分部利润表'!Z237+'2025年赣皖区域利润表'!Z237</f>
        <v>0</v>
      </c>
      <c r="AA237" s="51">
        <f t="shared" si="49"/>
        <v>0</v>
      </c>
      <c r="AB237" s="51">
        <f t="shared" si="44"/>
        <v>0</v>
      </c>
      <c r="AC237" s="94"/>
      <c r="AD237" s="31">
        <f t="shared" si="50"/>
        <v>0</v>
      </c>
      <c r="AE237" s="31">
        <f t="shared" si="51"/>
        <v>0</v>
      </c>
      <c r="AF237" s="17">
        <f t="shared" si="52"/>
        <v>0</v>
      </c>
      <c r="AG237" s="17">
        <f t="shared" si="53"/>
        <v>0</v>
      </c>
      <c r="AH237" s="17">
        <f>SUM('[1]2024年全面预算利润表 (销售1中心)2.8亿'!E242:H242)</f>
        <v>0</v>
      </c>
    </row>
    <row r="238" spans="1:34" s="19" customFormat="1" ht="18" hidden="1" customHeight="1" outlineLevel="1" x14ac:dyDescent="0.25">
      <c r="A238" s="48" t="s">
        <v>167</v>
      </c>
      <c r="B238" s="53"/>
      <c r="C238" s="49">
        <f>'2025年中心利润表 '!C238+'2025年江苏分部利润表'!C238+'2025年浙江分部利润表'!C238+'2025年上海分部利润表'!C238+'2025年赣皖区域利润表'!C238</f>
        <v>0</v>
      </c>
      <c r="D238" s="49">
        <f>'2025年中心利润表 '!D238+'2025年江苏分部利润表'!D238+'2025年浙江分部利润表'!D238+'2025年上海分部利润表'!D238+'2025年赣皖区域利润表'!D238</f>
        <v>0</v>
      </c>
      <c r="E238" s="49">
        <f>'2025年中心利润表 '!E238+'2025年江苏分部利润表'!E238+'2025年浙江分部利润表'!E238+'2025年上海分部利润表'!E238+'2025年赣皖区域利润表'!E238</f>
        <v>0</v>
      </c>
      <c r="F238" s="49">
        <f>'2025年中心利润表 '!F238+'2025年江苏分部利润表'!F238+'2025年浙江分部利润表'!F238+'2025年上海分部利润表'!F238+'2025年赣皖区域利润表'!F238</f>
        <v>0</v>
      </c>
      <c r="G238" s="49">
        <f>'2025年中心利润表 '!G238+'2025年江苏分部利润表'!G238+'2025年浙江分部利润表'!G238+'2025年上海分部利润表'!G238+'2025年赣皖区域利润表'!G238</f>
        <v>0</v>
      </c>
      <c r="H238" s="49">
        <f>'2025年中心利润表 '!H238+'2025年江苏分部利润表'!H238+'2025年浙江分部利润表'!H238+'2025年上海分部利润表'!H238+'2025年赣皖区域利润表'!H238</f>
        <v>0</v>
      </c>
      <c r="I238" s="49">
        <f>'2025年中心利润表 '!I238+'2025年江苏分部利润表'!I238+'2025年浙江分部利润表'!I238+'2025年上海分部利润表'!I238+'2025年赣皖区域利润表'!I238</f>
        <v>0</v>
      </c>
      <c r="J238" s="49">
        <f>'2025年中心利润表 '!J238+'2025年江苏分部利润表'!J238+'2025年浙江分部利润表'!J238+'2025年上海分部利润表'!J238+'2025年赣皖区域利润表'!J238</f>
        <v>0</v>
      </c>
      <c r="K238" s="49">
        <f>'2025年中心利润表 '!K238+'2025年江苏分部利润表'!K238+'2025年浙江分部利润表'!K238+'2025年上海分部利润表'!K238+'2025年赣皖区域利润表'!K238</f>
        <v>0</v>
      </c>
      <c r="L238" s="49">
        <f>'2025年中心利润表 '!L238+'2025年江苏分部利润表'!L238+'2025年浙江分部利润表'!L238+'2025年上海分部利润表'!L238+'2025年赣皖区域利润表'!L238</f>
        <v>0</v>
      </c>
      <c r="M238" s="49">
        <f>'2025年中心利润表 '!M238+'2025年江苏分部利润表'!M238+'2025年浙江分部利润表'!M238+'2025年上海分部利润表'!M238+'2025年赣皖区域利润表'!M238</f>
        <v>0</v>
      </c>
      <c r="N238" s="49">
        <f>'2025年中心利润表 '!N238+'2025年江苏分部利润表'!N238+'2025年浙江分部利润表'!N238+'2025年上海分部利润表'!N238+'2025年赣皖区域利润表'!N238</f>
        <v>0</v>
      </c>
      <c r="O238" s="49">
        <f>'2025年中心利润表 '!O238+'2025年江苏分部利润表'!O238+'2025年浙江分部利润表'!O238+'2025年上海分部利润表'!O238+'2025年赣皖区域利润表'!O238</f>
        <v>0</v>
      </c>
      <c r="P238" s="49">
        <f>'2025年中心利润表 '!P238+'2025年江苏分部利润表'!P238+'2025年浙江分部利润表'!P238+'2025年上海分部利润表'!P238+'2025年赣皖区域利润表'!P238</f>
        <v>0</v>
      </c>
      <c r="Q238" s="49">
        <f>'2025年中心利润表 '!Q238+'2025年江苏分部利润表'!Q238+'2025年浙江分部利润表'!Q238+'2025年上海分部利润表'!Q238+'2025年赣皖区域利润表'!Q238</f>
        <v>0</v>
      </c>
      <c r="R238" s="49">
        <f>'2025年中心利润表 '!R238+'2025年江苏分部利润表'!R238+'2025年浙江分部利润表'!R238+'2025年上海分部利润表'!R238+'2025年赣皖区域利润表'!R238</f>
        <v>0</v>
      </c>
      <c r="S238" s="49">
        <f>'2025年中心利润表 '!S238+'2025年江苏分部利润表'!S238+'2025年浙江分部利润表'!S238+'2025年上海分部利润表'!S238+'2025年赣皖区域利润表'!S238</f>
        <v>0</v>
      </c>
      <c r="T238" s="49">
        <f>'2025年中心利润表 '!T238+'2025年江苏分部利润表'!T238+'2025年浙江分部利润表'!T238+'2025年上海分部利润表'!T238+'2025年赣皖区域利润表'!T238</f>
        <v>0</v>
      </c>
      <c r="U238" s="49">
        <f>'2025年中心利润表 '!U238+'2025年江苏分部利润表'!U238+'2025年浙江分部利润表'!U238+'2025年上海分部利润表'!U238+'2025年赣皖区域利润表'!U238</f>
        <v>0</v>
      </c>
      <c r="V238" s="49">
        <f>'2025年中心利润表 '!V238+'2025年江苏分部利润表'!V238+'2025年浙江分部利润表'!V238+'2025年上海分部利润表'!V238+'2025年赣皖区域利润表'!V238</f>
        <v>0</v>
      </c>
      <c r="W238" s="49">
        <f>'2025年中心利润表 '!W238+'2025年江苏分部利润表'!W238+'2025年浙江分部利润表'!W238+'2025年上海分部利润表'!W238+'2025年赣皖区域利润表'!W238</f>
        <v>0</v>
      </c>
      <c r="X238" s="49">
        <f>'2025年中心利润表 '!X238+'2025年江苏分部利润表'!X238+'2025年浙江分部利润表'!X238+'2025年上海分部利润表'!X238+'2025年赣皖区域利润表'!X238</f>
        <v>0</v>
      </c>
      <c r="Y238" s="49">
        <f>'2025年中心利润表 '!Y238+'2025年江苏分部利润表'!Y238+'2025年浙江分部利润表'!Y238+'2025年上海分部利润表'!Y238+'2025年赣皖区域利润表'!Y238</f>
        <v>0</v>
      </c>
      <c r="Z238" s="49">
        <f>'2025年中心利润表 '!Z238+'2025年江苏分部利润表'!Z238+'2025年浙江分部利润表'!Z238+'2025年上海分部利润表'!Z238+'2025年赣皖区域利润表'!Z238</f>
        <v>0</v>
      </c>
      <c r="AA238" s="51">
        <f t="shared" si="49"/>
        <v>0</v>
      </c>
      <c r="AB238" s="51">
        <f t="shared" si="44"/>
        <v>0</v>
      </c>
      <c r="AC238" s="94"/>
      <c r="AD238" s="31">
        <f t="shared" si="50"/>
        <v>0</v>
      </c>
      <c r="AE238" s="31">
        <f t="shared" si="51"/>
        <v>0</v>
      </c>
      <c r="AF238" s="17">
        <f t="shared" si="52"/>
        <v>0</v>
      </c>
      <c r="AG238" s="17">
        <f t="shared" si="53"/>
        <v>0</v>
      </c>
      <c r="AH238" s="17">
        <f>SUM('[1]2024年全面预算利润表 (销售1中心)2.8亿'!E243:H243)</f>
        <v>0</v>
      </c>
    </row>
    <row r="239" spans="1:34" s="19" customFormat="1" ht="18" hidden="1" customHeight="1" outlineLevel="1" x14ac:dyDescent="0.25">
      <c r="A239" s="48" t="s">
        <v>168</v>
      </c>
      <c r="B239" s="53"/>
      <c r="C239" s="49">
        <f>'2025年中心利润表 '!C239+'2025年江苏分部利润表'!C239+'2025年浙江分部利润表'!C239+'2025年上海分部利润表'!C239+'2025年赣皖区域利润表'!C239</f>
        <v>0</v>
      </c>
      <c r="D239" s="49">
        <f>'2025年中心利润表 '!D239+'2025年江苏分部利润表'!D239+'2025年浙江分部利润表'!D239+'2025年上海分部利润表'!D239+'2025年赣皖区域利润表'!D239</f>
        <v>0</v>
      </c>
      <c r="E239" s="49">
        <f>'2025年中心利润表 '!E239+'2025年江苏分部利润表'!E239+'2025年浙江分部利润表'!E239+'2025年上海分部利润表'!E239+'2025年赣皖区域利润表'!E239</f>
        <v>0</v>
      </c>
      <c r="F239" s="49">
        <f>'2025年中心利润表 '!F239+'2025年江苏分部利润表'!F239+'2025年浙江分部利润表'!F239+'2025年上海分部利润表'!F239+'2025年赣皖区域利润表'!F239</f>
        <v>0</v>
      </c>
      <c r="G239" s="49">
        <f>'2025年中心利润表 '!G239+'2025年江苏分部利润表'!G239+'2025年浙江分部利润表'!G239+'2025年上海分部利润表'!G239+'2025年赣皖区域利润表'!G239</f>
        <v>0</v>
      </c>
      <c r="H239" s="49">
        <f>'2025年中心利润表 '!H239+'2025年江苏分部利润表'!H239+'2025年浙江分部利润表'!H239+'2025年上海分部利润表'!H239+'2025年赣皖区域利润表'!H239</f>
        <v>0</v>
      </c>
      <c r="I239" s="49">
        <f>'2025年中心利润表 '!I239+'2025年江苏分部利润表'!I239+'2025年浙江分部利润表'!I239+'2025年上海分部利润表'!I239+'2025年赣皖区域利润表'!I239</f>
        <v>0</v>
      </c>
      <c r="J239" s="49">
        <f>'2025年中心利润表 '!J239+'2025年江苏分部利润表'!J239+'2025年浙江分部利润表'!J239+'2025年上海分部利润表'!J239+'2025年赣皖区域利润表'!J239</f>
        <v>0</v>
      </c>
      <c r="K239" s="49">
        <f>'2025年中心利润表 '!K239+'2025年江苏分部利润表'!K239+'2025年浙江分部利润表'!K239+'2025年上海分部利润表'!K239+'2025年赣皖区域利润表'!K239</f>
        <v>0</v>
      </c>
      <c r="L239" s="49">
        <f>'2025年中心利润表 '!L239+'2025年江苏分部利润表'!L239+'2025年浙江分部利润表'!L239+'2025年上海分部利润表'!L239+'2025年赣皖区域利润表'!L239</f>
        <v>0</v>
      </c>
      <c r="M239" s="49">
        <f>'2025年中心利润表 '!M239+'2025年江苏分部利润表'!M239+'2025年浙江分部利润表'!M239+'2025年上海分部利润表'!M239+'2025年赣皖区域利润表'!M239</f>
        <v>0</v>
      </c>
      <c r="N239" s="49">
        <f>'2025年中心利润表 '!N239+'2025年江苏分部利润表'!N239+'2025年浙江分部利润表'!N239+'2025年上海分部利润表'!N239+'2025年赣皖区域利润表'!N239</f>
        <v>0</v>
      </c>
      <c r="O239" s="49">
        <f>'2025年中心利润表 '!O239+'2025年江苏分部利润表'!O239+'2025年浙江分部利润表'!O239+'2025年上海分部利润表'!O239+'2025年赣皖区域利润表'!O239</f>
        <v>0</v>
      </c>
      <c r="P239" s="49">
        <f>'2025年中心利润表 '!P239+'2025年江苏分部利润表'!P239+'2025年浙江分部利润表'!P239+'2025年上海分部利润表'!P239+'2025年赣皖区域利润表'!P239</f>
        <v>0</v>
      </c>
      <c r="Q239" s="49">
        <f>'2025年中心利润表 '!Q239+'2025年江苏分部利润表'!Q239+'2025年浙江分部利润表'!Q239+'2025年上海分部利润表'!Q239+'2025年赣皖区域利润表'!Q239</f>
        <v>0</v>
      </c>
      <c r="R239" s="49">
        <f>'2025年中心利润表 '!R239+'2025年江苏分部利润表'!R239+'2025年浙江分部利润表'!R239+'2025年上海分部利润表'!R239+'2025年赣皖区域利润表'!R239</f>
        <v>0</v>
      </c>
      <c r="S239" s="49">
        <f>'2025年中心利润表 '!S239+'2025年江苏分部利润表'!S239+'2025年浙江分部利润表'!S239+'2025年上海分部利润表'!S239+'2025年赣皖区域利润表'!S239</f>
        <v>0</v>
      </c>
      <c r="T239" s="49">
        <f>'2025年中心利润表 '!T239+'2025年江苏分部利润表'!T239+'2025年浙江分部利润表'!T239+'2025年上海分部利润表'!T239+'2025年赣皖区域利润表'!T239</f>
        <v>0</v>
      </c>
      <c r="U239" s="49">
        <f>'2025年中心利润表 '!U239+'2025年江苏分部利润表'!U239+'2025年浙江分部利润表'!U239+'2025年上海分部利润表'!U239+'2025年赣皖区域利润表'!U239</f>
        <v>0</v>
      </c>
      <c r="V239" s="49">
        <f>'2025年中心利润表 '!V239+'2025年江苏分部利润表'!V239+'2025年浙江分部利润表'!V239+'2025年上海分部利润表'!V239+'2025年赣皖区域利润表'!V239</f>
        <v>0</v>
      </c>
      <c r="W239" s="49">
        <f>'2025年中心利润表 '!W239+'2025年江苏分部利润表'!W239+'2025年浙江分部利润表'!W239+'2025年上海分部利润表'!W239+'2025年赣皖区域利润表'!W239</f>
        <v>0</v>
      </c>
      <c r="X239" s="49">
        <f>'2025年中心利润表 '!X239+'2025年江苏分部利润表'!X239+'2025年浙江分部利润表'!X239+'2025年上海分部利润表'!X239+'2025年赣皖区域利润表'!X239</f>
        <v>0</v>
      </c>
      <c r="Y239" s="49">
        <f>'2025年中心利润表 '!Y239+'2025年江苏分部利润表'!Y239+'2025年浙江分部利润表'!Y239+'2025年上海分部利润表'!Y239+'2025年赣皖区域利润表'!Y239</f>
        <v>0</v>
      </c>
      <c r="Z239" s="49">
        <f>'2025年中心利润表 '!Z239+'2025年江苏分部利润表'!Z239+'2025年浙江分部利润表'!Z239+'2025年上海分部利润表'!Z239+'2025年赣皖区域利润表'!Z239</f>
        <v>0</v>
      </c>
      <c r="AA239" s="51">
        <f t="shared" si="49"/>
        <v>0</v>
      </c>
      <c r="AB239" s="51">
        <f t="shared" si="44"/>
        <v>0</v>
      </c>
      <c r="AC239" s="94"/>
      <c r="AD239" s="31">
        <f t="shared" si="50"/>
        <v>0</v>
      </c>
      <c r="AE239" s="31">
        <f t="shared" si="51"/>
        <v>0</v>
      </c>
      <c r="AF239" s="17">
        <f t="shared" si="52"/>
        <v>0</v>
      </c>
      <c r="AG239" s="17">
        <f t="shared" si="53"/>
        <v>0</v>
      </c>
      <c r="AH239" s="17">
        <f>SUM('[1]2024年全面预算利润表 (销售1中心)2.8亿'!E244:H244)</f>
        <v>0</v>
      </c>
    </row>
    <row r="240" spans="1:34" s="19" customFormat="1" ht="18" hidden="1" customHeight="1" outlineLevel="1" x14ac:dyDescent="0.25">
      <c r="A240" s="48" t="s">
        <v>169</v>
      </c>
      <c r="B240" s="53"/>
      <c r="C240" s="49">
        <f>'2025年中心利润表 '!C240+'2025年江苏分部利润表'!C240+'2025年浙江分部利润表'!C240+'2025年上海分部利润表'!C240+'2025年赣皖区域利润表'!C240</f>
        <v>0</v>
      </c>
      <c r="D240" s="49">
        <f>'2025年中心利润表 '!D240+'2025年江苏分部利润表'!D240+'2025年浙江分部利润表'!D240+'2025年上海分部利润表'!D240+'2025年赣皖区域利润表'!D240</f>
        <v>0</v>
      </c>
      <c r="E240" s="49">
        <f>'2025年中心利润表 '!E240+'2025年江苏分部利润表'!E240+'2025年浙江分部利润表'!E240+'2025年上海分部利润表'!E240+'2025年赣皖区域利润表'!E240</f>
        <v>0</v>
      </c>
      <c r="F240" s="49">
        <f>'2025年中心利润表 '!F240+'2025年江苏分部利润表'!F240+'2025年浙江分部利润表'!F240+'2025年上海分部利润表'!F240+'2025年赣皖区域利润表'!F240</f>
        <v>0</v>
      </c>
      <c r="G240" s="49">
        <f>'2025年中心利润表 '!G240+'2025年江苏分部利润表'!G240+'2025年浙江分部利润表'!G240+'2025年上海分部利润表'!G240+'2025年赣皖区域利润表'!G240</f>
        <v>0</v>
      </c>
      <c r="H240" s="49">
        <f>'2025年中心利润表 '!H240+'2025年江苏分部利润表'!H240+'2025年浙江分部利润表'!H240+'2025年上海分部利润表'!H240+'2025年赣皖区域利润表'!H240</f>
        <v>0</v>
      </c>
      <c r="I240" s="49">
        <f>'2025年中心利润表 '!I240+'2025年江苏分部利润表'!I240+'2025年浙江分部利润表'!I240+'2025年上海分部利润表'!I240+'2025年赣皖区域利润表'!I240</f>
        <v>0</v>
      </c>
      <c r="J240" s="49">
        <f>'2025年中心利润表 '!J240+'2025年江苏分部利润表'!J240+'2025年浙江分部利润表'!J240+'2025年上海分部利润表'!J240+'2025年赣皖区域利润表'!J240</f>
        <v>0</v>
      </c>
      <c r="K240" s="49">
        <f>'2025年中心利润表 '!K240+'2025年江苏分部利润表'!K240+'2025年浙江分部利润表'!K240+'2025年上海分部利润表'!K240+'2025年赣皖区域利润表'!K240</f>
        <v>0</v>
      </c>
      <c r="L240" s="49">
        <f>'2025年中心利润表 '!L240+'2025年江苏分部利润表'!L240+'2025年浙江分部利润表'!L240+'2025年上海分部利润表'!L240+'2025年赣皖区域利润表'!L240</f>
        <v>0</v>
      </c>
      <c r="M240" s="49">
        <f>'2025年中心利润表 '!M240+'2025年江苏分部利润表'!M240+'2025年浙江分部利润表'!M240+'2025年上海分部利润表'!M240+'2025年赣皖区域利润表'!M240</f>
        <v>0</v>
      </c>
      <c r="N240" s="49">
        <f>'2025年中心利润表 '!N240+'2025年江苏分部利润表'!N240+'2025年浙江分部利润表'!N240+'2025年上海分部利润表'!N240+'2025年赣皖区域利润表'!N240</f>
        <v>0</v>
      </c>
      <c r="O240" s="49">
        <f>'2025年中心利润表 '!O240+'2025年江苏分部利润表'!O240+'2025年浙江分部利润表'!O240+'2025年上海分部利润表'!O240+'2025年赣皖区域利润表'!O240</f>
        <v>0</v>
      </c>
      <c r="P240" s="49">
        <f>'2025年中心利润表 '!P240+'2025年江苏分部利润表'!P240+'2025年浙江分部利润表'!P240+'2025年上海分部利润表'!P240+'2025年赣皖区域利润表'!P240</f>
        <v>0</v>
      </c>
      <c r="Q240" s="49">
        <f>'2025年中心利润表 '!Q240+'2025年江苏分部利润表'!Q240+'2025年浙江分部利润表'!Q240+'2025年上海分部利润表'!Q240+'2025年赣皖区域利润表'!Q240</f>
        <v>0</v>
      </c>
      <c r="R240" s="49">
        <f>'2025年中心利润表 '!R240+'2025年江苏分部利润表'!R240+'2025年浙江分部利润表'!R240+'2025年上海分部利润表'!R240+'2025年赣皖区域利润表'!R240</f>
        <v>0</v>
      </c>
      <c r="S240" s="49">
        <f>'2025年中心利润表 '!S240+'2025年江苏分部利润表'!S240+'2025年浙江分部利润表'!S240+'2025年上海分部利润表'!S240+'2025年赣皖区域利润表'!S240</f>
        <v>0</v>
      </c>
      <c r="T240" s="49">
        <f>'2025年中心利润表 '!T240+'2025年江苏分部利润表'!T240+'2025年浙江分部利润表'!T240+'2025年上海分部利润表'!T240+'2025年赣皖区域利润表'!T240</f>
        <v>0</v>
      </c>
      <c r="U240" s="49">
        <f>'2025年中心利润表 '!U240+'2025年江苏分部利润表'!U240+'2025年浙江分部利润表'!U240+'2025年上海分部利润表'!U240+'2025年赣皖区域利润表'!U240</f>
        <v>0</v>
      </c>
      <c r="V240" s="49">
        <f>'2025年中心利润表 '!V240+'2025年江苏分部利润表'!V240+'2025年浙江分部利润表'!V240+'2025年上海分部利润表'!V240+'2025年赣皖区域利润表'!V240</f>
        <v>0</v>
      </c>
      <c r="W240" s="49">
        <f>'2025年中心利润表 '!W240+'2025年江苏分部利润表'!W240+'2025年浙江分部利润表'!W240+'2025年上海分部利润表'!W240+'2025年赣皖区域利润表'!W240</f>
        <v>0</v>
      </c>
      <c r="X240" s="49">
        <f>'2025年中心利润表 '!X240+'2025年江苏分部利润表'!X240+'2025年浙江分部利润表'!X240+'2025年上海分部利润表'!X240+'2025年赣皖区域利润表'!X240</f>
        <v>0</v>
      </c>
      <c r="Y240" s="49">
        <f>'2025年中心利润表 '!Y240+'2025年江苏分部利润表'!Y240+'2025年浙江分部利润表'!Y240+'2025年上海分部利润表'!Y240+'2025年赣皖区域利润表'!Y240</f>
        <v>0</v>
      </c>
      <c r="Z240" s="49">
        <f>'2025年中心利润表 '!Z240+'2025年江苏分部利润表'!Z240+'2025年浙江分部利润表'!Z240+'2025年上海分部利润表'!Z240+'2025年赣皖区域利润表'!Z240</f>
        <v>0</v>
      </c>
      <c r="AA240" s="51">
        <f t="shared" si="49"/>
        <v>0</v>
      </c>
      <c r="AB240" s="51">
        <f t="shared" si="44"/>
        <v>0</v>
      </c>
      <c r="AC240" s="94"/>
      <c r="AD240" s="31">
        <f t="shared" si="50"/>
        <v>0</v>
      </c>
      <c r="AE240" s="31">
        <f t="shared" si="51"/>
        <v>0</v>
      </c>
      <c r="AF240" s="17">
        <f t="shared" si="52"/>
        <v>0</v>
      </c>
      <c r="AG240" s="17">
        <f t="shared" si="53"/>
        <v>0</v>
      </c>
      <c r="AH240" s="17">
        <f>SUM('[1]2024年全面预算利润表 (销售1中心)2.8亿'!E245:H245)</f>
        <v>0</v>
      </c>
    </row>
    <row r="241" spans="1:34" s="19" customFormat="1" ht="18" hidden="1" customHeight="1" outlineLevel="1" x14ac:dyDescent="0.25">
      <c r="A241" s="48" t="s">
        <v>170</v>
      </c>
      <c r="B241" s="53"/>
      <c r="C241" s="49">
        <f>'2025年中心利润表 '!C241+'2025年江苏分部利润表'!C241+'2025年浙江分部利润表'!C241+'2025年上海分部利润表'!C241+'2025年赣皖区域利润表'!C241</f>
        <v>0</v>
      </c>
      <c r="D241" s="49">
        <f>'2025年中心利润表 '!D241+'2025年江苏分部利润表'!D241+'2025年浙江分部利润表'!D241+'2025年上海分部利润表'!D241+'2025年赣皖区域利润表'!D241</f>
        <v>0</v>
      </c>
      <c r="E241" s="49">
        <f>'2025年中心利润表 '!E241+'2025年江苏分部利润表'!E241+'2025年浙江分部利润表'!E241+'2025年上海分部利润表'!E241+'2025年赣皖区域利润表'!E241</f>
        <v>0</v>
      </c>
      <c r="F241" s="49">
        <f>'2025年中心利润表 '!F241+'2025年江苏分部利润表'!F241+'2025年浙江分部利润表'!F241+'2025年上海分部利润表'!F241+'2025年赣皖区域利润表'!F241</f>
        <v>0</v>
      </c>
      <c r="G241" s="49">
        <f>'2025年中心利润表 '!G241+'2025年江苏分部利润表'!G241+'2025年浙江分部利润表'!G241+'2025年上海分部利润表'!G241+'2025年赣皖区域利润表'!G241</f>
        <v>0</v>
      </c>
      <c r="H241" s="49">
        <f>'2025年中心利润表 '!H241+'2025年江苏分部利润表'!H241+'2025年浙江分部利润表'!H241+'2025年上海分部利润表'!H241+'2025年赣皖区域利润表'!H241</f>
        <v>0</v>
      </c>
      <c r="I241" s="49">
        <f>'2025年中心利润表 '!I241+'2025年江苏分部利润表'!I241+'2025年浙江分部利润表'!I241+'2025年上海分部利润表'!I241+'2025年赣皖区域利润表'!I241</f>
        <v>0</v>
      </c>
      <c r="J241" s="49">
        <f>'2025年中心利润表 '!J241+'2025年江苏分部利润表'!J241+'2025年浙江分部利润表'!J241+'2025年上海分部利润表'!J241+'2025年赣皖区域利润表'!J241</f>
        <v>0</v>
      </c>
      <c r="K241" s="49">
        <f>'2025年中心利润表 '!K241+'2025年江苏分部利润表'!K241+'2025年浙江分部利润表'!K241+'2025年上海分部利润表'!K241+'2025年赣皖区域利润表'!K241</f>
        <v>0</v>
      </c>
      <c r="L241" s="49">
        <f>'2025年中心利润表 '!L241+'2025年江苏分部利润表'!L241+'2025年浙江分部利润表'!L241+'2025年上海分部利润表'!L241+'2025年赣皖区域利润表'!L241</f>
        <v>0</v>
      </c>
      <c r="M241" s="49">
        <f>'2025年中心利润表 '!M241+'2025年江苏分部利润表'!M241+'2025年浙江分部利润表'!M241+'2025年上海分部利润表'!M241+'2025年赣皖区域利润表'!M241</f>
        <v>0</v>
      </c>
      <c r="N241" s="49">
        <f>'2025年中心利润表 '!N241+'2025年江苏分部利润表'!N241+'2025年浙江分部利润表'!N241+'2025年上海分部利润表'!N241+'2025年赣皖区域利润表'!N241</f>
        <v>0</v>
      </c>
      <c r="O241" s="49">
        <f>'2025年中心利润表 '!O241+'2025年江苏分部利润表'!O241+'2025年浙江分部利润表'!O241+'2025年上海分部利润表'!O241+'2025年赣皖区域利润表'!O241</f>
        <v>0</v>
      </c>
      <c r="P241" s="49">
        <f>'2025年中心利润表 '!P241+'2025年江苏分部利润表'!P241+'2025年浙江分部利润表'!P241+'2025年上海分部利润表'!P241+'2025年赣皖区域利润表'!P241</f>
        <v>0</v>
      </c>
      <c r="Q241" s="49">
        <f>'2025年中心利润表 '!Q241+'2025年江苏分部利润表'!Q241+'2025年浙江分部利润表'!Q241+'2025年上海分部利润表'!Q241+'2025年赣皖区域利润表'!Q241</f>
        <v>0</v>
      </c>
      <c r="R241" s="49">
        <f>'2025年中心利润表 '!R241+'2025年江苏分部利润表'!R241+'2025年浙江分部利润表'!R241+'2025年上海分部利润表'!R241+'2025年赣皖区域利润表'!R241</f>
        <v>0</v>
      </c>
      <c r="S241" s="49">
        <f>'2025年中心利润表 '!S241+'2025年江苏分部利润表'!S241+'2025年浙江分部利润表'!S241+'2025年上海分部利润表'!S241+'2025年赣皖区域利润表'!S241</f>
        <v>0</v>
      </c>
      <c r="T241" s="49">
        <f>'2025年中心利润表 '!T241+'2025年江苏分部利润表'!T241+'2025年浙江分部利润表'!T241+'2025年上海分部利润表'!T241+'2025年赣皖区域利润表'!T241</f>
        <v>0</v>
      </c>
      <c r="U241" s="49">
        <f>'2025年中心利润表 '!U241+'2025年江苏分部利润表'!U241+'2025年浙江分部利润表'!U241+'2025年上海分部利润表'!U241+'2025年赣皖区域利润表'!U241</f>
        <v>0</v>
      </c>
      <c r="V241" s="49">
        <f>'2025年中心利润表 '!V241+'2025年江苏分部利润表'!V241+'2025年浙江分部利润表'!V241+'2025年上海分部利润表'!V241+'2025年赣皖区域利润表'!V241</f>
        <v>0</v>
      </c>
      <c r="W241" s="49">
        <f>'2025年中心利润表 '!W241+'2025年江苏分部利润表'!W241+'2025年浙江分部利润表'!W241+'2025年上海分部利润表'!W241+'2025年赣皖区域利润表'!W241</f>
        <v>0</v>
      </c>
      <c r="X241" s="49">
        <f>'2025年中心利润表 '!X241+'2025年江苏分部利润表'!X241+'2025年浙江分部利润表'!X241+'2025年上海分部利润表'!X241+'2025年赣皖区域利润表'!X241</f>
        <v>0</v>
      </c>
      <c r="Y241" s="49">
        <f>'2025年中心利润表 '!Y241+'2025年江苏分部利润表'!Y241+'2025年浙江分部利润表'!Y241+'2025年上海分部利润表'!Y241+'2025年赣皖区域利润表'!Y241</f>
        <v>0</v>
      </c>
      <c r="Z241" s="49">
        <f>'2025年中心利润表 '!Z241+'2025年江苏分部利润表'!Z241+'2025年浙江分部利润表'!Z241+'2025年上海分部利润表'!Z241+'2025年赣皖区域利润表'!Z241</f>
        <v>0</v>
      </c>
      <c r="AA241" s="51">
        <f t="shared" si="49"/>
        <v>0</v>
      </c>
      <c r="AB241" s="51">
        <f t="shared" ref="AB241:AB260" si="54">D241+F241+H241+J241+L241+N241+P241+R241+T241+V241+X241+Z241</f>
        <v>0</v>
      </c>
      <c r="AC241" s="94"/>
      <c r="AD241" s="31">
        <f t="shared" si="50"/>
        <v>0</v>
      </c>
      <c r="AE241" s="31">
        <f t="shared" si="51"/>
        <v>0</v>
      </c>
      <c r="AF241" s="17">
        <f t="shared" si="52"/>
        <v>0</v>
      </c>
      <c r="AG241" s="17">
        <f t="shared" si="53"/>
        <v>0</v>
      </c>
      <c r="AH241" s="17">
        <f>SUM('[1]2024年全面预算利润表 (销售1中心)2.8亿'!E246:H246)</f>
        <v>0</v>
      </c>
    </row>
    <row r="242" spans="1:34" s="19" customFormat="1" ht="18" hidden="1" customHeight="1" outlineLevel="1" x14ac:dyDescent="0.25">
      <c r="A242" s="48" t="s">
        <v>171</v>
      </c>
      <c r="B242" s="53"/>
      <c r="C242" s="49">
        <f>'2025年中心利润表 '!C242+'2025年江苏分部利润表'!C242+'2025年浙江分部利润表'!C242+'2025年上海分部利润表'!C242+'2025年赣皖区域利润表'!C242</f>
        <v>0</v>
      </c>
      <c r="D242" s="49">
        <f>'2025年中心利润表 '!D242+'2025年江苏分部利润表'!D242+'2025年浙江分部利润表'!D242+'2025年上海分部利润表'!D242+'2025年赣皖区域利润表'!D242</f>
        <v>0</v>
      </c>
      <c r="E242" s="49">
        <f>'2025年中心利润表 '!E242+'2025年江苏分部利润表'!E242+'2025年浙江分部利润表'!E242+'2025年上海分部利润表'!E242+'2025年赣皖区域利润表'!E242</f>
        <v>0</v>
      </c>
      <c r="F242" s="49">
        <f>'2025年中心利润表 '!F242+'2025年江苏分部利润表'!F242+'2025年浙江分部利润表'!F242+'2025年上海分部利润表'!F242+'2025年赣皖区域利润表'!F242</f>
        <v>0</v>
      </c>
      <c r="G242" s="49">
        <f>'2025年中心利润表 '!G242+'2025年江苏分部利润表'!G242+'2025年浙江分部利润表'!G242+'2025年上海分部利润表'!G242+'2025年赣皖区域利润表'!G242</f>
        <v>0</v>
      </c>
      <c r="H242" s="49">
        <f>'2025年中心利润表 '!H242+'2025年江苏分部利润表'!H242+'2025年浙江分部利润表'!H242+'2025年上海分部利润表'!H242+'2025年赣皖区域利润表'!H242</f>
        <v>0</v>
      </c>
      <c r="I242" s="49">
        <f>'2025年中心利润表 '!I242+'2025年江苏分部利润表'!I242+'2025年浙江分部利润表'!I242+'2025年上海分部利润表'!I242+'2025年赣皖区域利润表'!I242</f>
        <v>0</v>
      </c>
      <c r="J242" s="49">
        <f>'2025年中心利润表 '!J242+'2025年江苏分部利润表'!J242+'2025年浙江分部利润表'!J242+'2025年上海分部利润表'!J242+'2025年赣皖区域利润表'!J242</f>
        <v>0</v>
      </c>
      <c r="K242" s="49">
        <f>'2025年中心利润表 '!K242+'2025年江苏分部利润表'!K242+'2025年浙江分部利润表'!K242+'2025年上海分部利润表'!K242+'2025年赣皖区域利润表'!K242</f>
        <v>0</v>
      </c>
      <c r="L242" s="49">
        <f>'2025年中心利润表 '!L242+'2025年江苏分部利润表'!L242+'2025年浙江分部利润表'!L242+'2025年上海分部利润表'!L242+'2025年赣皖区域利润表'!L242</f>
        <v>0</v>
      </c>
      <c r="M242" s="49">
        <f>'2025年中心利润表 '!M242+'2025年江苏分部利润表'!M242+'2025年浙江分部利润表'!M242+'2025年上海分部利润表'!M242+'2025年赣皖区域利润表'!M242</f>
        <v>0</v>
      </c>
      <c r="N242" s="49">
        <f>'2025年中心利润表 '!N242+'2025年江苏分部利润表'!N242+'2025年浙江分部利润表'!N242+'2025年上海分部利润表'!N242+'2025年赣皖区域利润表'!N242</f>
        <v>0</v>
      </c>
      <c r="O242" s="49">
        <f>'2025年中心利润表 '!O242+'2025年江苏分部利润表'!O242+'2025年浙江分部利润表'!O242+'2025年上海分部利润表'!O242+'2025年赣皖区域利润表'!O242</f>
        <v>0</v>
      </c>
      <c r="P242" s="49">
        <f>'2025年中心利润表 '!P242+'2025年江苏分部利润表'!P242+'2025年浙江分部利润表'!P242+'2025年上海分部利润表'!P242+'2025年赣皖区域利润表'!P242</f>
        <v>0</v>
      </c>
      <c r="Q242" s="49">
        <f>'2025年中心利润表 '!Q242+'2025年江苏分部利润表'!Q242+'2025年浙江分部利润表'!Q242+'2025年上海分部利润表'!Q242+'2025年赣皖区域利润表'!Q242</f>
        <v>0</v>
      </c>
      <c r="R242" s="49">
        <f>'2025年中心利润表 '!R242+'2025年江苏分部利润表'!R242+'2025年浙江分部利润表'!R242+'2025年上海分部利润表'!R242+'2025年赣皖区域利润表'!R242</f>
        <v>0</v>
      </c>
      <c r="S242" s="49">
        <f>'2025年中心利润表 '!S242+'2025年江苏分部利润表'!S242+'2025年浙江分部利润表'!S242+'2025年上海分部利润表'!S242+'2025年赣皖区域利润表'!S242</f>
        <v>0</v>
      </c>
      <c r="T242" s="49">
        <f>'2025年中心利润表 '!T242+'2025年江苏分部利润表'!T242+'2025年浙江分部利润表'!T242+'2025年上海分部利润表'!T242+'2025年赣皖区域利润表'!T242</f>
        <v>0</v>
      </c>
      <c r="U242" s="49">
        <f>'2025年中心利润表 '!U242+'2025年江苏分部利润表'!U242+'2025年浙江分部利润表'!U242+'2025年上海分部利润表'!U242+'2025年赣皖区域利润表'!U242</f>
        <v>0</v>
      </c>
      <c r="V242" s="49">
        <f>'2025年中心利润表 '!V242+'2025年江苏分部利润表'!V242+'2025年浙江分部利润表'!V242+'2025年上海分部利润表'!V242+'2025年赣皖区域利润表'!V242</f>
        <v>0</v>
      </c>
      <c r="W242" s="49">
        <f>'2025年中心利润表 '!W242+'2025年江苏分部利润表'!W242+'2025年浙江分部利润表'!W242+'2025年上海分部利润表'!W242+'2025年赣皖区域利润表'!W242</f>
        <v>0</v>
      </c>
      <c r="X242" s="49">
        <f>'2025年中心利润表 '!X242+'2025年江苏分部利润表'!X242+'2025年浙江分部利润表'!X242+'2025年上海分部利润表'!X242+'2025年赣皖区域利润表'!X242</f>
        <v>0</v>
      </c>
      <c r="Y242" s="49">
        <f>'2025年中心利润表 '!Y242+'2025年江苏分部利润表'!Y242+'2025年浙江分部利润表'!Y242+'2025年上海分部利润表'!Y242+'2025年赣皖区域利润表'!Y242</f>
        <v>0</v>
      </c>
      <c r="Z242" s="49">
        <f>'2025年中心利润表 '!Z242+'2025年江苏分部利润表'!Z242+'2025年浙江分部利润表'!Z242+'2025年上海分部利润表'!Z242+'2025年赣皖区域利润表'!Z242</f>
        <v>0</v>
      </c>
      <c r="AA242" s="51">
        <f t="shared" si="49"/>
        <v>0</v>
      </c>
      <c r="AB242" s="51">
        <f t="shared" si="54"/>
        <v>0</v>
      </c>
      <c r="AC242" s="94"/>
      <c r="AD242" s="31">
        <f t="shared" si="50"/>
        <v>0</v>
      </c>
      <c r="AE242" s="31">
        <f t="shared" si="51"/>
        <v>0</v>
      </c>
      <c r="AF242" s="17">
        <f t="shared" si="52"/>
        <v>0</v>
      </c>
      <c r="AG242" s="17">
        <f t="shared" si="53"/>
        <v>0</v>
      </c>
      <c r="AH242" s="17">
        <f>SUM('[1]2024年全面预算利润表 (销售1中心)2.8亿'!E247:H247)</f>
        <v>0</v>
      </c>
    </row>
    <row r="243" spans="1:34" s="19" customFormat="1" ht="18" hidden="1" customHeight="1" outlineLevel="1" x14ac:dyDescent="0.25">
      <c r="A243" s="48" t="s">
        <v>172</v>
      </c>
      <c r="B243" s="53"/>
      <c r="C243" s="49">
        <f>'2025年中心利润表 '!C243+'2025年江苏分部利润表'!C243+'2025年浙江分部利润表'!C243+'2025年上海分部利润表'!C243+'2025年赣皖区域利润表'!C243</f>
        <v>0</v>
      </c>
      <c r="D243" s="49">
        <f>'2025年中心利润表 '!D243+'2025年江苏分部利润表'!D243+'2025年浙江分部利润表'!D243+'2025年上海分部利润表'!D243+'2025年赣皖区域利润表'!D243</f>
        <v>0</v>
      </c>
      <c r="E243" s="49">
        <f>'2025年中心利润表 '!E243+'2025年江苏分部利润表'!E243+'2025年浙江分部利润表'!E243+'2025年上海分部利润表'!E243+'2025年赣皖区域利润表'!E243</f>
        <v>0</v>
      </c>
      <c r="F243" s="49">
        <f>'2025年中心利润表 '!F243+'2025年江苏分部利润表'!F243+'2025年浙江分部利润表'!F243+'2025年上海分部利润表'!F243+'2025年赣皖区域利润表'!F243</f>
        <v>0</v>
      </c>
      <c r="G243" s="49">
        <f>'2025年中心利润表 '!G243+'2025年江苏分部利润表'!G243+'2025年浙江分部利润表'!G243+'2025年上海分部利润表'!G243+'2025年赣皖区域利润表'!G243</f>
        <v>0</v>
      </c>
      <c r="H243" s="49">
        <f>'2025年中心利润表 '!H243+'2025年江苏分部利润表'!H243+'2025年浙江分部利润表'!H243+'2025年上海分部利润表'!H243+'2025年赣皖区域利润表'!H243</f>
        <v>0</v>
      </c>
      <c r="I243" s="49">
        <f>'2025年中心利润表 '!I243+'2025年江苏分部利润表'!I243+'2025年浙江分部利润表'!I243+'2025年上海分部利润表'!I243+'2025年赣皖区域利润表'!I243</f>
        <v>0</v>
      </c>
      <c r="J243" s="49">
        <f>'2025年中心利润表 '!J243+'2025年江苏分部利润表'!J243+'2025年浙江分部利润表'!J243+'2025年上海分部利润表'!J243+'2025年赣皖区域利润表'!J243</f>
        <v>0</v>
      </c>
      <c r="K243" s="49">
        <f>'2025年中心利润表 '!K243+'2025年江苏分部利润表'!K243+'2025年浙江分部利润表'!K243+'2025年上海分部利润表'!K243+'2025年赣皖区域利润表'!K243</f>
        <v>0</v>
      </c>
      <c r="L243" s="49">
        <f>'2025年中心利润表 '!L243+'2025年江苏分部利润表'!L243+'2025年浙江分部利润表'!L243+'2025年上海分部利润表'!L243+'2025年赣皖区域利润表'!L243</f>
        <v>0</v>
      </c>
      <c r="M243" s="49">
        <f>'2025年中心利润表 '!M243+'2025年江苏分部利润表'!M243+'2025年浙江分部利润表'!M243+'2025年上海分部利润表'!M243+'2025年赣皖区域利润表'!M243</f>
        <v>0</v>
      </c>
      <c r="N243" s="49">
        <f>'2025年中心利润表 '!N243+'2025年江苏分部利润表'!N243+'2025年浙江分部利润表'!N243+'2025年上海分部利润表'!N243+'2025年赣皖区域利润表'!N243</f>
        <v>0</v>
      </c>
      <c r="O243" s="49">
        <f>'2025年中心利润表 '!O243+'2025年江苏分部利润表'!O243+'2025年浙江分部利润表'!O243+'2025年上海分部利润表'!O243+'2025年赣皖区域利润表'!O243</f>
        <v>0</v>
      </c>
      <c r="P243" s="49">
        <f>'2025年中心利润表 '!P243+'2025年江苏分部利润表'!P243+'2025年浙江分部利润表'!P243+'2025年上海分部利润表'!P243+'2025年赣皖区域利润表'!P243</f>
        <v>0</v>
      </c>
      <c r="Q243" s="49">
        <f>'2025年中心利润表 '!Q243+'2025年江苏分部利润表'!Q243+'2025年浙江分部利润表'!Q243+'2025年上海分部利润表'!Q243+'2025年赣皖区域利润表'!Q243</f>
        <v>0</v>
      </c>
      <c r="R243" s="49">
        <f>'2025年中心利润表 '!R243+'2025年江苏分部利润表'!R243+'2025年浙江分部利润表'!R243+'2025年上海分部利润表'!R243+'2025年赣皖区域利润表'!R243</f>
        <v>0</v>
      </c>
      <c r="S243" s="49">
        <f>'2025年中心利润表 '!S243+'2025年江苏分部利润表'!S243+'2025年浙江分部利润表'!S243+'2025年上海分部利润表'!S243+'2025年赣皖区域利润表'!S243</f>
        <v>0</v>
      </c>
      <c r="T243" s="49">
        <f>'2025年中心利润表 '!T243+'2025年江苏分部利润表'!T243+'2025年浙江分部利润表'!T243+'2025年上海分部利润表'!T243+'2025年赣皖区域利润表'!T243</f>
        <v>0</v>
      </c>
      <c r="U243" s="49">
        <f>'2025年中心利润表 '!U243+'2025年江苏分部利润表'!U243+'2025年浙江分部利润表'!U243+'2025年上海分部利润表'!U243+'2025年赣皖区域利润表'!U243</f>
        <v>0</v>
      </c>
      <c r="V243" s="49">
        <f>'2025年中心利润表 '!V243+'2025年江苏分部利润表'!V243+'2025年浙江分部利润表'!V243+'2025年上海分部利润表'!V243+'2025年赣皖区域利润表'!V243</f>
        <v>0</v>
      </c>
      <c r="W243" s="49">
        <f>'2025年中心利润表 '!W243+'2025年江苏分部利润表'!W243+'2025年浙江分部利润表'!W243+'2025年上海分部利润表'!W243+'2025年赣皖区域利润表'!W243</f>
        <v>0</v>
      </c>
      <c r="X243" s="49">
        <f>'2025年中心利润表 '!X243+'2025年江苏分部利润表'!X243+'2025年浙江分部利润表'!X243+'2025年上海分部利润表'!X243+'2025年赣皖区域利润表'!X243</f>
        <v>0</v>
      </c>
      <c r="Y243" s="49">
        <f>'2025年中心利润表 '!Y243+'2025年江苏分部利润表'!Y243+'2025年浙江分部利润表'!Y243+'2025年上海分部利润表'!Y243+'2025年赣皖区域利润表'!Y243</f>
        <v>0</v>
      </c>
      <c r="Z243" s="49">
        <f>'2025年中心利润表 '!Z243+'2025年江苏分部利润表'!Z243+'2025年浙江分部利润表'!Z243+'2025年上海分部利润表'!Z243+'2025年赣皖区域利润表'!Z243</f>
        <v>0</v>
      </c>
      <c r="AA243" s="51">
        <f t="shared" si="49"/>
        <v>0</v>
      </c>
      <c r="AB243" s="51">
        <f t="shared" si="54"/>
        <v>0</v>
      </c>
      <c r="AC243" s="94"/>
      <c r="AD243" s="31">
        <f t="shared" si="50"/>
        <v>0</v>
      </c>
      <c r="AE243" s="31">
        <f t="shared" si="51"/>
        <v>0</v>
      </c>
      <c r="AF243" s="17">
        <f t="shared" si="52"/>
        <v>0</v>
      </c>
      <c r="AG243" s="17">
        <f t="shared" si="53"/>
        <v>0</v>
      </c>
      <c r="AH243" s="17">
        <f>SUM('[1]2024年全面预算利润表 (销售1中心)2.8亿'!E248:H248)</f>
        <v>0</v>
      </c>
    </row>
    <row r="244" spans="1:34" s="19" customFormat="1" ht="18" hidden="1" customHeight="1" outlineLevel="1" x14ac:dyDescent="0.25">
      <c r="A244" s="48" t="s">
        <v>173</v>
      </c>
      <c r="B244" s="53"/>
      <c r="C244" s="49">
        <f>'2025年中心利润表 '!C244+'2025年江苏分部利润表'!C244+'2025年浙江分部利润表'!C244+'2025年上海分部利润表'!C244+'2025年赣皖区域利润表'!C244</f>
        <v>0</v>
      </c>
      <c r="D244" s="49">
        <f>'2025年中心利润表 '!D244+'2025年江苏分部利润表'!D244+'2025年浙江分部利润表'!D244+'2025年上海分部利润表'!D244+'2025年赣皖区域利润表'!D244</f>
        <v>0</v>
      </c>
      <c r="E244" s="49">
        <f>'2025年中心利润表 '!E244+'2025年江苏分部利润表'!E244+'2025年浙江分部利润表'!E244+'2025年上海分部利润表'!E244+'2025年赣皖区域利润表'!E244</f>
        <v>0</v>
      </c>
      <c r="F244" s="49">
        <f>'2025年中心利润表 '!F244+'2025年江苏分部利润表'!F244+'2025年浙江分部利润表'!F244+'2025年上海分部利润表'!F244+'2025年赣皖区域利润表'!F244</f>
        <v>0</v>
      </c>
      <c r="G244" s="49">
        <f>'2025年中心利润表 '!G244+'2025年江苏分部利润表'!G244+'2025年浙江分部利润表'!G244+'2025年上海分部利润表'!G244+'2025年赣皖区域利润表'!G244</f>
        <v>0</v>
      </c>
      <c r="H244" s="49">
        <f>'2025年中心利润表 '!H244+'2025年江苏分部利润表'!H244+'2025年浙江分部利润表'!H244+'2025年上海分部利润表'!H244+'2025年赣皖区域利润表'!H244</f>
        <v>0</v>
      </c>
      <c r="I244" s="49">
        <f>'2025年中心利润表 '!I244+'2025年江苏分部利润表'!I244+'2025年浙江分部利润表'!I244+'2025年上海分部利润表'!I244+'2025年赣皖区域利润表'!I244</f>
        <v>0</v>
      </c>
      <c r="J244" s="49">
        <f>'2025年中心利润表 '!J244+'2025年江苏分部利润表'!J244+'2025年浙江分部利润表'!J244+'2025年上海分部利润表'!J244+'2025年赣皖区域利润表'!J244</f>
        <v>0</v>
      </c>
      <c r="K244" s="49">
        <f>'2025年中心利润表 '!K244+'2025年江苏分部利润表'!K244+'2025年浙江分部利润表'!K244+'2025年上海分部利润表'!K244+'2025年赣皖区域利润表'!K244</f>
        <v>0</v>
      </c>
      <c r="L244" s="49">
        <f>'2025年中心利润表 '!L244+'2025年江苏分部利润表'!L244+'2025年浙江分部利润表'!L244+'2025年上海分部利润表'!L244+'2025年赣皖区域利润表'!L244</f>
        <v>0</v>
      </c>
      <c r="M244" s="49">
        <f>'2025年中心利润表 '!M244+'2025年江苏分部利润表'!M244+'2025年浙江分部利润表'!M244+'2025年上海分部利润表'!M244+'2025年赣皖区域利润表'!M244</f>
        <v>0</v>
      </c>
      <c r="N244" s="49">
        <f>'2025年中心利润表 '!N244+'2025年江苏分部利润表'!N244+'2025年浙江分部利润表'!N244+'2025年上海分部利润表'!N244+'2025年赣皖区域利润表'!N244</f>
        <v>0</v>
      </c>
      <c r="O244" s="49">
        <f>'2025年中心利润表 '!O244+'2025年江苏分部利润表'!O244+'2025年浙江分部利润表'!O244+'2025年上海分部利润表'!O244+'2025年赣皖区域利润表'!O244</f>
        <v>0</v>
      </c>
      <c r="P244" s="49">
        <f>'2025年中心利润表 '!P244+'2025年江苏分部利润表'!P244+'2025年浙江分部利润表'!P244+'2025年上海分部利润表'!P244+'2025年赣皖区域利润表'!P244</f>
        <v>0</v>
      </c>
      <c r="Q244" s="49">
        <f>'2025年中心利润表 '!Q244+'2025年江苏分部利润表'!Q244+'2025年浙江分部利润表'!Q244+'2025年上海分部利润表'!Q244+'2025年赣皖区域利润表'!Q244</f>
        <v>0</v>
      </c>
      <c r="R244" s="49">
        <f>'2025年中心利润表 '!R244+'2025年江苏分部利润表'!R244+'2025年浙江分部利润表'!R244+'2025年上海分部利润表'!R244+'2025年赣皖区域利润表'!R244</f>
        <v>0</v>
      </c>
      <c r="S244" s="49">
        <f>'2025年中心利润表 '!S244+'2025年江苏分部利润表'!S244+'2025年浙江分部利润表'!S244+'2025年上海分部利润表'!S244+'2025年赣皖区域利润表'!S244</f>
        <v>0</v>
      </c>
      <c r="T244" s="49">
        <f>'2025年中心利润表 '!T244+'2025年江苏分部利润表'!T244+'2025年浙江分部利润表'!T244+'2025年上海分部利润表'!T244+'2025年赣皖区域利润表'!T244</f>
        <v>0</v>
      </c>
      <c r="U244" s="49">
        <f>'2025年中心利润表 '!U244+'2025年江苏分部利润表'!U244+'2025年浙江分部利润表'!U244+'2025年上海分部利润表'!U244+'2025年赣皖区域利润表'!U244</f>
        <v>0</v>
      </c>
      <c r="V244" s="49">
        <f>'2025年中心利润表 '!V244+'2025年江苏分部利润表'!V244+'2025年浙江分部利润表'!V244+'2025年上海分部利润表'!V244+'2025年赣皖区域利润表'!V244</f>
        <v>0</v>
      </c>
      <c r="W244" s="49">
        <f>'2025年中心利润表 '!W244+'2025年江苏分部利润表'!W244+'2025年浙江分部利润表'!W244+'2025年上海分部利润表'!W244+'2025年赣皖区域利润表'!W244</f>
        <v>0</v>
      </c>
      <c r="X244" s="49">
        <f>'2025年中心利润表 '!X244+'2025年江苏分部利润表'!X244+'2025年浙江分部利润表'!X244+'2025年上海分部利润表'!X244+'2025年赣皖区域利润表'!X244</f>
        <v>0</v>
      </c>
      <c r="Y244" s="49">
        <f>'2025年中心利润表 '!Y244+'2025年江苏分部利润表'!Y244+'2025年浙江分部利润表'!Y244+'2025年上海分部利润表'!Y244+'2025年赣皖区域利润表'!Y244</f>
        <v>0</v>
      </c>
      <c r="Z244" s="49">
        <f>'2025年中心利润表 '!Z244+'2025年江苏分部利润表'!Z244+'2025年浙江分部利润表'!Z244+'2025年上海分部利润表'!Z244+'2025年赣皖区域利润表'!Z244</f>
        <v>0</v>
      </c>
      <c r="AA244" s="51">
        <f t="shared" si="49"/>
        <v>0</v>
      </c>
      <c r="AB244" s="51">
        <f t="shared" si="54"/>
        <v>0</v>
      </c>
      <c r="AC244" s="94"/>
      <c r="AD244" s="31">
        <f t="shared" si="50"/>
        <v>0</v>
      </c>
      <c r="AE244" s="31">
        <f t="shared" si="51"/>
        <v>0</v>
      </c>
      <c r="AF244" s="17">
        <f t="shared" si="52"/>
        <v>0</v>
      </c>
      <c r="AG244" s="17">
        <f t="shared" si="53"/>
        <v>0</v>
      </c>
      <c r="AH244" s="17">
        <f>SUM('[1]2024年全面预算利润表 (销售1中心)2.8亿'!E249:H249)</f>
        <v>0</v>
      </c>
    </row>
    <row r="245" spans="1:34" s="19" customFormat="1" ht="18" hidden="1" customHeight="1" outlineLevel="1" x14ac:dyDescent="0.25">
      <c r="A245" s="48" t="s">
        <v>174</v>
      </c>
      <c r="B245" s="53"/>
      <c r="C245" s="49">
        <f>'2025年中心利润表 '!C245+'2025年江苏分部利润表'!C245+'2025年浙江分部利润表'!C245+'2025年上海分部利润表'!C245+'2025年赣皖区域利润表'!C245</f>
        <v>0</v>
      </c>
      <c r="D245" s="49">
        <f>'2025年中心利润表 '!D245+'2025年江苏分部利润表'!D245+'2025年浙江分部利润表'!D245+'2025年上海分部利润表'!D245+'2025年赣皖区域利润表'!D245</f>
        <v>0</v>
      </c>
      <c r="E245" s="49">
        <f>'2025年中心利润表 '!E245+'2025年江苏分部利润表'!E245+'2025年浙江分部利润表'!E245+'2025年上海分部利润表'!E245+'2025年赣皖区域利润表'!E245</f>
        <v>0</v>
      </c>
      <c r="F245" s="49">
        <f>'2025年中心利润表 '!F245+'2025年江苏分部利润表'!F245+'2025年浙江分部利润表'!F245+'2025年上海分部利润表'!F245+'2025年赣皖区域利润表'!F245</f>
        <v>0</v>
      </c>
      <c r="G245" s="49">
        <f>'2025年中心利润表 '!G245+'2025年江苏分部利润表'!G245+'2025年浙江分部利润表'!G245+'2025年上海分部利润表'!G245+'2025年赣皖区域利润表'!G245</f>
        <v>0</v>
      </c>
      <c r="H245" s="49">
        <f>'2025年中心利润表 '!H245+'2025年江苏分部利润表'!H245+'2025年浙江分部利润表'!H245+'2025年上海分部利润表'!H245+'2025年赣皖区域利润表'!H245</f>
        <v>0</v>
      </c>
      <c r="I245" s="49">
        <f>'2025年中心利润表 '!I245+'2025年江苏分部利润表'!I245+'2025年浙江分部利润表'!I245+'2025年上海分部利润表'!I245+'2025年赣皖区域利润表'!I245</f>
        <v>0</v>
      </c>
      <c r="J245" s="49">
        <f>'2025年中心利润表 '!J245+'2025年江苏分部利润表'!J245+'2025年浙江分部利润表'!J245+'2025年上海分部利润表'!J245+'2025年赣皖区域利润表'!J245</f>
        <v>0</v>
      </c>
      <c r="K245" s="49">
        <f>'2025年中心利润表 '!K245+'2025年江苏分部利润表'!K245+'2025年浙江分部利润表'!K245+'2025年上海分部利润表'!K245+'2025年赣皖区域利润表'!K245</f>
        <v>0</v>
      </c>
      <c r="L245" s="49">
        <f>'2025年中心利润表 '!L245+'2025年江苏分部利润表'!L245+'2025年浙江分部利润表'!L245+'2025年上海分部利润表'!L245+'2025年赣皖区域利润表'!L245</f>
        <v>0</v>
      </c>
      <c r="M245" s="49">
        <f>'2025年中心利润表 '!M245+'2025年江苏分部利润表'!M245+'2025年浙江分部利润表'!M245+'2025年上海分部利润表'!M245+'2025年赣皖区域利润表'!M245</f>
        <v>0</v>
      </c>
      <c r="N245" s="49">
        <f>'2025年中心利润表 '!N245+'2025年江苏分部利润表'!N245+'2025年浙江分部利润表'!N245+'2025年上海分部利润表'!N245+'2025年赣皖区域利润表'!N245</f>
        <v>0</v>
      </c>
      <c r="O245" s="49">
        <f>'2025年中心利润表 '!O245+'2025年江苏分部利润表'!O245+'2025年浙江分部利润表'!O245+'2025年上海分部利润表'!O245+'2025年赣皖区域利润表'!O245</f>
        <v>0</v>
      </c>
      <c r="P245" s="49">
        <f>'2025年中心利润表 '!P245+'2025年江苏分部利润表'!P245+'2025年浙江分部利润表'!P245+'2025年上海分部利润表'!P245+'2025年赣皖区域利润表'!P245</f>
        <v>0</v>
      </c>
      <c r="Q245" s="49">
        <f>'2025年中心利润表 '!Q245+'2025年江苏分部利润表'!Q245+'2025年浙江分部利润表'!Q245+'2025年上海分部利润表'!Q245+'2025年赣皖区域利润表'!Q245</f>
        <v>0</v>
      </c>
      <c r="R245" s="49">
        <f>'2025年中心利润表 '!R245+'2025年江苏分部利润表'!R245+'2025年浙江分部利润表'!R245+'2025年上海分部利润表'!R245+'2025年赣皖区域利润表'!R245</f>
        <v>0</v>
      </c>
      <c r="S245" s="49">
        <f>'2025年中心利润表 '!S245+'2025年江苏分部利润表'!S245+'2025年浙江分部利润表'!S245+'2025年上海分部利润表'!S245+'2025年赣皖区域利润表'!S245</f>
        <v>0</v>
      </c>
      <c r="T245" s="49">
        <f>'2025年中心利润表 '!T245+'2025年江苏分部利润表'!T245+'2025年浙江分部利润表'!T245+'2025年上海分部利润表'!T245+'2025年赣皖区域利润表'!T245</f>
        <v>0</v>
      </c>
      <c r="U245" s="49">
        <f>'2025年中心利润表 '!U245+'2025年江苏分部利润表'!U245+'2025年浙江分部利润表'!U245+'2025年上海分部利润表'!U245+'2025年赣皖区域利润表'!U245</f>
        <v>0</v>
      </c>
      <c r="V245" s="49">
        <f>'2025年中心利润表 '!V245+'2025年江苏分部利润表'!V245+'2025年浙江分部利润表'!V245+'2025年上海分部利润表'!V245+'2025年赣皖区域利润表'!V245</f>
        <v>0</v>
      </c>
      <c r="W245" s="49">
        <f>'2025年中心利润表 '!W245+'2025年江苏分部利润表'!W245+'2025年浙江分部利润表'!W245+'2025年上海分部利润表'!W245+'2025年赣皖区域利润表'!W245</f>
        <v>0</v>
      </c>
      <c r="X245" s="49">
        <f>'2025年中心利润表 '!X245+'2025年江苏分部利润表'!X245+'2025年浙江分部利润表'!X245+'2025年上海分部利润表'!X245+'2025年赣皖区域利润表'!X245</f>
        <v>0</v>
      </c>
      <c r="Y245" s="49">
        <f>'2025年中心利润表 '!Y245+'2025年江苏分部利润表'!Y245+'2025年浙江分部利润表'!Y245+'2025年上海分部利润表'!Y245+'2025年赣皖区域利润表'!Y245</f>
        <v>0</v>
      </c>
      <c r="Z245" s="49">
        <f>'2025年中心利润表 '!Z245+'2025年江苏分部利润表'!Z245+'2025年浙江分部利润表'!Z245+'2025年上海分部利润表'!Z245+'2025年赣皖区域利润表'!Z245</f>
        <v>0</v>
      </c>
      <c r="AA245" s="51">
        <f t="shared" si="49"/>
        <v>0</v>
      </c>
      <c r="AB245" s="51">
        <f t="shared" si="54"/>
        <v>0</v>
      </c>
      <c r="AC245" s="94"/>
      <c r="AD245" s="31">
        <f t="shared" si="50"/>
        <v>0</v>
      </c>
      <c r="AE245" s="31">
        <f t="shared" si="51"/>
        <v>0</v>
      </c>
      <c r="AF245" s="17">
        <f t="shared" si="52"/>
        <v>0</v>
      </c>
      <c r="AG245" s="17">
        <f t="shared" si="53"/>
        <v>0</v>
      </c>
      <c r="AH245" s="17">
        <f>SUM('[1]2024年全面预算利润表 (销售1中心)2.8亿'!E250:H250)</f>
        <v>0</v>
      </c>
    </row>
    <row r="246" spans="1:34" s="19" customFormat="1" ht="18" hidden="1" customHeight="1" outlineLevel="1" x14ac:dyDescent="0.25">
      <c r="A246" s="48" t="s">
        <v>175</v>
      </c>
      <c r="B246" s="53"/>
      <c r="C246" s="49">
        <f>'2025年中心利润表 '!C246+'2025年江苏分部利润表'!C246+'2025年浙江分部利润表'!C246+'2025年上海分部利润表'!C246+'2025年赣皖区域利润表'!C246</f>
        <v>0</v>
      </c>
      <c r="D246" s="49">
        <f>'2025年中心利润表 '!D246+'2025年江苏分部利润表'!D246+'2025年浙江分部利润表'!D246+'2025年上海分部利润表'!D246+'2025年赣皖区域利润表'!D246</f>
        <v>0</v>
      </c>
      <c r="E246" s="49">
        <f>'2025年中心利润表 '!E246+'2025年江苏分部利润表'!E246+'2025年浙江分部利润表'!E246+'2025年上海分部利润表'!E246+'2025年赣皖区域利润表'!E246</f>
        <v>0</v>
      </c>
      <c r="F246" s="49">
        <f>'2025年中心利润表 '!F246+'2025年江苏分部利润表'!F246+'2025年浙江分部利润表'!F246+'2025年上海分部利润表'!F246+'2025年赣皖区域利润表'!F246</f>
        <v>0</v>
      </c>
      <c r="G246" s="49">
        <f>'2025年中心利润表 '!G246+'2025年江苏分部利润表'!G246+'2025年浙江分部利润表'!G246+'2025年上海分部利润表'!G246+'2025年赣皖区域利润表'!G246</f>
        <v>0</v>
      </c>
      <c r="H246" s="49">
        <f>'2025年中心利润表 '!H246+'2025年江苏分部利润表'!H246+'2025年浙江分部利润表'!H246+'2025年上海分部利润表'!H246+'2025年赣皖区域利润表'!H246</f>
        <v>0</v>
      </c>
      <c r="I246" s="49">
        <f>'2025年中心利润表 '!I246+'2025年江苏分部利润表'!I246+'2025年浙江分部利润表'!I246+'2025年上海分部利润表'!I246+'2025年赣皖区域利润表'!I246</f>
        <v>0</v>
      </c>
      <c r="J246" s="49">
        <f>'2025年中心利润表 '!J246+'2025年江苏分部利润表'!J246+'2025年浙江分部利润表'!J246+'2025年上海分部利润表'!J246+'2025年赣皖区域利润表'!J246</f>
        <v>0</v>
      </c>
      <c r="K246" s="49">
        <f>'2025年中心利润表 '!K246+'2025年江苏分部利润表'!K246+'2025年浙江分部利润表'!K246+'2025年上海分部利润表'!K246+'2025年赣皖区域利润表'!K246</f>
        <v>0</v>
      </c>
      <c r="L246" s="49">
        <f>'2025年中心利润表 '!L246+'2025年江苏分部利润表'!L246+'2025年浙江分部利润表'!L246+'2025年上海分部利润表'!L246+'2025年赣皖区域利润表'!L246</f>
        <v>0</v>
      </c>
      <c r="M246" s="49">
        <f>'2025年中心利润表 '!M246+'2025年江苏分部利润表'!M246+'2025年浙江分部利润表'!M246+'2025年上海分部利润表'!M246+'2025年赣皖区域利润表'!M246</f>
        <v>0</v>
      </c>
      <c r="N246" s="49">
        <f>'2025年中心利润表 '!N246+'2025年江苏分部利润表'!N246+'2025年浙江分部利润表'!N246+'2025年上海分部利润表'!N246+'2025年赣皖区域利润表'!N246</f>
        <v>0</v>
      </c>
      <c r="O246" s="49">
        <f>'2025年中心利润表 '!O246+'2025年江苏分部利润表'!O246+'2025年浙江分部利润表'!O246+'2025年上海分部利润表'!O246+'2025年赣皖区域利润表'!O246</f>
        <v>0</v>
      </c>
      <c r="P246" s="49">
        <f>'2025年中心利润表 '!P246+'2025年江苏分部利润表'!P246+'2025年浙江分部利润表'!P246+'2025年上海分部利润表'!P246+'2025年赣皖区域利润表'!P246</f>
        <v>0</v>
      </c>
      <c r="Q246" s="49">
        <f>'2025年中心利润表 '!Q246+'2025年江苏分部利润表'!Q246+'2025年浙江分部利润表'!Q246+'2025年上海分部利润表'!Q246+'2025年赣皖区域利润表'!Q246</f>
        <v>0</v>
      </c>
      <c r="R246" s="49">
        <f>'2025年中心利润表 '!R246+'2025年江苏分部利润表'!R246+'2025年浙江分部利润表'!R246+'2025年上海分部利润表'!R246+'2025年赣皖区域利润表'!R246</f>
        <v>0</v>
      </c>
      <c r="S246" s="49">
        <f>'2025年中心利润表 '!S246+'2025年江苏分部利润表'!S246+'2025年浙江分部利润表'!S246+'2025年上海分部利润表'!S246+'2025年赣皖区域利润表'!S246</f>
        <v>0</v>
      </c>
      <c r="T246" s="49">
        <f>'2025年中心利润表 '!T246+'2025年江苏分部利润表'!T246+'2025年浙江分部利润表'!T246+'2025年上海分部利润表'!T246+'2025年赣皖区域利润表'!T246</f>
        <v>0</v>
      </c>
      <c r="U246" s="49">
        <f>'2025年中心利润表 '!U246+'2025年江苏分部利润表'!U246+'2025年浙江分部利润表'!U246+'2025年上海分部利润表'!U246+'2025年赣皖区域利润表'!U246</f>
        <v>0</v>
      </c>
      <c r="V246" s="49">
        <f>'2025年中心利润表 '!V246+'2025年江苏分部利润表'!V246+'2025年浙江分部利润表'!V246+'2025年上海分部利润表'!V246+'2025年赣皖区域利润表'!V246</f>
        <v>0</v>
      </c>
      <c r="W246" s="49">
        <f>'2025年中心利润表 '!W246+'2025年江苏分部利润表'!W246+'2025年浙江分部利润表'!W246+'2025年上海分部利润表'!W246+'2025年赣皖区域利润表'!W246</f>
        <v>0</v>
      </c>
      <c r="X246" s="49">
        <f>'2025年中心利润表 '!X246+'2025年江苏分部利润表'!X246+'2025年浙江分部利润表'!X246+'2025年上海分部利润表'!X246+'2025年赣皖区域利润表'!X246</f>
        <v>0</v>
      </c>
      <c r="Y246" s="49">
        <f>'2025年中心利润表 '!Y246+'2025年江苏分部利润表'!Y246+'2025年浙江分部利润表'!Y246+'2025年上海分部利润表'!Y246+'2025年赣皖区域利润表'!Y246</f>
        <v>0</v>
      </c>
      <c r="Z246" s="49">
        <f>'2025年中心利润表 '!Z246+'2025年江苏分部利润表'!Z246+'2025年浙江分部利润表'!Z246+'2025年上海分部利润表'!Z246+'2025年赣皖区域利润表'!Z246</f>
        <v>0</v>
      </c>
      <c r="AA246" s="51">
        <f t="shared" si="49"/>
        <v>0</v>
      </c>
      <c r="AB246" s="51">
        <f t="shared" si="54"/>
        <v>0</v>
      </c>
      <c r="AC246" s="94"/>
      <c r="AD246" s="31">
        <f t="shared" si="50"/>
        <v>0</v>
      </c>
      <c r="AE246" s="31">
        <f t="shared" si="51"/>
        <v>0</v>
      </c>
      <c r="AF246" s="17">
        <f t="shared" si="52"/>
        <v>0</v>
      </c>
      <c r="AG246" s="17">
        <f t="shared" si="53"/>
        <v>0</v>
      </c>
      <c r="AH246" s="17">
        <f>SUM('[1]2024年全面预算利润表 (销售1中心)2.8亿'!E251:H251)</f>
        <v>0</v>
      </c>
    </row>
    <row r="247" spans="1:34" s="19" customFormat="1" ht="18" hidden="1" customHeight="1" outlineLevel="1" x14ac:dyDescent="0.25">
      <c r="A247" s="48" t="s">
        <v>176</v>
      </c>
      <c r="B247" s="53"/>
      <c r="C247" s="49">
        <f>'2025年中心利润表 '!C247+'2025年江苏分部利润表'!C247+'2025年浙江分部利润表'!C247+'2025年上海分部利润表'!C247+'2025年赣皖区域利润表'!C247</f>
        <v>0</v>
      </c>
      <c r="D247" s="49">
        <f>'2025年中心利润表 '!D247+'2025年江苏分部利润表'!D247+'2025年浙江分部利润表'!D247+'2025年上海分部利润表'!D247+'2025年赣皖区域利润表'!D247</f>
        <v>0</v>
      </c>
      <c r="E247" s="49">
        <f>'2025年中心利润表 '!E247+'2025年江苏分部利润表'!E247+'2025年浙江分部利润表'!E247+'2025年上海分部利润表'!E247+'2025年赣皖区域利润表'!E247</f>
        <v>0</v>
      </c>
      <c r="F247" s="49">
        <f>'2025年中心利润表 '!F247+'2025年江苏分部利润表'!F247+'2025年浙江分部利润表'!F247+'2025年上海分部利润表'!F247+'2025年赣皖区域利润表'!F247</f>
        <v>0</v>
      </c>
      <c r="G247" s="49">
        <f>'2025年中心利润表 '!G247+'2025年江苏分部利润表'!G247+'2025年浙江分部利润表'!G247+'2025年上海分部利润表'!G247+'2025年赣皖区域利润表'!G247</f>
        <v>0</v>
      </c>
      <c r="H247" s="49">
        <f>'2025年中心利润表 '!H247+'2025年江苏分部利润表'!H247+'2025年浙江分部利润表'!H247+'2025年上海分部利润表'!H247+'2025年赣皖区域利润表'!H247</f>
        <v>0</v>
      </c>
      <c r="I247" s="49">
        <f>'2025年中心利润表 '!I247+'2025年江苏分部利润表'!I247+'2025年浙江分部利润表'!I247+'2025年上海分部利润表'!I247+'2025年赣皖区域利润表'!I247</f>
        <v>0</v>
      </c>
      <c r="J247" s="49">
        <f>'2025年中心利润表 '!J247+'2025年江苏分部利润表'!J247+'2025年浙江分部利润表'!J247+'2025年上海分部利润表'!J247+'2025年赣皖区域利润表'!J247</f>
        <v>0</v>
      </c>
      <c r="K247" s="49">
        <f>'2025年中心利润表 '!K247+'2025年江苏分部利润表'!K247+'2025年浙江分部利润表'!K247+'2025年上海分部利润表'!K247+'2025年赣皖区域利润表'!K247</f>
        <v>0</v>
      </c>
      <c r="L247" s="49">
        <f>'2025年中心利润表 '!L247+'2025年江苏分部利润表'!L247+'2025年浙江分部利润表'!L247+'2025年上海分部利润表'!L247+'2025年赣皖区域利润表'!L247</f>
        <v>0</v>
      </c>
      <c r="M247" s="49">
        <f>'2025年中心利润表 '!M247+'2025年江苏分部利润表'!M247+'2025年浙江分部利润表'!M247+'2025年上海分部利润表'!M247+'2025年赣皖区域利润表'!M247</f>
        <v>0</v>
      </c>
      <c r="N247" s="49">
        <f>'2025年中心利润表 '!N247+'2025年江苏分部利润表'!N247+'2025年浙江分部利润表'!N247+'2025年上海分部利润表'!N247+'2025年赣皖区域利润表'!N247</f>
        <v>0</v>
      </c>
      <c r="O247" s="49">
        <f>'2025年中心利润表 '!O247+'2025年江苏分部利润表'!O247+'2025年浙江分部利润表'!O247+'2025年上海分部利润表'!O247+'2025年赣皖区域利润表'!O247</f>
        <v>0</v>
      </c>
      <c r="P247" s="49">
        <f>'2025年中心利润表 '!P247+'2025年江苏分部利润表'!P247+'2025年浙江分部利润表'!P247+'2025年上海分部利润表'!P247+'2025年赣皖区域利润表'!P247</f>
        <v>0</v>
      </c>
      <c r="Q247" s="49">
        <f>'2025年中心利润表 '!Q247+'2025年江苏分部利润表'!Q247+'2025年浙江分部利润表'!Q247+'2025年上海分部利润表'!Q247+'2025年赣皖区域利润表'!Q247</f>
        <v>0</v>
      </c>
      <c r="R247" s="49">
        <f>'2025年中心利润表 '!R247+'2025年江苏分部利润表'!R247+'2025年浙江分部利润表'!R247+'2025年上海分部利润表'!R247+'2025年赣皖区域利润表'!R247</f>
        <v>0</v>
      </c>
      <c r="S247" s="49">
        <f>'2025年中心利润表 '!S247+'2025年江苏分部利润表'!S247+'2025年浙江分部利润表'!S247+'2025年上海分部利润表'!S247+'2025年赣皖区域利润表'!S247</f>
        <v>0</v>
      </c>
      <c r="T247" s="49">
        <f>'2025年中心利润表 '!T247+'2025年江苏分部利润表'!T247+'2025年浙江分部利润表'!T247+'2025年上海分部利润表'!T247+'2025年赣皖区域利润表'!T247</f>
        <v>0</v>
      </c>
      <c r="U247" s="49">
        <f>'2025年中心利润表 '!U247+'2025年江苏分部利润表'!U247+'2025年浙江分部利润表'!U247+'2025年上海分部利润表'!U247+'2025年赣皖区域利润表'!U247</f>
        <v>0</v>
      </c>
      <c r="V247" s="49">
        <f>'2025年中心利润表 '!V247+'2025年江苏分部利润表'!V247+'2025年浙江分部利润表'!V247+'2025年上海分部利润表'!V247+'2025年赣皖区域利润表'!V247</f>
        <v>0</v>
      </c>
      <c r="W247" s="49">
        <f>'2025年中心利润表 '!W247+'2025年江苏分部利润表'!W247+'2025年浙江分部利润表'!W247+'2025年上海分部利润表'!W247+'2025年赣皖区域利润表'!W247</f>
        <v>0</v>
      </c>
      <c r="X247" s="49">
        <f>'2025年中心利润表 '!X247+'2025年江苏分部利润表'!X247+'2025年浙江分部利润表'!X247+'2025年上海分部利润表'!X247+'2025年赣皖区域利润表'!X247</f>
        <v>0</v>
      </c>
      <c r="Y247" s="49">
        <f>'2025年中心利润表 '!Y247+'2025年江苏分部利润表'!Y247+'2025年浙江分部利润表'!Y247+'2025年上海分部利润表'!Y247+'2025年赣皖区域利润表'!Y247</f>
        <v>0</v>
      </c>
      <c r="Z247" s="49">
        <f>'2025年中心利润表 '!Z247+'2025年江苏分部利润表'!Z247+'2025年浙江分部利润表'!Z247+'2025年上海分部利润表'!Z247+'2025年赣皖区域利润表'!Z247</f>
        <v>0</v>
      </c>
      <c r="AA247" s="51">
        <f t="shared" si="49"/>
        <v>0</v>
      </c>
      <c r="AB247" s="51">
        <f t="shared" si="54"/>
        <v>0</v>
      </c>
      <c r="AC247" s="94"/>
      <c r="AD247" s="31">
        <f t="shared" si="50"/>
        <v>0</v>
      </c>
      <c r="AE247" s="31">
        <f t="shared" si="51"/>
        <v>0</v>
      </c>
      <c r="AF247" s="17">
        <f t="shared" si="52"/>
        <v>0</v>
      </c>
      <c r="AG247" s="17">
        <f t="shared" si="53"/>
        <v>0</v>
      </c>
      <c r="AH247" s="17">
        <f>SUM('[1]2024年全面预算利润表 (销售1中心)2.8亿'!E252:H252)</f>
        <v>0</v>
      </c>
    </row>
    <row r="248" spans="1:34" s="19" customFormat="1" ht="18" hidden="1" customHeight="1" outlineLevel="1" x14ac:dyDescent="0.25">
      <c r="A248" s="48" t="s">
        <v>177</v>
      </c>
      <c r="B248" s="53"/>
      <c r="C248" s="49">
        <f>'2025年中心利润表 '!C248+'2025年江苏分部利润表'!C248+'2025年浙江分部利润表'!C248+'2025年上海分部利润表'!C248+'2025年赣皖区域利润表'!C248</f>
        <v>0</v>
      </c>
      <c r="D248" s="49">
        <f>'2025年中心利润表 '!D248+'2025年江苏分部利润表'!D248+'2025年浙江分部利润表'!D248+'2025年上海分部利润表'!D248+'2025年赣皖区域利润表'!D248</f>
        <v>0</v>
      </c>
      <c r="E248" s="49">
        <f>'2025年中心利润表 '!E248+'2025年江苏分部利润表'!E248+'2025年浙江分部利润表'!E248+'2025年上海分部利润表'!E248+'2025年赣皖区域利润表'!E248</f>
        <v>0</v>
      </c>
      <c r="F248" s="49">
        <f>'2025年中心利润表 '!F248+'2025年江苏分部利润表'!F248+'2025年浙江分部利润表'!F248+'2025年上海分部利润表'!F248+'2025年赣皖区域利润表'!F248</f>
        <v>0</v>
      </c>
      <c r="G248" s="49">
        <f>'2025年中心利润表 '!G248+'2025年江苏分部利润表'!G248+'2025年浙江分部利润表'!G248+'2025年上海分部利润表'!G248+'2025年赣皖区域利润表'!G248</f>
        <v>0</v>
      </c>
      <c r="H248" s="49">
        <f>'2025年中心利润表 '!H248+'2025年江苏分部利润表'!H248+'2025年浙江分部利润表'!H248+'2025年上海分部利润表'!H248+'2025年赣皖区域利润表'!H248</f>
        <v>0</v>
      </c>
      <c r="I248" s="49">
        <f>'2025年中心利润表 '!I248+'2025年江苏分部利润表'!I248+'2025年浙江分部利润表'!I248+'2025年上海分部利润表'!I248+'2025年赣皖区域利润表'!I248</f>
        <v>0</v>
      </c>
      <c r="J248" s="49">
        <f>'2025年中心利润表 '!J248+'2025年江苏分部利润表'!J248+'2025年浙江分部利润表'!J248+'2025年上海分部利润表'!J248+'2025年赣皖区域利润表'!J248</f>
        <v>0</v>
      </c>
      <c r="K248" s="49">
        <f>'2025年中心利润表 '!K248+'2025年江苏分部利润表'!K248+'2025年浙江分部利润表'!K248+'2025年上海分部利润表'!K248+'2025年赣皖区域利润表'!K248</f>
        <v>0</v>
      </c>
      <c r="L248" s="49">
        <f>'2025年中心利润表 '!L248+'2025年江苏分部利润表'!L248+'2025年浙江分部利润表'!L248+'2025年上海分部利润表'!L248+'2025年赣皖区域利润表'!L248</f>
        <v>0</v>
      </c>
      <c r="M248" s="49">
        <f>'2025年中心利润表 '!M248+'2025年江苏分部利润表'!M248+'2025年浙江分部利润表'!M248+'2025年上海分部利润表'!M248+'2025年赣皖区域利润表'!M248</f>
        <v>0</v>
      </c>
      <c r="N248" s="49">
        <f>'2025年中心利润表 '!N248+'2025年江苏分部利润表'!N248+'2025年浙江分部利润表'!N248+'2025年上海分部利润表'!N248+'2025年赣皖区域利润表'!N248</f>
        <v>0</v>
      </c>
      <c r="O248" s="49">
        <f>'2025年中心利润表 '!O248+'2025年江苏分部利润表'!O248+'2025年浙江分部利润表'!O248+'2025年上海分部利润表'!O248+'2025年赣皖区域利润表'!O248</f>
        <v>0</v>
      </c>
      <c r="P248" s="49">
        <f>'2025年中心利润表 '!P248+'2025年江苏分部利润表'!P248+'2025年浙江分部利润表'!P248+'2025年上海分部利润表'!P248+'2025年赣皖区域利润表'!P248</f>
        <v>0</v>
      </c>
      <c r="Q248" s="49">
        <f>'2025年中心利润表 '!Q248+'2025年江苏分部利润表'!Q248+'2025年浙江分部利润表'!Q248+'2025年上海分部利润表'!Q248+'2025年赣皖区域利润表'!Q248</f>
        <v>0</v>
      </c>
      <c r="R248" s="49">
        <f>'2025年中心利润表 '!R248+'2025年江苏分部利润表'!R248+'2025年浙江分部利润表'!R248+'2025年上海分部利润表'!R248+'2025年赣皖区域利润表'!R248</f>
        <v>0</v>
      </c>
      <c r="S248" s="49">
        <f>'2025年中心利润表 '!S248+'2025年江苏分部利润表'!S248+'2025年浙江分部利润表'!S248+'2025年上海分部利润表'!S248+'2025年赣皖区域利润表'!S248</f>
        <v>0</v>
      </c>
      <c r="T248" s="49">
        <f>'2025年中心利润表 '!T248+'2025年江苏分部利润表'!T248+'2025年浙江分部利润表'!T248+'2025年上海分部利润表'!T248+'2025年赣皖区域利润表'!T248</f>
        <v>0</v>
      </c>
      <c r="U248" s="49">
        <f>'2025年中心利润表 '!U248+'2025年江苏分部利润表'!U248+'2025年浙江分部利润表'!U248+'2025年上海分部利润表'!U248+'2025年赣皖区域利润表'!U248</f>
        <v>0</v>
      </c>
      <c r="V248" s="49">
        <f>'2025年中心利润表 '!V248+'2025年江苏分部利润表'!V248+'2025年浙江分部利润表'!V248+'2025年上海分部利润表'!V248+'2025年赣皖区域利润表'!V248</f>
        <v>0</v>
      </c>
      <c r="W248" s="49">
        <f>'2025年中心利润表 '!W248+'2025年江苏分部利润表'!W248+'2025年浙江分部利润表'!W248+'2025年上海分部利润表'!W248+'2025年赣皖区域利润表'!W248</f>
        <v>0</v>
      </c>
      <c r="X248" s="49">
        <f>'2025年中心利润表 '!X248+'2025年江苏分部利润表'!X248+'2025年浙江分部利润表'!X248+'2025年上海分部利润表'!X248+'2025年赣皖区域利润表'!X248</f>
        <v>0</v>
      </c>
      <c r="Y248" s="49">
        <f>'2025年中心利润表 '!Y248+'2025年江苏分部利润表'!Y248+'2025年浙江分部利润表'!Y248+'2025年上海分部利润表'!Y248+'2025年赣皖区域利润表'!Y248</f>
        <v>0</v>
      </c>
      <c r="Z248" s="49">
        <f>'2025年中心利润表 '!Z248+'2025年江苏分部利润表'!Z248+'2025年浙江分部利润表'!Z248+'2025年上海分部利润表'!Z248+'2025年赣皖区域利润表'!Z248</f>
        <v>0</v>
      </c>
      <c r="AA248" s="51">
        <f t="shared" si="49"/>
        <v>0</v>
      </c>
      <c r="AB248" s="51">
        <f t="shared" si="54"/>
        <v>0</v>
      </c>
      <c r="AC248" s="94"/>
      <c r="AD248" s="31">
        <f t="shared" si="50"/>
        <v>0</v>
      </c>
      <c r="AE248" s="31">
        <f t="shared" si="51"/>
        <v>0</v>
      </c>
      <c r="AF248" s="17">
        <f t="shared" si="52"/>
        <v>0</v>
      </c>
      <c r="AG248" s="17">
        <f t="shared" si="53"/>
        <v>0</v>
      </c>
      <c r="AH248" s="17">
        <f>SUM('[1]2024年全面预算利润表 (销售1中心)2.8亿'!E253:H253)</f>
        <v>0</v>
      </c>
    </row>
    <row r="249" spans="1:34" s="19" customFormat="1" ht="18" hidden="1" customHeight="1" outlineLevel="1" x14ac:dyDescent="0.25">
      <c r="A249" s="48" t="s">
        <v>178</v>
      </c>
      <c r="B249" s="53"/>
      <c r="C249" s="49">
        <f>'2025年中心利润表 '!C249+'2025年江苏分部利润表'!C249+'2025年浙江分部利润表'!C249+'2025年上海分部利润表'!C249+'2025年赣皖区域利润表'!C249</f>
        <v>0</v>
      </c>
      <c r="D249" s="49">
        <f>'2025年中心利润表 '!D249+'2025年江苏分部利润表'!D249+'2025年浙江分部利润表'!D249+'2025年上海分部利润表'!D249+'2025年赣皖区域利润表'!D249</f>
        <v>0</v>
      </c>
      <c r="E249" s="49">
        <f>'2025年中心利润表 '!E249+'2025年江苏分部利润表'!E249+'2025年浙江分部利润表'!E249+'2025年上海分部利润表'!E249+'2025年赣皖区域利润表'!E249</f>
        <v>0</v>
      </c>
      <c r="F249" s="49">
        <f>'2025年中心利润表 '!F249+'2025年江苏分部利润表'!F249+'2025年浙江分部利润表'!F249+'2025年上海分部利润表'!F249+'2025年赣皖区域利润表'!F249</f>
        <v>0</v>
      </c>
      <c r="G249" s="49">
        <f>'2025年中心利润表 '!G249+'2025年江苏分部利润表'!G249+'2025年浙江分部利润表'!G249+'2025年上海分部利润表'!G249+'2025年赣皖区域利润表'!G249</f>
        <v>0</v>
      </c>
      <c r="H249" s="49">
        <f>'2025年中心利润表 '!H249+'2025年江苏分部利润表'!H249+'2025年浙江分部利润表'!H249+'2025年上海分部利润表'!H249+'2025年赣皖区域利润表'!H249</f>
        <v>0</v>
      </c>
      <c r="I249" s="49">
        <f>'2025年中心利润表 '!I249+'2025年江苏分部利润表'!I249+'2025年浙江分部利润表'!I249+'2025年上海分部利润表'!I249+'2025年赣皖区域利润表'!I249</f>
        <v>0</v>
      </c>
      <c r="J249" s="49">
        <f>'2025年中心利润表 '!J249+'2025年江苏分部利润表'!J249+'2025年浙江分部利润表'!J249+'2025年上海分部利润表'!J249+'2025年赣皖区域利润表'!J249</f>
        <v>0</v>
      </c>
      <c r="K249" s="49">
        <f>'2025年中心利润表 '!K249+'2025年江苏分部利润表'!K249+'2025年浙江分部利润表'!K249+'2025年上海分部利润表'!K249+'2025年赣皖区域利润表'!K249</f>
        <v>0</v>
      </c>
      <c r="L249" s="49">
        <f>'2025年中心利润表 '!L249+'2025年江苏分部利润表'!L249+'2025年浙江分部利润表'!L249+'2025年上海分部利润表'!L249+'2025年赣皖区域利润表'!L249</f>
        <v>0</v>
      </c>
      <c r="M249" s="49">
        <f>'2025年中心利润表 '!M249+'2025年江苏分部利润表'!M249+'2025年浙江分部利润表'!M249+'2025年上海分部利润表'!M249+'2025年赣皖区域利润表'!M249</f>
        <v>0</v>
      </c>
      <c r="N249" s="49">
        <f>'2025年中心利润表 '!N249+'2025年江苏分部利润表'!N249+'2025年浙江分部利润表'!N249+'2025年上海分部利润表'!N249+'2025年赣皖区域利润表'!N249</f>
        <v>0</v>
      </c>
      <c r="O249" s="49">
        <f>'2025年中心利润表 '!O249+'2025年江苏分部利润表'!O249+'2025年浙江分部利润表'!O249+'2025年上海分部利润表'!O249+'2025年赣皖区域利润表'!O249</f>
        <v>0</v>
      </c>
      <c r="P249" s="49">
        <f>'2025年中心利润表 '!P249+'2025年江苏分部利润表'!P249+'2025年浙江分部利润表'!P249+'2025年上海分部利润表'!P249+'2025年赣皖区域利润表'!P249</f>
        <v>0</v>
      </c>
      <c r="Q249" s="49">
        <f>'2025年中心利润表 '!Q249+'2025年江苏分部利润表'!Q249+'2025年浙江分部利润表'!Q249+'2025年上海分部利润表'!Q249+'2025年赣皖区域利润表'!Q249</f>
        <v>0</v>
      </c>
      <c r="R249" s="49">
        <f>'2025年中心利润表 '!R249+'2025年江苏分部利润表'!R249+'2025年浙江分部利润表'!R249+'2025年上海分部利润表'!R249+'2025年赣皖区域利润表'!R249</f>
        <v>0</v>
      </c>
      <c r="S249" s="49">
        <f>'2025年中心利润表 '!S249+'2025年江苏分部利润表'!S249+'2025年浙江分部利润表'!S249+'2025年上海分部利润表'!S249+'2025年赣皖区域利润表'!S249</f>
        <v>0</v>
      </c>
      <c r="T249" s="49">
        <f>'2025年中心利润表 '!T249+'2025年江苏分部利润表'!T249+'2025年浙江分部利润表'!T249+'2025年上海分部利润表'!T249+'2025年赣皖区域利润表'!T249</f>
        <v>0</v>
      </c>
      <c r="U249" s="49">
        <f>'2025年中心利润表 '!U249+'2025年江苏分部利润表'!U249+'2025年浙江分部利润表'!U249+'2025年上海分部利润表'!U249+'2025年赣皖区域利润表'!U249</f>
        <v>0</v>
      </c>
      <c r="V249" s="49">
        <f>'2025年中心利润表 '!V249+'2025年江苏分部利润表'!V249+'2025年浙江分部利润表'!V249+'2025年上海分部利润表'!V249+'2025年赣皖区域利润表'!V249</f>
        <v>0</v>
      </c>
      <c r="W249" s="49">
        <f>'2025年中心利润表 '!W249+'2025年江苏分部利润表'!W249+'2025年浙江分部利润表'!W249+'2025年上海分部利润表'!W249+'2025年赣皖区域利润表'!W249</f>
        <v>0</v>
      </c>
      <c r="X249" s="49">
        <f>'2025年中心利润表 '!X249+'2025年江苏分部利润表'!X249+'2025年浙江分部利润表'!X249+'2025年上海分部利润表'!X249+'2025年赣皖区域利润表'!X249</f>
        <v>0</v>
      </c>
      <c r="Y249" s="49">
        <f>'2025年中心利润表 '!Y249+'2025年江苏分部利润表'!Y249+'2025年浙江分部利润表'!Y249+'2025年上海分部利润表'!Y249+'2025年赣皖区域利润表'!Y249</f>
        <v>0</v>
      </c>
      <c r="Z249" s="49">
        <f>'2025年中心利润表 '!Z249+'2025年江苏分部利润表'!Z249+'2025年浙江分部利润表'!Z249+'2025年上海分部利润表'!Z249+'2025年赣皖区域利润表'!Z249</f>
        <v>0</v>
      </c>
      <c r="AA249" s="51">
        <f t="shared" si="49"/>
        <v>0</v>
      </c>
      <c r="AB249" s="51">
        <f t="shared" si="54"/>
        <v>0</v>
      </c>
      <c r="AC249" s="94"/>
      <c r="AD249" s="31">
        <f t="shared" si="50"/>
        <v>0</v>
      </c>
      <c r="AE249" s="31">
        <f t="shared" si="51"/>
        <v>0</v>
      </c>
      <c r="AF249" s="17">
        <f t="shared" si="52"/>
        <v>0</v>
      </c>
      <c r="AG249" s="17">
        <f t="shared" si="53"/>
        <v>0</v>
      </c>
      <c r="AH249" s="17">
        <f>SUM('[1]2024年全面预算利润表 (销售1中心)2.8亿'!E254:H254)</f>
        <v>0</v>
      </c>
    </row>
    <row r="250" spans="1:34" s="19" customFormat="1" ht="18" customHeight="1" collapsed="1" x14ac:dyDescent="0.25">
      <c r="A250" s="63" t="s">
        <v>182</v>
      </c>
      <c r="B250" s="53">
        <v>9</v>
      </c>
      <c r="C250" s="49">
        <f>'2025年中心利润表 '!C250+'2025年江苏分部利润表'!C250+'2025年浙江分部利润表'!C250+'2025年上海分部利润表'!C250+'2025年赣皖区域利润表'!C250</f>
        <v>0</v>
      </c>
      <c r="D250" s="49">
        <f>'2025年中心利润表 '!D250+'2025年江苏分部利润表'!D250+'2025年浙江分部利润表'!D250+'2025年上海分部利润表'!D250+'2025年赣皖区域利润表'!D250</f>
        <v>0</v>
      </c>
      <c r="E250" s="49">
        <f>'2025年中心利润表 '!E250+'2025年江苏分部利润表'!E250+'2025年浙江分部利润表'!E250+'2025年上海分部利润表'!E250+'2025年赣皖区域利润表'!E250</f>
        <v>0</v>
      </c>
      <c r="F250" s="49">
        <f>'2025年中心利润表 '!F250+'2025年江苏分部利润表'!F250+'2025年浙江分部利润表'!F250+'2025年上海分部利润表'!F250+'2025年赣皖区域利润表'!F250</f>
        <v>0</v>
      </c>
      <c r="G250" s="49">
        <f>'2025年中心利润表 '!G250+'2025年江苏分部利润表'!G250+'2025年浙江分部利润表'!G250+'2025年上海分部利润表'!G250+'2025年赣皖区域利润表'!G250</f>
        <v>0</v>
      </c>
      <c r="H250" s="49">
        <f>'2025年中心利润表 '!H250+'2025年江苏分部利润表'!H250+'2025年浙江分部利润表'!H250+'2025年上海分部利润表'!H250+'2025年赣皖区域利润表'!H250</f>
        <v>0</v>
      </c>
      <c r="I250" s="49">
        <f>'2025年中心利润表 '!I250+'2025年江苏分部利润表'!I250+'2025年浙江分部利润表'!I250+'2025年上海分部利润表'!I250+'2025年赣皖区域利润表'!I250</f>
        <v>0</v>
      </c>
      <c r="J250" s="49">
        <f>'2025年中心利润表 '!J250+'2025年江苏分部利润表'!J250+'2025年浙江分部利润表'!J250+'2025年上海分部利润表'!J250+'2025年赣皖区域利润表'!J250</f>
        <v>0</v>
      </c>
      <c r="K250" s="49">
        <f>'2025年中心利润表 '!K250+'2025年江苏分部利润表'!K250+'2025年浙江分部利润表'!K250+'2025年上海分部利润表'!K250+'2025年赣皖区域利润表'!K250</f>
        <v>0</v>
      </c>
      <c r="L250" s="49">
        <f>'2025年中心利润表 '!L250+'2025年江苏分部利润表'!L250+'2025年浙江分部利润表'!L250+'2025年上海分部利润表'!L250+'2025年赣皖区域利润表'!L250</f>
        <v>0</v>
      </c>
      <c r="M250" s="49">
        <f>'2025年中心利润表 '!M250+'2025年江苏分部利润表'!M250+'2025年浙江分部利润表'!M250+'2025年上海分部利润表'!M250+'2025年赣皖区域利润表'!M250</f>
        <v>0</v>
      </c>
      <c r="N250" s="49">
        <f>'2025年中心利润表 '!N250+'2025年江苏分部利润表'!N250+'2025年浙江分部利润表'!N250+'2025年上海分部利润表'!N250+'2025年赣皖区域利润表'!N250</f>
        <v>0</v>
      </c>
      <c r="O250" s="49">
        <f>'2025年中心利润表 '!O250+'2025年江苏分部利润表'!O250+'2025年浙江分部利润表'!O250+'2025年上海分部利润表'!O250+'2025年赣皖区域利润表'!O250</f>
        <v>0</v>
      </c>
      <c r="P250" s="49">
        <f>'2025年中心利润表 '!P250+'2025年江苏分部利润表'!P250+'2025年浙江分部利润表'!P250+'2025年上海分部利润表'!P250+'2025年赣皖区域利润表'!P250</f>
        <v>0</v>
      </c>
      <c r="Q250" s="49">
        <f>'2025年中心利润表 '!Q250+'2025年江苏分部利润表'!Q250+'2025年浙江分部利润表'!Q250+'2025年上海分部利润表'!Q250+'2025年赣皖区域利润表'!Q250</f>
        <v>0</v>
      </c>
      <c r="R250" s="49">
        <f>'2025年中心利润表 '!R250+'2025年江苏分部利润表'!R250+'2025年浙江分部利润表'!R250+'2025年上海分部利润表'!R250+'2025年赣皖区域利润表'!R250</f>
        <v>0</v>
      </c>
      <c r="S250" s="49">
        <f>'2025年中心利润表 '!S250+'2025年江苏分部利润表'!S250+'2025年浙江分部利润表'!S250+'2025年上海分部利润表'!S250+'2025年赣皖区域利润表'!S250</f>
        <v>0</v>
      </c>
      <c r="T250" s="49">
        <f>'2025年中心利润表 '!T250+'2025年江苏分部利润表'!T250+'2025年浙江分部利润表'!T250+'2025年上海分部利润表'!T250+'2025年赣皖区域利润表'!T250</f>
        <v>0</v>
      </c>
      <c r="U250" s="49">
        <f>'2025年中心利润表 '!U250+'2025年江苏分部利润表'!U250+'2025年浙江分部利润表'!U250+'2025年上海分部利润表'!U250+'2025年赣皖区域利润表'!U250</f>
        <v>0</v>
      </c>
      <c r="V250" s="49">
        <f>'2025年中心利润表 '!V250+'2025年江苏分部利润表'!V250+'2025年浙江分部利润表'!V250+'2025年上海分部利润表'!V250+'2025年赣皖区域利润表'!V250</f>
        <v>0</v>
      </c>
      <c r="W250" s="49">
        <f>'2025年中心利润表 '!W250+'2025年江苏分部利润表'!W250+'2025年浙江分部利润表'!W250+'2025年上海分部利润表'!W250+'2025年赣皖区域利润表'!W250</f>
        <v>0</v>
      </c>
      <c r="X250" s="49">
        <f>'2025年中心利润表 '!X250+'2025年江苏分部利润表'!X250+'2025年浙江分部利润表'!X250+'2025年上海分部利润表'!X250+'2025年赣皖区域利润表'!X250</f>
        <v>0</v>
      </c>
      <c r="Y250" s="49">
        <f>'2025年中心利润表 '!Y250+'2025年江苏分部利润表'!Y250+'2025年浙江分部利润表'!Y250+'2025年上海分部利润表'!Y250+'2025年赣皖区域利润表'!Y250</f>
        <v>0</v>
      </c>
      <c r="Z250" s="49">
        <f>'2025年中心利润表 '!Z250+'2025年江苏分部利润表'!Z250+'2025年浙江分部利润表'!Z250+'2025年上海分部利润表'!Z250+'2025年赣皖区域利润表'!Z250</f>
        <v>0</v>
      </c>
      <c r="AA250" s="51">
        <f t="shared" si="49"/>
        <v>0</v>
      </c>
      <c r="AB250" s="51">
        <f t="shared" si="54"/>
        <v>0</v>
      </c>
      <c r="AC250" s="94"/>
      <c r="AD250" s="31">
        <f t="shared" si="50"/>
        <v>0</v>
      </c>
      <c r="AE250" s="31">
        <f t="shared" si="51"/>
        <v>0</v>
      </c>
      <c r="AF250" s="17">
        <f t="shared" si="52"/>
        <v>0</v>
      </c>
      <c r="AG250" s="17">
        <f t="shared" si="53"/>
        <v>0</v>
      </c>
      <c r="AH250" s="17">
        <f>SUM('[1]2024年全面预算利润表 (销售1中心)2.8亿'!E255:H255)</f>
        <v>0</v>
      </c>
    </row>
    <row r="251" spans="1:34" s="19" customFormat="1" ht="18" customHeight="1" x14ac:dyDescent="0.25">
      <c r="A251" s="63" t="s">
        <v>183</v>
      </c>
      <c r="B251" s="53">
        <v>10</v>
      </c>
      <c r="C251" s="49">
        <f>'2025年中心利润表 '!C251+'2025年江苏分部利润表'!C251+'2025年浙江分部利润表'!C251+'2025年上海分部利润表'!C251+'2025年赣皖区域利润表'!C251</f>
        <v>0</v>
      </c>
      <c r="D251" s="49">
        <f>'2025年中心利润表 '!D251+'2025年江苏分部利润表'!D251+'2025年浙江分部利润表'!D251+'2025年上海分部利润表'!D251+'2025年赣皖区域利润表'!D251</f>
        <v>0</v>
      </c>
      <c r="E251" s="49">
        <f>'2025年中心利润表 '!E251+'2025年江苏分部利润表'!E251+'2025年浙江分部利润表'!E251+'2025年上海分部利润表'!E251+'2025年赣皖区域利润表'!E251</f>
        <v>0</v>
      </c>
      <c r="F251" s="49">
        <f>'2025年中心利润表 '!F251+'2025年江苏分部利润表'!F251+'2025年浙江分部利润表'!F251+'2025年上海分部利润表'!F251+'2025年赣皖区域利润表'!F251</f>
        <v>0</v>
      </c>
      <c r="G251" s="49">
        <f>'2025年中心利润表 '!G251+'2025年江苏分部利润表'!G251+'2025年浙江分部利润表'!G251+'2025年上海分部利润表'!G251+'2025年赣皖区域利润表'!G251</f>
        <v>0</v>
      </c>
      <c r="H251" s="49">
        <f>'2025年中心利润表 '!H251+'2025年江苏分部利润表'!H251+'2025年浙江分部利润表'!H251+'2025年上海分部利润表'!H251+'2025年赣皖区域利润表'!H251</f>
        <v>0</v>
      </c>
      <c r="I251" s="49">
        <f>'2025年中心利润表 '!I251+'2025年江苏分部利润表'!I251+'2025年浙江分部利润表'!I251+'2025年上海分部利润表'!I251+'2025年赣皖区域利润表'!I251</f>
        <v>0</v>
      </c>
      <c r="J251" s="49">
        <f>'2025年中心利润表 '!J251+'2025年江苏分部利润表'!J251+'2025年浙江分部利润表'!J251+'2025年上海分部利润表'!J251+'2025年赣皖区域利润表'!J251</f>
        <v>0</v>
      </c>
      <c r="K251" s="49">
        <f>'2025年中心利润表 '!K251+'2025年江苏分部利润表'!K251+'2025年浙江分部利润表'!K251+'2025年上海分部利润表'!K251+'2025年赣皖区域利润表'!K251</f>
        <v>0</v>
      </c>
      <c r="L251" s="49">
        <f>'2025年中心利润表 '!L251+'2025年江苏分部利润表'!L251+'2025年浙江分部利润表'!L251+'2025年上海分部利润表'!L251+'2025年赣皖区域利润表'!L251</f>
        <v>0</v>
      </c>
      <c r="M251" s="49">
        <f>'2025年中心利润表 '!M251+'2025年江苏分部利润表'!M251+'2025年浙江分部利润表'!M251+'2025年上海分部利润表'!M251+'2025年赣皖区域利润表'!M251</f>
        <v>0</v>
      </c>
      <c r="N251" s="49">
        <f>'2025年中心利润表 '!N251+'2025年江苏分部利润表'!N251+'2025年浙江分部利润表'!N251+'2025年上海分部利润表'!N251+'2025年赣皖区域利润表'!N251</f>
        <v>0</v>
      </c>
      <c r="O251" s="49">
        <f>'2025年中心利润表 '!O251+'2025年江苏分部利润表'!O251+'2025年浙江分部利润表'!O251+'2025年上海分部利润表'!O251+'2025年赣皖区域利润表'!O251</f>
        <v>0</v>
      </c>
      <c r="P251" s="49">
        <f>'2025年中心利润表 '!P251+'2025年江苏分部利润表'!P251+'2025年浙江分部利润表'!P251+'2025年上海分部利润表'!P251+'2025年赣皖区域利润表'!P251</f>
        <v>0</v>
      </c>
      <c r="Q251" s="49">
        <f>'2025年中心利润表 '!Q251+'2025年江苏分部利润表'!Q251+'2025年浙江分部利润表'!Q251+'2025年上海分部利润表'!Q251+'2025年赣皖区域利润表'!Q251</f>
        <v>0</v>
      </c>
      <c r="R251" s="49">
        <f>'2025年中心利润表 '!R251+'2025年江苏分部利润表'!R251+'2025年浙江分部利润表'!R251+'2025年上海分部利润表'!R251+'2025年赣皖区域利润表'!R251</f>
        <v>0</v>
      </c>
      <c r="S251" s="49">
        <f>'2025年中心利润表 '!S251+'2025年江苏分部利润表'!S251+'2025年浙江分部利润表'!S251+'2025年上海分部利润表'!S251+'2025年赣皖区域利润表'!S251</f>
        <v>0</v>
      </c>
      <c r="T251" s="49">
        <f>'2025年中心利润表 '!T251+'2025年江苏分部利润表'!T251+'2025年浙江分部利润表'!T251+'2025年上海分部利润表'!T251+'2025年赣皖区域利润表'!T251</f>
        <v>0</v>
      </c>
      <c r="U251" s="49">
        <f>'2025年中心利润表 '!U251+'2025年江苏分部利润表'!U251+'2025年浙江分部利润表'!U251+'2025年上海分部利润表'!U251+'2025年赣皖区域利润表'!U251</f>
        <v>0</v>
      </c>
      <c r="V251" s="49">
        <f>'2025年中心利润表 '!V251+'2025年江苏分部利润表'!V251+'2025年浙江分部利润表'!V251+'2025年上海分部利润表'!V251+'2025年赣皖区域利润表'!V251</f>
        <v>0</v>
      </c>
      <c r="W251" s="49">
        <f>'2025年中心利润表 '!W251+'2025年江苏分部利润表'!W251+'2025年浙江分部利润表'!W251+'2025年上海分部利润表'!W251+'2025年赣皖区域利润表'!W251</f>
        <v>0</v>
      </c>
      <c r="X251" s="49">
        <f>'2025年中心利润表 '!X251+'2025年江苏分部利润表'!X251+'2025年浙江分部利润表'!X251+'2025年上海分部利润表'!X251+'2025年赣皖区域利润表'!X251</f>
        <v>0</v>
      </c>
      <c r="Y251" s="49">
        <f>'2025年中心利润表 '!Y251+'2025年江苏分部利润表'!Y251+'2025年浙江分部利润表'!Y251+'2025年上海分部利润表'!Y251+'2025年赣皖区域利润表'!Y251</f>
        <v>0</v>
      </c>
      <c r="Z251" s="49">
        <f>'2025年中心利润表 '!Z251+'2025年江苏分部利润表'!Z251+'2025年浙江分部利润表'!Z251+'2025年上海分部利润表'!Z251+'2025年赣皖区域利润表'!Z251</f>
        <v>0</v>
      </c>
      <c r="AA251" s="51">
        <f t="shared" si="49"/>
        <v>0</v>
      </c>
      <c r="AB251" s="51">
        <f t="shared" si="54"/>
        <v>0</v>
      </c>
      <c r="AC251" s="94"/>
      <c r="AD251" s="31">
        <f t="shared" si="50"/>
        <v>0</v>
      </c>
      <c r="AE251" s="31">
        <f t="shared" si="51"/>
        <v>0</v>
      </c>
      <c r="AF251" s="17">
        <f t="shared" si="52"/>
        <v>0</v>
      </c>
      <c r="AG251" s="17">
        <f t="shared" si="53"/>
        <v>0</v>
      </c>
      <c r="AH251" s="17">
        <f>SUM('[1]2024年全面预算利润表 (销售1中心)2.8亿'!E254:H254)</f>
        <v>0</v>
      </c>
    </row>
    <row r="252" spans="1:34" s="19" customFormat="1" ht="18" customHeight="1" x14ac:dyDescent="0.25">
      <c r="A252" s="63" t="s">
        <v>184</v>
      </c>
      <c r="B252" s="53">
        <v>11</v>
      </c>
      <c r="C252" s="49">
        <f>'2025年中心利润表 '!C252+'2025年江苏分部利润表'!C252+'2025年浙江分部利润表'!C252+'2025年上海分部利润表'!C252+'2025年赣皖区域利润表'!C252</f>
        <v>0</v>
      </c>
      <c r="D252" s="49">
        <f>'2025年中心利润表 '!D252+'2025年江苏分部利润表'!D252+'2025年浙江分部利润表'!D252+'2025年上海分部利润表'!D252+'2025年赣皖区域利润表'!D252</f>
        <v>0</v>
      </c>
      <c r="E252" s="49">
        <f>'2025年中心利润表 '!E252+'2025年江苏分部利润表'!E252+'2025年浙江分部利润表'!E252+'2025年上海分部利润表'!E252+'2025年赣皖区域利润表'!E252</f>
        <v>0</v>
      </c>
      <c r="F252" s="49">
        <f>'2025年中心利润表 '!F252+'2025年江苏分部利润表'!F252+'2025年浙江分部利润表'!F252+'2025年上海分部利润表'!F252+'2025年赣皖区域利润表'!F252</f>
        <v>0</v>
      </c>
      <c r="G252" s="49">
        <f>'2025年中心利润表 '!G252+'2025年江苏分部利润表'!G252+'2025年浙江分部利润表'!G252+'2025年上海分部利润表'!G252+'2025年赣皖区域利润表'!G252</f>
        <v>0</v>
      </c>
      <c r="H252" s="49">
        <f>'2025年中心利润表 '!H252+'2025年江苏分部利润表'!H252+'2025年浙江分部利润表'!H252+'2025年上海分部利润表'!H252+'2025年赣皖区域利润表'!H252</f>
        <v>0</v>
      </c>
      <c r="I252" s="49">
        <f>'2025年中心利润表 '!I252+'2025年江苏分部利润表'!I252+'2025年浙江分部利润表'!I252+'2025年上海分部利润表'!I252+'2025年赣皖区域利润表'!I252</f>
        <v>0</v>
      </c>
      <c r="J252" s="49">
        <f>'2025年中心利润表 '!J252+'2025年江苏分部利润表'!J252+'2025年浙江分部利润表'!J252+'2025年上海分部利润表'!J252+'2025年赣皖区域利润表'!J252</f>
        <v>0</v>
      </c>
      <c r="K252" s="49">
        <f>'2025年中心利润表 '!K252+'2025年江苏分部利润表'!K252+'2025年浙江分部利润表'!K252+'2025年上海分部利润表'!K252+'2025年赣皖区域利润表'!K252</f>
        <v>0</v>
      </c>
      <c r="L252" s="49">
        <f>'2025年中心利润表 '!L252+'2025年江苏分部利润表'!L252+'2025年浙江分部利润表'!L252+'2025年上海分部利润表'!L252+'2025年赣皖区域利润表'!L252</f>
        <v>0</v>
      </c>
      <c r="M252" s="49">
        <f>'2025年中心利润表 '!M252+'2025年江苏分部利润表'!M252+'2025年浙江分部利润表'!M252+'2025年上海分部利润表'!M252+'2025年赣皖区域利润表'!M252</f>
        <v>0</v>
      </c>
      <c r="N252" s="49">
        <f>'2025年中心利润表 '!N252+'2025年江苏分部利润表'!N252+'2025年浙江分部利润表'!N252+'2025年上海分部利润表'!N252+'2025年赣皖区域利润表'!N252</f>
        <v>0</v>
      </c>
      <c r="O252" s="49">
        <f>'2025年中心利润表 '!O252+'2025年江苏分部利润表'!O252+'2025年浙江分部利润表'!O252+'2025年上海分部利润表'!O252+'2025年赣皖区域利润表'!O252</f>
        <v>0</v>
      </c>
      <c r="P252" s="49">
        <f>'2025年中心利润表 '!P252+'2025年江苏分部利润表'!P252+'2025年浙江分部利润表'!P252+'2025年上海分部利润表'!P252+'2025年赣皖区域利润表'!P252</f>
        <v>0</v>
      </c>
      <c r="Q252" s="49">
        <f>'2025年中心利润表 '!Q252+'2025年江苏分部利润表'!Q252+'2025年浙江分部利润表'!Q252+'2025年上海分部利润表'!Q252+'2025年赣皖区域利润表'!Q252</f>
        <v>0</v>
      </c>
      <c r="R252" s="49">
        <f>'2025年中心利润表 '!R252+'2025年江苏分部利润表'!R252+'2025年浙江分部利润表'!R252+'2025年上海分部利润表'!R252+'2025年赣皖区域利润表'!R252</f>
        <v>0</v>
      </c>
      <c r="S252" s="49">
        <f>'2025年中心利润表 '!S252+'2025年江苏分部利润表'!S252+'2025年浙江分部利润表'!S252+'2025年上海分部利润表'!S252+'2025年赣皖区域利润表'!S252</f>
        <v>0</v>
      </c>
      <c r="T252" s="49">
        <f>'2025年中心利润表 '!T252+'2025年江苏分部利润表'!T252+'2025年浙江分部利润表'!T252+'2025年上海分部利润表'!T252+'2025年赣皖区域利润表'!T252</f>
        <v>0</v>
      </c>
      <c r="U252" s="49">
        <f>'2025年中心利润表 '!U252+'2025年江苏分部利润表'!U252+'2025年浙江分部利润表'!U252+'2025年上海分部利润表'!U252+'2025年赣皖区域利润表'!U252</f>
        <v>0</v>
      </c>
      <c r="V252" s="49">
        <f>'2025年中心利润表 '!V252+'2025年江苏分部利润表'!V252+'2025年浙江分部利润表'!V252+'2025年上海分部利润表'!V252+'2025年赣皖区域利润表'!V252</f>
        <v>0</v>
      </c>
      <c r="W252" s="49">
        <f>'2025年中心利润表 '!W252+'2025年江苏分部利润表'!W252+'2025年浙江分部利润表'!W252+'2025年上海分部利润表'!W252+'2025年赣皖区域利润表'!W252</f>
        <v>0</v>
      </c>
      <c r="X252" s="49">
        <f>'2025年中心利润表 '!X252+'2025年江苏分部利润表'!X252+'2025年浙江分部利润表'!X252+'2025年上海分部利润表'!X252+'2025年赣皖区域利润表'!X252</f>
        <v>0</v>
      </c>
      <c r="Y252" s="49">
        <f>'2025年中心利润表 '!Y252+'2025年江苏分部利润表'!Y252+'2025年浙江分部利润表'!Y252+'2025年上海分部利润表'!Y252+'2025年赣皖区域利润表'!Y252</f>
        <v>0</v>
      </c>
      <c r="Z252" s="49">
        <f>'2025年中心利润表 '!Z252+'2025年江苏分部利润表'!Z252+'2025年浙江分部利润表'!Z252+'2025年上海分部利润表'!Z252+'2025年赣皖区域利润表'!Z252</f>
        <v>0</v>
      </c>
      <c r="AA252" s="51">
        <f t="shared" si="49"/>
        <v>0</v>
      </c>
      <c r="AB252" s="51">
        <f t="shared" si="54"/>
        <v>0</v>
      </c>
      <c r="AC252" s="94"/>
      <c r="AD252" s="31">
        <f t="shared" si="50"/>
        <v>0</v>
      </c>
      <c r="AE252" s="31">
        <f t="shared" si="51"/>
        <v>0</v>
      </c>
      <c r="AF252" s="17">
        <f t="shared" si="52"/>
        <v>0</v>
      </c>
      <c r="AG252" s="17">
        <f t="shared" si="53"/>
        <v>0</v>
      </c>
      <c r="AH252" s="17">
        <f>SUM('[1]2024年全面预算利润表 (销售1中心)2.8亿'!E255:H255)</f>
        <v>0</v>
      </c>
    </row>
    <row r="253" spans="1:34" s="19" customFormat="1" ht="18" hidden="1" customHeight="1" outlineLevel="1" x14ac:dyDescent="0.25">
      <c r="A253" s="63" t="s">
        <v>185</v>
      </c>
      <c r="B253" s="53">
        <v>12</v>
      </c>
      <c r="C253" s="49">
        <f>'2025年中心利润表 '!C253+'2025年江苏分部利润表'!C253+'2025年浙江分部利润表'!C253+'2025年上海分部利润表'!C253+'2025年赣皖区域利润表'!C253</f>
        <v>0</v>
      </c>
      <c r="D253" s="49">
        <f>'2025年中心利润表 '!D253+'2025年江苏分部利润表'!D253+'2025年浙江分部利润表'!D253+'2025年上海分部利润表'!D253+'2025年赣皖区域利润表'!D253</f>
        <v>0</v>
      </c>
      <c r="E253" s="49">
        <f>'2025年中心利润表 '!E253+'2025年江苏分部利润表'!E253+'2025年浙江分部利润表'!E253+'2025年上海分部利润表'!E253+'2025年赣皖区域利润表'!E253</f>
        <v>0</v>
      </c>
      <c r="F253" s="49">
        <f>'2025年中心利润表 '!F253+'2025年江苏分部利润表'!F253+'2025年浙江分部利润表'!F253+'2025年上海分部利润表'!F253+'2025年赣皖区域利润表'!F253</f>
        <v>0</v>
      </c>
      <c r="G253" s="49">
        <f>'2025年中心利润表 '!G253+'2025年江苏分部利润表'!G253+'2025年浙江分部利润表'!G253+'2025年上海分部利润表'!G253+'2025年赣皖区域利润表'!G253</f>
        <v>0</v>
      </c>
      <c r="H253" s="49">
        <f>'2025年中心利润表 '!H253+'2025年江苏分部利润表'!H253+'2025年浙江分部利润表'!H253+'2025年上海分部利润表'!H253+'2025年赣皖区域利润表'!H253</f>
        <v>0</v>
      </c>
      <c r="I253" s="49">
        <f>'2025年中心利润表 '!I253+'2025年江苏分部利润表'!I253+'2025年浙江分部利润表'!I253+'2025年上海分部利润表'!I253+'2025年赣皖区域利润表'!I253</f>
        <v>0</v>
      </c>
      <c r="J253" s="49">
        <f>'2025年中心利润表 '!J253+'2025年江苏分部利润表'!J253+'2025年浙江分部利润表'!J253+'2025年上海分部利润表'!J253+'2025年赣皖区域利润表'!J253</f>
        <v>0</v>
      </c>
      <c r="K253" s="49">
        <f>'2025年中心利润表 '!K253+'2025年江苏分部利润表'!K253+'2025年浙江分部利润表'!K253+'2025年上海分部利润表'!K253+'2025年赣皖区域利润表'!K253</f>
        <v>0</v>
      </c>
      <c r="L253" s="49">
        <f>'2025年中心利润表 '!L253+'2025年江苏分部利润表'!L253+'2025年浙江分部利润表'!L253+'2025年上海分部利润表'!L253+'2025年赣皖区域利润表'!L253</f>
        <v>0</v>
      </c>
      <c r="M253" s="49">
        <f>'2025年中心利润表 '!M253+'2025年江苏分部利润表'!M253+'2025年浙江分部利润表'!M253+'2025年上海分部利润表'!M253+'2025年赣皖区域利润表'!M253</f>
        <v>0</v>
      </c>
      <c r="N253" s="49">
        <f>'2025年中心利润表 '!N253+'2025年江苏分部利润表'!N253+'2025年浙江分部利润表'!N253+'2025年上海分部利润表'!N253+'2025年赣皖区域利润表'!N253</f>
        <v>0</v>
      </c>
      <c r="O253" s="49">
        <f>'2025年中心利润表 '!O253+'2025年江苏分部利润表'!O253+'2025年浙江分部利润表'!O253+'2025年上海分部利润表'!O253+'2025年赣皖区域利润表'!O253</f>
        <v>0</v>
      </c>
      <c r="P253" s="49">
        <f>'2025年中心利润表 '!P253+'2025年江苏分部利润表'!P253+'2025年浙江分部利润表'!P253+'2025年上海分部利润表'!P253+'2025年赣皖区域利润表'!P253</f>
        <v>0</v>
      </c>
      <c r="Q253" s="49">
        <f>'2025年中心利润表 '!Q253+'2025年江苏分部利润表'!Q253+'2025年浙江分部利润表'!Q253+'2025年上海分部利润表'!Q253+'2025年赣皖区域利润表'!Q253</f>
        <v>0</v>
      </c>
      <c r="R253" s="49">
        <f>'2025年中心利润表 '!R253+'2025年江苏分部利润表'!R253+'2025年浙江分部利润表'!R253+'2025年上海分部利润表'!R253+'2025年赣皖区域利润表'!R253</f>
        <v>0</v>
      </c>
      <c r="S253" s="49">
        <f>'2025年中心利润表 '!S253+'2025年江苏分部利润表'!S253+'2025年浙江分部利润表'!S253+'2025年上海分部利润表'!S253+'2025年赣皖区域利润表'!S253</f>
        <v>0</v>
      </c>
      <c r="T253" s="49">
        <f>'2025年中心利润表 '!T253+'2025年江苏分部利润表'!T253+'2025年浙江分部利润表'!T253+'2025年上海分部利润表'!T253+'2025年赣皖区域利润表'!T253</f>
        <v>0</v>
      </c>
      <c r="U253" s="49">
        <f>'2025年中心利润表 '!U253+'2025年江苏分部利润表'!U253+'2025年浙江分部利润表'!U253+'2025年上海分部利润表'!U253+'2025年赣皖区域利润表'!U253</f>
        <v>0</v>
      </c>
      <c r="V253" s="49">
        <f>'2025年中心利润表 '!V253+'2025年江苏分部利润表'!V253+'2025年浙江分部利润表'!V253+'2025年上海分部利润表'!V253+'2025年赣皖区域利润表'!V253</f>
        <v>0</v>
      </c>
      <c r="W253" s="49">
        <f>'2025年中心利润表 '!W253+'2025年江苏分部利润表'!W253+'2025年浙江分部利润表'!W253+'2025年上海分部利润表'!W253+'2025年赣皖区域利润表'!W253</f>
        <v>0</v>
      </c>
      <c r="X253" s="49">
        <f>'2025年中心利润表 '!X253+'2025年江苏分部利润表'!X253+'2025年浙江分部利润表'!X253+'2025年上海分部利润表'!X253+'2025年赣皖区域利润表'!X253</f>
        <v>0</v>
      </c>
      <c r="Y253" s="49">
        <f>'2025年中心利润表 '!Y253+'2025年江苏分部利润表'!Y253+'2025年浙江分部利润表'!Y253+'2025年上海分部利润表'!Y253+'2025年赣皖区域利润表'!Y253</f>
        <v>0</v>
      </c>
      <c r="Z253" s="49">
        <f>'2025年中心利润表 '!Z253+'2025年江苏分部利润表'!Z253+'2025年浙江分部利润表'!Z253+'2025年上海分部利润表'!Z253+'2025年赣皖区域利润表'!Z253</f>
        <v>0</v>
      </c>
      <c r="AA253" s="51">
        <f t="shared" si="49"/>
        <v>0</v>
      </c>
      <c r="AB253" s="51">
        <f t="shared" si="54"/>
        <v>0</v>
      </c>
      <c r="AC253" s="94"/>
      <c r="AD253" s="31">
        <f t="shared" si="50"/>
        <v>0</v>
      </c>
      <c r="AE253" s="31">
        <f t="shared" si="51"/>
        <v>0</v>
      </c>
      <c r="AF253" s="17">
        <f t="shared" si="52"/>
        <v>0</v>
      </c>
      <c r="AG253" s="17">
        <f t="shared" si="53"/>
        <v>0</v>
      </c>
      <c r="AH253" s="17">
        <f>SUM('[1]2024年全面预算利润表 (销售1中心)2.8亿'!E256:H256)</f>
        <v>0</v>
      </c>
    </row>
    <row r="254" spans="1:34" s="19" customFormat="1" ht="18" hidden="1" customHeight="1" outlineLevel="1" x14ac:dyDescent="0.25">
      <c r="A254" s="63" t="s">
        <v>186</v>
      </c>
      <c r="B254" s="53">
        <v>13</v>
      </c>
      <c r="C254" s="49">
        <f>'2025年中心利润表 '!C254+'2025年江苏分部利润表'!C254+'2025年浙江分部利润表'!C254+'2025年上海分部利润表'!C254+'2025年赣皖区域利润表'!C254</f>
        <v>0</v>
      </c>
      <c r="D254" s="49">
        <f>'2025年中心利润表 '!D254+'2025年江苏分部利润表'!D254+'2025年浙江分部利润表'!D254+'2025年上海分部利润表'!D254+'2025年赣皖区域利润表'!D254</f>
        <v>0</v>
      </c>
      <c r="E254" s="49">
        <f>'2025年中心利润表 '!E254+'2025年江苏分部利润表'!E254+'2025年浙江分部利润表'!E254+'2025年上海分部利润表'!E254+'2025年赣皖区域利润表'!E254</f>
        <v>0</v>
      </c>
      <c r="F254" s="49">
        <f>'2025年中心利润表 '!F254+'2025年江苏分部利润表'!F254+'2025年浙江分部利润表'!F254+'2025年上海分部利润表'!F254+'2025年赣皖区域利润表'!F254</f>
        <v>0</v>
      </c>
      <c r="G254" s="49">
        <f>'2025年中心利润表 '!G254+'2025年江苏分部利润表'!G254+'2025年浙江分部利润表'!G254+'2025年上海分部利润表'!G254+'2025年赣皖区域利润表'!G254</f>
        <v>0</v>
      </c>
      <c r="H254" s="49">
        <f>'2025年中心利润表 '!H254+'2025年江苏分部利润表'!H254+'2025年浙江分部利润表'!H254+'2025年上海分部利润表'!H254+'2025年赣皖区域利润表'!H254</f>
        <v>0</v>
      </c>
      <c r="I254" s="49">
        <f>'2025年中心利润表 '!I254+'2025年江苏分部利润表'!I254+'2025年浙江分部利润表'!I254+'2025年上海分部利润表'!I254+'2025年赣皖区域利润表'!I254</f>
        <v>0</v>
      </c>
      <c r="J254" s="49">
        <f>'2025年中心利润表 '!J254+'2025年江苏分部利润表'!J254+'2025年浙江分部利润表'!J254+'2025年上海分部利润表'!J254+'2025年赣皖区域利润表'!J254</f>
        <v>0</v>
      </c>
      <c r="K254" s="49">
        <f>'2025年中心利润表 '!K254+'2025年江苏分部利润表'!K254+'2025年浙江分部利润表'!K254+'2025年上海分部利润表'!K254+'2025年赣皖区域利润表'!K254</f>
        <v>0</v>
      </c>
      <c r="L254" s="49">
        <f>'2025年中心利润表 '!L254+'2025年江苏分部利润表'!L254+'2025年浙江分部利润表'!L254+'2025年上海分部利润表'!L254+'2025年赣皖区域利润表'!L254</f>
        <v>0</v>
      </c>
      <c r="M254" s="49">
        <f>'2025年中心利润表 '!M254+'2025年江苏分部利润表'!M254+'2025年浙江分部利润表'!M254+'2025年上海分部利润表'!M254+'2025年赣皖区域利润表'!M254</f>
        <v>0</v>
      </c>
      <c r="N254" s="49">
        <f>'2025年中心利润表 '!N254+'2025年江苏分部利润表'!N254+'2025年浙江分部利润表'!N254+'2025年上海分部利润表'!N254+'2025年赣皖区域利润表'!N254</f>
        <v>0</v>
      </c>
      <c r="O254" s="49">
        <f>'2025年中心利润表 '!O254+'2025年江苏分部利润表'!O254+'2025年浙江分部利润表'!O254+'2025年上海分部利润表'!O254+'2025年赣皖区域利润表'!O254</f>
        <v>0</v>
      </c>
      <c r="P254" s="49">
        <f>'2025年中心利润表 '!P254+'2025年江苏分部利润表'!P254+'2025年浙江分部利润表'!P254+'2025年上海分部利润表'!P254+'2025年赣皖区域利润表'!P254</f>
        <v>0</v>
      </c>
      <c r="Q254" s="49">
        <f>'2025年中心利润表 '!Q254+'2025年江苏分部利润表'!Q254+'2025年浙江分部利润表'!Q254+'2025年上海分部利润表'!Q254+'2025年赣皖区域利润表'!Q254</f>
        <v>0</v>
      </c>
      <c r="R254" s="49">
        <f>'2025年中心利润表 '!R254+'2025年江苏分部利润表'!R254+'2025年浙江分部利润表'!R254+'2025年上海分部利润表'!R254+'2025年赣皖区域利润表'!R254</f>
        <v>0</v>
      </c>
      <c r="S254" s="49">
        <f>'2025年中心利润表 '!S254+'2025年江苏分部利润表'!S254+'2025年浙江分部利润表'!S254+'2025年上海分部利润表'!S254+'2025年赣皖区域利润表'!S254</f>
        <v>0</v>
      </c>
      <c r="T254" s="49">
        <f>'2025年中心利润表 '!T254+'2025年江苏分部利润表'!T254+'2025年浙江分部利润表'!T254+'2025年上海分部利润表'!T254+'2025年赣皖区域利润表'!T254</f>
        <v>0</v>
      </c>
      <c r="U254" s="49">
        <f>'2025年中心利润表 '!U254+'2025年江苏分部利润表'!U254+'2025年浙江分部利润表'!U254+'2025年上海分部利润表'!U254+'2025年赣皖区域利润表'!U254</f>
        <v>0</v>
      </c>
      <c r="V254" s="49">
        <f>'2025年中心利润表 '!V254+'2025年江苏分部利润表'!V254+'2025年浙江分部利润表'!V254+'2025年上海分部利润表'!V254+'2025年赣皖区域利润表'!V254</f>
        <v>0</v>
      </c>
      <c r="W254" s="49">
        <f>'2025年中心利润表 '!W254+'2025年江苏分部利润表'!W254+'2025年浙江分部利润表'!W254+'2025年上海分部利润表'!W254+'2025年赣皖区域利润表'!W254</f>
        <v>0</v>
      </c>
      <c r="X254" s="49">
        <f>'2025年中心利润表 '!X254+'2025年江苏分部利润表'!X254+'2025年浙江分部利润表'!X254+'2025年上海分部利润表'!X254+'2025年赣皖区域利润表'!X254</f>
        <v>0</v>
      </c>
      <c r="Y254" s="49">
        <f>'2025年中心利润表 '!Y254+'2025年江苏分部利润表'!Y254+'2025年浙江分部利润表'!Y254+'2025年上海分部利润表'!Y254+'2025年赣皖区域利润表'!Y254</f>
        <v>0</v>
      </c>
      <c r="Z254" s="49">
        <f>'2025年中心利润表 '!Z254+'2025年江苏分部利润表'!Z254+'2025年浙江分部利润表'!Z254+'2025年上海分部利润表'!Z254+'2025年赣皖区域利润表'!Z254</f>
        <v>0</v>
      </c>
      <c r="AA254" s="51">
        <f t="shared" si="49"/>
        <v>0</v>
      </c>
      <c r="AB254" s="51">
        <f t="shared" si="54"/>
        <v>0</v>
      </c>
      <c r="AC254" s="94"/>
      <c r="AD254" s="31">
        <f t="shared" si="50"/>
        <v>0</v>
      </c>
      <c r="AE254" s="31">
        <f t="shared" si="51"/>
        <v>0</v>
      </c>
      <c r="AF254" s="17">
        <f t="shared" si="52"/>
        <v>0</v>
      </c>
      <c r="AG254" s="17">
        <f t="shared" si="53"/>
        <v>0</v>
      </c>
      <c r="AH254" s="17">
        <f>SUM('[1]2024年全面预算利润表 (销售1中心)2.8亿'!E257:H257)</f>
        <v>0</v>
      </c>
    </row>
    <row r="255" spans="1:34" s="19" customFormat="1" ht="18" hidden="1" customHeight="1" outlineLevel="1" x14ac:dyDescent="0.25">
      <c r="A255" s="63" t="s">
        <v>187</v>
      </c>
      <c r="B255" s="53">
        <v>14</v>
      </c>
      <c r="C255" s="49">
        <f>'2025年中心利润表 '!C255+'2025年江苏分部利润表'!C255+'2025年浙江分部利润表'!C255+'2025年上海分部利润表'!C255+'2025年赣皖区域利润表'!C255</f>
        <v>0</v>
      </c>
      <c r="D255" s="49">
        <f>'2025年中心利润表 '!D255+'2025年江苏分部利润表'!D255+'2025年浙江分部利润表'!D255+'2025年上海分部利润表'!D255+'2025年赣皖区域利润表'!D255</f>
        <v>0</v>
      </c>
      <c r="E255" s="49">
        <f>'2025年中心利润表 '!E255+'2025年江苏分部利润表'!E255+'2025年浙江分部利润表'!E255+'2025年上海分部利润表'!E255+'2025年赣皖区域利润表'!E255</f>
        <v>0</v>
      </c>
      <c r="F255" s="49">
        <f>'2025年中心利润表 '!F255+'2025年江苏分部利润表'!F255+'2025年浙江分部利润表'!F255+'2025年上海分部利润表'!F255+'2025年赣皖区域利润表'!F255</f>
        <v>0</v>
      </c>
      <c r="G255" s="49">
        <f>'2025年中心利润表 '!G255+'2025年江苏分部利润表'!G255+'2025年浙江分部利润表'!G255+'2025年上海分部利润表'!G255+'2025年赣皖区域利润表'!G255</f>
        <v>0</v>
      </c>
      <c r="H255" s="49">
        <f>'2025年中心利润表 '!H255+'2025年江苏分部利润表'!H255+'2025年浙江分部利润表'!H255+'2025年上海分部利润表'!H255+'2025年赣皖区域利润表'!H255</f>
        <v>0</v>
      </c>
      <c r="I255" s="49">
        <f>'2025年中心利润表 '!I255+'2025年江苏分部利润表'!I255+'2025年浙江分部利润表'!I255+'2025年上海分部利润表'!I255+'2025年赣皖区域利润表'!I255</f>
        <v>0</v>
      </c>
      <c r="J255" s="49">
        <f>'2025年中心利润表 '!J255+'2025年江苏分部利润表'!J255+'2025年浙江分部利润表'!J255+'2025年上海分部利润表'!J255+'2025年赣皖区域利润表'!J255</f>
        <v>0</v>
      </c>
      <c r="K255" s="49">
        <f>'2025年中心利润表 '!K255+'2025年江苏分部利润表'!K255+'2025年浙江分部利润表'!K255+'2025年上海分部利润表'!K255+'2025年赣皖区域利润表'!K255</f>
        <v>0</v>
      </c>
      <c r="L255" s="49">
        <f>'2025年中心利润表 '!L255+'2025年江苏分部利润表'!L255+'2025年浙江分部利润表'!L255+'2025年上海分部利润表'!L255+'2025年赣皖区域利润表'!L255</f>
        <v>0</v>
      </c>
      <c r="M255" s="49">
        <f>'2025年中心利润表 '!M255+'2025年江苏分部利润表'!M255+'2025年浙江分部利润表'!M255+'2025年上海分部利润表'!M255+'2025年赣皖区域利润表'!M255</f>
        <v>0</v>
      </c>
      <c r="N255" s="49">
        <f>'2025年中心利润表 '!N255+'2025年江苏分部利润表'!N255+'2025年浙江分部利润表'!N255+'2025年上海分部利润表'!N255+'2025年赣皖区域利润表'!N255</f>
        <v>0</v>
      </c>
      <c r="O255" s="49">
        <f>'2025年中心利润表 '!O255+'2025年江苏分部利润表'!O255+'2025年浙江分部利润表'!O255+'2025年上海分部利润表'!O255+'2025年赣皖区域利润表'!O255</f>
        <v>0</v>
      </c>
      <c r="P255" s="49">
        <f>'2025年中心利润表 '!P255+'2025年江苏分部利润表'!P255+'2025年浙江分部利润表'!P255+'2025年上海分部利润表'!P255+'2025年赣皖区域利润表'!P255</f>
        <v>0</v>
      </c>
      <c r="Q255" s="49">
        <f>'2025年中心利润表 '!Q255+'2025年江苏分部利润表'!Q255+'2025年浙江分部利润表'!Q255+'2025年上海分部利润表'!Q255+'2025年赣皖区域利润表'!Q255</f>
        <v>0</v>
      </c>
      <c r="R255" s="49">
        <f>'2025年中心利润表 '!R255+'2025年江苏分部利润表'!R255+'2025年浙江分部利润表'!R255+'2025年上海分部利润表'!R255+'2025年赣皖区域利润表'!R255</f>
        <v>0</v>
      </c>
      <c r="S255" s="49">
        <f>'2025年中心利润表 '!S255+'2025年江苏分部利润表'!S255+'2025年浙江分部利润表'!S255+'2025年上海分部利润表'!S255+'2025年赣皖区域利润表'!S255</f>
        <v>0</v>
      </c>
      <c r="T255" s="49">
        <f>'2025年中心利润表 '!T255+'2025年江苏分部利润表'!T255+'2025年浙江分部利润表'!T255+'2025年上海分部利润表'!T255+'2025年赣皖区域利润表'!T255</f>
        <v>0</v>
      </c>
      <c r="U255" s="49">
        <f>'2025年中心利润表 '!U255+'2025年江苏分部利润表'!U255+'2025年浙江分部利润表'!U255+'2025年上海分部利润表'!U255+'2025年赣皖区域利润表'!U255</f>
        <v>0</v>
      </c>
      <c r="V255" s="49">
        <f>'2025年中心利润表 '!V255+'2025年江苏分部利润表'!V255+'2025年浙江分部利润表'!V255+'2025年上海分部利润表'!V255+'2025年赣皖区域利润表'!V255</f>
        <v>0</v>
      </c>
      <c r="W255" s="49">
        <f>'2025年中心利润表 '!W255+'2025年江苏分部利润表'!W255+'2025年浙江分部利润表'!W255+'2025年上海分部利润表'!W255+'2025年赣皖区域利润表'!W255</f>
        <v>0</v>
      </c>
      <c r="X255" s="49">
        <f>'2025年中心利润表 '!X255+'2025年江苏分部利润表'!X255+'2025年浙江分部利润表'!X255+'2025年上海分部利润表'!X255+'2025年赣皖区域利润表'!X255</f>
        <v>0</v>
      </c>
      <c r="Y255" s="49">
        <f>'2025年中心利润表 '!Y255+'2025年江苏分部利润表'!Y255+'2025年浙江分部利润表'!Y255+'2025年上海分部利润表'!Y255+'2025年赣皖区域利润表'!Y255</f>
        <v>0</v>
      </c>
      <c r="Z255" s="49">
        <f>'2025年中心利润表 '!Z255+'2025年江苏分部利润表'!Z255+'2025年浙江分部利润表'!Z255+'2025年上海分部利润表'!Z255+'2025年赣皖区域利润表'!Z255</f>
        <v>0</v>
      </c>
      <c r="AA255" s="51">
        <f t="shared" si="49"/>
        <v>0</v>
      </c>
      <c r="AB255" s="51">
        <f t="shared" si="54"/>
        <v>0</v>
      </c>
      <c r="AC255" s="94"/>
      <c r="AD255" s="31">
        <f t="shared" si="50"/>
        <v>0</v>
      </c>
      <c r="AE255" s="31">
        <f t="shared" si="51"/>
        <v>0</v>
      </c>
      <c r="AF255" s="17">
        <f t="shared" si="52"/>
        <v>0</v>
      </c>
      <c r="AG255" s="17">
        <f t="shared" si="53"/>
        <v>0</v>
      </c>
      <c r="AH255" s="17">
        <f>SUM('[1]2024年全面预算利润表 (销售1中心)2.8亿'!E258:H258)</f>
        <v>0</v>
      </c>
    </row>
    <row r="256" spans="1:34" s="19" customFormat="1" ht="18" hidden="1" customHeight="1" outlineLevel="1" x14ac:dyDescent="0.25">
      <c r="A256" s="63" t="s">
        <v>188</v>
      </c>
      <c r="B256" s="53">
        <v>15</v>
      </c>
      <c r="C256" s="49">
        <f>'2025年中心利润表 '!C256+'2025年江苏分部利润表'!C256+'2025年浙江分部利润表'!C256+'2025年上海分部利润表'!C256+'2025年赣皖区域利润表'!C256</f>
        <v>0</v>
      </c>
      <c r="D256" s="49">
        <f>'2025年中心利润表 '!D256+'2025年江苏分部利润表'!D256+'2025年浙江分部利润表'!D256+'2025年上海分部利润表'!D256+'2025年赣皖区域利润表'!D256</f>
        <v>0</v>
      </c>
      <c r="E256" s="49">
        <f>'2025年中心利润表 '!E256+'2025年江苏分部利润表'!E256+'2025年浙江分部利润表'!E256+'2025年上海分部利润表'!E256+'2025年赣皖区域利润表'!E256</f>
        <v>0</v>
      </c>
      <c r="F256" s="49">
        <f>'2025年中心利润表 '!F256+'2025年江苏分部利润表'!F256+'2025年浙江分部利润表'!F256+'2025年上海分部利润表'!F256+'2025年赣皖区域利润表'!F256</f>
        <v>0</v>
      </c>
      <c r="G256" s="49">
        <f>'2025年中心利润表 '!G256+'2025年江苏分部利润表'!G256+'2025年浙江分部利润表'!G256+'2025年上海分部利润表'!G256+'2025年赣皖区域利润表'!G256</f>
        <v>0</v>
      </c>
      <c r="H256" s="49">
        <f>'2025年中心利润表 '!H256+'2025年江苏分部利润表'!H256+'2025年浙江分部利润表'!H256+'2025年上海分部利润表'!H256+'2025年赣皖区域利润表'!H256</f>
        <v>0</v>
      </c>
      <c r="I256" s="49">
        <f>'2025年中心利润表 '!I256+'2025年江苏分部利润表'!I256+'2025年浙江分部利润表'!I256+'2025年上海分部利润表'!I256+'2025年赣皖区域利润表'!I256</f>
        <v>0</v>
      </c>
      <c r="J256" s="49">
        <f>'2025年中心利润表 '!J256+'2025年江苏分部利润表'!J256+'2025年浙江分部利润表'!J256+'2025年上海分部利润表'!J256+'2025年赣皖区域利润表'!J256</f>
        <v>0</v>
      </c>
      <c r="K256" s="49">
        <f>'2025年中心利润表 '!K256+'2025年江苏分部利润表'!K256+'2025年浙江分部利润表'!K256+'2025年上海分部利润表'!K256+'2025年赣皖区域利润表'!K256</f>
        <v>0</v>
      </c>
      <c r="L256" s="49">
        <f>'2025年中心利润表 '!L256+'2025年江苏分部利润表'!L256+'2025年浙江分部利润表'!L256+'2025年上海分部利润表'!L256+'2025年赣皖区域利润表'!L256</f>
        <v>0</v>
      </c>
      <c r="M256" s="49">
        <f>'2025年中心利润表 '!M256+'2025年江苏分部利润表'!M256+'2025年浙江分部利润表'!M256+'2025年上海分部利润表'!M256+'2025年赣皖区域利润表'!M256</f>
        <v>0</v>
      </c>
      <c r="N256" s="49">
        <f>'2025年中心利润表 '!N256+'2025年江苏分部利润表'!N256+'2025年浙江分部利润表'!N256+'2025年上海分部利润表'!N256+'2025年赣皖区域利润表'!N256</f>
        <v>0</v>
      </c>
      <c r="O256" s="49">
        <f>'2025年中心利润表 '!O256+'2025年江苏分部利润表'!O256+'2025年浙江分部利润表'!O256+'2025年上海分部利润表'!O256+'2025年赣皖区域利润表'!O256</f>
        <v>0</v>
      </c>
      <c r="P256" s="49">
        <f>'2025年中心利润表 '!P256+'2025年江苏分部利润表'!P256+'2025年浙江分部利润表'!P256+'2025年上海分部利润表'!P256+'2025年赣皖区域利润表'!P256</f>
        <v>0</v>
      </c>
      <c r="Q256" s="49">
        <f>'2025年中心利润表 '!Q256+'2025年江苏分部利润表'!Q256+'2025年浙江分部利润表'!Q256+'2025年上海分部利润表'!Q256+'2025年赣皖区域利润表'!Q256</f>
        <v>0</v>
      </c>
      <c r="R256" s="49">
        <f>'2025年中心利润表 '!R256+'2025年江苏分部利润表'!R256+'2025年浙江分部利润表'!R256+'2025年上海分部利润表'!R256+'2025年赣皖区域利润表'!R256</f>
        <v>0</v>
      </c>
      <c r="S256" s="49">
        <f>'2025年中心利润表 '!S256+'2025年江苏分部利润表'!S256+'2025年浙江分部利润表'!S256+'2025年上海分部利润表'!S256+'2025年赣皖区域利润表'!S256</f>
        <v>0</v>
      </c>
      <c r="T256" s="49">
        <f>'2025年中心利润表 '!T256+'2025年江苏分部利润表'!T256+'2025年浙江分部利润表'!T256+'2025年上海分部利润表'!T256+'2025年赣皖区域利润表'!T256</f>
        <v>0</v>
      </c>
      <c r="U256" s="49">
        <f>'2025年中心利润表 '!U256+'2025年江苏分部利润表'!U256+'2025年浙江分部利润表'!U256+'2025年上海分部利润表'!U256+'2025年赣皖区域利润表'!U256</f>
        <v>0</v>
      </c>
      <c r="V256" s="49">
        <f>'2025年中心利润表 '!V256+'2025年江苏分部利润表'!V256+'2025年浙江分部利润表'!V256+'2025年上海分部利润表'!V256+'2025年赣皖区域利润表'!V256</f>
        <v>0</v>
      </c>
      <c r="W256" s="49">
        <f>'2025年中心利润表 '!W256+'2025年江苏分部利润表'!W256+'2025年浙江分部利润表'!W256+'2025年上海分部利润表'!W256+'2025年赣皖区域利润表'!W256</f>
        <v>0</v>
      </c>
      <c r="X256" s="49">
        <f>'2025年中心利润表 '!X256+'2025年江苏分部利润表'!X256+'2025年浙江分部利润表'!X256+'2025年上海分部利润表'!X256+'2025年赣皖区域利润表'!X256</f>
        <v>0</v>
      </c>
      <c r="Y256" s="49">
        <f>'2025年中心利润表 '!Y256+'2025年江苏分部利润表'!Y256+'2025年浙江分部利润表'!Y256+'2025年上海分部利润表'!Y256+'2025年赣皖区域利润表'!Y256</f>
        <v>0</v>
      </c>
      <c r="Z256" s="49">
        <f>'2025年中心利润表 '!Z256+'2025年江苏分部利润表'!Z256+'2025年浙江分部利润表'!Z256+'2025年上海分部利润表'!Z256+'2025年赣皖区域利润表'!Z256</f>
        <v>0</v>
      </c>
      <c r="AA256" s="51">
        <f t="shared" si="49"/>
        <v>0</v>
      </c>
      <c r="AB256" s="51">
        <f t="shared" si="54"/>
        <v>0</v>
      </c>
      <c r="AC256" s="94"/>
      <c r="AD256" s="31">
        <f t="shared" si="50"/>
        <v>0</v>
      </c>
      <c r="AE256" s="31">
        <f t="shared" si="51"/>
        <v>0</v>
      </c>
      <c r="AF256" s="17">
        <f t="shared" si="52"/>
        <v>0</v>
      </c>
      <c r="AG256" s="17">
        <f t="shared" si="53"/>
        <v>0</v>
      </c>
      <c r="AH256" s="17">
        <f>SUM('[1]2024年全面预算利润表 (销售1中心)2.8亿'!E259:H259)</f>
        <v>0</v>
      </c>
    </row>
    <row r="257" spans="1:53" s="19" customFormat="1" ht="18" customHeight="1" collapsed="1" x14ac:dyDescent="0.25">
      <c r="A257" s="63" t="s">
        <v>189</v>
      </c>
      <c r="B257" s="53">
        <v>16</v>
      </c>
      <c r="C257" s="49">
        <f>'2025年中心利润表 '!C257+'2025年江苏分部利润表'!C257+'2025年浙江分部利润表'!C257+'2025年上海分部利润表'!C257+'2025年赣皖区域利润表'!C257</f>
        <v>0</v>
      </c>
      <c r="D257" s="49">
        <f>'2025年中心利润表 '!D257+'2025年江苏分部利润表'!D257+'2025年浙江分部利润表'!D257+'2025年上海分部利润表'!D257+'2025年赣皖区域利润表'!D257</f>
        <v>0</v>
      </c>
      <c r="E257" s="49">
        <f>'2025年中心利润表 '!E257+'2025年江苏分部利润表'!E257+'2025年浙江分部利润表'!E257+'2025年上海分部利润表'!E257+'2025年赣皖区域利润表'!E257</f>
        <v>0</v>
      </c>
      <c r="F257" s="49">
        <f>'2025年中心利润表 '!F257+'2025年江苏分部利润表'!F257+'2025年浙江分部利润表'!F257+'2025年上海分部利润表'!F257+'2025年赣皖区域利润表'!F257</f>
        <v>0</v>
      </c>
      <c r="G257" s="49">
        <f>'2025年中心利润表 '!G257+'2025年江苏分部利润表'!G257+'2025年浙江分部利润表'!G257+'2025年上海分部利润表'!G257+'2025年赣皖区域利润表'!G257</f>
        <v>0</v>
      </c>
      <c r="H257" s="49">
        <f>'2025年中心利润表 '!H257+'2025年江苏分部利润表'!H257+'2025年浙江分部利润表'!H257+'2025年上海分部利润表'!H257+'2025年赣皖区域利润表'!H257</f>
        <v>0</v>
      </c>
      <c r="I257" s="49">
        <f>'2025年中心利润表 '!I257+'2025年江苏分部利润表'!I257+'2025年浙江分部利润表'!I257+'2025年上海分部利润表'!I257+'2025年赣皖区域利润表'!I257</f>
        <v>0</v>
      </c>
      <c r="J257" s="49">
        <f>'2025年中心利润表 '!J257+'2025年江苏分部利润表'!J257+'2025年浙江分部利润表'!J257+'2025年上海分部利润表'!J257+'2025年赣皖区域利润表'!J257</f>
        <v>0</v>
      </c>
      <c r="K257" s="49">
        <f>'2025年中心利润表 '!K257+'2025年江苏分部利润表'!K257+'2025年浙江分部利润表'!K257+'2025年上海分部利润表'!K257+'2025年赣皖区域利润表'!K257</f>
        <v>0</v>
      </c>
      <c r="L257" s="49">
        <f>'2025年中心利润表 '!L257+'2025年江苏分部利润表'!L257+'2025年浙江分部利润表'!L257+'2025年上海分部利润表'!L257+'2025年赣皖区域利润表'!L257</f>
        <v>0</v>
      </c>
      <c r="M257" s="49">
        <f>'2025年中心利润表 '!M257+'2025年江苏分部利润表'!M257+'2025年浙江分部利润表'!M257+'2025年上海分部利润表'!M257+'2025年赣皖区域利润表'!M257</f>
        <v>0</v>
      </c>
      <c r="N257" s="49">
        <f>'2025年中心利润表 '!N257+'2025年江苏分部利润表'!N257+'2025年浙江分部利润表'!N257+'2025年上海分部利润表'!N257+'2025年赣皖区域利润表'!N257</f>
        <v>0</v>
      </c>
      <c r="O257" s="49">
        <f>'2025年中心利润表 '!O257+'2025年江苏分部利润表'!O257+'2025年浙江分部利润表'!O257+'2025年上海分部利润表'!O257+'2025年赣皖区域利润表'!O257</f>
        <v>0</v>
      </c>
      <c r="P257" s="49">
        <f>'2025年中心利润表 '!P257+'2025年江苏分部利润表'!P257+'2025年浙江分部利润表'!P257+'2025年上海分部利润表'!P257+'2025年赣皖区域利润表'!P257</f>
        <v>0</v>
      </c>
      <c r="Q257" s="49">
        <f>'2025年中心利润表 '!Q257+'2025年江苏分部利润表'!Q257+'2025年浙江分部利润表'!Q257+'2025年上海分部利润表'!Q257+'2025年赣皖区域利润表'!Q257</f>
        <v>0</v>
      </c>
      <c r="R257" s="49">
        <f>'2025年中心利润表 '!R257+'2025年江苏分部利润表'!R257+'2025年浙江分部利润表'!R257+'2025年上海分部利润表'!R257+'2025年赣皖区域利润表'!R257</f>
        <v>0</v>
      </c>
      <c r="S257" s="49">
        <f>'2025年中心利润表 '!S257+'2025年江苏分部利润表'!S257+'2025年浙江分部利润表'!S257+'2025年上海分部利润表'!S257+'2025年赣皖区域利润表'!S257</f>
        <v>0</v>
      </c>
      <c r="T257" s="49">
        <f>'2025年中心利润表 '!T257+'2025年江苏分部利润表'!T257+'2025年浙江分部利润表'!T257+'2025年上海分部利润表'!T257+'2025年赣皖区域利润表'!T257</f>
        <v>0</v>
      </c>
      <c r="U257" s="49">
        <f>'2025年中心利润表 '!U257+'2025年江苏分部利润表'!U257+'2025年浙江分部利润表'!U257+'2025年上海分部利润表'!U257+'2025年赣皖区域利润表'!U257</f>
        <v>0</v>
      </c>
      <c r="V257" s="49">
        <f>'2025年中心利润表 '!V257+'2025年江苏分部利润表'!V257+'2025年浙江分部利润表'!V257+'2025年上海分部利润表'!V257+'2025年赣皖区域利润表'!V257</f>
        <v>0</v>
      </c>
      <c r="W257" s="49">
        <f>'2025年中心利润表 '!W257+'2025年江苏分部利润表'!W257+'2025年浙江分部利润表'!W257+'2025年上海分部利润表'!W257+'2025年赣皖区域利润表'!W257</f>
        <v>0</v>
      </c>
      <c r="X257" s="49">
        <f>'2025年中心利润表 '!X257+'2025年江苏分部利润表'!X257+'2025年浙江分部利润表'!X257+'2025年上海分部利润表'!X257+'2025年赣皖区域利润表'!X257</f>
        <v>0</v>
      </c>
      <c r="Y257" s="49">
        <f>'2025年中心利润表 '!Y257+'2025年江苏分部利润表'!Y257+'2025年浙江分部利润表'!Y257+'2025年上海分部利润表'!Y257+'2025年赣皖区域利润表'!Y257</f>
        <v>0</v>
      </c>
      <c r="Z257" s="49">
        <f>'2025年中心利润表 '!Z257+'2025年江苏分部利润表'!Z257+'2025年浙江分部利润表'!Z257+'2025年上海分部利润表'!Z257+'2025年赣皖区域利润表'!Z257</f>
        <v>0</v>
      </c>
      <c r="AA257" s="51">
        <f t="shared" si="49"/>
        <v>0</v>
      </c>
      <c r="AB257" s="51">
        <f t="shared" si="54"/>
        <v>0</v>
      </c>
      <c r="AC257" s="94"/>
      <c r="AD257" s="31">
        <f t="shared" si="50"/>
        <v>0</v>
      </c>
      <c r="AE257" s="31">
        <f t="shared" si="51"/>
        <v>0</v>
      </c>
      <c r="AF257" s="17">
        <f t="shared" si="52"/>
        <v>0</v>
      </c>
      <c r="AG257" s="17">
        <f t="shared" si="53"/>
        <v>0</v>
      </c>
      <c r="AH257" s="17">
        <f>SUM('[1]2024年全面预算利润表 (销售1中心)2.8亿'!E260:H260)</f>
        <v>0</v>
      </c>
    </row>
    <row r="258" spans="1:53" s="17" customFormat="1" ht="19.5" customHeight="1" x14ac:dyDescent="0.25">
      <c r="A258" s="52" t="s">
        <v>190</v>
      </c>
      <c r="B258" s="45">
        <v>17</v>
      </c>
      <c r="C258" s="76">
        <f t="shared" ref="C258:AA258" si="55">C6-C16-C28-C29-C102-C176-C250-C251-C252+C253+C254+C256+C257</f>
        <v>-167574.26639999996</v>
      </c>
      <c r="D258" s="76">
        <f t="shared" si="55"/>
        <v>1064463.8509399993</v>
      </c>
      <c r="E258" s="76">
        <f t="shared" si="55"/>
        <v>118223.37679999997</v>
      </c>
      <c r="F258" s="76">
        <f t="shared" si="55"/>
        <v>606306.68360500049</v>
      </c>
      <c r="G258" s="76">
        <f t="shared" si="55"/>
        <v>587015.69980000053</v>
      </c>
      <c r="H258" s="76">
        <f t="shared" si="55"/>
        <v>946721.38710500137</v>
      </c>
      <c r="I258" s="76">
        <f t="shared" si="55"/>
        <v>975003.62619999901</v>
      </c>
      <c r="J258" s="76">
        <f t="shared" si="55"/>
        <v>1195997.5884349975</v>
      </c>
      <c r="K258" s="76">
        <f t="shared" si="55"/>
        <v>816893.15560000052</v>
      </c>
      <c r="L258" s="76">
        <f t="shared" si="55"/>
        <v>735466.4221499986</v>
      </c>
      <c r="M258" s="76">
        <f t="shared" si="55"/>
        <v>943072.0607999987</v>
      </c>
      <c r="N258" s="76">
        <f t="shared" si="55"/>
        <v>1245711.0329899988</v>
      </c>
      <c r="O258" s="76">
        <f t="shared" si="55"/>
        <v>758289.72420000134</v>
      </c>
      <c r="P258" s="76">
        <f t="shared" si="55"/>
        <v>921151.80622000224</v>
      </c>
      <c r="Q258" s="76">
        <f t="shared" si="55"/>
        <v>1050127.516800001</v>
      </c>
      <c r="R258" s="76">
        <f t="shared" si="55"/>
        <v>1266585.0885799984</v>
      </c>
      <c r="S258" s="76">
        <f t="shared" si="55"/>
        <v>1401412.4280000005</v>
      </c>
      <c r="T258" s="76">
        <f t="shared" si="55"/>
        <v>1872489.0322199953</v>
      </c>
      <c r="U258" s="76">
        <f t="shared" si="55"/>
        <v>658654.3525999994</v>
      </c>
      <c r="V258" s="76">
        <f t="shared" si="55"/>
        <v>1209731.3456141581</v>
      </c>
      <c r="W258" s="76">
        <f t="shared" si="55"/>
        <v>1119780.4625999995</v>
      </c>
      <c r="X258" s="76">
        <f t="shared" si="55"/>
        <v>1168123.4071099996</v>
      </c>
      <c r="Y258" s="76">
        <f t="shared" si="55"/>
        <v>2645413.9585999995</v>
      </c>
      <c r="Z258" s="76">
        <f t="shared" si="55"/>
        <v>2135298.3974960051</v>
      </c>
      <c r="AA258" s="78">
        <f t="shared" si="55"/>
        <v>10906312.095600002</v>
      </c>
      <c r="AB258" s="47">
        <f t="shared" si="54"/>
        <v>14368046.042465156</v>
      </c>
      <c r="AC258" s="31"/>
      <c r="AD258" s="31">
        <f t="shared" si="50"/>
        <v>10906312.095600002</v>
      </c>
      <c r="AE258" s="31">
        <f t="shared" si="51"/>
        <v>14368046.042465156</v>
      </c>
      <c r="AF258" s="17">
        <f t="shared" si="52"/>
        <v>0</v>
      </c>
      <c r="AG258" s="17">
        <f t="shared" si="53"/>
        <v>0</v>
      </c>
    </row>
    <row r="259" spans="1:53" s="19" customFormat="1" ht="20" customHeight="1" x14ac:dyDescent="0.25">
      <c r="A259" s="63" t="s">
        <v>191</v>
      </c>
      <c r="B259" s="53">
        <v>18</v>
      </c>
      <c r="C259" s="49">
        <f>'2025年中心利润表 '!C259+'2025年江苏分部利润表'!C259+'2025年浙江分部利润表'!C259+'2025年上海分部利润表'!C259+'2025年赣皖区域利润表'!C259</f>
        <v>0</v>
      </c>
      <c r="D259" s="49">
        <f>'2025年中心利润表 '!D259+'2025年江苏分部利润表'!D259+'2025年浙江分部利润表'!D259+'2025年上海分部利润表'!D259+'2025年赣皖区域利润表'!D259</f>
        <v>0</v>
      </c>
      <c r="E259" s="49">
        <f>'2025年中心利润表 '!E259+'2025年江苏分部利润表'!E259+'2025年浙江分部利润表'!E259+'2025年上海分部利润表'!E259+'2025年赣皖区域利润表'!E259</f>
        <v>0</v>
      </c>
      <c r="F259" s="49">
        <f>'2025年中心利润表 '!F259+'2025年江苏分部利润表'!F259+'2025年浙江分部利润表'!F259+'2025年上海分部利润表'!F259+'2025年赣皖区域利润表'!F259</f>
        <v>0</v>
      </c>
      <c r="G259" s="49">
        <f>'2025年中心利润表 '!G259+'2025年江苏分部利润表'!G259+'2025年浙江分部利润表'!G259+'2025年上海分部利润表'!G259+'2025年赣皖区域利润表'!G259</f>
        <v>0</v>
      </c>
      <c r="H259" s="49">
        <f>'2025年中心利润表 '!H259+'2025年江苏分部利润表'!H259+'2025年浙江分部利润表'!H259+'2025年上海分部利润表'!H259+'2025年赣皖区域利润表'!H259</f>
        <v>0</v>
      </c>
      <c r="I259" s="49">
        <f>'2025年中心利润表 '!I259+'2025年江苏分部利润表'!I259+'2025年浙江分部利润表'!I259+'2025年上海分部利润表'!I259+'2025年赣皖区域利润表'!I259</f>
        <v>0</v>
      </c>
      <c r="J259" s="49">
        <f>'2025年中心利润表 '!J259+'2025年江苏分部利润表'!J259+'2025年浙江分部利润表'!J259+'2025年上海分部利润表'!J259+'2025年赣皖区域利润表'!J259</f>
        <v>0</v>
      </c>
      <c r="K259" s="49">
        <f>'2025年中心利润表 '!K259+'2025年江苏分部利润表'!K259+'2025年浙江分部利润表'!K259+'2025年上海分部利润表'!K259+'2025年赣皖区域利润表'!K259</f>
        <v>0</v>
      </c>
      <c r="L259" s="49">
        <f>'2025年中心利润表 '!L259+'2025年江苏分部利润表'!L259+'2025年浙江分部利润表'!L259+'2025年上海分部利润表'!L259+'2025年赣皖区域利润表'!L259</f>
        <v>0</v>
      </c>
      <c r="M259" s="49">
        <f>'2025年中心利润表 '!M259+'2025年江苏分部利润表'!M259+'2025年浙江分部利润表'!M259+'2025年上海分部利润表'!M259+'2025年赣皖区域利润表'!M259</f>
        <v>0</v>
      </c>
      <c r="N259" s="49">
        <f>'2025年中心利润表 '!N259+'2025年江苏分部利润表'!N259+'2025年浙江分部利润表'!N259+'2025年上海分部利润表'!N259+'2025年赣皖区域利润表'!N259</f>
        <v>0</v>
      </c>
      <c r="O259" s="49">
        <f>'2025年中心利润表 '!O259+'2025年江苏分部利润表'!O259+'2025年浙江分部利润表'!O259+'2025年上海分部利润表'!O259+'2025年赣皖区域利润表'!O259</f>
        <v>0</v>
      </c>
      <c r="P259" s="49">
        <f>'2025年中心利润表 '!P259+'2025年江苏分部利润表'!P259+'2025年浙江分部利润表'!P259+'2025年上海分部利润表'!P259+'2025年赣皖区域利润表'!P259</f>
        <v>0</v>
      </c>
      <c r="Q259" s="49">
        <f>'2025年中心利润表 '!Q259+'2025年江苏分部利润表'!Q259+'2025年浙江分部利润表'!Q259+'2025年上海分部利润表'!Q259+'2025年赣皖区域利润表'!Q259</f>
        <v>0</v>
      </c>
      <c r="R259" s="49">
        <f>'2025年中心利润表 '!R259+'2025年江苏分部利润表'!R259+'2025年浙江分部利润表'!R259+'2025年上海分部利润表'!R259+'2025年赣皖区域利润表'!R259</f>
        <v>0</v>
      </c>
      <c r="S259" s="49">
        <f>'2025年中心利润表 '!S259+'2025年江苏分部利润表'!S259+'2025年浙江分部利润表'!S259+'2025年上海分部利润表'!S259+'2025年赣皖区域利润表'!S259</f>
        <v>0</v>
      </c>
      <c r="T259" s="49">
        <f>'2025年中心利润表 '!T259+'2025年江苏分部利润表'!T259+'2025年浙江分部利润表'!T259+'2025年上海分部利润表'!T259+'2025年赣皖区域利润表'!T259</f>
        <v>0</v>
      </c>
      <c r="U259" s="49">
        <f>'2025年中心利润表 '!U259+'2025年江苏分部利润表'!U259+'2025年浙江分部利润表'!U259+'2025年上海分部利润表'!U259+'2025年赣皖区域利润表'!U259</f>
        <v>0</v>
      </c>
      <c r="V259" s="49">
        <f>'2025年中心利润表 '!V259+'2025年江苏分部利润表'!V259+'2025年浙江分部利润表'!V259+'2025年上海分部利润表'!V259+'2025年赣皖区域利润表'!V259</f>
        <v>0</v>
      </c>
      <c r="W259" s="49">
        <f>'2025年中心利润表 '!W259+'2025年江苏分部利润表'!W259+'2025年浙江分部利润表'!W259+'2025年上海分部利润表'!W259+'2025年赣皖区域利润表'!W259</f>
        <v>0</v>
      </c>
      <c r="X259" s="49">
        <f>'2025年中心利润表 '!X259+'2025年江苏分部利润表'!X259+'2025年浙江分部利润表'!X259+'2025年上海分部利润表'!X259+'2025年赣皖区域利润表'!X259</f>
        <v>0</v>
      </c>
      <c r="Y259" s="49">
        <f>'2025年中心利润表 '!Y259+'2025年江苏分部利润表'!Y259+'2025年浙江分部利润表'!Y259+'2025年上海分部利润表'!Y259+'2025年赣皖区域利润表'!Y259</f>
        <v>0</v>
      </c>
      <c r="Z259" s="49">
        <f>'2025年中心利润表 '!Z259+'2025年江苏分部利润表'!Z259+'2025年浙江分部利润表'!Z259+'2025年上海分部利润表'!Z259+'2025年赣皖区域利润表'!Z259</f>
        <v>0</v>
      </c>
      <c r="AA259" s="51">
        <f>C259+E259+G259+I259+K259+M259+O259+Q259+S259+U259+W259+Y259</f>
        <v>0</v>
      </c>
      <c r="AB259" s="51">
        <f t="shared" si="54"/>
        <v>0</v>
      </c>
      <c r="AC259" s="94"/>
      <c r="AD259" s="31">
        <f t="shared" si="50"/>
        <v>0</v>
      </c>
      <c r="AE259" s="31">
        <f t="shared" si="51"/>
        <v>0</v>
      </c>
      <c r="AF259" s="17">
        <f t="shared" si="52"/>
        <v>0</v>
      </c>
      <c r="AG259" s="17">
        <f t="shared" si="53"/>
        <v>0</v>
      </c>
      <c r="AH259" s="17">
        <f>SUM('[1]2024年全面预算利润表 (销售1中心)2.8亿'!E261:H261)</f>
        <v>0</v>
      </c>
    </row>
    <row r="260" spans="1:53" s="19" customFormat="1" ht="20" customHeight="1" x14ac:dyDescent="0.25">
      <c r="A260" s="63" t="s">
        <v>192</v>
      </c>
      <c r="B260" s="53">
        <v>19</v>
      </c>
      <c r="C260" s="49">
        <f>'2025年中心利润表 '!C260+'2025年江苏分部利润表'!C260+'2025年浙江分部利润表'!C260+'2025年上海分部利润表'!C260+'2025年赣皖区域利润表'!C260</f>
        <v>0</v>
      </c>
      <c r="D260" s="49">
        <f>'2025年中心利润表 '!D260+'2025年江苏分部利润表'!D260+'2025年浙江分部利润表'!D260+'2025年上海分部利润表'!D260+'2025年赣皖区域利润表'!D260</f>
        <v>0</v>
      </c>
      <c r="E260" s="49">
        <f>'2025年中心利润表 '!E260+'2025年江苏分部利润表'!E260+'2025年浙江分部利润表'!E260+'2025年上海分部利润表'!E260+'2025年赣皖区域利润表'!E260</f>
        <v>0</v>
      </c>
      <c r="F260" s="49">
        <f>'2025年中心利润表 '!F260+'2025年江苏分部利润表'!F260+'2025年浙江分部利润表'!F260+'2025年上海分部利润表'!F260+'2025年赣皖区域利润表'!F260</f>
        <v>0</v>
      </c>
      <c r="G260" s="49">
        <f>'2025年中心利润表 '!G260+'2025年江苏分部利润表'!G260+'2025年浙江分部利润表'!G260+'2025年上海分部利润表'!G260+'2025年赣皖区域利润表'!G260</f>
        <v>0</v>
      </c>
      <c r="H260" s="49">
        <f>'2025年中心利润表 '!H260+'2025年江苏分部利润表'!H260+'2025年浙江分部利润表'!H260+'2025年上海分部利润表'!H260+'2025年赣皖区域利润表'!H260</f>
        <v>0</v>
      </c>
      <c r="I260" s="49">
        <f>'2025年中心利润表 '!I260+'2025年江苏分部利润表'!I260+'2025年浙江分部利润表'!I260+'2025年上海分部利润表'!I260+'2025年赣皖区域利润表'!I260</f>
        <v>0</v>
      </c>
      <c r="J260" s="49">
        <f>'2025年中心利润表 '!J260+'2025年江苏分部利润表'!J260+'2025年浙江分部利润表'!J260+'2025年上海分部利润表'!J260+'2025年赣皖区域利润表'!J260</f>
        <v>0</v>
      </c>
      <c r="K260" s="49">
        <f>'2025年中心利润表 '!K260+'2025年江苏分部利润表'!K260+'2025年浙江分部利润表'!K260+'2025年上海分部利润表'!K260+'2025年赣皖区域利润表'!K260</f>
        <v>0</v>
      </c>
      <c r="L260" s="49">
        <f>'2025年中心利润表 '!L260+'2025年江苏分部利润表'!L260+'2025年浙江分部利润表'!L260+'2025年上海分部利润表'!L260+'2025年赣皖区域利润表'!L260</f>
        <v>0</v>
      </c>
      <c r="M260" s="49">
        <f>'2025年中心利润表 '!M260+'2025年江苏分部利润表'!M260+'2025年浙江分部利润表'!M260+'2025年上海分部利润表'!M260+'2025年赣皖区域利润表'!M260</f>
        <v>0</v>
      </c>
      <c r="N260" s="49">
        <f>'2025年中心利润表 '!N260+'2025年江苏分部利润表'!N260+'2025年浙江分部利润表'!N260+'2025年上海分部利润表'!N260+'2025年赣皖区域利润表'!N260</f>
        <v>0</v>
      </c>
      <c r="O260" s="49">
        <f>'2025年中心利润表 '!O260+'2025年江苏分部利润表'!O260+'2025年浙江分部利润表'!O260+'2025年上海分部利润表'!O260+'2025年赣皖区域利润表'!O260</f>
        <v>0</v>
      </c>
      <c r="P260" s="49">
        <f>'2025年中心利润表 '!P260+'2025年江苏分部利润表'!P260+'2025年浙江分部利润表'!P260+'2025年上海分部利润表'!P260+'2025年赣皖区域利润表'!P260</f>
        <v>0</v>
      </c>
      <c r="Q260" s="49">
        <f>'2025年中心利润表 '!Q260+'2025年江苏分部利润表'!Q260+'2025年浙江分部利润表'!Q260+'2025年上海分部利润表'!Q260+'2025年赣皖区域利润表'!Q260</f>
        <v>0</v>
      </c>
      <c r="R260" s="49">
        <f>'2025年中心利润表 '!R260+'2025年江苏分部利润表'!R260+'2025年浙江分部利润表'!R260+'2025年上海分部利润表'!R260+'2025年赣皖区域利润表'!R260</f>
        <v>0</v>
      </c>
      <c r="S260" s="49">
        <f>'2025年中心利润表 '!S260+'2025年江苏分部利润表'!S260+'2025年浙江分部利润表'!S260+'2025年上海分部利润表'!S260+'2025年赣皖区域利润表'!S260</f>
        <v>0</v>
      </c>
      <c r="T260" s="49">
        <f>'2025年中心利润表 '!T260+'2025年江苏分部利润表'!T260+'2025年浙江分部利润表'!T260+'2025年上海分部利润表'!T260+'2025年赣皖区域利润表'!T260</f>
        <v>0</v>
      </c>
      <c r="U260" s="49">
        <f>'2025年中心利润表 '!U260+'2025年江苏分部利润表'!U260+'2025年浙江分部利润表'!U260+'2025年上海分部利润表'!U260+'2025年赣皖区域利润表'!U260</f>
        <v>0</v>
      </c>
      <c r="V260" s="49">
        <f>'2025年中心利润表 '!V260+'2025年江苏分部利润表'!V260+'2025年浙江分部利润表'!V260+'2025年上海分部利润表'!V260+'2025年赣皖区域利润表'!V260</f>
        <v>0</v>
      </c>
      <c r="W260" s="49">
        <f>'2025年中心利润表 '!W260+'2025年江苏分部利润表'!W260+'2025年浙江分部利润表'!W260+'2025年上海分部利润表'!W260+'2025年赣皖区域利润表'!W260</f>
        <v>0</v>
      </c>
      <c r="X260" s="49">
        <f>'2025年中心利润表 '!X260+'2025年江苏分部利润表'!X260+'2025年浙江分部利润表'!X260+'2025年上海分部利润表'!X260+'2025年赣皖区域利润表'!X260</f>
        <v>0</v>
      </c>
      <c r="Y260" s="49">
        <f>'2025年中心利润表 '!Y260+'2025年江苏分部利润表'!Y260+'2025年浙江分部利润表'!Y260+'2025年上海分部利润表'!Y260+'2025年赣皖区域利润表'!Y260</f>
        <v>0</v>
      </c>
      <c r="Z260" s="49">
        <f>'2025年中心利润表 '!Z260+'2025年江苏分部利润表'!Z260+'2025年浙江分部利润表'!Z260+'2025年上海分部利润表'!Z260+'2025年赣皖区域利润表'!Z260</f>
        <v>0</v>
      </c>
      <c r="AA260" s="51">
        <f>C260+E260+G260+I260+K260+M260+O260+Q260+S260+U260+W260+Y260</f>
        <v>0</v>
      </c>
      <c r="AB260" s="51">
        <f t="shared" si="54"/>
        <v>0</v>
      </c>
      <c r="AC260" s="94"/>
      <c r="AD260" s="31">
        <f t="shared" si="50"/>
        <v>0</v>
      </c>
      <c r="AE260" s="31">
        <f t="shared" si="51"/>
        <v>0</v>
      </c>
      <c r="AF260" s="17">
        <f t="shared" si="52"/>
        <v>0</v>
      </c>
      <c r="AG260" s="17">
        <f t="shared" si="53"/>
        <v>0</v>
      </c>
      <c r="AH260" s="17">
        <f>SUM('[1]2024年全面预算利润表 (销售1中心)2.8亿'!E262:H262)</f>
        <v>0</v>
      </c>
    </row>
    <row r="261" spans="1:53" s="17" customFormat="1" ht="20" customHeight="1" x14ac:dyDescent="0.25">
      <c r="A261" s="52" t="s">
        <v>193</v>
      </c>
      <c r="B261" s="45">
        <v>20</v>
      </c>
      <c r="C261" s="76">
        <f t="shared" ref="C261:AB261" si="56">C258+C259-C260</f>
        <v>-167574.26639999996</v>
      </c>
      <c r="D261" s="76">
        <f t="shared" si="56"/>
        <v>1064463.8509399993</v>
      </c>
      <c r="E261" s="76">
        <f t="shared" si="56"/>
        <v>118223.37679999997</v>
      </c>
      <c r="F261" s="76">
        <f t="shared" si="56"/>
        <v>606306.68360500049</v>
      </c>
      <c r="G261" s="76">
        <f t="shared" si="56"/>
        <v>587015.69980000053</v>
      </c>
      <c r="H261" s="76">
        <f t="shared" si="56"/>
        <v>946721.38710500137</v>
      </c>
      <c r="I261" s="76">
        <f t="shared" si="56"/>
        <v>975003.62619999901</v>
      </c>
      <c r="J261" s="76">
        <f t="shared" si="56"/>
        <v>1195997.5884349975</v>
      </c>
      <c r="K261" s="76">
        <f t="shared" si="56"/>
        <v>816893.15560000052</v>
      </c>
      <c r="L261" s="76">
        <f t="shared" si="56"/>
        <v>735466.4221499986</v>
      </c>
      <c r="M261" s="76">
        <f t="shared" si="56"/>
        <v>943072.0607999987</v>
      </c>
      <c r="N261" s="76">
        <f t="shared" si="56"/>
        <v>1245711.0329899988</v>
      </c>
      <c r="O261" s="76">
        <f t="shared" si="56"/>
        <v>758289.72420000134</v>
      </c>
      <c r="P261" s="76">
        <f t="shared" si="56"/>
        <v>921151.80622000224</v>
      </c>
      <c r="Q261" s="76">
        <f t="shared" si="56"/>
        <v>1050127.516800001</v>
      </c>
      <c r="R261" s="76">
        <f t="shared" si="56"/>
        <v>1266585.0885799984</v>
      </c>
      <c r="S261" s="76">
        <f t="shared" si="56"/>
        <v>1401412.4280000005</v>
      </c>
      <c r="T261" s="76">
        <f t="shared" si="56"/>
        <v>1872489.0322199953</v>
      </c>
      <c r="U261" s="76">
        <f t="shared" si="56"/>
        <v>658654.3525999994</v>
      </c>
      <c r="V261" s="76">
        <f t="shared" si="56"/>
        <v>1209731.3456141581</v>
      </c>
      <c r="W261" s="76">
        <f t="shared" si="56"/>
        <v>1119780.4625999995</v>
      </c>
      <c r="X261" s="76">
        <f t="shared" si="56"/>
        <v>1168123.4071099996</v>
      </c>
      <c r="Y261" s="76">
        <f t="shared" si="56"/>
        <v>2645413.9585999995</v>
      </c>
      <c r="Z261" s="76">
        <f t="shared" si="56"/>
        <v>2135298.3974960051</v>
      </c>
      <c r="AA261" s="78">
        <f t="shared" si="56"/>
        <v>10906312.095600002</v>
      </c>
      <c r="AB261" s="78">
        <f t="shared" si="56"/>
        <v>14368046.042465156</v>
      </c>
      <c r="AC261" s="31"/>
      <c r="AD261" s="31">
        <f t="shared" si="50"/>
        <v>10906312.095600002</v>
      </c>
      <c r="AE261" s="31">
        <f t="shared" si="51"/>
        <v>14368046.042465156</v>
      </c>
      <c r="AF261" s="55">
        <f>AD26-AD28-AD29-AD102-AD176-AD250-AD251-AD252+AD257+AD259-AD260-AA261</f>
        <v>0</v>
      </c>
      <c r="AG261" s="55">
        <f>AE26-AE28-AE29-AE102-AE176-AE250-AE251-AE252+AE257+AE259-AE260-AB261</f>
        <v>0</v>
      </c>
      <c r="AH261" s="17">
        <f>SUM('[1]2024年全面预算利润表 (销售1中心)2.8亿'!E263:H263)</f>
        <v>3503925.00402928</v>
      </c>
      <c r="AI261" s="21">
        <f>AH26-AH29-AH28</f>
        <v>3503925.0040292898</v>
      </c>
    </row>
    <row r="262" spans="1:53" s="19" customFormat="1" ht="20" customHeight="1" x14ac:dyDescent="0.25">
      <c r="A262" s="63" t="s">
        <v>194</v>
      </c>
      <c r="B262" s="53">
        <v>21</v>
      </c>
      <c r="C262" s="49">
        <f>'2025年中心利润表 '!C262+'2025年江苏分部利润表'!C262+'2025年浙江分部利润表'!C262+'2025年上海分部利润表'!C262+'2025年赣皖区域利润表'!C262</f>
        <v>3256.24</v>
      </c>
      <c r="D262" s="49">
        <f>'2025年中心利润表 '!D262+'2025年江苏分部利润表'!D262+'2025年浙江分部利润表'!D262+'2025年上海分部利润表'!D262+'2025年赣皖区域利润表'!D262</f>
        <v>0</v>
      </c>
      <c r="E262" s="49">
        <f>'2025年中心利润表 '!E262+'2025年江苏分部利润表'!E262+'2025年浙江分部利润表'!E262+'2025年上海分部利润表'!E262+'2025年赣皖区域利润表'!E262</f>
        <v>23547.14</v>
      </c>
      <c r="F262" s="49">
        <f>'2025年中心利润表 '!F262+'2025年江苏分部利润表'!F262+'2025年浙江分部利润表'!F262+'2025年上海分部利润表'!F262+'2025年赣皖区域利润表'!F262</f>
        <v>0</v>
      </c>
      <c r="G262" s="49">
        <f>'2025年中心利润表 '!G262+'2025年江苏分部利润表'!G262+'2025年浙江分部利润表'!G262+'2025年上海分部利润表'!G262+'2025年赣皖区域利润表'!G262</f>
        <v>69324.94</v>
      </c>
      <c r="H262" s="49">
        <f>'2025年中心利润表 '!H262+'2025年江苏分部利润表'!H262+'2025年浙江分部利润表'!H262+'2025年上海分部利润表'!H262+'2025年赣皖区域利润表'!H262</f>
        <v>0</v>
      </c>
      <c r="I262" s="49">
        <f>'2025年中心利润表 '!I262+'2025年江苏分部利润表'!I262+'2025年浙江分部利润表'!I262+'2025年上海分部利润表'!I262+'2025年赣皖区域利润表'!I262</f>
        <v>104583.62000000001</v>
      </c>
      <c r="J262" s="49">
        <f>'2025年中心利润表 '!J262+'2025年江苏分部利润表'!J262+'2025年浙江分部利润表'!J262+'2025年上海分部利润表'!J262+'2025年赣皖区域利润表'!J262</f>
        <v>0</v>
      </c>
      <c r="K262" s="49">
        <f>'2025年中心利润表 '!K262+'2025年江苏分部利润表'!K262+'2025年浙江分部利润表'!K262+'2025年上海分部利润表'!K262+'2025年赣皖区域利润表'!K262</f>
        <v>90843.37</v>
      </c>
      <c r="L262" s="49">
        <f>'2025年中心利润表 '!L262+'2025年江苏分部利润表'!L262+'2025年浙江分部利润表'!L262+'2025年上海分部利润表'!L262+'2025年赣皖区域利润表'!L262</f>
        <v>0</v>
      </c>
      <c r="M262" s="49">
        <f>'2025年中心利润表 '!M262+'2025年江苏分部利润表'!M262+'2025年浙江分部利润表'!M262+'2025年上海分部利润表'!M262+'2025年赣皖区域利润表'!M262</f>
        <v>102111.56</v>
      </c>
      <c r="N262" s="49">
        <f>'2025年中心利润表 '!N262+'2025年江苏分部利润表'!N262+'2025年浙江分部利润表'!N262+'2025年上海分部利润表'!N262+'2025年赣皖区域利润表'!N262</f>
        <v>0</v>
      </c>
      <c r="O262" s="49">
        <f>'2025年中心利润表 '!O262+'2025年江苏分部利润表'!O262+'2025年浙江分部利润表'!O262+'2025年上海分部利润表'!O262+'2025年赣皖区域利润表'!O262</f>
        <v>85007.700000000012</v>
      </c>
      <c r="P262" s="49">
        <f>'2025年中心利润表 '!P262+'2025年江苏分部利润表'!P262+'2025年浙江分部利润表'!P262+'2025年上海分部利润表'!P262+'2025年赣皖区域利润表'!P262</f>
        <v>0</v>
      </c>
      <c r="Q262" s="49">
        <f>'2025年中心利润表 '!Q262+'2025年江苏分部利润表'!Q262+'2025年浙江分部利润表'!Q262+'2025年上海分部利润表'!Q262+'2025年赣皖区域利润表'!Q262</f>
        <v>114837.01</v>
      </c>
      <c r="R262" s="49">
        <f>'2025年中心利润表 '!R262+'2025年江苏分部利润表'!R262+'2025年浙江分部利润表'!R262+'2025年上海分部利润表'!R262+'2025年赣皖区域利润表'!R262</f>
        <v>0</v>
      </c>
      <c r="S262" s="49">
        <f>'2025年中心利润表 '!S262+'2025年江苏分部利润表'!S262+'2025年浙江分部利润表'!S262+'2025年上海分部利润表'!S262+'2025年赣皖区域利润表'!S262</f>
        <v>147489.37</v>
      </c>
      <c r="T262" s="49">
        <f>'2025年中心利润表 '!T262+'2025年江苏分部利润表'!T262+'2025年浙江分部利润表'!T262+'2025年上海分部利润表'!T262+'2025年赣皖区域利润表'!T262</f>
        <v>0</v>
      </c>
      <c r="U262" s="49">
        <f>'2025年中心利润表 '!U262+'2025年江苏分部利润表'!U262+'2025年浙江分部利润表'!U262+'2025年上海分部利润表'!U262+'2025年赣皖区域利润表'!U262</f>
        <v>75561.45</v>
      </c>
      <c r="V262" s="49">
        <f>'2025年中心利润表 '!V262+'2025年江苏分部利润表'!V262+'2025年浙江分部利润表'!V262+'2025年上海分部利润表'!V262+'2025年赣皖区域利润表'!V262</f>
        <v>0</v>
      </c>
      <c r="W262" s="49">
        <f>'2025年中心利润表 '!W262+'2025年江苏分部利润表'!W262+'2025年浙江分部利润表'!W262+'2025年上海分部利润表'!W262+'2025年赣皖区域利润表'!W262</f>
        <v>118009.29</v>
      </c>
      <c r="X262" s="49">
        <f>'2025年中心利润表 '!X262+'2025年江苏分部利润表'!X262+'2025年浙江分部利润表'!X262+'2025年上海分部利润表'!X262+'2025年赣皖区域利润表'!X262</f>
        <v>0</v>
      </c>
      <c r="Y262" s="49">
        <f>'2025年中心利润表 '!Y262+'2025年江苏分部利润表'!Y262+'2025年浙江分部利润表'!Y262+'2025年上海分部利润表'!Y262+'2025年赣皖区域利润表'!Y262</f>
        <v>265428.31</v>
      </c>
      <c r="Z262" s="49">
        <f>'2025年中心利润表 '!Z262+'2025年江苏分部利润表'!Z262+'2025年浙江分部利润表'!Z262+'2025年上海分部利润表'!Z262+'2025年赣皖区域利润表'!Z262</f>
        <v>0</v>
      </c>
      <c r="AA262" s="51">
        <f>C262+E262+G262+I262+K262+M262+O262+Q262+S262+U262+W262+Y262</f>
        <v>1200000</v>
      </c>
      <c r="AB262" s="51">
        <f>D262+F262+H262+J262+L262+N262+P262+R262+T262+V262+X262+Z262</f>
        <v>0</v>
      </c>
      <c r="AC262" s="133" t="s">
        <v>195</v>
      </c>
      <c r="AD262" s="31">
        <f t="shared" si="50"/>
        <v>1200000</v>
      </c>
      <c r="AE262" s="31">
        <f t="shared" si="51"/>
        <v>0</v>
      </c>
      <c r="AF262" s="17">
        <f>AA262-AD262</f>
        <v>0</v>
      </c>
      <c r="AG262" s="17" t="e">
        <f>IF(AB262-AE262=AB262-SUM(#REF!),0,AE262-SUM(#REF!))</f>
        <v>#REF!</v>
      </c>
      <c r="AH262" s="17">
        <f>SUM('[1]2024年全面预算利润表 (销售1中心)2.8亿'!E264:H264)</f>
        <v>191803.05</v>
      </c>
      <c r="AI262" s="19">
        <f>SUM('[1]2024年全面预算利润表 (销售1中心)2.8亿'!$E$264:$H$264)</f>
        <v>191803.05</v>
      </c>
    </row>
    <row r="263" spans="1:53" s="17" customFormat="1" ht="20" customHeight="1" x14ac:dyDescent="0.25">
      <c r="A263" s="52" t="s">
        <v>196</v>
      </c>
      <c r="B263" s="45">
        <v>22</v>
      </c>
      <c r="C263" s="76">
        <f t="shared" ref="C263:AB263" si="57">C261-C262</f>
        <v>-170830.50639999995</v>
      </c>
      <c r="D263" s="76">
        <f t="shared" si="57"/>
        <v>1064463.8509399993</v>
      </c>
      <c r="E263" s="76">
        <f t="shared" si="57"/>
        <v>94676.23679999997</v>
      </c>
      <c r="F263" s="76">
        <f t="shared" si="57"/>
        <v>606306.68360500049</v>
      </c>
      <c r="G263" s="76">
        <f t="shared" si="57"/>
        <v>517690.75980000052</v>
      </c>
      <c r="H263" s="76">
        <f t="shared" si="57"/>
        <v>946721.38710500137</v>
      </c>
      <c r="I263" s="76">
        <f t="shared" si="57"/>
        <v>870420.00619999901</v>
      </c>
      <c r="J263" s="76">
        <f t="shared" si="57"/>
        <v>1195997.5884349975</v>
      </c>
      <c r="K263" s="76">
        <f t="shared" si="57"/>
        <v>726049.78560000053</v>
      </c>
      <c r="L263" s="76">
        <f t="shared" si="57"/>
        <v>735466.4221499986</v>
      </c>
      <c r="M263" s="76">
        <f t="shared" si="57"/>
        <v>840960.50079999864</v>
      </c>
      <c r="N263" s="76">
        <f t="shared" si="57"/>
        <v>1245711.0329899988</v>
      </c>
      <c r="O263" s="76">
        <f t="shared" si="57"/>
        <v>673282.02420000127</v>
      </c>
      <c r="P263" s="76">
        <f t="shared" si="57"/>
        <v>921151.80622000224</v>
      </c>
      <c r="Q263" s="76">
        <f t="shared" si="57"/>
        <v>935290.50680000102</v>
      </c>
      <c r="R263" s="76">
        <f t="shared" si="57"/>
        <v>1266585.0885799984</v>
      </c>
      <c r="S263" s="76">
        <f t="shared" si="57"/>
        <v>1253923.0580000007</v>
      </c>
      <c r="T263" s="76">
        <f t="shared" si="57"/>
        <v>1872489.0322199953</v>
      </c>
      <c r="U263" s="76">
        <f t="shared" si="57"/>
        <v>583092.90259999945</v>
      </c>
      <c r="V263" s="76">
        <f t="shared" si="57"/>
        <v>1209731.3456141581</v>
      </c>
      <c r="W263" s="76">
        <f t="shared" si="57"/>
        <v>1001771.1725999995</v>
      </c>
      <c r="X263" s="76">
        <f t="shared" si="57"/>
        <v>1168123.4071099996</v>
      </c>
      <c r="Y263" s="76">
        <f t="shared" si="57"/>
        <v>2379985.6485999995</v>
      </c>
      <c r="Z263" s="76">
        <f t="shared" si="57"/>
        <v>2135298.3974960051</v>
      </c>
      <c r="AA263" s="78">
        <f t="shared" si="57"/>
        <v>9706312.0956000015</v>
      </c>
      <c r="AB263" s="78">
        <f t="shared" si="57"/>
        <v>14368046.042465156</v>
      </c>
      <c r="AC263" s="31"/>
      <c r="AD263" s="31">
        <f t="shared" si="50"/>
        <v>9706312.0955999997</v>
      </c>
      <c r="AE263" s="31">
        <f t="shared" si="51"/>
        <v>14368046.042465156</v>
      </c>
      <c r="AF263" s="17">
        <f>AA263-AD263</f>
        <v>0</v>
      </c>
      <c r="AG263" s="17">
        <f>AB263-AE263</f>
        <v>0</v>
      </c>
      <c r="AH263" s="17">
        <f>SUM('[1]2024年全面预算利润表 (销售1中心)2.8亿'!E265:H265)</f>
        <v>3312121.9540292802</v>
      </c>
      <c r="AI263" s="17">
        <f>AI261-AI262</f>
        <v>3312121.95402929</v>
      </c>
    </row>
    <row r="264" spans="1:53" s="17" customFormat="1" ht="20" customHeight="1" x14ac:dyDescent="0.25">
      <c r="A264" s="79" t="s">
        <v>197</v>
      </c>
      <c r="B264" s="45">
        <v>23</v>
      </c>
      <c r="C264" s="49">
        <f>'2025年中心利润表 '!C264+'2025年江苏分部利润表'!C264+'2025年浙江分部利润表'!C264+'2025年上海分部利润表'!C264+'2025年赣皖区域利润表'!C264</f>
        <v>0</v>
      </c>
      <c r="D264" s="49">
        <f>'2025年中心利润表 '!D264+'2025年江苏分部利润表'!D264+'2025年浙江分部利润表'!D264+'2025年上海分部利润表'!D264+'2025年赣皖区域利润表'!D264</f>
        <v>28056</v>
      </c>
      <c r="E264" s="49">
        <f>'2025年中心利润表 '!E264+'2025年江苏分部利润表'!E264+'2025年浙江分部利润表'!E264+'2025年上海分部利润表'!E264+'2025年赣皖区域利润表'!E264</f>
        <v>0</v>
      </c>
      <c r="F264" s="49">
        <f>'2025年中心利润表 '!F264+'2025年江苏分部利润表'!F264+'2025年浙江分部利润表'!F264+'2025年上海分部利润表'!F264+'2025年赣皖区域利润表'!F264</f>
        <v>55963</v>
      </c>
      <c r="G264" s="49">
        <f>'2025年中心利润表 '!G264+'2025年江苏分部利润表'!G264+'2025年浙江分部利润表'!G264+'2025年上海分部利润表'!G264+'2025年赣皖区域利润表'!G264</f>
        <v>0</v>
      </c>
      <c r="H264" s="49">
        <f>'2025年中心利润表 '!H264+'2025年江苏分部利润表'!H264+'2025年浙江分部利润表'!H264+'2025年上海分部利润表'!H264+'2025年赣皖区域利润表'!H264</f>
        <v>15958</v>
      </c>
      <c r="I264" s="49">
        <f>'2025年中心利润表 '!I264+'2025年江苏分部利润表'!I264+'2025年浙江分部利润表'!I264+'2025年上海分部利润表'!I264+'2025年赣皖区域利润表'!I264</f>
        <v>0</v>
      </c>
      <c r="J264" s="49">
        <f>'2025年中心利润表 '!J264+'2025年江苏分部利润表'!J264+'2025年浙江分部利润表'!J264+'2025年上海分部利润表'!J264+'2025年赣皖区域利润表'!J264</f>
        <v>36220</v>
      </c>
      <c r="K264" s="49">
        <f>'2025年中心利润表 '!K264+'2025年江苏分部利润表'!K264+'2025年浙江分部利润表'!K264+'2025年上海分部利润表'!K264+'2025年赣皖区域利润表'!K264</f>
        <v>0</v>
      </c>
      <c r="L264" s="49">
        <f>'2025年中心利润表 '!L264+'2025年江苏分部利润表'!L264+'2025年浙江分部利润表'!L264+'2025年上海分部利润表'!L264+'2025年赣皖区域利润表'!L264</f>
        <v>39016</v>
      </c>
      <c r="M264" s="49">
        <f>'2025年中心利润表 '!M264+'2025年江苏分部利润表'!M264+'2025年浙江分部利润表'!M264+'2025年上海分部利润表'!M264+'2025年赣皖区域利润表'!M264</f>
        <v>0</v>
      </c>
      <c r="N264" s="49">
        <f>'2025年中心利润表 '!N264+'2025年江苏分部利润表'!N264+'2025年浙江分部利润表'!N264+'2025年上海分部利润表'!N264+'2025年赣皖区域利润表'!N264</f>
        <v>92319</v>
      </c>
      <c r="O264" s="49">
        <f>'2025年中心利润表 '!O264+'2025年江苏分部利润表'!O264+'2025年浙江分部利润表'!O264+'2025年上海分部利润表'!O264+'2025年赣皖区域利润表'!O264</f>
        <v>0</v>
      </c>
      <c r="P264" s="49">
        <f>'2025年中心利润表 '!P264+'2025年江苏分部利润表'!P264+'2025年浙江分部利润表'!P264+'2025年上海分部利润表'!P264+'2025年赣皖区域利润表'!P264</f>
        <v>22844</v>
      </c>
      <c r="Q264" s="49">
        <f>'2025年中心利润表 '!Q264+'2025年江苏分部利润表'!Q264+'2025年浙江分部利润表'!Q264+'2025年上海分部利润表'!Q264+'2025年赣皖区域利润表'!Q264</f>
        <v>0</v>
      </c>
      <c r="R264" s="49">
        <f>'2025年中心利润表 '!R264+'2025年江苏分部利润表'!R264+'2025年浙江分部利润表'!R264+'2025年上海分部利润表'!R264+'2025年赣皖区域利润表'!R264</f>
        <v>222</v>
      </c>
      <c r="S264" s="49">
        <f>'2025年中心利润表 '!S264+'2025年江苏分部利润表'!S264+'2025年浙江分部利润表'!S264+'2025年上海分部利润表'!S264+'2025年赣皖区域利润表'!S264</f>
        <v>0</v>
      </c>
      <c r="T264" s="49">
        <f>'2025年中心利润表 '!T264+'2025年江苏分部利润表'!T264+'2025年浙江分部利润表'!T264+'2025年上海分部利润表'!T264+'2025年赣皖区域利润表'!T264</f>
        <v>75670</v>
      </c>
      <c r="U264" s="49">
        <f>'2025年中心利润表 '!U264+'2025年江苏分部利润表'!U264+'2025年浙江分部利润表'!U264+'2025年上海分部利润表'!U264+'2025年赣皖区域利润表'!U264</f>
        <v>0</v>
      </c>
      <c r="V264" s="49">
        <f>'2025年中心利润表 '!V264+'2025年江苏分部利润表'!V264+'2025年浙江分部利润表'!V264+'2025年上海分部利润表'!V264+'2025年赣皖区域利润表'!V264</f>
        <v>25914</v>
      </c>
      <c r="W264" s="49">
        <f>'2025年中心利润表 '!W264+'2025年江苏分部利润表'!W264+'2025年浙江分部利润表'!W264+'2025年上海分部利润表'!W264+'2025年赣皖区域利润表'!W264</f>
        <v>0</v>
      </c>
      <c r="X264" s="49">
        <f>'2025年中心利润表 '!X264+'2025年江苏分部利润表'!X264+'2025年浙江分部利润表'!X264+'2025年上海分部利润表'!X264+'2025年赣皖区域利润表'!X264</f>
        <v>19813</v>
      </c>
      <c r="Y264" s="49">
        <f>'2025年中心利润表 '!Y264+'2025年江苏分部利润表'!Y264+'2025年浙江分部利润表'!Y264+'2025年上海分部利润表'!Y264+'2025年赣皖区域利润表'!Y264</f>
        <v>0</v>
      </c>
      <c r="Z264" s="49">
        <f>'2025年中心利润表 '!Z264+'2025年江苏分部利润表'!Z264+'2025年浙江分部利润表'!Z264+'2025年上海分部利润表'!Z264+'2025年赣皖区域利润表'!Z264</f>
        <v>-151246</v>
      </c>
      <c r="AA264" s="51">
        <f>C264+E264+G264+I264+K264+M264+O264+Q264+S264+U264+W264+Y264</f>
        <v>0</v>
      </c>
      <c r="AB264" s="51">
        <f>D264+F264+H264+J264+L264+N264+P264+R264+T264+V264+X264+Z264</f>
        <v>260749</v>
      </c>
      <c r="AC264" s="31"/>
      <c r="AD264" s="80">
        <f>SUMIF($C$5:$Z$263,$AD$5,$A264:Z523)</f>
        <v>0</v>
      </c>
      <c r="AE264" s="80">
        <f>SUMIF($C$5:$Z$263,$AE$5,$C264:Z523)</f>
        <v>260749</v>
      </c>
    </row>
    <row r="265" spans="1:53" s="17" customFormat="1" ht="20" customHeight="1" x14ac:dyDescent="0.25">
      <c r="A265" s="81" t="s">
        <v>198</v>
      </c>
      <c r="B265" s="45">
        <v>24</v>
      </c>
      <c r="C265" s="76">
        <f t="shared" ref="C265:Z265" si="58">C263-C264</f>
        <v>-170830.50639999995</v>
      </c>
      <c r="D265" s="76">
        <f t="shared" si="58"/>
        <v>1036407.8509399993</v>
      </c>
      <c r="E265" s="76">
        <f t="shared" si="58"/>
        <v>94676.23679999997</v>
      </c>
      <c r="F265" s="76">
        <f t="shared" si="58"/>
        <v>550343.68360500049</v>
      </c>
      <c r="G265" s="76">
        <f t="shared" si="58"/>
        <v>517690.75980000052</v>
      </c>
      <c r="H265" s="76">
        <f t="shared" si="58"/>
        <v>930763.38710500137</v>
      </c>
      <c r="I265" s="76">
        <f t="shared" si="58"/>
        <v>870420.00619999901</v>
      </c>
      <c r="J265" s="76">
        <f t="shared" si="58"/>
        <v>1159777.5884349975</v>
      </c>
      <c r="K265" s="76">
        <f t="shared" si="58"/>
        <v>726049.78560000053</v>
      </c>
      <c r="L265" s="76">
        <f t="shared" si="58"/>
        <v>696450.4221499986</v>
      </c>
      <c r="M265" s="76">
        <f t="shared" si="58"/>
        <v>840960.50079999864</v>
      </c>
      <c r="N265" s="76">
        <f t="shared" si="58"/>
        <v>1153392.0329899988</v>
      </c>
      <c r="O265" s="76">
        <f t="shared" si="58"/>
        <v>673282.02420000127</v>
      </c>
      <c r="P265" s="76">
        <f t="shared" si="58"/>
        <v>898307.80622000224</v>
      </c>
      <c r="Q265" s="76">
        <f t="shared" si="58"/>
        <v>935290.50680000102</v>
      </c>
      <c r="R265" s="76">
        <f t="shared" si="58"/>
        <v>1266363.0885799984</v>
      </c>
      <c r="S265" s="76">
        <f t="shared" si="58"/>
        <v>1253923.0580000007</v>
      </c>
      <c r="T265" s="76">
        <f t="shared" si="58"/>
        <v>1796819.0322199953</v>
      </c>
      <c r="U265" s="76">
        <f t="shared" si="58"/>
        <v>583092.90259999945</v>
      </c>
      <c r="V265" s="76">
        <f t="shared" si="58"/>
        <v>1183817.3456141581</v>
      </c>
      <c r="W265" s="76">
        <f t="shared" si="58"/>
        <v>1001771.1725999995</v>
      </c>
      <c r="X265" s="76">
        <f t="shared" si="58"/>
        <v>1148310.4071099996</v>
      </c>
      <c r="Y265" s="76">
        <f t="shared" si="58"/>
        <v>2379985.6485999995</v>
      </c>
      <c r="Z265" s="76">
        <f t="shared" si="58"/>
        <v>2286544.3974960051</v>
      </c>
      <c r="AA265" s="47">
        <f>C265+E265+G265+I265+K265+M265+O265+Q265+S265+U265+W265+Y265</f>
        <v>9706312.0955999997</v>
      </c>
      <c r="AB265" s="47">
        <f>D265+F265+H265+J265+L265+N265+P265+R265+T265+V265+X265+Z265</f>
        <v>14107297.042465156</v>
      </c>
      <c r="AC265" s="31"/>
      <c r="AD265" s="80">
        <f>SUMIF($C$5:$Z$263,$AD$5,$A265:Z524)</f>
        <v>7326326.4470000006</v>
      </c>
      <c r="AE265" s="80">
        <f>SUMIF($C$5:$Z$263,$AE$5,$C265:Z524)</f>
        <v>14107297.042465156</v>
      </c>
    </row>
    <row r="266" spans="1:53" s="20" customFormat="1" ht="20" customHeight="1" x14ac:dyDescent="0.25">
      <c r="A266" s="82" t="s">
        <v>199</v>
      </c>
      <c r="B266" s="83"/>
      <c r="C266" s="84">
        <f t="shared" ref="C266:AB266" si="59">C263/C6</f>
        <v>-4.2850029675119014E-2</v>
      </c>
      <c r="D266" s="84">
        <f t="shared" si="59"/>
        <v>0.12149515825044238</v>
      </c>
      <c r="E266" s="84">
        <f t="shared" si="59"/>
        <v>1.9106768823730625E-2</v>
      </c>
      <c r="F266" s="84">
        <f t="shared" si="59"/>
        <v>0.11153394101340286</v>
      </c>
      <c r="G266" s="84">
        <f t="shared" si="59"/>
        <v>5.9501338460352306E-2</v>
      </c>
      <c r="H266" s="84">
        <f t="shared" si="59"/>
        <v>0.12531609710866737</v>
      </c>
      <c r="I266" s="84">
        <f t="shared" si="59"/>
        <v>8.5024837036120821E-2</v>
      </c>
      <c r="J266" s="84">
        <f t="shared" si="59"/>
        <v>0.11320905807881892</v>
      </c>
      <c r="K266" s="84">
        <f t="shared" si="59"/>
        <v>7.5859816192274609E-2</v>
      </c>
      <c r="L266" s="84">
        <f t="shared" si="59"/>
        <v>0.10784337746632368</v>
      </c>
      <c r="M266" s="84">
        <f t="shared" si="59"/>
        <v>8.2596262844267979E-2</v>
      </c>
      <c r="N266" s="84">
        <f t="shared" si="59"/>
        <v>0.13579952656758446</v>
      </c>
      <c r="O266" s="84">
        <f t="shared" si="59"/>
        <v>6.8263113821010996E-2</v>
      </c>
      <c r="P266" s="84">
        <f t="shared" si="59"/>
        <v>0.123012905275187</v>
      </c>
      <c r="Q266" s="84">
        <f t="shared" si="59"/>
        <v>8.2624412722673207E-2</v>
      </c>
      <c r="R266" s="84">
        <f t="shared" si="59"/>
        <v>0.14182952725340944</v>
      </c>
      <c r="S266" s="84">
        <f t="shared" si="59"/>
        <v>8.9160402164425251E-2</v>
      </c>
      <c r="T266" s="84">
        <f t="shared" si="59"/>
        <v>0.15003793045200417</v>
      </c>
      <c r="U266" s="84">
        <f t="shared" si="59"/>
        <v>6.2193248490747637E-2</v>
      </c>
      <c r="V266" s="84">
        <f t="shared" si="59"/>
        <v>0.15143300023007686</v>
      </c>
      <c r="W266" s="84">
        <f t="shared" si="59"/>
        <v>8.89247069377231E-2</v>
      </c>
      <c r="X266" s="84">
        <f t="shared" si="59"/>
        <v>0.13730064033615991</v>
      </c>
      <c r="Y266" s="84">
        <f t="shared" si="59"/>
        <v>0.12792921964922183</v>
      </c>
      <c r="Z266" s="84">
        <f t="shared" si="59"/>
        <v>0.16208026642726253</v>
      </c>
      <c r="AA266" s="85">
        <f t="shared" si="59"/>
        <v>7.9479548187620222E-2</v>
      </c>
      <c r="AB266" s="85">
        <f t="shared" si="59"/>
        <v>0.13443295860110394</v>
      </c>
      <c r="AC266" s="134"/>
      <c r="AD266" s="61">
        <f>SUM(AD6,-AD16,-AD28,-AD29,-AD102,-AD176,-AD250,-AD251,-AD252,AD257,AD259,-AD260,-AD262)/AD6</f>
        <v>7.9479548187620222E-2</v>
      </c>
      <c r="AE266" s="61">
        <f>SUM(AE6,-AE16,-AE28,-AE29,-AE102,-AE176,-AE250,-AE251,-AE252,AE257,AE259,-AE260,-AE262)/AE6</f>
        <v>0.13443295860110385</v>
      </c>
      <c r="AF266" s="135">
        <f>AA266-AD266</f>
        <v>0</v>
      </c>
      <c r="AG266" s="17">
        <f>AB266-AE266</f>
        <v>0</v>
      </c>
      <c r="AH266" s="87">
        <f>AH263/AH6</f>
        <v>9.1196869540228001E-2</v>
      </c>
      <c r="AI266" s="17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61"/>
      <c r="AX266" s="61"/>
      <c r="AY266" s="61"/>
      <c r="AZ266" s="61"/>
      <c r="BA266" s="61"/>
    </row>
    <row r="267" spans="1:53" s="117" customFormat="1" ht="20" customHeight="1" x14ac:dyDescent="0.25">
      <c r="A267" s="82" t="s">
        <v>200</v>
      </c>
      <c r="B267" s="83"/>
      <c r="C267" s="84"/>
      <c r="D267" s="84">
        <f>D6/C6</f>
        <v>2.1976455354314446</v>
      </c>
      <c r="E267" s="84"/>
      <c r="F267" s="84">
        <f>F6/E6</f>
        <v>1.0970630032199051</v>
      </c>
      <c r="G267" s="84"/>
      <c r="H267" s="84">
        <f>H6/G6</f>
        <v>0.86830369554433295</v>
      </c>
      <c r="I267" s="84"/>
      <c r="J267" s="84">
        <f>J6/I6</f>
        <v>1.0319676199494021</v>
      </c>
      <c r="K267" s="84"/>
      <c r="L267" s="84">
        <f>L6/K6</f>
        <v>0.71254903054208518</v>
      </c>
      <c r="M267" s="84"/>
      <c r="N267" s="84">
        <f>N6/M6</f>
        <v>0.90095656633868071</v>
      </c>
      <c r="O267" s="84"/>
      <c r="P267" s="84">
        <f>P6/O6</f>
        <v>0.75922343953777116</v>
      </c>
      <c r="Q267" s="84"/>
      <c r="R267" s="84">
        <f>R6/Q6</f>
        <v>0.7889138397182951</v>
      </c>
      <c r="S267" s="84"/>
      <c r="T267" s="84">
        <f>T6/S6</f>
        <v>0.88739984324554166</v>
      </c>
      <c r="U267" s="84"/>
      <c r="V267" s="84">
        <f>V6/U6</f>
        <v>0.85206728988795011</v>
      </c>
      <c r="W267" s="84"/>
      <c r="X267" s="84">
        <f>X6/W6</f>
        <v>0.75521407668518403</v>
      </c>
      <c r="Y267" s="84"/>
      <c r="Z267" s="84">
        <f>Z6/Y6</f>
        <v>0.70814769312732351</v>
      </c>
      <c r="AA267" s="85"/>
      <c r="AB267" s="86">
        <f>AB6/AA6</f>
        <v>0.87517135110627009</v>
      </c>
      <c r="AC267" s="134"/>
      <c r="AD267" s="61"/>
      <c r="AE267" s="61">
        <f>AE6/AD6</f>
        <v>0.87517135110627009</v>
      </c>
      <c r="AF267" s="17"/>
      <c r="AG267" s="87">
        <f>AB267-AE267</f>
        <v>0</v>
      </c>
      <c r="AH267" s="17">
        <f>SUM('[1]2024年全面预算利润表 (销售1中心)2.8亿'!E267:H267)</f>
        <v>0</v>
      </c>
      <c r="AI267" s="61"/>
      <c r="AJ267" s="61"/>
      <c r="AK267" s="61"/>
      <c r="AL267" s="61"/>
      <c r="AM267" s="61"/>
      <c r="AN267" s="61"/>
      <c r="AO267" s="61"/>
      <c r="AP267" s="61"/>
      <c r="AQ267" s="61"/>
      <c r="AR267" s="61"/>
      <c r="AS267" s="61"/>
      <c r="AT267" s="61"/>
      <c r="AU267" s="61"/>
      <c r="AV267" s="61"/>
      <c r="AW267" s="61"/>
      <c r="AX267" s="61"/>
      <c r="AY267" s="61"/>
      <c r="AZ267" s="61"/>
      <c r="BA267" s="61"/>
    </row>
    <row r="268" spans="1:53" ht="21" customHeight="1" x14ac:dyDescent="0.25">
      <c r="A268" s="88" t="s">
        <v>201</v>
      </c>
      <c r="B268" s="136"/>
      <c r="C268" s="90"/>
      <c r="D268" s="90">
        <f>2-(D263/C263)</f>
        <v>8.2311110197587034</v>
      </c>
      <c r="E268" s="90"/>
      <c r="F268" s="90">
        <f>F263/E263</f>
        <v>6.4040006668811822</v>
      </c>
      <c r="G268" s="90"/>
      <c r="H268" s="90">
        <f>H263/G263</f>
        <v>1.8287392022812001</v>
      </c>
      <c r="I268" s="90"/>
      <c r="J268" s="90">
        <f>J263/I263</f>
        <v>1.3740465291651276</v>
      </c>
      <c r="K268" s="90"/>
      <c r="L268" s="90">
        <f>L263/K263</f>
        <v>1.0129696843615432</v>
      </c>
      <c r="M268" s="90"/>
      <c r="N268" s="90">
        <f>N263/M263</f>
        <v>1.4812955326736088</v>
      </c>
      <c r="O268" s="90"/>
      <c r="P268" s="90">
        <f>P263/O263</f>
        <v>1.3681514924069476</v>
      </c>
      <c r="Q268" s="90"/>
      <c r="R268" s="90">
        <f>R263/Q263</f>
        <v>1.3542157002250426</v>
      </c>
      <c r="S268" s="90"/>
      <c r="T268" s="90">
        <f>T263/S263</f>
        <v>1.493304569425977</v>
      </c>
      <c r="U268" s="90"/>
      <c r="V268" s="90">
        <f>V263/U263</f>
        <v>2.074680278597099</v>
      </c>
      <c r="W268" s="90"/>
      <c r="X268" s="90">
        <f>X263/W263</f>
        <v>1.166058116923298</v>
      </c>
      <c r="Y268" s="90"/>
      <c r="Z268" s="90">
        <f>Z263/Y263</f>
        <v>0.89718961068192615</v>
      </c>
      <c r="AA268" s="115"/>
      <c r="AB268" s="92">
        <f>AB263/AA263</f>
        <v>1.4802785961290468</v>
      </c>
      <c r="AE268" s="66">
        <f>ROUND(AE263/AD263,4)</f>
        <v>1.4802999999999999</v>
      </c>
      <c r="AH268" s="61"/>
    </row>
    <row r="269" spans="1:53" s="118" customFormat="1" ht="27" customHeight="1" x14ac:dyDescent="0.25">
      <c r="A269" s="197"/>
      <c r="B269" s="198"/>
      <c r="C269" s="198"/>
      <c r="D269" s="198"/>
      <c r="E269" s="198"/>
      <c r="F269" s="198"/>
      <c r="G269" s="198"/>
      <c r="H269" s="198"/>
      <c r="I269" s="198"/>
      <c r="J269" s="198"/>
      <c r="K269" s="198"/>
      <c r="L269" s="198"/>
      <c r="M269" s="198"/>
      <c r="N269" s="198"/>
      <c r="O269" s="198"/>
      <c r="P269" s="198"/>
      <c r="Q269" s="198"/>
      <c r="R269" s="198"/>
      <c r="S269" s="198"/>
      <c r="T269" s="198"/>
      <c r="U269" s="198"/>
      <c r="V269" s="198"/>
      <c r="W269" s="198"/>
      <c r="X269" s="198"/>
      <c r="Y269" s="198"/>
      <c r="Z269" s="198"/>
      <c r="AA269" s="198"/>
      <c r="AB269" s="198"/>
    </row>
    <row r="270" spans="1:53" s="3" customFormat="1" ht="36" customHeight="1" x14ac:dyDescent="0.25">
      <c r="A270" s="116" t="s">
        <v>72</v>
      </c>
      <c r="B270" s="199" t="str">
        <f>索引!C5</f>
        <v>1、为中心、分部、区域的合计；
2、所得税为扣除二中心承担的税费后的余额。</v>
      </c>
      <c r="C270" s="199"/>
      <c r="D270" s="199"/>
      <c r="E270" s="199"/>
      <c r="F270" s="199"/>
      <c r="G270" s="199"/>
      <c r="H270" s="199"/>
      <c r="I270" s="199"/>
      <c r="J270" s="199"/>
      <c r="K270" s="199"/>
      <c r="L270" s="199"/>
      <c r="M270" s="199"/>
      <c r="N270" s="199"/>
      <c r="O270" s="199"/>
      <c r="P270" s="199"/>
      <c r="Q270" s="199"/>
      <c r="R270" s="199"/>
      <c r="S270" s="199"/>
      <c r="T270" s="199"/>
      <c r="U270" s="199"/>
      <c r="V270" s="199"/>
      <c r="W270" s="199"/>
      <c r="X270" s="199"/>
      <c r="Y270" s="199"/>
      <c r="Z270" s="199"/>
      <c r="AA270" s="199"/>
      <c r="AB270" s="199"/>
      <c r="AC270" s="4"/>
    </row>
  </sheetData>
  <autoFilter ref="C5:AB270" xr:uid="{00000000-0009-0000-0000-000003000000}"/>
  <mergeCells count="20">
    <mergeCell ref="AD4:AE4"/>
    <mergeCell ref="AF4:AG4"/>
    <mergeCell ref="A269:AB269"/>
    <mergeCell ref="B270:AB270"/>
    <mergeCell ref="A4:A5"/>
    <mergeCell ref="B4:B5"/>
    <mergeCell ref="A1:AB1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</mergeCells>
  <phoneticPr fontId="40" type="noConversion"/>
  <hyperlinks>
    <hyperlink ref="A1" location="'索引'!A1" tooltip="返回索引" display="宁波味觉销售1中心利润表 " xr:uid="{00000000-0004-0000-0300-000000000000}"/>
  </hyperlinks>
  <pageMargins left="0.118055555555556" right="7.8472222222222193E-2" top="0.27916666666666701" bottom="0.39305555555555599" header="0.23958333333333301" footer="0.118055555555556"/>
  <pageSetup paperSize="9" scale="36" orientation="landscape" r:id="rId1"/>
  <headerFooter>
    <oddFooter>&amp;C第 &amp;P 页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N284"/>
  <sheetViews>
    <sheetView showZeros="0" view="pageBreakPreview" zoomScale="85" zoomScaleNormal="100" workbookViewId="0">
      <pane xSplit="2" ySplit="5" topLeftCell="Q259" activePane="bottomRight" state="frozen"/>
      <selection activeCell="A269" sqref="A269:AB269"/>
      <selection pane="topRight" activeCell="A269" sqref="A269:AB269"/>
      <selection pane="bottomLeft" activeCell="A269" sqref="A269:AB269"/>
      <selection pane="bottomRight" activeCell="A269" sqref="A269:AB269"/>
    </sheetView>
  </sheetViews>
  <sheetFormatPr defaultColWidth="8.6640625" defaultRowHeight="21" customHeight="1" outlineLevelRow="2" outlineLevelCol="1" x14ac:dyDescent="0.25"/>
  <cols>
    <col min="1" max="1" width="20.08203125" style="22" customWidth="1"/>
    <col min="2" max="2" width="5.58203125" style="23" customWidth="1"/>
    <col min="3" max="3" width="13.1640625" style="23" customWidth="1"/>
    <col min="4" max="5" width="12.83203125" style="98" customWidth="1"/>
    <col min="6" max="10" width="13.25" style="98" customWidth="1"/>
    <col min="11" max="11" width="13.33203125" style="98" customWidth="1"/>
    <col min="12" max="12" width="13.5" style="98" customWidth="1"/>
    <col min="13" max="26" width="12.83203125" style="98" customWidth="1"/>
    <col min="27" max="27" width="13.08203125" style="98" customWidth="1"/>
    <col min="28" max="28" width="14.58203125" style="22" customWidth="1"/>
    <col min="29" max="29" width="16.33203125" style="22" customWidth="1"/>
    <col min="30" max="30" width="22.33203125" style="22" hidden="1" customWidth="1" outlineLevel="1"/>
    <col min="31" max="31" width="15.75" style="22" hidden="1" customWidth="1" outlineLevel="1"/>
    <col min="32" max="32" width="15" style="22" hidden="1" customWidth="1" outlineLevel="1"/>
    <col min="33" max="33" width="13.08203125" style="22" hidden="1" customWidth="1" outlineLevel="1"/>
    <col min="34" max="34" width="8.6640625" style="22" customWidth="1" collapsed="1"/>
    <col min="35" max="53" width="8.6640625" style="22" customWidth="1"/>
    <col min="54" max="54" width="15.25" style="22" customWidth="1"/>
    <col min="55" max="55" width="8.6640625" style="22"/>
    <col min="56" max="56" width="14.33203125" style="22"/>
    <col min="57" max="16384" width="8.6640625" style="22"/>
  </cols>
  <sheetData>
    <row r="1" spans="1:118" s="16" customFormat="1" ht="28" customHeight="1" x14ac:dyDescent="0.25">
      <c r="A1" s="189" t="s">
        <v>202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</row>
    <row r="2" spans="1:118" s="16" customFormat="1" ht="21" customHeight="1" x14ac:dyDescent="0.25">
      <c r="A2" s="26">
        <v>46021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9" t="s">
        <v>203</v>
      </c>
    </row>
    <row r="3" spans="1:118" s="17" customFormat="1" ht="22" customHeight="1" x14ac:dyDescent="0.25">
      <c r="A3" s="30" t="s">
        <v>204</v>
      </c>
      <c r="B3" s="31"/>
      <c r="C3" s="31"/>
      <c r="AB3" s="29" t="s">
        <v>205</v>
      </c>
      <c r="AC3" s="27"/>
    </row>
    <row r="4" spans="1:118" s="17" customFormat="1" ht="24" customHeight="1" x14ac:dyDescent="0.25">
      <c r="A4" s="200" t="s">
        <v>206</v>
      </c>
      <c r="B4" s="200" t="s">
        <v>207</v>
      </c>
      <c r="C4" s="193">
        <v>45658</v>
      </c>
      <c r="D4" s="193"/>
      <c r="E4" s="193">
        <v>45689</v>
      </c>
      <c r="F4" s="193"/>
      <c r="G4" s="193">
        <v>45717</v>
      </c>
      <c r="H4" s="193"/>
      <c r="I4" s="193">
        <v>45748</v>
      </c>
      <c r="J4" s="193"/>
      <c r="K4" s="193">
        <v>45778</v>
      </c>
      <c r="L4" s="193"/>
      <c r="M4" s="193">
        <v>45809</v>
      </c>
      <c r="N4" s="193"/>
      <c r="O4" s="193">
        <v>45839</v>
      </c>
      <c r="P4" s="193"/>
      <c r="Q4" s="193">
        <v>45870</v>
      </c>
      <c r="R4" s="193"/>
      <c r="S4" s="193">
        <v>45901</v>
      </c>
      <c r="T4" s="193"/>
      <c r="U4" s="193">
        <v>45931</v>
      </c>
      <c r="V4" s="193"/>
      <c r="W4" s="193">
        <v>45962</v>
      </c>
      <c r="X4" s="193"/>
      <c r="Y4" s="193">
        <v>45992</v>
      </c>
      <c r="Z4" s="193"/>
      <c r="AA4" s="194" t="s">
        <v>79</v>
      </c>
      <c r="AB4" s="194"/>
      <c r="AD4" s="195" t="s">
        <v>80</v>
      </c>
      <c r="AE4" s="195"/>
      <c r="AF4" s="196" t="s">
        <v>81</v>
      </c>
      <c r="AG4" s="195"/>
    </row>
    <row r="5" spans="1:118" s="18" customFormat="1" ht="24" customHeight="1" x14ac:dyDescent="0.25">
      <c r="A5" s="201"/>
      <c r="B5" s="201"/>
      <c r="C5" s="37" t="s">
        <v>84</v>
      </c>
      <c r="D5" s="38" t="s">
        <v>85</v>
      </c>
      <c r="E5" s="37" t="s">
        <v>84</v>
      </c>
      <c r="F5" s="38" t="s">
        <v>85</v>
      </c>
      <c r="G5" s="37" t="s">
        <v>84</v>
      </c>
      <c r="H5" s="38" t="s">
        <v>85</v>
      </c>
      <c r="I5" s="37" t="s">
        <v>84</v>
      </c>
      <c r="J5" s="38" t="s">
        <v>85</v>
      </c>
      <c r="K5" s="37" t="s">
        <v>84</v>
      </c>
      <c r="L5" s="38" t="s">
        <v>85</v>
      </c>
      <c r="M5" s="37" t="s">
        <v>84</v>
      </c>
      <c r="N5" s="38" t="s">
        <v>85</v>
      </c>
      <c r="O5" s="37" t="s">
        <v>84</v>
      </c>
      <c r="P5" s="38" t="s">
        <v>85</v>
      </c>
      <c r="Q5" s="37" t="s">
        <v>84</v>
      </c>
      <c r="R5" s="38" t="s">
        <v>85</v>
      </c>
      <c r="S5" s="37" t="s">
        <v>84</v>
      </c>
      <c r="T5" s="38" t="s">
        <v>85</v>
      </c>
      <c r="U5" s="37" t="s">
        <v>84</v>
      </c>
      <c r="V5" s="38" t="s">
        <v>85</v>
      </c>
      <c r="W5" s="37" t="s">
        <v>84</v>
      </c>
      <c r="X5" s="38" t="s">
        <v>85</v>
      </c>
      <c r="Y5" s="37" t="s">
        <v>84</v>
      </c>
      <c r="Z5" s="38" t="s">
        <v>85</v>
      </c>
      <c r="AA5" s="39" t="s">
        <v>84</v>
      </c>
      <c r="AB5" s="40" t="s">
        <v>208</v>
      </c>
      <c r="AD5" s="41" t="s">
        <v>84</v>
      </c>
      <c r="AE5" s="42" t="s">
        <v>85</v>
      </c>
      <c r="AF5" s="41" t="s">
        <v>84</v>
      </c>
      <c r="AG5" s="42" t="s">
        <v>85</v>
      </c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</row>
    <row r="6" spans="1:118" s="17" customFormat="1" ht="21" customHeight="1" x14ac:dyDescent="0.25">
      <c r="A6" s="44" t="s">
        <v>209</v>
      </c>
      <c r="B6" s="45" t="s">
        <v>88</v>
      </c>
      <c r="C6" s="46">
        <f t="shared" ref="C6:Z6" si="0">SUM(C7:C13,C15,-C14)</f>
        <v>0</v>
      </c>
      <c r="D6" s="46">
        <f t="shared" si="0"/>
        <v>81119.48</v>
      </c>
      <c r="E6" s="46">
        <f t="shared" si="0"/>
        <v>0</v>
      </c>
      <c r="F6" s="46">
        <f t="shared" si="0"/>
        <v>10464.61</v>
      </c>
      <c r="G6" s="46">
        <f t="shared" si="0"/>
        <v>0</v>
      </c>
      <c r="H6" s="46">
        <f t="shared" si="0"/>
        <v>20687.61</v>
      </c>
      <c r="I6" s="46">
        <f t="shared" si="0"/>
        <v>0</v>
      </c>
      <c r="J6" s="46">
        <f t="shared" si="0"/>
        <v>29819.47</v>
      </c>
      <c r="K6" s="46">
        <f t="shared" si="0"/>
        <v>0</v>
      </c>
      <c r="L6" s="46">
        <f t="shared" si="0"/>
        <v>12482.3</v>
      </c>
      <c r="M6" s="46">
        <f t="shared" si="0"/>
        <v>0</v>
      </c>
      <c r="N6" s="46">
        <f t="shared" si="0"/>
        <v>18622.78</v>
      </c>
      <c r="O6" s="46">
        <f t="shared" si="0"/>
        <v>0</v>
      </c>
      <c r="P6" s="46">
        <f t="shared" si="0"/>
        <v>12631.64</v>
      </c>
      <c r="Q6" s="46">
        <f t="shared" si="0"/>
        <v>0</v>
      </c>
      <c r="R6" s="46">
        <f t="shared" si="0"/>
        <v>2849.56</v>
      </c>
      <c r="S6" s="46">
        <f t="shared" si="0"/>
        <v>0</v>
      </c>
      <c r="T6" s="46">
        <f t="shared" si="0"/>
        <v>11571.24</v>
      </c>
      <c r="U6" s="46">
        <f t="shared" si="0"/>
        <v>0</v>
      </c>
      <c r="V6" s="46">
        <f t="shared" si="0"/>
        <v>0</v>
      </c>
      <c r="W6" s="46">
        <f t="shared" si="0"/>
        <v>0</v>
      </c>
      <c r="X6" s="46">
        <f t="shared" si="0"/>
        <v>12910.62</v>
      </c>
      <c r="Y6" s="46">
        <f t="shared" si="0"/>
        <v>0</v>
      </c>
      <c r="Z6" s="46">
        <f t="shared" si="0"/>
        <v>5973.45</v>
      </c>
      <c r="AA6" s="47">
        <f t="shared" ref="AA6:AA26" si="1">C6+E6+G6+I6+K6+M6+O6+Q6+S6+U6+W6+Y6</f>
        <v>0</v>
      </c>
      <c r="AB6" s="47">
        <f t="shared" ref="AB6:AB26" si="2">D6+F6+H6+J6+L6+N6+P6+R6+T6+V6+X6+Z6</f>
        <v>219132.76</v>
      </c>
      <c r="AD6" s="31">
        <f t="shared" ref="AD6:AD26" si="3">SUMIF($C$5:$Z$5,$AD$5,C6:Z6)</f>
        <v>0</v>
      </c>
      <c r="AE6" s="31">
        <f t="shared" ref="AE6:AE26" si="4">SUMIF($C$5:$Z$5,$AD$5,D6:AA6)</f>
        <v>219132.76</v>
      </c>
      <c r="AF6" s="17">
        <f t="shared" ref="AF6:AF13" si="5">AA6-AD6</f>
        <v>0</v>
      </c>
      <c r="AG6" s="17">
        <f t="shared" ref="AG6:AG13" si="6">AB6-AE6</f>
        <v>0</v>
      </c>
      <c r="BB6" s="21"/>
    </row>
    <row r="7" spans="1:118" s="17" customFormat="1" ht="21" hidden="1" customHeight="1" outlineLevel="1" x14ac:dyDescent="0.25">
      <c r="A7" s="48" t="s">
        <v>89</v>
      </c>
      <c r="B7" s="45"/>
      <c r="C7" s="64"/>
      <c r="D7" s="50">
        <v>22716.82</v>
      </c>
      <c r="E7" s="50"/>
      <c r="F7" s="50">
        <v>243.36</v>
      </c>
      <c r="G7" s="50"/>
      <c r="H7" s="50">
        <v>265.49</v>
      </c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1">
        <f t="shared" si="1"/>
        <v>0</v>
      </c>
      <c r="AB7" s="51">
        <f t="shared" si="2"/>
        <v>23225.67</v>
      </c>
      <c r="AD7" s="31">
        <f t="shared" si="3"/>
        <v>0</v>
      </c>
      <c r="AE7" s="31">
        <f t="shared" si="4"/>
        <v>23225.67</v>
      </c>
      <c r="AF7" s="17">
        <f t="shared" si="5"/>
        <v>0</v>
      </c>
      <c r="AG7" s="17">
        <f t="shared" si="6"/>
        <v>0</v>
      </c>
      <c r="BB7" s="21"/>
    </row>
    <row r="8" spans="1:118" s="17" customFormat="1" ht="21" hidden="1" customHeight="1" outlineLevel="1" x14ac:dyDescent="0.25">
      <c r="A8" s="48" t="s">
        <v>90</v>
      </c>
      <c r="B8" s="45"/>
      <c r="C8" s="64"/>
      <c r="D8" s="50">
        <v>23057.52</v>
      </c>
      <c r="E8" s="50"/>
      <c r="F8" s="50">
        <v>331.86</v>
      </c>
      <c r="G8" s="50"/>
      <c r="H8" s="50">
        <v>300.88</v>
      </c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1">
        <f t="shared" si="1"/>
        <v>0</v>
      </c>
      <c r="AB8" s="51">
        <f t="shared" si="2"/>
        <v>23690.26</v>
      </c>
      <c r="AD8" s="31">
        <f t="shared" si="3"/>
        <v>0</v>
      </c>
      <c r="AE8" s="31">
        <f t="shared" si="4"/>
        <v>23690.26</v>
      </c>
      <c r="AF8" s="17">
        <f t="shared" si="5"/>
        <v>0</v>
      </c>
      <c r="AG8" s="17">
        <f t="shared" si="6"/>
        <v>0</v>
      </c>
      <c r="BB8" s="21"/>
    </row>
    <row r="9" spans="1:118" s="17" customFormat="1" ht="21" hidden="1" customHeight="1" outlineLevel="1" x14ac:dyDescent="0.25">
      <c r="A9" s="48" t="s">
        <v>91</v>
      </c>
      <c r="B9" s="45"/>
      <c r="C9" s="64"/>
      <c r="D9" s="50">
        <v>11442.48</v>
      </c>
      <c r="E9" s="50"/>
      <c r="F9" s="50">
        <v>398.23</v>
      </c>
      <c r="G9" s="50"/>
      <c r="H9" s="50">
        <v>594.69000000000005</v>
      </c>
      <c r="I9" s="50"/>
      <c r="J9" s="50">
        <v>10828.32</v>
      </c>
      <c r="K9" s="50"/>
      <c r="L9" s="50"/>
      <c r="M9" s="50"/>
      <c r="N9" s="50">
        <v>7123.89</v>
      </c>
      <c r="O9" s="50"/>
      <c r="P9" s="50"/>
      <c r="Q9" s="50"/>
      <c r="R9" s="50">
        <v>2849.56</v>
      </c>
      <c r="S9" s="50"/>
      <c r="T9" s="50">
        <v>5383.63</v>
      </c>
      <c r="U9" s="50"/>
      <c r="V9" s="50"/>
      <c r="W9" s="50"/>
      <c r="X9" s="50"/>
      <c r="Y9" s="50"/>
      <c r="Z9" s="50"/>
      <c r="AA9" s="51">
        <f t="shared" si="1"/>
        <v>0</v>
      </c>
      <c r="AB9" s="51">
        <f t="shared" si="2"/>
        <v>38620.800000000003</v>
      </c>
      <c r="AD9" s="31">
        <f t="shared" si="3"/>
        <v>0</v>
      </c>
      <c r="AE9" s="31">
        <f t="shared" si="4"/>
        <v>38620.800000000003</v>
      </c>
      <c r="AF9" s="17">
        <f t="shared" si="5"/>
        <v>0</v>
      </c>
      <c r="AG9" s="17">
        <f t="shared" si="6"/>
        <v>0</v>
      </c>
      <c r="BB9" s="21"/>
    </row>
    <row r="10" spans="1:118" s="17" customFormat="1" ht="21" hidden="1" customHeight="1" outlineLevel="1" x14ac:dyDescent="0.25">
      <c r="A10" s="48" t="s">
        <v>92</v>
      </c>
      <c r="B10" s="45"/>
      <c r="C10" s="64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1">
        <f t="shared" si="1"/>
        <v>0</v>
      </c>
      <c r="AB10" s="51">
        <f t="shared" si="2"/>
        <v>0</v>
      </c>
      <c r="AD10" s="31">
        <f t="shared" si="3"/>
        <v>0</v>
      </c>
      <c r="AE10" s="31">
        <f t="shared" si="4"/>
        <v>0</v>
      </c>
      <c r="AF10" s="17">
        <f t="shared" si="5"/>
        <v>0</v>
      </c>
      <c r="AG10" s="17">
        <f t="shared" si="6"/>
        <v>0</v>
      </c>
      <c r="BB10" s="21"/>
    </row>
    <row r="11" spans="1:118" s="17" customFormat="1" ht="21" hidden="1" customHeight="1" outlineLevel="1" x14ac:dyDescent="0.25">
      <c r="A11" s="48" t="s">
        <v>93</v>
      </c>
      <c r="B11" s="45"/>
      <c r="C11" s="64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1">
        <f t="shared" si="1"/>
        <v>0</v>
      </c>
      <c r="AB11" s="51">
        <f t="shared" si="2"/>
        <v>0</v>
      </c>
      <c r="AD11" s="31">
        <f t="shared" si="3"/>
        <v>0</v>
      </c>
      <c r="AE11" s="31">
        <f t="shared" si="4"/>
        <v>0</v>
      </c>
      <c r="AF11" s="17">
        <f t="shared" si="5"/>
        <v>0</v>
      </c>
      <c r="AG11" s="17">
        <f t="shared" si="6"/>
        <v>0</v>
      </c>
      <c r="BB11" s="21"/>
    </row>
    <row r="12" spans="1:118" s="17" customFormat="1" ht="21" hidden="1" customHeight="1" outlineLevel="1" x14ac:dyDescent="0.25">
      <c r="A12" s="48" t="s">
        <v>94</v>
      </c>
      <c r="B12" s="45"/>
      <c r="C12" s="64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1">
        <f t="shared" si="1"/>
        <v>0</v>
      </c>
      <c r="AB12" s="51">
        <f t="shared" si="2"/>
        <v>0</v>
      </c>
      <c r="AD12" s="31">
        <f t="shared" si="3"/>
        <v>0</v>
      </c>
      <c r="AE12" s="31">
        <f t="shared" si="4"/>
        <v>0</v>
      </c>
      <c r="AF12" s="17">
        <f t="shared" si="5"/>
        <v>0</v>
      </c>
      <c r="AG12" s="17">
        <f t="shared" si="6"/>
        <v>0</v>
      </c>
      <c r="BB12" s="21"/>
    </row>
    <row r="13" spans="1:118" s="17" customFormat="1" ht="21" hidden="1" customHeight="1" outlineLevel="1" x14ac:dyDescent="0.25">
      <c r="A13" s="48" t="s">
        <v>95</v>
      </c>
      <c r="B13" s="45"/>
      <c r="C13" s="64"/>
      <c r="D13" s="50">
        <v>23048.68</v>
      </c>
      <c r="E13" s="50"/>
      <c r="F13" s="50">
        <v>8960.19</v>
      </c>
      <c r="G13" s="50"/>
      <c r="H13" s="50">
        <v>19526.55</v>
      </c>
      <c r="I13" s="50"/>
      <c r="J13" s="50">
        <v>18991.150000000001</v>
      </c>
      <c r="K13" s="50"/>
      <c r="L13" s="50">
        <v>12482.3</v>
      </c>
      <c r="M13" s="50"/>
      <c r="N13" s="50">
        <v>11498.89</v>
      </c>
      <c r="O13" s="50"/>
      <c r="P13" s="50">
        <v>12631.64</v>
      </c>
      <c r="Q13" s="50"/>
      <c r="R13" s="50"/>
      <c r="S13" s="50"/>
      <c r="T13" s="50">
        <v>6187.61</v>
      </c>
      <c r="U13" s="50"/>
      <c r="V13" s="50"/>
      <c r="W13" s="50"/>
      <c r="X13" s="50">
        <v>12910.62</v>
      </c>
      <c r="Y13" s="50"/>
      <c r="Z13" s="50">
        <v>5973.45</v>
      </c>
      <c r="AA13" s="51">
        <f t="shared" si="1"/>
        <v>0</v>
      </c>
      <c r="AB13" s="51">
        <f t="shared" si="2"/>
        <v>132211.07999999999</v>
      </c>
      <c r="AD13" s="31">
        <f t="shared" si="3"/>
        <v>0</v>
      </c>
      <c r="AE13" s="31">
        <f t="shared" si="4"/>
        <v>132211.07999999999</v>
      </c>
      <c r="AF13" s="17">
        <f t="shared" si="5"/>
        <v>0</v>
      </c>
      <c r="AG13" s="17">
        <f t="shared" si="6"/>
        <v>0</v>
      </c>
      <c r="BB13" s="21"/>
    </row>
    <row r="14" spans="1:118" s="17" customFormat="1" ht="21" hidden="1" customHeight="1" outlineLevel="1" x14ac:dyDescent="0.25">
      <c r="A14" s="48" t="s">
        <v>96</v>
      </c>
      <c r="B14" s="45"/>
      <c r="C14" s="64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1">
        <f t="shared" si="1"/>
        <v>0</v>
      </c>
      <c r="AB14" s="51">
        <f t="shared" si="2"/>
        <v>0</v>
      </c>
      <c r="AD14" s="31">
        <f t="shared" si="3"/>
        <v>0</v>
      </c>
      <c r="AE14" s="31">
        <f t="shared" si="4"/>
        <v>0</v>
      </c>
      <c r="BB14" s="21"/>
    </row>
    <row r="15" spans="1:118" s="17" customFormat="1" ht="21" hidden="1" customHeight="1" outlineLevel="1" x14ac:dyDescent="0.25">
      <c r="A15" s="48" t="s">
        <v>97</v>
      </c>
      <c r="B15" s="45"/>
      <c r="C15" s="64"/>
      <c r="D15" s="50">
        <v>853.98</v>
      </c>
      <c r="E15" s="50"/>
      <c r="F15" s="50">
        <v>530.97</v>
      </c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1">
        <f t="shared" si="1"/>
        <v>0</v>
      </c>
      <c r="AB15" s="51">
        <f t="shared" si="2"/>
        <v>1384.95</v>
      </c>
      <c r="AD15" s="31">
        <f t="shared" si="3"/>
        <v>0</v>
      </c>
      <c r="AE15" s="31">
        <f t="shared" si="4"/>
        <v>1384.95</v>
      </c>
      <c r="AF15" s="17">
        <f t="shared" ref="AF15:AF25" si="7">AA15-AD15</f>
        <v>0</v>
      </c>
      <c r="AG15" s="17">
        <f t="shared" ref="AG15:AG25" si="8">AB15-AE15</f>
        <v>0</v>
      </c>
      <c r="BB15" s="21"/>
    </row>
    <row r="16" spans="1:118" s="17" customFormat="1" ht="18" customHeight="1" collapsed="1" x14ac:dyDescent="0.25">
      <c r="A16" s="52" t="s">
        <v>98</v>
      </c>
      <c r="B16" s="45" t="s">
        <v>99</v>
      </c>
      <c r="C16" s="46">
        <f t="shared" ref="C16:Z16" si="9">SUM(C17:C25)</f>
        <v>0</v>
      </c>
      <c r="D16" s="46">
        <f t="shared" si="9"/>
        <v>52622.57</v>
      </c>
      <c r="E16" s="46">
        <f t="shared" si="9"/>
        <v>0</v>
      </c>
      <c r="F16" s="46">
        <f t="shared" si="9"/>
        <v>9814.48</v>
      </c>
      <c r="G16" s="46">
        <f t="shared" si="9"/>
        <v>0</v>
      </c>
      <c r="H16" s="46">
        <f t="shared" si="9"/>
        <v>19889.02</v>
      </c>
      <c r="I16" s="46">
        <f t="shared" si="9"/>
        <v>0</v>
      </c>
      <c r="J16" s="46">
        <f t="shared" si="9"/>
        <v>24662.3</v>
      </c>
      <c r="K16" s="46">
        <f t="shared" si="9"/>
        <v>0</v>
      </c>
      <c r="L16" s="46">
        <f t="shared" si="9"/>
        <v>11445.75</v>
      </c>
      <c r="M16" s="46">
        <f t="shared" si="9"/>
        <v>0</v>
      </c>
      <c r="N16" s="46">
        <f t="shared" si="9"/>
        <v>14462.22</v>
      </c>
      <c r="O16" s="46">
        <f t="shared" si="9"/>
        <v>0</v>
      </c>
      <c r="P16" s="46">
        <f t="shared" si="9"/>
        <v>12381.1</v>
      </c>
      <c r="Q16" s="46">
        <f t="shared" si="9"/>
        <v>0</v>
      </c>
      <c r="R16" s="46">
        <f t="shared" si="9"/>
        <v>1517.95</v>
      </c>
      <c r="S16" s="46">
        <f t="shared" si="9"/>
        <v>0</v>
      </c>
      <c r="T16" s="46">
        <f t="shared" si="9"/>
        <v>9065.5499999999993</v>
      </c>
      <c r="U16" s="46">
        <f t="shared" si="9"/>
        <v>0</v>
      </c>
      <c r="V16" s="46">
        <f t="shared" si="9"/>
        <v>0</v>
      </c>
      <c r="W16" s="46">
        <f t="shared" si="9"/>
        <v>0</v>
      </c>
      <c r="X16" s="46">
        <f t="shared" si="9"/>
        <v>13087.45</v>
      </c>
      <c r="Y16" s="46">
        <f t="shared" si="9"/>
        <v>0</v>
      </c>
      <c r="Z16" s="46">
        <f t="shared" si="9"/>
        <v>5399.96</v>
      </c>
      <c r="AA16" s="47">
        <f t="shared" si="1"/>
        <v>0</v>
      </c>
      <c r="AB16" s="47">
        <f t="shared" si="2"/>
        <v>174348.35</v>
      </c>
      <c r="AD16" s="31">
        <f t="shared" si="3"/>
        <v>0</v>
      </c>
      <c r="AE16" s="31">
        <f t="shared" si="4"/>
        <v>174348.35</v>
      </c>
      <c r="AF16" s="17">
        <f t="shared" si="7"/>
        <v>0</v>
      </c>
      <c r="AG16" s="17">
        <f t="shared" si="8"/>
        <v>0</v>
      </c>
      <c r="BB16" s="21"/>
    </row>
    <row r="17" spans="1:118" s="19" customFormat="1" ht="18" hidden="1" customHeight="1" outlineLevel="1" x14ac:dyDescent="0.25">
      <c r="A17" s="48" t="s">
        <v>89</v>
      </c>
      <c r="B17" s="53"/>
      <c r="C17" s="64"/>
      <c r="D17" s="50">
        <v>9979.56</v>
      </c>
      <c r="E17" s="50"/>
      <c r="F17" s="50">
        <v>81.510000000000005</v>
      </c>
      <c r="G17" s="50"/>
      <c r="H17" s="50">
        <v>167.05</v>
      </c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1">
        <f t="shared" si="1"/>
        <v>0</v>
      </c>
      <c r="AB17" s="51">
        <f t="shared" si="2"/>
        <v>10228.120000000001</v>
      </c>
      <c r="AD17" s="31">
        <f t="shared" si="3"/>
        <v>0</v>
      </c>
      <c r="AE17" s="31">
        <f t="shared" si="4"/>
        <v>10228.120000000001</v>
      </c>
      <c r="AF17" s="17">
        <f t="shared" si="7"/>
        <v>0</v>
      </c>
      <c r="AG17" s="17">
        <f t="shared" si="8"/>
        <v>0</v>
      </c>
      <c r="BB17" s="21"/>
    </row>
    <row r="18" spans="1:118" s="19" customFormat="1" ht="18" hidden="1" customHeight="1" outlineLevel="1" x14ac:dyDescent="0.25">
      <c r="A18" s="48" t="s">
        <v>90</v>
      </c>
      <c r="B18" s="53"/>
      <c r="C18" s="64"/>
      <c r="D18" s="50">
        <v>8014.71</v>
      </c>
      <c r="E18" s="50"/>
      <c r="F18" s="50">
        <v>157.61000000000001</v>
      </c>
      <c r="G18" s="50"/>
      <c r="H18" s="50">
        <v>228.93</v>
      </c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1">
        <f t="shared" si="1"/>
        <v>0</v>
      </c>
      <c r="AB18" s="51">
        <f t="shared" si="2"/>
        <v>8401.25</v>
      </c>
      <c r="AD18" s="31">
        <f t="shared" si="3"/>
        <v>0</v>
      </c>
      <c r="AE18" s="31">
        <f t="shared" si="4"/>
        <v>8401.25</v>
      </c>
      <c r="AF18" s="17">
        <f t="shared" si="7"/>
        <v>0</v>
      </c>
      <c r="AG18" s="17">
        <f t="shared" si="8"/>
        <v>0</v>
      </c>
      <c r="BB18" s="21"/>
    </row>
    <row r="19" spans="1:118" s="19" customFormat="1" ht="18" hidden="1" customHeight="1" outlineLevel="1" x14ac:dyDescent="0.25">
      <c r="A19" s="48" t="s">
        <v>91</v>
      </c>
      <c r="B19" s="53"/>
      <c r="C19" s="64"/>
      <c r="D19" s="50">
        <v>6593.47</v>
      </c>
      <c r="E19" s="50"/>
      <c r="F19" s="50">
        <v>220</v>
      </c>
      <c r="G19" s="50"/>
      <c r="H19" s="50">
        <v>493.39</v>
      </c>
      <c r="I19" s="50"/>
      <c r="J19" s="50">
        <v>6297.25</v>
      </c>
      <c r="K19" s="50"/>
      <c r="L19" s="50"/>
      <c r="M19" s="50"/>
      <c r="N19" s="50">
        <v>3908.39</v>
      </c>
      <c r="O19" s="50"/>
      <c r="P19" s="50"/>
      <c r="Q19" s="50"/>
      <c r="R19" s="50">
        <v>1563.36</v>
      </c>
      <c r="S19" s="50"/>
      <c r="T19" s="50">
        <v>2953.63</v>
      </c>
      <c r="U19" s="50"/>
      <c r="V19" s="50"/>
      <c r="W19" s="50"/>
      <c r="X19" s="50"/>
      <c r="Y19" s="50"/>
      <c r="Z19" s="50"/>
      <c r="AA19" s="51">
        <f t="shared" si="1"/>
        <v>0</v>
      </c>
      <c r="AB19" s="51">
        <f t="shared" si="2"/>
        <v>22029.49</v>
      </c>
      <c r="AD19" s="31">
        <f t="shared" si="3"/>
        <v>0</v>
      </c>
      <c r="AE19" s="31">
        <f t="shared" si="4"/>
        <v>22029.49</v>
      </c>
      <c r="AF19" s="17">
        <f t="shared" si="7"/>
        <v>0</v>
      </c>
      <c r="AG19" s="17">
        <f t="shared" si="8"/>
        <v>0</v>
      </c>
      <c r="BB19" s="21"/>
    </row>
    <row r="20" spans="1:118" s="19" customFormat="1" ht="18" hidden="1" customHeight="1" outlineLevel="1" x14ac:dyDescent="0.25">
      <c r="A20" s="48" t="s">
        <v>92</v>
      </c>
      <c r="B20" s="53"/>
      <c r="C20" s="64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1">
        <f t="shared" si="1"/>
        <v>0</v>
      </c>
      <c r="AB20" s="51">
        <f t="shared" si="2"/>
        <v>0</v>
      </c>
      <c r="AD20" s="31">
        <f t="shared" si="3"/>
        <v>0</v>
      </c>
      <c r="AE20" s="31">
        <f t="shared" si="4"/>
        <v>0</v>
      </c>
      <c r="AF20" s="17">
        <f t="shared" si="7"/>
        <v>0</v>
      </c>
      <c r="AG20" s="17">
        <f t="shared" si="8"/>
        <v>0</v>
      </c>
      <c r="BB20" s="21"/>
    </row>
    <row r="21" spans="1:118" s="19" customFormat="1" ht="18" hidden="1" customHeight="1" outlineLevel="1" x14ac:dyDescent="0.25">
      <c r="A21" s="48" t="s">
        <v>93</v>
      </c>
      <c r="B21" s="53"/>
      <c r="C21" s="64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1">
        <f t="shared" si="1"/>
        <v>0</v>
      </c>
      <c r="AB21" s="51">
        <f t="shared" si="2"/>
        <v>0</v>
      </c>
      <c r="AD21" s="31">
        <f t="shared" si="3"/>
        <v>0</v>
      </c>
      <c r="AE21" s="31">
        <f t="shared" si="4"/>
        <v>0</v>
      </c>
      <c r="AF21" s="17">
        <f t="shared" si="7"/>
        <v>0</v>
      </c>
      <c r="AG21" s="17">
        <f t="shared" si="8"/>
        <v>0</v>
      </c>
      <c r="BB21" s="21"/>
    </row>
    <row r="22" spans="1:118" s="19" customFormat="1" ht="18" hidden="1" customHeight="1" outlineLevel="1" x14ac:dyDescent="0.25">
      <c r="A22" s="48" t="s">
        <v>94</v>
      </c>
      <c r="B22" s="53"/>
      <c r="C22" s="64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1">
        <f t="shared" si="1"/>
        <v>0</v>
      </c>
      <c r="AB22" s="51">
        <f t="shared" si="2"/>
        <v>0</v>
      </c>
      <c r="AD22" s="31">
        <f t="shared" si="3"/>
        <v>0</v>
      </c>
      <c r="AE22" s="31">
        <f t="shared" si="4"/>
        <v>0</v>
      </c>
      <c r="AF22" s="17">
        <f t="shared" si="7"/>
        <v>0</v>
      </c>
      <c r="AG22" s="17">
        <f t="shared" si="8"/>
        <v>0</v>
      </c>
      <c r="BB22" s="21"/>
    </row>
    <row r="23" spans="1:118" s="19" customFormat="1" ht="18" hidden="1" customHeight="1" outlineLevel="1" x14ac:dyDescent="0.25">
      <c r="A23" s="48" t="s">
        <v>95</v>
      </c>
      <c r="B23" s="53"/>
      <c r="C23" s="64"/>
      <c r="D23" s="50">
        <v>22642.04</v>
      </c>
      <c r="E23" s="50"/>
      <c r="F23" s="50">
        <v>7925.4</v>
      </c>
      <c r="G23" s="50"/>
      <c r="H23" s="50">
        <v>18120.75</v>
      </c>
      <c r="I23" s="50"/>
      <c r="J23" s="50">
        <v>17195.18</v>
      </c>
      <c r="K23" s="50"/>
      <c r="L23" s="50">
        <v>11154.92</v>
      </c>
      <c r="M23" s="50"/>
      <c r="N23" s="50">
        <v>9773.09</v>
      </c>
      <c r="O23" s="50"/>
      <c r="P23" s="50">
        <v>11533.4</v>
      </c>
      <c r="Q23" s="50"/>
      <c r="R23" s="50"/>
      <c r="S23" s="50"/>
      <c r="T23" s="50">
        <v>5577.98</v>
      </c>
      <c r="U23" s="50"/>
      <c r="V23" s="50"/>
      <c r="W23" s="50"/>
      <c r="X23" s="50">
        <v>12408.55</v>
      </c>
      <c r="Y23" s="50"/>
      <c r="Z23" s="50">
        <v>4735.24</v>
      </c>
      <c r="AA23" s="51">
        <f t="shared" si="1"/>
        <v>0</v>
      </c>
      <c r="AB23" s="51">
        <f t="shared" si="2"/>
        <v>121066.55</v>
      </c>
      <c r="AD23" s="31">
        <f t="shared" si="3"/>
        <v>0</v>
      </c>
      <c r="AE23" s="31">
        <f t="shared" si="4"/>
        <v>121066.55</v>
      </c>
      <c r="AF23" s="17">
        <f t="shared" si="7"/>
        <v>0</v>
      </c>
      <c r="AG23" s="17">
        <f t="shared" si="8"/>
        <v>0</v>
      </c>
      <c r="BB23" s="21"/>
    </row>
    <row r="24" spans="1:118" s="19" customFormat="1" ht="18" hidden="1" customHeight="1" outlineLevel="1" x14ac:dyDescent="0.25">
      <c r="A24" s="48" t="s">
        <v>97</v>
      </c>
      <c r="B24" s="53"/>
      <c r="C24" s="64"/>
      <c r="D24" s="50">
        <v>4386.3599999999997</v>
      </c>
      <c r="E24" s="50"/>
      <c r="F24" s="50">
        <v>477.67</v>
      </c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>
        <f>6.92</f>
        <v>6.92</v>
      </c>
      <c r="AA24" s="51">
        <f t="shared" si="1"/>
        <v>0</v>
      </c>
      <c r="AB24" s="51">
        <f t="shared" si="2"/>
        <v>4870.95</v>
      </c>
      <c r="AD24" s="31">
        <f t="shared" si="3"/>
        <v>0</v>
      </c>
      <c r="AE24" s="31">
        <f t="shared" si="4"/>
        <v>4870.95</v>
      </c>
      <c r="AF24" s="17">
        <f t="shared" si="7"/>
        <v>0</v>
      </c>
      <c r="AG24" s="17">
        <f t="shared" si="8"/>
        <v>0</v>
      </c>
      <c r="BB24" s="21"/>
    </row>
    <row r="25" spans="1:118" s="19" customFormat="1" ht="18" hidden="1" customHeight="1" outlineLevel="1" x14ac:dyDescent="0.25">
      <c r="A25" s="48" t="s">
        <v>100</v>
      </c>
      <c r="B25" s="53"/>
      <c r="C25" s="64"/>
      <c r="D25" s="50">
        <v>1006.43</v>
      </c>
      <c r="E25" s="50"/>
      <c r="F25" s="50">
        <v>952.29</v>
      </c>
      <c r="G25" s="50"/>
      <c r="H25" s="50">
        <v>878.9</v>
      </c>
      <c r="I25" s="50"/>
      <c r="J25" s="50">
        <v>1169.8699999999999</v>
      </c>
      <c r="K25" s="50"/>
      <c r="L25" s="50">
        <v>290.83</v>
      </c>
      <c r="M25" s="50"/>
      <c r="N25" s="50">
        <v>780.74</v>
      </c>
      <c r="O25" s="50"/>
      <c r="P25" s="50">
        <v>847.7</v>
      </c>
      <c r="Q25" s="50"/>
      <c r="R25" s="50">
        <v>-45.41</v>
      </c>
      <c r="S25" s="50"/>
      <c r="T25" s="50">
        <v>533.94000000000005</v>
      </c>
      <c r="U25" s="50"/>
      <c r="V25" s="50"/>
      <c r="W25" s="50"/>
      <c r="X25" s="50">
        <v>678.9</v>
      </c>
      <c r="Y25" s="50"/>
      <c r="Z25" s="50">
        <v>657.8</v>
      </c>
      <c r="AA25" s="51">
        <f t="shared" si="1"/>
        <v>0</v>
      </c>
      <c r="AB25" s="51">
        <f t="shared" si="2"/>
        <v>7751.99</v>
      </c>
      <c r="AD25" s="31">
        <f t="shared" si="3"/>
        <v>0</v>
      </c>
      <c r="AE25" s="31">
        <f t="shared" si="4"/>
        <v>7751.99</v>
      </c>
      <c r="AF25" s="17">
        <f t="shared" si="7"/>
        <v>0</v>
      </c>
      <c r="AG25" s="17">
        <f t="shared" si="8"/>
        <v>0</v>
      </c>
      <c r="BB25" s="21"/>
    </row>
    <row r="26" spans="1:118" s="19" customFormat="1" ht="18" customHeight="1" collapsed="1" x14ac:dyDescent="0.25">
      <c r="A26" s="52" t="s">
        <v>101</v>
      </c>
      <c r="B26" s="45" t="s">
        <v>102</v>
      </c>
      <c r="C26" s="54">
        <f t="shared" ref="C26:Z26" si="10">C6-C16</f>
        <v>0</v>
      </c>
      <c r="D26" s="54">
        <f t="shared" si="10"/>
        <v>28496.91</v>
      </c>
      <c r="E26" s="54">
        <f t="shared" si="10"/>
        <v>0</v>
      </c>
      <c r="F26" s="54">
        <f t="shared" si="10"/>
        <v>650.13000000000102</v>
      </c>
      <c r="G26" s="54">
        <f t="shared" si="10"/>
        <v>0</v>
      </c>
      <c r="H26" s="54">
        <f t="shared" si="10"/>
        <v>798.59</v>
      </c>
      <c r="I26" s="54">
        <f t="shared" si="10"/>
        <v>0</v>
      </c>
      <c r="J26" s="54">
        <f t="shared" si="10"/>
        <v>5157.17</v>
      </c>
      <c r="K26" s="54">
        <f t="shared" si="10"/>
        <v>0</v>
      </c>
      <c r="L26" s="54">
        <f t="shared" si="10"/>
        <v>1036.55</v>
      </c>
      <c r="M26" s="54">
        <f t="shared" si="10"/>
        <v>0</v>
      </c>
      <c r="N26" s="54">
        <f t="shared" si="10"/>
        <v>4160.5600000000004</v>
      </c>
      <c r="O26" s="54">
        <f t="shared" si="10"/>
        <v>0</v>
      </c>
      <c r="P26" s="54">
        <f t="shared" si="10"/>
        <v>250.539999999999</v>
      </c>
      <c r="Q26" s="54">
        <f t="shared" si="10"/>
        <v>0</v>
      </c>
      <c r="R26" s="54">
        <f t="shared" si="10"/>
        <v>1331.61</v>
      </c>
      <c r="S26" s="54">
        <f t="shared" si="10"/>
        <v>0</v>
      </c>
      <c r="T26" s="54">
        <f t="shared" si="10"/>
        <v>2505.69</v>
      </c>
      <c r="U26" s="54">
        <f t="shared" si="10"/>
        <v>0</v>
      </c>
      <c r="V26" s="54">
        <f t="shared" si="10"/>
        <v>0</v>
      </c>
      <c r="W26" s="54">
        <f t="shared" si="10"/>
        <v>0</v>
      </c>
      <c r="X26" s="54">
        <f t="shared" si="10"/>
        <v>-176.82999999999799</v>
      </c>
      <c r="Y26" s="54">
        <f t="shared" si="10"/>
        <v>0</v>
      </c>
      <c r="Z26" s="54">
        <f t="shared" si="10"/>
        <v>573.49</v>
      </c>
      <c r="AA26" s="47">
        <f t="shared" si="1"/>
        <v>0</v>
      </c>
      <c r="AB26" s="47">
        <f t="shared" si="2"/>
        <v>44784.41</v>
      </c>
      <c r="AD26" s="31">
        <f t="shared" si="3"/>
        <v>0</v>
      </c>
      <c r="AE26" s="31">
        <f t="shared" si="4"/>
        <v>44784.41</v>
      </c>
      <c r="AF26" s="55">
        <f>AD6-AD16-AA26</f>
        <v>0</v>
      </c>
      <c r="AG26" s="55">
        <f>AE6-AE16-AB26</f>
        <v>0</v>
      </c>
      <c r="BB26" s="21"/>
    </row>
    <row r="27" spans="1:118" s="20" customFormat="1" ht="18" customHeight="1" x14ac:dyDescent="0.25">
      <c r="A27" s="56" t="s">
        <v>210</v>
      </c>
      <c r="B27" s="57" t="s">
        <v>104</v>
      </c>
      <c r="C27" s="59" t="e">
        <f t="shared" ref="C27:AB27" si="11">C26/C6</f>
        <v>#DIV/0!</v>
      </c>
      <c r="D27" s="59">
        <f t="shared" si="11"/>
        <v>0.35129552112513501</v>
      </c>
      <c r="E27" s="59" t="e">
        <f t="shared" si="11"/>
        <v>#DIV/0!</v>
      </c>
      <c r="F27" s="59">
        <f t="shared" si="11"/>
        <v>6.2126538877225301E-2</v>
      </c>
      <c r="G27" s="59" t="e">
        <f t="shared" si="11"/>
        <v>#DIV/0!</v>
      </c>
      <c r="H27" s="59">
        <f t="shared" si="11"/>
        <v>3.8602332507235E-2</v>
      </c>
      <c r="I27" s="59" t="e">
        <f t="shared" si="11"/>
        <v>#DIV/0!</v>
      </c>
      <c r="J27" s="59">
        <f t="shared" si="11"/>
        <v>0.17294640045581</v>
      </c>
      <c r="K27" s="59" t="e">
        <f t="shared" si="11"/>
        <v>#DIV/0!</v>
      </c>
      <c r="L27" s="59">
        <f t="shared" si="11"/>
        <v>8.3041586887032004E-2</v>
      </c>
      <c r="M27" s="59" t="e">
        <f t="shared" si="11"/>
        <v>#DIV/0!</v>
      </c>
      <c r="N27" s="59">
        <f t="shared" si="11"/>
        <v>0.22341240137079399</v>
      </c>
      <c r="O27" s="59" t="e">
        <f t="shared" si="11"/>
        <v>#DIV/0!</v>
      </c>
      <c r="P27" s="59">
        <f t="shared" si="11"/>
        <v>1.98343208007827E-2</v>
      </c>
      <c r="Q27" s="59" t="e">
        <f t="shared" si="11"/>
        <v>#DIV/0!</v>
      </c>
      <c r="R27" s="59">
        <f t="shared" si="11"/>
        <v>0.46730372408371801</v>
      </c>
      <c r="S27" s="59" t="e">
        <f t="shared" si="11"/>
        <v>#DIV/0!</v>
      </c>
      <c r="T27" s="59">
        <f t="shared" si="11"/>
        <v>0.21654463998672599</v>
      </c>
      <c r="U27" s="59" t="e">
        <f t="shared" si="11"/>
        <v>#DIV/0!</v>
      </c>
      <c r="V27" s="59" t="e">
        <f t="shared" si="11"/>
        <v>#DIV/0!</v>
      </c>
      <c r="W27" s="59" t="e">
        <f t="shared" si="11"/>
        <v>#DIV/0!</v>
      </c>
      <c r="X27" s="59">
        <f t="shared" si="11"/>
        <v>-1.36964762342938E-2</v>
      </c>
      <c r="Y27" s="59" t="e">
        <f t="shared" si="11"/>
        <v>#DIV/0!</v>
      </c>
      <c r="Z27" s="59">
        <f t="shared" si="11"/>
        <v>9.6006495408850798E-2</v>
      </c>
      <c r="AA27" s="101" t="e">
        <f t="shared" si="11"/>
        <v>#DIV/0!</v>
      </c>
      <c r="AB27" s="101">
        <f t="shared" si="11"/>
        <v>0.20437113099839599</v>
      </c>
      <c r="AC27" s="61"/>
      <c r="AD27" s="62" t="e">
        <f>AD26/AD6</f>
        <v>#DIV/0!</v>
      </c>
      <c r="AE27" s="62">
        <f>AE26/AE6</f>
        <v>0.20437113099839599</v>
      </c>
      <c r="AF27" s="17" t="e">
        <f>AA27-AD27</f>
        <v>#DIV/0!</v>
      </c>
      <c r="AG27" s="17">
        <f>AB27-AE27</f>
        <v>0</v>
      </c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</row>
    <row r="28" spans="1:118" s="19" customFormat="1" ht="18" customHeight="1" x14ac:dyDescent="0.25">
      <c r="A28" s="63" t="s">
        <v>105</v>
      </c>
      <c r="B28" s="53">
        <v>5</v>
      </c>
      <c r="C28" s="64">
        <f>C6*0.85%+C6*0.03%</f>
        <v>0</v>
      </c>
      <c r="D28" s="64">
        <f t="shared" ref="D28:Z28" si="12">D6*0.88%+D6*0.07%</f>
        <v>770.63505999999995</v>
      </c>
      <c r="E28" s="64">
        <f t="shared" si="12"/>
        <v>0</v>
      </c>
      <c r="F28" s="64">
        <f t="shared" si="12"/>
        <v>99.413794999999993</v>
      </c>
      <c r="G28" s="64">
        <f t="shared" si="12"/>
        <v>0</v>
      </c>
      <c r="H28" s="64">
        <f t="shared" si="12"/>
        <v>196.532295</v>
      </c>
      <c r="I28" s="64">
        <f t="shared" si="12"/>
        <v>0</v>
      </c>
      <c r="J28" s="64">
        <f t="shared" si="12"/>
        <v>283.284965</v>
      </c>
      <c r="K28" s="64">
        <f t="shared" si="12"/>
        <v>0</v>
      </c>
      <c r="L28" s="64">
        <f t="shared" si="12"/>
        <v>118.58185</v>
      </c>
      <c r="M28" s="64">
        <f t="shared" si="12"/>
        <v>0</v>
      </c>
      <c r="N28" s="64">
        <f t="shared" si="12"/>
        <v>176.91641000000001</v>
      </c>
      <c r="O28" s="64">
        <f t="shared" si="12"/>
        <v>0</v>
      </c>
      <c r="P28" s="64">
        <f t="shared" si="12"/>
        <v>120.00058</v>
      </c>
      <c r="Q28" s="64">
        <f t="shared" si="12"/>
        <v>0</v>
      </c>
      <c r="R28" s="64">
        <f t="shared" si="12"/>
        <v>27.070820000000001</v>
      </c>
      <c r="S28" s="64">
        <f t="shared" si="12"/>
        <v>0</v>
      </c>
      <c r="T28" s="64">
        <f t="shared" si="12"/>
        <v>109.92677999999999</v>
      </c>
      <c r="U28" s="64">
        <f t="shared" si="12"/>
        <v>0</v>
      </c>
      <c r="V28" s="64">
        <f t="shared" si="12"/>
        <v>0</v>
      </c>
      <c r="W28" s="64">
        <f t="shared" si="12"/>
        <v>0</v>
      </c>
      <c r="X28" s="64">
        <f t="shared" si="12"/>
        <v>122.65089</v>
      </c>
      <c r="Y28" s="64">
        <f t="shared" si="12"/>
        <v>0</v>
      </c>
      <c r="Z28" s="64">
        <f t="shared" si="12"/>
        <v>56.747774999999997</v>
      </c>
      <c r="AA28" s="51">
        <f t="shared" ref="AA28:AA91" si="13">C28+E28+G28+I28+K28+M28+O28+Q28+S28+U28+W28+Y28</f>
        <v>0</v>
      </c>
      <c r="AB28" s="51">
        <f t="shared" ref="AB28:AB91" si="14">D28+F28+H28+J28+L28+N28+P28+R28+T28+V28+X28+Z28</f>
        <v>2081.7612199999999</v>
      </c>
      <c r="AD28" s="31">
        <f t="shared" ref="AD28:AD91" si="15">SUMIF($C$5:$Z$5,$AD$5,C28:Z28)</f>
        <v>0</v>
      </c>
      <c r="AE28" s="31">
        <f t="shared" ref="AE28:AE91" si="16">SUMIF($C$5:$Z$5,$AD$5,D28:AA28)</f>
        <v>2081.7612199999999</v>
      </c>
      <c r="AF28" s="17">
        <f>AA28-AD28</f>
        <v>0</v>
      </c>
      <c r="AG28" s="17">
        <f>AB28-AE28</f>
        <v>0</v>
      </c>
      <c r="BB28" s="21"/>
    </row>
    <row r="29" spans="1:118" s="21" customFormat="1" ht="14" x14ac:dyDescent="0.25">
      <c r="A29" s="52" t="s">
        <v>106</v>
      </c>
      <c r="B29" s="45">
        <v>6</v>
      </c>
      <c r="C29" s="65">
        <f t="shared" ref="C29:Z29" si="17">SUM(C30:C101)-C30-C33-C42-C53-C65</f>
        <v>44818.64</v>
      </c>
      <c r="D29" s="65">
        <f t="shared" si="17"/>
        <v>48183.95</v>
      </c>
      <c r="E29" s="65">
        <f t="shared" si="17"/>
        <v>31652.799999999999</v>
      </c>
      <c r="F29" s="65">
        <f t="shared" si="17"/>
        <v>43456.56</v>
      </c>
      <c r="G29" s="65">
        <f t="shared" si="17"/>
        <v>42310.19</v>
      </c>
      <c r="H29" s="65">
        <f t="shared" si="17"/>
        <v>-49771.99</v>
      </c>
      <c r="I29" s="65">
        <f t="shared" si="17"/>
        <v>46685.83</v>
      </c>
      <c r="J29" s="65">
        <f t="shared" si="17"/>
        <v>26981.99</v>
      </c>
      <c r="K29" s="65">
        <f t="shared" si="17"/>
        <v>44255.839999999997</v>
      </c>
      <c r="L29" s="65">
        <f t="shared" si="17"/>
        <v>5641.88</v>
      </c>
      <c r="M29" s="65">
        <f t="shared" si="17"/>
        <v>46437.06</v>
      </c>
      <c r="N29" s="65">
        <f t="shared" si="17"/>
        <v>7129.56</v>
      </c>
      <c r="O29" s="65">
        <f t="shared" si="17"/>
        <v>48740.24</v>
      </c>
      <c r="P29" s="65">
        <f t="shared" si="17"/>
        <v>8762.26</v>
      </c>
      <c r="Q29" s="65">
        <f t="shared" si="17"/>
        <v>52371.55</v>
      </c>
      <c r="R29" s="65">
        <f t="shared" si="17"/>
        <v>8695.48</v>
      </c>
      <c r="S29" s="65">
        <f t="shared" si="17"/>
        <v>61330.37</v>
      </c>
      <c r="T29" s="65">
        <f t="shared" si="17"/>
        <v>19096.96</v>
      </c>
      <c r="U29" s="65">
        <f t="shared" si="17"/>
        <v>52458.11</v>
      </c>
      <c r="V29" s="65">
        <f t="shared" si="17"/>
        <v>8644.85</v>
      </c>
      <c r="W29" s="65">
        <f t="shared" si="17"/>
        <v>55890.62</v>
      </c>
      <c r="X29" s="65">
        <f t="shared" si="17"/>
        <v>6080.92</v>
      </c>
      <c r="Y29" s="65">
        <f t="shared" si="17"/>
        <v>72508.75</v>
      </c>
      <c r="Z29" s="65">
        <f t="shared" si="17"/>
        <v>18754.2</v>
      </c>
      <c r="AA29" s="47">
        <f t="shared" si="13"/>
        <v>599460</v>
      </c>
      <c r="AB29" s="47">
        <f t="shared" si="14"/>
        <v>151656.62</v>
      </c>
      <c r="AD29" s="31">
        <f t="shared" si="15"/>
        <v>599460</v>
      </c>
      <c r="AE29" s="31">
        <f t="shared" si="16"/>
        <v>151656.62</v>
      </c>
      <c r="AF29" s="17">
        <f>AD29-(SUM(AA30:AA101)-SUM(AA30,AA33,AA42,AA53,AA65))</f>
        <v>0</v>
      </c>
      <c r="AG29" s="17">
        <f>AE29-(SUM(AB30:AB101)-SUM(AB30,AB33,AB42,AB53,AB65))</f>
        <v>0</v>
      </c>
      <c r="BB29" s="66"/>
    </row>
    <row r="30" spans="1:118" s="17" customFormat="1" ht="18" hidden="1" customHeight="1" outlineLevel="1" x14ac:dyDescent="0.25">
      <c r="A30" s="67" t="s">
        <v>107</v>
      </c>
      <c r="B30" s="45"/>
      <c r="C30" s="65">
        <f t="shared" ref="C30:Z30" si="18">SUM(C31:C32)</f>
        <v>32443.64</v>
      </c>
      <c r="D30" s="65">
        <f t="shared" si="18"/>
        <v>-38255.199999999997</v>
      </c>
      <c r="E30" s="65">
        <f t="shared" si="18"/>
        <v>19277.8</v>
      </c>
      <c r="F30" s="65">
        <f t="shared" si="18"/>
        <v>35810</v>
      </c>
      <c r="G30" s="65">
        <f t="shared" si="18"/>
        <v>29635.19</v>
      </c>
      <c r="H30" s="65">
        <f t="shared" si="18"/>
        <v>-58966.8</v>
      </c>
      <c r="I30" s="65">
        <f t="shared" si="18"/>
        <v>34310.83</v>
      </c>
      <c r="J30" s="65">
        <f t="shared" si="18"/>
        <v>26104</v>
      </c>
      <c r="K30" s="65">
        <f t="shared" si="18"/>
        <v>31880.84</v>
      </c>
      <c r="L30" s="65">
        <f t="shared" si="18"/>
        <v>3574</v>
      </c>
      <c r="M30" s="65">
        <f t="shared" si="18"/>
        <v>34062.06</v>
      </c>
      <c r="N30" s="65">
        <f t="shared" si="18"/>
        <v>4496</v>
      </c>
      <c r="O30" s="65">
        <f t="shared" si="18"/>
        <v>36365.24</v>
      </c>
      <c r="P30" s="65">
        <f t="shared" si="18"/>
        <v>5245</v>
      </c>
      <c r="Q30" s="65">
        <f t="shared" si="18"/>
        <v>39996.550000000003</v>
      </c>
      <c r="R30" s="65">
        <f t="shared" si="18"/>
        <v>6225</v>
      </c>
      <c r="S30" s="65">
        <f t="shared" si="18"/>
        <v>48955.37</v>
      </c>
      <c r="T30" s="65">
        <f t="shared" si="18"/>
        <v>17243</v>
      </c>
      <c r="U30" s="65">
        <f t="shared" si="18"/>
        <v>40083.11</v>
      </c>
      <c r="V30" s="65">
        <f t="shared" si="18"/>
        <v>8553</v>
      </c>
      <c r="W30" s="65">
        <f t="shared" si="18"/>
        <v>43515.62</v>
      </c>
      <c r="X30" s="65">
        <f t="shared" si="18"/>
        <v>5952</v>
      </c>
      <c r="Y30" s="65">
        <f t="shared" si="18"/>
        <v>60133.75</v>
      </c>
      <c r="Z30" s="65">
        <f t="shared" si="18"/>
        <v>16233</v>
      </c>
      <c r="AA30" s="47">
        <f t="shared" si="13"/>
        <v>450660</v>
      </c>
      <c r="AB30" s="47">
        <f t="shared" si="14"/>
        <v>32213</v>
      </c>
      <c r="AC30" s="21"/>
      <c r="AD30" s="31">
        <f t="shared" si="15"/>
        <v>450660</v>
      </c>
      <c r="AE30" s="31">
        <f t="shared" si="16"/>
        <v>32213</v>
      </c>
      <c r="AF30" s="17">
        <f t="shared" ref="AF30:AF93" si="19">AA30-AD30</f>
        <v>0</v>
      </c>
      <c r="AG30" s="17">
        <f t="shared" ref="AG30:AG93" si="20">AB30-AE30</f>
        <v>0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66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</row>
    <row r="31" spans="1:118" s="19" customFormat="1" ht="18" hidden="1" customHeight="1" outlineLevel="2" x14ac:dyDescent="0.25">
      <c r="A31" s="48" t="s">
        <v>108</v>
      </c>
      <c r="B31" s="53"/>
      <c r="C31" s="64"/>
      <c r="D31" s="68">
        <v>37959.800000000003</v>
      </c>
      <c r="E31" s="68"/>
      <c r="F31" s="68">
        <v>35810</v>
      </c>
      <c r="G31" s="68"/>
      <c r="H31" s="68">
        <f>-37959.8-35810</f>
        <v>-73769.8</v>
      </c>
      <c r="I31" s="68">
        <v>0</v>
      </c>
      <c r="J31" s="68">
        <v>0</v>
      </c>
      <c r="K31" s="68">
        <v>0</v>
      </c>
      <c r="L31" s="68">
        <v>0</v>
      </c>
      <c r="M31" s="68"/>
      <c r="N31" s="68"/>
      <c r="O31" s="68">
        <v>0</v>
      </c>
      <c r="P31" s="68"/>
      <c r="Q31" s="68"/>
      <c r="R31" s="68">
        <v>0</v>
      </c>
      <c r="S31" s="68">
        <v>0</v>
      </c>
      <c r="T31" s="68">
        <v>0</v>
      </c>
      <c r="U31" s="68"/>
      <c r="V31" s="68"/>
      <c r="W31" s="68">
        <v>0</v>
      </c>
      <c r="X31" s="68"/>
      <c r="Y31" s="68"/>
      <c r="Z31" s="68"/>
      <c r="AA31" s="51">
        <f t="shared" si="13"/>
        <v>0</v>
      </c>
      <c r="AB31" s="51">
        <f t="shared" si="14"/>
        <v>0</v>
      </c>
      <c r="AC31" s="22"/>
      <c r="AD31" s="31">
        <f t="shared" si="15"/>
        <v>0</v>
      </c>
      <c r="AE31" s="31">
        <f t="shared" si="16"/>
        <v>0</v>
      </c>
      <c r="AF31" s="17">
        <f t="shared" si="19"/>
        <v>0</v>
      </c>
      <c r="AG31" s="17">
        <f t="shared" si="20"/>
        <v>0</v>
      </c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61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</row>
    <row r="32" spans="1:118" s="19" customFormat="1" ht="18" hidden="1" customHeight="1" outlineLevel="2" x14ac:dyDescent="0.25">
      <c r="A32" s="48" t="s">
        <v>109</v>
      </c>
      <c r="B32" s="53"/>
      <c r="C32" s="64">
        <v>32443.64</v>
      </c>
      <c r="D32" s="68">
        <v>-76215</v>
      </c>
      <c r="E32" s="68">
        <v>19277.8</v>
      </c>
      <c r="F32" s="68">
        <f>19239-19239</f>
        <v>0</v>
      </c>
      <c r="G32" s="68">
        <v>29635.19</v>
      </c>
      <c r="H32" s="68">
        <f>17480-2677</f>
        <v>14803</v>
      </c>
      <c r="I32" s="68">
        <v>34310.83</v>
      </c>
      <c r="J32" s="68">
        <f>35660-9556</f>
        <v>26104</v>
      </c>
      <c r="K32" s="68">
        <v>31880.84</v>
      </c>
      <c r="L32" s="68">
        <v>3574</v>
      </c>
      <c r="M32" s="68">
        <v>34062.06</v>
      </c>
      <c r="N32" s="68">
        <f>26709+2354-11842+1212-13937</f>
        <v>4496</v>
      </c>
      <c r="O32" s="68">
        <v>36365.24</v>
      </c>
      <c r="P32" s="68">
        <f>9072-3827</f>
        <v>5245</v>
      </c>
      <c r="Q32" s="68">
        <v>39996.550000000003</v>
      </c>
      <c r="R32" s="68">
        <v>6225</v>
      </c>
      <c r="S32" s="68">
        <v>48955.37</v>
      </c>
      <c r="T32" s="68">
        <f>33110-15867</f>
        <v>17243</v>
      </c>
      <c r="U32" s="68">
        <v>40083.11</v>
      </c>
      <c r="V32" s="68">
        <f>9992-1439</f>
        <v>8553</v>
      </c>
      <c r="W32" s="68">
        <v>43515.62</v>
      </c>
      <c r="X32" s="68">
        <f>10675-4723</f>
        <v>5952</v>
      </c>
      <c r="Y32" s="68">
        <v>60133.75</v>
      </c>
      <c r="Z32" s="68">
        <f>-18547+350+23862+10568</f>
        <v>16233</v>
      </c>
      <c r="AA32" s="51">
        <f t="shared" si="13"/>
        <v>450660</v>
      </c>
      <c r="AB32" s="51">
        <f t="shared" si="14"/>
        <v>32213</v>
      </c>
      <c r="AC32" s="22"/>
      <c r="AD32" s="31">
        <f t="shared" si="15"/>
        <v>450660</v>
      </c>
      <c r="AE32" s="31">
        <f t="shared" si="16"/>
        <v>32213</v>
      </c>
      <c r="AF32" s="17">
        <f t="shared" si="19"/>
        <v>0</v>
      </c>
      <c r="AG32" s="17">
        <f t="shared" si="20"/>
        <v>0</v>
      </c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61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</row>
    <row r="33" spans="1:118" s="17" customFormat="1" ht="18" hidden="1" customHeight="1" outlineLevel="1" x14ac:dyDescent="0.25">
      <c r="A33" s="67" t="s">
        <v>110</v>
      </c>
      <c r="B33" s="45"/>
      <c r="C33" s="65">
        <f t="shared" ref="C33:I33" si="21">SUM(C34:C38)</f>
        <v>0</v>
      </c>
      <c r="D33" s="65">
        <f t="shared" si="21"/>
        <v>0</v>
      </c>
      <c r="E33" s="65">
        <f t="shared" si="21"/>
        <v>0</v>
      </c>
      <c r="F33" s="65">
        <f t="shared" si="21"/>
        <v>0</v>
      </c>
      <c r="G33" s="65">
        <f t="shared" si="21"/>
        <v>0</v>
      </c>
      <c r="H33" s="65">
        <f t="shared" si="21"/>
        <v>0</v>
      </c>
      <c r="I33" s="65">
        <f t="shared" si="21"/>
        <v>0</v>
      </c>
      <c r="J33" s="68"/>
      <c r="K33" s="65">
        <f t="shared" ref="K33:Z33" si="22">SUM(K34:K38)</f>
        <v>0</v>
      </c>
      <c r="L33" s="65">
        <f t="shared" si="22"/>
        <v>0</v>
      </c>
      <c r="M33" s="65">
        <f t="shared" si="22"/>
        <v>0</v>
      </c>
      <c r="N33" s="65">
        <f t="shared" si="22"/>
        <v>0</v>
      </c>
      <c r="O33" s="65">
        <f t="shared" si="22"/>
        <v>0</v>
      </c>
      <c r="P33" s="65">
        <f t="shared" si="22"/>
        <v>0</v>
      </c>
      <c r="Q33" s="65">
        <f t="shared" si="22"/>
        <v>0</v>
      </c>
      <c r="R33" s="65">
        <f t="shared" si="22"/>
        <v>0</v>
      </c>
      <c r="S33" s="65">
        <f t="shared" si="22"/>
        <v>0</v>
      </c>
      <c r="T33" s="65">
        <f t="shared" si="22"/>
        <v>0</v>
      </c>
      <c r="U33" s="65">
        <f t="shared" si="22"/>
        <v>0</v>
      </c>
      <c r="V33" s="65">
        <f t="shared" si="22"/>
        <v>0</v>
      </c>
      <c r="W33" s="65">
        <f t="shared" si="22"/>
        <v>0</v>
      </c>
      <c r="X33" s="65">
        <f t="shared" si="22"/>
        <v>0</v>
      </c>
      <c r="Y33" s="65">
        <f t="shared" si="22"/>
        <v>0</v>
      </c>
      <c r="Z33" s="65">
        <f t="shared" si="22"/>
        <v>0</v>
      </c>
      <c r="AA33" s="47">
        <f t="shared" si="13"/>
        <v>0</v>
      </c>
      <c r="AB33" s="51">
        <f t="shared" si="14"/>
        <v>0</v>
      </c>
      <c r="AC33" s="21"/>
      <c r="AD33" s="31">
        <f t="shared" si="15"/>
        <v>0</v>
      </c>
      <c r="AE33" s="31">
        <f t="shared" si="16"/>
        <v>0</v>
      </c>
      <c r="AF33" s="17">
        <f t="shared" si="19"/>
        <v>0</v>
      </c>
      <c r="AG33" s="17">
        <f t="shared" si="20"/>
        <v>0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66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</row>
    <row r="34" spans="1:118" s="19" customFormat="1" ht="18" hidden="1" customHeight="1" outlineLevel="2" x14ac:dyDescent="0.25">
      <c r="A34" s="48" t="s">
        <v>111</v>
      </c>
      <c r="B34" s="53"/>
      <c r="C34" s="64"/>
      <c r="D34" s="68"/>
      <c r="E34" s="68"/>
      <c r="F34" s="68"/>
      <c r="G34" s="68"/>
      <c r="H34" s="68"/>
      <c r="I34" s="68"/>
      <c r="J34" s="68">
        <v>0</v>
      </c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51">
        <f t="shared" si="13"/>
        <v>0</v>
      </c>
      <c r="AB34" s="51">
        <f t="shared" si="14"/>
        <v>0</v>
      </c>
      <c r="AC34" s="22"/>
      <c r="AD34" s="31">
        <f t="shared" si="15"/>
        <v>0</v>
      </c>
      <c r="AE34" s="31">
        <f t="shared" si="16"/>
        <v>0</v>
      </c>
      <c r="AF34" s="17">
        <f t="shared" si="19"/>
        <v>0</v>
      </c>
      <c r="AG34" s="17">
        <f t="shared" si="20"/>
        <v>0</v>
      </c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61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</row>
    <row r="35" spans="1:118" s="19" customFormat="1" ht="18" hidden="1" customHeight="1" outlineLevel="2" x14ac:dyDescent="0.25">
      <c r="A35" s="48" t="s">
        <v>112</v>
      </c>
      <c r="B35" s="53"/>
      <c r="C35" s="64"/>
      <c r="D35" s="68"/>
      <c r="E35" s="68"/>
      <c r="F35" s="68"/>
      <c r="G35" s="68"/>
      <c r="H35" s="68"/>
      <c r="I35" s="68"/>
      <c r="J35" s="68">
        <v>0</v>
      </c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51">
        <f t="shared" si="13"/>
        <v>0</v>
      </c>
      <c r="AB35" s="51">
        <f t="shared" si="14"/>
        <v>0</v>
      </c>
      <c r="AC35" s="22"/>
      <c r="AD35" s="31">
        <f t="shared" si="15"/>
        <v>0</v>
      </c>
      <c r="AE35" s="31">
        <f t="shared" si="16"/>
        <v>0</v>
      </c>
      <c r="AF35" s="17">
        <f t="shared" si="19"/>
        <v>0</v>
      </c>
      <c r="AG35" s="17">
        <f t="shared" si="20"/>
        <v>0</v>
      </c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61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</row>
    <row r="36" spans="1:118" s="19" customFormat="1" ht="18" hidden="1" customHeight="1" outlineLevel="2" x14ac:dyDescent="0.25">
      <c r="A36" s="48" t="s">
        <v>113</v>
      </c>
      <c r="B36" s="53"/>
      <c r="C36" s="64"/>
      <c r="D36" s="68"/>
      <c r="E36" s="68"/>
      <c r="F36" s="68"/>
      <c r="G36" s="68"/>
      <c r="H36" s="68"/>
      <c r="I36" s="68"/>
      <c r="J36" s="68">
        <v>0</v>
      </c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51">
        <f t="shared" si="13"/>
        <v>0</v>
      </c>
      <c r="AB36" s="51">
        <f t="shared" si="14"/>
        <v>0</v>
      </c>
      <c r="AC36" s="22"/>
      <c r="AD36" s="31">
        <f t="shared" si="15"/>
        <v>0</v>
      </c>
      <c r="AE36" s="31">
        <f t="shared" si="16"/>
        <v>0</v>
      </c>
      <c r="AF36" s="17">
        <f t="shared" si="19"/>
        <v>0</v>
      </c>
      <c r="AG36" s="17">
        <f t="shared" si="20"/>
        <v>0</v>
      </c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61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</row>
    <row r="37" spans="1:118" s="19" customFormat="1" ht="18" hidden="1" customHeight="1" outlineLevel="2" x14ac:dyDescent="0.25">
      <c r="A37" s="48" t="s">
        <v>114</v>
      </c>
      <c r="B37" s="53"/>
      <c r="C37" s="64"/>
      <c r="D37" s="68"/>
      <c r="E37" s="68"/>
      <c r="F37" s="68"/>
      <c r="G37" s="68"/>
      <c r="H37" s="68"/>
      <c r="I37" s="68"/>
      <c r="J37" s="68">
        <v>0</v>
      </c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51">
        <f t="shared" si="13"/>
        <v>0</v>
      </c>
      <c r="AB37" s="51">
        <f t="shared" si="14"/>
        <v>0</v>
      </c>
      <c r="AC37" s="22"/>
      <c r="AD37" s="31">
        <f t="shared" si="15"/>
        <v>0</v>
      </c>
      <c r="AE37" s="31">
        <f t="shared" si="16"/>
        <v>0</v>
      </c>
      <c r="AF37" s="17">
        <f t="shared" si="19"/>
        <v>0</v>
      </c>
      <c r="AG37" s="17">
        <f t="shared" si="20"/>
        <v>0</v>
      </c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61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</row>
    <row r="38" spans="1:118" s="19" customFormat="1" ht="18" hidden="1" customHeight="1" outlineLevel="2" x14ac:dyDescent="0.25">
      <c r="A38" s="48" t="s">
        <v>115</v>
      </c>
      <c r="B38" s="53"/>
      <c r="C38" s="64"/>
      <c r="D38" s="68"/>
      <c r="E38" s="68"/>
      <c r="F38" s="68"/>
      <c r="G38" s="68"/>
      <c r="H38" s="68"/>
      <c r="I38" s="68"/>
      <c r="J38" s="68">
        <v>0</v>
      </c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51">
        <f t="shared" si="13"/>
        <v>0</v>
      </c>
      <c r="AB38" s="51">
        <f t="shared" si="14"/>
        <v>0</v>
      </c>
      <c r="AC38" s="22"/>
      <c r="AD38" s="31">
        <f t="shared" si="15"/>
        <v>0</v>
      </c>
      <c r="AE38" s="31">
        <f t="shared" si="16"/>
        <v>0</v>
      </c>
      <c r="AF38" s="17">
        <f t="shared" si="19"/>
        <v>0</v>
      </c>
      <c r="AG38" s="17">
        <f t="shared" si="20"/>
        <v>0</v>
      </c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61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</row>
    <row r="39" spans="1:118" s="19" customFormat="1" ht="18" hidden="1" customHeight="1" outlineLevel="1" x14ac:dyDescent="0.25">
      <c r="A39" s="48" t="s">
        <v>116</v>
      </c>
      <c r="B39" s="53"/>
      <c r="C39" s="64"/>
      <c r="D39" s="68"/>
      <c r="E39" s="68"/>
      <c r="F39" s="68"/>
      <c r="G39" s="68"/>
      <c r="H39" s="68"/>
      <c r="I39" s="68"/>
      <c r="J39" s="68">
        <v>0</v>
      </c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51">
        <f t="shared" si="13"/>
        <v>0</v>
      </c>
      <c r="AB39" s="51">
        <f t="shared" si="14"/>
        <v>0</v>
      </c>
      <c r="AC39" s="22"/>
      <c r="AD39" s="31">
        <f t="shared" si="15"/>
        <v>0</v>
      </c>
      <c r="AE39" s="31">
        <f t="shared" si="16"/>
        <v>0</v>
      </c>
      <c r="AF39" s="17">
        <f t="shared" si="19"/>
        <v>0</v>
      </c>
      <c r="AG39" s="17">
        <f t="shared" si="20"/>
        <v>0</v>
      </c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61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</row>
    <row r="40" spans="1:118" s="19" customFormat="1" ht="18" hidden="1" customHeight="1" outlineLevel="1" x14ac:dyDescent="0.25">
      <c r="A40" s="48" t="s">
        <v>117</v>
      </c>
      <c r="B40" s="53"/>
      <c r="C40" s="64"/>
      <c r="D40" s="68"/>
      <c r="E40" s="68"/>
      <c r="F40" s="68"/>
      <c r="G40" s="68"/>
      <c r="H40" s="68"/>
      <c r="I40" s="68"/>
      <c r="J40" s="68">
        <v>0</v>
      </c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51">
        <f t="shared" si="13"/>
        <v>0</v>
      </c>
      <c r="AB40" s="51">
        <f t="shared" si="14"/>
        <v>0</v>
      </c>
      <c r="AC40" s="22"/>
      <c r="AD40" s="31">
        <f t="shared" si="15"/>
        <v>0</v>
      </c>
      <c r="AE40" s="31">
        <f t="shared" si="16"/>
        <v>0</v>
      </c>
      <c r="AF40" s="17">
        <f t="shared" si="19"/>
        <v>0</v>
      </c>
      <c r="AG40" s="17">
        <f t="shared" si="20"/>
        <v>0</v>
      </c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61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</row>
    <row r="41" spans="1:118" s="19" customFormat="1" ht="18" hidden="1" customHeight="1" outlineLevel="1" x14ac:dyDescent="0.25">
      <c r="A41" s="48" t="s">
        <v>118</v>
      </c>
      <c r="B41" s="53"/>
      <c r="C41" s="64"/>
      <c r="D41" s="68"/>
      <c r="E41" s="68"/>
      <c r="F41" s="68"/>
      <c r="G41" s="68"/>
      <c r="H41" s="68"/>
      <c r="I41" s="68"/>
      <c r="J41" s="68">
        <v>0</v>
      </c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51">
        <f t="shared" si="13"/>
        <v>0</v>
      </c>
      <c r="AB41" s="51">
        <f t="shared" si="14"/>
        <v>0</v>
      </c>
      <c r="AC41" s="22"/>
      <c r="AD41" s="31">
        <f t="shared" si="15"/>
        <v>0</v>
      </c>
      <c r="AE41" s="31">
        <f t="shared" si="16"/>
        <v>0</v>
      </c>
      <c r="AF41" s="17">
        <f t="shared" si="19"/>
        <v>0</v>
      </c>
      <c r="AG41" s="17">
        <f t="shared" si="20"/>
        <v>0</v>
      </c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61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</row>
    <row r="42" spans="1:118" s="17" customFormat="1" ht="18" hidden="1" customHeight="1" outlineLevel="1" x14ac:dyDescent="0.25">
      <c r="A42" s="67" t="s">
        <v>119</v>
      </c>
      <c r="B42" s="45"/>
      <c r="C42" s="65">
        <f t="shared" ref="C42:Z42" si="23">SUM(C43:C49)</f>
        <v>0</v>
      </c>
      <c r="D42" s="65">
        <f t="shared" si="23"/>
        <v>0</v>
      </c>
      <c r="E42" s="65">
        <f t="shared" si="23"/>
        <v>0</v>
      </c>
      <c r="F42" s="65">
        <f t="shared" si="23"/>
        <v>2694.85</v>
      </c>
      <c r="G42" s="65">
        <f t="shared" si="23"/>
        <v>0</v>
      </c>
      <c r="H42" s="65">
        <f t="shared" si="23"/>
        <v>0</v>
      </c>
      <c r="I42" s="65">
        <f t="shared" si="23"/>
        <v>0</v>
      </c>
      <c r="J42" s="65">
        <f t="shared" si="23"/>
        <v>0</v>
      </c>
      <c r="K42" s="65">
        <f t="shared" si="23"/>
        <v>0</v>
      </c>
      <c r="L42" s="65">
        <f t="shared" si="23"/>
        <v>0</v>
      </c>
      <c r="M42" s="65">
        <f t="shared" si="23"/>
        <v>0</v>
      </c>
      <c r="N42" s="65">
        <f t="shared" si="23"/>
        <v>0</v>
      </c>
      <c r="O42" s="65">
        <f t="shared" si="23"/>
        <v>0</v>
      </c>
      <c r="P42" s="65">
        <f t="shared" si="23"/>
        <v>0</v>
      </c>
      <c r="Q42" s="65">
        <f t="shared" si="23"/>
        <v>0</v>
      </c>
      <c r="R42" s="65">
        <f t="shared" si="23"/>
        <v>0</v>
      </c>
      <c r="S42" s="65">
        <f t="shared" si="23"/>
        <v>0</v>
      </c>
      <c r="T42" s="65">
        <f t="shared" si="23"/>
        <v>0</v>
      </c>
      <c r="U42" s="65">
        <f t="shared" si="23"/>
        <v>0</v>
      </c>
      <c r="V42" s="65">
        <f t="shared" si="23"/>
        <v>0</v>
      </c>
      <c r="W42" s="65">
        <f t="shared" si="23"/>
        <v>0</v>
      </c>
      <c r="X42" s="65">
        <f t="shared" si="23"/>
        <v>0</v>
      </c>
      <c r="Y42" s="65">
        <f t="shared" si="23"/>
        <v>0</v>
      </c>
      <c r="Z42" s="65">
        <f t="shared" si="23"/>
        <v>0</v>
      </c>
      <c r="AA42" s="47">
        <f t="shared" si="13"/>
        <v>0</v>
      </c>
      <c r="AB42" s="51">
        <f t="shared" si="14"/>
        <v>2694.85</v>
      </c>
      <c r="AC42" s="21"/>
      <c r="AD42" s="31">
        <f t="shared" si="15"/>
        <v>0</v>
      </c>
      <c r="AE42" s="31">
        <f t="shared" si="16"/>
        <v>2694.85</v>
      </c>
      <c r="AF42" s="17">
        <f t="shared" si="19"/>
        <v>0</v>
      </c>
      <c r="AG42" s="17">
        <f t="shared" si="20"/>
        <v>0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66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</row>
    <row r="43" spans="1:118" s="19" customFormat="1" ht="18" hidden="1" customHeight="1" outlineLevel="2" x14ac:dyDescent="0.25">
      <c r="A43" s="48" t="s">
        <v>120</v>
      </c>
      <c r="B43" s="53"/>
      <c r="C43" s="64"/>
      <c r="D43" s="68"/>
      <c r="E43" s="68"/>
      <c r="F43" s="68"/>
      <c r="G43" s="68"/>
      <c r="H43" s="68"/>
      <c r="I43" s="68"/>
      <c r="J43" s="68">
        <v>0</v>
      </c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51">
        <f t="shared" si="13"/>
        <v>0</v>
      </c>
      <c r="AB43" s="51">
        <f t="shared" si="14"/>
        <v>0</v>
      </c>
      <c r="AC43" s="22"/>
      <c r="AD43" s="31">
        <f t="shared" si="15"/>
        <v>0</v>
      </c>
      <c r="AE43" s="31">
        <f t="shared" si="16"/>
        <v>0</v>
      </c>
      <c r="AF43" s="17">
        <f t="shared" si="19"/>
        <v>0</v>
      </c>
      <c r="AG43" s="17">
        <f t="shared" si="20"/>
        <v>0</v>
      </c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61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</row>
    <row r="44" spans="1:118" s="19" customFormat="1" ht="18" hidden="1" customHeight="1" outlineLevel="2" x14ac:dyDescent="0.25">
      <c r="A44" s="48" t="s">
        <v>121</v>
      </c>
      <c r="B44" s="53"/>
      <c r="C44" s="64"/>
      <c r="D44" s="68"/>
      <c r="E44" s="68"/>
      <c r="F44" s="68"/>
      <c r="G44" s="68"/>
      <c r="H44" s="68"/>
      <c r="I44" s="68"/>
      <c r="J44" s="68">
        <v>0</v>
      </c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51">
        <f t="shared" si="13"/>
        <v>0</v>
      </c>
      <c r="AB44" s="51">
        <f t="shared" si="14"/>
        <v>0</v>
      </c>
      <c r="AC44" s="22"/>
      <c r="AD44" s="31">
        <f t="shared" si="15"/>
        <v>0</v>
      </c>
      <c r="AE44" s="31">
        <f t="shared" si="16"/>
        <v>0</v>
      </c>
      <c r="AF44" s="17">
        <f t="shared" si="19"/>
        <v>0</v>
      </c>
      <c r="AG44" s="17">
        <f t="shared" si="20"/>
        <v>0</v>
      </c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61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</row>
    <row r="45" spans="1:118" s="19" customFormat="1" ht="18" hidden="1" customHeight="1" outlineLevel="2" x14ac:dyDescent="0.25">
      <c r="A45" s="48" t="s">
        <v>122</v>
      </c>
      <c r="B45" s="53"/>
      <c r="C45" s="64"/>
      <c r="D45" s="68"/>
      <c r="E45" s="68"/>
      <c r="F45" s="68"/>
      <c r="G45" s="68"/>
      <c r="H45" s="68"/>
      <c r="I45" s="68"/>
      <c r="J45" s="68">
        <v>0</v>
      </c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51">
        <f t="shared" si="13"/>
        <v>0</v>
      </c>
      <c r="AB45" s="51">
        <f t="shared" si="14"/>
        <v>0</v>
      </c>
      <c r="AC45" s="22"/>
      <c r="AD45" s="31">
        <f t="shared" si="15"/>
        <v>0</v>
      </c>
      <c r="AE45" s="31">
        <f t="shared" si="16"/>
        <v>0</v>
      </c>
      <c r="AF45" s="17">
        <f t="shared" si="19"/>
        <v>0</v>
      </c>
      <c r="AG45" s="17">
        <f t="shared" si="20"/>
        <v>0</v>
      </c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61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</row>
    <row r="46" spans="1:118" s="19" customFormat="1" ht="18" hidden="1" customHeight="1" outlineLevel="2" x14ac:dyDescent="0.25">
      <c r="A46" s="48" t="s">
        <v>123</v>
      </c>
      <c r="B46" s="53"/>
      <c r="C46" s="64"/>
      <c r="D46" s="68"/>
      <c r="E46" s="68"/>
      <c r="F46" s="68"/>
      <c r="G46" s="68"/>
      <c r="H46" s="68"/>
      <c r="I46" s="68"/>
      <c r="J46" s="68">
        <v>0</v>
      </c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51">
        <f t="shared" si="13"/>
        <v>0</v>
      </c>
      <c r="AB46" s="51">
        <f t="shared" si="14"/>
        <v>0</v>
      </c>
      <c r="AC46" s="22"/>
      <c r="AD46" s="31">
        <f t="shared" si="15"/>
        <v>0</v>
      </c>
      <c r="AE46" s="31">
        <f t="shared" si="16"/>
        <v>0</v>
      </c>
      <c r="AF46" s="17">
        <f t="shared" si="19"/>
        <v>0</v>
      </c>
      <c r="AG46" s="17">
        <f t="shared" si="20"/>
        <v>0</v>
      </c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61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</row>
    <row r="47" spans="1:118" s="19" customFormat="1" ht="18" hidden="1" customHeight="1" outlineLevel="2" x14ac:dyDescent="0.25">
      <c r="A47" s="48" t="s">
        <v>124</v>
      </c>
      <c r="B47" s="53"/>
      <c r="C47" s="64"/>
      <c r="D47" s="68"/>
      <c r="E47" s="68"/>
      <c r="F47" s="68"/>
      <c r="G47" s="68"/>
      <c r="H47" s="68"/>
      <c r="I47" s="68"/>
      <c r="J47" s="68">
        <v>0</v>
      </c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51">
        <f t="shared" si="13"/>
        <v>0</v>
      </c>
      <c r="AB47" s="51">
        <f t="shared" si="14"/>
        <v>0</v>
      </c>
      <c r="AC47" s="22"/>
      <c r="AD47" s="31">
        <f t="shared" si="15"/>
        <v>0</v>
      </c>
      <c r="AE47" s="31">
        <f t="shared" si="16"/>
        <v>0</v>
      </c>
      <c r="AF47" s="17">
        <f t="shared" si="19"/>
        <v>0</v>
      </c>
      <c r="AG47" s="17">
        <f t="shared" si="20"/>
        <v>0</v>
      </c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61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</row>
    <row r="48" spans="1:118" s="19" customFormat="1" ht="18" hidden="1" customHeight="1" outlineLevel="2" x14ac:dyDescent="0.25">
      <c r="A48" s="48" t="s">
        <v>125</v>
      </c>
      <c r="B48" s="53"/>
      <c r="C48" s="64"/>
      <c r="D48" s="68"/>
      <c r="E48" s="68"/>
      <c r="F48" s="68"/>
      <c r="G48" s="68"/>
      <c r="H48" s="68"/>
      <c r="I48" s="68"/>
      <c r="J48" s="68">
        <v>0</v>
      </c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51">
        <f t="shared" si="13"/>
        <v>0</v>
      </c>
      <c r="AB48" s="51">
        <f t="shared" si="14"/>
        <v>0</v>
      </c>
      <c r="AC48" s="22"/>
      <c r="AD48" s="31">
        <f t="shared" si="15"/>
        <v>0</v>
      </c>
      <c r="AE48" s="31">
        <f t="shared" si="16"/>
        <v>0</v>
      </c>
      <c r="AF48" s="17">
        <f t="shared" si="19"/>
        <v>0</v>
      </c>
      <c r="AG48" s="17">
        <f t="shared" si="20"/>
        <v>0</v>
      </c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61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</row>
    <row r="49" spans="1:118" s="19" customFormat="1" ht="18" hidden="1" customHeight="1" outlineLevel="2" x14ac:dyDescent="0.25">
      <c r="A49" s="48" t="s">
        <v>126</v>
      </c>
      <c r="B49" s="53"/>
      <c r="C49" s="64"/>
      <c r="D49" s="68"/>
      <c r="E49" s="68"/>
      <c r="F49" s="68">
        <v>2694.85</v>
      </c>
      <c r="G49" s="68"/>
      <c r="H49" s="68"/>
      <c r="I49" s="68"/>
      <c r="J49" s="68">
        <v>0</v>
      </c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51">
        <f t="shared" si="13"/>
        <v>0</v>
      </c>
      <c r="AB49" s="51">
        <f t="shared" si="14"/>
        <v>2694.85</v>
      </c>
      <c r="AC49" s="22"/>
      <c r="AD49" s="31">
        <f t="shared" si="15"/>
        <v>0</v>
      </c>
      <c r="AE49" s="31">
        <f t="shared" si="16"/>
        <v>2694.85</v>
      </c>
      <c r="AF49" s="17">
        <f t="shared" si="19"/>
        <v>0</v>
      </c>
      <c r="AG49" s="17">
        <f t="shared" si="20"/>
        <v>0</v>
      </c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61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</row>
    <row r="50" spans="1:118" s="19" customFormat="1" ht="18" hidden="1" customHeight="1" outlineLevel="1" x14ac:dyDescent="0.25">
      <c r="A50" s="48" t="s">
        <v>127</v>
      </c>
      <c r="B50" s="53"/>
      <c r="C50" s="64"/>
      <c r="D50" s="68"/>
      <c r="E50" s="68"/>
      <c r="F50" s="68"/>
      <c r="G50" s="68"/>
      <c r="H50" s="68"/>
      <c r="I50" s="68"/>
      <c r="J50" s="68">
        <v>0</v>
      </c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51">
        <f t="shared" si="13"/>
        <v>0</v>
      </c>
      <c r="AB50" s="51">
        <f t="shared" si="14"/>
        <v>0</v>
      </c>
      <c r="AC50" s="22"/>
      <c r="AD50" s="31">
        <f t="shared" si="15"/>
        <v>0</v>
      </c>
      <c r="AE50" s="31">
        <f t="shared" si="16"/>
        <v>0</v>
      </c>
      <c r="AF50" s="17">
        <f t="shared" si="19"/>
        <v>0</v>
      </c>
      <c r="AG50" s="17">
        <f t="shared" si="20"/>
        <v>0</v>
      </c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61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</row>
    <row r="51" spans="1:118" s="19" customFormat="1" ht="18" hidden="1" customHeight="1" outlineLevel="1" x14ac:dyDescent="0.25">
      <c r="A51" s="48" t="s">
        <v>128</v>
      </c>
      <c r="B51" s="53"/>
      <c r="C51" s="64"/>
      <c r="D51" s="68"/>
      <c r="E51" s="68"/>
      <c r="F51" s="68"/>
      <c r="G51" s="68"/>
      <c r="H51" s="68"/>
      <c r="I51" s="68"/>
      <c r="J51" s="68">
        <v>0</v>
      </c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51">
        <f t="shared" si="13"/>
        <v>0</v>
      </c>
      <c r="AB51" s="51">
        <f t="shared" si="14"/>
        <v>0</v>
      </c>
      <c r="AC51" s="22"/>
      <c r="AD51" s="31">
        <f t="shared" si="15"/>
        <v>0</v>
      </c>
      <c r="AE51" s="31">
        <f t="shared" si="16"/>
        <v>0</v>
      </c>
      <c r="AF51" s="17">
        <f t="shared" si="19"/>
        <v>0</v>
      </c>
      <c r="AG51" s="17">
        <f t="shared" si="20"/>
        <v>0</v>
      </c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61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</row>
    <row r="52" spans="1:118" s="19" customFormat="1" ht="18" hidden="1" customHeight="1" outlineLevel="1" x14ac:dyDescent="0.25">
      <c r="A52" s="48" t="s">
        <v>129</v>
      </c>
      <c r="B52" s="53"/>
      <c r="C52" s="64"/>
      <c r="D52" s="68"/>
      <c r="E52" s="68"/>
      <c r="F52" s="68"/>
      <c r="G52" s="68"/>
      <c r="H52" s="68"/>
      <c r="I52" s="68"/>
      <c r="J52" s="68">
        <v>0</v>
      </c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51">
        <f t="shared" si="13"/>
        <v>0</v>
      </c>
      <c r="AB52" s="51">
        <f t="shared" si="14"/>
        <v>0</v>
      </c>
      <c r="AC52" s="22"/>
      <c r="AD52" s="31">
        <f t="shared" si="15"/>
        <v>0</v>
      </c>
      <c r="AE52" s="31">
        <f t="shared" si="16"/>
        <v>0</v>
      </c>
      <c r="AF52" s="17">
        <f t="shared" si="19"/>
        <v>0</v>
      </c>
      <c r="AG52" s="17">
        <f t="shared" si="20"/>
        <v>0</v>
      </c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61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</row>
    <row r="53" spans="1:118" s="17" customFormat="1" ht="18" hidden="1" customHeight="1" outlineLevel="1" x14ac:dyDescent="0.25">
      <c r="A53" s="67" t="s">
        <v>130</v>
      </c>
      <c r="B53" s="45"/>
      <c r="C53" s="65">
        <f t="shared" ref="C53:Z53" si="24">SUM(C54:C58)</f>
        <v>5275</v>
      </c>
      <c r="D53" s="65">
        <f t="shared" si="24"/>
        <v>51082.83</v>
      </c>
      <c r="E53" s="65">
        <f t="shared" si="24"/>
        <v>5275</v>
      </c>
      <c r="F53" s="65">
        <f t="shared" si="24"/>
        <v>2672.59</v>
      </c>
      <c r="G53" s="65">
        <f t="shared" si="24"/>
        <v>5275</v>
      </c>
      <c r="H53" s="65">
        <f t="shared" si="24"/>
        <v>5680.75</v>
      </c>
      <c r="I53" s="65">
        <f t="shared" si="24"/>
        <v>5275</v>
      </c>
      <c r="J53" s="65">
        <f t="shared" si="24"/>
        <v>3652.07</v>
      </c>
      <c r="K53" s="65">
        <f t="shared" si="24"/>
        <v>5275</v>
      </c>
      <c r="L53" s="65">
        <f t="shared" si="24"/>
        <v>925</v>
      </c>
      <c r="M53" s="65">
        <f t="shared" si="24"/>
        <v>5275</v>
      </c>
      <c r="N53" s="65">
        <f t="shared" si="24"/>
        <v>-57.06</v>
      </c>
      <c r="O53" s="65">
        <f t="shared" si="24"/>
        <v>5275</v>
      </c>
      <c r="P53" s="65">
        <f t="shared" si="24"/>
        <v>1698.39</v>
      </c>
      <c r="Q53" s="65">
        <f t="shared" si="24"/>
        <v>5275</v>
      </c>
      <c r="R53" s="65">
        <f t="shared" si="24"/>
        <v>1172.31</v>
      </c>
      <c r="S53" s="65">
        <f t="shared" si="24"/>
        <v>5275</v>
      </c>
      <c r="T53" s="65">
        <f t="shared" si="24"/>
        <v>777.06</v>
      </c>
      <c r="U53" s="65">
        <f t="shared" si="24"/>
        <v>5275</v>
      </c>
      <c r="V53" s="65">
        <f t="shared" si="24"/>
        <v>0</v>
      </c>
      <c r="W53" s="65">
        <f t="shared" si="24"/>
        <v>5275</v>
      </c>
      <c r="X53" s="65">
        <f t="shared" si="24"/>
        <v>0</v>
      </c>
      <c r="Y53" s="65">
        <f t="shared" si="24"/>
        <v>5275</v>
      </c>
      <c r="Z53" s="65">
        <f t="shared" si="24"/>
        <v>2075.1999999999998</v>
      </c>
      <c r="AA53" s="47">
        <f t="shared" si="13"/>
        <v>63300</v>
      </c>
      <c r="AB53" s="51">
        <f t="shared" si="14"/>
        <v>69679.14</v>
      </c>
      <c r="AC53" s="21"/>
      <c r="AD53" s="31">
        <f t="shared" si="15"/>
        <v>63300</v>
      </c>
      <c r="AE53" s="31">
        <f t="shared" si="16"/>
        <v>69679.14</v>
      </c>
      <c r="AF53" s="17">
        <f t="shared" si="19"/>
        <v>0</v>
      </c>
      <c r="AG53" s="17">
        <f t="shared" si="20"/>
        <v>0</v>
      </c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66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</row>
    <row r="54" spans="1:118" s="19" customFormat="1" ht="18" hidden="1" customHeight="1" outlineLevel="2" x14ac:dyDescent="0.25">
      <c r="A54" s="48" t="s">
        <v>131</v>
      </c>
      <c r="B54" s="53"/>
      <c r="C54" s="64">
        <v>2100</v>
      </c>
      <c r="D54" s="68">
        <v>564.61</v>
      </c>
      <c r="E54" s="68">
        <v>2100</v>
      </c>
      <c r="F54" s="68">
        <v>2248.67</v>
      </c>
      <c r="G54" s="68">
        <v>2100</v>
      </c>
      <c r="H54" s="68">
        <v>1344.4</v>
      </c>
      <c r="I54" s="68">
        <v>2100</v>
      </c>
      <c r="J54" s="68">
        <v>1530.52</v>
      </c>
      <c r="K54" s="68">
        <v>2100</v>
      </c>
      <c r="L54" s="68">
        <v>414</v>
      </c>
      <c r="M54" s="68">
        <v>2100</v>
      </c>
      <c r="N54" s="68">
        <v>-42.19</v>
      </c>
      <c r="O54" s="68">
        <v>2100</v>
      </c>
      <c r="P54" s="68">
        <v>616.84</v>
      </c>
      <c r="Q54" s="68">
        <v>2100</v>
      </c>
      <c r="R54" s="68">
        <v>616.39</v>
      </c>
      <c r="S54" s="68">
        <v>2100</v>
      </c>
      <c r="T54" s="68">
        <v>777.06</v>
      </c>
      <c r="U54" s="68">
        <v>2100</v>
      </c>
      <c r="V54" s="68"/>
      <c r="W54" s="68">
        <v>2100</v>
      </c>
      <c r="X54" s="68"/>
      <c r="Y54" s="68">
        <v>2100</v>
      </c>
      <c r="Z54" s="68">
        <v>1579.4</v>
      </c>
      <c r="AA54" s="51">
        <f t="shared" si="13"/>
        <v>25200</v>
      </c>
      <c r="AB54" s="51">
        <f t="shared" si="14"/>
        <v>9649.7000000000007</v>
      </c>
      <c r="AC54" s="22"/>
      <c r="AD54" s="31">
        <f t="shared" si="15"/>
        <v>25200</v>
      </c>
      <c r="AE54" s="31">
        <f t="shared" si="16"/>
        <v>9649.7000000000007</v>
      </c>
      <c r="AF54" s="17">
        <f t="shared" si="19"/>
        <v>0</v>
      </c>
      <c r="AG54" s="17">
        <f t="shared" si="20"/>
        <v>0</v>
      </c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61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</row>
    <row r="55" spans="1:118" s="19" customFormat="1" ht="18" hidden="1" customHeight="1" outlineLevel="2" x14ac:dyDescent="0.25">
      <c r="A55" s="48" t="s">
        <v>132</v>
      </c>
      <c r="B55" s="53"/>
      <c r="C55" s="64">
        <v>2500</v>
      </c>
      <c r="D55" s="68">
        <v>23915.22</v>
      </c>
      <c r="E55" s="68">
        <v>2500</v>
      </c>
      <c r="F55" s="68">
        <v>292.92</v>
      </c>
      <c r="G55" s="68">
        <v>2500</v>
      </c>
      <c r="H55" s="68">
        <v>3187.95</v>
      </c>
      <c r="I55" s="68">
        <v>2500</v>
      </c>
      <c r="J55" s="68">
        <v>1616.55</v>
      </c>
      <c r="K55" s="68">
        <v>2500</v>
      </c>
      <c r="L55" s="68">
        <v>511</v>
      </c>
      <c r="M55" s="68">
        <v>2500</v>
      </c>
      <c r="N55" s="68">
        <v>-14.87</v>
      </c>
      <c r="O55" s="68">
        <v>2500</v>
      </c>
      <c r="P55" s="68">
        <v>797.55</v>
      </c>
      <c r="Q55" s="68">
        <v>2500</v>
      </c>
      <c r="R55" s="68">
        <v>303.92</v>
      </c>
      <c r="S55" s="68">
        <v>2500</v>
      </c>
      <c r="T55" s="68">
        <v>0</v>
      </c>
      <c r="U55" s="68">
        <v>2500</v>
      </c>
      <c r="V55" s="68"/>
      <c r="W55" s="68">
        <v>2500</v>
      </c>
      <c r="X55" s="68"/>
      <c r="Y55" s="68">
        <v>2500</v>
      </c>
      <c r="Z55" s="68">
        <v>380.8</v>
      </c>
      <c r="AA55" s="51">
        <f t="shared" si="13"/>
        <v>30000</v>
      </c>
      <c r="AB55" s="51">
        <f t="shared" si="14"/>
        <v>30991.040000000001</v>
      </c>
      <c r="AC55" s="22"/>
      <c r="AD55" s="31">
        <f t="shared" si="15"/>
        <v>30000</v>
      </c>
      <c r="AE55" s="31">
        <f t="shared" si="16"/>
        <v>30991.040000000001</v>
      </c>
      <c r="AF55" s="17">
        <f t="shared" si="19"/>
        <v>0</v>
      </c>
      <c r="AG55" s="17">
        <f t="shared" si="20"/>
        <v>0</v>
      </c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61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</row>
    <row r="56" spans="1:118" s="19" customFormat="1" ht="18" hidden="1" customHeight="1" outlineLevel="2" x14ac:dyDescent="0.25">
      <c r="A56" s="48" t="s">
        <v>180</v>
      </c>
      <c r="B56" s="53"/>
      <c r="C56" s="64">
        <v>675</v>
      </c>
      <c r="D56" s="68">
        <v>26603</v>
      </c>
      <c r="E56" s="68">
        <v>675</v>
      </c>
      <c r="F56" s="68">
        <v>131</v>
      </c>
      <c r="G56" s="68">
        <v>675</v>
      </c>
      <c r="H56" s="68">
        <v>1148.4000000000001</v>
      </c>
      <c r="I56" s="68">
        <v>675</v>
      </c>
      <c r="J56" s="68">
        <v>505</v>
      </c>
      <c r="K56" s="68">
        <v>675</v>
      </c>
      <c r="L56" s="68">
        <v>0</v>
      </c>
      <c r="M56" s="68">
        <v>675</v>
      </c>
      <c r="N56" s="68">
        <v>0</v>
      </c>
      <c r="O56" s="68">
        <v>675</v>
      </c>
      <c r="P56" s="68">
        <v>284</v>
      </c>
      <c r="Q56" s="68">
        <v>675</v>
      </c>
      <c r="R56" s="68">
        <v>252</v>
      </c>
      <c r="S56" s="68">
        <v>675</v>
      </c>
      <c r="T56" s="68">
        <v>0</v>
      </c>
      <c r="U56" s="68">
        <v>675</v>
      </c>
      <c r="V56" s="68"/>
      <c r="W56" s="68">
        <v>675</v>
      </c>
      <c r="X56" s="68"/>
      <c r="Y56" s="68">
        <v>675</v>
      </c>
      <c r="Z56" s="68">
        <v>115</v>
      </c>
      <c r="AA56" s="51">
        <f t="shared" si="13"/>
        <v>8100</v>
      </c>
      <c r="AB56" s="51">
        <f t="shared" si="14"/>
        <v>29038.400000000001</v>
      </c>
      <c r="AC56" s="22"/>
      <c r="AD56" s="31">
        <f t="shared" si="15"/>
        <v>8100</v>
      </c>
      <c r="AE56" s="31">
        <f t="shared" si="16"/>
        <v>29038.400000000001</v>
      </c>
      <c r="AF56" s="17">
        <f t="shared" si="19"/>
        <v>0</v>
      </c>
      <c r="AG56" s="17">
        <f t="shared" si="20"/>
        <v>0</v>
      </c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61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</row>
    <row r="57" spans="1:118" s="19" customFormat="1" ht="18" hidden="1" customHeight="1" outlineLevel="2" x14ac:dyDescent="0.25">
      <c r="A57" s="48" t="s">
        <v>134</v>
      </c>
      <c r="B57" s="53"/>
      <c r="C57" s="64"/>
      <c r="D57" s="68">
        <v>0</v>
      </c>
      <c r="E57" s="68"/>
      <c r="F57" s="68">
        <v>0</v>
      </c>
      <c r="G57" s="68"/>
      <c r="H57" s="68">
        <v>0</v>
      </c>
      <c r="I57" s="68"/>
      <c r="J57" s="68">
        <v>0</v>
      </c>
      <c r="K57" s="68"/>
      <c r="L57" s="68">
        <v>0</v>
      </c>
      <c r="M57" s="68"/>
      <c r="N57" s="68">
        <v>0</v>
      </c>
      <c r="O57" s="68"/>
      <c r="P57" s="68">
        <v>0</v>
      </c>
      <c r="Q57" s="68"/>
      <c r="R57" s="68">
        <v>0</v>
      </c>
      <c r="S57" s="68"/>
      <c r="T57" s="68">
        <v>0</v>
      </c>
      <c r="U57" s="68"/>
      <c r="V57" s="68"/>
      <c r="W57" s="68"/>
      <c r="X57" s="68"/>
      <c r="Y57" s="68"/>
      <c r="Z57" s="68">
        <v>0</v>
      </c>
      <c r="AA57" s="51">
        <f t="shared" si="13"/>
        <v>0</v>
      </c>
      <c r="AB57" s="51">
        <f t="shared" si="14"/>
        <v>0</v>
      </c>
      <c r="AC57" s="22"/>
      <c r="AD57" s="31">
        <f t="shared" si="15"/>
        <v>0</v>
      </c>
      <c r="AE57" s="31">
        <f t="shared" si="16"/>
        <v>0</v>
      </c>
      <c r="AF57" s="17">
        <f t="shared" si="19"/>
        <v>0</v>
      </c>
      <c r="AG57" s="17">
        <f t="shared" si="20"/>
        <v>0</v>
      </c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61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</row>
    <row r="58" spans="1:118" s="19" customFormat="1" ht="18" hidden="1" customHeight="1" outlineLevel="2" x14ac:dyDescent="0.25">
      <c r="A58" s="48" t="s">
        <v>135</v>
      </c>
      <c r="B58" s="53"/>
      <c r="C58" s="64"/>
      <c r="D58" s="68">
        <v>0</v>
      </c>
      <c r="E58" s="68"/>
      <c r="F58" s="68">
        <v>0</v>
      </c>
      <c r="G58" s="68"/>
      <c r="H58" s="68">
        <v>0</v>
      </c>
      <c r="I58" s="68"/>
      <c r="J58" s="68">
        <v>0</v>
      </c>
      <c r="K58" s="68"/>
      <c r="L58" s="68">
        <v>0</v>
      </c>
      <c r="M58" s="68"/>
      <c r="N58" s="68">
        <v>0</v>
      </c>
      <c r="O58" s="68"/>
      <c r="P58" s="68">
        <v>0</v>
      </c>
      <c r="Q58" s="68"/>
      <c r="R58" s="68">
        <v>0</v>
      </c>
      <c r="S58" s="68"/>
      <c r="T58" s="68">
        <v>0</v>
      </c>
      <c r="U58" s="68"/>
      <c r="V58" s="68"/>
      <c r="W58" s="68"/>
      <c r="X58" s="68"/>
      <c r="Y58" s="68"/>
      <c r="Z58" s="68">
        <v>0</v>
      </c>
      <c r="AA58" s="51">
        <f t="shared" si="13"/>
        <v>0</v>
      </c>
      <c r="AB58" s="51">
        <f t="shared" si="14"/>
        <v>0</v>
      </c>
      <c r="AC58" s="22"/>
      <c r="AD58" s="31">
        <f t="shared" si="15"/>
        <v>0</v>
      </c>
      <c r="AE58" s="31">
        <f t="shared" si="16"/>
        <v>0</v>
      </c>
      <c r="AF58" s="17">
        <f t="shared" si="19"/>
        <v>0</v>
      </c>
      <c r="AG58" s="17">
        <f t="shared" si="20"/>
        <v>0</v>
      </c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61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</row>
    <row r="59" spans="1:118" s="19" customFormat="1" ht="18" hidden="1" customHeight="1" outlineLevel="1" x14ac:dyDescent="0.25">
      <c r="A59" s="48" t="s">
        <v>136</v>
      </c>
      <c r="B59" s="53"/>
      <c r="C59" s="64">
        <v>2000</v>
      </c>
      <c r="D59" s="68">
        <v>3247.7</v>
      </c>
      <c r="E59" s="68">
        <v>2000</v>
      </c>
      <c r="F59" s="68">
        <v>1040</v>
      </c>
      <c r="G59" s="68">
        <v>2000</v>
      </c>
      <c r="H59" s="68">
        <v>1706</v>
      </c>
      <c r="I59" s="68">
        <v>2000</v>
      </c>
      <c r="J59" s="68">
        <v>1755.7</v>
      </c>
      <c r="K59" s="68">
        <v>2000</v>
      </c>
      <c r="L59" s="68">
        <v>0</v>
      </c>
      <c r="M59" s="68">
        <v>2000</v>
      </c>
      <c r="N59" s="68">
        <v>1442</v>
      </c>
      <c r="O59" s="68">
        <v>2000</v>
      </c>
      <c r="P59" s="68">
        <v>794.42</v>
      </c>
      <c r="Q59" s="68">
        <v>2000</v>
      </c>
      <c r="R59" s="68">
        <v>0</v>
      </c>
      <c r="S59" s="68">
        <v>2000</v>
      </c>
      <c r="T59" s="68">
        <v>0</v>
      </c>
      <c r="U59" s="68">
        <v>2000</v>
      </c>
      <c r="V59" s="68"/>
      <c r="W59" s="68">
        <v>2000</v>
      </c>
      <c r="X59" s="68"/>
      <c r="Y59" s="68">
        <v>2000</v>
      </c>
      <c r="Z59" s="68">
        <v>446</v>
      </c>
      <c r="AA59" s="51">
        <f t="shared" si="13"/>
        <v>24000</v>
      </c>
      <c r="AB59" s="51">
        <f t="shared" si="14"/>
        <v>10431.82</v>
      </c>
      <c r="AC59" s="22"/>
      <c r="AD59" s="31">
        <f t="shared" si="15"/>
        <v>24000</v>
      </c>
      <c r="AE59" s="31">
        <f t="shared" si="16"/>
        <v>10431.82</v>
      </c>
      <c r="AF59" s="17">
        <f t="shared" si="19"/>
        <v>0</v>
      </c>
      <c r="AG59" s="17">
        <f t="shared" si="20"/>
        <v>0</v>
      </c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61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</row>
    <row r="60" spans="1:118" s="19" customFormat="1" ht="18" hidden="1" customHeight="1" outlineLevel="1" x14ac:dyDescent="0.25">
      <c r="A60" s="48" t="s">
        <v>137</v>
      </c>
      <c r="B60" s="53"/>
      <c r="C60" s="64"/>
      <c r="D60" s="68">
        <v>0</v>
      </c>
      <c r="E60" s="68"/>
      <c r="F60" s="68">
        <v>0</v>
      </c>
      <c r="G60" s="68"/>
      <c r="H60" s="68">
        <v>0</v>
      </c>
      <c r="I60" s="68"/>
      <c r="J60" s="68">
        <v>0</v>
      </c>
      <c r="K60" s="68"/>
      <c r="L60" s="68">
        <v>0</v>
      </c>
      <c r="M60" s="68"/>
      <c r="N60" s="68"/>
      <c r="O60" s="68"/>
      <c r="P60" s="68">
        <v>0</v>
      </c>
      <c r="Q60" s="68"/>
      <c r="R60" s="68">
        <v>0</v>
      </c>
      <c r="S60" s="68"/>
      <c r="T60" s="68">
        <v>0</v>
      </c>
      <c r="U60" s="68"/>
      <c r="V60" s="68"/>
      <c r="W60" s="68"/>
      <c r="X60" s="68"/>
      <c r="Y60" s="68"/>
      <c r="Z60" s="68">
        <v>0</v>
      </c>
      <c r="AA60" s="51">
        <f t="shared" si="13"/>
        <v>0</v>
      </c>
      <c r="AB60" s="51">
        <f t="shared" si="14"/>
        <v>0</v>
      </c>
      <c r="AC60" s="22"/>
      <c r="AD60" s="31">
        <f t="shared" si="15"/>
        <v>0</v>
      </c>
      <c r="AE60" s="31">
        <f t="shared" si="16"/>
        <v>0</v>
      </c>
      <c r="AF60" s="17">
        <f t="shared" si="19"/>
        <v>0</v>
      </c>
      <c r="AG60" s="17">
        <f t="shared" si="20"/>
        <v>0</v>
      </c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61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</row>
    <row r="61" spans="1:118" s="19" customFormat="1" ht="18" hidden="1" customHeight="1" outlineLevel="1" x14ac:dyDescent="0.25">
      <c r="A61" s="48" t="s">
        <v>138</v>
      </c>
      <c r="B61" s="53"/>
      <c r="C61" s="64"/>
      <c r="D61" s="68">
        <v>0</v>
      </c>
      <c r="E61" s="68"/>
      <c r="F61" s="68">
        <v>0</v>
      </c>
      <c r="G61" s="68"/>
      <c r="H61" s="68">
        <v>0</v>
      </c>
      <c r="I61" s="68"/>
      <c r="J61" s="68">
        <v>0</v>
      </c>
      <c r="K61" s="68"/>
      <c r="L61" s="68">
        <v>0</v>
      </c>
      <c r="M61" s="68"/>
      <c r="N61" s="68"/>
      <c r="O61" s="68"/>
      <c r="P61" s="68">
        <v>0</v>
      </c>
      <c r="Q61" s="68"/>
      <c r="R61" s="68">
        <v>0</v>
      </c>
      <c r="S61" s="68"/>
      <c r="T61" s="68">
        <v>0</v>
      </c>
      <c r="U61" s="68"/>
      <c r="V61" s="68"/>
      <c r="W61" s="68"/>
      <c r="X61" s="68"/>
      <c r="Y61" s="68"/>
      <c r="Z61" s="68">
        <v>0</v>
      </c>
      <c r="AA61" s="51">
        <f t="shared" si="13"/>
        <v>0</v>
      </c>
      <c r="AB61" s="51">
        <f t="shared" si="14"/>
        <v>0</v>
      </c>
      <c r="AC61" s="22"/>
      <c r="AD61" s="31">
        <f t="shared" si="15"/>
        <v>0</v>
      </c>
      <c r="AE61" s="31">
        <f t="shared" si="16"/>
        <v>0</v>
      </c>
      <c r="AF61" s="17">
        <f t="shared" si="19"/>
        <v>0</v>
      </c>
      <c r="AG61" s="17">
        <f t="shared" si="20"/>
        <v>0</v>
      </c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61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</row>
    <row r="62" spans="1:118" s="19" customFormat="1" ht="18" hidden="1" customHeight="1" outlineLevel="1" x14ac:dyDescent="0.25">
      <c r="A62" s="48" t="s">
        <v>139</v>
      </c>
      <c r="B62" s="53"/>
      <c r="C62" s="64"/>
      <c r="D62" s="68">
        <v>0</v>
      </c>
      <c r="E62" s="68"/>
      <c r="F62" s="68">
        <v>0</v>
      </c>
      <c r="G62" s="68"/>
      <c r="H62" s="68">
        <v>0</v>
      </c>
      <c r="I62" s="68"/>
      <c r="J62" s="68">
        <v>0</v>
      </c>
      <c r="K62" s="68"/>
      <c r="L62" s="68">
        <v>0</v>
      </c>
      <c r="M62" s="68"/>
      <c r="N62" s="68"/>
      <c r="O62" s="68"/>
      <c r="P62" s="68">
        <v>0</v>
      </c>
      <c r="Q62" s="68"/>
      <c r="R62" s="68">
        <v>0</v>
      </c>
      <c r="S62" s="68"/>
      <c r="T62" s="68">
        <v>0</v>
      </c>
      <c r="U62" s="68"/>
      <c r="V62" s="68"/>
      <c r="W62" s="68"/>
      <c r="X62" s="68"/>
      <c r="Y62" s="68"/>
      <c r="Z62" s="68">
        <v>0</v>
      </c>
      <c r="AA62" s="51">
        <f t="shared" si="13"/>
        <v>0</v>
      </c>
      <c r="AB62" s="51">
        <f t="shared" si="14"/>
        <v>0</v>
      </c>
      <c r="AC62" s="22"/>
      <c r="AD62" s="31">
        <f t="shared" si="15"/>
        <v>0</v>
      </c>
      <c r="AE62" s="31">
        <f t="shared" si="16"/>
        <v>0</v>
      </c>
      <c r="AF62" s="17">
        <f t="shared" si="19"/>
        <v>0</v>
      </c>
      <c r="AG62" s="17">
        <f t="shared" si="20"/>
        <v>0</v>
      </c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61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</row>
    <row r="63" spans="1:118" s="19" customFormat="1" ht="18" hidden="1" customHeight="1" outlineLevel="1" x14ac:dyDescent="0.25">
      <c r="A63" s="48" t="s">
        <v>140</v>
      </c>
      <c r="B63" s="53"/>
      <c r="C63" s="64"/>
      <c r="D63" s="68">
        <v>0</v>
      </c>
      <c r="E63" s="68"/>
      <c r="F63" s="68">
        <v>0</v>
      </c>
      <c r="G63" s="68"/>
      <c r="H63" s="68">
        <v>0</v>
      </c>
      <c r="I63" s="68"/>
      <c r="J63" s="68">
        <v>0</v>
      </c>
      <c r="K63" s="68"/>
      <c r="L63" s="68">
        <v>0</v>
      </c>
      <c r="M63" s="68"/>
      <c r="N63" s="68"/>
      <c r="O63" s="68"/>
      <c r="P63" s="68">
        <v>0</v>
      </c>
      <c r="Q63" s="68"/>
      <c r="R63" s="68">
        <v>0</v>
      </c>
      <c r="S63" s="68"/>
      <c r="T63" s="68">
        <v>0</v>
      </c>
      <c r="U63" s="68"/>
      <c r="V63" s="68"/>
      <c r="W63" s="68"/>
      <c r="X63" s="68"/>
      <c r="Y63" s="68"/>
      <c r="Z63" s="68">
        <v>0</v>
      </c>
      <c r="AA63" s="51">
        <f t="shared" si="13"/>
        <v>0</v>
      </c>
      <c r="AB63" s="51">
        <f t="shared" si="14"/>
        <v>0</v>
      </c>
      <c r="AC63" s="22"/>
      <c r="AD63" s="31">
        <f t="shared" si="15"/>
        <v>0</v>
      </c>
      <c r="AE63" s="31">
        <f t="shared" si="16"/>
        <v>0</v>
      </c>
      <c r="AF63" s="17">
        <f t="shared" si="19"/>
        <v>0</v>
      </c>
      <c r="AG63" s="17">
        <f t="shared" si="20"/>
        <v>0</v>
      </c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61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</row>
    <row r="64" spans="1:118" s="19" customFormat="1" ht="18" hidden="1" customHeight="1" outlineLevel="1" x14ac:dyDescent="0.25">
      <c r="A64" s="48" t="s">
        <v>141</v>
      </c>
      <c r="B64" s="53"/>
      <c r="C64" s="64"/>
      <c r="D64" s="68"/>
      <c r="E64" s="68"/>
      <c r="F64" s="68"/>
      <c r="G64" s="68"/>
      <c r="H64" s="68">
        <v>0</v>
      </c>
      <c r="I64" s="68"/>
      <c r="J64" s="68">
        <v>0</v>
      </c>
      <c r="K64" s="68"/>
      <c r="L64" s="68">
        <v>0</v>
      </c>
      <c r="M64" s="68"/>
      <c r="N64" s="68"/>
      <c r="O64" s="68"/>
      <c r="P64" s="68">
        <v>0</v>
      </c>
      <c r="Q64" s="68"/>
      <c r="R64" s="68">
        <v>0</v>
      </c>
      <c r="S64" s="68"/>
      <c r="T64" s="68">
        <v>0</v>
      </c>
      <c r="U64" s="68"/>
      <c r="V64" s="68"/>
      <c r="W64" s="68"/>
      <c r="X64" s="68"/>
      <c r="Y64" s="68"/>
      <c r="Z64" s="68">
        <v>0</v>
      </c>
      <c r="AA64" s="51">
        <f t="shared" si="13"/>
        <v>0</v>
      </c>
      <c r="AB64" s="51">
        <f t="shared" si="14"/>
        <v>0</v>
      </c>
      <c r="AC64" s="22"/>
      <c r="AD64" s="31">
        <f t="shared" si="15"/>
        <v>0</v>
      </c>
      <c r="AE64" s="31">
        <f t="shared" si="16"/>
        <v>0</v>
      </c>
      <c r="AF64" s="17">
        <f t="shared" si="19"/>
        <v>0</v>
      </c>
      <c r="AG64" s="17">
        <f t="shared" si="20"/>
        <v>0</v>
      </c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61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</row>
    <row r="65" spans="1:118" s="17" customFormat="1" ht="18" hidden="1" customHeight="1" outlineLevel="1" x14ac:dyDescent="0.25">
      <c r="A65" s="67" t="s">
        <v>142</v>
      </c>
      <c r="B65" s="45"/>
      <c r="C65" s="65">
        <f t="shared" ref="C65:L65" si="25">SUM(C66:C69)</f>
        <v>0</v>
      </c>
      <c r="D65" s="65">
        <f t="shared" si="25"/>
        <v>0</v>
      </c>
      <c r="E65" s="65">
        <f t="shared" si="25"/>
        <v>0</v>
      </c>
      <c r="F65" s="65">
        <f t="shared" si="25"/>
        <v>0</v>
      </c>
      <c r="G65" s="65">
        <f t="shared" si="25"/>
        <v>0</v>
      </c>
      <c r="H65" s="65">
        <f t="shared" si="25"/>
        <v>0</v>
      </c>
      <c r="I65" s="65">
        <f t="shared" si="25"/>
        <v>0</v>
      </c>
      <c r="J65" s="65">
        <f t="shared" si="25"/>
        <v>0</v>
      </c>
      <c r="K65" s="65">
        <f t="shared" si="25"/>
        <v>0</v>
      </c>
      <c r="L65" s="65">
        <f t="shared" si="25"/>
        <v>0</v>
      </c>
      <c r="M65" s="68">
        <v>0</v>
      </c>
      <c r="N65" s="65">
        <f>SUM(N66:N69)</f>
        <v>0</v>
      </c>
      <c r="O65" s="65">
        <v>0</v>
      </c>
      <c r="P65" s="68"/>
      <c r="Q65" s="65">
        <f>SUM(Q66:Q69)</f>
        <v>0</v>
      </c>
      <c r="R65" s="65"/>
      <c r="S65" s="65"/>
      <c r="T65" s="68"/>
      <c r="U65" s="65">
        <f>SUM(U66:U69)</f>
        <v>0</v>
      </c>
      <c r="V65" s="65">
        <f>SUM(V66:V69)</f>
        <v>0</v>
      </c>
      <c r="W65" s="65">
        <f>SUM(W66:W69)</f>
        <v>0</v>
      </c>
      <c r="X65" s="65">
        <v>0</v>
      </c>
      <c r="Y65" s="65">
        <f>SUM(Y66:Y69)</f>
        <v>0</v>
      </c>
      <c r="Z65" s="65">
        <f>SUM(Z66:Z69)</f>
        <v>0</v>
      </c>
      <c r="AA65" s="47">
        <f t="shared" si="13"/>
        <v>0</v>
      </c>
      <c r="AB65" s="51">
        <f t="shared" si="14"/>
        <v>0</v>
      </c>
      <c r="AC65" s="21"/>
      <c r="AD65" s="31">
        <f t="shared" si="15"/>
        <v>0</v>
      </c>
      <c r="AE65" s="31">
        <f t="shared" si="16"/>
        <v>0</v>
      </c>
      <c r="AF65" s="17">
        <f t="shared" si="19"/>
        <v>0</v>
      </c>
      <c r="AG65" s="17">
        <f t="shared" si="20"/>
        <v>0</v>
      </c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66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</row>
    <row r="66" spans="1:118" s="19" customFormat="1" ht="18" hidden="1" customHeight="1" outlineLevel="2" x14ac:dyDescent="0.25">
      <c r="A66" s="48" t="s">
        <v>143</v>
      </c>
      <c r="B66" s="53"/>
      <c r="C66" s="64"/>
      <c r="D66" s="68">
        <v>0</v>
      </c>
      <c r="E66" s="68"/>
      <c r="F66" s="68">
        <v>0</v>
      </c>
      <c r="G66" s="68"/>
      <c r="H66" s="68">
        <v>0</v>
      </c>
      <c r="I66" s="68"/>
      <c r="J66" s="68">
        <v>0</v>
      </c>
      <c r="K66" s="68"/>
      <c r="L66" s="68">
        <v>0</v>
      </c>
      <c r="M66" s="68"/>
      <c r="N66" s="68">
        <v>0</v>
      </c>
      <c r="O66" s="68"/>
      <c r="P66" s="68">
        <v>0</v>
      </c>
      <c r="Q66" s="68"/>
      <c r="R66" s="68">
        <v>0</v>
      </c>
      <c r="S66" s="68"/>
      <c r="T66" s="68">
        <v>0</v>
      </c>
      <c r="U66" s="68"/>
      <c r="V66" s="68"/>
      <c r="W66" s="68"/>
      <c r="X66" s="68">
        <v>0</v>
      </c>
      <c r="Y66" s="68"/>
      <c r="Z66" s="68"/>
      <c r="AA66" s="51">
        <f t="shared" si="13"/>
        <v>0</v>
      </c>
      <c r="AB66" s="51">
        <f t="shared" si="14"/>
        <v>0</v>
      </c>
      <c r="AC66" s="22"/>
      <c r="AD66" s="31">
        <f t="shared" si="15"/>
        <v>0</v>
      </c>
      <c r="AE66" s="31">
        <f t="shared" si="16"/>
        <v>0</v>
      </c>
      <c r="AF66" s="17">
        <f t="shared" si="19"/>
        <v>0</v>
      </c>
      <c r="AG66" s="17">
        <f t="shared" si="20"/>
        <v>0</v>
      </c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61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</row>
    <row r="67" spans="1:118" s="19" customFormat="1" ht="18" hidden="1" customHeight="1" outlineLevel="2" x14ac:dyDescent="0.25">
      <c r="A67" s="48" t="s">
        <v>144</v>
      </c>
      <c r="B67" s="53"/>
      <c r="C67" s="64"/>
      <c r="D67" s="68">
        <v>0</v>
      </c>
      <c r="E67" s="68"/>
      <c r="F67" s="68">
        <v>0</v>
      </c>
      <c r="G67" s="68"/>
      <c r="H67" s="68">
        <v>0</v>
      </c>
      <c r="I67" s="68"/>
      <c r="J67" s="68">
        <v>0</v>
      </c>
      <c r="K67" s="68"/>
      <c r="L67" s="68">
        <v>0</v>
      </c>
      <c r="M67" s="68"/>
      <c r="N67" s="68">
        <v>0</v>
      </c>
      <c r="O67" s="68"/>
      <c r="P67" s="68">
        <v>0</v>
      </c>
      <c r="Q67" s="68"/>
      <c r="R67" s="68">
        <v>0</v>
      </c>
      <c r="S67" s="68"/>
      <c r="T67" s="68">
        <v>0</v>
      </c>
      <c r="U67" s="68"/>
      <c r="V67" s="68"/>
      <c r="W67" s="68"/>
      <c r="X67" s="68">
        <v>0</v>
      </c>
      <c r="Y67" s="68"/>
      <c r="Z67" s="68"/>
      <c r="AA67" s="51">
        <f t="shared" si="13"/>
        <v>0</v>
      </c>
      <c r="AB67" s="51">
        <f t="shared" si="14"/>
        <v>0</v>
      </c>
      <c r="AC67" s="22"/>
      <c r="AD67" s="31">
        <f t="shared" si="15"/>
        <v>0</v>
      </c>
      <c r="AE67" s="31">
        <f t="shared" si="16"/>
        <v>0</v>
      </c>
      <c r="AF67" s="17">
        <f t="shared" si="19"/>
        <v>0</v>
      </c>
      <c r="AG67" s="17">
        <f t="shared" si="20"/>
        <v>0</v>
      </c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61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</row>
    <row r="68" spans="1:118" s="19" customFormat="1" ht="18" hidden="1" customHeight="1" outlineLevel="2" x14ac:dyDescent="0.25">
      <c r="A68" s="48" t="s">
        <v>145</v>
      </c>
      <c r="B68" s="53"/>
      <c r="C68" s="64"/>
      <c r="D68" s="68">
        <v>0</v>
      </c>
      <c r="E68" s="68"/>
      <c r="F68" s="68">
        <v>0</v>
      </c>
      <c r="G68" s="68"/>
      <c r="H68" s="68">
        <v>0</v>
      </c>
      <c r="I68" s="68"/>
      <c r="J68" s="68">
        <v>0</v>
      </c>
      <c r="K68" s="68"/>
      <c r="L68" s="68">
        <v>0</v>
      </c>
      <c r="M68" s="68"/>
      <c r="N68" s="68">
        <v>0</v>
      </c>
      <c r="O68" s="68"/>
      <c r="P68" s="68">
        <v>0</v>
      </c>
      <c r="Q68" s="68"/>
      <c r="R68" s="68">
        <v>0</v>
      </c>
      <c r="S68" s="68"/>
      <c r="T68" s="68">
        <v>0</v>
      </c>
      <c r="U68" s="68"/>
      <c r="V68" s="68"/>
      <c r="W68" s="68"/>
      <c r="X68" s="68">
        <v>0</v>
      </c>
      <c r="Y68" s="68"/>
      <c r="Z68" s="68"/>
      <c r="AA68" s="51">
        <f t="shared" si="13"/>
        <v>0</v>
      </c>
      <c r="AB68" s="51">
        <f t="shared" si="14"/>
        <v>0</v>
      </c>
      <c r="AC68" s="22"/>
      <c r="AD68" s="31">
        <f t="shared" si="15"/>
        <v>0</v>
      </c>
      <c r="AE68" s="31">
        <f t="shared" si="16"/>
        <v>0</v>
      </c>
      <c r="AF68" s="17">
        <f t="shared" si="19"/>
        <v>0</v>
      </c>
      <c r="AG68" s="17">
        <f t="shared" si="20"/>
        <v>0</v>
      </c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61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</row>
    <row r="69" spans="1:118" s="19" customFormat="1" ht="18" hidden="1" customHeight="1" outlineLevel="2" x14ac:dyDescent="0.25">
      <c r="A69" s="48" t="s">
        <v>146</v>
      </c>
      <c r="B69" s="53"/>
      <c r="C69" s="64"/>
      <c r="D69" s="68">
        <v>0</v>
      </c>
      <c r="E69" s="68"/>
      <c r="F69" s="68">
        <v>0</v>
      </c>
      <c r="G69" s="68"/>
      <c r="H69" s="68">
        <v>0</v>
      </c>
      <c r="I69" s="68"/>
      <c r="J69" s="68">
        <v>0</v>
      </c>
      <c r="K69" s="68"/>
      <c r="L69" s="68">
        <v>0</v>
      </c>
      <c r="M69" s="68"/>
      <c r="N69" s="68">
        <v>0</v>
      </c>
      <c r="O69" s="68"/>
      <c r="P69" s="68">
        <v>0</v>
      </c>
      <c r="Q69" s="68"/>
      <c r="R69" s="68">
        <v>0</v>
      </c>
      <c r="S69" s="68"/>
      <c r="T69" s="68">
        <v>0</v>
      </c>
      <c r="U69" s="68"/>
      <c r="V69" s="68"/>
      <c r="W69" s="68"/>
      <c r="X69" s="68">
        <v>0</v>
      </c>
      <c r="Y69" s="68"/>
      <c r="Z69" s="68"/>
      <c r="AA69" s="51">
        <f t="shared" si="13"/>
        <v>0</v>
      </c>
      <c r="AB69" s="51">
        <f t="shared" si="14"/>
        <v>0</v>
      </c>
      <c r="AC69" s="22"/>
      <c r="AD69" s="31">
        <f t="shared" si="15"/>
        <v>0</v>
      </c>
      <c r="AE69" s="31">
        <f t="shared" si="16"/>
        <v>0</v>
      </c>
      <c r="AF69" s="17">
        <f t="shared" si="19"/>
        <v>0</v>
      </c>
      <c r="AG69" s="17">
        <f t="shared" si="20"/>
        <v>0</v>
      </c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61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</row>
    <row r="70" spans="1:118" s="19" customFormat="1" ht="18" hidden="1" customHeight="1" outlineLevel="1" x14ac:dyDescent="0.25">
      <c r="A70" s="48" t="s">
        <v>147</v>
      </c>
      <c r="B70" s="53"/>
      <c r="C70" s="64"/>
      <c r="D70" s="68">
        <v>0</v>
      </c>
      <c r="E70" s="68"/>
      <c r="F70" s="68">
        <v>0</v>
      </c>
      <c r="G70" s="68"/>
      <c r="H70" s="68">
        <v>0</v>
      </c>
      <c r="I70" s="68"/>
      <c r="J70" s="68">
        <v>0</v>
      </c>
      <c r="K70" s="68"/>
      <c r="L70" s="68">
        <v>0</v>
      </c>
      <c r="M70" s="68"/>
      <c r="N70" s="68">
        <v>0</v>
      </c>
      <c r="O70" s="68"/>
      <c r="P70" s="68">
        <v>0</v>
      </c>
      <c r="Q70" s="68"/>
      <c r="R70" s="68">
        <v>0</v>
      </c>
      <c r="S70" s="68"/>
      <c r="T70" s="68">
        <v>0</v>
      </c>
      <c r="U70" s="68"/>
      <c r="V70" s="68"/>
      <c r="W70" s="68"/>
      <c r="X70" s="68">
        <v>0</v>
      </c>
      <c r="Y70" s="68"/>
      <c r="Z70" s="68"/>
      <c r="AA70" s="51">
        <f t="shared" si="13"/>
        <v>0</v>
      </c>
      <c r="AB70" s="51">
        <f t="shared" si="14"/>
        <v>0</v>
      </c>
      <c r="AC70" s="22"/>
      <c r="AD70" s="31">
        <f t="shared" si="15"/>
        <v>0</v>
      </c>
      <c r="AE70" s="31">
        <f t="shared" si="16"/>
        <v>0</v>
      </c>
      <c r="AF70" s="17">
        <f t="shared" si="19"/>
        <v>0</v>
      </c>
      <c r="AG70" s="17">
        <f t="shared" si="20"/>
        <v>0</v>
      </c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61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</row>
    <row r="71" spans="1:118" s="19" customFormat="1" ht="18" hidden="1" customHeight="1" outlineLevel="1" x14ac:dyDescent="0.25">
      <c r="A71" s="48" t="s">
        <v>148</v>
      </c>
      <c r="B71" s="53"/>
      <c r="C71" s="64">
        <v>0</v>
      </c>
      <c r="D71" s="68">
        <v>0</v>
      </c>
      <c r="E71" s="68">
        <v>0</v>
      </c>
      <c r="F71" s="68">
        <v>0</v>
      </c>
      <c r="G71" s="68">
        <v>300</v>
      </c>
      <c r="H71" s="68">
        <v>0</v>
      </c>
      <c r="I71" s="68">
        <v>0</v>
      </c>
      <c r="J71" s="68">
        <v>0</v>
      </c>
      <c r="K71" s="68">
        <v>0</v>
      </c>
      <c r="L71" s="68">
        <v>0</v>
      </c>
      <c r="M71" s="68">
        <v>0</v>
      </c>
      <c r="N71" s="68">
        <v>0</v>
      </c>
      <c r="O71" s="68">
        <v>0</v>
      </c>
      <c r="P71" s="68">
        <v>0</v>
      </c>
      <c r="Q71" s="68">
        <v>0</v>
      </c>
      <c r="R71" s="68">
        <v>0</v>
      </c>
      <c r="S71" s="68">
        <v>0</v>
      </c>
      <c r="T71" s="68">
        <v>0</v>
      </c>
      <c r="U71" s="68">
        <v>0</v>
      </c>
      <c r="V71" s="68"/>
      <c r="W71" s="68">
        <v>0</v>
      </c>
      <c r="X71" s="68">
        <v>0</v>
      </c>
      <c r="Y71" s="68"/>
      <c r="Z71" s="68"/>
      <c r="AA71" s="51">
        <f t="shared" si="13"/>
        <v>300</v>
      </c>
      <c r="AB71" s="51">
        <f t="shared" si="14"/>
        <v>0</v>
      </c>
      <c r="AC71" s="22"/>
      <c r="AD71" s="31">
        <f t="shared" si="15"/>
        <v>300</v>
      </c>
      <c r="AE71" s="31">
        <f t="shared" si="16"/>
        <v>0</v>
      </c>
      <c r="AF71" s="17">
        <f t="shared" si="19"/>
        <v>0</v>
      </c>
      <c r="AG71" s="17">
        <f t="shared" si="20"/>
        <v>0</v>
      </c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61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</row>
    <row r="72" spans="1:118" s="19" customFormat="1" ht="18" hidden="1" customHeight="1" outlineLevel="1" x14ac:dyDescent="0.25">
      <c r="A72" s="48" t="s">
        <v>149</v>
      </c>
      <c r="B72" s="53"/>
      <c r="C72" s="64"/>
      <c r="D72" s="68">
        <v>0</v>
      </c>
      <c r="E72" s="68"/>
      <c r="F72" s="68">
        <v>0</v>
      </c>
      <c r="G72" s="68"/>
      <c r="H72" s="68">
        <v>0</v>
      </c>
      <c r="I72" s="68"/>
      <c r="J72" s="68">
        <v>0</v>
      </c>
      <c r="K72" s="68"/>
      <c r="L72" s="68">
        <v>0</v>
      </c>
      <c r="M72" s="68"/>
      <c r="N72" s="68">
        <v>0</v>
      </c>
      <c r="O72" s="68"/>
      <c r="P72" s="68">
        <v>0</v>
      </c>
      <c r="Q72" s="68"/>
      <c r="R72" s="68">
        <v>0</v>
      </c>
      <c r="S72" s="68"/>
      <c r="T72" s="68">
        <v>0</v>
      </c>
      <c r="U72" s="68"/>
      <c r="V72" s="68"/>
      <c r="W72" s="68"/>
      <c r="X72" s="68">
        <v>0</v>
      </c>
      <c r="Y72" s="68"/>
      <c r="Z72" s="68"/>
      <c r="AA72" s="51">
        <f t="shared" si="13"/>
        <v>0</v>
      </c>
      <c r="AB72" s="51">
        <f t="shared" si="14"/>
        <v>0</v>
      </c>
      <c r="AC72" s="22"/>
      <c r="AD72" s="31">
        <f t="shared" si="15"/>
        <v>0</v>
      </c>
      <c r="AE72" s="31">
        <f t="shared" si="16"/>
        <v>0</v>
      </c>
      <c r="AF72" s="17">
        <f t="shared" si="19"/>
        <v>0</v>
      </c>
      <c r="AG72" s="17">
        <f t="shared" si="20"/>
        <v>0</v>
      </c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61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</row>
    <row r="73" spans="1:118" s="19" customFormat="1" ht="18" hidden="1" customHeight="1" outlineLevel="1" x14ac:dyDescent="0.25">
      <c r="A73" s="48" t="s">
        <v>150</v>
      </c>
      <c r="B73" s="53"/>
      <c r="C73" s="64">
        <v>100</v>
      </c>
      <c r="D73" s="68">
        <v>143.87</v>
      </c>
      <c r="E73" s="68">
        <v>100</v>
      </c>
      <c r="F73" s="68">
        <v>63.55</v>
      </c>
      <c r="G73" s="68">
        <v>100</v>
      </c>
      <c r="H73" s="68">
        <v>97.54</v>
      </c>
      <c r="I73" s="68">
        <v>100</v>
      </c>
      <c r="J73" s="68">
        <v>462.26</v>
      </c>
      <c r="K73" s="68">
        <v>100</v>
      </c>
      <c r="L73" s="68">
        <v>30.19</v>
      </c>
      <c r="M73" s="68">
        <v>100</v>
      </c>
      <c r="N73" s="68">
        <v>79.05</v>
      </c>
      <c r="O73" s="68">
        <v>100</v>
      </c>
      <c r="P73" s="68">
        <v>15.28</v>
      </c>
      <c r="Q73" s="68">
        <v>100</v>
      </c>
      <c r="R73" s="68">
        <v>63.02</v>
      </c>
      <c r="S73" s="68">
        <v>100</v>
      </c>
      <c r="T73" s="68">
        <v>10</v>
      </c>
      <c r="U73" s="68">
        <v>100</v>
      </c>
      <c r="V73" s="68">
        <v>26.04</v>
      </c>
      <c r="W73" s="68">
        <v>100</v>
      </c>
      <c r="X73" s="68">
        <v>11.32</v>
      </c>
      <c r="Y73" s="68">
        <v>100</v>
      </c>
      <c r="Z73" s="68"/>
      <c r="AA73" s="51">
        <f t="shared" si="13"/>
        <v>1200</v>
      </c>
      <c r="AB73" s="51">
        <f t="shared" si="14"/>
        <v>1002.12</v>
      </c>
      <c r="AC73" s="22"/>
      <c r="AD73" s="31">
        <f t="shared" si="15"/>
        <v>1200</v>
      </c>
      <c r="AE73" s="31">
        <f t="shared" si="16"/>
        <v>1002.12</v>
      </c>
      <c r="AF73" s="17">
        <f t="shared" si="19"/>
        <v>0</v>
      </c>
      <c r="AG73" s="17">
        <f t="shared" si="20"/>
        <v>0</v>
      </c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61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</row>
    <row r="74" spans="1:118" s="19" customFormat="1" ht="18" hidden="1" customHeight="1" outlineLevel="1" x14ac:dyDescent="0.25">
      <c r="A74" s="48" t="s">
        <v>151</v>
      </c>
      <c r="B74" s="53"/>
      <c r="C74" s="64"/>
      <c r="D74" s="68">
        <v>0</v>
      </c>
      <c r="E74" s="68"/>
      <c r="F74" s="68">
        <v>0</v>
      </c>
      <c r="G74" s="68"/>
      <c r="H74" s="68">
        <v>0</v>
      </c>
      <c r="I74" s="68"/>
      <c r="J74" s="68">
        <v>0</v>
      </c>
      <c r="K74" s="68"/>
      <c r="L74" s="68">
        <v>0</v>
      </c>
      <c r="M74" s="68"/>
      <c r="N74" s="68">
        <v>0</v>
      </c>
      <c r="O74" s="68"/>
      <c r="P74" s="68">
        <v>0</v>
      </c>
      <c r="Q74" s="68"/>
      <c r="R74" s="68">
        <v>0</v>
      </c>
      <c r="S74" s="68"/>
      <c r="T74" s="68">
        <v>0</v>
      </c>
      <c r="U74" s="68"/>
      <c r="V74" s="68"/>
      <c r="W74" s="68"/>
      <c r="X74" s="68">
        <v>0</v>
      </c>
      <c r="Y74" s="68"/>
      <c r="Z74" s="68"/>
      <c r="AA74" s="51">
        <f t="shared" si="13"/>
        <v>0</v>
      </c>
      <c r="AB74" s="51">
        <f t="shared" si="14"/>
        <v>0</v>
      </c>
      <c r="AC74" s="22"/>
      <c r="AD74" s="31">
        <f t="shared" si="15"/>
        <v>0</v>
      </c>
      <c r="AE74" s="31">
        <f t="shared" si="16"/>
        <v>0</v>
      </c>
      <c r="AF74" s="17">
        <f t="shared" si="19"/>
        <v>0</v>
      </c>
      <c r="AG74" s="17">
        <f t="shared" si="20"/>
        <v>0</v>
      </c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61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</row>
    <row r="75" spans="1:118" s="19" customFormat="1" ht="18" hidden="1" customHeight="1" outlineLevel="1" x14ac:dyDescent="0.25">
      <c r="A75" s="48" t="s">
        <v>152</v>
      </c>
      <c r="B75" s="53"/>
      <c r="C75" s="64"/>
      <c r="D75" s="68">
        <v>0</v>
      </c>
      <c r="E75" s="68"/>
      <c r="F75" s="68">
        <v>0</v>
      </c>
      <c r="G75" s="68"/>
      <c r="H75" s="68">
        <v>0</v>
      </c>
      <c r="I75" s="68"/>
      <c r="J75" s="68">
        <v>0</v>
      </c>
      <c r="K75" s="68"/>
      <c r="L75" s="68">
        <v>0</v>
      </c>
      <c r="M75" s="68"/>
      <c r="N75" s="68">
        <v>0</v>
      </c>
      <c r="O75" s="68"/>
      <c r="P75" s="68">
        <v>0</v>
      </c>
      <c r="Q75" s="68"/>
      <c r="R75" s="68">
        <v>0</v>
      </c>
      <c r="S75" s="68"/>
      <c r="T75" s="68">
        <v>0</v>
      </c>
      <c r="U75" s="68"/>
      <c r="V75" s="68"/>
      <c r="W75" s="68"/>
      <c r="X75" s="68">
        <v>0</v>
      </c>
      <c r="Y75" s="68"/>
      <c r="Z75" s="68"/>
      <c r="AA75" s="51">
        <f t="shared" si="13"/>
        <v>0</v>
      </c>
      <c r="AB75" s="51">
        <f t="shared" si="14"/>
        <v>0</v>
      </c>
      <c r="AC75" s="22"/>
      <c r="AD75" s="31">
        <f t="shared" si="15"/>
        <v>0</v>
      </c>
      <c r="AE75" s="31">
        <f t="shared" si="16"/>
        <v>0</v>
      </c>
      <c r="AF75" s="17">
        <f t="shared" si="19"/>
        <v>0</v>
      </c>
      <c r="AG75" s="17">
        <f t="shared" si="20"/>
        <v>0</v>
      </c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61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</row>
    <row r="76" spans="1:118" s="19" customFormat="1" ht="18" hidden="1" customHeight="1" outlineLevel="1" x14ac:dyDescent="0.25">
      <c r="A76" s="48" t="s">
        <v>153</v>
      </c>
      <c r="B76" s="53"/>
      <c r="C76" s="64"/>
      <c r="D76" s="68">
        <v>0</v>
      </c>
      <c r="E76" s="68"/>
      <c r="F76" s="68">
        <v>0</v>
      </c>
      <c r="G76" s="68"/>
      <c r="H76" s="68">
        <v>0</v>
      </c>
      <c r="I76" s="68"/>
      <c r="J76" s="68">
        <v>0</v>
      </c>
      <c r="K76" s="68"/>
      <c r="L76" s="68">
        <v>0</v>
      </c>
      <c r="M76" s="68"/>
      <c r="N76" s="68">
        <v>0</v>
      </c>
      <c r="O76" s="68"/>
      <c r="P76" s="68">
        <v>0</v>
      </c>
      <c r="Q76" s="68"/>
      <c r="R76" s="68">
        <v>0</v>
      </c>
      <c r="S76" s="68"/>
      <c r="T76" s="68">
        <v>0</v>
      </c>
      <c r="U76" s="68"/>
      <c r="V76" s="68"/>
      <c r="W76" s="68"/>
      <c r="X76" s="68">
        <v>0</v>
      </c>
      <c r="Y76" s="68"/>
      <c r="Z76" s="68"/>
      <c r="AA76" s="51">
        <f t="shared" si="13"/>
        <v>0</v>
      </c>
      <c r="AB76" s="51">
        <f t="shared" si="14"/>
        <v>0</v>
      </c>
      <c r="AC76" s="22"/>
      <c r="AD76" s="31">
        <f t="shared" si="15"/>
        <v>0</v>
      </c>
      <c r="AE76" s="31">
        <f t="shared" si="16"/>
        <v>0</v>
      </c>
      <c r="AF76" s="17">
        <f t="shared" si="19"/>
        <v>0</v>
      </c>
      <c r="AG76" s="17">
        <f t="shared" si="20"/>
        <v>0</v>
      </c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61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</row>
    <row r="77" spans="1:118" s="19" customFormat="1" ht="18" hidden="1" customHeight="1" outlineLevel="1" x14ac:dyDescent="0.25">
      <c r="A77" s="48" t="s">
        <v>154</v>
      </c>
      <c r="B77" s="53"/>
      <c r="C77" s="64">
        <v>4500</v>
      </c>
      <c r="D77" s="68">
        <v>30000</v>
      </c>
      <c r="E77" s="68">
        <v>4500</v>
      </c>
      <c r="F77" s="68">
        <v>0</v>
      </c>
      <c r="G77" s="68">
        <v>4500</v>
      </c>
      <c r="H77" s="68">
        <v>0</v>
      </c>
      <c r="I77" s="68">
        <v>4500</v>
      </c>
      <c r="J77" s="68">
        <v>0</v>
      </c>
      <c r="K77" s="68">
        <v>4500</v>
      </c>
      <c r="L77" s="68">
        <v>0</v>
      </c>
      <c r="M77" s="68">
        <v>4500</v>
      </c>
      <c r="N77" s="68">
        <v>0</v>
      </c>
      <c r="O77" s="68">
        <v>4500</v>
      </c>
      <c r="P77" s="68">
        <v>0</v>
      </c>
      <c r="Q77" s="68">
        <v>4500</v>
      </c>
      <c r="R77" s="68">
        <v>0</v>
      </c>
      <c r="S77" s="68">
        <v>4500</v>
      </c>
      <c r="T77" s="68">
        <v>0</v>
      </c>
      <c r="U77" s="68">
        <v>4500</v>
      </c>
      <c r="V77" s="68"/>
      <c r="W77" s="68">
        <v>4500</v>
      </c>
      <c r="X77" s="68">
        <v>0</v>
      </c>
      <c r="Y77" s="68">
        <v>4500</v>
      </c>
      <c r="Z77" s="68"/>
      <c r="AA77" s="51">
        <f t="shared" si="13"/>
        <v>54000</v>
      </c>
      <c r="AB77" s="51">
        <f t="shared" si="14"/>
        <v>30000</v>
      </c>
      <c r="AC77" s="22"/>
      <c r="AD77" s="31">
        <f t="shared" si="15"/>
        <v>54000</v>
      </c>
      <c r="AE77" s="31">
        <f t="shared" si="16"/>
        <v>30000</v>
      </c>
      <c r="AF77" s="17">
        <f t="shared" si="19"/>
        <v>0</v>
      </c>
      <c r="AG77" s="17">
        <f t="shared" si="20"/>
        <v>0</v>
      </c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61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</row>
    <row r="78" spans="1:118" s="19" customFormat="1" ht="18" hidden="1" customHeight="1" outlineLevel="1" x14ac:dyDescent="0.25">
      <c r="A78" s="48" t="s">
        <v>155</v>
      </c>
      <c r="B78" s="53"/>
      <c r="C78" s="64"/>
      <c r="D78" s="68">
        <v>0</v>
      </c>
      <c r="E78" s="68"/>
      <c r="F78" s="68">
        <v>0</v>
      </c>
      <c r="G78" s="68"/>
      <c r="H78" s="68">
        <v>0</v>
      </c>
      <c r="I78" s="68"/>
      <c r="J78" s="68">
        <v>0</v>
      </c>
      <c r="K78" s="68"/>
      <c r="L78" s="68">
        <v>0</v>
      </c>
      <c r="M78" s="68"/>
      <c r="N78" s="68">
        <v>0</v>
      </c>
      <c r="O78" s="68"/>
      <c r="P78" s="68">
        <v>0</v>
      </c>
      <c r="Q78" s="68"/>
      <c r="R78" s="68">
        <v>0</v>
      </c>
      <c r="S78" s="68"/>
      <c r="T78" s="68">
        <v>0</v>
      </c>
      <c r="U78" s="68"/>
      <c r="V78" s="68"/>
      <c r="W78" s="68"/>
      <c r="X78" s="68">
        <v>0</v>
      </c>
      <c r="Y78" s="68"/>
      <c r="Z78" s="68"/>
      <c r="AA78" s="51">
        <f t="shared" si="13"/>
        <v>0</v>
      </c>
      <c r="AB78" s="51">
        <f t="shared" si="14"/>
        <v>0</v>
      </c>
      <c r="AC78" s="22"/>
      <c r="AD78" s="31">
        <f t="shared" si="15"/>
        <v>0</v>
      </c>
      <c r="AE78" s="31">
        <f t="shared" si="16"/>
        <v>0</v>
      </c>
      <c r="AF78" s="17">
        <f t="shared" si="19"/>
        <v>0</v>
      </c>
      <c r="AG78" s="17">
        <f t="shared" si="20"/>
        <v>0</v>
      </c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61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</row>
    <row r="79" spans="1:118" s="19" customFormat="1" ht="18" hidden="1" customHeight="1" outlineLevel="1" x14ac:dyDescent="0.25">
      <c r="A79" s="48" t="s">
        <v>156</v>
      </c>
      <c r="B79" s="53"/>
      <c r="C79" s="64"/>
      <c r="D79" s="68">
        <v>0</v>
      </c>
      <c r="E79" s="68"/>
      <c r="F79" s="68">
        <v>0</v>
      </c>
      <c r="G79" s="68"/>
      <c r="H79" s="68">
        <v>0</v>
      </c>
      <c r="I79" s="68"/>
      <c r="J79" s="68">
        <v>0</v>
      </c>
      <c r="K79" s="68"/>
      <c r="L79" s="68">
        <v>0</v>
      </c>
      <c r="M79" s="68"/>
      <c r="N79" s="68">
        <v>0</v>
      </c>
      <c r="O79" s="68"/>
      <c r="P79" s="68">
        <v>0</v>
      </c>
      <c r="Q79" s="68"/>
      <c r="R79" s="68">
        <v>0</v>
      </c>
      <c r="S79" s="68"/>
      <c r="T79" s="68">
        <v>0</v>
      </c>
      <c r="U79" s="68"/>
      <c r="V79" s="68"/>
      <c r="W79" s="68"/>
      <c r="X79" s="68">
        <v>0</v>
      </c>
      <c r="Y79" s="68"/>
      <c r="Z79" s="68"/>
      <c r="AA79" s="51">
        <f t="shared" si="13"/>
        <v>0</v>
      </c>
      <c r="AB79" s="51">
        <f t="shared" si="14"/>
        <v>0</v>
      </c>
      <c r="AC79" s="22"/>
      <c r="AD79" s="31">
        <f t="shared" si="15"/>
        <v>0</v>
      </c>
      <c r="AE79" s="31">
        <f t="shared" si="16"/>
        <v>0</v>
      </c>
      <c r="AF79" s="17">
        <f t="shared" si="19"/>
        <v>0</v>
      </c>
      <c r="AG79" s="17">
        <f t="shared" si="20"/>
        <v>0</v>
      </c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61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</row>
    <row r="80" spans="1:118" s="19" customFormat="1" ht="18" hidden="1" customHeight="1" outlineLevel="1" x14ac:dyDescent="0.25">
      <c r="A80" s="48" t="s">
        <v>157</v>
      </c>
      <c r="B80" s="53"/>
      <c r="C80" s="64"/>
      <c r="D80" s="68">
        <v>0</v>
      </c>
      <c r="E80" s="68"/>
      <c r="F80" s="68">
        <v>0</v>
      </c>
      <c r="G80" s="68"/>
      <c r="H80" s="68">
        <v>672.6</v>
      </c>
      <c r="I80" s="68"/>
      <c r="J80" s="68">
        <v>0</v>
      </c>
      <c r="K80" s="68"/>
      <c r="L80" s="68">
        <v>0</v>
      </c>
      <c r="M80" s="68"/>
      <c r="N80" s="68">
        <v>0</v>
      </c>
      <c r="O80" s="68"/>
      <c r="P80" s="68">
        <v>0</v>
      </c>
      <c r="Q80" s="68"/>
      <c r="R80" s="68">
        <v>0</v>
      </c>
      <c r="S80" s="68"/>
      <c r="T80" s="68">
        <v>0</v>
      </c>
      <c r="U80" s="68"/>
      <c r="V80" s="68"/>
      <c r="W80" s="68"/>
      <c r="X80" s="68">
        <v>0</v>
      </c>
      <c r="Y80" s="68"/>
      <c r="Z80" s="68"/>
      <c r="AA80" s="51">
        <f t="shared" si="13"/>
        <v>0</v>
      </c>
      <c r="AB80" s="51">
        <f t="shared" si="14"/>
        <v>672.6</v>
      </c>
      <c r="AC80" s="22"/>
      <c r="AD80" s="31">
        <f t="shared" si="15"/>
        <v>0</v>
      </c>
      <c r="AE80" s="31">
        <f t="shared" si="16"/>
        <v>672.6</v>
      </c>
      <c r="AF80" s="17">
        <f t="shared" si="19"/>
        <v>0</v>
      </c>
      <c r="AG80" s="17">
        <f t="shared" si="20"/>
        <v>0</v>
      </c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61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</row>
    <row r="81" spans="1:118" s="19" customFormat="1" ht="18" hidden="1" customHeight="1" outlineLevel="1" x14ac:dyDescent="0.25">
      <c r="A81" s="48" t="s">
        <v>158</v>
      </c>
      <c r="B81" s="53"/>
      <c r="C81" s="64"/>
      <c r="D81" s="68">
        <v>0</v>
      </c>
      <c r="E81" s="68"/>
      <c r="F81" s="68">
        <v>0</v>
      </c>
      <c r="G81" s="68"/>
      <c r="H81" s="68">
        <v>0</v>
      </c>
      <c r="I81" s="68"/>
      <c r="J81" s="68">
        <v>0</v>
      </c>
      <c r="K81" s="68"/>
      <c r="L81" s="68">
        <v>0</v>
      </c>
      <c r="M81" s="68"/>
      <c r="N81" s="68">
        <v>0</v>
      </c>
      <c r="O81" s="68"/>
      <c r="P81" s="68">
        <v>0</v>
      </c>
      <c r="Q81" s="68"/>
      <c r="R81" s="68">
        <v>0</v>
      </c>
      <c r="S81" s="68"/>
      <c r="T81" s="68">
        <v>0</v>
      </c>
      <c r="U81" s="68"/>
      <c r="V81" s="68"/>
      <c r="W81" s="68"/>
      <c r="X81" s="68">
        <v>0</v>
      </c>
      <c r="Y81" s="68"/>
      <c r="Z81" s="68"/>
      <c r="AA81" s="51">
        <f t="shared" si="13"/>
        <v>0</v>
      </c>
      <c r="AB81" s="51">
        <f t="shared" si="14"/>
        <v>0</v>
      </c>
      <c r="AC81" s="22"/>
      <c r="AD81" s="31">
        <f t="shared" si="15"/>
        <v>0</v>
      </c>
      <c r="AE81" s="31">
        <f t="shared" si="16"/>
        <v>0</v>
      </c>
      <c r="AF81" s="17">
        <f t="shared" si="19"/>
        <v>0</v>
      </c>
      <c r="AG81" s="17">
        <f t="shared" si="20"/>
        <v>0</v>
      </c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61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</row>
    <row r="82" spans="1:118" s="19" customFormat="1" ht="18" hidden="1" customHeight="1" outlineLevel="1" x14ac:dyDescent="0.25">
      <c r="A82" s="48" t="s">
        <v>159</v>
      </c>
      <c r="B82" s="53"/>
      <c r="C82" s="64"/>
      <c r="D82" s="68">
        <v>0</v>
      </c>
      <c r="E82" s="68"/>
      <c r="F82" s="68">
        <v>0</v>
      </c>
      <c r="G82" s="68"/>
      <c r="H82" s="68">
        <v>0</v>
      </c>
      <c r="I82" s="68"/>
      <c r="J82" s="68">
        <v>0</v>
      </c>
      <c r="K82" s="68"/>
      <c r="L82" s="68">
        <v>0</v>
      </c>
      <c r="M82" s="68"/>
      <c r="N82" s="68">
        <v>0</v>
      </c>
      <c r="O82" s="68"/>
      <c r="P82" s="68">
        <v>0</v>
      </c>
      <c r="Q82" s="68"/>
      <c r="R82" s="68">
        <v>0</v>
      </c>
      <c r="S82" s="68"/>
      <c r="T82" s="68">
        <v>0</v>
      </c>
      <c r="U82" s="68"/>
      <c r="V82" s="68"/>
      <c r="W82" s="68"/>
      <c r="X82" s="68">
        <v>0</v>
      </c>
      <c r="Y82" s="68"/>
      <c r="Z82" s="68"/>
      <c r="AA82" s="51">
        <f t="shared" si="13"/>
        <v>0</v>
      </c>
      <c r="AB82" s="51">
        <f t="shared" si="14"/>
        <v>0</v>
      </c>
      <c r="AC82" s="22"/>
      <c r="AD82" s="31">
        <f t="shared" si="15"/>
        <v>0</v>
      </c>
      <c r="AE82" s="31">
        <f t="shared" si="16"/>
        <v>0</v>
      </c>
      <c r="AF82" s="17">
        <f t="shared" si="19"/>
        <v>0</v>
      </c>
      <c r="AG82" s="17">
        <f t="shared" si="20"/>
        <v>0</v>
      </c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61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</row>
    <row r="83" spans="1:118" s="19" customFormat="1" ht="18" hidden="1" customHeight="1" outlineLevel="1" x14ac:dyDescent="0.25">
      <c r="A83" s="48" t="s">
        <v>160</v>
      </c>
      <c r="B83" s="53"/>
      <c r="C83" s="64"/>
      <c r="D83" s="68">
        <v>0</v>
      </c>
      <c r="E83" s="68"/>
      <c r="F83" s="68">
        <v>0</v>
      </c>
      <c r="G83" s="68"/>
      <c r="H83" s="68">
        <v>0</v>
      </c>
      <c r="I83" s="68"/>
      <c r="J83" s="68">
        <v>0</v>
      </c>
      <c r="K83" s="68"/>
      <c r="L83" s="68">
        <v>0</v>
      </c>
      <c r="M83" s="68"/>
      <c r="N83" s="68">
        <v>0</v>
      </c>
      <c r="O83" s="68"/>
      <c r="P83" s="68">
        <v>0</v>
      </c>
      <c r="Q83" s="68"/>
      <c r="R83" s="68">
        <v>0</v>
      </c>
      <c r="S83" s="68"/>
      <c r="T83" s="68">
        <v>0</v>
      </c>
      <c r="U83" s="68"/>
      <c r="V83" s="68"/>
      <c r="W83" s="68"/>
      <c r="X83" s="68">
        <v>0</v>
      </c>
      <c r="Y83" s="68"/>
      <c r="Z83" s="68"/>
      <c r="AA83" s="51">
        <f t="shared" si="13"/>
        <v>0</v>
      </c>
      <c r="AB83" s="51">
        <f t="shared" si="14"/>
        <v>0</v>
      </c>
      <c r="AC83" s="22"/>
      <c r="AD83" s="31">
        <f t="shared" si="15"/>
        <v>0</v>
      </c>
      <c r="AE83" s="31">
        <f t="shared" si="16"/>
        <v>0</v>
      </c>
      <c r="AF83" s="17">
        <f t="shared" si="19"/>
        <v>0</v>
      </c>
      <c r="AG83" s="17">
        <f t="shared" si="20"/>
        <v>0</v>
      </c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61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</row>
    <row r="84" spans="1:118" s="19" customFormat="1" ht="18" hidden="1" customHeight="1" outlineLevel="1" x14ac:dyDescent="0.25">
      <c r="A84" s="48" t="s">
        <v>161</v>
      </c>
      <c r="B84" s="53"/>
      <c r="C84" s="64">
        <v>500</v>
      </c>
      <c r="D84" s="68">
        <v>974.65</v>
      </c>
      <c r="E84" s="68">
        <v>500</v>
      </c>
      <c r="F84" s="68">
        <v>185.47</v>
      </c>
      <c r="G84" s="68">
        <v>500</v>
      </c>
      <c r="H84" s="68">
        <v>47.82</v>
      </c>
      <c r="I84" s="68">
        <v>500</v>
      </c>
      <c r="J84" s="68">
        <v>383.14</v>
      </c>
      <c r="K84" s="68">
        <v>500</v>
      </c>
      <c r="L84" s="68">
        <v>104.18</v>
      </c>
      <c r="M84" s="68">
        <v>500</v>
      </c>
      <c r="N84" s="68">
        <v>179.47</v>
      </c>
      <c r="O84" s="68">
        <v>500</v>
      </c>
      <c r="P84" s="68">
        <v>19.07</v>
      </c>
      <c r="Q84" s="68">
        <v>500</v>
      </c>
      <c r="R84" s="68">
        <v>228.24</v>
      </c>
      <c r="S84" s="68">
        <v>500</v>
      </c>
      <c r="T84" s="68">
        <v>76.81</v>
      </c>
      <c r="U84" s="68">
        <v>500</v>
      </c>
      <c r="V84" s="68">
        <v>65.81</v>
      </c>
      <c r="W84" s="68">
        <v>500</v>
      </c>
      <c r="X84" s="68">
        <v>117.6</v>
      </c>
      <c r="Y84" s="68">
        <v>500</v>
      </c>
      <c r="Z84" s="68"/>
      <c r="AA84" s="51">
        <f t="shared" si="13"/>
        <v>6000</v>
      </c>
      <c r="AB84" s="51">
        <f t="shared" si="14"/>
        <v>2382.2600000000002</v>
      </c>
      <c r="AC84" s="22"/>
      <c r="AD84" s="31">
        <f t="shared" si="15"/>
        <v>6000</v>
      </c>
      <c r="AE84" s="31">
        <f t="shared" si="16"/>
        <v>2382.2600000000002</v>
      </c>
      <c r="AF84" s="17">
        <f t="shared" si="19"/>
        <v>0</v>
      </c>
      <c r="AG84" s="17">
        <f t="shared" si="20"/>
        <v>0</v>
      </c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61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</row>
    <row r="85" spans="1:118" s="19" customFormat="1" ht="18" hidden="1" customHeight="1" outlineLevel="1" x14ac:dyDescent="0.25">
      <c r="A85" s="48" t="s">
        <v>162</v>
      </c>
      <c r="B85" s="53"/>
      <c r="C85" s="64"/>
      <c r="D85" s="68">
        <v>0</v>
      </c>
      <c r="E85" s="68">
        <v>0</v>
      </c>
      <c r="F85" s="68">
        <v>0</v>
      </c>
      <c r="G85" s="68"/>
      <c r="H85" s="68">
        <v>0</v>
      </c>
      <c r="I85" s="68"/>
      <c r="J85" s="68">
        <v>0</v>
      </c>
      <c r="K85" s="68"/>
      <c r="L85" s="68">
        <v>0</v>
      </c>
      <c r="M85" s="68"/>
      <c r="N85" s="68">
        <v>0</v>
      </c>
      <c r="O85" s="68">
        <v>0</v>
      </c>
      <c r="P85" s="68">
        <v>0</v>
      </c>
      <c r="Q85" s="68">
        <v>0</v>
      </c>
      <c r="R85" s="68">
        <v>0</v>
      </c>
      <c r="S85" s="68">
        <v>0</v>
      </c>
      <c r="T85" s="68">
        <v>0</v>
      </c>
      <c r="U85" s="68">
        <v>0</v>
      </c>
      <c r="V85" s="68"/>
      <c r="W85" s="68">
        <v>0</v>
      </c>
      <c r="X85" s="68">
        <v>0</v>
      </c>
      <c r="Y85" s="68"/>
      <c r="Z85" s="68"/>
      <c r="AA85" s="51">
        <f t="shared" si="13"/>
        <v>0</v>
      </c>
      <c r="AB85" s="51">
        <f t="shared" si="14"/>
        <v>0</v>
      </c>
      <c r="AC85" s="22"/>
      <c r="AD85" s="31">
        <f t="shared" si="15"/>
        <v>0</v>
      </c>
      <c r="AE85" s="31">
        <f t="shared" si="16"/>
        <v>0</v>
      </c>
      <c r="AF85" s="17">
        <f t="shared" si="19"/>
        <v>0</v>
      </c>
      <c r="AG85" s="17">
        <f t="shared" si="20"/>
        <v>0</v>
      </c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61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</row>
    <row r="86" spans="1:118" s="19" customFormat="1" ht="18" hidden="1" customHeight="1" outlineLevel="1" x14ac:dyDescent="0.25">
      <c r="A86" s="48" t="s">
        <v>163</v>
      </c>
      <c r="B86" s="53"/>
      <c r="C86" s="64"/>
      <c r="D86" s="68">
        <v>0</v>
      </c>
      <c r="E86" s="68"/>
      <c r="F86" s="68">
        <v>0</v>
      </c>
      <c r="G86" s="68">
        <v>0</v>
      </c>
      <c r="H86" s="68">
        <v>0</v>
      </c>
      <c r="I86" s="68"/>
      <c r="J86" s="68">
        <v>0</v>
      </c>
      <c r="K86" s="68"/>
      <c r="L86" s="68">
        <v>0</v>
      </c>
      <c r="M86" s="68"/>
      <c r="N86" s="68">
        <v>0</v>
      </c>
      <c r="O86" s="68"/>
      <c r="P86" s="68">
        <v>0</v>
      </c>
      <c r="Q86" s="68"/>
      <c r="R86" s="68">
        <v>0</v>
      </c>
      <c r="S86" s="68">
        <v>0</v>
      </c>
      <c r="T86" s="68">
        <v>0</v>
      </c>
      <c r="U86" s="68"/>
      <c r="V86" s="68"/>
      <c r="W86" s="68"/>
      <c r="X86" s="68">
        <v>0</v>
      </c>
      <c r="Y86" s="68"/>
      <c r="Z86" s="68"/>
      <c r="AA86" s="51">
        <f t="shared" si="13"/>
        <v>0</v>
      </c>
      <c r="AB86" s="51">
        <f t="shared" si="14"/>
        <v>0</v>
      </c>
      <c r="AC86" s="22"/>
      <c r="AD86" s="31">
        <f t="shared" si="15"/>
        <v>0</v>
      </c>
      <c r="AE86" s="31">
        <f t="shared" si="16"/>
        <v>0</v>
      </c>
      <c r="AF86" s="17">
        <f t="shared" si="19"/>
        <v>0</v>
      </c>
      <c r="AG86" s="17">
        <f t="shared" si="20"/>
        <v>0</v>
      </c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61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</row>
    <row r="87" spans="1:118" s="19" customFormat="1" ht="18" hidden="1" customHeight="1" outlineLevel="1" x14ac:dyDescent="0.25">
      <c r="A87" s="48" t="s">
        <v>164</v>
      </c>
      <c r="B87" s="53"/>
      <c r="C87" s="64"/>
      <c r="D87" s="68">
        <v>0</v>
      </c>
      <c r="E87" s="68"/>
      <c r="F87" s="68">
        <v>0</v>
      </c>
      <c r="G87" s="68"/>
      <c r="H87" s="68">
        <v>0</v>
      </c>
      <c r="I87" s="68"/>
      <c r="J87" s="68">
        <v>304.72000000000003</v>
      </c>
      <c r="K87" s="68"/>
      <c r="L87" s="68">
        <v>0</v>
      </c>
      <c r="M87" s="68"/>
      <c r="N87" s="68">
        <v>0</v>
      </c>
      <c r="O87" s="68"/>
      <c r="P87" s="68">
        <v>0</v>
      </c>
      <c r="Q87" s="68"/>
      <c r="R87" s="68">
        <v>0</v>
      </c>
      <c r="S87" s="68"/>
      <c r="T87" s="68">
        <v>0</v>
      </c>
      <c r="U87" s="68"/>
      <c r="V87" s="68"/>
      <c r="W87" s="68"/>
      <c r="X87" s="68">
        <v>0</v>
      </c>
      <c r="Y87" s="68"/>
      <c r="Z87" s="68"/>
      <c r="AA87" s="51">
        <f t="shared" si="13"/>
        <v>0</v>
      </c>
      <c r="AB87" s="51">
        <f t="shared" si="14"/>
        <v>304.72000000000003</v>
      </c>
      <c r="AC87" s="22"/>
      <c r="AD87" s="31">
        <f t="shared" si="15"/>
        <v>0</v>
      </c>
      <c r="AE87" s="31">
        <f t="shared" si="16"/>
        <v>304.72000000000003</v>
      </c>
      <c r="AF87" s="17">
        <f t="shared" si="19"/>
        <v>0</v>
      </c>
      <c r="AG87" s="17">
        <f t="shared" si="20"/>
        <v>0</v>
      </c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61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</row>
    <row r="88" spans="1:118" s="19" customFormat="1" ht="18" hidden="1" customHeight="1" outlineLevel="1" x14ac:dyDescent="0.25">
      <c r="A88" s="48" t="s">
        <v>165</v>
      </c>
      <c r="B88" s="53"/>
      <c r="C88" s="64"/>
      <c r="D88" s="68">
        <v>0</v>
      </c>
      <c r="E88" s="68"/>
      <c r="F88" s="68">
        <v>0</v>
      </c>
      <c r="G88" s="68"/>
      <c r="H88" s="68">
        <v>0</v>
      </c>
      <c r="I88" s="68"/>
      <c r="J88" s="68">
        <v>0</v>
      </c>
      <c r="K88" s="68"/>
      <c r="L88" s="68">
        <v>0</v>
      </c>
      <c r="M88" s="68"/>
      <c r="N88" s="68">
        <v>0</v>
      </c>
      <c r="O88" s="68"/>
      <c r="P88" s="68">
        <v>0</v>
      </c>
      <c r="Q88" s="68"/>
      <c r="R88" s="68">
        <v>0</v>
      </c>
      <c r="S88" s="68"/>
      <c r="T88" s="68">
        <v>0</v>
      </c>
      <c r="U88" s="68"/>
      <c r="V88" s="68"/>
      <c r="W88" s="68"/>
      <c r="X88" s="68">
        <v>0</v>
      </c>
      <c r="Y88" s="68"/>
      <c r="Z88" s="68"/>
      <c r="AA88" s="51">
        <f t="shared" si="13"/>
        <v>0</v>
      </c>
      <c r="AB88" s="51">
        <f t="shared" si="14"/>
        <v>0</v>
      </c>
      <c r="AC88" s="22"/>
      <c r="AD88" s="31">
        <f t="shared" si="15"/>
        <v>0</v>
      </c>
      <c r="AE88" s="31">
        <f t="shared" si="16"/>
        <v>0</v>
      </c>
      <c r="AF88" s="17">
        <f t="shared" si="19"/>
        <v>0</v>
      </c>
      <c r="AG88" s="17">
        <f t="shared" si="20"/>
        <v>0</v>
      </c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61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</row>
    <row r="89" spans="1:118" s="19" customFormat="1" ht="18" hidden="1" customHeight="1" outlineLevel="1" x14ac:dyDescent="0.25">
      <c r="A89" s="48" t="s">
        <v>166</v>
      </c>
      <c r="B89" s="53"/>
      <c r="C89" s="64"/>
      <c r="D89" s="68">
        <v>0</v>
      </c>
      <c r="E89" s="68"/>
      <c r="F89" s="68">
        <v>0</v>
      </c>
      <c r="G89" s="68"/>
      <c r="H89" s="68">
        <v>0</v>
      </c>
      <c r="I89" s="68"/>
      <c r="J89" s="68">
        <v>0</v>
      </c>
      <c r="K89" s="68"/>
      <c r="L89" s="68">
        <v>0</v>
      </c>
      <c r="M89" s="68"/>
      <c r="N89" s="68">
        <v>0</v>
      </c>
      <c r="O89" s="68"/>
      <c r="P89" s="68">
        <v>0</v>
      </c>
      <c r="Q89" s="68"/>
      <c r="R89" s="68">
        <v>0</v>
      </c>
      <c r="S89" s="68"/>
      <c r="T89" s="68">
        <v>0</v>
      </c>
      <c r="U89" s="68"/>
      <c r="V89" s="68"/>
      <c r="W89" s="68"/>
      <c r="X89" s="68">
        <v>0</v>
      </c>
      <c r="Y89" s="68"/>
      <c r="Z89" s="68"/>
      <c r="AA89" s="51">
        <f t="shared" si="13"/>
        <v>0</v>
      </c>
      <c r="AB89" s="51">
        <f t="shared" si="14"/>
        <v>0</v>
      </c>
      <c r="AC89" s="22"/>
      <c r="AD89" s="31">
        <f t="shared" si="15"/>
        <v>0</v>
      </c>
      <c r="AE89" s="31">
        <f t="shared" si="16"/>
        <v>0</v>
      </c>
      <c r="AF89" s="17">
        <f t="shared" si="19"/>
        <v>0</v>
      </c>
      <c r="AG89" s="17">
        <f t="shared" si="20"/>
        <v>0</v>
      </c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61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</row>
    <row r="90" spans="1:118" s="19" customFormat="1" ht="18" hidden="1" customHeight="1" outlineLevel="1" x14ac:dyDescent="0.25">
      <c r="A90" s="48" t="s">
        <v>167</v>
      </c>
      <c r="B90" s="53"/>
      <c r="C90" s="64"/>
      <c r="D90" s="68">
        <v>0</v>
      </c>
      <c r="E90" s="68"/>
      <c r="F90" s="68">
        <v>0</v>
      </c>
      <c r="G90" s="68"/>
      <c r="H90" s="68">
        <v>0</v>
      </c>
      <c r="I90" s="68"/>
      <c r="J90" s="68">
        <v>0</v>
      </c>
      <c r="K90" s="68"/>
      <c r="L90" s="68">
        <v>0</v>
      </c>
      <c r="M90" s="68"/>
      <c r="N90" s="68">
        <v>0</v>
      </c>
      <c r="O90" s="68"/>
      <c r="P90" s="68">
        <v>0</v>
      </c>
      <c r="Q90" s="68"/>
      <c r="R90" s="68">
        <v>0</v>
      </c>
      <c r="S90" s="68"/>
      <c r="T90" s="68">
        <v>0</v>
      </c>
      <c r="U90" s="68"/>
      <c r="V90" s="68"/>
      <c r="W90" s="68"/>
      <c r="X90" s="68">
        <v>0</v>
      </c>
      <c r="Y90" s="68"/>
      <c r="Z90" s="68"/>
      <c r="AA90" s="51">
        <f t="shared" si="13"/>
        <v>0</v>
      </c>
      <c r="AB90" s="51">
        <f t="shared" si="14"/>
        <v>0</v>
      </c>
      <c r="AC90" s="22"/>
      <c r="AD90" s="31">
        <f t="shared" si="15"/>
        <v>0</v>
      </c>
      <c r="AE90" s="31">
        <f t="shared" si="16"/>
        <v>0</v>
      </c>
      <c r="AF90" s="17">
        <f t="shared" si="19"/>
        <v>0</v>
      </c>
      <c r="AG90" s="17">
        <f t="shared" si="20"/>
        <v>0</v>
      </c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61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</row>
    <row r="91" spans="1:118" s="19" customFormat="1" ht="18" hidden="1" customHeight="1" outlineLevel="1" x14ac:dyDescent="0.25">
      <c r="A91" s="48" t="s">
        <v>168</v>
      </c>
      <c r="B91" s="53"/>
      <c r="C91" s="64"/>
      <c r="D91" s="68">
        <v>0</v>
      </c>
      <c r="E91" s="68"/>
      <c r="F91" s="68">
        <v>0</v>
      </c>
      <c r="G91" s="68"/>
      <c r="H91" s="68">
        <v>0</v>
      </c>
      <c r="I91" s="68"/>
      <c r="J91" s="68">
        <v>-6670</v>
      </c>
      <c r="K91" s="68"/>
      <c r="L91" s="68">
        <v>0</v>
      </c>
      <c r="M91" s="68"/>
      <c r="N91" s="68">
        <v>0</v>
      </c>
      <c r="O91" s="68"/>
      <c r="P91" s="68">
        <v>0</v>
      </c>
      <c r="Q91" s="68"/>
      <c r="R91" s="68">
        <v>0</v>
      </c>
      <c r="S91" s="68"/>
      <c r="T91" s="68">
        <v>0</v>
      </c>
      <c r="U91" s="68"/>
      <c r="V91" s="68"/>
      <c r="W91" s="68"/>
      <c r="X91" s="68">
        <v>0</v>
      </c>
      <c r="Y91" s="68"/>
      <c r="Z91" s="68"/>
      <c r="AA91" s="51">
        <f t="shared" si="13"/>
        <v>0</v>
      </c>
      <c r="AB91" s="51">
        <f t="shared" si="14"/>
        <v>-6670</v>
      </c>
      <c r="AC91" s="22"/>
      <c r="AD91" s="31">
        <f t="shared" si="15"/>
        <v>0</v>
      </c>
      <c r="AE91" s="31">
        <f t="shared" si="16"/>
        <v>-6670</v>
      </c>
      <c r="AF91" s="17">
        <f t="shared" si="19"/>
        <v>0</v>
      </c>
      <c r="AG91" s="17">
        <f t="shared" si="20"/>
        <v>0</v>
      </c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61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</row>
    <row r="92" spans="1:118" s="19" customFormat="1" ht="18" hidden="1" customHeight="1" outlineLevel="1" x14ac:dyDescent="0.25">
      <c r="A92" s="48" t="s">
        <v>169</v>
      </c>
      <c r="B92" s="53"/>
      <c r="C92" s="64"/>
      <c r="D92" s="68">
        <v>0</v>
      </c>
      <c r="E92" s="68"/>
      <c r="F92" s="68">
        <v>0</v>
      </c>
      <c r="G92" s="68"/>
      <c r="H92" s="68">
        <v>0</v>
      </c>
      <c r="I92" s="68"/>
      <c r="J92" s="68">
        <v>0</v>
      </c>
      <c r="K92" s="68"/>
      <c r="L92" s="68">
        <v>18.41</v>
      </c>
      <c r="M92" s="68"/>
      <c r="N92" s="68">
        <v>0</v>
      </c>
      <c r="O92" s="68"/>
      <c r="P92" s="68">
        <v>0</v>
      </c>
      <c r="Q92" s="68"/>
      <c r="R92" s="68">
        <v>16.809999999999999</v>
      </c>
      <c r="S92" s="68"/>
      <c r="T92" s="68">
        <v>0</v>
      </c>
      <c r="U92" s="68"/>
      <c r="V92" s="68"/>
      <c r="W92" s="68"/>
      <c r="X92" s="68">
        <v>0</v>
      </c>
      <c r="Y92" s="68"/>
      <c r="Z92" s="68"/>
      <c r="AA92" s="51">
        <f t="shared" ref="AA92:AA155" si="26">C92+E92+G92+I92+K92+M92+O92+Q92+S92+U92+W92+Y92</f>
        <v>0</v>
      </c>
      <c r="AB92" s="51">
        <f t="shared" ref="AB92:AB101" si="27">D92+F92+H92+J92+L92+N92+P92+R92+T92+V92+X92+Z92</f>
        <v>35.22</v>
      </c>
      <c r="AC92" s="22"/>
      <c r="AD92" s="31">
        <f t="shared" ref="AD92:AD155" si="28">SUMIF($C$5:$Z$5,$AD$5,C92:Z92)</f>
        <v>0</v>
      </c>
      <c r="AE92" s="31">
        <f t="shared" ref="AE92:AE155" si="29">SUMIF($C$5:$Z$5,$AD$5,D92:AA92)</f>
        <v>35.22</v>
      </c>
      <c r="AF92" s="17">
        <f t="shared" si="19"/>
        <v>0</v>
      </c>
      <c r="AG92" s="17">
        <f t="shared" si="20"/>
        <v>0</v>
      </c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61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</row>
    <row r="93" spans="1:118" s="19" customFormat="1" ht="18" hidden="1" customHeight="1" outlineLevel="1" x14ac:dyDescent="0.25">
      <c r="A93" s="48" t="s">
        <v>170</v>
      </c>
      <c r="B93" s="53"/>
      <c r="C93" s="64"/>
      <c r="D93" s="68">
        <v>0</v>
      </c>
      <c r="E93" s="68"/>
      <c r="F93" s="68">
        <v>0</v>
      </c>
      <c r="G93" s="68"/>
      <c r="H93" s="68">
        <v>0</v>
      </c>
      <c r="I93" s="68"/>
      <c r="J93" s="68">
        <v>0</v>
      </c>
      <c r="K93" s="68"/>
      <c r="L93" s="68">
        <v>0</v>
      </c>
      <c r="M93" s="68"/>
      <c r="N93" s="68">
        <v>0</v>
      </c>
      <c r="O93" s="68"/>
      <c r="P93" s="68">
        <v>0</v>
      </c>
      <c r="Q93" s="68"/>
      <c r="R93" s="68">
        <v>0</v>
      </c>
      <c r="S93" s="68"/>
      <c r="T93" s="68">
        <v>0</v>
      </c>
      <c r="U93" s="68"/>
      <c r="V93" s="68"/>
      <c r="W93" s="68"/>
      <c r="X93" s="68">
        <v>0</v>
      </c>
      <c r="Y93" s="68"/>
      <c r="Z93" s="68"/>
      <c r="AA93" s="51">
        <f t="shared" si="26"/>
        <v>0</v>
      </c>
      <c r="AB93" s="51">
        <f t="shared" si="27"/>
        <v>0</v>
      </c>
      <c r="AC93" s="22"/>
      <c r="AD93" s="31">
        <f t="shared" si="28"/>
        <v>0</v>
      </c>
      <c r="AE93" s="31">
        <f t="shared" si="29"/>
        <v>0</v>
      </c>
      <c r="AF93" s="17">
        <f t="shared" si="19"/>
        <v>0</v>
      </c>
      <c r="AG93" s="17">
        <f t="shared" si="20"/>
        <v>0</v>
      </c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61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</row>
    <row r="94" spans="1:118" s="19" customFormat="1" ht="18" hidden="1" customHeight="1" outlineLevel="1" x14ac:dyDescent="0.25">
      <c r="A94" s="48" t="s">
        <v>171</v>
      </c>
      <c r="B94" s="53"/>
      <c r="C94" s="64"/>
      <c r="D94" s="68">
        <v>990.1</v>
      </c>
      <c r="E94" s="68"/>
      <c r="F94" s="68">
        <v>990.1</v>
      </c>
      <c r="G94" s="68"/>
      <c r="H94" s="68">
        <v>990.1</v>
      </c>
      <c r="I94" s="68"/>
      <c r="J94" s="68">
        <v>990.1</v>
      </c>
      <c r="K94" s="68"/>
      <c r="L94" s="68">
        <v>990.1</v>
      </c>
      <c r="M94" s="68"/>
      <c r="N94" s="68">
        <v>990.1</v>
      </c>
      <c r="O94" s="68"/>
      <c r="P94" s="68">
        <v>990.1</v>
      </c>
      <c r="Q94" s="68"/>
      <c r="R94" s="68">
        <v>990.1</v>
      </c>
      <c r="S94" s="68"/>
      <c r="T94" s="68">
        <v>990.09</v>
      </c>
      <c r="U94" s="68"/>
      <c r="V94" s="68"/>
      <c r="W94" s="68"/>
      <c r="X94" s="68">
        <v>0</v>
      </c>
      <c r="Y94" s="68"/>
      <c r="Z94" s="68"/>
      <c r="AA94" s="51">
        <f t="shared" si="26"/>
        <v>0</v>
      </c>
      <c r="AB94" s="51">
        <f t="shared" si="27"/>
        <v>8910.89</v>
      </c>
      <c r="AC94" s="22"/>
      <c r="AD94" s="31">
        <f t="shared" si="28"/>
        <v>0</v>
      </c>
      <c r="AE94" s="31">
        <f t="shared" si="29"/>
        <v>8910.89</v>
      </c>
      <c r="AF94" s="17">
        <f t="shared" ref="AF94:AF157" si="30">AA94-AD94</f>
        <v>0</v>
      </c>
      <c r="AG94" s="17">
        <f t="shared" ref="AG94:AG157" si="31">AB94-AE94</f>
        <v>0</v>
      </c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61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</row>
    <row r="95" spans="1:118" s="19" customFormat="1" ht="18" hidden="1" customHeight="1" outlineLevel="1" x14ac:dyDescent="0.25">
      <c r="A95" s="48" t="s">
        <v>172</v>
      </c>
      <c r="B95" s="53"/>
      <c r="C95" s="64"/>
      <c r="D95" s="68">
        <v>0</v>
      </c>
      <c r="E95" s="68"/>
      <c r="F95" s="68">
        <v>0</v>
      </c>
      <c r="G95" s="68"/>
      <c r="H95" s="68">
        <v>0</v>
      </c>
      <c r="I95" s="68"/>
      <c r="J95" s="68">
        <v>0</v>
      </c>
      <c r="K95" s="68"/>
      <c r="L95" s="68">
        <v>0</v>
      </c>
      <c r="M95" s="68"/>
      <c r="N95" s="68">
        <v>0</v>
      </c>
      <c r="O95" s="68"/>
      <c r="P95" s="68">
        <v>0</v>
      </c>
      <c r="Q95" s="68"/>
      <c r="R95" s="68">
        <v>0</v>
      </c>
      <c r="S95" s="68"/>
      <c r="T95" s="68">
        <v>0</v>
      </c>
      <c r="U95" s="68"/>
      <c r="V95" s="68"/>
      <c r="W95" s="68"/>
      <c r="X95" s="68">
        <v>0</v>
      </c>
      <c r="Y95" s="68"/>
      <c r="Z95" s="68"/>
      <c r="AA95" s="51">
        <f t="shared" si="26"/>
        <v>0</v>
      </c>
      <c r="AB95" s="51">
        <f t="shared" si="27"/>
        <v>0</v>
      </c>
      <c r="AC95" s="22"/>
      <c r="AD95" s="31">
        <f t="shared" si="28"/>
        <v>0</v>
      </c>
      <c r="AE95" s="31">
        <f t="shared" si="29"/>
        <v>0</v>
      </c>
      <c r="AF95" s="17">
        <f t="shared" si="30"/>
        <v>0</v>
      </c>
      <c r="AG95" s="17">
        <f t="shared" si="31"/>
        <v>0</v>
      </c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61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</row>
    <row r="96" spans="1:118" s="19" customFormat="1" ht="18" hidden="1" customHeight="1" outlineLevel="1" x14ac:dyDescent="0.25">
      <c r="A96" s="48" t="s">
        <v>173</v>
      </c>
      <c r="B96" s="53"/>
      <c r="C96" s="64"/>
      <c r="D96" s="68">
        <v>0</v>
      </c>
      <c r="E96" s="68"/>
      <c r="F96" s="68">
        <v>0</v>
      </c>
      <c r="G96" s="68"/>
      <c r="H96" s="68">
        <v>0</v>
      </c>
      <c r="I96" s="68"/>
      <c r="J96" s="68">
        <v>0</v>
      </c>
      <c r="K96" s="68"/>
      <c r="L96" s="68">
        <v>0</v>
      </c>
      <c r="M96" s="68"/>
      <c r="N96" s="68">
        <v>0</v>
      </c>
      <c r="O96" s="68"/>
      <c r="P96" s="68">
        <v>0</v>
      </c>
      <c r="Q96" s="68"/>
      <c r="R96" s="68">
        <v>0</v>
      </c>
      <c r="S96" s="68"/>
      <c r="T96" s="68">
        <v>0</v>
      </c>
      <c r="U96" s="68"/>
      <c r="V96" s="68"/>
      <c r="W96" s="68"/>
      <c r="X96" s="68">
        <v>0</v>
      </c>
      <c r="Y96" s="68"/>
      <c r="Z96" s="68"/>
      <c r="AA96" s="51">
        <f t="shared" si="26"/>
        <v>0</v>
      </c>
      <c r="AB96" s="51">
        <f t="shared" si="27"/>
        <v>0</v>
      </c>
      <c r="AC96" s="22"/>
      <c r="AD96" s="31">
        <f t="shared" si="28"/>
        <v>0</v>
      </c>
      <c r="AE96" s="31">
        <f t="shared" si="29"/>
        <v>0</v>
      </c>
      <c r="AF96" s="17">
        <f t="shared" si="30"/>
        <v>0</v>
      </c>
      <c r="AG96" s="17">
        <f t="shared" si="31"/>
        <v>0</v>
      </c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61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</row>
    <row r="97" spans="1:118" s="19" customFormat="1" ht="18" hidden="1" customHeight="1" outlineLevel="1" x14ac:dyDescent="0.25">
      <c r="A97" s="48" t="s">
        <v>174</v>
      </c>
      <c r="B97" s="53"/>
      <c r="C97" s="64"/>
      <c r="D97" s="68">
        <v>0</v>
      </c>
      <c r="E97" s="68"/>
      <c r="F97" s="68">
        <v>0</v>
      </c>
      <c r="G97" s="68"/>
      <c r="H97" s="68">
        <v>0</v>
      </c>
      <c r="I97" s="68"/>
      <c r="J97" s="68">
        <v>0</v>
      </c>
      <c r="K97" s="68"/>
      <c r="L97" s="68">
        <v>0</v>
      </c>
      <c r="M97" s="68"/>
      <c r="N97" s="68">
        <v>0</v>
      </c>
      <c r="O97" s="68"/>
      <c r="P97" s="68">
        <v>0</v>
      </c>
      <c r="Q97" s="68"/>
      <c r="R97" s="68">
        <v>0</v>
      </c>
      <c r="S97" s="68"/>
      <c r="T97" s="68">
        <v>0</v>
      </c>
      <c r="U97" s="68"/>
      <c r="V97" s="68"/>
      <c r="W97" s="68"/>
      <c r="X97" s="68">
        <v>0</v>
      </c>
      <c r="Y97" s="68"/>
      <c r="Z97" s="68"/>
      <c r="AA97" s="51">
        <f t="shared" si="26"/>
        <v>0</v>
      </c>
      <c r="AB97" s="51">
        <f t="shared" si="27"/>
        <v>0</v>
      </c>
      <c r="AC97" s="22"/>
      <c r="AD97" s="31">
        <f t="shared" si="28"/>
        <v>0</v>
      </c>
      <c r="AE97" s="31">
        <f t="shared" si="29"/>
        <v>0</v>
      </c>
      <c r="AF97" s="17">
        <f t="shared" si="30"/>
        <v>0</v>
      </c>
      <c r="AG97" s="17">
        <f t="shared" si="31"/>
        <v>0</v>
      </c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61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</row>
    <row r="98" spans="1:118" s="19" customFormat="1" ht="18" hidden="1" customHeight="1" outlineLevel="1" x14ac:dyDescent="0.25">
      <c r="A98" s="48" t="s">
        <v>175</v>
      </c>
      <c r="B98" s="53"/>
      <c r="C98" s="64"/>
      <c r="D98" s="68">
        <v>0</v>
      </c>
      <c r="E98" s="68"/>
      <c r="F98" s="68">
        <v>0</v>
      </c>
      <c r="G98" s="68"/>
      <c r="H98" s="68">
        <v>0</v>
      </c>
      <c r="I98" s="68"/>
      <c r="J98" s="68">
        <v>0</v>
      </c>
      <c r="K98" s="68"/>
      <c r="L98" s="68">
        <v>0</v>
      </c>
      <c r="M98" s="68"/>
      <c r="N98" s="68">
        <v>0</v>
      </c>
      <c r="O98" s="68"/>
      <c r="P98" s="68">
        <v>0</v>
      </c>
      <c r="Q98" s="68"/>
      <c r="R98" s="68">
        <v>0</v>
      </c>
      <c r="S98" s="68"/>
      <c r="T98" s="68">
        <v>0</v>
      </c>
      <c r="U98" s="68"/>
      <c r="V98" s="68"/>
      <c r="W98" s="68"/>
      <c r="X98" s="68">
        <v>0</v>
      </c>
      <c r="Y98" s="68"/>
      <c r="Z98" s="68"/>
      <c r="AA98" s="51">
        <f t="shared" si="26"/>
        <v>0</v>
      </c>
      <c r="AB98" s="51">
        <f t="shared" si="27"/>
        <v>0</v>
      </c>
      <c r="AC98" s="22"/>
      <c r="AD98" s="31">
        <f t="shared" si="28"/>
        <v>0</v>
      </c>
      <c r="AE98" s="31">
        <f t="shared" si="29"/>
        <v>0</v>
      </c>
      <c r="AF98" s="17">
        <f t="shared" si="30"/>
        <v>0</v>
      </c>
      <c r="AG98" s="17">
        <f t="shared" si="31"/>
        <v>0</v>
      </c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61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</row>
    <row r="99" spans="1:118" s="19" customFormat="1" ht="18" hidden="1" customHeight="1" outlineLevel="1" x14ac:dyDescent="0.25">
      <c r="A99" s="48" t="s">
        <v>176</v>
      </c>
      <c r="B99" s="53"/>
      <c r="C99" s="64"/>
      <c r="D99" s="68">
        <v>0</v>
      </c>
      <c r="E99" s="68"/>
      <c r="F99" s="68">
        <v>0</v>
      </c>
      <c r="G99" s="68"/>
      <c r="H99" s="68">
        <v>0</v>
      </c>
      <c r="I99" s="68"/>
      <c r="J99" s="68">
        <v>0</v>
      </c>
      <c r="K99" s="68"/>
      <c r="L99" s="68">
        <v>0</v>
      </c>
      <c r="M99" s="68"/>
      <c r="N99" s="68"/>
      <c r="O99" s="68"/>
      <c r="P99" s="68">
        <v>0</v>
      </c>
      <c r="Q99" s="68"/>
      <c r="R99" s="68">
        <v>0</v>
      </c>
      <c r="S99" s="68"/>
      <c r="T99" s="68">
        <v>0</v>
      </c>
      <c r="U99" s="68"/>
      <c r="V99" s="68"/>
      <c r="W99" s="68"/>
      <c r="X99" s="68">
        <v>0</v>
      </c>
      <c r="Y99" s="68"/>
      <c r="Z99" s="68"/>
      <c r="AA99" s="51">
        <f t="shared" si="26"/>
        <v>0</v>
      </c>
      <c r="AB99" s="51">
        <f t="shared" si="27"/>
        <v>0</v>
      </c>
      <c r="AC99" s="22"/>
      <c r="AD99" s="31">
        <f t="shared" si="28"/>
        <v>0</v>
      </c>
      <c r="AE99" s="31">
        <f t="shared" si="29"/>
        <v>0</v>
      </c>
      <c r="AF99" s="17">
        <f t="shared" si="30"/>
        <v>0</v>
      </c>
      <c r="AG99" s="17">
        <f t="shared" si="31"/>
        <v>0</v>
      </c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61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</row>
    <row r="100" spans="1:118" s="19" customFormat="1" ht="14" hidden="1" outlineLevel="1" x14ac:dyDescent="0.25">
      <c r="A100" s="48" t="s">
        <v>177</v>
      </c>
      <c r="B100" s="53"/>
      <c r="C100" s="64"/>
      <c r="D100" s="68">
        <v>0</v>
      </c>
      <c r="E100" s="68"/>
      <c r="F100" s="68">
        <v>0</v>
      </c>
      <c r="G100" s="68"/>
      <c r="H100" s="68">
        <v>0</v>
      </c>
      <c r="I100" s="68"/>
      <c r="J100" s="68">
        <v>0</v>
      </c>
      <c r="K100" s="68"/>
      <c r="L100" s="68">
        <v>0</v>
      </c>
      <c r="M100" s="68"/>
      <c r="N100" s="68"/>
      <c r="O100" s="68"/>
      <c r="P100" s="68">
        <v>0</v>
      </c>
      <c r="Q100" s="68"/>
      <c r="R100" s="68">
        <v>0</v>
      </c>
      <c r="S100" s="68"/>
      <c r="T100" s="68">
        <v>0</v>
      </c>
      <c r="U100" s="68"/>
      <c r="V100" s="68"/>
      <c r="W100" s="68"/>
      <c r="X100" s="68">
        <v>0</v>
      </c>
      <c r="Y100" s="68"/>
      <c r="Z100" s="68"/>
      <c r="AA100" s="51">
        <f t="shared" si="26"/>
        <v>0</v>
      </c>
      <c r="AB100" s="51">
        <f t="shared" si="27"/>
        <v>0</v>
      </c>
      <c r="AC100" s="22"/>
      <c r="AD100" s="31">
        <f t="shared" si="28"/>
        <v>0</v>
      </c>
      <c r="AE100" s="31">
        <f t="shared" si="29"/>
        <v>0</v>
      </c>
      <c r="AF100" s="17">
        <f t="shared" si="30"/>
        <v>0</v>
      </c>
      <c r="AG100" s="17">
        <f t="shared" si="31"/>
        <v>0</v>
      </c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61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</row>
    <row r="101" spans="1:118" s="19" customFormat="1" ht="14" hidden="1" outlineLevel="1" x14ac:dyDescent="0.25">
      <c r="A101" s="48" t="s">
        <v>178</v>
      </c>
      <c r="B101" s="53"/>
      <c r="C101" s="64"/>
      <c r="D101" s="68">
        <v>0</v>
      </c>
      <c r="E101" s="68"/>
      <c r="F101" s="68">
        <v>0</v>
      </c>
      <c r="G101" s="68"/>
      <c r="H101" s="68">
        <v>0</v>
      </c>
      <c r="I101" s="68"/>
      <c r="J101" s="68">
        <v>0</v>
      </c>
      <c r="K101" s="68"/>
      <c r="L101" s="68">
        <v>0</v>
      </c>
      <c r="M101" s="68"/>
      <c r="N101" s="68"/>
      <c r="O101" s="68"/>
      <c r="P101" s="68">
        <v>0</v>
      </c>
      <c r="Q101" s="68"/>
      <c r="R101" s="68">
        <v>0</v>
      </c>
      <c r="S101" s="68"/>
      <c r="T101" s="68">
        <v>0</v>
      </c>
      <c r="U101" s="68"/>
      <c r="V101" s="68"/>
      <c r="W101" s="68"/>
      <c r="X101" s="68">
        <v>0</v>
      </c>
      <c r="Y101" s="68"/>
      <c r="Z101" s="68"/>
      <c r="AA101" s="51">
        <f t="shared" si="26"/>
        <v>0</v>
      </c>
      <c r="AB101" s="51">
        <f t="shared" si="27"/>
        <v>0</v>
      </c>
      <c r="AC101" s="22"/>
      <c r="AD101" s="31">
        <f t="shared" si="28"/>
        <v>0</v>
      </c>
      <c r="AE101" s="31">
        <f t="shared" si="29"/>
        <v>0</v>
      </c>
      <c r="AF101" s="17">
        <f t="shared" si="30"/>
        <v>0</v>
      </c>
      <c r="AG101" s="17">
        <f t="shared" si="31"/>
        <v>0</v>
      </c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61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</row>
    <row r="102" spans="1:118" s="17" customFormat="1" ht="18" customHeight="1" collapsed="1" x14ac:dyDescent="0.25">
      <c r="A102" s="52" t="s">
        <v>179</v>
      </c>
      <c r="B102" s="45">
        <v>7</v>
      </c>
      <c r="C102" s="33"/>
      <c r="D102" s="65"/>
      <c r="E102" s="65"/>
      <c r="F102" s="65">
        <f>SUM(F103:F175)-F103-F106-F115-F126-F138-F172</f>
        <v>0</v>
      </c>
      <c r="G102" s="65"/>
      <c r="H102" s="65">
        <f>SUM(H103:H175)-H103-H106-H115-H126-H138-H172</f>
        <v>0</v>
      </c>
      <c r="I102" s="65"/>
      <c r="J102" s="65">
        <f>SUM(J103:J175)-J103-J106-J115-J126-J138-J172</f>
        <v>0</v>
      </c>
      <c r="K102" s="65"/>
      <c r="L102" s="65">
        <f>SUM(L103:L175)-L103-L106-L115-L126-L138-L172</f>
        <v>0</v>
      </c>
      <c r="M102" s="65"/>
      <c r="N102" s="65">
        <f>SUM(N103:N175)-N103-N106-N115-N126-N138-N172</f>
        <v>0</v>
      </c>
      <c r="O102" s="65"/>
      <c r="P102" s="65">
        <f>SUM(P103:P175)-P103-P106-P115-P126-P138-P172</f>
        <v>0</v>
      </c>
      <c r="Q102" s="65"/>
      <c r="R102" s="65">
        <f>SUM(R103:R175)-R103-R106-R115-R126-R138-R172</f>
        <v>0</v>
      </c>
      <c r="S102" s="65"/>
      <c r="T102" s="65">
        <f>SUM(T103:T175)-T103-T106-T115-T126-T138-T172</f>
        <v>0</v>
      </c>
      <c r="U102" s="65"/>
      <c r="V102" s="65">
        <f>SUM(V103:V175)-V103-V106-V115-V126-V138-V172</f>
        <v>0</v>
      </c>
      <c r="W102" s="65"/>
      <c r="X102" s="65">
        <f>SUM(X103:X175)-X103-X106-X115-X126-X138-X172</f>
        <v>0</v>
      </c>
      <c r="Y102" s="65"/>
      <c r="Z102" s="65">
        <f>SUM(Z103:Z175)-Z103-Z106-Z115-Z126-Z138-Z172</f>
        <v>0</v>
      </c>
      <c r="AA102" s="51">
        <f t="shared" si="26"/>
        <v>0</v>
      </c>
      <c r="AB102" s="105">
        <f>SUM(D102:Z102)</f>
        <v>0</v>
      </c>
      <c r="AC102" s="21"/>
      <c r="AD102" s="31">
        <f t="shared" si="28"/>
        <v>0</v>
      </c>
      <c r="AE102" s="31">
        <f t="shared" si="29"/>
        <v>0</v>
      </c>
      <c r="AF102" s="17">
        <f t="shared" si="30"/>
        <v>0</v>
      </c>
      <c r="AG102" s="17">
        <f t="shared" si="31"/>
        <v>0</v>
      </c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66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</row>
    <row r="103" spans="1:118" s="17" customFormat="1" ht="18" hidden="1" customHeight="1" outlineLevel="1" x14ac:dyDescent="0.25">
      <c r="A103" s="67" t="s">
        <v>107</v>
      </c>
      <c r="B103" s="45"/>
      <c r="C103" s="33"/>
      <c r="D103" s="65"/>
      <c r="E103" s="65"/>
      <c r="F103" s="65">
        <f>SUM(F104:F105)</f>
        <v>0</v>
      </c>
      <c r="G103" s="65"/>
      <c r="H103" s="65">
        <f>SUM(H104:H105)</f>
        <v>0</v>
      </c>
      <c r="I103" s="65"/>
      <c r="J103" s="65">
        <f>SUM(J104:J105)</f>
        <v>0</v>
      </c>
      <c r="K103" s="65"/>
      <c r="L103" s="65">
        <f>SUM(L104:L105)</f>
        <v>0</v>
      </c>
      <c r="M103" s="65"/>
      <c r="N103" s="65">
        <f>SUM(N104:N105)</f>
        <v>0</v>
      </c>
      <c r="O103" s="65"/>
      <c r="P103" s="65">
        <f>SUM(P104:P105)</f>
        <v>0</v>
      </c>
      <c r="Q103" s="65"/>
      <c r="R103" s="65">
        <f>SUM(R104:R105)</f>
        <v>0</v>
      </c>
      <c r="S103" s="65"/>
      <c r="T103" s="65">
        <f>SUM(T104:T105)</f>
        <v>0</v>
      </c>
      <c r="U103" s="65"/>
      <c r="V103" s="65">
        <f>SUM(V104:V105)</f>
        <v>0</v>
      </c>
      <c r="W103" s="65"/>
      <c r="X103" s="65">
        <f>SUM(X104:X105)</f>
        <v>0</v>
      </c>
      <c r="Y103" s="65"/>
      <c r="Z103" s="65">
        <f>SUM(Z104:Z105)</f>
        <v>0</v>
      </c>
      <c r="AA103" s="51">
        <f t="shared" si="26"/>
        <v>0</v>
      </c>
      <c r="AB103" s="51">
        <f t="shared" ref="AB103:AB166" si="32">D103+F103+H103+J103+L103+N103+P103+R103+T103+V103+X103+Z103</f>
        <v>0</v>
      </c>
      <c r="AC103" s="21"/>
      <c r="AD103" s="31">
        <f t="shared" si="28"/>
        <v>0</v>
      </c>
      <c r="AE103" s="31">
        <f t="shared" si="29"/>
        <v>0</v>
      </c>
      <c r="AF103" s="17">
        <f t="shared" si="30"/>
        <v>0</v>
      </c>
      <c r="AG103" s="17">
        <f t="shared" si="31"/>
        <v>0</v>
      </c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66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</row>
    <row r="104" spans="1:118" s="19" customFormat="1" ht="18" hidden="1" customHeight="1" outlineLevel="2" x14ac:dyDescent="0.25">
      <c r="A104" s="48" t="s">
        <v>108</v>
      </c>
      <c r="B104" s="53"/>
      <c r="C104" s="64"/>
      <c r="D104" s="68"/>
      <c r="E104" s="68"/>
      <c r="F104" s="68">
        <v>0</v>
      </c>
      <c r="G104" s="68"/>
      <c r="H104" s="68">
        <v>0</v>
      </c>
      <c r="I104" s="68"/>
      <c r="J104" s="68">
        <v>0</v>
      </c>
      <c r="K104" s="68"/>
      <c r="L104" s="68">
        <v>0</v>
      </c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51">
        <f t="shared" si="26"/>
        <v>0</v>
      </c>
      <c r="AB104" s="51">
        <f t="shared" si="32"/>
        <v>0</v>
      </c>
      <c r="AD104" s="31">
        <f t="shared" si="28"/>
        <v>0</v>
      </c>
      <c r="AE104" s="31">
        <f t="shared" si="29"/>
        <v>0</v>
      </c>
      <c r="AF104" s="17">
        <f t="shared" si="30"/>
        <v>0</v>
      </c>
      <c r="AG104" s="17">
        <f t="shared" si="31"/>
        <v>0</v>
      </c>
      <c r="BB104" s="66"/>
    </row>
    <row r="105" spans="1:118" s="19" customFormat="1" ht="18" hidden="1" customHeight="1" outlineLevel="2" x14ac:dyDescent="0.25">
      <c r="A105" s="48" t="s">
        <v>109</v>
      </c>
      <c r="B105" s="53"/>
      <c r="C105" s="64"/>
      <c r="D105" s="68"/>
      <c r="E105" s="68"/>
      <c r="F105" s="68">
        <v>0</v>
      </c>
      <c r="G105" s="68"/>
      <c r="H105" s="68">
        <v>0</v>
      </c>
      <c r="I105" s="68"/>
      <c r="J105" s="68">
        <v>0</v>
      </c>
      <c r="K105" s="68"/>
      <c r="L105" s="68">
        <v>0</v>
      </c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51">
        <f t="shared" si="26"/>
        <v>0</v>
      </c>
      <c r="AB105" s="51">
        <f t="shared" si="32"/>
        <v>0</v>
      </c>
      <c r="AD105" s="31">
        <f t="shared" si="28"/>
        <v>0</v>
      </c>
      <c r="AE105" s="31">
        <f t="shared" si="29"/>
        <v>0</v>
      </c>
      <c r="AF105" s="17">
        <f t="shared" si="30"/>
        <v>0</v>
      </c>
      <c r="AG105" s="17">
        <f t="shared" si="31"/>
        <v>0</v>
      </c>
      <c r="BB105" s="66"/>
    </row>
    <row r="106" spans="1:118" s="17" customFormat="1" ht="18" hidden="1" customHeight="1" outlineLevel="1" collapsed="1" x14ac:dyDescent="0.25">
      <c r="A106" s="67" t="s">
        <v>110</v>
      </c>
      <c r="B106" s="45"/>
      <c r="C106" s="33"/>
      <c r="D106" s="65"/>
      <c r="E106" s="65"/>
      <c r="F106" s="65">
        <f>SUM(F107:F111)</f>
        <v>0</v>
      </c>
      <c r="G106" s="65"/>
      <c r="H106" s="65">
        <f>SUM(H107:H111)</f>
        <v>0</v>
      </c>
      <c r="I106" s="65"/>
      <c r="J106" s="65">
        <f>SUM(J107:J111)</f>
        <v>0</v>
      </c>
      <c r="K106" s="65"/>
      <c r="L106" s="65">
        <f>SUM(L107:L111)</f>
        <v>0</v>
      </c>
      <c r="M106" s="65"/>
      <c r="N106" s="65">
        <f>SUM(N107:N111)</f>
        <v>0</v>
      </c>
      <c r="O106" s="65"/>
      <c r="P106" s="65">
        <f>SUM(P107:P111)</f>
        <v>0</v>
      </c>
      <c r="Q106" s="65"/>
      <c r="R106" s="65">
        <f>SUM(R107:R111)</f>
        <v>0</v>
      </c>
      <c r="S106" s="65"/>
      <c r="T106" s="65">
        <f>SUM(T107:T111)</f>
        <v>0</v>
      </c>
      <c r="U106" s="65"/>
      <c r="V106" s="65">
        <f>SUM(V107:V111)</f>
        <v>0</v>
      </c>
      <c r="W106" s="65"/>
      <c r="X106" s="65">
        <f>SUM(X107:X111)</f>
        <v>0</v>
      </c>
      <c r="Y106" s="65"/>
      <c r="Z106" s="65">
        <f>SUM(Z107:Z111)</f>
        <v>0</v>
      </c>
      <c r="AA106" s="51">
        <f t="shared" si="26"/>
        <v>0</v>
      </c>
      <c r="AB106" s="51">
        <f t="shared" si="32"/>
        <v>0</v>
      </c>
      <c r="AC106" s="21"/>
      <c r="AD106" s="31">
        <f t="shared" si="28"/>
        <v>0</v>
      </c>
      <c r="AE106" s="31">
        <f t="shared" si="29"/>
        <v>0</v>
      </c>
      <c r="AF106" s="17">
        <f t="shared" si="30"/>
        <v>0</v>
      </c>
      <c r="AG106" s="17">
        <f t="shared" si="31"/>
        <v>0</v>
      </c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66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</row>
    <row r="107" spans="1:118" s="19" customFormat="1" ht="18" hidden="1" customHeight="1" outlineLevel="2" x14ac:dyDescent="0.25">
      <c r="A107" s="48" t="s">
        <v>111</v>
      </c>
      <c r="B107" s="53"/>
      <c r="C107" s="64"/>
      <c r="D107" s="68"/>
      <c r="E107" s="68"/>
      <c r="F107" s="68">
        <v>0</v>
      </c>
      <c r="G107" s="68"/>
      <c r="H107" s="68">
        <v>0</v>
      </c>
      <c r="I107" s="68"/>
      <c r="J107" s="68">
        <v>0</v>
      </c>
      <c r="K107" s="68"/>
      <c r="L107" s="68">
        <v>0</v>
      </c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51">
        <f t="shared" si="26"/>
        <v>0</v>
      </c>
      <c r="AB107" s="51">
        <f t="shared" si="32"/>
        <v>0</v>
      </c>
      <c r="AD107" s="31">
        <f t="shared" si="28"/>
        <v>0</v>
      </c>
      <c r="AE107" s="31">
        <f t="shared" si="29"/>
        <v>0</v>
      </c>
      <c r="AF107" s="17">
        <f t="shared" si="30"/>
        <v>0</v>
      </c>
      <c r="AG107" s="17">
        <f t="shared" si="31"/>
        <v>0</v>
      </c>
      <c r="BB107" s="20"/>
    </row>
    <row r="108" spans="1:118" s="19" customFormat="1" ht="18" hidden="1" customHeight="1" outlineLevel="2" x14ac:dyDescent="0.25">
      <c r="A108" s="48" t="s">
        <v>112</v>
      </c>
      <c r="B108" s="53"/>
      <c r="C108" s="64"/>
      <c r="D108" s="68"/>
      <c r="E108" s="68"/>
      <c r="F108" s="68">
        <v>0</v>
      </c>
      <c r="G108" s="68"/>
      <c r="H108" s="68">
        <v>0</v>
      </c>
      <c r="I108" s="68"/>
      <c r="J108" s="68">
        <v>0</v>
      </c>
      <c r="K108" s="68"/>
      <c r="L108" s="68">
        <v>0</v>
      </c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51">
        <f t="shared" si="26"/>
        <v>0</v>
      </c>
      <c r="AB108" s="51">
        <f t="shared" si="32"/>
        <v>0</v>
      </c>
      <c r="AD108" s="31">
        <f t="shared" si="28"/>
        <v>0</v>
      </c>
      <c r="AE108" s="31">
        <f t="shared" si="29"/>
        <v>0</v>
      </c>
      <c r="AF108" s="17">
        <f t="shared" si="30"/>
        <v>0</v>
      </c>
      <c r="AG108" s="17">
        <f t="shared" si="31"/>
        <v>0</v>
      </c>
      <c r="BB108" s="20"/>
    </row>
    <row r="109" spans="1:118" s="19" customFormat="1" ht="18" hidden="1" customHeight="1" outlineLevel="2" x14ac:dyDescent="0.25">
      <c r="A109" s="48" t="s">
        <v>113</v>
      </c>
      <c r="B109" s="53"/>
      <c r="C109" s="64"/>
      <c r="D109" s="68"/>
      <c r="E109" s="68"/>
      <c r="F109" s="68">
        <v>0</v>
      </c>
      <c r="G109" s="68"/>
      <c r="H109" s="68">
        <v>0</v>
      </c>
      <c r="I109" s="68"/>
      <c r="J109" s="68">
        <v>0</v>
      </c>
      <c r="K109" s="68"/>
      <c r="L109" s="68">
        <v>0</v>
      </c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51">
        <f t="shared" si="26"/>
        <v>0</v>
      </c>
      <c r="AB109" s="51">
        <f t="shared" si="32"/>
        <v>0</v>
      </c>
      <c r="AD109" s="31">
        <f t="shared" si="28"/>
        <v>0</v>
      </c>
      <c r="AE109" s="31">
        <f t="shared" si="29"/>
        <v>0</v>
      </c>
      <c r="AF109" s="17">
        <f t="shared" si="30"/>
        <v>0</v>
      </c>
      <c r="AG109" s="17">
        <f t="shared" si="31"/>
        <v>0</v>
      </c>
      <c r="BB109" s="20"/>
    </row>
    <row r="110" spans="1:118" s="19" customFormat="1" ht="18" hidden="1" customHeight="1" outlineLevel="2" x14ac:dyDescent="0.25">
      <c r="A110" s="48" t="s">
        <v>114</v>
      </c>
      <c r="B110" s="53"/>
      <c r="C110" s="64"/>
      <c r="D110" s="68"/>
      <c r="E110" s="68"/>
      <c r="F110" s="68">
        <v>0</v>
      </c>
      <c r="G110" s="68"/>
      <c r="H110" s="68">
        <v>0</v>
      </c>
      <c r="I110" s="68"/>
      <c r="J110" s="68">
        <v>0</v>
      </c>
      <c r="K110" s="68"/>
      <c r="L110" s="68">
        <v>0</v>
      </c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51">
        <f t="shared" si="26"/>
        <v>0</v>
      </c>
      <c r="AB110" s="51">
        <f t="shared" si="32"/>
        <v>0</v>
      </c>
      <c r="AD110" s="31">
        <f t="shared" si="28"/>
        <v>0</v>
      </c>
      <c r="AE110" s="31">
        <f t="shared" si="29"/>
        <v>0</v>
      </c>
      <c r="AF110" s="17">
        <f t="shared" si="30"/>
        <v>0</v>
      </c>
      <c r="AG110" s="17">
        <f t="shared" si="31"/>
        <v>0</v>
      </c>
      <c r="BB110" s="20"/>
    </row>
    <row r="111" spans="1:118" s="19" customFormat="1" ht="18" hidden="1" customHeight="1" outlineLevel="2" x14ac:dyDescent="0.25">
      <c r="A111" s="48" t="s">
        <v>115</v>
      </c>
      <c r="B111" s="53"/>
      <c r="C111" s="64"/>
      <c r="D111" s="68"/>
      <c r="E111" s="68"/>
      <c r="F111" s="68">
        <v>0</v>
      </c>
      <c r="G111" s="68"/>
      <c r="H111" s="68">
        <v>0</v>
      </c>
      <c r="I111" s="68"/>
      <c r="J111" s="68">
        <v>0</v>
      </c>
      <c r="K111" s="68"/>
      <c r="L111" s="68">
        <v>0</v>
      </c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51">
        <f t="shared" si="26"/>
        <v>0</v>
      </c>
      <c r="AB111" s="51">
        <f t="shared" si="32"/>
        <v>0</v>
      </c>
      <c r="AD111" s="31">
        <f t="shared" si="28"/>
        <v>0</v>
      </c>
      <c r="AE111" s="31">
        <f t="shared" si="29"/>
        <v>0</v>
      </c>
      <c r="AF111" s="17">
        <f t="shared" si="30"/>
        <v>0</v>
      </c>
      <c r="AG111" s="17">
        <f t="shared" si="31"/>
        <v>0</v>
      </c>
      <c r="BB111" s="20"/>
    </row>
    <row r="112" spans="1:118" s="19" customFormat="1" ht="18" hidden="1" customHeight="1" outlineLevel="1" collapsed="1" x14ac:dyDescent="0.25">
      <c r="A112" s="48" t="s">
        <v>116</v>
      </c>
      <c r="B112" s="53"/>
      <c r="C112" s="64"/>
      <c r="D112" s="68"/>
      <c r="E112" s="68"/>
      <c r="F112" s="68">
        <v>0</v>
      </c>
      <c r="G112" s="68"/>
      <c r="H112" s="68">
        <v>0</v>
      </c>
      <c r="I112" s="68"/>
      <c r="J112" s="68">
        <v>0</v>
      </c>
      <c r="K112" s="68"/>
      <c r="L112" s="68">
        <v>0</v>
      </c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51">
        <f t="shared" si="26"/>
        <v>0</v>
      </c>
      <c r="AB112" s="51">
        <f t="shared" si="32"/>
        <v>0</v>
      </c>
      <c r="AD112" s="31">
        <f t="shared" si="28"/>
        <v>0</v>
      </c>
      <c r="AE112" s="31">
        <f t="shared" si="29"/>
        <v>0</v>
      </c>
      <c r="AF112" s="17">
        <f t="shared" si="30"/>
        <v>0</v>
      </c>
      <c r="AG112" s="17">
        <f t="shared" si="31"/>
        <v>0</v>
      </c>
      <c r="BB112" s="20"/>
    </row>
    <row r="113" spans="1:118" s="19" customFormat="1" ht="18" hidden="1" customHeight="1" outlineLevel="1" x14ac:dyDescent="0.25">
      <c r="A113" s="48" t="s">
        <v>117</v>
      </c>
      <c r="B113" s="53"/>
      <c r="C113" s="64"/>
      <c r="D113" s="68"/>
      <c r="E113" s="68"/>
      <c r="F113" s="68">
        <v>0</v>
      </c>
      <c r="G113" s="68"/>
      <c r="H113" s="68">
        <v>0</v>
      </c>
      <c r="I113" s="68"/>
      <c r="J113" s="68">
        <v>0</v>
      </c>
      <c r="K113" s="68"/>
      <c r="L113" s="68">
        <v>0</v>
      </c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51">
        <f t="shared" si="26"/>
        <v>0</v>
      </c>
      <c r="AB113" s="51">
        <f t="shared" si="32"/>
        <v>0</v>
      </c>
      <c r="AD113" s="31">
        <f t="shared" si="28"/>
        <v>0</v>
      </c>
      <c r="AE113" s="31">
        <f t="shared" si="29"/>
        <v>0</v>
      </c>
      <c r="AF113" s="17">
        <f t="shared" si="30"/>
        <v>0</v>
      </c>
      <c r="AG113" s="17">
        <f t="shared" si="31"/>
        <v>0</v>
      </c>
      <c r="BB113" s="20"/>
    </row>
    <row r="114" spans="1:118" s="19" customFormat="1" ht="18" hidden="1" customHeight="1" outlineLevel="1" x14ac:dyDescent="0.25">
      <c r="A114" s="48" t="s">
        <v>118</v>
      </c>
      <c r="B114" s="53"/>
      <c r="C114" s="64"/>
      <c r="D114" s="68"/>
      <c r="E114" s="68"/>
      <c r="F114" s="68">
        <v>0</v>
      </c>
      <c r="G114" s="68"/>
      <c r="H114" s="68">
        <v>0</v>
      </c>
      <c r="I114" s="68"/>
      <c r="J114" s="68">
        <v>0</v>
      </c>
      <c r="K114" s="68"/>
      <c r="L114" s="68">
        <v>0</v>
      </c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51">
        <f t="shared" si="26"/>
        <v>0</v>
      </c>
      <c r="AB114" s="51">
        <f t="shared" si="32"/>
        <v>0</v>
      </c>
      <c r="AD114" s="31">
        <f t="shared" si="28"/>
        <v>0</v>
      </c>
      <c r="AE114" s="31">
        <f t="shared" si="29"/>
        <v>0</v>
      </c>
      <c r="AF114" s="17">
        <f t="shared" si="30"/>
        <v>0</v>
      </c>
      <c r="AG114" s="17">
        <f t="shared" si="31"/>
        <v>0</v>
      </c>
      <c r="BB114" s="20"/>
    </row>
    <row r="115" spans="1:118" s="17" customFormat="1" ht="18" hidden="1" customHeight="1" outlineLevel="1" x14ac:dyDescent="0.25">
      <c r="A115" s="67" t="s">
        <v>119</v>
      </c>
      <c r="B115" s="45"/>
      <c r="C115" s="33"/>
      <c r="D115" s="65"/>
      <c r="E115" s="65"/>
      <c r="F115" s="65">
        <f>SUM(F116:F122)</f>
        <v>0</v>
      </c>
      <c r="G115" s="65"/>
      <c r="H115" s="65">
        <f>SUM(H116:H122)</f>
        <v>0</v>
      </c>
      <c r="I115" s="65"/>
      <c r="J115" s="65">
        <f>SUM(J116:J122)</f>
        <v>0</v>
      </c>
      <c r="K115" s="65"/>
      <c r="L115" s="65">
        <f>SUM(L116:L122)</f>
        <v>0</v>
      </c>
      <c r="M115" s="65"/>
      <c r="N115" s="65">
        <f>SUM(N116:N122)</f>
        <v>0</v>
      </c>
      <c r="O115" s="65"/>
      <c r="P115" s="65">
        <f>SUM(P116:P122)</f>
        <v>0</v>
      </c>
      <c r="Q115" s="65"/>
      <c r="R115" s="65">
        <f>SUM(R116:R122)</f>
        <v>0</v>
      </c>
      <c r="S115" s="65"/>
      <c r="T115" s="65">
        <f>SUM(T116:T122)</f>
        <v>0</v>
      </c>
      <c r="U115" s="65"/>
      <c r="V115" s="65">
        <f>SUM(V116:V122)</f>
        <v>0</v>
      </c>
      <c r="W115" s="65"/>
      <c r="X115" s="65">
        <f>SUM(X116:X122)</f>
        <v>0</v>
      </c>
      <c r="Y115" s="65"/>
      <c r="Z115" s="65">
        <f>SUM(Z116:Z122)</f>
        <v>0</v>
      </c>
      <c r="AA115" s="51">
        <f t="shared" si="26"/>
        <v>0</v>
      </c>
      <c r="AB115" s="51">
        <f t="shared" si="32"/>
        <v>0</v>
      </c>
      <c r="AC115" s="21"/>
      <c r="AD115" s="31">
        <f t="shared" si="28"/>
        <v>0</v>
      </c>
      <c r="AE115" s="31">
        <f t="shared" si="29"/>
        <v>0</v>
      </c>
      <c r="AF115" s="17">
        <f t="shared" si="30"/>
        <v>0</v>
      </c>
      <c r="AG115" s="17">
        <f t="shared" si="31"/>
        <v>0</v>
      </c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66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</row>
    <row r="116" spans="1:118" s="19" customFormat="1" ht="18" hidden="1" customHeight="1" outlineLevel="2" x14ac:dyDescent="0.25">
      <c r="A116" s="48" t="s">
        <v>120</v>
      </c>
      <c r="B116" s="53"/>
      <c r="C116" s="64"/>
      <c r="D116" s="68"/>
      <c r="E116" s="68"/>
      <c r="F116" s="68">
        <v>0</v>
      </c>
      <c r="G116" s="68"/>
      <c r="H116" s="68">
        <v>0</v>
      </c>
      <c r="I116" s="68"/>
      <c r="J116" s="68">
        <v>0</v>
      </c>
      <c r="K116" s="68"/>
      <c r="L116" s="68">
        <v>0</v>
      </c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51">
        <f t="shared" si="26"/>
        <v>0</v>
      </c>
      <c r="AB116" s="51">
        <f t="shared" si="32"/>
        <v>0</v>
      </c>
      <c r="AD116" s="31">
        <f t="shared" si="28"/>
        <v>0</v>
      </c>
      <c r="AE116" s="31">
        <f t="shared" si="29"/>
        <v>0</v>
      </c>
      <c r="AF116" s="17">
        <f t="shared" si="30"/>
        <v>0</v>
      </c>
      <c r="AG116" s="17">
        <f t="shared" si="31"/>
        <v>0</v>
      </c>
      <c r="BB116" s="20"/>
    </row>
    <row r="117" spans="1:118" s="19" customFormat="1" ht="18" hidden="1" customHeight="1" outlineLevel="2" x14ac:dyDescent="0.25">
      <c r="A117" s="48" t="s">
        <v>121</v>
      </c>
      <c r="B117" s="53"/>
      <c r="C117" s="64"/>
      <c r="D117" s="68"/>
      <c r="E117" s="68"/>
      <c r="F117" s="68">
        <v>0</v>
      </c>
      <c r="G117" s="68"/>
      <c r="H117" s="68">
        <v>0</v>
      </c>
      <c r="I117" s="68"/>
      <c r="J117" s="68">
        <v>0</v>
      </c>
      <c r="K117" s="68"/>
      <c r="L117" s="68">
        <v>0</v>
      </c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51">
        <f t="shared" si="26"/>
        <v>0</v>
      </c>
      <c r="AB117" s="51">
        <f t="shared" si="32"/>
        <v>0</v>
      </c>
      <c r="AD117" s="31">
        <f t="shared" si="28"/>
        <v>0</v>
      </c>
      <c r="AE117" s="31">
        <f t="shared" si="29"/>
        <v>0</v>
      </c>
      <c r="AF117" s="17">
        <f t="shared" si="30"/>
        <v>0</v>
      </c>
      <c r="AG117" s="17">
        <f t="shared" si="31"/>
        <v>0</v>
      </c>
      <c r="BB117" s="20"/>
    </row>
    <row r="118" spans="1:118" s="19" customFormat="1" ht="18" hidden="1" customHeight="1" outlineLevel="2" x14ac:dyDescent="0.25">
      <c r="A118" s="48" t="s">
        <v>122</v>
      </c>
      <c r="B118" s="53"/>
      <c r="C118" s="64"/>
      <c r="D118" s="68"/>
      <c r="E118" s="68"/>
      <c r="F118" s="68">
        <v>0</v>
      </c>
      <c r="G118" s="68"/>
      <c r="H118" s="68">
        <v>0</v>
      </c>
      <c r="I118" s="68"/>
      <c r="J118" s="68">
        <v>0</v>
      </c>
      <c r="K118" s="68"/>
      <c r="L118" s="68">
        <v>0</v>
      </c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51">
        <f t="shared" si="26"/>
        <v>0</v>
      </c>
      <c r="AB118" s="51">
        <f t="shared" si="32"/>
        <v>0</v>
      </c>
      <c r="AD118" s="31">
        <f t="shared" si="28"/>
        <v>0</v>
      </c>
      <c r="AE118" s="31">
        <f t="shared" si="29"/>
        <v>0</v>
      </c>
      <c r="AF118" s="17">
        <f t="shared" si="30"/>
        <v>0</v>
      </c>
      <c r="AG118" s="17">
        <f t="shared" si="31"/>
        <v>0</v>
      </c>
      <c r="BB118" s="20"/>
    </row>
    <row r="119" spans="1:118" s="19" customFormat="1" ht="18" hidden="1" customHeight="1" outlineLevel="2" x14ac:dyDescent="0.25">
      <c r="A119" s="48" t="s">
        <v>123</v>
      </c>
      <c r="B119" s="53"/>
      <c r="C119" s="64"/>
      <c r="D119" s="68"/>
      <c r="E119" s="68"/>
      <c r="F119" s="68">
        <v>0</v>
      </c>
      <c r="G119" s="68"/>
      <c r="H119" s="68">
        <v>0</v>
      </c>
      <c r="I119" s="68"/>
      <c r="J119" s="68">
        <v>0</v>
      </c>
      <c r="K119" s="68"/>
      <c r="L119" s="68">
        <v>0</v>
      </c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51">
        <f t="shared" si="26"/>
        <v>0</v>
      </c>
      <c r="AB119" s="51">
        <f t="shared" si="32"/>
        <v>0</v>
      </c>
      <c r="AD119" s="31">
        <f t="shared" si="28"/>
        <v>0</v>
      </c>
      <c r="AE119" s="31">
        <f t="shared" si="29"/>
        <v>0</v>
      </c>
      <c r="AF119" s="17">
        <f t="shared" si="30"/>
        <v>0</v>
      </c>
      <c r="AG119" s="17">
        <f t="shared" si="31"/>
        <v>0</v>
      </c>
      <c r="BB119" s="20"/>
    </row>
    <row r="120" spans="1:118" s="19" customFormat="1" ht="18" hidden="1" customHeight="1" outlineLevel="2" x14ac:dyDescent="0.25">
      <c r="A120" s="48" t="s">
        <v>124</v>
      </c>
      <c r="B120" s="53"/>
      <c r="C120" s="64"/>
      <c r="D120" s="68"/>
      <c r="E120" s="68"/>
      <c r="F120" s="68">
        <v>0</v>
      </c>
      <c r="G120" s="68"/>
      <c r="H120" s="68">
        <v>0</v>
      </c>
      <c r="I120" s="68"/>
      <c r="J120" s="68">
        <v>0</v>
      </c>
      <c r="K120" s="68"/>
      <c r="L120" s="68">
        <v>0</v>
      </c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51">
        <f t="shared" si="26"/>
        <v>0</v>
      </c>
      <c r="AB120" s="51">
        <f t="shared" si="32"/>
        <v>0</v>
      </c>
      <c r="AD120" s="31">
        <f t="shared" si="28"/>
        <v>0</v>
      </c>
      <c r="AE120" s="31">
        <f t="shared" si="29"/>
        <v>0</v>
      </c>
      <c r="AF120" s="17">
        <f t="shared" si="30"/>
        <v>0</v>
      </c>
      <c r="AG120" s="17">
        <f t="shared" si="31"/>
        <v>0</v>
      </c>
      <c r="BB120" s="20"/>
    </row>
    <row r="121" spans="1:118" s="19" customFormat="1" ht="18" hidden="1" customHeight="1" outlineLevel="2" x14ac:dyDescent="0.25">
      <c r="A121" s="48" t="s">
        <v>125</v>
      </c>
      <c r="B121" s="53"/>
      <c r="C121" s="64"/>
      <c r="D121" s="68"/>
      <c r="E121" s="68"/>
      <c r="F121" s="68">
        <v>0</v>
      </c>
      <c r="G121" s="68"/>
      <c r="H121" s="68">
        <v>0</v>
      </c>
      <c r="I121" s="68"/>
      <c r="J121" s="68">
        <v>0</v>
      </c>
      <c r="K121" s="68"/>
      <c r="L121" s="68">
        <v>0</v>
      </c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51">
        <f t="shared" si="26"/>
        <v>0</v>
      </c>
      <c r="AB121" s="51">
        <f t="shared" si="32"/>
        <v>0</v>
      </c>
      <c r="AD121" s="31">
        <f t="shared" si="28"/>
        <v>0</v>
      </c>
      <c r="AE121" s="31">
        <f t="shared" si="29"/>
        <v>0</v>
      </c>
      <c r="AF121" s="17">
        <f t="shared" si="30"/>
        <v>0</v>
      </c>
      <c r="AG121" s="17">
        <f t="shared" si="31"/>
        <v>0</v>
      </c>
      <c r="BB121" s="20"/>
    </row>
    <row r="122" spans="1:118" s="19" customFormat="1" ht="18" hidden="1" customHeight="1" outlineLevel="2" x14ac:dyDescent="0.25">
      <c r="A122" s="48" t="s">
        <v>126</v>
      </c>
      <c r="B122" s="53"/>
      <c r="C122" s="64"/>
      <c r="D122" s="68"/>
      <c r="E122" s="68"/>
      <c r="F122" s="68">
        <v>0</v>
      </c>
      <c r="G122" s="68"/>
      <c r="H122" s="68">
        <v>0</v>
      </c>
      <c r="I122" s="68"/>
      <c r="J122" s="68">
        <v>0</v>
      </c>
      <c r="K122" s="68"/>
      <c r="L122" s="68">
        <v>0</v>
      </c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51">
        <f t="shared" si="26"/>
        <v>0</v>
      </c>
      <c r="AB122" s="51">
        <f t="shared" si="32"/>
        <v>0</v>
      </c>
      <c r="AD122" s="31">
        <f t="shared" si="28"/>
        <v>0</v>
      </c>
      <c r="AE122" s="31">
        <f t="shared" si="29"/>
        <v>0</v>
      </c>
      <c r="AF122" s="17">
        <f t="shared" si="30"/>
        <v>0</v>
      </c>
      <c r="AG122" s="17">
        <f t="shared" si="31"/>
        <v>0</v>
      </c>
      <c r="BB122" s="20"/>
    </row>
    <row r="123" spans="1:118" s="19" customFormat="1" ht="18" hidden="1" customHeight="1" outlineLevel="1" collapsed="1" x14ac:dyDescent="0.25">
      <c r="A123" s="48" t="s">
        <v>127</v>
      </c>
      <c r="B123" s="53"/>
      <c r="C123" s="64"/>
      <c r="D123" s="68"/>
      <c r="E123" s="68"/>
      <c r="F123" s="68">
        <v>0</v>
      </c>
      <c r="G123" s="68"/>
      <c r="H123" s="68">
        <v>0</v>
      </c>
      <c r="I123" s="68"/>
      <c r="J123" s="68">
        <v>0</v>
      </c>
      <c r="K123" s="68"/>
      <c r="L123" s="68">
        <v>0</v>
      </c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51">
        <f t="shared" si="26"/>
        <v>0</v>
      </c>
      <c r="AB123" s="51">
        <f t="shared" si="32"/>
        <v>0</v>
      </c>
      <c r="AD123" s="31">
        <f t="shared" si="28"/>
        <v>0</v>
      </c>
      <c r="AE123" s="31">
        <f t="shared" si="29"/>
        <v>0</v>
      </c>
      <c r="AF123" s="17">
        <f t="shared" si="30"/>
        <v>0</v>
      </c>
      <c r="AG123" s="17">
        <f t="shared" si="31"/>
        <v>0</v>
      </c>
      <c r="BB123" s="20"/>
    </row>
    <row r="124" spans="1:118" s="19" customFormat="1" ht="18" hidden="1" customHeight="1" outlineLevel="1" x14ac:dyDescent="0.25">
      <c r="A124" s="48" t="s">
        <v>128</v>
      </c>
      <c r="B124" s="53"/>
      <c r="C124" s="64"/>
      <c r="D124" s="68"/>
      <c r="E124" s="68"/>
      <c r="F124" s="68">
        <v>0</v>
      </c>
      <c r="G124" s="68"/>
      <c r="H124" s="68">
        <v>0</v>
      </c>
      <c r="I124" s="68"/>
      <c r="J124" s="68">
        <v>0</v>
      </c>
      <c r="K124" s="68"/>
      <c r="L124" s="68">
        <v>0</v>
      </c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51">
        <f t="shared" si="26"/>
        <v>0</v>
      </c>
      <c r="AB124" s="51">
        <f t="shared" si="32"/>
        <v>0</v>
      </c>
      <c r="AD124" s="31">
        <f t="shared" si="28"/>
        <v>0</v>
      </c>
      <c r="AE124" s="31">
        <f t="shared" si="29"/>
        <v>0</v>
      </c>
      <c r="AF124" s="17">
        <f t="shared" si="30"/>
        <v>0</v>
      </c>
      <c r="AG124" s="17">
        <f t="shared" si="31"/>
        <v>0</v>
      </c>
      <c r="BB124" s="20"/>
    </row>
    <row r="125" spans="1:118" s="19" customFormat="1" ht="18" hidden="1" customHeight="1" outlineLevel="1" x14ac:dyDescent="0.25">
      <c r="A125" s="48" t="s">
        <v>129</v>
      </c>
      <c r="B125" s="53"/>
      <c r="C125" s="64"/>
      <c r="D125" s="68"/>
      <c r="E125" s="68"/>
      <c r="F125" s="68">
        <v>0</v>
      </c>
      <c r="G125" s="68"/>
      <c r="H125" s="68">
        <v>0</v>
      </c>
      <c r="I125" s="68"/>
      <c r="J125" s="68">
        <v>0</v>
      </c>
      <c r="K125" s="68"/>
      <c r="L125" s="68">
        <v>0</v>
      </c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51">
        <f t="shared" si="26"/>
        <v>0</v>
      </c>
      <c r="AB125" s="51">
        <f t="shared" si="32"/>
        <v>0</v>
      </c>
      <c r="AD125" s="31">
        <f t="shared" si="28"/>
        <v>0</v>
      </c>
      <c r="AE125" s="31">
        <f t="shared" si="29"/>
        <v>0</v>
      </c>
      <c r="AF125" s="17">
        <f t="shared" si="30"/>
        <v>0</v>
      </c>
      <c r="AG125" s="17">
        <f t="shared" si="31"/>
        <v>0</v>
      </c>
      <c r="BB125" s="20"/>
    </row>
    <row r="126" spans="1:118" s="17" customFormat="1" ht="18" hidden="1" customHeight="1" outlineLevel="1" x14ac:dyDescent="0.25">
      <c r="A126" s="67" t="s">
        <v>130</v>
      </c>
      <c r="B126" s="45"/>
      <c r="C126" s="33"/>
      <c r="D126" s="65"/>
      <c r="E126" s="65"/>
      <c r="F126" s="65">
        <f>SUM(F127:F131)</f>
        <v>0</v>
      </c>
      <c r="G126" s="65"/>
      <c r="H126" s="65">
        <f>SUM(H127:H131)</f>
        <v>0</v>
      </c>
      <c r="I126" s="65"/>
      <c r="J126" s="65">
        <f>SUM(J127:J131)</f>
        <v>0</v>
      </c>
      <c r="K126" s="65"/>
      <c r="L126" s="65">
        <f>SUM(L127:L131)</f>
        <v>0</v>
      </c>
      <c r="M126" s="65"/>
      <c r="N126" s="65">
        <f>SUM(N127:N131)</f>
        <v>0</v>
      </c>
      <c r="O126" s="65"/>
      <c r="P126" s="65">
        <f>SUM(P127:P131)</f>
        <v>0</v>
      </c>
      <c r="Q126" s="65"/>
      <c r="R126" s="65">
        <f>SUM(R127:R131)</f>
        <v>0</v>
      </c>
      <c r="S126" s="65"/>
      <c r="T126" s="65">
        <f>SUM(T127:T131)</f>
        <v>0</v>
      </c>
      <c r="U126" s="65"/>
      <c r="V126" s="65">
        <f>SUM(V127:V131)</f>
        <v>0</v>
      </c>
      <c r="W126" s="65"/>
      <c r="X126" s="65">
        <f>SUM(X127:X131)</f>
        <v>0</v>
      </c>
      <c r="Y126" s="65"/>
      <c r="Z126" s="65">
        <f>SUM(Z127:Z131)</f>
        <v>0</v>
      </c>
      <c r="AA126" s="51">
        <f t="shared" si="26"/>
        <v>0</v>
      </c>
      <c r="AB126" s="51">
        <f t="shared" si="32"/>
        <v>0</v>
      </c>
      <c r="AC126" s="21"/>
      <c r="AD126" s="31">
        <f t="shared" si="28"/>
        <v>0</v>
      </c>
      <c r="AE126" s="31">
        <f t="shared" si="29"/>
        <v>0</v>
      </c>
      <c r="AF126" s="17">
        <f t="shared" si="30"/>
        <v>0</v>
      </c>
      <c r="AG126" s="17">
        <f t="shared" si="31"/>
        <v>0</v>
      </c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66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</row>
    <row r="127" spans="1:118" s="19" customFormat="1" ht="18" hidden="1" customHeight="1" outlineLevel="2" x14ac:dyDescent="0.25">
      <c r="A127" s="48" t="s">
        <v>131</v>
      </c>
      <c r="B127" s="53"/>
      <c r="C127" s="64"/>
      <c r="D127" s="68"/>
      <c r="E127" s="68"/>
      <c r="F127" s="68">
        <v>0</v>
      </c>
      <c r="G127" s="68"/>
      <c r="H127" s="68">
        <v>0</v>
      </c>
      <c r="I127" s="68"/>
      <c r="J127" s="68">
        <v>0</v>
      </c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51">
        <f t="shared" si="26"/>
        <v>0</v>
      </c>
      <c r="AB127" s="51">
        <f t="shared" si="32"/>
        <v>0</v>
      </c>
      <c r="AD127" s="31">
        <f t="shared" si="28"/>
        <v>0</v>
      </c>
      <c r="AE127" s="31">
        <f t="shared" si="29"/>
        <v>0</v>
      </c>
      <c r="AF127" s="17">
        <f t="shared" si="30"/>
        <v>0</v>
      </c>
      <c r="AG127" s="17">
        <f t="shared" si="31"/>
        <v>0</v>
      </c>
      <c r="BB127" s="20"/>
    </row>
    <row r="128" spans="1:118" s="19" customFormat="1" ht="18" hidden="1" customHeight="1" outlineLevel="2" x14ac:dyDescent="0.25">
      <c r="A128" s="48" t="s">
        <v>132</v>
      </c>
      <c r="B128" s="53"/>
      <c r="C128" s="64"/>
      <c r="D128" s="68"/>
      <c r="E128" s="68"/>
      <c r="F128" s="68">
        <v>0</v>
      </c>
      <c r="G128" s="68"/>
      <c r="H128" s="68">
        <v>0</v>
      </c>
      <c r="I128" s="68"/>
      <c r="J128" s="68">
        <v>0</v>
      </c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51">
        <f t="shared" si="26"/>
        <v>0</v>
      </c>
      <c r="AB128" s="51">
        <f t="shared" si="32"/>
        <v>0</v>
      </c>
      <c r="AD128" s="31">
        <f t="shared" si="28"/>
        <v>0</v>
      </c>
      <c r="AE128" s="31">
        <f t="shared" si="29"/>
        <v>0</v>
      </c>
      <c r="AF128" s="17">
        <f t="shared" si="30"/>
        <v>0</v>
      </c>
      <c r="AG128" s="17">
        <f t="shared" si="31"/>
        <v>0</v>
      </c>
      <c r="BB128" s="20"/>
    </row>
    <row r="129" spans="1:118" s="19" customFormat="1" ht="18" hidden="1" customHeight="1" outlineLevel="2" x14ac:dyDescent="0.25">
      <c r="A129" s="48" t="s">
        <v>180</v>
      </c>
      <c r="B129" s="53"/>
      <c r="C129" s="64"/>
      <c r="D129" s="68"/>
      <c r="E129" s="68"/>
      <c r="F129" s="68">
        <v>0</v>
      </c>
      <c r="G129" s="68"/>
      <c r="H129" s="68">
        <v>0</v>
      </c>
      <c r="I129" s="68"/>
      <c r="J129" s="68">
        <v>0</v>
      </c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51">
        <f t="shared" si="26"/>
        <v>0</v>
      </c>
      <c r="AB129" s="51">
        <f t="shared" si="32"/>
        <v>0</v>
      </c>
      <c r="AD129" s="31">
        <f t="shared" si="28"/>
        <v>0</v>
      </c>
      <c r="AE129" s="31">
        <f t="shared" si="29"/>
        <v>0</v>
      </c>
      <c r="AF129" s="17">
        <f t="shared" si="30"/>
        <v>0</v>
      </c>
      <c r="AG129" s="17">
        <f t="shared" si="31"/>
        <v>0</v>
      </c>
      <c r="BB129" s="20"/>
    </row>
    <row r="130" spans="1:118" s="19" customFormat="1" ht="18" hidden="1" customHeight="1" outlineLevel="2" x14ac:dyDescent="0.25">
      <c r="A130" s="48" t="s">
        <v>134</v>
      </c>
      <c r="B130" s="53"/>
      <c r="C130" s="64"/>
      <c r="D130" s="68"/>
      <c r="E130" s="68"/>
      <c r="F130" s="68">
        <v>0</v>
      </c>
      <c r="G130" s="68"/>
      <c r="H130" s="68">
        <v>0</v>
      </c>
      <c r="I130" s="68"/>
      <c r="J130" s="68">
        <v>0</v>
      </c>
      <c r="K130" s="68"/>
      <c r="L130" s="68">
        <v>0</v>
      </c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51">
        <f t="shared" si="26"/>
        <v>0</v>
      </c>
      <c r="AB130" s="51">
        <f t="shared" si="32"/>
        <v>0</v>
      </c>
      <c r="AD130" s="31">
        <f t="shared" si="28"/>
        <v>0</v>
      </c>
      <c r="AE130" s="31">
        <f t="shared" si="29"/>
        <v>0</v>
      </c>
      <c r="AF130" s="17">
        <f t="shared" si="30"/>
        <v>0</v>
      </c>
      <c r="AG130" s="17">
        <f t="shared" si="31"/>
        <v>0</v>
      </c>
      <c r="BB130" s="20"/>
    </row>
    <row r="131" spans="1:118" s="19" customFormat="1" ht="18" hidden="1" customHeight="1" outlineLevel="2" x14ac:dyDescent="0.25">
      <c r="A131" s="48" t="s">
        <v>135</v>
      </c>
      <c r="B131" s="53"/>
      <c r="C131" s="64"/>
      <c r="D131" s="68"/>
      <c r="E131" s="68"/>
      <c r="F131" s="68">
        <v>0</v>
      </c>
      <c r="G131" s="68"/>
      <c r="H131" s="68">
        <v>0</v>
      </c>
      <c r="I131" s="68"/>
      <c r="J131" s="68">
        <v>0</v>
      </c>
      <c r="K131" s="68"/>
      <c r="L131" s="68">
        <v>0</v>
      </c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51">
        <f t="shared" si="26"/>
        <v>0</v>
      </c>
      <c r="AB131" s="51">
        <f t="shared" si="32"/>
        <v>0</v>
      </c>
      <c r="AD131" s="31">
        <f t="shared" si="28"/>
        <v>0</v>
      </c>
      <c r="AE131" s="31">
        <f t="shared" si="29"/>
        <v>0</v>
      </c>
      <c r="AF131" s="17">
        <f t="shared" si="30"/>
        <v>0</v>
      </c>
      <c r="AG131" s="17">
        <f t="shared" si="31"/>
        <v>0</v>
      </c>
      <c r="BB131" s="20"/>
    </row>
    <row r="132" spans="1:118" s="19" customFormat="1" ht="18" hidden="1" customHeight="1" outlineLevel="1" collapsed="1" x14ac:dyDescent="0.25">
      <c r="A132" s="48" t="s">
        <v>136</v>
      </c>
      <c r="B132" s="53"/>
      <c r="C132" s="64"/>
      <c r="D132" s="68"/>
      <c r="E132" s="68"/>
      <c r="F132" s="68">
        <v>0</v>
      </c>
      <c r="G132" s="68"/>
      <c r="H132" s="68">
        <v>0</v>
      </c>
      <c r="I132" s="68"/>
      <c r="J132" s="68">
        <v>0</v>
      </c>
      <c r="K132" s="68"/>
      <c r="L132" s="68">
        <v>0</v>
      </c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51">
        <f t="shared" si="26"/>
        <v>0</v>
      </c>
      <c r="AB132" s="51">
        <f t="shared" si="32"/>
        <v>0</v>
      </c>
      <c r="AD132" s="31">
        <f t="shared" si="28"/>
        <v>0</v>
      </c>
      <c r="AE132" s="31">
        <f t="shared" si="29"/>
        <v>0</v>
      </c>
      <c r="AF132" s="17">
        <f t="shared" si="30"/>
        <v>0</v>
      </c>
      <c r="AG132" s="17">
        <f t="shared" si="31"/>
        <v>0</v>
      </c>
      <c r="BB132" s="20"/>
    </row>
    <row r="133" spans="1:118" s="19" customFormat="1" ht="18" hidden="1" customHeight="1" outlineLevel="1" x14ac:dyDescent="0.25">
      <c r="A133" s="48" t="s">
        <v>137</v>
      </c>
      <c r="B133" s="53"/>
      <c r="C133" s="64"/>
      <c r="D133" s="68"/>
      <c r="E133" s="68"/>
      <c r="F133" s="68">
        <v>0</v>
      </c>
      <c r="G133" s="68"/>
      <c r="H133" s="68">
        <v>0</v>
      </c>
      <c r="I133" s="68"/>
      <c r="J133" s="68">
        <v>0</v>
      </c>
      <c r="K133" s="68"/>
      <c r="L133" s="68">
        <v>0</v>
      </c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51">
        <f t="shared" si="26"/>
        <v>0</v>
      </c>
      <c r="AB133" s="51">
        <f t="shared" si="32"/>
        <v>0</v>
      </c>
      <c r="AD133" s="31">
        <f t="shared" si="28"/>
        <v>0</v>
      </c>
      <c r="AE133" s="31">
        <f t="shared" si="29"/>
        <v>0</v>
      </c>
      <c r="AF133" s="17">
        <f t="shared" si="30"/>
        <v>0</v>
      </c>
      <c r="AG133" s="17">
        <f t="shared" si="31"/>
        <v>0</v>
      </c>
      <c r="BB133" s="20"/>
    </row>
    <row r="134" spans="1:118" s="19" customFormat="1" ht="18" hidden="1" customHeight="1" outlineLevel="1" x14ac:dyDescent="0.25">
      <c r="A134" s="48" t="s">
        <v>138</v>
      </c>
      <c r="B134" s="53"/>
      <c r="C134" s="64"/>
      <c r="D134" s="68"/>
      <c r="E134" s="68"/>
      <c r="F134" s="68">
        <v>0</v>
      </c>
      <c r="G134" s="68"/>
      <c r="H134" s="68">
        <v>0</v>
      </c>
      <c r="I134" s="68"/>
      <c r="J134" s="68">
        <v>0</v>
      </c>
      <c r="K134" s="68"/>
      <c r="L134" s="68">
        <v>0</v>
      </c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51">
        <f t="shared" si="26"/>
        <v>0</v>
      </c>
      <c r="AB134" s="51">
        <f t="shared" si="32"/>
        <v>0</v>
      </c>
      <c r="AD134" s="31">
        <f t="shared" si="28"/>
        <v>0</v>
      </c>
      <c r="AE134" s="31">
        <f t="shared" si="29"/>
        <v>0</v>
      </c>
      <c r="AF134" s="17">
        <f t="shared" si="30"/>
        <v>0</v>
      </c>
      <c r="AG134" s="17">
        <f t="shared" si="31"/>
        <v>0</v>
      </c>
      <c r="BB134" s="20"/>
    </row>
    <row r="135" spans="1:118" s="19" customFormat="1" ht="18" hidden="1" customHeight="1" outlineLevel="1" x14ac:dyDescent="0.25">
      <c r="A135" s="48" t="s">
        <v>139</v>
      </c>
      <c r="B135" s="53"/>
      <c r="C135" s="64"/>
      <c r="D135" s="68"/>
      <c r="E135" s="68"/>
      <c r="F135" s="68">
        <v>0</v>
      </c>
      <c r="G135" s="68"/>
      <c r="H135" s="68">
        <v>0</v>
      </c>
      <c r="I135" s="68"/>
      <c r="J135" s="68">
        <v>0</v>
      </c>
      <c r="K135" s="68"/>
      <c r="L135" s="68">
        <v>0</v>
      </c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51">
        <f t="shared" si="26"/>
        <v>0</v>
      </c>
      <c r="AB135" s="51">
        <f t="shared" si="32"/>
        <v>0</v>
      </c>
      <c r="AD135" s="31">
        <f t="shared" si="28"/>
        <v>0</v>
      </c>
      <c r="AE135" s="31">
        <f t="shared" si="29"/>
        <v>0</v>
      </c>
      <c r="AF135" s="17">
        <f t="shared" si="30"/>
        <v>0</v>
      </c>
      <c r="AG135" s="17">
        <f t="shared" si="31"/>
        <v>0</v>
      </c>
      <c r="BB135" s="20"/>
    </row>
    <row r="136" spans="1:118" s="19" customFormat="1" ht="18" hidden="1" customHeight="1" outlineLevel="1" x14ac:dyDescent="0.25">
      <c r="A136" s="48" t="s">
        <v>140</v>
      </c>
      <c r="B136" s="53"/>
      <c r="C136" s="64"/>
      <c r="D136" s="68"/>
      <c r="E136" s="68"/>
      <c r="F136" s="68">
        <v>0</v>
      </c>
      <c r="G136" s="68"/>
      <c r="H136" s="68">
        <v>0</v>
      </c>
      <c r="I136" s="68"/>
      <c r="J136" s="68">
        <v>0</v>
      </c>
      <c r="K136" s="68"/>
      <c r="L136" s="68">
        <v>0</v>
      </c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51">
        <f t="shared" si="26"/>
        <v>0</v>
      </c>
      <c r="AB136" s="51">
        <f t="shared" si="32"/>
        <v>0</v>
      </c>
      <c r="AD136" s="31">
        <f t="shared" si="28"/>
        <v>0</v>
      </c>
      <c r="AE136" s="31">
        <f t="shared" si="29"/>
        <v>0</v>
      </c>
      <c r="AF136" s="17">
        <f t="shared" si="30"/>
        <v>0</v>
      </c>
      <c r="AG136" s="17">
        <f t="shared" si="31"/>
        <v>0</v>
      </c>
      <c r="BB136" s="20"/>
    </row>
    <row r="137" spans="1:118" s="19" customFormat="1" ht="18" hidden="1" customHeight="1" outlineLevel="1" x14ac:dyDescent="0.25">
      <c r="A137" s="48" t="s">
        <v>141</v>
      </c>
      <c r="B137" s="53"/>
      <c r="C137" s="64"/>
      <c r="D137" s="68"/>
      <c r="E137" s="68"/>
      <c r="F137" s="68">
        <v>0</v>
      </c>
      <c r="G137" s="68"/>
      <c r="H137" s="68">
        <v>0</v>
      </c>
      <c r="I137" s="68"/>
      <c r="J137" s="68">
        <v>0</v>
      </c>
      <c r="K137" s="68"/>
      <c r="L137" s="68">
        <v>0</v>
      </c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51">
        <f t="shared" si="26"/>
        <v>0</v>
      </c>
      <c r="AB137" s="51">
        <f t="shared" si="32"/>
        <v>0</v>
      </c>
      <c r="AD137" s="31">
        <f t="shared" si="28"/>
        <v>0</v>
      </c>
      <c r="AE137" s="31">
        <f t="shared" si="29"/>
        <v>0</v>
      </c>
      <c r="AF137" s="17">
        <f t="shared" si="30"/>
        <v>0</v>
      </c>
      <c r="AG137" s="17">
        <f t="shared" si="31"/>
        <v>0</v>
      </c>
      <c r="BB137" s="20"/>
    </row>
    <row r="138" spans="1:118" s="17" customFormat="1" ht="18" hidden="1" customHeight="1" outlineLevel="1" x14ac:dyDescent="0.25">
      <c r="A138" s="67" t="s">
        <v>142</v>
      </c>
      <c r="B138" s="45"/>
      <c r="C138" s="33"/>
      <c r="D138" s="65"/>
      <c r="E138" s="65"/>
      <c r="F138" s="65">
        <f>SUM(F139:F142)</f>
        <v>0</v>
      </c>
      <c r="G138" s="65"/>
      <c r="H138" s="65">
        <f>SUM(H139:H142)</f>
        <v>0</v>
      </c>
      <c r="I138" s="65"/>
      <c r="J138" s="65">
        <f>SUM(J139:J142)</f>
        <v>0</v>
      </c>
      <c r="K138" s="65"/>
      <c r="L138" s="65">
        <f>SUM(L139:L142)</f>
        <v>0</v>
      </c>
      <c r="M138" s="65"/>
      <c r="N138" s="65">
        <f>SUM(N139:N142)</f>
        <v>0</v>
      </c>
      <c r="O138" s="65"/>
      <c r="P138" s="65">
        <f>SUM(P139:P142)</f>
        <v>0</v>
      </c>
      <c r="Q138" s="65"/>
      <c r="R138" s="65">
        <f>SUM(R139:R142)</f>
        <v>0</v>
      </c>
      <c r="S138" s="65"/>
      <c r="T138" s="65">
        <f>SUM(T139:T142)</f>
        <v>0</v>
      </c>
      <c r="U138" s="65"/>
      <c r="V138" s="65">
        <f>SUM(V139:V142)</f>
        <v>0</v>
      </c>
      <c r="W138" s="65"/>
      <c r="X138" s="65">
        <f>SUM(X139:X142)</f>
        <v>0</v>
      </c>
      <c r="Y138" s="65"/>
      <c r="Z138" s="65">
        <f>SUM(Z139:Z142)</f>
        <v>0</v>
      </c>
      <c r="AA138" s="51">
        <f t="shared" si="26"/>
        <v>0</v>
      </c>
      <c r="AB138" s="51">
        <f t="shared" si="32"/>
        <v>0</v>
      </c>
      <c r="AC138" s="21"/>
      <c r="AD138" s="31">
        <f t="shared" si="28"/>
        <v>0</v>
      </c>
      <c r="AE138" s="31">
        <f t="shared" si="29"/>
        <v>0</v>
      </c>
      <c r="AF138" s="17">
        <f t="shared" si="30"/>
        <v>0</v>
      </c>
      <c r="AG138" s="17">
        <f t="shared" si="31"/>
        <v>0</v>
      </c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66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</row>
    <row r="139" spans="1:118" s="19" customFormat="1" ht="18" hidden="1" customHeight="1" outlineLevel="2" x14ac:dyDescent="0.25">
      <c r="A139" s="48" t="s">
        <v>143</v>
      </c>
      <c r="B139" s="53"/>
      <c r="C139" s="64"/>
      <c r="D139" s="68"/>
      <c r="E139" s="68"/>
      <c r="F139" s="68">
        <v>0</v>
      </c>
      <c r="G139" s="68"/>
      <c r="H139" s="68">
        <v>0</v>
      </c>
      <c r="I139" s="68"/>
      <c r="J139" s="68">
        <v>0</v>
      </c>
      <c r="K139" s="68"/>
      <c r="L139" s="68">
        <v>0</v>
      </c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51">
        <f t="shared" si="26"/>
        <v>0</v>
      </c>
      <c r="AB139" s="51">
        <f t="shared" si="32"/>
        <v>0</v>
      </c>
      <c r="AD139" s="31">
        <f t="shared" si="28"/>
        <v>0</v>
      </c>
      <c r="AE139" s="31">
        <f t="shared" si="29"/>
        <v>0</v>
      </c>
      <c r="AF139" s="17">
        <f t="shared" si="30"/>
        <v>0</v>
      </c>
      <c r="AG139" s="17">
        <f t="shared" si="31"/>
        <v>0</v>
      </c>
      <c r="BB139" s="20"/>
    </row>
    <row r="140" spans="1:118" s="19" customFormat="1" ht="18" hidden="1" customHeight="1" outlineLevel="2" x14ac:dyDescent="0.25">
      <c r="A140" s="48" t="s">
        <v>144</v>
      </c>
      <c r="B140" s="53"/>
      <c r="C140" s="64"/>
      <c r="D140" s="68"/>
      <c r="E140" s="68"/>
      <c r="F140" s="68">
        <v>0</v>
      </c>
      <c r="G140" s="68"/>
      <c r="H140" s="68">
        <v>0</v>
      </c>
      <c r="I140" s="68"/>
      <c r="J140" s="68">
        <v>0</v>
      </c>
      <c r="K140" s="68"/>
      <c r="L140" s="68">
        <v>0</v>
      </c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51">
        <f t="shared" si="26"/>
        <v>0</v>
      </c>
      <c r="AB140" s="51">
        <f t="shared" si="32"/>
        <v>0</v>
      </c>
      <c r="AD140" s="31">
        <f t="shared" si="28"/>
        <v>0</v>
      </c>
      <c r="AE140" s="31">
        <f t="shared" si="29"/>
        <v>0</v>
      </c>
      <c r="AF140" s="17">
        <f t="shared" si="30"/>
        <v>0</v>
      </c>
      <c r="AG140" s="17">
        <f t="shared" si="31"/>
        <v>0</v>
      </c>
      <c r="BB140" s="20"/>
    </row>
    <row r="141" spans="1:118" s="19" customFormat="1" ht="18" hidden="1" customHeight="1" outlineLevel="2" x14ac:dyDescent="0.25">
      <c r="A141" s="48" t="s">
        <v>145</v>
      </c>
      <c r="B141" s="53"/>
      <c r="C141" s="64"/>
      <c r="D141" s="68"/>
      <c r="E141" s="68"/>
      <c r="F141" s="68">
        <v>0</v>
      </c>
      <c r="G141" s="68"/>
      <c r="H141" s="68">
        <v>0</v>
      </c>
      <c r="I141" s="68"/>
      <c r="J141" s="68">
        <v>0</v>
      </c>
      <c r="K141" s="68"/>
      <c r="L141" s="68">
        <v>0</v>
      </c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51">
        <f t="shared" si="26"/>
        <v>0</v>
      </c>
      <c r="AB141" s="51">
        <f t="shared" si="32"/>
        <v>0</v>
      </c>
      <c r="AD141" s="31">
        <f t="shared" si="28"/>
        <v>0</v>
      </c>
      <c r="AE141" s="31">
        <f t="shared" si="29"/>
        <v>0</v>
      </c>
      <c r="AF141" s="17">
        <f t="shared" si="30"/>
        <v>0</v>
      </c>
      <c r="AG141" s="17">
        <f t="shared" si="31"/>
        <v>0</v>
      </c>
      <c r="BB141" s="20"/>
    </row>
    <row r="142" spans="1:118" s="19" customFormat="1" ht="18" hidden="1" customHeight="1" outlineLevel="2" x14ac:dyDescent="0.25">
      <c r="A142" s="48" t="s">
        <v>146</v>
      </c>
      <c r="B142" s="53"/>
      <c r="C142" s="64"/>
      <c r="D142" s="68"/>
      <c r="E142" s="68"/>
      <c r="F142" s="68">
        <v>0</v>
      </c>
      <c r="G142" s="68"/>
      <c r="H142" s="68">
        <v>0</v>
      </c>
      <c r="I142" s="68"/>
      <c r="J142" s="68">
        <v>0</v>
      </c>
      <c r="K142" s="68"/>
      <c r="L142" s="68">
        <v>0</v>
      </c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51">
        <f t="shared" si="26"/>
        <v>0</v>
      </c>
      <c r="AB142" s="51">
        <f t="shared" si="32"/>
        <v>0</v>
      </c>
      <c r="AD142" s="31">
        <f t="shared" si="28"/>
        <v>0</v>
      </c>
      <c r="AE142" s="31">
        <f t="shared" si="29"/>
        <v>0</v>
      </c>
      <c r="AF142" s="17">
        <f t="shared" si="30"/>
        <v>0</v>
      </c>
      <c r="AG142" s="17">
        <f t="shared" si="31"/>
        <v>0</v>
      </c>
      <c r="BB142" s="20"/>
    </row>
    <row r="143" spans="1:118" s="19" customFormat="1" ht="18" hidden="1" customHeight="1" outlineLevel="1" collapsed="1" x14ac:dyDescent="0.25">
      <c r="A143" s="48" t="s">
        <v>147</v>
      </c>
      <c r="B143" s="53"/>
      <c r="C143" s="64"/>
      <c r="D143" s="68"/>
      <c r="E143" s="68"/>
      <c r="F143" s="68">
        <v>0</v>
      </c>
      <c r="G143" s="68"/>
      <c r="H143" s="68">
        <v>0</v>
      </c>
      <c r="I143" s="68"/>
      <c r="J143" s="68">
        <v>0</v>
      </c>
      <c r="K143" s="68"/>
      <c r="L143" s="68">
        <v>0</v>
      </c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51">
        <f t="shared" si="26"/>
        <v>0</v>
      </c>
      <c r="AB143" s="51">
        <f t="shared" si="32"/>
        <v>0</v>
      </c>
      <c r="AD143" s="31">
        <f t="shared" si="28"/>
        <v>0</v>
      </c>
      <c r="AE143" s="31">
        <f t="shared" si="29"/>
        <v>0</v>
      </c>
      <c r="AF143" s="17">
        <f t="shared" si="30"/>
        <v>0</v>
      </c>
      <c r="AG143" s="17">
        <f t="shared" si="31"/>
        <v>0</v>
      </c>
      <c r="BB143" s="20"/>
    </row>
    <row r="144" spans="1:118" s="19" customFormat="1" ht="18" hidden="1" customHeight="1" outlineLevel="1" x14ac:dyDescent="0.25">
      <c r="A144" s="48" t="s">
        <v>148</v>
      </c>
      <c r="B144" s="53"/>
      <c r="C144" s="64"/>
      <c r="D144" s="68"/>
      <c r="E144" s="68"/>
      <c r="F144" s="68">
        <v>0</v>
      </c>
      <c r="G144" s="68"/>
      <c r="H144" s="68">
        <v>0</v>
      </c>
      <c r="I144" s="68"/>
      <c r="J144" s="68">
        <v>0</v>
      </c>
      <c r="K144" s="68"/>
      <c r="L144" s="68">
        <v>0</v>
      </c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51">
        <f t="shared" si="26"/>
        <v>0</v>
      </c>
      <c r="AB144" s="51">
        <f t="shared" si="32"/>
        <v>0</v>
      </c>
      <c r="AD144" s="31">
        <f t="shared" si="28"/>
        <v>0</v>
      </c>
      <c r="AE144" s="31">
        <f t="shared" si="29"/>
        <v>0</v>
      </c>
      <c r="AF144" s="17">
        <f t="shared" si="30"/>
        <v>0</v>
      </c>
      <c r="AG144" s="17">
        <f t="shared" si="31"/>
        <v>0</v>
      </c>
      <c r="BB144" s="20"/>
    </row>
    <row r="145" spans="1:54" s="19" customFormat="1" ht="18" hidden="1" customHeight="1" outlineLevel="1" x14ac:dyDescent="0.25">
      <c r="A145" s="48" t="s">
        <v>149</v>
      </c>
      <c r="B145" s="53"/>
      <c r="C145" s="64"/>
      <c r="D145" s="68"/>
      <c r="E145" s="68"/>
      <c r="F145" s="68">
        <v>0</v>
      </c>
      <c r="G145" s="68"/>
      <c r="H145" s="68">
        <v>0</v>
      </c>
      <c r="I145" s="68"/>
      <c r="J145" s="68">
        <v>0</v>
      </c>
      <c r="K145" s="68"/>
      <c r="L145" s="68">
        <v>0</v>
      </c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51">
        <f t="shared" si="26"/>
        <v>0</v>
      </c>
      <c r="AB145" s="51">
        <f t="shared" si="32"/>
        <v>0</v>
      </c>
      <c r="AD145" s="31">
        <f t="shared" si="28"/>
        <v>0</v>
      </c>
      <c r="AE145" s="31">
        <f t="shared" si="29"/>
        <v>0</v>
      </c>
      <c r="AF145" s="17">
        <f t="shared" si="30"/>
        <v>0</v>
      </c>
      <c r="AG145" s="17">
        <f t="shared" si="31"/>
        <v>0</v>
      </c>
      <c r="BB145" s="20"/>
    </row>
    <row r="146" spans="1:54" s="19" customFormat="1" ht="18" hidden="1" customHeight="1" outlineLevel="1" x14ac:dyDescent="0.25">
      <c r="A146" s="48" t="s">
        <v>150</v>
      </c>
      <c r="B146" s="53"/>
      <c r="C146" s="64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51">
        <f t="shared" si="26"/>
        <v>0</v>
      </c>
      <c r="AB146" s="51">
        <f t="shared" si="32"/>
        <v>0</v>
      </c>
      <c r="AD146" s="31">
        <f t="shared" si="28"/>
        <v>0</v>
      </c>
      <c r="AE146" s="31">
        <f t="shared" si="29"/>
        <v>0</v>
      </c>
      <c r="AF146" s="17">
        <f t="shared" si="30"/>
        <v>0</v>
      </c>
      <c r="AG146" s="17">
        <f t="shared" si="31"/>
        <v>0</v>
      </c>
      <c r="BB146" s="20"/>
    </row>
    <row r="147" spans="1:54" s="19" customFormat="1" ht="18" hidden="1" customHeight="1" outlineLevel="1" x14ac:dyDescent="0.25">
      <c r="A147" s="48" t="s">
        <v>151</v>
      </c>
      <c r="B147" s="53"/>
      <c r="C147" s="64"/>
      <c r="D147" s="68"/>
      <c r="E147" s="68"/>
      <c r="F147" s="68">
        <v>0</v>
      </c>
      <c r="G147" s="68"/>
      <c r="H147" s="68">
        <v>0</v>
      </c>
      <c r="I147" s="68"/>
      <c r="J147" s="68">
        <v>0</v>
      </c>
      <c r="K147" s="68"/>
      <c r="L147" s="68">
        <v>0</v>
      </c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51">
        <f t="shared" si="26"/>
        <v>0</v>
      </c>
      <c r="AB147" s="51">
        <f t="shared" si="32"/>
        <v>0</v>
      </c>
      <c r="AD147" s="31">
        <f t="shared" si="28"/>
        <v>0</v>
      </c>
      <c r="AE147" s="31">
        <f t="shared" si="29"/>
        <v>0</v>
      </c>
      <c r="AF147" s="17">
        <f t="shared" si="30"/>
        <v>0</v>
      </c>
      <c r="AG147" s="17">
        <f t="shared" si="31"/>
        <v>0</v>
      </c>
      <c r="BB147" s="20"/>
    </row>
    <row r="148" spans="1:54" s="19" customFormat="1" ht="18" hidden="1" customHeight="1" outlineLevel="1" x14ac:dyDescent="0.25">
      <c r="A148" s="48" t="s">
        <v>152</v>
      </c>
      <c r="B148" s="53"/>
      <c r="C148" s="64"/>
      <c r="D148" s="68"/>
      <c r="E148" s="68"/>
      <c r="F148" s="68">
        <v>0</v>
      </c>
      <c r="G148" s="68"/>
      <c r="H148" s="68">
        <v>0</v>
      </c>
      <c r="I148" s="68"/>
      <c r="J148" s="68">
        <v>0</v>
      </c>
      <c r="K148" s="68"/>
      <c r="L148" s="68">
        <v>0</v>
      </c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51">
        <f t="shared" si="26"/>
        <v>0</v>
      </c>
      <c r="AB148" s="51">
        <f t="shared" si="32"/>
        <v>0</v>
      </c>
      <c r="AD148" s="31">
        <f t="shared" si="28"/>
        <v>0</v>
      </c>
      <c r="AE148" s="31">
        <f t="shared" si="29"/>
        <v>0</v>
      </c>
      <c r="AF148" s="17">
        <f t="shared" si="30"/>
        <v>0</v>
      </c>
      <c r="AG148" s="17">
        <f t="shared" si="31"/>
        <v>0</v>
      </c>
      <c r="BB148" s="20"/>
    </row>
    <row r="149" spans="1:54" s="19" customFormat="1" ht="18" hidden="1" customHeight="1" outlineLevel="1" x14ac:dyDescent="0.25">
      <c r="A149" s="48" t="s">
        <v>153</v>
      </c>
      <c r="B149" s="53"/>
      <c r="C149" s="64"/>
      <c r="D149" s="68"/>
      <c r="E149" s="68"/>
      <c r="F149" s="68">
        <v>0</v>
      </c>
      <c r="G149" s="68"/>
      <c r="H149" s="68">
        <v>0</v>
      </c>
      <c r="I149" s="68"/>
      <c r="J149" s="68">
        <v>0</v>
      </c>
      <c r="K149" s="68"/>
      <c r="L149" s="68">
        <v>0</v>
      </c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51">
        <f t="shared" si="26"/>
        <v>0</v>
      </c>
      <c r="AB149" s="51">
        <f t="shared" si="32"/>
        <v>0</v>
      </c>
      <c r="AD149" s="31">
        <f t="shared" si="28"/>
        <v>0</v>
      </c>
      <c r="AE149" s="31">
        <f t="shared" si="29"/>
        <v>0</v>
      </c>
      <c r="AF149" s="17">
        <f t="shared" si="30"/>
        <v>0</v>
      </c>
      <c r="AG149" s="17">
        <f t="shared" si="31"/>
        <v>0</v>
      </c>
      <c r="BB149" s="20"/>
    </row>
    <row r="150" spans="1:54" s="19" customFormat="1" ht="18" hidden="1" customHeight="1" outlineLevel="1" x14ac:dyDescent="0.25">
      <c r="A150" s="48" t="s">
        <v>154</v>
      </c>
      <c r="B150" s="53"/>
      <c r="C150" s="64"/>
      <c r="D150" s="68"/>
      <c r="E150" s="68"/>
      <c r="F150" s="68">
        <v>0</v>
      </c>
      <c r="G150" s="68"/>
      <c r="H150" s="68">
        <v>0</v>
      </c>
      <c r="I150" s="68"/>
      <c r="J150" s="68">
        <v>0</v>
      </c>
      <c r="K150" s="68"/>
      <c r="L150" s="68">
        <v>0</v>
      </c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51">
        <f t="shared" si="26"/>
        <v>0</v>
      </c>
      <c r="AB150" s="51">
        <f t="shared" si="32"/>
        <v>0</v>
      </c>
      <c r="AD150" s="31">
        <f t="shared" si="28"/>
        <v>0</v>
      </c>
      <c r="AE150" s="31">
        <f t="shared" si="29"/>
        <v>0</v>
      </c>
      <c r="AF150" s="17">
        <f t="shared" si="30"/>
        <v>0</v>
      </c>
      <c r="AG150" s="17">
        <f t="shared" si="31"/>
        <v>0</v>
      </c>
      <c r="BB150" s="20"/>
    </row>
    <row r="151" spans="1:54" s="19" customFormat="1" ht="18" hidden="1" customHeight="1" outlineLevel="1" x14ac:dyDescent="0.25">
      <c r="A151" s="48" t="s">
        <v>155</v>
      </c>
      <c r="B151" s="53"/>
      <c r="C151" s="64"/>
      <c r="D151" s="68"/>
      <c r="E151" s="68"/>
      <c r="F151" s="68">
        <v>0</v>
      </c>
      <c r="G151" s="68"/>
      <c r="H151" s="68">
        <v>0</v>
      </c>
      <c r="I151" s="68"/>
      <c r="J151" s="68">
        <v>0</v>
      </c>
      <c r="K151" s="68"/>
      <c r="L151" s="68">
        <v>0</v>
      </c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51">
        <f t="shared" si="26"/>
        <v>0</v>
      </c>
      <c r="AB151" s="51">
        <f t="shared" si="32"/>
        <v>0</v>
      </c>
      <c r="AD151" s="31">
        <f t="shared" si="28"/>
        <v>0</v>
      </c>
      <c r="AE151" s="31">
        <f t="shared" si="29"/>
        <v>0</v>
      </c>
      <c r="AF151" s="17">
        <f t="shared" si="30"/>
        <v>0</v>
      </c>
      <c r="AG151" s="17">
        <f t="shared" si="31"/>
        <v>0</v>
      </c>
      <c r="BB151" s="20"/>
    </row>
    <row r="152" spans="1:54" s="19" customFormat="1" ht="18" hidden="1" customHeight="1" outlineLevel="1" x14ac:dyDescent="0.25">
      <c r="A152" s="48" t="s">
        <v>156</v>
      </c>
      <c r="B152" s="53"/>
      <c r="C152" s="64"/>
      <c r="D152" s="68"/>
      <c r="E152" s="68"/>
      <c r="F152" s="68">
        <v>0</v>
      </c>
      <c r="G152" s="68"/>
      <c r="H152" s="68">
        <v>0</v>
      </c>
      <c r="I152" s="68"/>
      <c r="J152" s="68">
        <v>0</v>
      </c>
      <c r="K152" s="68"/>
      <c r="L152" s="68">
        <v>0</v>
      </c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51">
        <f t="shared" si="26"/>
        <v>0</v>
      </c>
      <c r="AB152" s="51">
        <f t="shared" si="32"/>
        <v>0</v>
      </c>
      <c r="AD152" s="31">
        <f t="shared" si="28"/>
        <v>0</v>
      </c>
      <c r="AE152" s="31">
        <f t="shared" si="29"/>
        <v>0</v>
      </c>
      <c r="AF152" s="17">
        <f t="shared" si="30"/>
        <v>0</v>
      </c>
      <c r="AG152" s="17">
        <f t="shared" si="31"/>
        <v>0</v>
      </c>
      <c r="BB152" s="20"/>
    </row>
    <row r="153" spans="1:54" s="19" customFormat="1" ht="18" hidden="1" customHeight="1" outlineLevel="1" x14ac:dyDescent="0.25">
      <c r="A153" s="48" t="s">
        <v>157</v>
      </c>
      <c r="B153" s="53"/>
      <c r="C153" s="64"/>
      <c r="D153" s="68"/>
      <c r="E153" s="68"/>
      <c r="F153" s="68">
        <v>0</v>
      </c>
      <c r="G153" s="68"/>
      <c r="H153" s="68">
        <v>0</v>
      </c>
      <c r="I153" s="68"/>
      <c r="J153" s="68">
        <v>0</v>
      </c>
      <c r="K153" s="68"/>
      <c r="L153" s="68">
        <v>0</v>
      </c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51">
        <f t="shared" si="26"/>
        <v>0</v>
      </c>
      <c r="AB153" s="51">
        <f t="shared" si="32"/>
        <v>0</v>
      </c>
      <c r="AD153" s="31">
        <f t="shared" si="28"/>
        <v>0</v>
      </c>
      <c r="AE153" s="31">
        <f t="shared" si="29"/>
        <v>0</v>
      </c>
      <c r="AF153" s="17">
        <f t="shared" si="30"/>
        <v>0</v>
      </c>
      <c r="AG153" s="17">
        <f t="shared" si="31"/>
        <v>0</v>
      </c>
      <c r="BB153" s="20"/>
    </row>
    <row r="154" spans="1:54" s="19" customFormat="1" ht="18" hidden="1" customHeight="1" outlineLevel="1" x14ac:dyDescent="0.25">
      <c r="A154" s="48" t="s">
        <v>158</v>
      </c>
      <c r="B154" s="53"/>
      <c r="C154" s="64"/>
      <c r="D154" s="68"/>
      <c r="E154" s="68"/>
      <c r="F154" s="68">
        <v>0</v>
      </c>
      <c r="G154" s="68"/>
      <c r="H154" s="68">
        <v>0</v>
      </c>
      <c r="I154" s="68"/>
      <c r="J154" s="68">
        <v>0</v>
      </c>
      <c r="K154" s="68"/>
      <c r="L154" s="68">
        <v>0</v>
      </c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51">
        <f t="shared" si="26"/>
        <v>0</v>
      </c>
      <c r="AB154" s="51">
        <f t="shared" si="32"/>
        <v>0</v>
      </c>
      <c r="AD154" s="31">
        <f t="shared" si="28"/>
        <v>0</v>
      </c>
      <c r="AE154" s="31">
        <f t="shared" si="29"/>
        <v>0</v>
      </c>
      <c r="AF154" s="17">
        <f t="shared" si="30"/>
        <v>0</v>
      </c>
      <c r="AG154" s="17">
        <f t="shared" si="31"/>
        <v>0</v>
      </c>
      <c r="BB154" s="20"/>
    </row>
    <row r="155" spans="1:54" s="19" customFormat="1" ht="18" hidden="1" customHeight="1" outlineLevel="1" x14ac:dyDescent="0.25">
      <c r="A155" s="48" t="s">
        <v>100</v>
      </c>
      <c r="B155" s="53"/>
      <c r="C155" s="64"/>
      <c r="D155" s="68"/>
      <c r="E155" s="68"/>
      <c r="F155" s="68">
        <v>0</v>
      </c>
      <c r="G155" s="68"/>
      <c r="H155" s="68">
        <v>0</v>
      </c>
      <c r="I155" s="68"/>
      <c r="J155" s="68">
        <v>0</v>
      </c>
      <c r="K155" s="68"/>
      <c r="L155" s="68">
        <v>0</v>
      </c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51">
        <f t="shared" si="26"/>
        <v>0</v>
      </c>
      <c r="AB155" s="51">
        <f t="shared" si="32"/>
        <v>0</v>
      </c>
      <c r="AD155" s="31">
        <f t="shared" si="28"/>
        <v>0</v>
      </c>
      <c r="AE155" s="31">
        <f t="shared" si="29"/>
        <v>0</v>
      </c>
      <c r="AF155" s="17">
        <f t="shared" si="30"/>
        <v>0</v>
      </c>
      <c r="AG155" s="17">
        <f t="shared" si="31"/>
        <v>0</v>
      </c>
      <c r="BB155" s="20"/>
    </row>
    <row r="156" spans="1:54" s="19" customFormat="1" ht="18" hidden="1" customHeight="1" outlineLevel="1" x14ac:dyDescent="0.25">
      <c r="A156" s="48" t="s">
        <v>159</v>
      </c>
      <c r="B156" s="53"/>
      <c r="C156" s="64"/>
      <c r="D156" s="68"/>
      <c r="E156" s="68"/>
      <c r="F156" s="68">
        <v>0</v>
      </c>
      <c r="G156" s="68"/>
      <c r="H156" s="68">
        <v>0</v>
      </c>
      <c r="I156" s="68"/>
      <c r="J156" s="68">
        <v>0</v>
      </c>
      <c r="K156" s="68"/>
      <c r="L156" s="68">
        <v>0</v>
      </c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51">
        <f t="shared" ref="AA156:AA219" si="33">C156+E156+G156+I156+K156+M156+O156+Q156+S156+U156+W156+Y156</f>
        <v>0</v>
      </c>
      <c r="AB156" s="51">
        <f t="shared" si="32"/>
        <v>0</v>
      </c>
      <c r="AD156" s="31">
        <f t="shared" ref="AD156:AD219" si="34">SUMIF($C$5:$Z$5,$AD$5,C156:Z156)</f>
        <v>0</v>
      </c>
      <c r="AE156" s="31">
        <f t="shared" ref="AE156:AE219" si="35">SUMIF($C$5:$Z$5,$AD$5,D156:AA156)</f>
        <v>0</v>
      </c>
      <c r="AF156" s="17">
        <f t="shared" si="30"/>
        <v>0</v>
      </c>
      <c r="AG156" s="17">
        <f t="shared" si="31"/>
        <v>0</v>
      </c>
      <c r="BB156" s="20"/>
    </row>
    <row r="157" spans="1:54" s="19" customFormat="1" ht="18" hidden="1" customHeight="1" outlineLevel="1" x14ac:dyDescent="0.25">
      <c r="A157" s="48" t="s">
        <v>160</v>
      </c>
      <c r="B157" s="53"/>
      <c r="C157" s="64"/>
      <c r="D157" s="68"/>
      <c r="E157" s="68"/>
      <c r="F157" s="68">
        <v>0</v>
      </c>
      <c r="G157" s="68"/>
      <c r="H157" s="68">
        <v>0</v>
      </c>
      <c r="I157" s="68"/>
      <c r="J157" s="68">
        <v>0</v>
      </c>
      <c r="K157" s="68"/>
      <c r="L157" s="68">
        <v>0</v>
      </c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51">
        <f t="shared" si="33"/>
        <v>0</v>
      </c>
      <c r="AB157" s="51">
        <f t="shared" si="32"/>
        <v>0</v>
      </c>
      <c r="AD157" s="31">
        <f t="shared" si="34"/>
        <v>0</v>
      </c>
      <c r="AE157" s="31">
        <f t="shared" si="35"/>
        <v>0</v>
      </c>
      <c r="AF157" s="17">
        <f t="shared" si="30"/>
        <v>0</v>
      </c>
      <c r="AG157" s="17">
        <f t="shared" si="31"/>
        <v>0</v>
      </c>
      <c r="BB157" s="20"/>
    </row>
    <row r="158" spans="1:54" s="19" customFormat="1" ht="18" hidden="1" customHeight="1" outlineLevel="1" x14ac:dyDescent="0.25">
      <c r="A158" s="48" t="s">
        <v>161</v>
      </c>
      <c r="B158" s="53"/>
      <c r="C158" s="64"/>
      <c r="D158" s="68"/>
      <c r="E158" s="68"/>
      <c r="F158" s="68">
        <v>0</v>
      </c>
      <c r="G158" s="68"/>
      <c r="H158" s="68">
        <v>0</v>
      </c>
      <c r="I158" s="68"/>
      <c r="J158" s="68">
        <v>0</v>
      </c>
      <c r="K158" s="68"/>
      <c r="L158" s="68">
        <v>0</v>
      </c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51">
        <f t="shared" si="33"/>
        <v>0</v>
      </c>
      <c r="AB158" s="51">
        <f t="shared" si="32"/>
        <v>0</v>
      </c>
      <c r="AD158" s="31">
        <f t="shared" si="34"/>
        <v>0</v>
      </c>
      <c r="AE158" s="31">
        <f t="shared" si="35"/>
        <v>0</v>
      </c>
      <c r="AF158" s="17">
        <f t="shared" ref="AF158:AF221" si="36">AA158-AD158</f>
        <v>0</v>
      </c>
      <c r="AG158" s="17">
        <f t="shared" ref="AG158:AG221" si="37">AB158-AE158</f>
        <v>0</v>
      </c>
      <c r="BB158" s="20"/>
    </row>
    <row r="159" spans="1:54" s="19" customFormat="1" ht="18" hidden="1" customHeight="1" outlineLevel="1" x14ac:dyDescent="0.25">
      <c r="A159" s="48" t="s">
        <v>162</v>
      </c>
      <c r="B159" s="53"/>
      <c r="C159" s="64"/>
      <c r="D159" s="68"/>
      <c r="E159" s="68"/>
      <c r="F159" s="68">
        <v>0</v>
      </c>
      <c r="G159" s="68"/>
      <c r="H159" s="68">
        <v>0</v>
      </c>
      <c r="I159" s="68"/>
      <c r="J159" s="68">
        <v>0</v>
      </c>
      <c r="K159" s="68"/>
      <c r="L159" s="68">
        <v>0</v>
      </c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51">
        <f t="shared" si="33"/>
        <v>0</v>
      </c>
      <c r="AB159" s="51">
        <f t="shared" si="32"/>
        <v>0</v>
      </c>
      <c r="AD159" s="31">
        <f t="shared" si="34"/>
        <v>0</v>
      </c>
      <c r="AE159" s="31">
        <f t="shared" si="35"/>
        <v>0</v>
      </c>
      <c r="AF159" s="17">
        <f t="shared" si="36"/>
        <v>0</v>
      </c>
      <c r="AG159" s="17">
        <f t="shared" si="37"/>
        <v>0</v>
      </c>
      <c r="BB159" s="20"/>
    </row>
    <row r="160" spans="1:54" s="19" customFormat="1" ht="18" hidden="1" customHeight="1" outlineLevel="1" x14ac:dyDescent="0.25">
      <c r="A160" s="48" t="s">
        <v>163</v>
      </c>
      <c r="B160" s="53"/>
      <c r="C160" s="64"/>
      <c r="D160" s="68"/>
      <c r="E160" s="68"/>
      <c r="F160" s="68">
        <v>0</v>
      </c>
      <c r="G160" s="68"/>
      <c r="H160" s="68">
        <v>0</v>
      </c>
      <c r="I160" s="68"/>
      <c r="J160" s="68">
        <v>0</v>
      </c>
      <c r="K160" s="68"/>
      <c r="L160" s="68">
        <v>0</v>
      </c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51">
        <f t="shared" si="33"/>
        <v>0</v>
      </c>
      <c r="AB160" s="51">
        <f t="shared" si="32"/>
        <v>0</v>
      </c>
      <c r="AD160" s="31">
        <f t="shared" si="34"/>
        <v>0</v>
      </c>
      <c r="AE160" s="31">
        <f t="shared" si="35"/>
        <v>0</v>
      </c>
      <c r="AF160" s="17">
        <f t="shared" si="36"/>
        <v>0</v>
      </c>
      <c r="AG160" s="17">
        <f t="shared" si="37"/>
        <v>0</v>
      </c>
      <c r="BB160" s="20"/>
    </row>
    <row r="161" spans="1:54" s="19" customFormat="1" ht="18" hidden="1" customHeight="1" outlineLevel="1" x14ac:dyDescent="0.25">
      <c r="A161" s="48" t="s">
        <v>164</v>
      </c>
      <c r="B161" s="53"/>
      <c r="C161" s="64"/>
      <c r="D161" s="68"/>
      <c r="E161" s="68"/>
      <c r="F161" s="68">
        <v>0</v>
      </c>
      <c r="G161" s="68"/>
      <c r="H161" s="68">
        <v>0</v>
      </c>
      <c r="I161" s="68"/>
      <c r="J161" s="68">
        <v>0</v>
      </c>
      <c r="K161" s="68"/>
      <c r="L161" s="68">
        <v>0</v>
      </c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51">
        <f t="shared" si="33"/>
        <v>0</v>
      </c>
      <c r="AB161" s="51">
        <f t="shared" si="32"/>
        <v>0</v>
      </c>
      <c r="AD161" s="31">
        <f t="shared" si="34"/>
        <v>0</v>
      </c>
      <c r="AE161" s="31">
        <f t="shared" si="35"/>
        <v>0</v>
      </c>
      <c r="AF161" s="17">
        <f t="shared" si="36"/>
        <v>0</v>
      </c>
      <c r="AG161" s="17">
        <f t="shared" si="37"/>
        <v>0</v>
      </c>
      <c r="BB161" s="20"/>
    </row>
    <row r="162" spans="1:54" s="19" customFormat="1" ht="18" hidden="1" customHeight="1" outlineLevel="1" x14ac:dyDescent="0.25">
      <c r="A162" s="48" t="s">
        <v>165</v>
      </c>
      <c r="B162" s="53"/>
      <c r="C162" s="64"/>
      <c r="D162" s="68"/>
      <c r="E162" s="68"/>
      <c r="F162" s="68">
        <v>0</v>
      </c>
      <c r="G162" s="68"/>
      <c r="H162" s="68">
        <v>0</v>
      </c>
      <c r="I162" s="68"/>
      <c r="J162" s="68">
        <v>0</v>
      </c>
      <c r="K162" s="68"/>
      <c r="L162" s="68">
        <v>0</v>
      </c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51">
        <f t="shared" si="33"/>
        <v>0</v>
      </c>
      <c r="AB162" s="51">
        <f t="shared" si="32"/>
        <v>0</v>
      </c>
      <c r="AD162" s="31">
        <f t="shared" si="34"/>
        <v>0</v>
      </c>
      <c r="AE162" s="31">
        <f t="shared" si="35"/>
        <v>0</v>
      </c>
      <c r="AF162" s="17">
        <f t="shared" si="36"/>
        <v>0</v>
      </c>
      <c r="AG162" s="17">
        <f t="shared" si="37"/>
        <v>0</v>
      </c>
      <c r="BB162" s="20"/>
    </row>
    <row r="163" spans="1:54" s="19" customFormat="1" ht="18" hidden="1" customHeight="1" outlineLevel="1" x14ac:dyDescent="0.25">
      <c r="A163" s="48" t="s">
        <v>166</v>
      </c>
      <c r="B163" s="53"/>
      <c r="C163" s="64"/>
      <c r="D163" s="68"/>
      <c r="E163" s="68"/>
      <c r="F163" s="68">
        <v>0</v>
      </c>
      <c r="G163" s="68"/>
      <c r="H163" s="68">
        <v>0</v>
      </c>
      <c r="I163" s="68"/>
      <c r="J163" s="68">
        <v>0</v>
      </c>
      <c r="K163" s="68"/>
      <c r="L163" s="68">
        <v>0</v>
      </c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51">
        <f t="shared" si="33"/>
        <v>0</v>
      </c>
      <c r="AB163" s="51">
        <f t="shared" si="32"/>
        <v>0</v>
      </c>
      <c r="AD163" s="31">
        <f t="shared" si="34"/>
        <v>0</v>
      </c>
      <c r="AE163" s="31">
        <f t="shared" si="35"/>
        <v>0</v>
      </c>
      <c r="AF163" s="17">
        <f t="shared" si="36"/>
        <v>0</v>
      </c>
      <c r="AG163" s="17">
        <f t="shared" si="37"/>
        <v>0</v>
      </c>
      <c r="BB163" s="20"/>
    </row>
    <row r="164" spans="1:54" s="19" customFormat="1" ht="18" hidden="1" customHeight="1" outlineLevel="1" x14ac:dyDescent="0.25">
      <c r="A164" s="48" t="s">
        <v>167</v>
      </c>
      <c r="B164" s="53"/>
      <c r="C164" s="64"/>
      <c r="D164" s="68"/>
      <c r="E164" s="68"/>
      <c r="F164" s="68">
        <v>0</v>
      </c>
      <c r="G164" s="68"/>
      <c r="H164" s="68">
        <v>0</v>
      </c>
      <c r="I164" s="68"/>
      <c r="J164" s="68">
        <v>0</v>
      </c>
      <c r="K164" s="68"/>
      <c r="L164" s="68">
        <v>0</v>
      </c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51">
        <f t="shared" si="33"/>
        <v>0</v>
      </c>
      <c r="AB164" s="51">
        <f t="shared" si="32"/>
        <v>0</v>
      </c>
      <c r="AD164" s="31">
        <f t="shared" si="34"/>
        <v>0</v>
      </c>
      <c r="AE164" s="31">
        <f t="shared" si="35"/>
        <v>0</v>
      </c>
      <c r="AF164" s="17">
        <f t="shared" si="36"/>
        <v>0</v>
      </c>
      <c r="AG164" s="17">
        <f t="shared" si="37"/>
        <v>0</v>
      </c>
      <c r="BB164" s="20"/>
    </row>
    <row r="165" spans="1:54" s="19" customFormat="1" ht="18" hidden="1" customHeight="1" outlineLevel="1" x14ac:dyDescent="0.25">
      <c r="A165" s="48" t="s">
        <v>168</v>
      </c>
      <c r="B165" s="53"/>
      <c r="C165" s="64"/>
      <c r="D165" s="68"/>
      <c r="E165" s="68"/>
      <c r="F165" s="68">
        <v>0</v>
      </c>
      <c r="G165" s="68"/>
      <c r="H165" s="68">
        <v>0</v>
      </c>
      <c r="I165" s="68"/>
      <c r="J165" s="68">
        <v>0</v>
      </c>
      <c r="K165" s="68"/>
      <c r="L165" s="68">
        <v>0</v>
      </c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51">
        <f t="shared" si="33"/>
        <v>0</v>
      </c>
      <c r="AB165" s="51">
        <f t="shared" si="32"/>
        <v>0</v>
      </c>
      <c r="AD165" s="31">
        <f t="shared" si="34"/>
        <v>0</v>
      </c>
      <c r="AE165" s="31">
        <f t="shared" si="35"/>
        <v>0</v>
      </c>
      <c r="AF165" s="17">
        <f t="shared" si="36"/>
        <v>0</v>
      </c>
      <c r="AG165" s="17">
        <f t="shared" si="37"/>
        <v>0</v>
      </c>
      <c r="BB165" s="20"/>
    </row>
    <row r="166" spans="1:54" s="19" customFormat="1" ht="18" hidden="1" customHeight="1" outlineLevel="1" x14ac:dyDescent="0.25">
      <c r="A166" s="48" t="s">
        <v>169</v>
      </c>
      <c r="B166" s="53"/>
      <c r="C166" s="64"/>
      <c r="D166" s="68"/>
      <c r="E166" s="68"/>
      <c r="F166" s="68">
        <v>0</v>
      </c>
      <c r="G166" s="68"/>
      <c r="H166" s="68">
        <v>0</v>
      </c>
      <c r="I166" s="68"/>
      <c r="J166" s="68">
        <v>0</v>
      </c>
      <c r="K166" s="68"/>
      <c r="L166" s="68">
        <v>0</v>
      </c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51">
        <f t="shared" si="33"/>
        <v>0</v>
      </c>
      <c r="AB166" s="51">
        <f t="shared" si="32"/>
        <v>0</v>
      </c>
      <c r="AD166" s="31">
        <f t="shared" si="34"/>
        <v>0</v>
      </c>
      <c r="AE166" s="31">
        <f t="shared" si="35"/>
        <v>0</v>
      </c>
      <c r="AF166" s="17">
        <f t="shared" si="36"/>
        <v>0</v>
      </c>
      <c r="AG166" s="17">
        <f t="shared" si="37"/>
        <v>0</v>
      </c>
      <c r="BB166" s="20"/>
    </row>
    <row r="167" spans="1:54" s="19" customFormat="1" ht="18" hidden="1" customHeight="1" outlineLevel="1" x14ac:dyDescent="0.25">
      <c r="A167" s="48" t="s">
        <v>170</v>
      </c>
      <c r="B167" s="53"/>
      <c r="C167" s="64"/>
      <c r="D167" s="68"/>
      <c r="E167" s="68"/>
      <c r="F167" s="68">
        <v>0</v>
      </c>
      <c r="G167" s="68"/>
      <c r="H167" s="68">
        <v>0</v>
      </c>
      <c r="I167" s="68"/>
      <c r="J167" s="68">
        <v>0</v>
      </c>
      <c r="K167" s="68"/>
      <c r="L167" s="68">
        <v>0</v>
      </c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51">
        <f t="shared" si="33"/>
        <v>0</v>
      </c>
      <c r="AB167" s="51">
        <f t="shared" ref="AB167:AB175" si="38">D167+F167+H167+J167+L167+N167+P167+R167+T167+V167+X167+Z167</f>
        <v>0</v>
      </c>
      <c r="AD167" s="31">
        <f t="shared" si="34"/>
        <v>0</v>
      </c>
      <c r="AE167" s="31">
        <f t="shared" si="35"/>
        <v>0</v>
      </c>
      <c r="AF167" s="17">
        <f t="shared" si="36"/>
        <v>0</v>
      </c>
      <c r="AG167" s="17">
        <f t="shared" si="37"/>
        <v>0</v>
      </c>
      <c r="BB167" s="20"/>
    </row>
    <row r="168" spans="1:54" s="19" customFormat="1" ht="18" hidden="1" customHeight="1" outlineLevel="1" x14ac:dyDescent="0.25">
      <c r="A168" s="48" t="s">
        <v>171</v>
      </c>
      <c r="B168" s="53"/>
      <c r="C168" s="64"/>
      <c r="D168" s="68"/>
      <c r="E168" s="68"/>
      <c r="F168" s="68">
        <v>0</v>
      </c>
      <c r="G168" s="68"/>
      <c r="H168" s="68">
        <v>0</v>
      </c>
      <c r="I168" s="68"/>
      <c r="J168" s="68">
        <v>0</v>
      </c>
      <c r="K168" s="68"/>
      <c r="L168" s="68">
        <v>0</v>
      </c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51">
        <f t="shared" si="33"/>
        <v>0</v>
      </c>
      <c r="AB168" s="51">
        <f t="shared" si="38"/>
        <v>0</v>
      </c>
      <c r="AD168" s="31">
        <f t="shared" si="34"/>
        <v>0</v>
      </c>
      <c r="AE168" s="31">
        <f t="shared" si="35"/>
        <v>0</v>
      </c>
      <c r="AF168" s="17">
        <f t="shared" si="36"/>
        <v>0</v>
      </c>
      <c r="AG168" s="17">
        <f t="shared" si="37"/>
        <v>0</v>
      </c>
      <c r="BB168" s="20"/>
    </row>
    <row r="169" spans="1:54" s="19" customFormat="1" ht="18" hidden="1" customHeight="1" outlineLevel="1" x14ac:dyDescent="0.25">
      <c r="A169" s="48" t="s">
        <v>172</v>
      </c>
      <c r="B169" s="53"/>
      <c r="C169" s="64"/>
      <c r="D169" s="68"/>
      <c r="E169" s="68"/>
      <c r="F169" s="68">
        <v>0</v>
      </c>
      <c r="G169" s="68"/>
      <c r="H169" s="68">
        <v>0</v>
      </c>
      <c r="I169" s="68"/>
      <c r="J169" s="68">
        <v>0</v>
      </c>
      <c r="K169" s="68"/>
      <c r="L169" s="68">
        <v>0</v>
      </c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51">
        <f t="shared" si="33"/>
        <v>0</v>
      </c>
      <c r="AB169" s="51">
        <f t="shared" si="38"/>
        <v>0</v>
      </c>
      <c r="AD169" s="31">
        <f t="shared" si="34"/>
        <v>0</v>
      </c>
      <c r="AE169" s="31">
        <f t="shared" si="35"/>
        <v>0</v>
      </c>
      <c r="AF169" s="17">
        <f t="shared" si="36"/>
        <v>0</v>
      </c>
      <c r="AG169" s="17">
        <f t="shared" si="37"/>
        <v>0</v>
      </c>
      <c r="BB169" s="20"/>
    </row>
    <row r="170" spans="1:54" s="19" customFormat="1" ht="18" hidden="1" customHeight="1" outlineLevel="1" x14ac:dyDescent="0.25">
      <c r="A170" s="48" t="s">
        <v>173</v>
      </c>
      <c r="B170" s="53"/>
      <c r="C170" s="64"/>
      <c r="D170" s="68"/>
      <c r="E170" s="68"/>
      <c r="F170" s="68">
        <v>0</v>
      </c>
      <c r="G170" s="68"/>
      <c r="H170" s="68">
        <v>0</v>
      </c>
      <c r="I170" s="68"/>
      <c r="J170" s="68">
        <v>0</v>
      </c>
      <c r="K170" s="68"/>
      <c r="L170" s="68">
        <v>0</v>
      </c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51">
        <f t="shared" si="33"/>
        <v>0</v>
      </c>
      <c r="AB170" s="51">
        <f t="shared" si="38"/>
        <v>0</v>
      </c>
      <c r="AD170" s="31">
        <f t="shared" si="34"/>
        <v>0</v>
      </c>
      <c r="AE170" s="31">
        <f t="shared" si="35"/>
        <v>0</v>
      </c>
      <c r="AF170" s="17">
        <f t="shared" si="36"/>
        <v>0</v>
      </c>
      <c r="AG170" s="17">
        <f t="shared" si="37"/>
        <v>0</v>
      </c>
      <c r="BB170" s="20"/>
    </row>
    <row r="171" spans="1:54" s="19" customFormat="1" ht="18" hidden="1" customHeight="1" outlineLevel="1" x14ac:dyDescent="0.25">
      <c r="A171" s="48" t="s">
        <v>174</v>
      </c>
      <c r="B171" s="53"/>
      <c r="C171" s="64"/>
      <c r="D171" s="68"/>
      <c r="E171" s="68"/>
      <c r="F171" s="68">
        <v>0</v>
      </c>
      <c r="G171" s="68"/>
      <c r="H171" s="68">
        <v>0</v>
      </c>
      <c r="I171" s="68"/>
      <c r="J171" s="68">
        <v>0</v>
      </c>
      <c r="K171" s="68"/>
      <c r="L171" s="68">
        <v>0</v>
      </c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51">
        <f t="shared" si="33"/>
        <v>0</v>
      </c>
      <c r="AB171" s="51">
        <f t="shared" si="38"/>
        <v>0</v>
      </c>
      <c r="AD171" s="31">
        <f t="shared" si="34"/>
        <v>0</v>
      </c>
      <c r="AE171" s="31">
        <f t="shared" si="35"/>
        <v>0</v>
      </c>
      <c r="AF171" s="17">
        <f t="shared" si="36"/>
        <v>0</v>
      </c>
      <c r="AG171" s="17">
        <f t="shared" si="37"/>
        <v>0</v>
      </c>
      <c r="BB171" s="20"/>
    </row>
    <row r="172" spans="1:54" s="19" customFormat="1" ht="18" hidden="1" customHeight="1" outlineLevel="1" x14ac:dyDescent="0.25">
      <c r="A172" s="48" t="s">
        <v>175</v>
      </c>
      <c r="B172" s="53"/>
      <c r="C172" s="64"/>
      <c r="D172" s="68"/>
      <c r="E172" s="68"/>
      <c r="F172" s="68">
        <v>0</v>
      </c>
      <c r="G172" s="68"/>
      <c r="H172" s="68">
        <v>0</v>
      </c>
      <c r="I172" s="68"/>
      <c r="J172" s="68">
        <v>0</v>
      </c>
      <c r="K172" s="68"/>
      <c r="L172" s="68">
        <v>0</v>
      </c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51">
        <f t="shared" si="33"/>
        <v>0</v>
      </c>
      <c r="AB172" s="51">
        <f t="shared" si="38"/>
        <v>0</v>
      </c>
      <c r="AD172" s="31">
        <f t="shared" si="34"/>
        <v>0</v>
      </c>
      <c r="AE172" s="31">
        <f t="shared" si="35"/>
        <v>0</v>
      </c>
      <c r="AF172" s="17">
        <f t="shared" si="36"/>
        <v>0</v>
      </c>
      <c r="AG172" s="17">
        <f t="shared" si="37"/>
        <v>0</v>
      </c>
      <c r="BB172" s="20"/>
    </row>
    <row r="173" spans="1:54" s="19" customFormat="1" ht="18" hidden="1" customHeight="1" outlineLevel="1" x14ac:dyDescent="0.25">
      <c r="A173" s="48" t="s">
        <v>176</v>
      </c>
      <c r="B173" s="53"/>
      <c r="C173" s="64"/>
      <c r="D173" s="68"/>
      <c r="E173" s="68"/>
      <c r="F173" s="68">
        <v>0</v>
      </c>
      <c r="G173" s="68"/>
      <c r="H173" s="68">
        <v>0</v>
      </c>
      <c r="I173" s="68"/>
      <c r="J173" s="68">
        <v>0</v>
      </c>
      <c r="K173" s="68"/>
      <c r="L173" s="68">
        <v>0</v>
      </c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51">
        <f t="shared" si="33"/>
        <v>0</v>
      </c>
      <c r="AB173" s="51">
        <f t="shared" si="38"/>
        <v>0</v>
      </c>
      <c r="AD173" s="31">
        <f t="shared" si="34"/>
        <v>0</v>
      </c>
      <c r="AE173" s="31">
        <f t="shared" si="35"/>
        <v>0</v>
      </c>
      <c r="AF173" s="17">
        <f t="shared" si="36"/>
        <v>0</v>
      </c>
      <c r="AG173" s="17">
        <f t="shared" si="37"/>
        <v>0</v>
      </c>
      <c r="BB173" s="20"/>
    </row>
    <row r="174" spans="1:54" s="19" customFormat="1" ht="18" hidden="1" customHeight="1" outlineLevel="1" x14ac:dyDescent="0.25">
      <c r="A174" s="48" t="s">
        <v>177</v>
      </c>
      <c r="B174" s="53"/>
      <c r="C174" s="64"/>
      <c r="D174" s="68"/>
      <c r="E174" s="68"/>
      <c r="F174" s="68">
        <v>0</v>
      </c>
      <c r="G174" s="68"/>
      <c r="H174" s="68">
        <v>0</v>
      </c>
      <c r="I174" s="68"/>
      <c r="J174" s="68">
        <v>0</v>
      </c>
      <c r="K174" s="68"/>
      <c r="L174" s="68">
        <v>0</v>
      </c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51">
        <f t="shared" si="33"/>
        <v>0</v>
      </c>
      <c r="AB174" s="51">
        <f t="shared" si="38"/>
        <v>0</v>
      </c>
      <c r="AD174" s="31">
        <f t="shared" si="34"/>
        <v>0</v>
      </c>
      <c r="AE174" s="31">
        <f t="shared" si="35"/>
        <v>0</v>
      </c>
      <c r="AF174" s="17">
        <f t="shared" si="36"/>
        <v>0</v>
      </c>
      <c r="AG174" s="17">
        <f t="shared" si="37"/>
        <v>0</v>
      </c>
      <c r="BB174" s="20"/>
    </row>
    <row r="175" spans="1:54" s="19" customFormat="1" ht="18" hidden="1" customHeight="1" outlineLevel="1" x14ac:dyDescent="0.25">
      <c r="A175" s="48" t="s">
        <v>178</v>
      </c>
      <c r="B175" s="53"/>
      <c r="C175" s="64"/>
      <c r="D175" s="68"/>
      <c r="E175" s="68"/>
      <c r="F175" s="68">
        <v>0</v>
      </c>
      <c r="G175" s="68"/>
      <c r="H175" s="68">
        <v>0</v>
      </c>
      <c r="I175" s="68"/>
      <c r="J175" s="68">
        <v>0</v>
      </c>
      <c r="K175" s="68"/>
      <c r="L175" s="68">
        <v>0</v>
      </c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51">
        <f t="shared" si="33"/>
        <v>0</v>
      </c>
      <c r="AB175" s="51">
        <f t="shared" si="38"/>
        <v>0</v>
      </c>
      <c r="AD175" s="31">
        <f t="shared" si="34"/>
        <v>0</v>
      </c>
      <c r="AE175" s="31">
        <f t="shared" si="35"/>
        <v>0</v>
      </c>
      <c r="AF175" s="17">
        <f t="shared" si="36"/>
        <v>0</v>
      </c>
      <c r="AG175" s="17">
        <f t="shared" si="37"/>
        <v>0</v>
      </c>
      <c r="BB175" s="20"/>
    </row>
    <row r="176" spans="1:54" s="21" customFormat="1" ht="18" customHeight="1" collapsed="1" x14ac:dyDescent="0.25">
      <c r="A176" s="52" t="s">
        <v>181</v>
      </c>
      <c r="B176" s="45">
        <v>8</v>
      </c>
      <c r="C176" s="33"/>
      <c r="D176" s="65"/>
      <c r="E176" s="65"/>
      <c r="F176" s="65">
        <f>SUM(F177:F249)-F177-F180-F189-F200-F212</f>
        <v>0</v>
      </c>
      <c r="G176" s="65"/>
      <c r="H176" s="65">
        <f>SUM(H177:H249)-H177-H180-H189-H200-H212</f>
        <v>0</v>
      </c>
      <c r="I176" s="65"/>
      <c r="J176" s="65">
        <f>SUM(J177:J249)-J177-J180-J189-J200-J212</f>
        <v>0</v>
      </c>
      <c r="K176" s="65"/>
      <c r="L176" s="65">
        <f>SUM(L177:L249)-L177-L180-L189-L200-L212</f>
        <v>0</v>
      </c>
      <c r="M176" s="65"/>
      <c r="N176" s="65">
        <f>SUM(N177:N249)-N177-N180-N189-N200-N212</f>
        <v>0</v>
      </c>
      <c r="O176" s="65"/>
      <c r="P176" s="65">
        <f>SUM(P177:P249)-P177-P180-P189-P200-P212</f>
        <v>0</v>
      </c>
      <c r="Q176" s="65"/>
      <c r="R176" s="65">
        <f>SUM(R177:R249)-R177-R180-R189-R200-R212</f>
        <v>0</v>
      </c>
      <c r="S176" s="65"/>
      <c r="T176" s="65">
        <f>SUM(T177:T249)-T177-T180-T189-T200-T212</f>
        <v>0</v>
      </c>
      <c r="U176" s="65"/>
      <c r="V176" s="65">
        <f>SUM(V177:V249)-V177-V180-V189-V200-V212</f>
        <v>0</v>
      </c>
      <c r="W176" s="65"/>
      <c r="X176" s="65">
        <f>SUM(X177:X249)-X177-X180-X189-X200-X212</f>
        <v>0</v>
      </c>
      <c r="Y176" s="65"/>
      <c r="Z176" s="65">
        <f>SUM(Z177:Z249)-Z177-Z180-Z189-Z200-Z212</f>
        <v>0</v>
      </c>
      <c r="AA176" s="51">
        <f t="shared" si="33"/>
        <v>0</v>
      </c>
      <c r="AB176" s="105">
        <f>SUM(D176:Z176)</f>
        <v>0</v>
      </c>
      <c r="AD176" s="31">
        <f t="shared" si="34"/>
        <v>0</v>
      </c>
      <c r="AE176" s="31">
        <f t="shared" si="35"/>
        <v>0</v>
      </c>
      <c r="AF176" s="17">
        <f t="shared" si="36"/>
        <v>0</v>
      </c>
      <c r="AG176" s="17">
        <f t="shared" si="37"/>
        <v>0</v>
      </c>
      <c r="BB176" s="66"/>
    </row>
    <row r="177" spans="1:118" s="17" customFormat="1" ht="18" hidden="1" customHeight="1" outlineLevel="1" x14ac:dyDescent="0.25">
      <c r="A177" s="67" t="s">
        <v>107</v>
      </c>
      <c r="B177" s="45"/>
      <c r="C177" s="33"/>
      <c r="D177" s="65"/>
      <c r="E177" s="65"/>
      <c r="F177" s="65">
        <f>SUM(F178:F179)</f>
        <v>0</v>
      </c>
      <c r="G177" s="65"/>
      <c r="H177" s="65">
        <f>SUM(H178:H179)</f>
        <v>0</v>
      </c>
      <c r="I177" s="65"/>
      <c r="J177" s="65">
        <f>SUM(J178:J179)</f>
        <v>0</v>
      </c>
      <c r="K177" s="65"/>
      <c r="L177" s="65">
        <f>SUM(L178:L179)</f>
        <v>0</v>
      </c>
      <c r="M177" s="65"/>
      <c r="N177" s="65">
        <f>SUM(N178:N179)</f>
        <v>0</v>
      </c>
      <c r="O177" s="65"/>
      <c r="P177" s="65">
        <f>SUM(P178:P179)</f>
        <v>0</v>
      </c>
      <c r="Q177" s="65"/>
      <c r="R177" s="65">
        <f>SUM(R178:R179)</f>
        <v>0</v>
      </c>
      <c r="S177" s="65"/>
      <c r="T177" s="65">
        <f>SUM(T178:T179)</f>
        <v>0</v>
      </c>
      <c r="U177" s="65"/>
      <c r="V177" s="65">
        <f>SUM(V178:V179)</f>
        <v>0</v>
      </c>
      <c r="W177" s="65"/>
      <c r="X177" s="65">
        <f>SUM(X178:X179)</f>
        <v>0</v>
      </c>
      <c r="Y177" s="65"/>
      <c r="Z177" s="65">
        <f>SUM(Z178:Z179)</f>
        <v>0</v>
      </c>
      <c r="AA177" s="51">
        <f t="shared" si="33"/>
        <v>0</v>
      </c>
      <c r="AB177" s="51">
        <f t="shared" ref="AB177:AB240" si="39">D177+F177+H177+J177+L177+N177+P177+R177+T177+V177+X177+Z177</f>
        <v>0</v>
      </c>
      <c r="AC177" s="21"/>
      <c r="AD177" s="31">
        <f t="shared" si="34"/>
        <v>0</v>
      </c>
      <c r="AE177" s="31">
        <f t="shared" si="35"/>
        <v>0</v>
      </c>
      <c r="AF177" s="17">
        <f t="shared" si="36"/>
        <v>0</v>
      </c>
      <c r="AG177" s="17">
        <f t="shared" si="37"/>
        <v>0</v>
      </c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</row>
    <row r="178" spans="1:118" s="19" customFormat="1" ht="18" hidden="1" customHeight="1" outlineLevel="2" x14ac:dyDescent="0.25">
      <c r="A178" s="48" t="s">
        <v>108</v>
      </c>
      <c r="B178" s="53"/>
      <c r="C178" s="64"/>
      <c r="D178" s="68"/>
      <c r="E178" s="68"/>
      <c r="F178" s="68">
        <v>0</v>
      </c>
      <c r="G178" s="68"/>
      <c r="H178" s="68">
        <v>0</v>
      </c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51">
        <f t="shared" si="33"/>
        <v>0</v>
      </c>
      <c r="AB178" s="51">
        <f t="shared" si="39"/>
        <v>0</v>
      </c>
      <c r="AD178" s="31">
        <f t="shared" si="34"/>
        <v>0</v>
      </c>
      <c r="AE178" s="31">
        <f t="shared" si="35"/>
        <v>0</v>
      </c>
      <c r="AF178" s="17">
        <f t="shared" si="36"/>
        <v>0</v>
      </c>
      <c r="AG178" s="17">
        <f t="shared" si="37"/>
        <v>0</v>
      </c>
    </row>
    <row r="179" spans="1:118" s="19" customFormat="1" ht="18" hidden="1" customHeight="1" outlineLevel="2" x14ac:dyDescent="0.25">
      <c r="A179" s="48" t="s">
        <v>109</v>
      </c>
      <c r="B179" s="53"/>
      <c r="C179" s="64"/>
      <c r="D179" s="68"/>
      <c r="E179" s="68"/>
      <c r="F179" s="68">
        <v>0</v>
      </c>
      <c r="G179" s="68"/>
      <c r="H179" s="68">
        <v>0</v>
      </c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51">
        <f t="shared" si="33"/>
        <v>0</v>
      </c>
      <c r="AB179" s="51">
        <f t="shared" si="39"/>
        <v>0</v>
      </c>
      <c r="AD179" s="31">
        <f t="shared" si="34"/>
        <v>0</v>
      </c>
      <c r="AE179" s="31">
        <f t="shared" si="35"/>
        <v>0</v>
      </c>
      <c r="AF179" s="17">
        <f t="shared" si="36"/>
        <v>0</v>
      </c>
      <c r="AG179" s="17">
        <f t="shared" si="37"/>
        <v>0</v>
      </c>
    </row>
    <row r="180" spans="1:118" s="17" customFormat="1" ht="18" hidden="1" customHeight="1" outlineLevel="1" collapsed="1" x14ac:dyDescent="0.25">
      <c r="A180" s="67" t="s">
        <v>110</v>
      </c>
      <c r="B180" s="45"/>
      <c r="C180" s="33"/>
      <c r="D180" s="65"/>
      <c r="E180" s="65"/>
      <c r="F180" s="65">
        <f>SUM(F181:F185)</f>
        <v>0</v>
      </c>
      <c r="G180" s="65"/>
      <c r="H180" s="65">
        <f>SUM(H181:H185)</f>
        <v>0</v>
      </c>
      <c r="I180" s="65"/>
      <c r="J180" s="65">
        <f>SUM(J181:J185)</f>
        <v>0</v>
      </c>
      <c r="K180" s="65"/>
      <c r="L180" s="65">
        <f>SUM(L181:L185)</f>
        <v>0</v>
      </c>
      <c r="M180" s="65"/>
      <c r="N180" s="65">
        <f>SUM(N181:N185)</f>
        <v>0</v>
      </c>
      <c r="O180" s="65"/>
      <c r="P180" s="65">
        <f>SUM(P181:P185)</f>
        <v>0</v>
      </c>
      <c r="Q180" s="65"/>
      <c r="R180" s="65">
        <f>SUM(R181:R185)</f>
        <v>0</v>
      </c>
      <c r="S180" s="65"/>
      <c r="T180" s="65">
        <f>SUM(T181:T185)</f>
        <v>0</v>
      </c>
      <c r="U180" s="65"/>
      <c r="V180" s="65">
        <f>SUM(V181:V185)</f>
        <v>0</v>
      </c>
      <c r="W180" s="65"/>
      <c r="X180" s="65">
        <f>SUM(X181:X185)</f>
        <v>0</v>
      </c>
      <c r="Y180" s="65"/>
      <c r="Z180" s="65">
        <f>SUM(Z181:Z185)</f>
        <v>0</v>
      </c>
      <c r="AA180" s="51">
        <f t="shared" si="33"/>
        <v>0</v>
      </c>
      <c r="AB180" s="51">
        <f t="shared" si="39"/>
        <v>0</v>
      </c>
      <c r="AC180" s="21"/>
      <c r="AD180" s="31">
        <f t="shared" si="34"/>
        <v>0</v>
      </c>
      <c r="AE180" s="31">
        <f t="shared" si="35"/>
        <v>0</v>
      </c>
      <c r="AF180" s="17">
        <f t="shared" si="36"/>
        <v>0</v>
      </c>
      <c r="AG180" s="17">
        <f t="shared" si="37"/>
        <v>0</v>
      </c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</row>
    <row r="181" spans="1:118" s="19" customFormat="1" ht="18" hidden="1" customHeight="1" outlineLevel="2" x14ac:dyDescent="0.25">
      <c r="A181" s="48" t="s">
        <v>111</v>
      </c>
      <c r="B181" s="53"/>
      <c r="C181" s="64"/>
      <c r="D181" s="68"/>
      <c r="E181" s="68"/>
      <c r="F181" s="68">
        <v>0</v>
      </c>
      <c r="G181" s="68"/>
      <c r="H181" s="68">
        <v>0</v>
      </c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51">
        <f t="shared" si="33"/>
        <v>0</v>
      </c>
      <c r="AB181" s="51">
        <f t="shared" si="39"/>
        <v>0</v>
      </c>
      <c r="AD181" s="31">
        <f t="shared" si="34"/>
        <v>0</v>
      </c>
      <c r="AE181" s="31">
        <f t="shared" si="35"/>
        <v>0</v>
      </c>
      <c r="AF181" s="17">
        <f t="shared" si="36"/>
        <v>0</v>
      </c>
      <c r="AG181" s="17">
        <f t="shared" si="37"/>
        <v>0</v>
      </c>
    </row>
    <row r="182" spans="1:118" s="19" customFormat="1" ht="18" hidden="1" customHeight="1" outlineLevel="2" x14ac:dyDescent="0.25">
      <c r="A182" s="48" t="s">
        <v>112</v>
      </c>
      <c r="B182" s="53"/>
      <c r="C182" s="64"/>
      <c r="D182" s="68"/>
      <c r="E182" s="68"/>
      <c r="F182" s="68">
        <v>0</v>
      </c>
      <c r="G182" s="68"/>
      <c r="H182" s="68">
        <v>0</v>
      </c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51">
        <f t="shared" si="33"/>
        <v>0</v>
      </c>
      <c r="AB182" s="51">
        <f t="shared" si="39"/>
        <v>0</v>
      </c>
      <c r="AD182" s="31">
        <f t="shared" si="34"/>
        <v>0</v>
      </c>
      <c r="AE182" s="31">
        <f t="shared" si="35"/>
        <v>0</v>
      </c>
      <c r="AF182" s="17">
        <f t="shared" si="36"/>
        <v>0</v>
      </c>
      <c r="AG182" s="17">
        <f t="shared" si="37"/>
        <v>0</v>
      </c>
    </row>
    <row r="183" spans="1:118" s="19" customFormat="1" ht="18" hidden="1" customHeight="1" outlineLevel="2" x14ac:dyDescent="0.25">
      <c r="A183" s="48" t="s">
        <v>113</v>
      </c>
      <c r="B183" s="53"/>
      <c r="C183" s="64"/>
      <c r="D183" s="68"/>
      <c r="E183" s="68"/>
      <c r="F183" s="68">
        <v>0</v>
      </c>
      <c r="G183" s="68"/>
      <c r="H183" s="68">
        <v>0</v>
      </c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51">
        <f t="shared" si="33"/>
        <v>0</v>
      </c>
      <c r="AB183" s="51">
        <f t="shared" si="39"/>
        <v>0</v>
      </c>
      <c r="AD183" s="31">
        <f t="shared" si="34"/>
        <v>0</v>
      </c>
      <c r="AE183" s="31">
        <f t="shared" si="35"/>
        <v>0</v>
      </c>
      <c r="AF183" s="17">
        <f t="shared" si="36"/>
        <v>0</v>
      </c>
      <c r="AG183" s="17">
        <f t="shared" si="37"/>
        <v>0</v>
      </c>
    </row>
    <row r="184" spans="1:118" s="19" customFormat="1" ht="18" hidden="1" customHeight="1" outlineLevel="2" x14ac:dyDescent="0.25">
      <c r="A184" s="48" t="s">
        <v>114</v>
      </c>
      <c r="B184" s="53"/>
      <c r="C184" s="64"/>
      <c r="D184" s="68"/>
      <c r="E184" s="68"/>
      <c r="F184" s="68">
        <v>0</v>
      </c>
      <c r="G184" s="68"/>
      <c r="H184" s="68">
        <v>0</v>
      </c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51">
        <f t="shared" si="33"/>
        <v>0</v>
      </c>
      <c r="AB184" s="51">
        <f t="shared" si="39"/>
        <v>0</v>
      </c>
      <c r="AD184" s="31">
        <f t="shared" si="34"/>
        <v>0</v>
      </c>
      <c r="AE184" s="31">
        <f t="shared" si="35"/>
        <v>0</v>
      </c>
      <c r="AF184" s="17">
        <f t="shared" si="36"/>
        <v>0</v>
      </c>
      <c r="AG184" s="17">
        <f t="shared" si="37"/>
        <v>0</v>
      </c>
    </row>
    <row r="185" spans="1:118" s="19" customFormat="1" ht="18" hidden="1" customHeight="1" outlineLevel="2" x14ac:dyDescent="0.25">
      <c r="A185" s="48" t="s">
        <v>115</v>
      </c>
      <c r="B185" s="53"/>
      <c r="C185" s="64"/>
      <c r="D185" s="68"/>
      <c r="E185" s="68"/>
      <c r="F185" s="68">
        <v>0</v>
      </c>
      <c r="G185" s="68"/>
      <c r="H185" s="68">
        <v>0</v>
      </c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51">
        <f t="shared" si="33"/>
        <v>0</v>
      </c>
      <c r="AB185" s="51">
        <f t="shared" si="39"/>
        <v>0</v>
      </c>
      <c r="AD185" s="31">
        <f t="shared" si="34"/>
        <v>0</v>
      </c>
      <c r="AE185" s="31">
        <f t="shared" si="35"/>
        <v>0</v>
      </c>
      <c r="AF185" s="17">
        <f t="shared" si="36"/>
        <v>0</v>
      </c>
      <c r="AG185" s="17">
        <f t="shared" si="37"/>
        <v>0</v>
      </c>
    </row>
    <row r="186" spans="1:118" s="19" customFormat="1" ht="18" hidden="1" customHeight="1" outlineLevel="1" collapsed="1" x14ac:dyDescent="0.25">
      <c r="A186" s="48" t="s">
        <v>116</v>
      </c>
      <c r="B186" s="53"/>
      <c r="C186" s="64"/>
      <c r="D186" s="68"/>
      <c r="E186" s="68"/>
      <c r="F186" s="68">
        <v>0</v>
      </c>
      <c r="G186" s="68"/>
      <c r="H186" s="68">
        <v>0</v>
      </c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51">
        <f t="shared" si="33"/>
        <v>0</v>
      </c>
      <c r="AB186" s="51">
        <f t="shared" si="39"/>
        <v>0</v>
      </c>
      <c r="AD186" s="31">
        <f t="shared" si="34"/>
        <v>0</v>
      </c>
      <c r="AE186" s="31">
        <f t="shared" si="35"/>
        <v>0</v>
      </c>
      <c r="AF186" s="17">
        <f t="shared" si="36"/>
        <v>0</v>
      </c>
      <c r="AG186" s="17">
        <f t="shared" si="37"/>
        <v>0</v>
      </c>
    </row>
    <row r="187" spans="1:118" s="19" customFormat="1" ht="18" hidden="1" customHeight="1" outlineLevel="1" x14ac:dyDescent="0.25">
      <c r="A187" s="48" t="s">
        <v>117</v>
      </c>
      <c r="B187" s="53"/>
      <c r="C187" s="64"/>
      <c r="D187" s="68"/>
      <c r="E187" s="68"/>
      <c r="F187" s="68">
        <v>0</v>
      </c>
      <c r="G187" s="68"/>
      <c r="H187" s="68">
        <v>0</v>
      </c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51">
        <f t="shared" si="33"/>
        <v>0</v>
      </c>
      <c r="AB187" s="51">
        <f t="shared" si="39"/>
        <v>0</v>
      </c>
      <c r="AD187" s="31">
        <f t="shared" si="34"/>
        <v>0</v>
      </c>
      <c r="AE187" s="31">
        <f t="shared" si="35"/>
        <v>0</v>
      </c>
      <c r="AF187" s="17">
        <f t="shared" si="36"/>
        <v>0</v>
      </c>
      <c r="AG187" s="17">
        <f t="shared" si="37"/>
        <v>0</v>
      </c>
    </row>
    <row r="188" spans="1:118" s="19" customFormat="1" ht="18" hidden="1" customHeight="1" outlineLevel="1" x14ac:dyDescent="0.25">
      <c r="A188" s="48" t="s">
        <v>118</v>
      </c>
      <c r="B188" s="53"/>
      <c r="C188" s="64"/>
      <c r="D188" s="68"/>
      <c r="E188" s="68"/>
      <c r="F188" s="68">
        <v>0</v>
      </c>
      <c r="G188" s="68"/>
      <c r="H188" s="68">
        <v>0</v>
      </c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51">
        <f t="shared" si="33"/>
        <v>0</v>
      </c>
      <c r="AB188" s="51">
        <f t="shared" si="39"/>
        <v>0</v>
      </c>
      <c r="AD188" s="31">
        <f t="shared" si="34"/>
        <v>0</v>
      </c>
      <c r="AE188" s="31">
        <f t="shared" si="35"/>
        <v>0</v>
      </c>
      <c r="AF188" s="17">
        <f t="shared" si="36"/>
        <v>0</v>
      </c>
      <c r="AG188" s="17">
        <f t="shared" si="37"/>
        <v>0</v>
      </c>
    </row>
    <row r="189" spans="1:118" s="17" customFormat="1" ht="18" hidden="1" customHeight="1" outlineLevel="1" x14ac:dyDescent="0.25">
      <c r="A189" s="67" t="s">
        <v>119</v>
      </c>
      <c r="B189" s="45"/>
      <c r="C189" s="33"/>
      <c r="D189" s="65"/>
      <c r="E189" s="65"/>
      <c r="F189" s="65">
        <f>SUM(F190:F196)</f>
        <v>0</v>
      </c>
      <c r="G189" s="65"/>
      <c r="H189" s="65">
        <f>SUM(H190:H196)</f>
        <v>0</v>
      </c>
      <c r="I189" s="65"/>
      <c r="J189" s="65">
        <f>SUM(J190:J196)</f>
        <v>0</v>
      </c>
      <c r="K189" s="65"/>
      <c r="L189" s="65">
        <f>SUM(L190:L196)</f>
        <v>0</v>
      </c>
      <c r="M189" s="65"/>
      <c r="N189" s="65">
        <f>SUM(N190:N196)</f>
        <v>0</v>
      </c>
      <c r="O189" s="65"/>
      <c r="P189" s="65">
        <f>SUM(P190:P196)</f>
        <v>0</v>
      </c>
      <c r="Q189" s="65"/>
      <c r="R189" s="65">
        <f>SUM(R190:R196)</f>
        <v>0</v>
      </c>
      <c r="S189" s="65"/>
      <c r="T189" s="65">
        <f>SUM(T190:T196)</f>
        <v>0</v>
      </c>
      <c r="U189" s="65"/>
      <c r="V189" s="65">
        <f>SUM(V190:V196)</f>
        <v>0</v>
      </c>
      <c r="W189" s="65"/>
      <c r="X189" s="65">
        <f>SUM(X190:X196)</f>
        <v>0</v>
      </c>
      <c r="Y189" s="65"/>
      <c r="Z189" s="65">
        <f>SUM(Z190:Z196)</f>
        <v>0</v>
      </c>
      <c r="AA189" s="51">
        <f t="shared" si="33"/>
        <v>0</v>
      </c>
      <c r="AB189" s="51">
        <f t="shared" si="39"/>
        <v>0</v>
      </c>
      <c r="AC189" s="21"/>
      <c r="AD189" s="31">
        <f t="shared" si="34"/>
        <v>0</v>
      </c>
      <c r="AE189" s="31">
        <f t="shared" si="35"/>
        <v>0</v>
      </c>
      <c r="AF189" s="17">
        <f t="shared" si="36"/>
        <v>0</v>
      </c>
      <c r="AG189" s="17">
        <f t="shared" si="37"/>
        <v>0</v>
      </c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</row>
    <row r="190" spans="1:118" s="19" customFormat="1" ht="18" hidden="1" customHeight="1" outlineLevel="2" x14ac:dyDescent="0.25">
      <c r="A190" s="48" t="s">
        <v>120</v>
      </c>
      <c r="B190" s="53"/>
      <c r="C190" s="64"/>
      <c r="D190" s="68"/>
      <c r="E190" s="68"/>
      <c r="F190" s="68">
        <v>0</v>
      </c>
      <c r="G190" s="68"/>
      <c r="H190" s="68">
        <v>0</v>
      </c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51">
        <f t="shared" si="33"/>
        <v>0</v>
      </c>
      <c r="AB190" s="51">
        <f t="shared" si="39"/>
        <v>0</v>
      </c>
      <c r="AD190" s="31">
        <f t="shared" si="34"/>
        <v>0</v>
      </c>
      <c r="AE190" s="31">
        <f t="shared" si="35"/>
        <v>0</v>
      </c>
      <c r="AF190" s="17">
        <f t="shared" si="36"/>
        <v>0</v>
      </c>
      <c r="AG190" s="17">
        <f t="shared" si="37"/>
        <v>0</v>
      </c>
    </row>
    <row r="191" spans="1:118" s="19" customFormat="1" ht="18" hidden="1" customHeight="1" outlineLevel="2" x14ac:dyDescent="0.25">
      <c r="A191" s="48" t="s">
        <v>121</v>
      </c>
      <c r="B191" s="53"/>
      <c r="C191" s="64"/>
      <c r="D191" s="68"/>
      <c r="E191" s="68"/>
      <c r="F191" s="68">
        <v>0</v>
      </c>
      <c r="G191" s="68"/>
      <c r="H191" s="68">
        <v>0</v>
      </c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51">
        <f t="shared" si="33"/>
        <v>0</v>
      </c>
      <c r="AB191" s="51">
        <f t="shared" si="39"/>
        <v>0</v>
      </c>
      <c r="AD191" s="31">
        <f t="shared" si="34"/>
        <v>0</v>
      </c>
      <c r="AE191" s="31">
        <f t="shared" si="35"/>
        <v>0</v>
      </c>
      <c r="AF191" s="17">
        <f t="shared" si="36"/>
        <v>0</v>
      </c>
      <c r="AG191" s="17">
        <f t="shared" si="37"/>
        <v>0</v>
      </c>
    </row>
    <row r="192" spans="1:118" s="19" customFormat="1" ht="18" hidden="1" customHeight="1" outlineLevel="2" x14ac:dyDescent="0.25">
      <c r="A192" s="48" t="s">
        <v>122</v>
      </c>
      <c r="B192" s="53"/>
      <c r="C192" s="64"/>
      <c r="D192" s="68"/>
      <c r="E192" s="68"/>
      <c r="F192" s="68">
        <v>0</v>
      </c>
      <c r="G192" s="68"/>
      <c r="H192" s="68">
        <v>0</v>
      </c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51">
        <f t="shared" si="33"/>
        <v>0</v>
      </c>
      <c r="AB192" s="51">
        <f t="shared" si="39"/>
        <v>0</v>
      </c>
      <c r="AD192" s="31">
        <f t="shared" si="34"/>
        <v>0</v>
      </c>
      <c r="AE192" s="31">
        <f t="shared" si="35"/>
        <v>0</v>
      </c>
      <c r="AF192" s="17">
        <f t="shared" si="36"/>
        <v>0</v>
      </c>
      <c r="AG192" s="17">
        <f t="shared" si="37"/>
        <v>0</v>
      </c>
    </row>
    <row r="193" spans="1:118" s="19" customFormat="1" ht="18" hidden="1" customHeight="1" outlineLevel="2" x14ac:dyDescent="0.25">
      <c r="A193" s="48" t="s">
        <v>123</v>
      </c>
      <c r="B193" s="53"/>
      <c r="C193" s="64"/>
      <c r="D193" s="68"/>
      <c r="E193" s="68"/>
      <c r="F193" s="68">
        <v>0</v>
      </c>
      <c r="G193" s="68"/>
      <c r="H193" s="68">
        <v>0</v>
      </c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51">
        <f t="shared" si="33"/>
        <v>0</v>
      </c>
      <c r="AB193" s="51">
        <f t="shared" si="39"/>
        <v>0</v>
      </c>
      <c r="AD193" s="31">
        <f t="shared" si="34"/>
        <v>0</v>
      </c>
      <c r="AE193" s="31">
        <f t="shared" si="35"/>
        <v>0</v>
      </c>
      <c r="AF193" s="17">
        <f t="shared" si="36"/>
        <v>0</v>
      </c>
      <c r="AG193" s="17">
        <f t="shared" si="37"/>
        <v>0</v>
      </c>
    </row>
    <row r="194" spans="1:118" s="19" customFormat="1" ht="18" hidden="1" customHeight="1" outlineLevel="2" x14ac:dyDescent="0.25">
      <c r="A194" s="48" t="s">
        <v>124</v>
      </c>
      <c r="B194" s="53"/>
      <c r="C194" s="64"/>
      <c r="D194" s="68"/>
      <c r="E194" s="68"/>
      <c r="F194" s="68">
        <v>0</v>
      </c>
      <c r="G194" s="68"/>
      <c r="H194" s="68">
        <v>0</v>
      </c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51">
        <f t="shared" si="33"/>
        <v>0</v>
      </c>
      <c r="AB194" s="51">
        <f t="shared" si="39"/>
        <v>0</v>
      </c>
      <c r="AD194" s="31">
        <f t="shared" si="34"/>
        <v>0</v>
      </c>
      <c r="AE194" s="31">
        <f t="shared" si="35"/>
        <v>0</v>
      </c>
      <c r="AF194" s="17">
        <f t="shared" si="36"/>
        <v>0</v>
      </c>
      <c r="AG194" s="17">
        <f t="shared" si="37"/>
        <v>0</v>
      </c>
    </row>
    <row r="195" spans="1:118" s="19" customFormat="1" ht="18" hidden="1" customHeight="1" outlineLevel="2" x14ac:dyDescent="0.25">
      <c r="A195" s="48" t="s">
        <v>125</v>
      </c>
      <c r="B195" s="53"/>
      <c r="C195" s="64"/>
      <c r="D195" s="68"/>
      <c r="E195" s="68"/>
      <c r="F195" s="68">
        <v>0</v>
      </c>
      <c r="G195" s="68"/>
      <c r="H195" s="68">
        <v>0</v>
      </c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51">
        <f t="shared" si="33"/>
        <v>0</v>
      </c>
      <c r="AB195" s="51">
        <f t="shared" si="39"/>
        <v>0</v>
      </c>
      <c r="AD195" s="31">
        <f t="shared" si="34"/>
        <v>0</v>
      </c>
      <c r="AE195" s="31">
        <f t="shared" si="35"/>
        <v>0</v>
      </c>
      <c r="AF195" s="17">
        <f t="shared" si="36"/>
        <v>0</v>
      </c>
      <c r="AG195" s="17">
        <f t="shared" si="37"/>
        <v>0</v>
      </c>
    </row>
    <row r="196" spans="1:118" s="19" customFormat="1" ht="18" hidden="1" customHeight="1" outlineLevel="2" x14ac:dyDescent="0.25">
      <c r="A196" s="48" t="s">
        <v>126</v>
      </c>
      <c r="B196" s="53"/>
      <c r="C196" s="64"/>
      <c r="D196" s="68"/>
      <c r="E196" s="68"/>
      <c r="F196" s="68">
        <v>0</v>
      </c>
      <c r="G196" s="68"/>
      <c r="H196" s="68">
        <v>0</v>
      </c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51">
        <f t="shared" si="33"/>
        <v>0</v>
      </c>
      <c r="AB196" s="51">
        <f t="shared" si="39"/>
        <v>0</v>
      </c>
      <c r="AD196" s="31">
        <f t="shared" si="34"/>
        <v>0</v>
      </c>
      <c r="AE196" s="31">
        <f t="shared" si="35"/>
        <v>0</v>
      </c>
      <c r="AF196" s="17">
        <f t="shared" si="36"/>
        <v>0</v>
      </c>
      <c r="AG196" s="17">
        <f t="shared" si="37"/>
        <v>0</v>
      </c>
    </row>
    <row r="197" spans="1:118" s="19" customFormat="1" ht="18" hidden="1" customHeight="1" outlineLevel="1" collapsed="1" x14ac:dyDescent="0.25">
      <c r="A197" s="48" t="s">
        <v>127</v>
      </c>
      <c r="B197" s="53"/>
      <c r="C197" s="64"/>
      <c r="D197" s="68"/>
      <c r="E197" s="68"/>
      <c r="F197" s="68">
        <v>0</v>
      </c>
      <c r="G197" s="68"/>
      <c r="H197" s="68">
        <v>0</v>
      </c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51">
        <f t="shared" si="33"/>
        <v>0</v>
      </c>
      <c r="AB197" s="51">
        <f t="shared" si="39"/>
        <v>0</v>
      </c>
      <c r="AD197" s="31">
        <f t="shared" si="34"/>
        <v>0</v>
      </c>
      <c r="AE197" s="31">
        <f t="shared" si="35"/>
        <v>0</v>
      </c>
      <c r="AF197" s="17">
        <f t="shared" si="36"/>
        <v>0</v>
      </c>
      <c r="AG197" s="17">
        <f t="shared" si="37"/>
        <v>0</v>
      </c>
    </row>
    <row r="198" spans="1:118" s="19" customFormat="1" ht="18" hidden="1" customHeight="1" outlineLevel="1" x14ac:dyDescent="0.25">
      <c r="A198" s="48" t="s">
        <v>128</v>
      </c>
      <c r="B198" s="53"/>
      <c r="C198" s="64"/>
      <c r="D198" s="68"/>
      <c r="E198" s="68"/>
      <c r="F198" s="68">
        <v>0</v>
      </c>
      <c r="G198" s="68"/>
      <c r="H198" s="68">
        <v>0</v>
      </c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51">
        <f t="shared" si="33"/>
        <v>0</v>
      </c>
      <c r="AB198" s="51">
        <f t="shared" si="39"/>
        <v>0</v>
      </c>
      <c r="AD198" s="31">
        <f t="shared" si="34"/>
        <v>0</v>
      </c>
      <c r="AE198" s="31">
        <f t="shared" si="35"/>
        <v>0</v>
      </c>
      <c r="AF198" s="17">
        <f t="shared" si="36"/>
        <v>0</v>
      </c>
      <c r="AG198" s="17">
        <f t="shared" si="37"/>
        <v>0</v>
      </c>
    </row>
    <row r="199" spans="1:118" s="19" customFormat="1" ht="18" hidden="1" customHeight="1" outlineLevel="1" x14ac:dyDescent="0.25">
      <c r="A199" s="48" t="s">
        <v>129</v>
      </c>
      <c r="B199" s="53"/>
      <c r="C199" s="64"/>
      <c r="D199" s="68"/>
      <c r="E199" s="68"/>
      <c r="F199" s="68">
        <v>0</v>
      </c>
      <c r="G199" s="68"/>
      <c r="H199" s="68">
        <v>0</v>
      </c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51">
        <f t="shared" si="33"/>
        <v>0</v>
      </c>
      <c r="AB199" s="51">
        <f t="shared" si="39"/>
        <v>0</v>
      </c>
      <c r="AD199" s="31">
        <f t="shared" si="34"/>
        <v>0</v>
      </c>
      <c r="AE199" s="31">
        <f t="shared" si="35"/>
        <v>0</v>
      </c>
      <c r="AF199" s="17">
        <f t="shared" si="36"/>
        <v>0</v>
      </c>
      <c r="AG199" s="17">
        <f t="shared" si="37"/>
        <v>0</v>
      </c>
    </row>
    <row r="200" spans="1:118" s="17" customFormat="1" ht="18" hidden="1" customHeight="1" outlineLevel="1" x14ac:dyDescent="0.25">
      <c r="A200" s="67" t="s">
        <v>130</v>
      </c>
      <c r="B200" s="45"/>
      <c r="C200" s="33"/>
      <c r="D200" s="65"/>
      <c r="E200" s="65"/>
      <c r="F200" s="65">
        <f>SUM(F201:F205)</f>
        <v>0</v>
      </c>
      <c r="G200" s="65"/>
      <c r="H200" s="65">
        <f>SUM(H201:H205)</f>
        <v>0</v>
      </c>
      <c r="I200" s="65"/>
      <c r="J200" s="65">
        <f>SUM(J201:J205)</f>
        <v>0</v>
      </c>
      <c r="K200" s="65"/>
      <c r="L200" s="65">
        <f>SUM(L201:L205)</f>
        <v>0</v>
      </c>
      <c r="M200" s="65"/>
      <c r="N200" s="65">
        <f>SUM(N201:N205)</f>
        <v>0</v>
      </c>
      <c r="O200" s="65"/>
      <c r="P200" s="65">
        <f>SUM(P201:P205)</f>
        <v>0</v>
      </c>
      <c r="Q200" s="65"/>
      <c r="R200" s="65">
        <f>SUM(R201:R205)</f>
        <v>0</v>
      </c>
      <c r="S200" s="65"/>
      <c r="T200" s="65">
        <f>SUM(T201:T205)</f>
        <v>0</v>
      </c>
      <c r="U200" s="65"/>
      <c r="V200" s="65">
        <f>SUM(V201:V205)</f>
        <v>0</v>
      </c>
      <c r="W200" s="65"/>
      <c r="X200" s="65">
        <f>SUM(X201:X205)</f>
        <v>0</v>
      </c>
      <c r="Y200" s="65"/>
      <c r="Z200" s="65">
        <f>SUM(Z201:Z205)</f>
        <v>0</v>
      </c>
      <c r="AA200" s="51">
        <f t="shared" si="33"/>
        <v>0</v>
      </c>
      <c r="AB200" s="51">
        <f t="shared" si="39"/>
        <v>0</v>
      </c>
      <c r="AC200" s="21"/>
      <c r="AD200" s="31">
        <f t="shared" si="34"/>
        <v>0</v>
      </c>
      <c r="AE200" s="31">
        <f t="shared" si="35"/>
        <v>0</v>
      </c>
      <c r="AF200" s="17">
        <f t="shared" si="36"/>
        <v>0</v>
      </c>
      <c r="AG200" s="17">
        <f t="shared" si="37"/>
        <v>0</v>
      </c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</row>
    <row r="201" spans="1:118" s="19" customFormat="1" ht="18" hidden="1" customHeight="1" outlineLevel="2" x14ac:dyDescent="0.25">
      <c r="A201" s="48" t="s">
        <v>131</v>
      </c>
      <c r="B201" s="53"/>
      <c r="C201" s="64"/>
      <c r="D201" s="68"/>
      <c r="E201" s="68"/>
      <c r="F201" s="68">
        <v>0</v>
      </c>
      <c r="G201" s="68"/>
      <c r="H201" s="68">
        <v>0</v>
      </c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51">
        <f t="shared" si="33"/>
        <v>0</v>
      </c>
      <c r="AB201" s="51">
        <f t="shared" si="39"/>
        <v>0</v>
      </c>
      <c r="AD201" s="31">
        <f t="shared" si="34"/>
        <v>0</v>
      </c>
      <c r="AE201" s="31">
        <f t="shared" si="35"/>
        <v>0</v>
      </c>
      <c r="AF201" s="17">
        <f t="shared" si="36"/>
        <v>0</v>
      </c>
      <c r="AG201" s="17">
        <f t="shared" si="37"/>
        <v>0</v>
      </c>
    </row>
    <row r="202" spans="1:118" s="19" customFormat="1" ht="18" hidden="1" customHeight="1" outlineLevel="2" x14ac:dyDescent="0.25">
      <c r="A202" s="48" t="s">
        <v>132</v>
      </c>
      <c r="B202" s="53"/>
      <c r="C202" s="64"/>
      <c r="D202" s="68"/>
      <c r="E202" s="68"/>
      <c r="F202" s="68">
        <v>0</v>
      </c>
      <c r="G202" s="68"/>
      <c r="H202" s="68">
        <v>0</v>
      </c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51">
        <f t="shared" si="33"/>
        <v>0</v>
      </c>
      <c r="AB202" s="51">
        <f t="shared" si="39"/>
        <v>0</v>
      </c>
      <c r="AD202" s="31">
        <f t="shared" si="34"/>
        <v>0</v>
      </c>
      <c r="AE202" s="31">
        <f t="shared" si="35"/>
        <v>0</v>
      </c>
      <c r="AF202" s="17">
        <f t="shared" si="36"/>
        <v>0</v>
      </c>
      <c r="AG202" s="17">
        <f t="shared" si="37"/>
        <v>0</v>
      </c>
    </row>
    <row r="203" spans="1:118" s="19" customFormat="1" ht="18" hidden="1" customHeight="1" outlineLevel="2" x14ac:dyDescent="0.25">
      <c r="A203" s="48" t="s">
        <v>180</v>
      </c>
      <c r="B203" s="53"/>
      <c r="C203" s="64"/>
      <c r="D203" s="68"/>
      <c r="E203" s="68"/>
      <c r="F203" s="68">
        <v>0</v>
      </c>
      <c r="G203" s="68"/>
      <c r="H203" s="68">
        <v>0</v>
      </c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51">
        <f t="shared" si="33"/>
        <v>0</v>
      </c>
      <c r="AB203" s="51">
        <f t="shared" si="39"/>
        <v>0</v>
      </c>
      <c r="AD203" s="31">
        <f t="shared" si="34"/>
        <v>0</v>
      </c>
      <c r="AE203" s="31">
        <f t="shared" si="35"/>
        <v>0</v>
      </c>
      <c r="AF203" s="17">
        <f t="shared" si="36"/>
        <v>0</v>
      </c>
      <c r="AG203" s="17">
        <f t="shared" si="37"/>
        <v>0</v>
      </c>
    </row>
    <row r="204" spans="1:118" s="19" customFormat="1" ht="18" hidden="1" customHeight="1" outlineLevel="2" x14ac:dyDescent="0.25">
      <c r="A204" s="48" t="s">
        <v>134</v>
      </c>
      <c r="B204" s="53"/>
      <c r="C204" s="64"/>
      <c r="D204" s="68"/>
      <c r="E204" s="68"/>
      <c r="F204" s="68">
        <v>0</v>
      </c>
      <c r="G204" s="68"/>
      <c r="H204" s="68">
        <v>0</v>
      </c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51">
        <f t="shared" si="33"/>
        <v>0</v>
      </c>
      <c r="AB204" s="51">
        <f t="shared" si="39"/>
        <v>0</v>
      </c>
      <c r="AD204" s="31">
        <f t="shared" si="34"/>
        <v>0</v>
      </c>
      <c r="AE204" s="31">
        <f t="shared" si="35"/>
        <v>0</v>
      </c>
      <c r="AF204" s="17">
        <f t="shared" si="36"/>
        <v>0</v>
      </c>
      <c r="AG204" s="17">
        <f t="shared" si="37"/>
        <v>0</v>
      </c>
    </row>
    <row r="205" spans="1:118" s="19" customFormat="1" ht="18" hidden="1" customHeight="1" outlineLevel="2" x14ac:dyDescent="0.25">
      <c r="A205" s="48" t="s">
        <v>135</v>
      </c>
      <c r="B205" s="53"/>
      <c r="C205" s="64"/>
      <c r="D205" s="68"/>
      <c r="E205" s="68"/>
      <c r="F205" s="68">
        <v>0</v>
      </c>
      <c r="G205" s="68"/>
      <c r="H205" s="68">
        <v>0</v>
      </c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51">
        <f t="shared" si="33"/>
        <v>0</v>
      </c>
      <c r="AB205" s="51">
        <f t="shared" si="39"/>
        <v>0</v>
      </c>
      <c r="AD205" s="31">
        <f t="shared" si="34"/>
        <v>0</v>
      </c>
      <c r="AE205" s="31">
        <f t="shared" si="35"/>
        <v>0</v>
      </c>
      <c r="AF205" s="17">
        <f t="shared" si="36"/>
        <v>0</v>
      </c>
      <c r="AG205" s="17">
        <f t="shared" si="37"/>
        <v>0</v>
      </c>
    </row>
    <row r="206" spans="1:118" s="19" customFormat="1" ht="18" hidden="1" customHeight="1" outlineLevel="1" collapsed="1" x14ac:dyDescent="0.25">
      <c r="A206" s="48" t="s">
        <v>136</v>
      </c>
      <c r="B206" s="53"/>
      <c r="C206" s="64"/>
      <c r="D206" s="68"/>
      <c r="E206" s="68"/>
      <c r="F206" s="68">
        <v>0</v>
      </c>
      <c r="G206" s="68"/>
      <c r="H206" s="68">
        <v>0</v>
      </c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51">
        <f t="shared" si="33"/>
        <v>0</v>
      </c>
      <c r="AB206" s="51">
        <f t="shared" si="39"/>
        <v>0</v>
      </c>
      <c r="AD206" s="31">
        <f t="shared" si="34"/>
        <v>0</v>
      </c>
      <c r="AE206" s="31">
        <f t="shared" si="35"/>
        <v>0</v>
      </c>
      <c r="AF206" s="17">
        <f t="shared" si="36"/>
        <v>0</v>
      </c>
      <c r="AG206" s="17">
        <f t="shared" si="37"/>
        <v>0</v>
      </c>
    </row>
    <row r="207" spans="1:118" s="19" customFormat="1" ht="18" hidden="1" customHeight="1" outlineLevel="1" x14ac:dyDescent="0.25">
      <c r="A207" s="48" t="s">
        <v>137</v>
      </c>
      <c r="B207" s="53"/>
      <c r="C207" s="64"/>
      <c r="D207" s="68"/>
      <c r="E207" s="68"/>
      <c r="F207" s="68">
        <v>0</v>
      </c>
      <c r="G207" s="68"/>
      <c r="H207" s="68">
        <v>0</v>
      </c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51">
        <f t="shared" si="33"/>
        <v>0</v>
      </c>
      <c r="AB207" s="51">
        <f t="shared" si="39"/>
        <v>0</v>
      </c>
      <c r="AD207" s="31">
        <f t="shared" si="34"/>
        <v>0</v>
      </c>
      <c r="AE207" s="31">
        <f t="shared" si="35"/>
        <v>0</v>
      </c>
      <c r="AF207" s="17">
        <f t="shared" si="36"/>
        <v>0</v>
      </c>
      <c r="AG207" s="17">
        <f t="shared" si="37"/>
        <v>0</v>
      </c>
    </row>
    <row r="208" spans="1:118" s="19" customFormat="1" ht="18" hidden="1" customHeight="1" outlineLevel="1" x14ac:dyDescent="0.25">
      <c r="A208" s="48" t="s">
        <v>138</v>
      </c>
      <c r="B208" s="53"/>
      <c r="C208" s="64"/>
      <c r="D208" s="68"/>
      <c r="E208" s="68"/>
      <c r="F208" s="68">
        <v>0</v>
      </c>
      <c r="G208" s="68"/>
      <c r="H208" s="68">
        <v>0</v>
      </c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51">
        <f t="shared" si="33"/>
        <v>0</v>
      </c>
      <c r="AB208" s="51">
        <f t="shared" si="39"/>
        <v>0</v>
      </c>
      <c r="AD208" s="31">
        <f t="shared" si="34"/>
        <v>0</v>
      </c>
      <c r="AE208" s="31">
        <f t="shared" si="35"/>
        <v>0</v>
      </c>
      <c r="AF208" s="17">
        <f t="shared" si="36"/>
        <v>0</v>
      </c>
      <c r="AG208" s="17">
        <f t="shared" si="37"/>
        <v>0</v>
      </c>
    </row>
    <row r="209" spans="1:118" s="19" customFormat="1" ht="18" hidden="1" customHeight="1" outlineLevel="1" x14ac:dyDescent="0.25">
      <c r="A209" s="48" t="s">
        <v>139</v>
      </c>
      <c r="B209" s="53"/>
      <c r="C209" s="64"/>
      <c r="D209" s="68"/>
      <c r="E209" s="68"/>
      <c r="F209" s="68">
        <v>0</v>
      </c>
      <c r="G209" s="68"/>
      <c r="H209" s="68">
        <v>0</v>
      </c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51">
        <f t="shared" si="33"/>
        <v>0</v>
      </c>
      <c r="AB209" s="51">
        <f t="shared" si="39"/>
        <v>0</v>
      </c>
      <c r="AD209" s="31">
        <f t="shared" si="34"/>
        <v>0</v>
      </c>
      <c r="AE209" s="31">
        <f t="shared" si="35"/>
        <v>0</v>
      </c>
      <c r="AF209" s="17">
        <f t="shared" si="36"/>
        <v>0</v>
      </c>
      <c r="AG209" s="17">
        <f t="shared" si="37"/>
        <v>0</v>
      </c>
    </row>
    <row r="210" spans="1:118" s="19" customFormat="1" ht="18" hidden="1" customHeight="1" outlineLevel="1" x14ac:dyDescent="0.25">
      <c r="A210" s="48" t="s">
        <v>140</v>
      </c>
      <c r="B210" s="53"/>
      <c r="C210" s="64"/>
      <c r="D210" s="68"/>
      <c r="E210" s="68"/>
      <c r="F210" s="68">
        <v>0</v>
      </c>
      <c r="G210" s="68"/>
      <c r="H210" s="68">
        <v>0</v>
      </c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51">
        <f t="shared" si="33"/>
        <v>0</v>
      </c>
      <c r="AB210" s="51">
        <f t="shared" si="39"/>
        <v>0</v>
      </c>
      <c r="AD210" s="31">
        <f t="shared" si="34"/>
        <v>0</v>
      </c>
      <c r="AE210" s="31">
        <f t="shared" si="35"/>
        <v>0</v>
      </c>
      <c r="AF210" s="17">
        <f t="shared" si="36"/>
        <v>0</v>
      </c>
      <c r="AG210" s="17">
        <f t="shared" si="37"/>
        <v>0</v>
      </c>
    </row>
    <row r="211" spans="1:118" s="19" customFormat="1" ht="18" hidden="1" customHeight="1" outlineLevel="1" x14ac:dyDescent="0.25">
      <c r="A211" s="48" t="s">
        <v>141</v>
      </c>
      <c r="B211" s="53"/>
      <c r="C211" s="64"/>
      <c r="D211" s="68"/>
      <c r="E211" s="68"/>
      <c r="F211" s="68">
        <v>0</v>
      </c>
      <c r="G211" s="68"/>
      <c r="H211" s="68">
        <v>0</v>
      </c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51">
        <f t="shared" si="33"/>
        <v>0</v>
      </c>
      <c r="AB211" s="51">
        <f t="shared" si="39"/>
        <v>0</v>
      </c>
      <c r="AD211" s="31">
        <f t="shared" si="34"/>
        <v>0</v>
      </c>
      <c r="AE211" s="31">
        <f t="shared" si="35"/>
        <v>0</v>
      </c>
      <c r="AF211" s="17">
        <f t="shared" si="36"/>
        <v>0</v>
      </c>
      <c r="AG211" s="17">
        <f t="shared" si="37"/>
        <v>0</v>
      </c>
    </row>
    <row r="212" spans="1:118" s="17" customFormat="1" ht="18" hidden="1" customHeight="1" outlineLevel="1" x14ac:dyDescent="0.25">
      <c r="A212" s="67" t="s">
        <v>142</v>
      </c>
      <c r="B212" s="71"/>
      <c r="C212" s="33"/>
      <c r="D212" s="65"/>
      <c r="E212" s="65"/>
      <c r="F212" s="65">
        <f>SUM(F213:F216)</f>
        <v>0</v>
      </c>
      <c r="G212" s="65"/>
      <c r="H212" s="65">
        <f>SUM(H213:H216)</f>
        <v>0</v>
      </c>
      <c r="I212" s="65"/>
      <c r="J212" s="65">
        <f>SUM(J213:J216)</f>
        <v>0</v>
      </c>
      <c r="K212" s="65"/>
      <c r="L212" s="65">
        <f>SUM(L213:L216)</f>
        <v>0</v>
      </c>
      <c r="M212" s="65"/>
      <c r="N212" s="65">
        <f>SUM(N213:N216)</f>
        <v>0</v>
      </c>
      <c r="O212" s="65"/>
      <c r="P212" s="65">
        <f>SUM(P213:P216)</f>
        <v>0</v>
      </c>
      <c r="Q212" s="65"/>
      <c r="R212" s="65">
        <f>SUM(R213:R216)</f>
        <v>0</v>
      </c>
      <c r="S212" s="65"/>
      <c r="T212" s="65">
        <f>SUM(T213:T216)</f>
        <v>0</v>
      </c>
      <c r="U212" s="65"/>
      <c r="V212" s="65">
        <f>SUM(V213:V216)</f>
        <v>0</v>
      </c>
      <c r="W212" s="65"/>
      <c r="X212" s="65">
        <f>SUM(X213:X216)</f>
        <v>0</v>
      </c>
      <c r="Y212" s="65"/>
      <c r="Z212" s="65">
        <f>SUM(Z213:Z216)</f>
        <v>0</v>
      </c>
      <c r="AA212" s="51">
        <f t="shared" si="33"/>
        <v>0</v>
      </c>
      <c r="AB212" s="51">
        <f t="shared" si="39"/>
        <v>0</v>
      </c>
      <c r="AC212" s="21"/>
      <c r="AD212" s="31">
        <f t="shared" si="34"/>
        <v>0</v>
      </c>
      <c r="AE212" s="31">
        <f t="shared" si="35"/>
        <v>0</v>
      </c>
      <c r="AF212" s="17">
        <f t="shared" si="36"/>
        <v>0</v>
      </c>
      <c r="AG212" s="17">
        <f t="shared" si="37"/>
        <v>0</v>
      </c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</row>
    <row r="213" spans="1:118" s="19" customFormat="1" ht="18" hidden="1" customHeight="1" outlineLevel="2" x14ac:dyDescent="0.25">
      <c r="A213" s="48" t="s">
        <v>143</v>
      </c>
      <c r="B213" s="53"/>
      <c r="C213" s="64"/>
      <c r="D213" s="68"/>
      <c r="E213" s="68"/>
      <c r="F213" s="68">
        <v>0</v>
      </c>
      <c r="G213" s="68"/>
      <c r="H213" s="68">
        <v>0</v>
      </c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51">
        <f t="shared" si="33"/>
        <v>0</v>
      </c>
      <c r="AB213" s="51">
        <f t="shared" si="39"/>
        <v>0</v>
      </c>
      <c r="AD213" s="31">
        <f t="shared" si="34"/>
        <v>0</v>
      </c>
      <c r="AE213" s="31">
        <f t="shared" si="35"/>
        <v>0</v>
      </c>
      <c r="AF213" s="17">
        <f t="shared" si="36"/>
        <v>0</v>
      </c>
      <c r="AG213" s="17">
        <f t="shared" si="37"/>
        <v>0</v>
      </c>
    </row>
    <row r="214" spans="1:118" s="19" customFormat="1" ht="18" hidden="1" customHeight="1" outlineLevel="2" x14ac:dyDescent="0.25">
      <c r="A214" s="48" t="s">
        <v>144</v>
      </c>
      <c r="B214" s="53"/>
      <c r="C214" s="64"/>
      <c r="D214" s="68"/>
      <c r="E214" s="68"/>
      <c r="F214" s="68">
        <v>0</v>
      </c>
      <c r="G214" s="68"/>
      <c r="H214" s="68">
        <v>0</v>
      </c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51">
        <f t="shared" si="33"/>
        <v>0</v>
      </c>
      <c r="AB214" s="51">
        <f t="shared" si="39"/>
        <v>0</v>
      </c>
      <c r="AD214" s="31">
        <f t="shared" si="34"/>
        <v>0</v>
      </c>
      <c r="AE214" s="31">
        <f t="shared" si="35"/>
        <v>0</v>
      </c>
      <c r="AF214" s="17">
        <f t="shared" si="36"/>
        <v>0</v>
      </c>
      <c r="AG214" s="17">
        <f t="shared" si="37"/>
        <v>0</v>
      </c>
    </row>
    <row r="215" spans="1:118" s="19" customFormat="1" ht="18" hidden="1" customHeight="1" outlineLevel="2" x14ac:dyDescent="0.25">
      <c r="A215" s="48" t="s">
        <v>145</v>
      </c>
      <c r="B215" s="53"/>
      <c r="C215" s="64"/>
      <c r="D215" s="68"/>
      <c r="E215" s="68"/>
      <c r="F215" s="68">
        <v>0</v>
      </c>
      <c r="G215" s="68"/>
      <c r="H215" s="68">
        <v>0</v>
      </c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51">
        <f t="shared" si="33"/>
        <v>0</v>
      </c>
      <c r="AB215" s="51">
        <f t="shared" si="39"/>
        <v>0</v>
      </c>
      <c r="AD215" s="31">
        <f t="shared" si="34"/>
        <v>0</v>
      </c>
      <c r="AE215" s="31">
        <f t="shared" si="35"/>
        <v>0</v>
      </c>
      <c r="AF215" s="17">
        <f t="shared" si="36"/>
        <v>0</v>
      </c>
      <c r="AG215" s="17">
        <f t="shared" si="37"/>
        <v>0</v>
      </c>
    </row>
    <row r="216" spans="1:118" s="19" customFormat="1" ht="18" hidden="1" customHeight="1" outlineLevel="2" x14ac:dyDescent="0.25">
      <c r="A216" s="48" t="s">
        <v>146</v>
      </c>
      <c r="B216" s="53"/>
      <c r="C216" s="64"/>
      <c r="D216" s="68"/>
      <c r="E216" s="68"/>
      <c r="F216" s="68">
        <v>0</v>
      </c>
      <c r="G216" s="68"/>
      <c r="H216" s="68">
        <v>0</v>
      </c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51">
        <f t="shared" si="33"/>
        <v>0</v>
      </c>
      <c r="AB216" s="51">
        <f t="shared" si="39"/>
        <v>0</v>
      </c>
      <c r="AD216" s="31">
        <f t="shared" si="34"/>
        <v>0</v>
      </c>
      <c r="AE216" s="31">
        <f t="shared" si="35"/>
        <v>0</v>
      </c>
      <c r="AF216" s="17">
        <f t="shared" si="36"/>
        <v>0</v>
      </c>
      <c r="AG216" s="17">
        <f t="shared" si="37"/>
        <v>0</v>
      </c>
    </row>
    <row r="217" spans="1:118" s="19" customFormat="1" ht="18" hidden="1" customHeight="1" outlineLevel="1" collapsed="1" x14ac:dyDescent="0.25">
      <c r="A217" s="48" t="s">
        <v>147</v>
      </c>
      <c r="B217" s="53"/>
      <c r="C217" s="64"/>
      <c r="D217" s="68"/>
      <c r="E217" s="68"/>
      <c r="F217" s="68">
        <v>0</v>
      </c>
      <c r="G217" s="68"/>
      <c r="H217" s="68">
        <v>0</v>
      </c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51">
        <f t="shared" si="33"/>
        <v>0</v>
      </c>
      <c r="AB217" s="51">
        <f t="shared" si="39"/>
        <v>0</v>
      </c>
      <c r="AD217" s="31">
        <f t="shared" si="34"/>
        <v>0</v>
      </c>
      <c r="AE217" s="31">
        <f t="shared" si="35"/>
        <v>0</v>
      </c>
      <c r="AF217" s="17">
        <f t="shared" si="36"/>
        <v>0</v>
      </c>
      <c r="AG217" s="17">
        <f t="shared" si="37"/>
        <v>0</v>
      </c>
    </row>
    <row r="218" spans="1:118" s="19" customFormat="1" ht="18" hidden="1" customHeight="1" outlineLevel="1" x14ac:dyDescent="0.25">
      <c r="A218" s="48" t="s">
        <v>148</v>
      </c>
      <c r="B218" s="53"/>
      <c r="C218" s="64"/>
      <c r="D218" s="68"/>
      <c r="E218" s="68"/>
      <c r="F218" s="68">
        <v>0</v>
      </c>
      <c r="G218" s="68"/>
      <c r="H218" s="68">
        <v>0</v>
      </c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51">
        <f t="shared" si="33"/>
        <v>0</v>
      </c>
      <c r="AB218" s="51">
        <f t="shared" si="39"/>
        <v>0</v>
      </c>
      <c r="AD218" s="31">
        <f t="shared" si="34"/>
        <v>0</v>
      </c>
      <c r="AE218" s="31">
        <f t="shared" si="35"/>
        <v>0</v>
      </c>
      <c r="AF218" s="17">
        <f t="shared" si="36"/>
        <v>0</v>
      </c>
      <c r="AG218" s="17">
        <f t="shared" si="37"/>
        <v>0</v>
      </c>
    </row>
    <row r="219" spans="1:118" s="19" customFormat="1" ht="18" hidden="1" customHeight="1" outlineLevel="1" x14ac:dyDescent="0.25">
      <c r="A219" s="48" t="s">
        <v>149</v>
      </c>
      <c r="B219" s="53"/>
      <c r="C219" s="64"/>
      <c r="D219" s="68"/>
      <c r="E219" s="68"/>
      <c r="F219" s="68">
        <v>0</v>
      </c>
      <c r="G219" s="68"/>
      <c r="H219" s="68">
        <v>0</v>
      </c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51">
        <f t="shared" si="33"/>
        <v>0</v>
      </c>
      <c r="AB219" s="51">
        <f t="shared" si="39"/>
        <v>0</v>
      </c>
      <c r="AD219" s="31">
        <f t="shared" si="34"/>
        <v>0</v>
      </c>
      <c r="AE219" s="31">
        <f t="shared" si="35"/>
        <v>0</v>
      </c>
      <c r="AF219" s="17">
        <f t="shared" si="36"/>
        <v>0</v>
      </c>
      <c r="AG219" s="17">
        <f t="shared" si="37"/>
        <v>0</v>
      </c>
    </row>
    <row r="220" spans="1:118" s="19" customFormat="1" ht="18" hidden="1" customHeight="1" outlineLevel="1" x14ac:dyDescent="0.25">
      <c r="A220" s="48" t="s">
        <v>150</v>
      </c>
      <c r="B220" s="53"/>
      <c r="C220" s="64"/>
      <c r="D220" s="68"/>
      <c r="E220" s="68"/>
      <c r="F220" s="68">
        <v>0</v>
      </c>
      <c r="G220" s="68"/>
      <c r="H220" s="68">
        <v>0</v>
      </c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51">
        <f t="shared" ref="AA220:AA257" si="40">C220+E220+G220+I220+K220+M220+O220+Q220+S220+U220+W220+Y220</f>
        <v>0</v>
      </c>
      <c r="AB220" s="51">
        <f t="shared" si="39"/>
        <v>0</v>
      </c>
      <c r="AD220" s="31">
        <f t="shared" ref="AD220:AD263" si="41">SUMIF($C$5:$Z$5,$AD$5,C220:Z220)</f>
        <v>0</v>
      </c>
      <c r="AE220" s="31">
        <f t="shared" ref="AE220:AE263" si="42">SUMIF($C$5:$Z$5,$AD$5,D220:AA220)</f>
        <v>0</v>
      </c>
      <c r="AF220" s="17">
        <f t="shared" si="36"/>
        <v>0</v>
      </c>
      <c r="AG220" s="17">
        <f t="shared" si="37"/>
        <v>0</v>
      </c>
    </row>
    <row r="221" spans="1:118" s="19" customFormat="1" ht="18" hidden="1" customHeight="1" outlineLevel="1" x14ac:dyDescent="0.25">
      <c r="A221" s="48" t="s">
        <v>151</v>
      </c>
      <c r="B221" s="53"/>
      <c r="C221" s="64"/>
      <c r="D221" s="68"/>
      <c r="E221" s="68"/>
      <c r="F221" s="68">
        <v>0</v>
      </c>
      <c r="G221" s="68"/>
      <c r="H221" s="68">
        <v>0</v>
      </c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51">
        <f t="shared" si="40"/>
        <v>0</v>
      </c>
      <c r="AB221" s="51">
        <f t="shared" si="39"/>
        <v>0</v>
      </c>
      <c r="AD221" s="31">
        <f t="shared" si="41"/>
        <v>0</v>
      </c>
      <c r="AE221" s="31">
        <f t="shared" si="42"/>
        <v>0</v>
      </c>
      <c r="AF221" s="17">
        <f t="shared" si="36"/>
        <v>0</v>
      </c>
      <c r="AG221" s="17">
        <f t="shared" si="37"/>
        <v>0</v>
      </c>
    </row>
    <row r="222" spans="1:118" s="19" customFormat="1" ht="18" hidden="1" customHeight="1" outlineLevel="1" x14ac:dyDescent="0.25">
      <c r="A222" s="48" t="s">
        <v>152</v>
      </c>
      <c r="B222" s="53"/>
      <c r="C222" s="64"/>
      <c r="D222" s="68"/>
      <c r="E222" s="68"/>
      <c r="F222" s="68">
        <v>0</v>
      </c>
      <c r="G222" s="68"/>
      <c r="H222" s="68">
        <v>0</v>
      </c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51">
        <f t="shared" si="40"/>
        <v>0</v>
      </c>
      <c r="AB222" s="51">
        <f t="shared" si="39"/>
        <v>0</v>
      </c>
      <c r="AD222" s="31">
        <f t="shared" si="41"/>
        <v>0</v>
      </c>
      <c r="AE222" s="31">
        <f t="shared" si="42"/>
        <v>0</v>
      </c>
      <c r="AF222" s="17">
        <f t="shared" ref="AF222:AF260" si="43">AA222-AD222</f>
        <v>0</v>
      </c>
      <c r="AG222" s="17">
        <f t="shared" ref="AG222:AG260" si="44">AB222-AE222</f>
        <v>0</v>
      </c>
    </row>
    <row r="223" spans="1:118" s="19" customFormat="1" ht="18" hidden="1" customHeight="1" outlineLevel="1" x14ac:dyDescent="0.25">
      <c r="A223" s="48" t="s">
        <v>153</v>
      </c>
      <c r="B223" s="53"/>
      <c r="C223" s="64"/>
      <c r="D223" s="68"/>
      <c r="E223" s="68"/>
      <c r="F223" s="68">
        <v>0</v>
      </c>
      <c r="G223" s="68"/>
      <c r="H223" s="68">
        <v>0</v>
      </c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51">
        <f t="shared" si="40"/>
        <v>0</v>
      </c>
      <c r="AB223" s="51">
        <f t="shared" si="39"/>
        <v>0</v>
      </c>
      <c r="AD223" s="31">
        <f t="shared" si="41"/>
        <v>0</v>
      </c>
      <c r="AE223" s="31">
        <f t="shared" si="42"/>
        <v>0</v>
      </c>
      <c r="AF223" s="17">
        <f t="shared" si="43"/>
        <v>0</v>
      </c>
      <c r="AG223" s="17">
        <f t="shared" si="44"/>
        <v>0</v>
      </c>
    </row>
    <row r="224" spans="1:118" s="19" customFormat="1" ht="18" hidden="1" customHeight="1" outlineLevel="1" x14ac:dyDescent="0.25">
      <c r="A224" s="48" t="s">
        <v>154</v>
      </c>
      <c r="B224" s="53"/>
      <c r="C224" s="64"/>
      <c r="D224" s="68"/>
      <c r="E224" s="68"/>
      <c r="F224" s="68">
        <v>0</v>
      </c>
      <c r="G224" s="68"/>
      <c r="H224" s="68">
        <v>0</v>
      </c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51">
        <f t="shared" si="40"/>
        <v>0</v>
      </c>
      <c r="AB224" s="51">
        <f t="shared" si="39"/>
        <v>0</v>
      </c>
      <c r="AD224" s="31">
        <f t="shared" si="41"/>
        <v>0</v>
      </c>
      <c r="AE224" s="31">
        <f t="shared" si="42"/>
        <v>0</v>
      </c>
      <c r="AF224" s="17">
        <f t="shared" si="43"/>
        <v>0</v>
      </c>
      <c r="AG224" s="17">
        <f t="shared" si="44"/>
        <v>0</v>
      </c>
    </row>
    <row r="225" spans="1:33" s="19" customFormat="1" ht="18" hidden="1" customHeight="1" outlineLevel="1" x14ac:dyDescent="0.25">
      <c r="A225" s="48" t="s">
        <v>155</v>
      </c>
      <c r="B225" s="53"/>
      <c r="C225" s="64"/>
      <c r="D225" s="68"/>
      <c r="E225" s="68"/>
      <c r="F225" s="68">
        <v>0</v>
      </c>
      <c r="G225" s="68"/>
      <c r="H225" s="68">
        <v>0</v>
      </c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51">
        <f t="shared" si="40"/>
        <v>0</v>
      </c>
      <c r="AB225" s="51">
        <f t="shared" si="39"/>
        <v>0</v>
      </c>
      <c r="AD225" s="31">
        <f t="shared" si="41"/>
        <v>0</v>
      </c>
      <c r="AE225" s="31">
        <f t="shared" si="42"/>
        <v>0</v>
      </c>
      <c r="AF225" s="17">
        <f t="shared" si="43"/>
        <v>0</v>
      </c>
      <c r="AG225" s="17">
        <f t="shared" si="44"/>
        <v>0</v>
      </c>
    </row>
    <row r="226" spans="1:33" s="19" customFormat="1" ht="18" hidden="1" customHeight="1" outlineLevel="1" x14ac:dyDescent="0.25">
      <c r="A226" s="48" t="s">
        <v>156</v>
      </c>
      <c r="B226" s="53"/>
      <c r="C226" s="64"/>
      <c r="D226" s="68"/>
      <c r="E226" s="68"/>
      <c r="F226" s="68">
        <v>0</v>
      </c>
      <c r="G226" s="68"/>
      <c r="H226" s="68">
        <v>0</v>
      </c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51">
        <f t="shared" si="40"/>
        <v>0</v>
      </c>
      <c r="AB226" s="51">
        <f t="shared" si="39"/>
        <v>0</v>
      </c>
      <c r="AD226" s="31">
        <f t="shared" si="41"/>
        <v>0</v>
      </c>
      <c r="AE226" s="31">
        <f t="shared" si="42"/>
        <v>0</v>
      </c>
      <c r="AF226" s="17">
        <f t="shared" si="43"/>
        <v>0</v>
      </c>
      <c r="AG226" s="17">
        <f t="shared" si="44"/>
        <v>0</v>
      </c>
    </row>
    <row r="227" spans="1:33" s="19" customFormat="1" ht="18" hidden="1" customHeight="1" outlineLevel="1" x14ac:dyDescent="0.25">
      <c r="A227" s="48" t="s">
        <v>157</v>
      </c>
      <c r="B227" s="53"/>
      <c r="C227" s="64"/>
      <c r="D227" s="68"/>
      <c r="E227" s="68"/>
      <c r="F227" s="68">
        <v>0</v>
      </c>
      <c r="G227" s="68"/>
      <c r="H227" s="68">
        <v>0</v>
      </c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51">
        <f t="shared" si="40"/>
        <v>0</v>
      </c>
      <c r="AB227" s="51">
        <f t="shared" si="39"/>
        <v>0</v>
      </c>
      <c r="AD227" s="31">
        <f t="shared" si="41"/>
        <v>0</v>
      </c>
      <c r="AE227" s="31">
        <f t="shared" si="42"/>
        <v>0</v>
      </c>
      <c r="AF227" s="17">
        <f t="shared" si="43"/>
        <v>0</v>
      </c>
      <c r="AG227" s="17">
        <f t="shared" si="44"/>
        <v>0</v>
      </c>
    </row>
    <row r="228" spans="1:33" s="19" customFormat="1" ht="18" hidden="1" customHeight="1" outlineLevel="1" x14ac:dyDescent="0.25">
      <c r="A228" s="48" t="s">
        <v>158</v>
      </c>
      <c r="B228" s="53"/>
      <c r="C228" s="64"/>
      <c r="D228" s="68"/>
      <c r="E228" s="68"/>
      <c r="F228" s="68">
        <v>0</v>
      </c>
      <c r="G228" s="68"/>
      <c r="H228" s="68">
        <v>0</v>
      </c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51">
        <f t="shared" si="40"/>
        <v>0</v>
      </c>
      <c r="AB228" s="51">
        <f t="shared" si="39"/>
        <v>0</v>
      </c>
      <c r="AD228" s="31">
        <f t="shared" si="41"/>
        <v>0</v>
      </c>
      <c r="AE228" s="31">
        <f t="shared" si="42"/>
        <v>0</v>
      </c>
      <c r="AF228" s="17">
        <f t="shared" si="43"/>
        <v>0</v>
      </c>
      <c r="AG228" s="17">
        <f t="shared" si="44"/>
        <v>0</v>
      </c>
    </row>
    <row r="229" spans="1:33" s="19" customFormat="1" ht="18" hidden="1" customHeight="1" outlineLevel="1" x14ac:dyDescent="0.25">
      <c r="A229" s="48" t="s">
        <v>100</v>
      </c>
      <c r="B229" s="53"/>
      <c r="C229" s="64"/>
      <c r="D229" s="68"/>
      <c r="E229" s="68"/>
      <c r="F229" s="68">
        <v>0</v>
      </c>
      <c r="G229" s="68"/>
      <c r="H229" s="68">
        <v>0</v>
      </c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51">
        <f t="shared" si="40"/>
        <v>0</v>
      </c>
      <c r="AB229" s="51">
        <f t="shared" si="39"/>
        <v>0</v>
      </c>
      <c r="AD229" s="31">
        <f t="shared" si="41"/>
        <v>0</v>
      </c>
      <c r="AE229" s="31">
        <f t="shared" si="42"/>
        <v>0</v>
      </c>
      <c r="AF229" s="17">
        <f t="shared" si="43"/>
        <v>0</v>
      </c>
      <c r="AG229" s="17">
        <f t="shared" si="44"/>
        <v>0</v>
      </c>
    </row>
    <row r="230" spans="1:33" s="19" customFormat="1" ht="18" hidden="1" customHeight="1" outlineLevel="1" x14ac:dyDescent="0.25">
      <c r="A230" s="48" t="s">
        <v>159</v>
      </c>
      <c r="B230" s="53"/>
      <c r="C230" s="64"/>
      <c r="D230" s="68"/>
      <c r="E230" s="68"/>
      <c r="F230" s="68">
        <v>0</v>
      </c>
      <c r="G230" s="68"/>
      <c r="H230" s="68">
        <v>0</v>
      </c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51">
        <f t="shared" si="40"/>
        <v>0</v>
      </c>
      <c r="AB230" s="51">
        <f t="shared" si="39"/>
        <v>0</v>
      </c>
      <c r="AD230" s="31">
        <f t="shared" si="41"/>
        <v>0</v>
      </c>
      <c r="AE230" s="31">
        <f t="shared" si="42"/>
        <v>0</v>
      </c>
      <c r="AF230" s="17">
        <f t="shared" si="43"/>
        <v>0</v>
      </c>
      <c r="AG230" s="17">
        <f t="shared" si="44"/>
        <v>0</v>
      </c>
    </row>
    <row r="231" spans="1:33" s="19" customFormat="1" ht="18" hidden="1" customHeight="1" outlineLevel="1" x14ac:dyDescent="0.25">
      <c r="A231" s="48" t="s">
        <v>160</v>
      </c>
      <c r="B231" s="53"/>
      <c r="C231" s="64"/>
      <c r="D231" s="68"/>
      <c r="E231" s="68"/>
      <c r="F231" s="68">
        <v>0</v>
      </c>
      <c r="G231" s="68"/>
      <c r="H231" s="68">
        <v>0</v>
      </c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51">
        <f t="shared" si="40"/>
        <v>0</v>
      </c>
      <c r="AB231" s="51">
        <f t="shared" si="39"/>
        <v>0</v>
      </c>
      <c r="AD231" s="31">
        <f t="shared" si="41"/>
        <v>0</v>
      </c>
      <c r="AE231" s="31">
        <f t="shared" si="42"/>
        <v>0</v>
      </c>
      <c r="AF231" s="17">
        <f t="shared" si="43"/>
        <v>0</v>
      </c>
      <c r="AG231" s="17">
        <f t="shared" si="44"/>
        <v>0</v>
      </c>
    </row>
    <row r="232" spans="1:33" s="19" customFormat="1" ht="18" hidden="1" customHeight="1" outlineLevel="1" x14ac:dyDescent="0.25">
      <c r="A232" s="48" t="s">
        <v>161</v>
      </c>
      <c r="B232" s="53"/>
      <c r="C232" s="64"/>
      <c r="D232" s="68"/>
      <c r="E232" s="68"/>
      <c r="F232" s="68">
        <v>0</v>
      </c>
      <c r="G232" s="68"/>
      <c r="H232" s="68">
        <v>0</v>
      </c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51">
        <f t="shared" si="40"/>
        <v>0</v>
      </c>
      <c r="AB232" s="51">
        <f t="shared" si="39"/>
        <v>0</v>
      </c>
      <c r="AD232" s="31">
        <f t="shared" si="41"/>
        <v>0</v>
      </c>
      <c r="AE232" s="31">
        <f t="shared" si="42"/>
        <v>0</v>
      </c>
      <c r="AF232" s="17">
        <f t="shared" si="43"/>
        <v>0</v>
      </c>
      <c r="AG232" s="17">
        <f t="shared" si="44"/>
        <v>0</v>
      </c>
    </row>
    <row r="233" spans="1:33" s="19" customFormat="1" ht="18" hidden="1" customHeight="1" outlineLevel="1" x14ac:dyDescent="0.25">
      <c r="A233" s="48" t="s">
        <v>162</v>
      </c>
      <c r="B233" s="53"/>
      <c r="C233" s="64"/>
      <c r="D233" s="68"/>
      <c r="E233" s="68"/>
      <c r="F233" s="68">
        <v>0</v>
      </c>
      <c r="G233" s="68"/>
      <c r="H233" s="68">
        <v>0</v>
      </c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51">
        <f t="shared" si="40"/>
        <v>0</v>
      </c>
      <c r="AB233" s="51">
        <f t="shared" si="39"/>
        <v>0</v>
      </c>
      <c r="AD233" s="31">
        <f t="shared" si="41"/>
        <v>0</v>
      </c>
      <c r="AE233" s="31">
        <f t="shared" si="42"/>
        <v>0</v>
      </c>
      <c r="AF233" s="17">
        <f t="shared" si="43"/>
        <v>0</v>
      </c>
      <c r="AG233" s="17">
        <f t="shared" si="44"/>
        <v>0</v>
      </c>
    </row>
    <row r="234" spans="1:33" s="19" customFormat="1" ht="18" hidden="1" customHeight="1" outlineLevel="1" x14ac:dyDescent="0.25">
      <c r="A234" s="48" t="s">
        <v>163</v>
      </c>
      <c r="B234" s="53"/>
      <c r="C234" s="64"/>
      <c r="D234" s="68"/>
      <c r="E234" s="68"/>
      <c r="F234" s="68">
        <v>0</v>
      </c>
      <c r="G234" s="68"/>
      <c r="H234" s="68">
        <v>0</v>
      </c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51">
        <f t="shared" si="40"/>
        <v>0</v>
      </c>
      <c r="AB234" s="51">
        <f t="shared" si="39"/>
        <v>0</v>
      </c>
      <c r="AD234" s="31">
        <f t="shared" si="41"/>
        <v>0</v>
      </c>
      <c r="AE234" s="31">
        <f t="shared" si="42"/>
        <v>0</v>
      </c>
      <c r="AF234" s="17">
        <f t="shared" si="43"/>
        <v>0</v>
      </c>
      <c r="AG234" s="17">
        <f t="shared" si="44"/>
        <v>0</v>
      </c>
    </row>
    <row r="235" spans="1:33" s="19" customFormat="1" ht="18" hidden="1" customHeight="1" outlineLevel="1" x14ac:dyDescent="0.25">
      <c r="A235" s="48" t="s">
        <v>164</v>
      </c>
      <c r="B235" s="53"/>
      <c r="C235" s="64"/>
      <c r="D235" s="68"/>
      <c r="E235" s="68"/>
      <c r="F235" s="68">
        <v>0</v>
      </c>
      <c r="G235" s="68"/>
      <c r="H235" s="68">
        <v>0</v>
      </c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51">
        <f t="shared" si="40"/>
        <v>0</v>
      </c>
      <c r="AB235" s="51">
        <f t="shared" si="39"/>
        <v>0</v>
      </c>
      <c r="AD235" s="31">
        <f t="shared" si="41"/>
        <v>0</v>
      </c>
      <c r="AE235" s="31">
        <f t="shared" si="42"/>
        <v>0</v>
      </c>
      <c r="AF235" s="17">
        <f t="shared" si="43"/>
        <v>0</v>
      </c>
      <c r="AG235" s="17">
        <f t="shared" si="44"/>
        <v>0</v>
      </c>
    </row>
    <row r="236" spans="1:33" s="19" customFormat="1" ht="18" hidden="1" customHeight="1" outlineLevel="1" x14ac:dyDescent="0.25">
      <c r="A236" s="48" t="s">
        <v>165</v>
      </c>
      <c r="B236" s="53"/>
      <c r="C236" s="64"/>
      <c r="D236" s="68"/>
      <c r="E236" s="68"/>
      <c r="F236" s="68">
        <v>0</v>
      </c>
      <c r="G236" s="68"/>
      <c r="H236" s="68">
        <v>0</v>
      </c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51">
        <f t="shared" si="40"/>
        <v>0</v>
      </c>
      <c r="AB236" s="51">
        <f t="shared" si="39"/>
        <v>0</v>
      </c>
      <c r="AD236" s="31">
        <f t="shared" si="41"/>
        <v>0</v>
      </c>
      <c r="AE236" s="31">
        <f t="shared" si="42"/>
        <v>0</v>
      </c>
      <c r="AF236" s="17">
        <f t="shared" si="43"/>
        <v>0</v>
      </c>
      <c r="AG236" s="17">
        <f t="shared" si="44"/>
        <v>0</v>
      </c>
    </row>
    <row r="237" spans="1:33" s="19" customFormat="1" ht="18" hidden="1" customHeight="1" outlineLevel="1" x14ac:dyDescent="0.25">
      <c r="A237" s="48" t="s">
        <v>166</v>
      </c>
      <c r="B237" s="53"/>
      <c r="C237" s="64"/>
      <c r="D237" s="68"/>
      <c r="E237" s="68"/>
      <c r="F237" s="68">
        <v>0</v>
      </c>
      <c r="G237" s="68"/>
      <c r="H237" s="68">
        <v>0</v>
      </c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51">
        <f t="shared" si="40"/>
        <v>0</v>
      </c>
      <c r="AB237" s="51">
        <f t="shared" si="39"/>
        <v>0</v>
      </c>
      <c r="AD237" s="31">
        <f t="shared" si="41"/>
        <v>0</v>
      </c>
      <c r="AE237" s="31">
        <f t="shared" si="42"/>
        <v>0</v>
      </c>
      <c r="AF237" s="17">
        <f t="shared" si="43"/>
        <v>0</v>
      </c>
      <c r="AG237" s="17">
        <f t="shared" si="44"/>
        <v>0</v>
      </c>
    </row>
    <row r="238" spans="1:33" s="19" customFormat="1" ht="18" hidden="1" customHeight="1" outlineLevel="1" x14ac:dyDescent="0.25">
      <c r="A238" s="48" t="s">
        <v>167</v>
      </c>
      <c r="B238" s="53"/>
      <c r="C238" s="64"/>
      <c r="D238" s="68"/>
      <c r="E238" s="68"/>
      <c r="F238" s="68">
        <v>0</v>
      </c>
      <c r="G238" s="68"/>
      <c r="H238" s="68">
        <v>0</v>
      </c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51">
        <f t="shared" si="40"/>
        <v>0</v>
      </c>
      <c r="AB238" s="51">
        <f t="shared" si="39"/>
        <v>0</v>
      </c>
      <c r="AD238" s="31">
        <f t="shared" si="41"/>
        <v>0</v>
      </c>
      <c r="AE238" s="31">
        <f t="shared" si="42"/>
        <v>0</v>
      </c>
      <c r="AF238" s="17">
        <f t="shared" si="43"/>
        <v>0</v>
      </c>
      <c r="AG238" s="17">
        <f t="shared" si="44"/>
        <v>0</v>
      </c>
    </row>
    <row r="239" spans="1:33" s="19" customFormat="1" ht="18" hidden="1" customHeight="1" outlineLevel="1" x14ac:dyDescent="0.25">
      <c r="A239" s="48" t="s">
        <v>168</v>
      </c>
      <c r="B239" s="53"/>
      <c r="C239" s="64"/>
      <c r="D239" s="68"/>
      <c r="E239" s="68"/>
      <c r="F239" s="68">
        <v>0</v>
      </c>
      <c r="G239" s="68"/>
      <c r="H239" s="68">
        <v>0</v>
      </c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51">
        <f t="shared" si="40"/>
        <v>0</v>
      </c>
      <c r="AB239" s="51">
        <f t="shared" si="39"/>
        <v>0</v>
      </c>
      <c r="AD239" s="31">
        <f t="shared" si="41"/>
        <v>0</v>
      </c>
      <c r="AE239" s="31">
        <f t="shared" si="42"/>
        <v>0</v>
      </c>
      <c r="AF239" s="17">
        <f t="shared" si="43"/>
        <v>0</v>
      </c>
      <c r="AG239" s="17">
        <f t="shared" si="44"/>
        <v>0</v>
      </c>
    </row>
    <row r="240" spans="1:33" s="19" customFormat="1" ht="18" hidden="1" customHeight="1" outlineLevel="1" x14ac:dyDescent="0.25">
      <c r="A240" s="48" t="s">
        <v>169</v>
      </c>
      <c r="B240" s="53"/>
      <c r="C240" s="64"/>
      <c r="D240" s="68"/>
      <c r="E240" s="68"/>
      <c r="F240" s="68">
        <v>0</v>
      </c>
      <c r="G240" s="68"/>
      <c r="H240" s="68">
        <v>0</v>
      </c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51">
        <f t="shared" si="40"/>
        <v>0</v>
      </c>
      <c r="AB240" s="51">
        <f t="shared" si="39"/>
        <v>0</v>
      </c>
      <c r="AD240" s="31">
        <f t="shared" si="41"/>
        <v>0</v>
      </c>
      <c r="AE240" s="31">
        <f t="shared" si="42"/>
        <v>0</v>
      </c>
      <c r="AF240" s="17">
        <f t="shared" si="43"/>
        <v>0</v>
      </c>
      <c r="AG240" s="17">
        <f t="shared" si="44"/>
        <v>0</v>
      </c>
    </row>
    <row r="241" spans="1:54" s="19" customFormat="1" ht="18" hidden="1" customHeight="1" outlineLevel="1" x14ac:dyDescent="0.25">
      <c r="A241" s="48" t="s">
        <v>170</v>
      </c>
      <c r="B241" s="53"/>
      <c r="C241" s="64"/>
      <c r="D241" s="68"/>
      <c r="E241" s="68"/>
      <c r="F241" s="68">
        <v>0</v>
      </c>
      <c r="G241" s="68"/>
      <c r="H241" s="68">
        <v>0</v>
      </c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51">
        <f t="shared" si="40"/>
        <v>0</v>
      </c>
      <c r="AB241" s="51">
        <f t="shared" ref="AB241:AB258" si="45">D241+F241+H241+J241+L241+N241+P241+R241+T241+V241+X241+Z241</f>
        <v>0</v>
      </c>
      <c r="AD241" s="31">
        <f t="shared" si="41"/>
        <v>0</v>
      </c>
      <c r="AE241" s="31">
        <f t="shared" si="42"/>
        <v>0</v>
      </c>
      <c r="AF241" s="17">
        <f t="shared" si="43"/>
        <v>0</v>
      </c>
      <c r="AG241" s="17">
        <f t="shared" si="44"/>
        <v>0</v>
      </c>
    </row>
    <row r="242" spans="1:54" s="19" customFormat="1" ht="18" hidden="1" customHeight="1" outlineLevel="1" x14ac:dyDescent="0.25">
      <c r="A242" s="48" t="s">
        <v>171</v>
      </c>
      <c r="B242" s="53"/>
      <c r="C242" s="64"/>
      <c r="D242" s="68"/>
      <c r="E242" s="68"/>
      <c r="F242" s="68">
        <v>0</v>
      </c>
      <c r="G242" s="68"/>
      <c r="H242" s="68">
        <v>0</v>
      </c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51">
        <f t="shared" si="40"/>
        <v>0</v>
      </c>
      <c r="AB242" s="51">
        <f t="shared" si="45"/>
        <v>0</v>
      </c>
      <c r="AD242" s="31">
        <f t="shared" si="41"/>
        <v>0</v>
      </c>
      <c r="AE242" s="31">
        <f t="shared" si="42"/>
        <v>0</v>
      </c>
      <c r="AF242" s="17">
        <f t="shared" si="43"/>
        <v>0</v>
      </c>
      <c r="AG242" s="17">
        <f t="shared" si="44"/>
        <v>0</v>
      </c>
    </row>
    <row r="243" spans="1:54" s="19" customFormat="1" ht="18" hidden="1" customHeight="1" outlineLevel="1" x14ac:dyDescent="0.25">
      <c r="A243" s="48" t="s">
        <v>172</v>
      </c>
      <c r="B243" s="53"/>
      <c r="C243" s="64"/>
      <c r="D243" s="68"/>
      <c r="E243" s="68"/>
      <c r="F243" s="68">
        <v>0</v>
      </c>
      <c r="G243" s="68"/>
      <c r="H243" s="68">
        <v>0</v>
      </c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51">
        <f t="shared" si="40"/>
        <v>0</v>
      </c>
      <c r="AB243" s="51">
        <f t="shared" si="45"/>
        <v>0</v>
      </c>
      <c r="AD243" s="31">
        <f t="shared" si="41"/>
        <v>0</v>
      </c>
      <c r="AE243" s="31">
        <f t="shared" si="42"/>
        <v>0</v>
      </c>
      <c r="AF243" s="17">
        <f t="shared" si="43"/>
        <v>0</v>
      </c>
      <c r="AG243" s="17">
        <f t="shared" si="44"/>
        <v>0</v>
      </c>
    </row>
    <row r="244" spans="1:54" s="19" customFormat="1" ht="18" hidden="1" customHeight="1" outlineLevel="1" x14ac:dyDescent="0.25">
      <c r="A244" s="48" t="s">
        <v>173</v>
      </c>
      <c r="B244" s="53"/>
      <c r="C244" s="64"/>
      <c r="D244" s="68"/>
      <c r="E244" s="68"/>
      <c r="F244" s="68">
        <v>0</v>
      </c>
      <c r="G244" s="68"/>
      <c r="H244" s="68">
        <v>0</v>
      </c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51">
        <f t="shared" si="40"/>
        <v>0</v>
      </c>
      <c r="AB244" s="51">
        <f t="shared" si="45"/>
        <v>0</v>
      </c>
      <c r="AD244" s="31">
        <f t="shared" si="41"/>
        <v>0</v>
      </c>
      <c r="AE244" s="31">
        <f t="shared" si="42"/>
        <v>0</v>
      </c>
      <c r="AF244" s="17">
        <f t="shared" si="43"/>
        <v>0</v>
      </c>
      <c r="AG244" s="17">
        <f t="shared" si="44"/>
        <v>0</v>
      </c>
    </row>
    <row r="245" spans="1:54" s="19" customFormat="1" ht="18" hidden="1" customHeight="1" outlineLevel="1" x14ac:dyDescent="0.25">
      <c r="A245" s="48" t="s">
        <v>174</v>
      </c>
      <c r="B245" s="53"/>
      <c r="C245" s="64"/>
      <c r="D245" s="68"/>
      <c r="E245" s="68"/>
      <c r="F245" s="68">
        <v>0</v>
      </c>
      <c r="G245" s="68"/>
      <c r="H245" s="68">
        <v>0</v>
      </c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51">
        <f t="shared" si="40"/>
        <v>0</v>
      </c>
      <c r="AB245" s="51">
        <f t="shared" si="45"/>
        <v>0</v>
      </c>
      <c r="AD245" s="31">
        <f t="shared" si="41"/>
        <v>0</v>
      </c>
      <c r="AE245" s="31">
        <f t="shared" si="42"/>
        <v>0</v>
      </c>
      <c r="AF245" s="17">
        <f t="shared" si="43"/>
        <v>0</v>
      </c>
      <c r="AG245" s="17">
        <f t="shared" si="44"/>
        <v>0</v>
      </c>
    </row>
    <row r="246" spans="1:54" s="19" customFormat="1" ht="18" hidden="1" customHeight="1" outlineLevel="1" x14ac:dyDescent="0.25">
      <c r="A246" s="48" t="s">
        <v>175</v>
      </c>
      <c r="B246" s="53"/>
      <c r="C246" s="64"/>
      <c r="D246" s="68"/>
      <c r="E246" s="68"/>
      <c r="F246" s="68">
        <v>0</v>
      </c>
      <c r="G246" s="68"/>
      <c r="H246" s="68">
        <v>0</v>
      </c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51">
        <f t="shared" si="40"/>
        <v>0</v>
      </c>
      <c r="AB246" s="51">
        <f t="shared" si="45"/>
        <v>0</v>
      </c>
      <c r="AD246" s="31">
        <f t="shared" si="41"/>
        <v>0</v>
      </c>
      <c r="AE246" s="31">
        <f t="shared" si="42"/>
        <v>0</v>
      </c>
      <c r="AF246" s="17">
        <f t="shared" si="43"/>
        <v>0</v>
      </c>
      <c r="AG246" s="17">
        <f t="shared" si="44"/>
        <v>0</v>
      </c>
    </row>
    <row r="247" spans="1:54" s="19" customFormat="1" ht="18" hidden="1" customHeight="1" outlineLevel="1" x14ac:dyDescent="0.25">
      <c r="A247" s="48" t="s">
        <v>176</v>
      </c>
      <c r="B247" s="53"/>
      <c r="C247" s="64"/>
      <c r="D247" s="68"/>
      <c r="E247" s="68"/>
      <c r="F247" s="68">
        <v>0</v>
      </c>
      <c r="G247" s="68"/>
      <c r="H247" s="68">
        <v>0</v>
      </c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51">
        <f t="shared" si="40"/>
        <v>0</v>
      </c>
      <c r="AB247" s="51">
        <f t="shared" si="45"/>
        <v>0</v>
      </c>
      <c r="AD247" s="31">
        <f t="shared" si="41"/>
        <v>0</v>
      </c>
      <c r="AE247" s="31">
        <f t="shared" si="42"/>
        <v>0</v>
      </c>
      <c r="AF247" s="17">
        <f t="shared" si="43"/>
        <v>0</v>
      </c>
      <c r="AG247" s="17">
        <f t="shared" si="44"/>
        <v>0</v>
      </c>
    </row>
    <row r="248" spans="1:54" s="19" customFormat="1" ht="18" hidden="1" customHeight="1" outlineLevel="1" x14ac:dyDescent="0.25">
      <c r="A248" s="48" t="s">
        <v>177</v>
      </c>
      <c r="B248" s="53"/>
      <c r="C248" s="64"/>
      <c r="D248" s="68"/>
      <c r="E248" s="68"/>
      <c r="F248" s="68">
        <v>0</v>
      </c>
      <c r="G248" s="68"/>
      <c r="H248" s="68">
        <v>0</v>
      </c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51">
        <f t="shared" si="40"/>
        <v>0</v>
      </c>
      <c r="AB248" s="51">
        <f t="shared" si="45"/>
        <v>0</v>
      </c>
      <c r="AD248" s="31">
        <f t="shared" si="41"/>
        <v>0</v>
      </c>
      <c r="AE248" s="31">
        <f t="shared" si="42"/>
        <v>0</v>
      </c>
      <c r="AF248" s="17">
        <f t="shared" si="43"/>
        <v>0</v>
      </c>
      <c r="AG248" s="17">
        <f t="shared" si="44"/>
        <v>0</v>
      </c>
    </row>
    <row r="249" spans="1:54" s="19" customFormat="1" ht="18" hidden="1" customHeight="1" outlineLevel="1" x14ac:dyDescent="0.25">
      <c r="A249" s="48" t="s">
        <v>178</v>
      </c>
      <c r="B249" s="53"/>
      <c r="C249" s="64"/>
      <c r="D249" s="68"/>
      <c r="E249" s="68"/>
      <c r="F249" s="68">
        <v>0</v>
      </c>
      <c r="G249" s="68"/>
      <c r="H249" s="68">
        <v>0</v>
      </c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51">
        <f t="shared" si="40"/>
        <v>0</v>
      </c>
      <c r="AB249" s="51">
        <f t="shared" si="45"/>
        <v>0</v>
      </c>
      <c r="AD249" s="31">
        <f t="shared" si="41"/>
        <v>0</v>
      </c>
      <c r="AE249" s="31">
        <f t="shared" si="42"/>
        <v>0</v>
      </c>
      <c r="AF249" s="17">
        <f t="shared" si="43"/>
        <v>0</v>
      </c>
      <c r="AG249" s="17">
        <f t="shared" si="44"/>
        <v>0</v>
      </c>
    </row>
    <row r="250" spans="1:54" s="19" customFormat="1" ht="18" customHeight="1" collapsed="1" x14ac:dyDescent="0.25">
      <c r="A250" s="63" t="s">
        <v>182</v>
      </c>
      <c r="B250" s="53">
        <v>9</v>
      </c>
      <c r="C250" s="64"/>
      <c r="D250" s="68"/>
      <c r="E250" s="68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1">
        <f t="shared" si="40"/>
        <v>0</v>
      </c>
      <c r="AB250" s="51">
        <f t="shared" si="45"/>
        <v>0</v>
      </c>
      <c r="AD250" s="31">
        <f t="shared" si="41"/>
        <v>0</v>
      </c>
      <c r="AE250" s="31">
        <f t="shared" si="42"/>
        <v>0</v>
      </c>
      <c r="AF250" s="17">
        <f t="shared" si="43"/>
        <v>0</v>
      </c>
      <c r="AG250" s="17">
        <f t="shared" si="44"/>
        <v>0</v>
      </c>
      <c r="BB250" s="21"/>
    </row>
    <row r="251" spans="1:54" s="19" customFormat="1" ht="21" customHeight="1" x14ac:dyDescent="0.25">
      <c r="A251" s="63" t="s">
        <v>183</v>
      </c>
      <c r="B251" s="53">
        <v>10</v>
      </c>
      <c r="C251" s="64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1">
        <f t="shared" si="40"/>
        <v>0</v>
      </c>
      <c r="AB251" s="51">
        <f t="shared" si="45"/>
        <v>0</v>
      </c>
      <c r="AD251" s="31">
        <f t="shared" si="41"/>
        <v>0</v>
      </c>
      <c r="AE251" s="31">
        <f t="shared" si="42"/>
        <v>0</v>
      </c>
      <c r="AF251" s="17">
        <f t="shared" si="43"/>
        <v>0</v>
      </c>
      <c r="AG251" s="17">
        <f t="shared" si="44"/>
        <v>0</v>
      </c>
      <c r="BB251" s="21"/>
    </row>
    <row r="252" spans="1:54" s="19" customFormat="1" ht="21" customHeight="1" x14ac:dyDescent="0.25">
      <c r="A252" s="63" t="s">
        <v>184</v>
      </c>
      <c r="B252" s="53">
        <v>11</v>
      </c>
      <c r="C252" s="64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1">
        <f t="shared" si="40"/>
        <v>0</v>
      </c>
      <c r="AB252" s="51">
        <f t="shared" si="45"/>
        <v>0</v>
      </c>
      <c r="AD252" s="31">
        <f t="shared" si="41"/>
        <v>0</v>
      </c>
      <c r="AE252" s="31">
        <f t="shared" si="42"/>
        <v>0</v>
      </c>
      <c r="AF252" s="17">
        <f t="shared" si="43"/>
        <v>0</v>
      </c>
      <c r="AG252" s="17">
        <f t="shared" si="44"/>
        <v>0</v>
      </c>
      <c r="BB252" s="21"/>
    </row>
    <row r="253" spans="1:54" s="19" customFormat="1" ht="22" hidden="1" customHeight="1" outlineLevel="1" x14ac:dyDescent="0.25">
      <c r="A253" s="63" t="s">
        <v>185</v>
      </c>
      <c r="B253" s="53">
        <v>12</v>
      </c>
      <c r="C253" s="64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1">
        <f t="shared" si="40"/>
        <v>0</v>
      </c>
      <c r="AB253" s="51">
        <f t="shared" si="45"/>
        <v>0</v>
      </c>
      <c r="AD253" s="31">
        <f t="shared" si="41"/>
        <v>0</v>
      </c>
      <c r="AE253" s="31">
        <f t="shared" si="42"/>
        <v>0</v>
      </c>
      <c r="AF253" s="17">
        <f t="shared" si="43"/>
        <v>0</v>
      </c>
      <c r="AG253" s="17">
        <f t="shared" si="44"/>
        <v>0</v>
      </c>
      <c r="BB253" s="21"/>
    </row>
    <row r="254" spans="1:54" s="19" customFormat="1" ht="22" hidden="1" customHeight="1" outlineLevel="1" x14ac:dyDescent="0.25">
      <c r="A254" s="63" t="s">
        <v>186</v>
      </c>
      <c r="B254" s="53">
        <v>13</v>
      </c>
      <c r="C254" s="64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51">
        <f t="shared" si="40"/>
        <v>0</v>
      </c>
      <c r="AB254" s="51">
        <f t="shared" si="45"/>
        <v>0</v>
      </c>
      <c r="AD254" s="31">
        <f t="shared" si="41"/>
        <v>0</v>
      </c>
      <c r="AE254" s="31">
        <f t="shared" si="42"/>
        <v>0</v>
      </c>
      <c r="AF254" s="17">
        <f t="shared" si="43"/>
        <v>0</v>
      </c>
      <c r="AG254" s="17">
        <f t="shared" si="44"/>
        <v>0</v>
      </c>
      <c r="BB254" s="21"/>
    </row>
    <row r="255" spans="1:54" s="19" customFormat="1" ht="22" hidden="1" customHeight="1" outlineLevel="1" x14ac:dyDescent="0.25">
      <c r="A255" s="63" t="s">
        <v>187</v>
      </c>
      <c r="B255" s="53">
        <v>14</v>
      </c>
      <c r="C255" s="64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51">
        <f t="shared" si="40"/>
        <v>0</v>
      </c>
      <c r="AB255" s="51">
        <f t="shared" si="45"/>
        <v>0</v>
      </c>
      <c r="AD255" s="31">
        <f t="shared" si="41"/>
        <v>0</v>
      </c>
      <c r="AE255" s="31">
        <f t="shared" si="42"/>
        <v>0</v>
      </c>
      <c r="AF255" s="17">
        <f t="shared" si="43"/>
        <v>0</v>
      </c>
      <c r="AG255" s="17">
        <f t="shared" si="44"/>
        <v>0</v>
      </c>
    </row>
    <row r="256" spans="1:54" s="19" customFormat="1" ht="22" hidden="1" customHeight="1" outlineLevel="1" x14ac:dyDescent="0.25">
      <c r="A256" s="63" t="s">
        <v>188</v>
      </c>
      <c r="B256" s="53">
        <v>15</v>
      </c>
      <c r="C256" s="64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51">
        <f t="shared" si="40"/>
        <v>0</v>
      </c>
      <c r="AB256" s="51">
        <f t="shared" si="45"/>
        <v>0</v>
      </c>
      <c r="AD256" s="31">
        <f t="shared" si="41"/>
        <v>0</v>
      </c>
      <c r="AE256" s="31">
        <f t="shared" si="42"/>
        <v>0</v>
      </c>
      <c r="AF256" s="17">
        <f t="shared" si="43"/>
        <v>0</v>
      </c>
      <c r="AG256" s="17">
        <f t="shared" si="44"/>
        <v>0</v>
      </c>
    </row>
    <row r="257" spans="1:118" s="19" customFormat="1" ht="22" customHeight="1" collapsed="1" x14ac:dyDescent="0.25">
      <c r="A257" s="63" t="s">
        <v>189</v>
      </c>
      <c r="B257" s="53">
        <v>16</v>
      </c>
      <c r="C257" s="64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51">
        <f t="shared" si="40"/>
        <v>0</v>
      </c>
      <c r="AB257" s="51">
        <f t="shared" si="45"/>
        <v>0</v>
      </c>
      <c r="AD257" s="31">
        <f t="shared" si="41"/>
        <v>0</v>
      </c>
      <c r="AE257" s="31">
        <f t="shared" si="42"/>
        <v>0</v>
      </c>
      <c r="AF257" s="17">
        <f t="shared" si="43"/>
        <v>0</v>
      </c>
      <c r="AG257" s="17">
        <f t="shared" si="44"/>
        <v>0</v>
      </c>
      <c r="BB257" s="21"/>
    </row>
    <row r="258" spans="1:118" s="17" customFormat="1" ht="22" customHeight="1" x14ac:dyDescent="0.25">
      <c r="A258" s="44" t="s">
        <v>190</v>
      </c>
      <c r="B258" s="45">
        <v>17</v>
      </c>
      <c r="C258" s="77">
        <f t="shared" ref="C258:AA258" si="46">C6-C16-C28-C29-C102-C176-C250-C251-C252+C253+C254+C256+C257</f>
        <v>-44818.64</v>
      </c>
      <c r="D258" s="77">
        <f t="shared" si="46"/>
        <v>-20457.675060000001</v>
      </c>
      <c r="E258" s="77">
        <f t="shared" si="46"/>
        <v>-31652.799999999999</v>
      </c>
      <c r="F258" s="77">
        <f t="shared" si="46"/>
        <v>-42905.843795000001</v>
      </c>
      <c r="G258" s="77">
        <f t="shared" si="46"/>
        <v>-42310.19</v>
      </c>
      <c r="H258" s="77">
        <f t="shared" si="46"/>
        <v>50374.047704999997</v>
      </c>
      <c r="I258" s="77">
        <f t="shared" si="46"/>
        <v>-46685.83</v>
      </c>
      <c r="J258" s="77">
        <f t="shared" si="46"/>
        <v>-22108.104964999999</v>
      </c>
      <c r="K258" s="77">
        <f t="shared" si="46"/>
        <v>-44255.839999999997</v>
      </c>
      <c r="L258" s="77">
        <f t="shared" si="46"/>
        <v>-4723.9118500000004</v>
      </c>
      <c r="M258" s="77">
        <f t="shared" si="46"/>
        <v>-46437.06</v>
      </c>
      <c r="N258" s="77">
        <f t="shared" si="46"/>
        <v>-3145.9164099999998</v>
      </c>
      <c r="O258" s="77">
        <f t="shared" si="46"/>
        <v>-48740.24</v>
      </c>
      <c r="P258" s="77">
        <f t="shared" si="46"/>
        <v>-8631.7205799999992</v>
      </c>
      <c r="Q258" s="77">
        <f t="shared" si="46"/>
        <v>-52371.55</v>
      </c>
      <c r="R258" s="77">
        <f t="shared" si="46"/>
        <v>-7390.9408199999998</v>
      </c>
      <c r="S258" s="77">
        <f t="shared" si="46"/>
        <v>-61330.37</v>
      </c>
      <c r="T258" s="77">
        <f t="shared" si="46"/>
        <v>-16701.196779999998</v>
      </c>
      <c r="U258" s="77">
        <f t="shared" si="46"/>
        <v>-52458.11</v>
      </c>
      <c r="V258" s="77">
        <f t="shared" si="46"/>
        <v>-8644.85</v>
      </c>
      <c r="W258" s="77">
        <f t="shared" si="46"/>
        <v>-55890.62</v>
      </c>
      <c r="X258" s="77">
        <f t="shared" si="46"/>
        <v>-6380.4008899999999</v>
      </c>
      <c r="Y258" s="77">
        <f t="shared" si="46"/>
        <v>-72508.75</v>
      </c>
      <c r="Z258" s="77">
        <f t="shared" si="46"/>
        <v>-18237.457774999999</v>
      </c>
      <c r="AA258" s="106">
        <f t="shared" si="46"/>
        <v>-599460</v>
      </c>
      <c r="AB258" s="47">
        <f t="shared" si="45"/>
        <v>-108953.97122000001</v>
      </c>
      <c r="AD258" s="31">
        <f t="shared" si="41"/>
        <v>-599460</v>
      </c>
      <c r="AE258" s="31">
        <f t="shared" si="42"/>
        <v>-108953.97122000001</v>
      </c>
      <c r="AF258" s="17">
        <f t="shared" si="43"/>
        <v>0</v>
      </c>
      <c r="AG258" s="17">
        <f t="shared" si="44"/>
        <v>0</v>
      </c>
      <c r="BB258" s="21"/>
    </row>
    <row r="259" spans="1:118" s="19" customFormat="1" ht="22" customHeight="1" x14ac:dyDescent="0.25">
      <c r="A259" s="63" t="s">
        <v>191</v>
      </c>
      <c r="B259" s="53">
        <v>18</v>
      </c>
      <c r="C259" s="64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1">
        <f>C259+E259+G259+I259+K259+M259+O259+Q259+S259+U259+W259+Y259</f>
        <v>0</v>
      </c>
      <c r="AB259" s="105">
        <f>SUM(D259:Z259)</f>
        <v>0</v>
      </c>
      <c r="AD259" s="31">
        <f t="shared" si="41"/>
        <v>0</v>
      </c>
      <c r="AE259" s="31">
        <f t="shared" si="42"/>
        <v>0</v>
      </c>
      <c r="AF259" s="17">
        <f t="shared" si="43"/>
        <v>0</v>
      </c>
      <c r="AG259" s="17">
        <f t="shared" si="44"/>
        <v>0</v>
      </c>
      <c r="BB259" s="21"/>
    </row>
    <row r="260" spans="1:118" s="19" customFormat="1" ht="22" customHeight="1" x14ac:dyDescent="0.25">
      <c r="A260" s="63" t="s">
        <v>192</v>
      </c>
      <c r="B260" s="53">
        <v>19</v>
      </c>
      <c r="C260" s="64"/>
      <c r="D260" s="68"/>
      <c r="E260" s="68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1">
        <f>C260+E260+G260+I260+K260+M260+O260+Q260+S260+U260+W260+Y260</f>
        <v>0</v>
      </c>
      <c r="AB260" s="105">
        <f>SUM(D260:Z260)</f>
        <v>0</v>
      </c>
      <c r="AD260" s="31">
        <f t="shared" si="41"/>
        <v>0</v>
      </c>
      <c r="AE260" s="31">
        <f t="shared" si="42"/>
        <v>0</v>
      </c>
      <c r="AF260" s="17">
        <f t="shared" si="43"/>
        <v>0</v>
      </c>
      <c r="AG260" s="17">
        <f t="shared" si="44"/>
        <v>0</v>
      </c>
      <c r="BB260" s="21"/>
    </row>
    <row r="261" spans="1:118" s="17" customFormat="1" ht="22" customHeight="1" x14ac:dyDescent="0.25">
      <c r="A261" s="44" t="s">
        <v>193</v>
      </c>
      <c r="B261" s="45">
        <v>20</v>
      </c>
      <c r="C261" s="77">
        <f t="shared" ref="C261:AB261" si="47">C258+C259-C260</f>
        <v>-44818.64</v>
      </c>
      <c r="D261" s="77">
        <f t="shared" si="47"/>
        <v>-20457.675060000001</v>
      </c>
      <c r="E261" s="77">
        <f t="shared" si="47"/>
        <v>-31652.799999999999</v>
      </c>
      <c r="F261" s="77">
        <f t="shared" si="47"/>
        <v>-42905.843795000001</v>
      </c>
      <c r="G261" s="77">
        <f t="shared" si="47"/>
        <v>-42310.19</v>
      </c>
      <c r="H261" s="77">
        <f t="shared" si="47"/>
        <v>50374.047704999997</v>
      </c>
      <c r="I261" s="77">
        <f t="shared" si="47"/>
        <v>-46685.83</v>
      </c>
      <c r="J261" s="77">
        <f t="shared" si="47"/>
        <v>-22108.104964999999</v>
      </c>
      <c r="K261" s="77">
        <f t="shared" si="47"/>
        <v>-44255.839999999997</v>
      </c>
      <c r="L261" s="77">
        <f t="shared" si="47"/>
        <v>-4723.9118500000004</v>
      </c>
      <c r="M261" s="77">
        <f t="shared" si="47"/>
        <v>-46437.06</v>
      </c>
      <c r="N261" s="77">
        <f t="shared" si="47"/>
        <v>-3145.9164099999998</v>
      </c>
      <c r="O261" s="77">
        <f t="shared" si="47"/>
        <v>-48740.24</v>
      </c>
      <c r="P261" s="77">
        <f t="shared" si="47"/>
        <v>-8631.7205799999992</v>
      </c>
      <c r="Q261" s="77">
        <f t="shared" si="47"/>
        <v>-52371.55</v>
      </c>
      <c r="R261" s="77">
        <f t="shared" si="47"/>
        <v>-7390.9408199999998</v>
      </c>
      <c r="S261" s="77">
        <f t="shared" si="47"/>
        <v>-61330.37</v>
      </c>
      <c r="T261" s="77">
        <f t="shared" si="47"/>
        <v>-16701.196779999998</v>
      </c>
      <c r="U261" s="77">
        <f t="shared" si="47"/>
        <v>-52458.11</v>
      </c>
      <c r="V261" s="77">
        <f t="shared" si="47"/>
        <v>-8644.85</v>
      </c>
      <c r="W261" s="77">
        <f t="shared" si="47"/>
        <v>-55890.62</v>
      </c>
      <c r="X261" s="77">
        <f t="shared" si="47"/>
        <v>-6380.4008899999999</v>
      </c>
      <c r="Y261" s="77">
        <f t="shared" si="47"/>
        <v>-72508.75</v>
      </c>
      <c r="Z261" s="77">
        <f t="shared" si="47"/>
        <v>-18237.457774999999</v>
      </c>
      <c r="AA261" s="106">
        <f t="shared" si="47"/>
        <v>-599460</v>
      </c>
      <c r="AB261" s="106">
        <f t="shared" si="47"/>
        <v>-108953.97122000001</v>
      </c>
      <c r="AD261" s="31">
        <f t="shared" si="41"/>
        <v>-599460</v>
      </c>
      <c r="AE261" s="31">
        <f t="shared" si="42"/>
        <v>-108953.97122000001</v>
      </c>
      <c r="AF261" s="55">
        <f>AD26-AD28-AD29-AD102-AD176-AD250-AD251-AD252+AD257+AD259-AD260-AA261</f>
        <v>0</v>
      </c>
      <c r="AG261" s="55">
        <f>AE26-AE28-AE29-AE102-AE176-AE250-AE251-AE252+AE257+AE259-AE260-AB261</f>
        <v>0</v>
      </c>
      <c r="BB261" s="21"/>
    </row>
    <row r="262" spans="1:118" s="19" customFormat="1" ht="22" customHeight="1" x14ac:dyDescent="0.25">
      <c r="A262" s="63" t="s">
        <v>194</v>
      </c>
      <c r="B262" s="53">
        <v>21</v>
      </c>
      <c r="C262" s="64"/>
      <c r="D262" s="68"/>
      <c r="E262" s="68"/>
      <c r="F262" s="75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51">
        <f>C262+E262+G262+I262+K262+M262+O262+Q262+S262+U262+W262+Y262</f>
        <v>0</v>
      </c>
      <c r="AB262" s="51">
        <f>D262+F262+H262+J262+L262+N262+P262+R262+T262+V262+X262+Z262</f>
        <v>0</v>
      </c>
      <c r="AD262" s="31">
        <f t="shared" si="41"/>
        <v>0</v>
      </c>
      <c r="AE262" s="31">
        <f t="shared" si="42"/>
        <v>0</v>
      </c>
      <c r="AF262" s="17">
        <f>AA262-AD262</f>
        <v>0</v>
      </c>
      <c r="AG262" s="17">
        <f>AB262-AE262</f>
        <v>0</v>
      </c>
      <c r="BB262" s="21"/>
    </row>
    <row r="263" spans="1:118" s="17" customFormat="1" ht="22" customHeight="1" x14ac:dyDescent="0.25">
      <c r="A263" s="44" t="s">
        <v>196</v>
      </c>
      <c r="B263" s="45">
        <v>22</v>
      </c>
      <c r="C263" s="77">
        <f t="shared" ref="C263:AB263" si="48">C261-C262</f>
        <v>-44818.64</v>
      </c>
      <c r="D263" s="77">
        <f t="shared" si="48"/>
        <v>-20457.675060000001</v>
      </c>
      <c r="E263" s="77">
        <f t="shared" si="48"/>
        <v>-31652.799999999999</v>
      </c>
      <c r="F263" s="77">
        <f t="shared" si="48"/>
        <v>-42905.843795000001</v>
      </c>
      <c r="G263" s="77">
        <f t="shared" si="48"/>
        <v>-42310.19</v>
      </c>
      <c r="H263" s="77">
        <f t="shared" si="48"/>
        <v>50374.047704999997</v>
      </c>
      <c r="I263" s="77">
        <f t="shared" si="48"/>
        <v>-46685.83</v>
      </c>
      <c r="J263" s="77">
        <f t="shared" si="48"/>
        <v>-22108.104964999999</v>
      </c>
      <c r="K263" s="77">
        <f t="shared" si="48"/>
        <v>-44255.839999999997</v>
      </c>
      <c r="L263" s="77">
        <f t="shared" si="48"/>
        <v>-4723.9118500000004</v>
      </c>
      <c r="M263" s="77">
        <f t="shared" si="48"/>
        <v>-46437.06</v>
      </c>
      <c r="N263" s="77">
        <f t="shared" si="48"/>
        <v>-3145.9164099999998</v>
      </c>
      <c r="O263" s="77">
        <f t="shared" si="48"/>
        <v>-48740.24</v>
      </c>
      <c r="P263" s="77">
        <f t="shared" si="48"/>
        <v>-8631.7205799999992</v>
      </c>
      <c r="Q263" s="77">
        <f t="shared" si="48"/>
        <v>-52371.55</v>
      </c>
      <c r="R263" s="77">
        <f t="shared" si="48"/>
        <v>-7390.9408199999998</v>
      </c>
      <c r="S263" s="77">
        <f t="shared" si="48"/>
        <v>-61330.37</v>
      </c>
      <c r="T263" s="77">
        <f t="shared" si="48"/>
        <v>-16701.196779999998</v>
      </c>
      <c r="U263" s="77">
        <f t="shared" si="48"/>
        <v>-52458.11</v>
      </c>
      <c r="V263" s="77">
        <f t="shared" si="48"/>
        <v>-8644.85</v>
      </c>
      <c r="W263" s="77">
        <f t="shared" si="48"/>
        <v>-55890.62</v>
      </c>
      <c r="X263" s="77">
        <f t="shared" si="48"/>
        <v>-6380.4008899999999</v>
      </c>
      <c r="Y263" s="77">
        <f t="shared" si="48"/>
        <v>-72508.75</v>
      </c>
      <c r="Z263" s="77">
        <f t="shared" si="48"/>
        <v>-18237.457774999999</v>
      </c>
      <c r="AA263" s="106">
        <f t="shared" si="48"/>
        <v>-599460</v>
      </c>
      <c r="AB263" s="106">
        <f t="shared" si="48"/>
        <v>-108953.97122000001</v>
      </c>
      <c r="AD263" s="31">
        <f t="shared" si="41"/>
        <v>-599460</v>
      </c>
      <c r="AE263" s="31">
        <f t="shared" si="42"/>
        <v>-108953.97122000001</v>
      </c>
      <c r="AF263" s="17">
        <f>AA263-AD263</f>
        <v>0</v>
      </c>
      <c r="AG263" s="17">
        <f>AB263-AE263</f>
        <v>0</v>
      </c>
      <c r="BB263" s="21"/>
    </row>
    <row r="264" spans="1:118" s="17" customFormat="1" ht="22" customHeight="1" x14ac:dyDescent="0.25">
      <c r="A264" s="79" t="s">
        <v>197</v>
      </c>
      <c r="B264" s="45">
        <v>23</v>
      </c>
      <c r="C264" s="77"/>
      <c r="D264" s="77"/>
      <c r="E264" s="77"/>
      <c r="F264" s="77">
        <v>19239</v>
      </c>
      <c r="G264" s="77"/>
      <c r="H264" s="77">
        <v>2677</v>
      </c>
      <c r="I264" s="77"/>
      <c r="J264" s="77">
        <v>9556</v>
      </c>
      <c r="K264" s="77"/>
      <c r="L264" s="77"/>
      <c r="M264" s="77"/>
      <c r="N264" s="77">
        <f>-2354+11842-1212+13937</f>
        <v>22213</v>
      </c>
      <c r="O264" s="77"/>
      <c r="P264" s="77">
        <f>3827</f>
        <v>3827</v>
      </c>
      <c r="Q264" s="77"/>
      <c r="R264" s="77"/>
      <c r="S264" s="77"/>
      <c r="T264" s="77">
        <v>15867</v>
      </c>
      <c r="U264" s="77"/>
      <c r="V264" s="77">
        <v>1439</v>
      </c>
      <c r="W264" s="77"/>
      <c r="X264" s="77">
        <f>4723</f>
        <v>4723</v>
      </c>
      <c r="Y264" s="77"/>
      <c r="Z264" s="77">
        <f>-350-23862-10568</f>
        <v>-34780</v>
      </c>
      <c r="AA264" s="51">
        <f>C264+E264+G264+I264+K264+M264+O264+Q264+S264+U264+W264+Y264</f>
        <v>0</v>
      </c>
      <c r="AB264" s="51">
        <f>D264+F264+H264+J264+L264+N264+P264+R264+T264+V264+X264+Z264</f>
        <v>44761</v>
      </c>
      <c r="AD264" s="80">
        <f>SUMIF($C$5:$Z$263,$AD$5,$A264:Z523)</f>
        <v>0</v>
      </c>
      <c r="AE264" s="80">
        <f>SUMIF($C$5:$Z$263,$AE$5,$C264:Z523)</f>
        <v>44761</v>
      </c>
      <c r="BB264" s="21"/>
    </row>
    <row r="265" spans="1:118" s="17" customFormat="1" ht="22" customHeight="1" x14ac:dyDescent="0.25">
      <c r="A265" s="81" t="s">
        <v>198</v>
      </c>
      <c r="B265" s="45">
        <v>24</v>
      </c>
      <c r="C265" s="77">
        <f t="shared" ref="C265:Z265" si="49">C263-C264</f>
        <v>-44818.64</v>
      </c>
      <c r="D265" s="77">
        <f t="shared" si="49"/>
        <v>-20457.675060000001</v>
      </c>
      <c r="E265" s="77">
        <f t="shared" si="49"/>
        <v>-31652.799999999999</v>
      </c>
      <c r="F265" s="77">
        <f t="shared" si="49"/>
        <v>-62144.843795000001</v>
      </c>
      <c r="G265" s="77">
        <f t="shared" si="49"/>
        <v>-42310.19</v>
      </c>
      <c r="H265" s="77">
        <f t="shared" si="49"/>
        <v>47697.047704999997</v>
      </c>
      <c r="I265" s="77">
        <f t="shared" si="49"/>
        <v>-46685.83</v>
      </c>
      <c r="J265" s="77">
        <f t="shared" si="49"/>
        <v>-31664.104964999999</v>
      </c>
      <c r="K265" s="77">
        <f t="shared" si="49"/>
        <v>-44255.839999999997</v>
      </c>
      <c r="L265" s="77">
        <f t="shared" si="49"/>
        <v>-4723.9118500000004</v>
      </c>
      <c r="M265" s="77">
        <f t="shared" si="49"/>
        <v>-46437.06</v>
      </c>
      <c r="N265" s="77">
        <f t="shared" si="49"/>
        <v>-25358.916410000002</v>
      </c>
      <c r="O265" s="77">
        <f t="shared" si="49"/>
        <v>-48740.24</v>
      </c>
      <c r="P265" s="77">
        <f t="shared" si="49"/>
        <v>-12458.720579999999</v>
      </c>
      <c r="Q265" s="77">
        <f t="shared" si="49"/>
        <v>-52371.55</v>
      </c>
      <c r="R265" s="77">
        <f t="shared" si="49"/>
        <v>-7390.9408199999998</v>
      </c>
      <c r="S265" s="77">
        <f t="shared" si="49"/>
        <v>-61330.37</v>
      </c>
      <c r="T265" s="77">
        <f t="shared" si="49"/>
        <v>-32568.196779999998</v>
      </c>
      <c r="U265" s="77">
        <f t="shared" si="49"/>
        <v>-52458.11</v>
      </c>
      <c r="V265" s="77">
        <f t="shared" si="49"/>
        <v>-10083.85</v>
      </c>
      <c r="W265" s="77">
        <f t="shared" si="49"/>
        <v>-55890.62</v>
      </c>
      <c r="X265" s="77">
        <f t="shared" si="49"/>
        <v>-11103.400890000001</v>
      </c>
      <c r="Y265" s="77">
        <f t="shared" si="49"/>
        <v>-72508.75</v>
      </c>
      <c r="Z265" s="77">
        <f t="shared" si="49"/>
        <v>16542.542225000001</v>
      </c>
      <c r="AA265" s="47">
        <f>C265+E265+G265+I265+K265+M265+O265+Q265+S265+U265+W265+Y265</f>
        <v>-599460</v>
      </c>
      <c r="AB265" s="47">
        <f>D265+F265+H265+J265+L265+N265+P265+R265+T265+V265+X265+Z265</f>
        <v>-153714.97122000001</v>
      </c>
      <c r="AD265" s="80">
        <f>SUMIF($C$5:$Z$263,$AD$5,$A265:Z524)</f>
        <v>-526951.25</v>
      </c>
      <c r="AE265" s="80">
        <f>SUMIF($C$5:$Z$263,$AE$5,$C265:Z524)</f>
        <v>-153714.97122000001</v>
      </c>
      <c r="BB265" s="21"/>
    </row>
    <row r="266" spans="1:118" s="20" customFormat="1" ht="22" customHeight="1" x14ac:dyDescent="0.25">
      <c r="A266" s="82" t="s">
        <v>211</v>
      </c>
      <c r="B266" s="83"/>
      <c r="C266" s="84" t="e">
        <f t="shared" ref="C266:AB266" si="50">C263/C6</f>
        <v>#DIV/0!</v>
      </c>
      <c r="D266" s="84">
        <f t="shared" si="50"/>
        <v>-0.25219189102297002</v>
      </c>
      <c r="E266" s="84" t="e">
        <f t="shared" si="50"/>
        <v>#DIV/0!</v>
      </c>
      <c r="F266" s="84">
        <f t="shared" si="50"/>
        <v>-4.1000900936585296</v>
      </c>
      <c r="G266" s="84" t="e">
        <f t="shared" si="50"/>
        <v>#DIV/0!</v>
      </c>
      <c r="H266" s="84">
        <f t="shared" si="50"/>
        <v>2.4349863374744598</v>
      </c>
      <c r="I266" s="84" t="e">
        <f t="shared" si="50"/>
        <v>#DIV/0!</v>
      </c>
      <c r="J266" s="84">
        <f t="shared" si="50"/>
        <v>-0.74139832012440199</v>
      </c>
      <c r="K266" s="84" t="e">
        <f t="shared" si="50"/>
        <v>#DIV/0!</v>
      </c>
      <c r="L266" s="84">
        <f t="shared" si="50"/>
        <v>-0.37844883154546899</v>
      </c>
      <c r="M266" s="84" t="e">
        <f t="shared" si="50"/>
        <v>#DIV/0!</v>
      </c>
      <c r="N266" s="84">
        <f t="shared" si="50"/>
        <v>-0.16892839898232201</v>
      </c>
      <c r="O266" s="84" t="e">
        <f t="shared" si="50"/>
        <v>#DIV/0!</v>
      </c>
      <c r="P266" s="84">
        <f t="shared" si="50"/>
        <v>-0.68334124310065802</v>
      </c>
      <c r="Q266" s="84" t="e">
        <f t="shared" si="50"/>
        <v>#DIV/0!</v>
      </c>
      <c r="R266" s="84">
        <f t="shared" si="50"/>
        <v>-2.5937130013054599</v>
      </c>
      <c r="S266" s="84" t="e">
        <f t="shared" si="50"/>
        <v>#DIV/0!</v>
      </c>
      <c r="T266" s="84">
        <f t="shared" si="50"/>
        <v>-1.44333682301983</v>
      </c>
      <c r="U266" s="84" t="e">
        <f t="shared" si="50"/>
        <v>#DIV/0!</v>
      </c>
      <c r="V266" s="84" t="e">
        <f t="shared" si="50"/>
        <v>#DIV/0!</v>
      </c>
      <c r="W266" s="84" t="e">
        <f t="shared" si="50"/>
        <v>#DIV/0!</v>
      </c>
      <c r="X266" s="84">
        <f t="shared" si="50"/>
        <v>-0.49419786888623501</v>
      </c>
      <c r="Y266" s="84" t="e">
        <f t="shared" si="50"/>
        <v>#DIV/0!</v>
      </c>
      <c r="Z266" s="84">
        <f t="shared" si="50"/>
        <v>-3.0530862022784202</v>
      </c>
      <c r="AA266" s="85" t="e">
        <f t="shared" si="50"/>
        <v>#DIV/0!</v>
      </c>
      <c r="AB266" s="86">
        <f t="shared" si="50"/>
        <v>-0.49720530704765498</v>
      </c>
      <c r="AC266" s="61"/>
      <c r="AD266" s="61" t="e">
        <f>SUM(AD6,-AD16,-AD28,-AD29,-AD102,-AD176,-AD250,-AD251,-AD252,AD257,AD259,-AD260,-AD262)/AD6</f>
        <v>#DIV/0!</v>
      </c>
      <c r="AE266" s="61">
        <f>SUM(AE6,-AE16,-AE28,-AE29,-AE102,-AE176,-AE250,-AE251,-AE252,AE257,AE259,-AE260,-AE262)/AE6</f>
        <v>-0.49720530704765498</v>
      </c>
      <c r="AF266" s="17" t="e">
        <f>AA266-AD266</f>
        <v>#DIV/0!</v>
      </c>
      <c r="AG266" s="17">
        <f>AB266-AE266</f>
        <v>0</v>
      </c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61"/>
      <c r="AX266" s="61"/>
      <c r="AY266" s="61"/>
      <c r="AZ266" s="61"/>
      <c r="BA266" s="61"/>
      <c r="BB266" s="61"/>
      <c r="BC266" s="61"/>
      <c r="BD266" s="61"/>
      <c r="BE266" s="61"/>
      <c r="BF266" s="61"/>
      <c r="BG266" s="61"/>
      <c r="BH266" s="61"/>
      <c r="BI266" s="6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  <c r="BV266" s="61"/>
      <c r="BW266" s="61"/>
      <c r="BX266" s="61"/>
      <c r="BY266" s="61"/>
      <c r="BZ266" s="61"/>
      <c r="CA266" s="61"/>
      <c r="CB266" s="61"/>
      <c r="CC266" s="61"/>
      <c r="CD266" s="61"/>
      <c r="CE266" s="61"/>
      <c r="CF266" s="61"/>
      <c r="CG266" s="61"/>
      <c r="CH266" s="61"/>
      <c r="CI266" s="61"/>
      <c r="CJ266" s="61"/>
      <c r="CK266" s="61"/>
      <c r="CL266" s="61"/>
      <c r="CM266" s="61"/>
      <c r="CN266" s="61"/>
      <c r="CO266" s="61"/>
      <c r="CP266" s="61"/>
      <c r="CQ266" s="61"/>
      <c r="CR266" s="61"/>
      <c r="CS266" s="61"/>
      <c r="CT266" s="61"/>
      <c r="CU266" s="61"/>
      <c r="CV266" s="61"/>
      <c r="CW266" s="61"/>
      <c r="CX266" s="61"/>
      <c r="CY266" s="61"/>
      <c r="CZ266" s="61"/>
      <c r="DA266" s="61"/>
      <c r="DB266" s="61"/>
      <c r="DC266" s="61"/>
      <c r="DD266" s="61"/>
      <c r="DE266" s="61"/>
      <c r="DF266" s="61"/>
      <c r="DG266" s="61"/>
      <c r="DH266" s="61"/>
      <c r="DI266" s="61"/>
      <c r="DJ266" s="61"/>
      <c r="DK266" s="61"/>
      <c r="DL266" s="61"/>
      <c r="DM266" s="61"/>
      <c r="DN266" s="61"/>
    </row>
    <row r="267" spans="1:118" s="19" customFormat="1" ht="21" customHeight="1" x14ac:dyDescent="0.25">
      <c r="A267" s="82" t="s">
        <v>212</v>
      </c>
      <c r="B267" s="83"/>
      <c r="C267" s="84"/>
      <c r="D267" s="84" t="e">
        <f>D6/C6</f>
        <v>#DIV/0!</v>
      </c>
      <c r="E267" s="84"/>
      <c r="F267" s="84" t="e">
        <f>F6/E6</f>
        <v>#DIV/0!</v>
      </c>
      <c r="G267" s="84"/>
      <c r="H267" s="84" t="e">
        <f>H6/G6</f>
        <v>#DIV/0!</v>
      </c>
      <c r="I267" s="84"/>
      <c r="J267" s="84" t="e">
        <f>J6/I6</f>
        <v>#DIV/0!</v>
      </c>
      <c r="K267" s="84"/>
      <c r="L267" s="84" t="e">
        <f>L6/K6</f>
        <v>#DIV/0!</v>
      </c>
      <c r="M267" s="84"/>
      <c r="N267" s="84" t="e">
        <f>N6/M6</f>
        <v>#DIV/0!</v>
      </c>
      <c r="O267" s="84"/>
      <c r="P267" s="84" t="e">
        <f>P6/O6</f>
        <v>#DIV/0!</v>
      </c>
      <c r="Q267" s="84"/>
      <c r="R267" s="84" t="e">
        <f>R6/Q6</f>
        <v>#DIV/0!</v>
      </c>
      <c r="S267" s="84"/>
      <c r="T267" s="84" t="e">
        <f>T6/S6</f>
        <v>#DIV/0!</v>
      </c>
      <c r="U267" s="84"/>
      <c r="V267" s="84" t="e">
        <f>V6/U6</f>
        <v>#DIV/0!</v>
      </c>
      <c r="W267" s="84"/>
      <c r="X267" s="84" t="e">
        <f>X6/W6</f>
        <v>#DIV/0!</v>
      </c>
      <c r="Y267" s="84"/>
      <c r="Z267" s="84" t="e">
        <f>Z6/Y6</f>
        <v>#DIV/0!</v>
      </c>
      <c r="AA267" s="85"/>
      <c r="AB267" s="86" t="e">
        <f>AB6/AA6</f>
        <v>#DIV/0!</v>
      </c>
      <c r="AD267" s="61"/>
      <c r="AE267" s="61" t="e">
        <f>AE6/AD6</f>
        <v>#DIV/0!</v>
      </c>
      <c r="AF267" s="17"/>
      <c r="AG267" s="87" t="e">
        <f>AB267-AE267</f>
        <v>#DIV/0!</v>
      </c>
    </row>
    <row r="268" spans="1:118" s="19" customFormat="1" ht="21" customHeight="1" x14ac:dyDescent="0.25">
      <c r="A268" s="88" t="s">
        <v>201</v>
      </c>
      <c r="B268" s="114"/>
      <c r="C268" s="90"/>
      <c r="D268" s="90">
        <f>2-(D263/C263)</f>
        <v>1.5435453851344001</v>
      </c>
      <c r="E268" s="90"/>
      <c r="F268" s="90">
        <f>2-(F263/E263)</f>
        <v>0.64448504413511598</v>
      </c>
      <c r="G268" s="90"/>
      <c r="H268" s="90">
        <f>2-(H263/G263)</f>
        <v>3.1905890213445001</v>
      </c>
      <c r="I268" s="90"/>
      <c r="J268" s="90">
        <f>2-(J263/I263)</f>
        <v>1.5264493537974999</v>
      </c>
      <c r="K268" s="90"/>
      <c r="L268" s="90">
        <f>2-(L263/K263)</f>
        <v>1.89325901734099</v>
      </c>
      <c r="M268" s="90"/>
      <c r="N268" s="90">
        <f>2-(N263/M263)</f>
        <v>1.93225418641921</v>
      </c>
      <c r="O268" s="90"/>
      <c r="P268" s="90">
        <f>2-(P263/O263)</f>
        <v>1.8229036094200599</v>
      </c>
      <c r="Q268" s="90"/>
      <c r="R268" s="90">
        <f>2-(R263/Q263)</f>
        <v>1.85887488875162</v>
      </c>
      <c r="S268" s="90"/>
      <c r="T268" s="90">
        <f>2-(T263/S263)</f>
        <v>1.7276847216150799</v>
      </c>
      <c r="U268" s="90"/>
      <c r="V268" s="90">
        <f>2-(V263/U263)</f>
        <v>1.8352046995211999</v>
      </c>
      <c r="W268" s="90"/>
      <c r="X268" s="90">
        <f>2-(X263/W263)</f>
        <v>1.8858412934048701</v>
      </c>
      <c r="Y268" s="90"/>
      <c r="Z268" s="90">
        <f>2-(Z263/Y263)</f>
        <v>1.7484792142327601</v>
      </c>
      <c r="AA268" s="115"/>
      <c r="AB268" s="92">
        <f>2-(AB263/AA263)</f>
        <v>1.81824646978948</v>
      </c>
      <c r="AD268" s="22"/>
      <c r="AE268" s="66">
        <f>ROUND(AE263/AD263,4)</f>
        <v>0.18179999999999999</v>
      </c>
      <c r="AF268" s="22"/>
      <c r="AG268" s="22"/>
    </row>
    <row r="269" spans="1:118" s="113" customFormat="1" ht="27" customHeight="1" x14ac:dyDescent="0.25">
      <c r="A269" s="116"/>
      <c r="B269" s="199"/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D269" s="3"/>
      <c r="AE269" s="3"/>
      <c r="AF269" s="3"/>
      <c r="AG269" s="3"/>
    </row>
    <row r="270" spans="1:118" s="19" customFormat="1" ht="21" customHeight="1" x14ac:dyDescent="0.25">
      <c r="B270" s="94"/>
      <c r="C270" s="94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  <c r="AA270" s="111"/>
      <c r="AD270" s="22"/>
      <c r="AE270" s="22"/>
      <c r="AF270" s="22"/>
      <c r="AG270" s="22"/>
    </row>
    <row r="271" spans="1:118" s="19" customFormat="1" ht="21" customHeight="1" x14ac:dyDescent="0.25">
      <c r="B271" s="94"/>
      <c r="C271" s="94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D271" s="22"/>
      <c r="AE271" s="22"/>
      <c r="AF271" s="22"/>
      <c r="AG271" s="22"/>
    </row>
    <row r="272" spans="1:118" s="19" customFormat="1" ht="21" customHeight="1" x14ac:dyDescent="0.25">
      <c r="B272" s="94"/>
      <c r="C272" s="94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D272" s="22"/>
      <c r="AE272" s="22"/>
      <c r="AF272" s="22"/>
      <c r="AG272" s="22"/>
    </row>
    <row r="273" spans="2:33" s="19" customFormat="1" ht="21" customHeight="1" x14ac:dyDescent="0.25">
      <c r="B273" s="94"/>
      <c r="C273" s="94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D273" s="22"/>
      <c r="AE273" s="22"/>
      <c r="AF273" s="22"/>
      <c r="AG273" s="22"/>
    </row>
    <row r="274" spans="2:33" s="19" customFormat="1" ht="21" customHeight="1" x14ac:dyDescent="0.25">
      <c r="B274" s="94"/>
      <c r="C274" s="94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D274" s="22"/>
      <c r="AE274" s="22"/>
      <c r="AF274" s="22"/>
      <c r="AG274" s="22"/>
    </row>
    <row r="275" spans="2:33" s="19" customFormat="1" ht="21" customHeight="1" x14ac:dyDescent="0.25">
      <c r="B275" s="94"/>
      <c r="C275" s="94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D275" s="22"/>
      <c r="AE275" s="22"/>
      <c r="AF275" s="22"/>
      <c r="AG275" s="22"/>
    </row>
    <row r="276" spans="2:33" s="19" customFormat="1" ht="21" customHeight="1" x14ac:dyDescent="0.25">
      <c r="B276" s="94"/>
      <c r="C276" s="94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D276" s="22"/>
      <c r="AE276" s="22"/>
      <c r="AF276" s="22"/>
      <c r="AG276" s="22"/>
    </row>
    <row r="277" spans="2:33" s="19" customFormat="1" ht="21" customHeight="1" x14ac:dyDescent="0.25">
      <c r="B277" s="94"/>
      <c r="C277" s="94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D277" s="22"/>
      <c r="AE277" s="22"/>
      <c r="AF277" s="22"/>
      <c r="AG277" s="22"/>
    </row>
    <row r="278" spans="2:33" s="19" customFormat="1" ht="21" customHeight="1" x14ac:dyDescent="0.25">
      <c r="B278" s="94"/>
      <c r="C278" s="94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D278" s="22"/>
      <c r="AE278" s="22"/>
      <c r="AF278" s="22"/>
      <c r="AG278" s="22"/>
    </row>
    <row r="279" spans="2:33" s="19" customFormat="1" ht="21" customHeight="1" x14ac:dyDescent="0.25">
      <c r="B279" s="94"/>
      <c r="C279" s="94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D279" s="22"/>
      <c r="AE279" s="22"/>
      <c r="AF279" s="22"/>
      <c r="AG279" s="22"/>
    </row>
    <row r="280" spans="2:33" s="19" customFormat="1" ht="21" customHeight="1" x14ac:dyDescent="0.25">
      <c r="B280" s="94"/>
      <c r="C280" s="94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D280" s="22"/>
      <c r="AE280" s="22"/>
      <c r="AF280" s="22"/>
      <c r="AG280" s="22"/>
    </row>
    <row r="281" spans="2:33" s="19" customFormat="1" ht="21" customHeight="1" x14ac:dyDescent="0.25">
      <c r="B281" s="94"/>
      <c r="C281" s="94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D281" s="22"/>
      <c r="AE281" s="22"/>
      <c r="AF281" s="22"/>
      <c r="AG281" s="22"/>
    </row>
    <row r="282" spans="2:33" s="19" customFormat="1" ht="21" customHeight="1" x14ac:dyDescent="0.25">
      <c r="B282" s="94"/>
      <c r="C282" s="94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D282" s="22"/>
      <c r="AE282" s="22"/>
      <c r="AF282" s="22"/>
      <c r="AG282" s="22"/>
    </row>
    <row r="283" spans="2:33" s="19" customFormat="1" ht="21" customHeight="1" x14ac:dyDescent="0.25">
      <c r="B283" s="94"/>
      <c r="C283" s="94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D283" s="22"/>
      <c r="AE283" s="22"/>
      <c r="AF283" s="22"/>
      <c r="AG283" s="22"/>
    </row>
    <row r="284" spans="2:33" s="19" customFormat="1" ht="21" customHeight="1" x14ac:dyDescent="0.25">
      <c r="B284" s="94"/>
      <c r="C284" s="94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D284" s="22"/>
      <c r="AE284" s="22"/>
      <c r="AF284" s="22"/>
      <c r="AG284" s="22"/>
    </row>
  </sheetData>
  <autoFilter ref="C5:AB269" xr:uid="{00000000-0009-0000-0000-000004000000}"/>
  <mergeCells count="19">
    <mergeCell ref="AD4:AE4"/>
    <mergeCell ref="AF4:AG4"/>
    <mergeCell ref="B269:AB269"/>
    <mergeCell ref="A4:A5"/>
    <mergeCell ref="B4:B5"/>
    <mergeCell ref="A1:AB1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</mergeCells>
  <phoneticPr fontId="40" type="noConversion"/>
  <hyperlinks>
    <hyperlink ref="A1" location="'索引'!A1" tooltip="返回索引" display="中心利润表 " xr:uid="{00000000-0004-0000-0400-000000000000}"/>
  </hyperlinks>
  <pageMargins left="0.27916666666666701" right="0.156944444444444" top="0.27916666666666701" bottom="0.31458333333333299" header="0.23958333333333301" footer="0.118055555555556"/>
  <pageSetup paperSize="9" scale="35" orientation="landscape" r:id="rId1"/>
  <headerFooter>
    <oddFooter>&amp;C第 &amp;P 页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M286"/>
  <sheetViews>
    <sheetView showZeros="0" view="pageBreakPreview" zoomScale="85" zoomScaleNormal="100" workbookViewId="0">
      <pane xSplit="2" ySplit="5" topLeftCell="Q6" activePane="bottomRight" state="frozen"/>
      <selection activeCell="A269" sqref="A269:AB269"/>
      <selection pane="topRight" activeCell="A269" sqref="A269:AB269"/>
      <selection pane="bottomLeft" activeCell="A269" sqref="A269:AB269"/>
      <selection pane="bottomRight" activeCell="A269" sqref="A269:AB269"/>
    </sheetView>
  </sheetViews>
  <sheetFormatPr defaultColWidth="8.6640625" defaultRowHeight="21" customHeight="1" outlineLevelRow="2" outlineLevelCol="1" x14ac:dyDescent="0.25"/>
  <cols>
    <col min="1" max="1" width="20.08203125" style="22" customWidth="1"/>
    <col min="2" max="2" width="5.58203125" style="23" customWidth="1"/>
    <col min="3" max="3" width="13.1640625" style="23" customWidth="1"/>
    <col min="4" max="5" width="12.83203125" style="98" customWidth="1"/>
    <col min="6" max="10" width="13.25" style="98" customWidth="1"/>
    <col min="11" max="11" width="13.33203125" style="98" customWidth="1"/>
    <col min="12" max="12" width="13.5" style="98" customWidth="1"/>
    <col min="13" max="25" width="12.83203125" style="98" customWidth="1"/>
    <col min="26" max="27" width="13.08203125" style="98" customWidth="1"/>
    <col min="28" max="28" width="14.58203125" style="22" customWidth="1"/>
    <col min="29" max="29" width="16.33203125" style="22" customWidth="1"/>
    <col min="30" max="30" width="22.33203125" style="22" hidden="1" customWidth="1" outlineLevel="1"/>
    <col min="31" max="31" width="15.75" style="22" hidden="1" customWidth="1" outlineLevel="1"/>
    <col min="32" max="32" width="15" style="22" hidden="1" customWidth="1" outlineLevel="1"/>
    <col min="33" max="33" width="13.08203125" style="22" hidden="1" customWidth="1" outlineLevel="1"/>
    <col min="34" max="34" width="8.6640625" style="22" customWidth="1" collapsed="1"/>
    <col min="35" max="52" width="8.6640625" style="22" customWidth="1"/>
    <col min="53" max="53" width="15.25" style="22" customWidth="1"/>
    <col min="54" max="54" width="8.6640625" style="22"/>
    <col min="55" max="55" width="14.33203125" style="22"/>
    <col min="56" max="16384" width="8.6640625" style="22"/>
  </cols>
  <sheetData>
    <row r="1" spans="1:117" s="16" customFormat="1" ht="28" customHeight="1" x14ac:dyDescent="0.25">
      <c r="A1" s="189" t="s">
        <v>213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</row>
    <row r="2" spans="1:117" s="16" customFormat="1" ht="21" customHeight="1" x14ac:dyDescent="0.25">
      <c r="A2" s="26">
        <v>46021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9" t="s">
        <v>203</v>
      </c>
    </row>
    <row r="3" spans="1:117" s="17" customFormat="1" ht="22" customHeight="1" x14ac:dyDescent="0.25">
      <c r="A3" s="30" t="s">
        <v>204</v>
      </c>
      <c r="B3" s="31"/>
      <c r="C3" s="31"/>
      <c r="AA3" s="99"/>
      <c r="AB3" s="29" t="s">
        <v>205</v>
      </c>
      <c r="AC3" s="27"/>
    </row>
    <row r="4" spans="1:117" s="17" customFormat="1" ht="24" customHeight="1" x14ac:dyDescent="0.25">
      <c r="A4" s="200" t="s">
        <v>206</v>
      </c>
      <c r="B4" s="200" t="s">
        <v>207</v>
      </c>
      <c r="C4" s="193">
        <v>45658</v>
      </c>
      <c r="D4" s="193"/>
      <c r="E4" s="193">
        <v>45689</v>
      </c>
      <c r="F4" s="193"/>
      <c r="G4" s="193">
        <v>45717</v>
      </c>
      <c r="H4" s="193"/>
      <c r="I4" s="193">
        <v>45748</v>
      </c>
      <c r="J4" s="193"/>
      <c r="K4" s="193">
        <v>45778</v>
      </c>
      <c r="L4" s="193"/>
      <c r="M4" s="193">
        <v>45809</v>
      </c>
      <c r="N4" s="193"/>
      <c r="O4" s="193">
        <v>45839</v>
      </c>
      <c r="P4" s="193"/>
      <c r="Q4" s="193">
        <v>45870</v>
      </c>
      <c r="R4" s="193"/>
      <c r="S4" s="193">
        <v>45901</v>
      </c>
      <c r="T4" s="193"/>
      <c r="U4" s="193">
        <v>45931</v>
      </c>
      <c r="V4" s="193"/>
      <c r="W4" s="193">
        <v>45962</v>
      </c>
      <c r="X4" s="193"/>
      <c r="Y4" s="193">
        <v>45992</v>
      </c>
      <c r="Z4" s="193"/>
      <c r="AA4" s="194" t="s">
        <v>79</v>
      </c>
      <c r="AB4" s="194"/>
      <c r="AD4" s="195" t="s">
        <v>80</v>
      </c>
      <c r="AE4" s="195"/>
      <c r="AF4" s="196" t="s">
        <v>81</v>
      </c>
      <c r="AG4" s="195"/>
    </row>
    <row r="5" spans="1:117" s="18" customFormat="1" ht="24" customHeight="1" x14ac:dyDescent="0.25">
      <c r="A5" s="201"/>
      <c r="B5" s="201"/>
      <c r="C5" s="37" t="s">
        <v>84</v>
      </c>
      <c r="D5" s="38" t="s">
        <v>85</v>
      </c>
      <c r="E5" s="37" t="s">
        <v>84</v>
      </c>
      <c r="F5" s="38" t="s">
        <v>85</v>
      </c>
      <c r="G5" s="37" t="s">
        <v>84</v>
      </c>
      <c r="H5" s="38" t="s">
        <v>85</v>
      </c>
      <c r="I5" s="37" t="s">
        <v>84</v>
      </c>
      <c r="J5" s="38" t="s">
        <v>85</v>
      </c>
      <c r="K5" s="37" t="s">
        <v>84</v>
      </c>
      <c r="L5" s="38" t="s">
        <v>85</v>
      </c>
      <c r="M5" s="37" t="s">
        <v>84</v>
      </c>
      <c r="N5" s="38" t="s">
        <v>85</v>
      </c>
      <c r="O5" s="37" t="s">
        <v>84</v>
      </c>
      <c r="P5" s="38" t="s">
        <v>85</v>
      </c>
      <c r="Q5" s="37" t="s">
        <v>84</v>
      </c>
      <c r="R5" s="38" t="s">
        <v>85</v>
      </c>
      <c r="S5" s="37" t="s">
        <v>84</v>
      </c>
      <c r="T5" s="38" t="s">
        <v>85</v>
      </c>
      <c r="U5" s="37" t="s">
        <v>84</v>
      </c>
      <c r="V5" s="38" t="s">
        <v>85</v>
      </c>
      <c r="W5" s="37" t="s">
        <v>84</v>
      </c>
      <c r="X5" s="38" t="s">
        <v>85</v>
      </c>
      <c r="Y5" s="37" t="s">
        <v>84</v>
      </c>
      <c r="Z5" s="38" t="s">
        <v>85</v>
      </c>
      <c r="AA5" s="39" t="s">
        <v>84</v>
      </c>
      <c r="AB5" s="40" t="s">
        <v>208</v>
      </c>
      <c r="AD5" s="41" t="s">
        <v>84</v>
      </c>
      <c r="AE5" s="42" t="s">
        <v>85</v>
      </c>
      <c r="AF5" s="41" t="s">
        <v>84</v>
      </c>
      <c r="AG5" s="42" t="s">
        <v>85</v>
      </c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</row>
    <row r="6" spans="1:117" s="17" customFormat="1" ht="14" x14ac:dyDescent="0.25">
      <c r="A6" s="44" t="s">
        <v>209</v>
      </c>
      <c r="B6" s="45" t="s">
        <v>88</v>
      </c>
      <c r="C6" s="46">
        <f t="shared" ref="C6:Z6" si="0">SUM(C7:C13,C15,-C14)</f>
        <v>685500</v>
      </c>
      <c r="D6" s="46">
        <f t="shared" si="0"/>
        <v>2304694.7387999999</v>
      </c>
      <c r="E6" s="46">
        <f t="shared" si="0"/>
        <v>816600</v>
      </c>
      <c r="F6" s="46">
        <f t="shared" si="0"/>
        <v>1666193.8895999996</v>
      </c>
      <c r="G6" s="46">
        <f t="shared" si="0"/>
        <v>1474500</v>
      </c>
      <c r="H6" s="46">
        <f t="shared" si="0"/>
        <v>1529599.9068000002</v>
      </c>
      <c r="I6" s="46">
        <f t="shared" si="0"/>
        <v>1730500</v>
      </c>
      <c r="J6" s="46">
        <f t="shared" si="0"/>
        <v>2841384.8423999986</v>
      </c>
      <c r="K6" s="46">
        <f t="shared" si="0"/>
        <v>1505500</v>
      </c>
      <c r="L6" s="46">
        <f t="shared" si="0"/>
        <v>2071086.5299999989</v>
      </c>
      <c r="M6" s="46">
        <f t="shared" si="0"/>
        <v>1836000</v>
      </c>
      <c r="N6" s="46">
        <f t="shared" si="0"/>
        <v>2606077.1535999989</v>
      </c>
      <c r="O6" s="46">
        <f t="shared" si="0"/>
        <v>1948250</v>
      </c>
      <c r="P6" s="46">
        <f t="shared" si="0"/>
        <v>2343337.7071999987</v>
      </c>
      <c r="Q6" s="46">
        <f t="shared" si="0"/>
        <v>1944090.72</v>
      </c>
      <c r="R6" s="46">
        <f t="shared" si="0"/>
        <v>2089992.2992000002</v>
      </c>
      <c r="S6" s="46">
        <f t="shared" si="0"/>
        <v>2672284.2799999998</v>
      </c>
      <c r="T6" s="46">
        <f t="shared" si="0"/>
        <v>3180499.2491999967</v>
      </c>
      <c r="U6" s="46">
        <f t="shared" si="0"/>
        <v>1776275</v>
      </c>
      <c r="V6" s="46">
        <f t="shared" si="0"/>
        <v>1991424.2895999991</v>
      </c>
      <c r="W6" s="46">
        <f t="shared" si="0"/>
        <v>2043500</v>
      </c>
      <c r="X6" s="46">
        <f t="shared" si="0"/>
        <v>2165174.3235999988</v>
      </c>
      <c r="Y6" s="46">
        <f t="shared" si="0"/>
        <v>3781275</v>
      </c>
      <c r="Z6" s="46">
        <f t="shared" si="0"/>
        <v>3611166.2204000009</v>
      </c>
      <c r="AA6" s="47">
        <f t="shared" ref="AA6:AA26" si="1">C6+E6+G6+I6+K6+M6+O6+Q6+S6+U6+W6+Y6</f>
        <v>22214275</v>
      </c>
      <c r="AB6" s="47">
        <f t="shared" ref="AB6:AB26" si="2">D6+F6+H6+J6+L6+N6+P6+R6+T6+V6+X6+Z6</f>
        <v>28400631.150399994</v>
      </c>
      <c r="AD6" s="31">
        <f t="shared" ref="AD6:AD26" si="3">SUMIF($C$5:$Z$5,$AD$5,C6:Z6)</f>
        <v>22214275</v>
      </c>
      <c r="AE6" s="31">
        <f t="shared" ref="AE6:AE26" si="4">SUMIF($C$5:$Z$5,$AD$5,D6:AA6)</f>
        <v>28400631.150399994</v>
      </c>
      <c r="AF6" s="17">
        <f t="shared" ref="AF6:AF25" si="5">AA6-AD6</f>
        <v>0</v>
      </c>
      <c r="AG6" s="17">
        <f t="shared" ref="AG6:AG25" si="6">AB6-AE6</f>
        <v>0</v>
      </c>
      <c r="BA6" s="21"/>
    </row>
    <row r="7" spans="1:117" s="17" customFormat="1" ht="14" outlineLevel="1" x14ac:dyDescent="0.25">
      <c r="A7" s="48" t="s">
        <v>89</v>
      </c>
      <c r="B7" s="45"/>
      <c r="C7" s="64">
        <v>0</v>
      </c>
      <c r="D7" s="50">
        <v>800959.00679999997</v>
      </c>
      <c r="E7" s="50">
        <v>0</v>
      </c>
      <c r="F7" s="50">
        <v>559635.804</v>
      </c>
      <c r="G7" s="50">
        <v>0</v>
      </c>
      <c r="H7" s="50">
        <v>823085.89560000005</v>
      </c>
      <c r="I7" s="50">
        <v>0</v>
      </c>
      <c r="J7" s="50">
        <v>1403217.1403999999</v>
      </c>
      <c r="K7" s="50">
        <v>0</v>
      </c>
      <c r="L7" s="50">
        <v>928558.92240000004</v>
      </c>
      <c r="M7" s="50">
        <v>0</v>
      </c>
      <c r="N7" s="50">
        <v>934831.56239999901</v>
      </c>
      <c r="O7" s="50">
        <v>0</v>
      </c>
      <c r="P7" s="50">
        <v>934735.13999999897</v>
      </c>
      <c r="Q7" s="50">
        <v>0</v>
      </c>
      <c r="R7" s="50">
        <v>736876.09440000006</v>
      </c>
      <c r="S7" s="50">
        <v>0</v>
      </c>
      <c r="T7" s="50">
        <v>1052783.168399998</v>
      </c>
      <c r="U7" s="50">
        <v>0</v>
      </c>
      <c r="V7" s="50">
        <v>802792.28519999899</v>
      </c>
      <c r="W7" s="50">
        <v>0</v>
      </c>
      <c r="X7" s="50">
        <v>808087.3199999989</v>
      </c>
      <c r="Y7" s="50">
        <v>0</v>
      </c>
      <c r="Z7" s="50">
        <v>1014033.6864000012</v>
      </c>
      <c r="AA7" s="51">
        <f t="shared" si="1"/>
        <v>0</v>
      </c>
      <c r="AB7" s="51">
        <f t="shared" si="2"/>
        <v>10799596.025999995</v>
      </c>
      <c r="AC7" s="17">
        <v>1.08</v>
      </c>
      <c r="AD7" s="31">
        <f t="shared" si="3"/>
        <v>0</v>
      </c>
      <c r="AE7" s="31">
        <f t="shared" si="4"/>
        <v>10799596.025999995</v>
      </c>
      <c r="AF7" s="17">
        <f t="shared" si="5"/>
        <v>0</v>
      </c>
      <c r="AG7" s="17">
        <f t="shared" si="6"/>
        <v>0</v>
      </c>
      <c r="BA7" s="21"/>
    </row>
    <row r="8" spans="1:117" s="17" customFormat="1" ht="14" outlineLevel="1" x14ac:dyDescent="0.25">
      <c r="A8" s="48" t="s">
        <v>90</v>
      </c>
      <c r="B8" s="45"/>
      <c r="C8" s="64">
        <v>0</v>
      </c>
      <c r="D8" s="50">
        <v>695314.1736000001</v>
      </c>
      <c r="E8" s="50">
        <v>0</v>
      </c>
      <c r="F8" s="50">
        <v>501857.43480000005</v>
      </c>
      <c r="G8" s="50">
        <v>0</v>
      </c>
      <c r="H8" s="50">
        <v>464704.45200000005</v>
      </c>
      <c r="I8" s="50">
        <v>0</v>
      </c>
      <c r="J8" s="50">
        <v>553023.35279999999</v>
      </c>
      <c r="K8" s="50">
        <v>0</v>
      </c>
      <c r="L8" s="50">
        <v>426913.11359999893</v>
      </c>
      <c r="M8" s="50">
        <v>0</v>
      </c>
      <c r="N8" s="50">
        <v>697937.43960000004</v>
      </c>
      <c r="O8" s="50">
        <v>0</v>
      </c>
      <c r="P8" s="50">
        <v>510037.48440000002</v>
      </c>
      <c r="Q8" s="50">
        <v>0</v>
      </c>
      <c r="R8" s="50">
        <v>435995.89200000005</v>
      </c>
      <c r="S8" s="50">
        <v>0</v>
      </c>
      <c r="T8" s="50">
        <v>947977.92720000003</v>
      </c>
      <c r="U8" s="50">
        <v>0</v>
      </c>
      <c r="V8" s="50">
        <v>391681.00799999997</v>
      </c>
      <c r="W8" s="50">
        <v>0</v>
      </c>
      <c r="X8" s="50">
        <v>481054.01040000003</v>
      </c>
      <c r="Y8" s="50">
        <v>0</v>
      </c>
      <c r="Z8" s="50">
        <v>1109896.8408000001</v>
      </c>
      <c r="AA8" s="51">
        <f t="shared" si="1"/>
        <v>0</v>
      </c>
      <c r="AB8" s="51">
        <f t="shared" si="2"/>
        <v>7216393.1292000003</v>
      </c>
      <c r="AD8" s="31">
        <f t="shared" si="3"/>
        <v>0</v>
      </c>
      <c r="AE8" s="31">
        <f t="shared" si="4"/>
        <v>7216393.1292000003</v>
      </c>
      <c r="AF8" s="17">
        <f t="shared" si="5"/>
        <v>0</v>
      </c>
      <c r="AG8" s="17">
        <f t="shared" si="6"/>
        <v>0</v>
      </c>
      <c r="BA8" s="21"/>
    </row>
    <row r="9" spans="1:117" s="17" customFormat="1" ht="14" outlineLevel="1" x14ac:dyDescent="0.25">
      <c r="A9" s="48" t="s">
        <v>91</v>
      </c>
      <c r="B9" s="45"/>
      <c r="C9" s="64">
        <v>0</v>
      </c>
      <c r="D9" s="50">
        <v>695990.40480000013</v>
      </c>
      <c r="E9" s="50">
        <v>0</v>
      </c>
      <c r="F9" s="50">
        <v>512165.49480000004</v>
      </c>
      <c r="G9" s="50">
        <v>0</v>
      </c>
      <c r="H9" s="50">
        <v>116777.03040000002</v>
      </c>
      <c r="I9" s="50">
        <v>0</v>
      </c>
      <c r="J9" s="50">
        <v>753915.49199999892</v>
      </c>
      <c r="K9" s="50">
        <v>0</v>
      </c>
      <c r="L9" s="50">
        <v>613035.01080000005</v>
      </c>
      <c r="M9" s="50">
        <v>0</v>
      </c>
      <c r="N9" s="50">
        <v>820808.33759999997</v>
      </c>
      <c r="O9" s="50">
        <v>0</v>
      </c>
      <c r="P9" s="50">
        <v>785298.14280000003</v>
      </c>
      <c r="Q9" s="50">
        <v>0</v>
      </c>
      <c r="R9" s="50">
        <v>686235.93120000011</v>
      </c>
      <c r="S9" s="50">
        <v>0</v>
      </c>
      <c r="T9" s="50">
        <v>1038300.821999999</v>
      </c>
      <c r="U9" s="50">
        <v>0</v>
      </c>
      <c r="V9" s="50">
        <v>689867.12880000006</v>
      </c>
      <c r="W9" s="50">
        <v>0</v>
      </c>
      <c r="X9" s="50">
        <v>749511.30599999998</v>
      </c>
      <c r="Y9" s="50">
        <v>0</v>
      </c>
      <c r="Z9" s="50">
        <v>1336639.0608000001</v>
      </c>
      <c r="AA9" s="51">
        <f t="shared" si="1"/>
        <v>0</v>
      </c>
      <c r="AB9" s="51">
        <f t="shared" si="2"/>
        <v>8798544.1619999968</v>
      </c>
      <c r="AD9" s="31">
        <f t="shared" si="3"/>
        <v>0</v>
      </c>
      <c r="AE9" s="31">
        <f t="shared" si="4"/>
        <v>8798544.1619999968</v>
      </c>
      <c r="AF9" s="17">
        <f t="shared" si="5"/>
        <v>0</v>
      </c>
      <c r="AG9" s="17">
        <f t="shared" si="6"/>
        <v>0</v>
      </c>
      <c r="BA9" s="21"/>
    </row>
    <row r="10" spans="1:117" s="17" customFormat="1" ht="14" outlineLevel="1" x14ac:dyDescent="0.25">
      <c r="A10" s="48" t="s">
        <v>92</v>
      </c>
      <c r="B10" s="45"/>
      <c r="C10" s="64">
        <v>0</v>
      </c>
      <c r="D10" s="50">
        <v>54132.861599999997</v>
      </c>
      <c r="E10" s="50">
        <v>0</v>
      </c>
      <c r="F10" s="50">
        <v>69369.253200000006</v>
      </c>
      <c r="G10" s="50">
        <v>0</v>
      </c>
      <c r="H10" s="50">
        <v>91492.232400000008</v>
      </c>
      <c r="I10" s="50">
        <v>0</v>
      </c>
      <c r="J10" s="50">
        <v>107190.8532</v>
      </c>
      <c r="K10" s="50">
        <v>0</v>
      </c>
      <c r="L10" s="50">
        <v>111737.4696</v>
      </c>
      <c r="M10" s="50">
        <v>0</v>
      </c>
      <c r="N10" s="50">
        <v>132827.86079999999</v>
      </c>
      <c r="O10" s="50">
        <v>0</v>
      </c>
      <c r="P10" s="50">
        <v>119773.7172</v>
      </c>
      <c r="Q10" s="50">
        <v>0</v>
      </c>
      <c r="R10" s="50">
        <v>154881.74160000001</v>
      </c>
      <c r="S10" s="50">
        <v>0</v>
      </c>
      <c r="T10" s="50">
        <v>111613.70160000001</v>
      </c>
      <c r="U10" s="50">
        <v>0</v>
      </c>
      <c r="V10" s="50">
        <v>100357.60680000001</v>
      </c>
      <c r="W10" s="50">
        <v>0</v>
      </c>
      <c r="X10" s="50">
        <v>104377.302</v>
      </c>
      <c r="Y10" s="50">
        <v>0</v>
      </c>
      <c r="Z10" s="50">
        <v>106275.61800000002</v>
      </c>
      <c r="AA10" s="51">
        <f t="shared" si="1"/>
        <v>0</v>
      </c>
      <c r="AB10" s="51">
        <f t="shared" si="2"/>
        <v>1264030.2179999999</v>
      </c>
      <c r="AD10" s="31">
        <f t="shared" si="3"/>
        <v>0</v>
      </c>
      <c r="AE10" s="31">
        <f t="shared" si="4"/>
        <v>1264030.2179999999</v>
      </c>
      <c r="AF10" s="17">
        <f t="shared" si="5"/>
        <v>0</v>
      </c>
      <c r="AG10" s="17">
        <f t="shared" si="6"/>
        <v>0</v>
      </c>
      <c r="BA10" s="21"/>
    </row>
    <row r="11" spans="1:117" s="17" customFormat="1" ht="14" outlineLevel="1" x14ac:dyDescent="0.25">
      <c r="A11" s="48" t="s">
        <v>93</v>
      </c>
      <c r="B11" s="45"/>
      <c r="C11" s="64">
        <v>0</v>
      </c>
      <c r="D11" s="50">
        <v>34287.6996</v>
      </c>
      <c r="E11" s="50">
        <v>0</v>
      </c>
      <c r="F11" s="50">
        <v>7708.4244000000008</v>
      </c>
      <c r="G11" s="50">
        <v>0</v>
      </c>
      <c r="H11" s="50">
        <v>31542.987600000004</v>
      </c>
      <c r="I11" s="50">
        <v>0</v>
      </c>
      <c r="J11" s="50">
        <v>53831.854800000001</v>
      </c>
      <c r="K11" s="50">
        <v>0</v>
      </c>
      <c r="L11" s="50">
        <v>15210.417600000001</v>
      </c>
      <c r="M11" s="50">
        <v>0</v>
      </c>
      <c r="N11" s="50">
        <v>44730.694799999997</v>
      </c>
      <c r="O11" s="50">
        <v>0</v>
      </c>
      <c r="P11" s="50">
        <v>34762.251600000003</v>
      </c>
      <c r="Q11" s="50">
        <v>0</v>
      </c>
      <c r="R11" s="50">
        <v>43747.398000000001</v>
      </c>
      <c r="S11" s="50">
        <v>0</v>
      </c>
      <c r="T11" s="50">
        <v>54487.350000000006</v>
      </c>
      <c r="U11" s="50">
        <v>0</v>
      </c>
      <c r="V11" s="50">
        <v>16231.633200000002</v>
      </c>
      <c r="W11" s="50">
        <v>0</v>
      </c>
      <c r="X11" s="50">
        <v>40719.261599999998</v>
      </c>
      <c r="Y11" s="50">
        <v>0</v>
      </c>
      <c r="Z11" s="50">
        <v>48218.770800000006</v>
      </c>
      <c r="AA11" s="51">
        <f t="shared" si="1"/>
        <v>0</v>
      </c>
      <c r="AB11" s="51">
        <f t="shared" si="2"/>
        <v>425478.74400000001</v>
      </c>
      <c r="AD11" s="31">
        <f t="shared" si="3"/>
        <v>0</v>
      </c>
      <c r="AE11" s="31">
        <f t="shared" si="4"/>
        <v>425478.74400000001</v>
      </c>
      <c r="AF11" s="17">
        <f t="shared" si="5"/>
        <v>0</v>
      </c>
      <c r="AG11" s="17">
        <f t="shared" si="6"/>
        <v>0</v>
      </c>
      <c r="BA11" s="21"/>
    </row>
    <row r="12" spans="1:117" s="17" customFormat="1" ht="14" outlineLevel="1" x14ac:dyDescent="0.25">
      <c r="A12" s="48" t="s">
        <v>94</v>
      </c>
      <c r="B12" s="45"/>
      <c r="C12" s="64">
        <v>0</v>
      </c>
      <c r="D12" s="50">
        <v>2568.0996</v>
      </c>
      <c r="E12" s="50">
        <v>0</v>
      </c>
      <c r="F12" s="50">
        <v>15457.4784</v>
      </c>
      <c r="G12" s="50">
        <v>0</v>
      </c>
      <c r="H12" s="50">
        <v>692.90640000000008</v>
      </c>
      <c r="I12" s="50">
        <v>0</v>
      </c>
      <c r="J12" s="50">
        <v>764.59680000000014</v>
      </c>
      <c r="K12" s="50">
        <v>0</v>
      </c>
      <c r="L12" s="50">
        <v>1146.9060000000002</v>
      </c>
      <c r="M12" s="50">
        <v>0</v>
      </c>
      <c r="N12" s="50">
        <v>2432.4084000000003</v>
      </c>
      <c r="O12" s="50">
        <v>0</v>
      </c>
      <c r="P12" s="50">
        <v>2246.0111999999999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716.81760000000008</v>
      </c>
      <c r="W12" s="50">
        <v>0</v>
      </c>
      <c r="X12" s="50">
        <v>544.7736000000001</v>
      </c>
      <c r="Y12" s="50">
        <v>0</v>
      </c>
      <c r="Z12" s="50">
        <v>7373.3436000000002</v>
      </c>
      <c r="AA12" s="51">
        <f t="shared" si="1"/>
        <v>0</v>
      </c>
      <c r="AB12" s="51">
        <f t="shared" si="2"/>
        <v>33943.3416</v>
      </c>
      <c r="AD12" s="31">
        <f t="shared" si="3"/>
        <v>0</v>
      </c>
      <c r="AE12" s="31">
        <f t="shared" si="4"/>
        <v>33943.3416</v>
      </c>
      <c r="AF12" s="17">
        <f t="shared" si="5"/>
        <v>0</v>
      </c>
      <c r="AG12" s="17">
        <f t="shared" si="6"/>
        <v>0</v>
      </c>
      <c r="BA12" s="21"/>
    </row>
    <row r="13" spans="1:117" s="17" customFormat="1" ht="14" outlineLevel="1" x14ac:dyDescent="0.25">
      <c r="A13" s="48" t="s">
        <v>95</v>
      </c>
      <c r="B13" s="45"/>
      <c r="C13" s="64">
        <v>0</v>
      </c>
      <c r="D13" s="50">
        <v>21442.4928</v>
      </c>
      <c r="E13" s="50">
        <v>0</v>
      </c>
      <c r="F13" s="50">
        <v>0</v>
      </c>
      <c r="G13" s="50">
        <v>0</v>
      </c>
      <c r="H13" s="50">
        <v>1304.4023999999999</v>
      </c>
      <c r="I13" s="50">
        <v>0</v>
      </c>
      <c r="J13" s="50">
        <v>3114.2124000000003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45592.632000000005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1">
        <f t="shared" si="1"/>
        <v>0</v>
      </c>
      <c r="AB13" s="51">
        <f t="shared" si="2"/>
        <v>71453.739600000001</v>
      </c>
      <c r="AD13" s="31">
        <f t="shared" si="3"/>
        <v>0</v>
      </c>
      <c r="AE13" s="31">
        <f t="shared" si="4"/>
        <v>71453.739600000001</v>
      </c>
      <c r="AF13" s="17">
        <f t="shared" si="5"/>
        <v>0</v>
      </c>
      <c r="AG13" s="17">
        <f t="shared" si="6"/>
        <v>0</v>
      </c>
      <c r="BA13" s="21"/>
    </row>
    <row r="14" spans="1:117" s="17" customFormat="1" ht="14" outlineLevel="1" x14ac:dyDescent="0.25">
      <c r="A14" s="48" t="s">
        <v>96</v>
      </c>
      <c r="B14" s="45"/>
      <c r="C14" s="64"/>
      <c r="D14" s="50"/>
      <c r="E14" s="50"/>
      <c r="F14" s="50"/>
      <c r="G14" s="50"/>
      <c r="H14" s="50"/>
      <c r="I14" s="50"/>
      <c r="J14" s="50">
        <v>33672.660000000003</v>
      </c>
      <c r="K14" s="50"/>
      <c r="L14" s="50">
        <v>25515.31</v>
      </c>
      <c r="M14" s="50"/>
      <c r="N14" s="50">
        <v>27491.15</v>
      </c>
      <c r="O14" s="50">
        <v>3750</v>
      </c>
      <c r="P14" s="50">
        <v>43515.040000000001</v>
      </c>
      <c r="Q14" s="50">
        <v>65409.279999999999</v>
      </c>
      <c r="R14" s="50">
        <v>18647.150000000001</v>
      </c>
      <c r="S14" s="50">
        <v>116015.72</v>
      </c>
      <c r="T14" s="50">
        <v>24663.72</v>
      </c>
      <c r="U14" s="50">
        <v>24725</v>
      </c>
      <c r="V14" s="50">
        <v>10222.19</v>
      </c>
      <c r="W14" s="50">
        <v>30600</v>
      </c>
      <c r="X14" s="50">
        <v>19119.650000000001</v>
      </c>
      <c r="Y14" s="50">
        <v>45225</v>
      </c>
      <c r="Z14" s="50">
        <v>11271.1</v>
      </c>
      <c r="AA14" s="51">
        <f t="shared" si="1"/>
        <v>285725</v>
      </c>
      <c r="AB14" s="51">
        <f t="shared" si="2"/>
        <v>214117.97</v>
      </c>
      <c r="AD14" s="31">
        <f t="shared" si="3"/>
        <v>285725</v>
      </c>
      <c r="AE14" s="31">
        <f t="shared" si="4"/>
        <v>214117.97</v>
      </c>
      <c r="AF14" s="17">
        <f t="shared" si="5"/>
        <v>0</v>
      </c>
      <c r="AG14" s="17">
        <f t="shared" si="6"/>
        <v>0</v>
      </c>
      <c r="BA14" s="21"/>
    </row>
    <row r="15" spans="1:117" s="17" customFormat="1" ht="14" outlineLevel="1" x14ac:dyDescent="0.25">
      <c r="A15" s="48" t="s">
        <v>97</v>
      </c>
      <c r="B15" s="45"/>
      <c r="C15" s="64">
        <v>685500</v>
      </c>
      <c r="D15" s="50"/>
      <c r="E15" s="50">
        <v>816600</v>
      </c>
      <c r="F15" s="50"/>
      <c r="G15" s="50">
        <v>1474500</v>
      </c>
      <c r="H15" s="50"/>
      <c r="I15" s="50">
        <v>1730500</v>
      </c>
      <c r="J15" s="50"/>
      <c r="K15" s="50">
        <v>1505500</v>
      </c>
      <c r="L15" s="50"/>
      <c r="M15" s="50">
        <v>1836000</v>
      </c>
      <c r="N15" s="50"/>
      <c r="O15" s="50">
        <v>1952000</v>
      </c>
      <c r="P15" s="50"/>
      <c r="Q15" s="112">
        <v>2009500</v>
      </c>
      <c r="R15" s="50">
        <v>5309.76</v>
      </c>
      <c r="S15" s="50">
        <v>2788300</v>
      </c>
      <c r="T15" s="50"/>
      <c r="U15" s="50">
        <v>1801000</v>
      </c>
      <c r="V15" s="50"/>
      <c r="W15" s="50">
        <v>2074100</v>
      </c>
      <c r="X15" s="50"/>
      <c r="Y15" s="50">
        <v>3826500</v>
      </c>
      <c r="Z15" s="50"/>
      <c r="AA15" s="51">
        <f t="shared" si="1"/>
        <v>22500000</v>
      </c>
      <c r="AB15" s="51">
        <f t="shared" si="2"/>
        <v>5309.76</v>
      </c>
      <c r="AD15" s="31">
        <f t="shared" si="3"/>
        <v>22500000</v>
      </c>
      <c r="AE15" s="31">
        <f t="shared" si="4"/>
        <v>5309.76</v>
      </c>
      <c r="AF15" s="17">
        <f t="shared" si="5"/>
        <v>0</v>
      </c>
      <c r="AG15" s="17">
        <f t="shared" si="6"/>
        <v>0</v>
      </c>
      <c r="BA15" s="21"/>
    </row>
    <row r="16" spans="1:117" s="17" customFormat="1" ht="18" customHeight="1" x14ac:dyDescent="0.25">
      <c r="A16" s="52" t="s">
        <v>98</v>
      </c>
      <c r="B16" s="45" t="s">
        <v>99</v>
      </c>
      <c r="C16" s="46">
        <f t="shared" ref="C16:Z16" si="7">SUM(C17:C25)</f>
        <v>575284.06599999999</v>
      </c>
      <c r="D16" s="46">
        <f t="shared" si="7"/>
        <v>1757570.0664000013</v>
      </c>
      <c r="E16" s="46">
        <f t="shared" si="7"/>
        <v>680866.22799999989</v>
      </c>
      <c r="F16" s="46">
        <f t="shared" si="7"/>
        <v>1319900.324</v>
      </c>
      <c r="G16" s="46">
        <f t="shared" si="7"/>
        <v>1223137.966</v>
      </c>
      <c r="H16" s="46">
        <f t="shared" si="7"/>
        <v>1175283.2295999997</v>
      </c>
      <c r="I16" s="46">
        <f t="shared" si="7"/>
        <v>1432838.2644000002</v>
      </c>
      <c r="J16" s="46">
        <f t="shared" si="7"/>
        <v>2308454.0752000012</v>
      </c>
      <c r="K16" s="46">
        <f t="shared" si="7"/>
        <v>1243693.55</v>
      </c>
      <c r="L16" s="46">
        <f t="shared" si="7"/>
        <v>1673102.3711999999</v>
      </c>
      <c r="M16" s="46">
        <f t="shared" si="7"/>
        <v>1488078</v>
      </c>
      <c r="N16" s="46">
        <f t="shared" si="7"/>
        <v>2102745.7280000011</v>
      </c>
      <c r="O16" s="46">
        <f t="shared" si="7"/>
        <v>1565716.9464</v>
      </c>
      <c r="P16" s="46">
        <f t="shared" si="7"/>
        <v>1906643.513599999</v>
      </c>
      <c r="Q16" s="46">
        <f t="shared" si="7"/>
        <v>1596639.0876</v>
      </c>
      <c r="R16" s="46">
        <f t="shared" si="7"/>
        <v>1667583.4840000002</v>
      </c>
      <c r="S16" s="46">
        <f t="shared" si="7"/>
        <v>2191375.6691999999</v>
      </c>
      <c r="T16" s="46">
        <f t="shared" si="7"/>
        <v>2523609.5840000021</v>
      </c>
      <c r="U16" s="46">
        <f t="shared" si="7"/>
        <v>1461626.1072</v>
      </c>
      <c r="V16" s="46">
        <f t="shared" si="7"/>
        <v>1587320.4964000001</v>
      </c>
      <c r="W16" s="46">
        <f t="shared" si="7"/>
        <v>1646741.118</v>
      </c>
      <c r="X16" s="46">
        <f t="shared" si="7"/>
        <v>1698329.0795999998</v>
      </c>
      <c r="Y16" s="46">
        <f t="shared" si="7"/>
        <v>2972494.7732000002</v>
      </c>
      <c r="Z16" s="46">
        <f t="shared" si="7"/>
        <v>2824681.9551999988</v>
      </c>
      <c r="AA16" s="47">
        <f t="shared" si="1"/>
        <v>18078491.776000001</v>
      </c>
      <c r="AB16" s="47">
        <f t="shared" si="2"/>
        <v>22545223.907200001</v>
      </c>
      <c r="AC16" s="87"/>
      <c r="AD16" s="31">
        <f t="shared" si="3"/>
        <v>18078491.776000001</v>
      </c>
      <c r="AE16" s="31">
        <f t="shared" si="4"/>
        <v>22545223.907200001</v>
      </c>
      <c r="AF16" s="17">
        <f t="shared" si="5"/>
        <v>0</v>
      </c>
      <c r="AG16" s="17">
        <f t="shared" si="6"/>
        <v>0</v>
      </c>
      <c r="BA16" s="21"/>
    </row>
    <row r="17" spans="1:117" s="19" customFormat="1" ht="18" customHeight="1" outlineLevel="1" x14ac:dyDescent="0.25">
      <c r="A17" s="48" t="s">
        <v>89</v>
      </c>
      <c r="B17" s="53"/>
      <c r="C17" s="64">
        <v>0</v>
      </c>
      <c r="D17" s="50">
        <v>551543.48080000002</v>
      </c>
      <c r="E17" s="50">
        <v>0</v>
      </c>
      <c r="F17" s="50">
        <v>416060.22639999999</v>
      </c>
      <c r="G17" s="50">
        <v>0</v>
      </c>
      <c r="H17" s="50">
        <v>625749.66480000003</v>
      </c>
      <c r="I17" s="50">
        <v>0</v>
      </c>
      <c r="J17" s="50">
        <v>1070676.4016</v>
      </c>
      <c r="K17" s="50">
        <v>0</v>
      </c>
      <c r="L17" s="50">
        <v>696346.84080000001</v>
      </c>
      <c r="M17" s="50">
        <v>0</v>
      </c>
      <c r="N17" s="50">
        <v>690721.7304</v>
      </c>
      <c r="O17" s="50">
        <v>0</v>
      </c>
      <c r="P17" s="50">
        <v>701346.43279999995</v>
      </c>
      <c r="Q17" s="50">
        <v>0</v>
      </c>
      <c r="R17" s="50">
        <v>524549.84400000004</v>
      </c>
      <c r="S17" s="50">
        <v>0</v>
      </c>
      <c r="T17" s="50">
        <v>743015.57200000109</v>
      </c>
      <c r="U17" s="50">
        <v>0</v>
      </c>
      <c r="V17" s="50">
        <v>580157.30240000004</v>
      </c>
      <c r="W17" s="50">
        <v>0</v>
      </c>
      <c r="X17" s="50">
        <v>571421.8432</v>
      </c>
      <c r="Y17" s="50">
        <v>0</v>
      </c>
      <c r="Z17" s="50">
        <v>713509.8672000001</v>
      </c>
      <c r="AA17" s="51">
        <f t="shared" si="1"/>
        <v>0</v>
      </c>
      <c r="AB17" s="51">
        <f t="shared" si="2"/>
        <v>7885099.2064000014</v>
      </c>
      <c r="AC17" s="19">
        <v>1.04</v>
      </c>
      <c r="AD17" s="31">
        <f t="shared" si="3"/>
        <v>0</v>
      </c>
      <c r="AE17" s="31">
        <f t="shared" si="4"/>
        <v>7885099.2064000014</v>
      </c>
      <c r="AF17" s="17">
        <f t="shared" si="5"/>
        <v>0</v>
      </c>
      <c r="AG17" s="17">
        <f t="shared" si="6"/>
        <v>0</v>
      </c>
      <c r="BA17" s="21"/>
    </row>
    <row r="18" spans="1:117" s="19" customFormat="1" ht="18" customHeight="1" outlineLevel="1" x14ac:dyDescent="0.25">
      <c r="A18" s="48" t="s">
        <v>90</v>
      </c>
      <c r="B18" s="53"/>
      <c r="C18" s="64">
        <v>0</v>
      </c>
      <c r="D18" s="50">
        <v>534518.3688000011</v>
      </c>
      <c r="E18" s="50">
        <v>0</v>
      </c>
      <c r="F18" s="50">
        <v>391183.62400000001</v>
      </c>
      <c r="G18" s="50">
        <v>0</v>
      </c>
      <c r="H18" s="50">
        <v>379821.364</v>
      </c>
      <c r="I18" s="50">
        <v>0</v>
      </c>
      <c r="J18" s="50">
        <v>424963.16720000003</v>
      </c>
      <c r="K18" s="50">
        <v>0</v>
      </c>
      <c r="L18" s="50">
        <v>336048.30479999998</v>
      </c>
      <c r="M18" s="50">
        <v>0</v>
      </c>
      <c r="N18" s="50">
        <v>556336.84080000105</v>
      </c>
      <c r="O18" s="50">
        <v>0</v>
      </c>
      <c r="P18" s="50">
        <v>385622.65040000004</v>
      </c>
      <c r="Q18" s="50">
        <v>0</v>
      </c>
      <c r="R18" s="50">
        <v>320077.5968</v>
      </c>
      <c r="S18" s="50">
        <v>0</v>
      </c>
      <c r="T18" s="50">
        <v>733699.64720000105</v>
      </c>
      <c r="U18" s="50">
        <v>0</v>
      </c>
      <c r="V18" s="50">
        <v>293899.97519999999</v>
      </c>
      <c r="W18" s="50">
        <v>0</v>
      </c>
      <c r="X18" s="50">
        <v>360267.61680000002</v>
      </c>
      <c r="Y18" s="50">
        <v>0</v>
      </c>
      <c r="Z18" s="50">
        <v>843332.84879999899</v>
      </c>
      <c r="AA18" s="51">
        <f t="shared" si="1"/>
        <v>0</v>
      </c>
      <c r="AB18" s="51">
        <f t="shared" si="2"/>
        <v>5559772.0048000021</v>
      </c>
      <c r="AD18" s="31">
        <f t="shared" si="3"/>
        <v>0</v>
      </c>
      <c r="AE18" s="31">
        <f t="shared" si="4"/>
        <v>5559772.0048000021</v>
      </c>
      <c r="AF18" s="17">
        <f t="shared" si="5"/>
        <v>0</v>
      </c>
      <c r="AG18" s="17">
        <f t="shared" si="6"/>
        <v>0</v>
      </c>
      <c r="BA18" s="21"/>
    </row>
    <row r="19" spans="1:117" s="19" customFormat="1" ht="18" customHeight="1" outlineLevel="1" x14ac:dyDescent="0.25">
      <c r="A19" s="48" t="s">
        <v>91</v>
      </c>
      <c r="B19" s="53"/>
      <c r="C19" s="64">
        <v>0</v>
      </c>
      <c r="D19" s="50">
        <v>558409.25919999997</v>
      </c>
      <c r="E19" s="50">
        <v>0</v>
      </c>
      <c r="F19" s="50">
        <v>414193.92560000002</v>
      </c>
      <c r="G19" s="50">
        <v>0</v>
      </c>
      <c r="H19" s="50">
        <v>45234.737600000102</v>
      </c>
      <c r="I19" s="50">
        <v>0</v>
      </c>
      <c r="J19" s="50">
        <v>640302.08320000104</v>
      </c>
      <c r="K19" s="50">
        <v>0</v>
      </c>
      <c r="L19" s="50">
        <v>511377.10000000003</v>
      </c>
      <c r="M19" s="50">
        <v>0</v>
      </c>
      <c r="N19" s="50">
        <v>679417.53359999997</v>
      </c>
      <c r="O19" s="50">
        <v>0</v>
      </c>
      <c r="P19" s="50">
        <v>661449.26639999892</v>
      </c>
      <c r="Q19" s="50">
        <v>0</v>
      </c>
      <c r="R19" s="50">
        <v>566733.86640000006</v>
      </c>
      <c r="S19" s="50">
        <v>0</v>
      </c>
      <c r="T19" s="50">
        <v>827357.90799999994</v>
      </c>
      <c r="U19" s="50">
        <v>0</v>
      </c>
      <c r="V19" s="50">
        <v>579285.50160000008</v>
      </c>
      <c r="W19" s="50">
        <v>0</v>
      </c>
      <c r="X19" s="50">
        <v>622265.35279999999</v>
      </c>
      <c r="Y19" s="50">
        <v>0</v>
      </c>
      <c r="Z19" s="50">
        <v>1100569.2879999999</v>
      </c>
      <c r="AA19" s="51">
        <f t="shared" si="1"/>
        <v>0</v>
      </c>
      <c r="AB19" s="51">
        <f t="shared" si="2"/>
        <v>7206595.8224000009</v>
      </c>
      <c r="AD19" s="31">
        <f t="shared" si="3"/>
        <v>0</v>
      </c>
      <c r="AE19" s="31">
        <f t="shared" si="4"/>
        <v>7206595.8224000009</v>
      </c>
      <c r="AF19" s="17">
        <f t="shared" si="5"/>
        <v>0</v>
      </c>
      <c r="AG19" s="17">
        <f t="shared" si="6"/>
        <v>0</v>
      </c>
      <c r="BA19" s="21"/>
    </row>
    <row r="20" spans="1:117" s="19" customFormat="1" ht="18" customHeight="1" outlineLevel="1" x14ac:dyDescent="0.25">
      <c r="A20" s="48" t="s">
        <v>92</v>
      </c>
      <c r="B20" s="53"/>
      <c r="C20" s="64">
        <v>0</v>
      </c>
      <c r="D20" s="50">
        <v>39028.142399999997</v>
      </c>
      <c r="E20" s="50">
        <v>0</v>
      </c>
      <c r="F20" s="50">
        <v>53523.132000000005</v>
      </c>
      <c r="G20" s="50">
        <v>0</v>
      </c>
      <c r="H20" s="50">
        <v>70943.007199999993</v>
      </c>
      <c r="I20" s="50">
        <v>0</v>
      </c>
      <c r="J20" s="50">
        <v>82080.762400000007</v>
      </c>
      <c r="K20" s="50">
        <v>0</v>
      </c>
      <c r="L20" s="50">
        <v>83000.236799999999</v>
      </c>
      <c r="M20" s="50">
        <v>0</v>
      </c>
      <c r="N20" s="50">
        <v>97217.151200000008</v>
      </c>
      <c r="O20" s="50">
        <v>0</v>
      </c>
      <c r="P20" s="50">
        <v>92227.688800000004</v>
      </c>
      <c r="Q20" s="50">
        <v>0</v>
      </c>
      <c r="R20" s="50">
        <v>107714.9112</v>
      </c>
      <c r="S20" s="50">
        <v>0</v>
      </c>
      <c r="T20" s="50">
        <v>80885.324000000008</v>
      </c>
      <c r="U20" s="50">
        <v>0</v>
      </c>
      <c r="V20" s="50">
        <v>74632.646400000012</v>
      </c>
      <c r="W20" s="50">
        <v>0</v>
      </c>
      <c r="X20" s="50">
        <v>73934.161599999992</v>
      </c>
      <c r="Y20" s="50">
        <v>0</v>
      </c>
      <c r="Z20" s="50">
        <v>72433.285600000003</v>
      </c>
      <c r="AA20" s="51">
        <f t="shared" si="1"/>
        <v>0</v>
      </c>
      <c r="AB20" s="51">
        <f t="shared" si="2"/>
        <v>927620.44959999993</v>
      </c>
      <c r="AD20" s="31">
        <f t="shared" si="3"/>
        <v>0</v>
      </c>
      <c r="AE20" s="31">
        <f t="shared" si="4"/>
        <v>927620.44959999993</v>
      </c>
      <c r="AF20" s="17">
        <f t="shared" si="5"/>
        <v>0</v>
      </c>
      <c r="AG20" s="17">
        <f t="shared" si="6"/>
        <v>0</v>
      </c>
      <c r="BA20" s="21"/>
    </row>
    <row r="21" spans="1:117" s="19" customFormat="1" ht="18" customHeight="1" outlineLevel="1" x14ac:dyDescent="0.25">
      <c r="A21" s="48" t="s">
        <v>93</v>
      </c>
      <c r="B21" s="53"/>
      <c r="C21" s="64">
        <v>0</v>
      </c>
      <c r="D21" s="50">
        <v>21963.760000000002</v>
      </c>
      <c r="E21" s="50">
        <v>0</v>
      </c>
      <c r="F21" s="50">
        <v>5607.8047999999999</v>
      </c>
      <c r="G21" s="50">
        <v>0</v>
      </c>
      <c r="H21" s="50">
        <v>21502.988000000001</v>
      </c>
      <c r="I21" s="50">
        <v>0</v>
      </c>
      <c r="J21" s="50">
        <v>37598.017600000006</v>
      </c>
      <c r="K21" s="50">
        <v>0</v>
      </c>
      <c r="L21" s="50">
        <v>10185.874400000001</v>
      </c>
      <c r="M21" s="50">
        <v>0</v>
      </c>
      <c r="N21" s="50">
        <v>33523.640800000001</v>
      </c>
      <c r="O21" s="50">
        <v>0</v>
      </c>
      <c r="P21" s="50">
        <v>23111.025600000001</v>
      </c>
      <c r="Q21" s="50">
        <v>0</v>
      </c>
      <c r="R21" s="50">
        <v>31992.802400000004</v>
      </c>
      <c r="S21" s="50">
        <v>0</v>
      </c>
      <c r="T21" s="50">
        <v>36382.070400000004</v>
      </c>
      <c r="U21" s="50">
        <v>0</v>
      </c>
      <c r="V21" s="50">
        <v>10864.120800000001</v>
      </c>
      <c r="W21" s="50">
        <v>0</v>
      </c>
      <c r="X21" s="50">
        <v>26846.175200000001</v>
      </c>
      <c r="Y21" s="50">
        <v>0</v>
      </c>
      <c r="Z21" s="50">
        <v>34051.607199999999</v>
      </c>
      <c r="AA21" s="51">
        <f t="shared" si="1"/>
        <v>0</v>
      </c>
      <c r="AB21" s="51">
        <f t="shared" si="2"/>
        <v>293629.8872</v>
      </c>
      <c r="AD21" s="31">
        <f t="shared" si="3"/>
        <v>0</v>
      </c>
      <c r="AE21" s="31">
        <f t="shared" si="4"/>
        <v>293629.8872</v>
      </c>
      <c r="AF21" s="17">
        <f t="shared" si="5"/>
        <v>0</v>
      </c>
      <c r="AG21" s="17">
        <f t="shared" si="6"/>
        <v>0</v>
      </c>
      <c r="BA21" s="21"/>
    </row>
    <row r="22" spans="1:117" s="19" customFormat="1" ht="18" customHeight="1" outlineLevel="1" x14ac:dyDescent="0.25">
      <c r="A22" s="48" t="s">
        <v>94</v>
      </c>
      <c r="B22" s="53"/>
      <c r="C22" s="64">
        <v>0</v>
      </c>
      <c r="D22" s="50">
        <v>1408.1912</v>
      </c>
      <c r="E22" s="50">
        <v>0</v>
      </c>
      <c r="F22" s="50">
        <v>10499.871200000001</v>
      </c>
      <c r="G22" s="50">
        <v>0</v>
      </c>
      <c r="H22" s="50">
        <v>379.44400000000002</v>
      </c>
      <c r="I22" s="50">
        <v>0</v>
      </c>
      <c r="J22" s="50">
        <v>424.50720000000001</v>
      </c>
      <c r="K22" s="50">
        <v>0</v>
      </c>
      <c r="L22" s="50">
        <v>638.4144</v>
      </c>
      <c r="M22" s="50">
        <v>0</v>
      </c>
      <c r="N22" s="50">
        <v>1274.5304000000001</v>
      </c>
      <c r="O22" s="50">
        <v>0</v>
      </c>
      <c r="P22" s="50">
        <v>1232.0672000000002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380.86880000000002</v>
      </c>
      <c r="W22" s="50">
        <v>0</v>
      </c>
      <c r="X22" s="50">
        <v>232.77279999999999</v>
      </c>
      <c r="Y22" s="50">
        <v>0</v>
      </c>
      <c r="Z22" s="50">
        <v>4722.2864</v>
      </c>
      <c r="AA22" s="51">
        <f t="shared" si="1"/>
        <v>0</v>
      </c>
      <c r="AB22" s="51">
        <f t="shared" si="2"/>
        <v>21192.953600000001</v>
      </c>
      <c r="AD22" s="31">
        <f t="shared" si="3"/>
        <v>0</v>
      </c>
      <c r="AE22" s="31">
        <f t="shared" si="4"/>
        <v>21192.953600000001</v>
      </c>
      <c r="AF22" s="17">
        <f t="shared" si="5"/>
        <v>0</v>
      </c>
      <c r="AG22" s="17">
        <f t="shared" si="6"/>
        <v>0</v>
      </c>
      <c r="BA22" s="21"/>
    </row>
    <row r="23" spans="1:117" s="19" customFormat="1" ht="18" customHeight="1" outlineLevel="1" x14ac:dyDescent="0.25">
      <c r="A23" s="48" t="s">
        <v>95</v>
      </c>
      <c r="B23" s="53"/>
      <c r="C23" s="64">
        <v>0</v>
      </c>
      <c r="D23" s="50">
        <v>8325.0439999999999</v>
      </c>
      <c r="E23" s="50">
        <v>0</v>
      </c>
      <c r="F23" s="50">
        <v>0</v>
      </c>
      <c r="G23" s="50">
        <v>0</v>
      </c>
      <c r="H23" s="50">
        <v>1099.384</v>
      </c>
      <c r="I23" s="50">
        <v>0</v>
      </c>
      <c r="J23" s="50">
        <v>1618.9160000000002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56375.966400000005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1">
        <f t="shared" si="1"/>
        <v>0</v>
      </c>
      <c r="AB23" s="51">
        <f t="shared" si="2"/>
        <v>67419.310400000002</v>
      </c>
      <c r="AD23" s="31">
        <f t="shared" si="3"/>
        <v>0</v>
      </c>
      <c r="AE23" s="31">
        <f t="shared" si="4"/>
        <v>67419.310400000002</v>
      </c>
      <c r="AF23" s="17">
        <f t="shared" si="5"/>
        <v>0</v>
      </c>
      <c r="AG23" s="17">
        <f t="shared" si="6"/>
        <v>0</v>
      </c>
      <c r="BA23" s="21"/>
    </row>
    <row r="24" spans="1:117" s="19" customFormat="1" ht="18" customHeight="1" outlineLevel="1" x14ac:dyDescent="0.25">
      <c r="A24" s="48" t="s">
        <v>97</v>
      </c>
      <c r="B24" s="53"/>
      <c r="C24" s="64">
        <v>565070.11600000004</v>
      </c>
      <c r="D24" s="50">
        <v>0</v>
      </c>
      <c r="E24" s="50">
        <v>668698.88799999992</v>
      </c>
      <c r="F24" s="50">
        <v>0</v>
      </c>
      <c r="G24" s="50">
        <v>1201167.916</v>
      </c>
      <c r="H24" s="50">
        <v>0</v>
      </c>
      <c r="I24" s="50">
        <v>1407053.8144000003</v>
      </c>
      <c r="J24" s="50">
        <v>0</v>
      </c>
      <c r="K24" s="50">
        <v>1221261.6000000001</v>
      </c>
      <c r="L24" s="50">
        <v>-1808.5600000000002</v>
      </c>
      <c r="M24" s="50">
        <v>1460721.6</v>
      </c>
      <c r="N24" s="50">
        <v>-867.07920000000001</v>
      </c>
      <c r="O24" s="50">
        <v>1536632.1464</v>
      </c>
      <c r="P24" s="50">
        <f>(-2692.44)*1.04</f>
        <v>-2800.1376</v>
      </c>
      <c r="Q24" s="50">
        <v>1566697.5375999999</v>
      </c>
      <c r="R24" s="50">
        <f>(6687.45-7387.2+25550.42)*1.04</f>
        <v>25844.696799999998</v>
      </c>
      <c r="S24" s="50">
        <v>2149829.9992</v>
      </c>
      <c r="T24" s="50">
        <f>(-2846.96+2.38+49179.14)*1.04</f>
        <v>48187.9424</v>
      </c>
      <c r="U24" s="50">
        <v>1434791.2072000001</v>
      </c>
      <c r="V24" s="50">
        <f>(-1255.99+11026.02)*1.04</f>
        <v>10160.831200000001</v>
      </c>
      <c r="W24" s="50">
        <v>1615837.0279999999</v>
      </c>
      <c r="X24" s="50">
        <f>(-6011.68+9898.61)*1.04</f>
        <v>4042.4072000000006</v>
      </c>
      <c r="Y24" s="50">
        <v>2915479.9232000001</v>
      </c>
      <c r="Z24" s="50">
        <f>(-856.59+12798.14)*1.04</f>
        <v>12419.212</v>
      </c>
      <c r="AA24" s="51">
        <f t="shared" si="1"/>
        <v>17743241.776000001</v>
      </c>
      <c r="AB24" s="51">
        <f t="shared" si="2"/>
        <v>95179.3128</v>
      </c>
      <c r="AD24" s="31">
        <f t="shared" si="3"/>
        <v>17743241.776000001</v>
      </c>
      <c r="AE24" s="31">
        <f t="shared" si="4"/>
        <v>95179.3128</v>
      </c>
      <c r="AF24" s="17">
        <f t="shared" si="5"/>
        <v>0</v>
      </c>
      <c r="AG24" s="17">
        <f t="shared" si="6"/>
        <v>0</v>
      </c>
      <c r="BA24" s="21"/>
    </row>
    <row r="25" spans="1:117" s="19" customFormat="1" ht="18" customHeight="1" outlineLevel="1" x14ac:dyDescent="0.25">
      <c r="A25" s="48" t="s">
        <v>100</v>
      </c>
      <c r="B25" s="53"/>
      <c r="C25" s="64">
        <v>10213.950000000001</v>
      </c>
      <c r="D25" s="50">
        <v>42373.82</v>
      </c>
      <c r="E25" s="50">
        <v>12167.34</v>
      </c>
      <c r="F25" s="50">
        <v>28831.74</v>
      </c>
      <c r="G25" s="50">
        <v>21970.05</v>
      </c>
      <c r="H25" s="50">
        <v>30552.639999999999</v>
      </c>
      <c r="I25" s="50">
        <v>25784.45</v>
      </c>
      <c r="J25" s="50">
        <v>50790.22</v>
      </c>
      <c r="K25" s="50">
        <v>22431.95</v>
      </c>
      <c r="L25" s="50">
        <v>37314.160000000003</v>
      </c>
      <c r="M25" s="50">
        <v>27356.400000000001</v>
      </c>
      <c r="N25" s="50">
        <v>45121.38</v>
      </c>
      <c r="O25" s="50">
        <v>29084.799999999999</v>
      </c>
      <c r="P25" s="50">
        <v>44454.52</v>
      </c>
      <c r="Q25" s="50">
        <v>29941.55</v>
      </c>
      <c r="R25" s="50">
        <v>34293.800000000003</v>
      </c>
      <c r="S25" s="50">
        <v>41545.67</v>
      </c>
      <c r="T25" s="50">
        <v>54081.120000000003</v>
      </c>
      <c r="U25" s="50">
        <v>26834.9</v>
      </c>
      <c r="V25" s="50">
        <v>37939.25</v>
      </c>
      <c r="W25" s="50">
        <v>30904.09</v>
      </c>
      <c r="X25" s="50">
        <v>39318.75</v>
      </c>
      <c r="Y25" s="50">
        <v>57014.85</v>
      </c>
      <c r="Z25" s="50">
        <v>43643.56</v>
      </c>
      <c r="AA25" s="51">
        <f t="shared" si="1"/>
        <v>335249.99999999994</v>
      </c>
      <c r="AB25" s="51">
        <f t="shared" si="2"/>
        <v>488714.95999999996</v>
      </c>
      <c r="AC25" s="20"/>
      <c r="AD25" s="31">
        <f t="shared" si="3"/>
        <v>335249.99999999994</v>
      </c>
      <c r="AE25" s="31">
        <f t="shared" si="4"/>
        <v>488714.95999999996</v>
      </c>
      <c r="AF25" s="17">
        <f t="shared" si="5"/>
        <v>0</v>
      </c>
      <c r="AG25" s="17">
        <f t="shared" si="6"/>
        <v>0</v>
      </c>
      <c r="BA25" s="21"/>
    </row>
    <row r="26" spans="1:117" s="19" customFormat="1" ht="18" customHeight="1" x14ac:dyDescent="0.25">
      <c r="A26" s="52" t="s">
        <v>101</v>
      </c>
      <c r="B26" s="45" t="s">
        <v>102</v>
      </c>
      <c r="C26" s="54">
        <f t="shared" ref="C26:Z26" si="8">C6-C16</f>
        <v>110215.93400000001</v>
      </c>
      <c r="D26" s="54">
        <f t="shared" si="8"/>
        <v>547124.67239999864</v>
      </c>
      <c r="E26" s="54">
        <f t="shared" si="8"/>
        <v>135733.77200000011</v>
      </c>
      <c r="F26" s="54">
        <f t="shared" si="8"/>
        <v>346293.56559999962</v>
      </c>
      <c r="G26" s="54">
        <f t="shared" si="8"/>
        <v>251362.03399999999</v>
      </c>
      <c r="H26" s="54">
        <f t="shared" si="8"/>
        <v>354316.6772000005</v>
      </c>
      <c r="I26" s="54">
        <f t="shared" si="8"/>
        <v>297661.73559999978</v>
      </c>
      <c r="J26" s="54">
        <f t="shared" si="8"/>
        <v>532930.76719999732</v>
      </c>
      <c r="K26" s="54">
        <f t="shared" si="8"/>
        <v>261806.44999999995</v>
      </c>
      <c r="L26" s="54">
        <f t="shared" si="8"/>
        <v>397984.15879999893</v>
      </c>
      <c r="M26" s="54">
        <f t="shared" si="8"/>
        <v>347922</v>
      </c>
      <c r="N26" s="54">
        <f t="shared" si="8"/>
        <v>503331.42559999786</v>
      </c>
      <c r="O26" s="54">
        <f t="shared" si="8"/>
        <v>382533.05359999998</v>
      </c>
      <c r="P26" s="54">
        <f t="shared" si="8"/>
        <v>436694.19359999965</v>
      </c>
      <c r="Q26" s="54">
        <f t="shared" si="8"/>
        <v>347451.6324</v>
      </c>
      <c r="R26" s="54">
        <f t="shared" si="8"/>
        <v>422408.81520000007</v>
      </c>
      <c r="S26" s="54">
        <f t="shared" si="8"/>
        <v>480908.61079999991</v>
      </c>
      <c r="T26" s="54">
        <f t="shared" si="8"/>
        <v>656889.66519999458</v>
      </c>
      <c r="U26" s="54">
        <f t="shared" si="8"/>
        <v>314648.89280000003</v>
      </c>
      <c r="V26" s="54">
        <f t="shared" si="8"/>
        <v>404103.79319999903</v>
      </c>
      <c r="W26" s="54">
        <f t="shared" si="8"/>
        <v>396758.88199999998</v>
      </c>
      <c r="X26" s="54">
        <f t="shared" si="8"/>
        <v>466845.24399999902</v>
      </c>
      <c r="Y26" s="54">
        <f t="shared" si="8"/>
        <v>808780.22679999983</v>
      </c>
      <c r="Z26" s="54">
        <f t="shared" si="8"/>
        <v>786484.26520000212</v>
      </c>
      <c r="AA26" s="47">
        <f t="shared" si="1"/>
        <v>4135783.223999999</v>
      </c>
      <c r="AB26" s="47">
        <f t="shared" si="2"/>
        <v>5855407.2431999873</v>
      </c>
      <c r="AD26" s="31">
        <f t="shared" si="3"/>
        <v>4135783.223999999</v>
      </c>
      <c r="AE26" s="31">
        <f t="shared" si="4"/>
        <v>5855407.2431999873</v>
      </c>
      <c r="AF26" s="55">
        <f>AD6-AD16-AA26</f>
        <v>0</v>
      </c>
      <c r="AG26" s="55">
        <f>AE6-AE16-AB26</f>
        <v>0</v>
      </c>
      <c r="BA26" s="21"/>
    </row>
    <row r="27" spans="1:117" s="20" customFormat="1" ht="18" customHeight="1" x14ac:dyDescent="0.25">
      <c r="A27" s="56" t="s">
        <v>210</v>
      </c>
      <c r="B27" s="57" t="s">
        <v>104</v>
      </c>
      <c r="C27" s="59">
        <f t="shared" ref="C27:AB27" si="9">C26/C6</f>
        <v>0.16078181473377098</v>
      </c>
      <c r="D27" s="59">
        <f t="shared" si="9"/>
        <v>0.23739572238745749</v>
      </c>
      <c r="E27" s="59">
        <f t="shared" si="9"/>
        <v>0.16621818760715174</v>
      </c>
      <c r="F27" s="59">
        <f t="shared" si="9"/>
        <v>0.20783509515998388</v>
      </c>
      <c r="G27" s="59">
        <f t="shared" si="9"/>
        <v>0.17047272566971855</v>
      </c>
      <c r="H27" s="59">
        <f t="shared" si="9"/>
        <v>0.23164010119564454</v>
      </c>
      <c r="I27" s="59">
        <f t="shared" si="9"/>
        <v>0.17200909309448123</v>
      </c>
      <c r="J27" s="59">
        <f t="shared" si="9"/>
        <v>0.1875602203712233</v>
      </c>
      <c r="K27" s="59">
        <f t="shared" si="9"/>
        <v>0.17389999999999997</v>
      </c>
      <c r="L27" s="59">
        <f t="shared" si="9"/>
        <v>0.19216201401300173</v>
      </c>
      <c r="M27" s="59">
        <f t="shared" si="9"/>
        <v>0.1895</v>
      </c>
      <c r="N27" s="59">
        <f t="shared" si="9"/>
        <v>0.19313757649296867</v>
      </c>
      <c r="O27" s="59">
        <f t="shared" si="9"/>
        <v>0.19634700556910048</v>
      </c>
      <c r="P27" s="59">
        <f t="shared" si="9"/>
        <v>0.18635563805346506</v>
      </c>
      <c r="Q27" s="59">
        <f t="shared" si="9"/>
        <v>0.17872192322382979</v>
      </c>
      <c r="R27" s="59">
        <f t="shared" si="9"/>
        <v>0.2021102256509214</v>
      </c>
      <c r="S27" s="59">
        <f t="shared" si="9"/>
        <v>0.17996162099939456</v>
      </c>
      <c r="T27" s="59">
        <f t="shared" si="9"/>
        <v>0.206536651554068</v>
      </c>
      <c r="U27" s="59">
        <f t="shared" si="9"/>
        <v>0.17713974063700724</v>
      </c>
      <c r="V27" s="59">
        <f t="shared" si="9"/>
        <v>0.20292199673891093</v>
      </c>
      <c r="W27" s="59">
        <f t="shared" si="9"/>
        <v>0.19415653633471983</v>
      </c>
      <c r="X27" s="59">
        <f t="shared" si="9"/>
        <v>0.21561554601468916</v>
      </c>
      <c r="Y27" s="59">
        <f t="shared" si="9"/>
        <v>0.21389087723056371</v>
      </c>
      <c r="Z27" s="59">
        <f t="shared" si="9"/>
        <v>0.21779231893481907</v>
      </c>
      <c r="AA27" s="101">
        <f t="shared" si="9"/>
        <v>0.18617682656760121</v>
      </c>
      <c r="AB27" s="101">
        <f t="shared" si="9"/>
        <v>0.20617172950107202</v>
      </c>
      <c r="AC27" s="61"/>
      <c r="AD27" s="62">
        <f>AD26/AD6</f>
        <v>0.18617682656760121</v>
      </c>
      <c r="AE27" s="62">
        <f>AE26/AE6</f>
        <v>0.20617172950107202</v>
      </c>
      <c r="AF27" s="17">
        <f>AA27-AD27</f>
        <v>0</v>
      </c>
      <c r="AG27" s="17">
        <f>AB27-AE27</f>
        <v>0</v>
      </c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</row>
    <row r="28" spans="1:117" s="19" customFormat="1" ht="18" customHeight="1" x14ac:dyDescent="0.25">
      <c r="A28" s="63" t="s">
        <v>105</v>
      </c>
      <c r="B28" s="53">
        <v>5</v>
      </c>
      <c r="C28" s="64">
        <f t="shared" ref="C28:N28" si="10">ROUND(C6*0.88%+C6*0.07%,2)</f>
        <v>6512.25</v>
      </c>
      <c r="D28" s="64">
        <f t="shared" si="10"/>
        <v>21894.6</v>
      </c>
      <c r="E28" s="64">
        <f t="shared" si="10"/>
        <v>7757.7</v>
      </c>
      <c r="F28" s="64">
        <f t="shared" si="10"/>
        <v>15828.84</v>
      </c>
      <c r="G28" s="64">
        <f t="shared" si="10"/>
        <v>14007.75</v>
      </c>
      <c r="H28" s="64">
        <f t="shared" si="10"/>
        <v>14531.2</v>
      </c>
      <c r="I28" s="64">
        <f t="shared" si="10"/>
        <v>16439.75</v>
      </c>
      <c r="J28" s="64">
        <f t="shared" si="10"/>
        <v>26993.16</v>
      </c>
      <c r="K28" s="64">
        <f t="shared" si="10"/>
        <v>14302.25</v>
      </c>
      <c r="L28" s="64">
        <f t="shared" si="10"/>
        <v>19675.32</v>
      </c>
      <c r="M28" s="64">
        <f t="shared" si="10"/>
        <v>17442</v>
      </c>
      <c r="N28" s="64">
        <f t="shared" si="10"/>
        <v>24757.73</v>
      </c>
      <c r="O28" s="64">
        <v>18544</v>
      </c>
      <c r="P28" s="64">
        <f>ROUND(P6*0.88%+P6*0.07%,2)</f>
        <v>22261.71</v>
      </c>
      <c r="Q28" s="64">
        <v>19090.25</v>
      </c>
      <c r="R28" s="64">
        <f>ROUND(R6*0.88%+R6*0.07%,2)</f>
        <v>19854.93</v>
      </c>
      <c r="S28" s="64">
        <v>26488.85</v>
      </c>
      <c r="T28" s="64">
        <f>ROUND(T6*0.88%+T6*0.07%,2)</f>
        <v>30214.74</v>
      </c>
      <c r="U28" s="64">
        <v>17109.5</v>
      </c>
      <c r="V28" s="64">
        <f>ROUND(V6*0.88%+V6*0.07%,2)</f>
        <v>18918.53</v>
      </c>
      <c r="W28" s="64">
        <v>19703.95</v>
      </c>
      <c r="X28" s="64">
        <f>ROUND(X6*0.88%+X6*0.07%,2)</f>
        <v>20569.16</v>
      </c>
      <c r="Y28" s="64">
        <v>36351.75</v>
      </c>
      <c r="Z28" s="64">
        <f>ROUND(Z6*0.88%+Z6*0.07%,2)</f>
        <v>34306.080000000002</v>
      </c>
      <c r="AA28" s="51">
        <f t="shared" ref="AA28:AA91" si="11">C28+E28+G28+I28+K28+M28+O28+Q28+S28+U28+W28+Y28</f>
        <v>213750</v>
      </c>
      <c r="AB28" s="51">
        <f t="shared" ref="AB28:AB91" si="12">D28+F28+H28+J28+L28+N28+P28+R28+T28+V28+X28+Z28</f>
        <v>269806</v>
      </c>
      <c r="AD28" s="31">
        <f t="shared" ref="AD28:AD91" si="13">SUMIF($C$5:$Z$5,$AD$5,C28:Z28)</f>
        <v>213750</v>
      </c>
      <c r="AE28" s="31">
        <f t="shared" ref="AE28:AE91" si="14">SUMIF($C$5:$Z$5,$AD$5,D28:AA28)</f>
        <v>269806</v>
      </c>
      <c r="AF28" s="17">
        <f>AA28-AD28</f>
        <v>0</v>
      </c>
      <c r="AG28" s="17">
        <f>AB28-AE28</f>
        <v>0</v>
      </c>
      <c r="BA28" s="21"/>
    </row>
    <row r="29" spans="1:117" s="21" customFormat="1" ht="18" customHeight="1" x14ac:dyDescent="0.25">
      <c r="A29" s="52" t="s">
        <v>106</v>
      </c>
      <c r="B29" s="45">
        <v>6</v>
      </c>
      <c r="C29" s="65">
        <f t="shared" ref="C29:Z29" si="15">SUM(C30:C101)-C30-C33-C42-C53-C65</f>
        <v>139702.59</v>
      </c>
      <c r="D29" s="65">
        <f t="shared" si="15"/>
        <v>150436.4</v>
      </c>
      <c r="E29" s="65">
        <f t="shared" si="15"/>
        <v>120071.81</v>
      </c>
      <c r="F29" s="65">
        <f t="shared" si="15"/>
        <v>120457.70000000003</v>
      </c>
      <c r="G29" s="65">
        <f t="shared" si="15"/>
        <v>157470.63999999998</v>
      </c>
      <c r="H29" s="65">
        <f t="shared" si="15"/>
        <v>148748.79999999999</v>
      </c>
      <c r="I29" s="65">
        <f t="shared" si="15"/>
        <v>148978.88999999998</v>
      </c>
      <c r="J29" s="65">
        <f t="shared" si="15"/>
        <v>197574.83000000005</v>
      </c>
      <c r="K29" s="65">
        <f t="shared" si="15"/>
        <v>145334.68</v>
      </c>
      <c r="L29" s="65">
        <f t="shared" si="15"/>
        <v>162468.69000000003</v>
      </c>
      <c r="M29" s="65">
        <f t="shared" si="15"/>
        <v>148318.57999999999</v>
      </c>
      <c r="N29" s="65">
        <f t="shared" si="15"/>
        <v>137399.21999999997</v>
      </c>
      <c r="O29" s="65">
        <f t="shared" si="15"/>
        <v>151469.31999999998</v>
      </c>
      <c r="P29" s="65">
        <f t="shared" si="15"/>
        <v>163194.72999999998</v>
      </c>
      <c r="Q29" s="65">
        <f t="shared" si="15"/>
        <v>156956.93</v>
      </c>
      <c r="R29" s="65">
        <f t="shared" si="15"/>
        <v>134300.66999999995</v>
      </c>
      <c r="S29" s="65">
        <f t="shared" si="15"/>
        <v>188992.53</v>
      </c>
      <c r="T29" s="65">
        <f t="shared" si="15"/>
        <v>165765.93</v>
      </c>
      <c r="U29" s="65">
        <f t="shared" si="15"/>
        <v>158055.34</v>
      </c>
      <c r="V29" s="65">
        <f t="shared" si="15"/>
        <v>124124.76</v>
      </c>
      <c r="W29" s="65">
        <f t="shared" si="15"/>
        <v>161970.99</v>
      </c>
      <c r="X29" s="65">
        <f t="shared" si="15"/>
        <v>148073.96</v>
      </c>
      <c r="Y29" s="65">
        <f t="shared" si="15"/>
        <v>184334.49000000005</v>
      </c>
      <c r="Z29" s="65">
        <f t="shared" si="15"/>
        <v>161742.56</v>
      </c>
      <c r="AA29" s="47">
        <f t="shared" si="11"/>
        <v>1861656.7899999998</v>
      </c>
      <c r="AB29" s="47">
        <f t="shared" si="12"/>
        <v>1814288.25</v>
      </c>
      <c r="AD29" s="31">
        <f t="shared" si="13"/>
        <v>1861656.7899999998</v>
      </c>
      <c r="AE29" s="31">
        <f t="shared" si="14"/>
        <v>1814288.25</v>
      </c>
      <c r="AF29" s="17">
        <f>AD29-(SUM(AA30:AA101)-SUM(AA30,AA33,AA42,AA53,AA65))</f>
        <v>0</v>
      </c>
      <c r="AG29" s="17">
        <f>AE29-(SUM(AB30:AB101)-SUM(AB30,AB33,AB42,AB53,AB65))</f>
        <v>0</v>
      </c>
      <c r="BA29" s="66"/>
    </row>
    <row r="30" spans="1:117" s="17" customFormat="1" ht="18" customHeight="1" outlineLevel="1" x14ac:dyDescent="0.25">
      <c r="A30" s="67" t="s">
        <v>107</v>
      </c>
      <c r="B30" s="45"/>
      <c r="C30" s="65">
        <f t="shared" ref="C30:Z30" si="16">SUM(C31:C32)</f>
        <v>86510.19</v>
      </c>
      <c r="D30" s="65">
        <f t="shared" si="16"/>
        <v>105348.29</v>
      </c>
      <c r="E30" s="65">
        <f t="shared" si="16"/>
        <v>68499.41</v>
      </c>
      <c r="F30" s="65">
        <f t="shared" si="16"/>
        <v>67696.36</v>
      </c>
      <c r="G30" s="65">
        <f t="shared" si="16"/>
        <v>82668.239999999991</v>
      </c>
      <c r="H30" s="65">
        <f t="shared" si="16"/>
        <v>85581.5</v>
      </c>
      <c r="I30" s="65">
        <f t="shared" si="16"/>
        <v>93704.489999999991</v>
      </c>
      <c r="J30" s="65">
        <f t="shared" si="16"/>
        <v>114203.5</v>
      </c>
      <c r="K30" s="65">
        <f t="shared" si="16"/>
        <v>90480.28</v>
      </c>
      <c r="L30" s="65">
        <f t="shared" si="16"/>
        <v>96457.5</v>
      </c>
      <c r="M30" s="65">
        <f t="shared" si="16"/>
        <v>93464.18</v>
      </c>
      <c r="N30" s="65">
        <f t="shared" si="16"/>
        <v>85274.37</v>
      </c>
      <c r="O30" s="65">
        <f t="shared" si="16"/>
        <v>96614.92</v>
      </c>
      <c r="P30" s="65">
        <f t="shared" si="16"/>
        <v>97289.5</v>
      </c>
      <c r="Q30" s="65">
        <f t="shared" si="16"/>
        <v>101682.53</v>
      </c>
      <c r="R30" s="65">
        <f t="shared" si="16"/>
        <v>85358.18</v>
      </c>
      <c r="S30" s="65">
        <f t="shared" si="16"/>
        <v>114138.13</v>
      </c>
      <c r="T30" s="65">
        <f t="shared" si="16"/>
        <v>94633.5</v>
      </c>
      <c r="U30" s="65">
        <f t="shared" si="16"/>
        <v>102000.94</v>
      </c>
      <c r="V30" s="65">
        <f t="shared" si="16"/>
        <v>77907.5</v>
      </c>
      <c r="W30" s="65">
        <f t="shared" si="16"/>
        <v>106696.59</v>
      </c>
      <c r="X30" s="65">
        <f t="shared" si="16"/>
        <v>84260.5</v>
      </c>
      <c r="Y30" s="65">
        <f t="shared" si="16"/>
        <v>129480.09</v>
      </c>
      <c r="Z30" s="65">
        <f t="shared" si="16"/>
        <v>87808.5</v>
      </c>
      <c r="AA30" s="47">
        <f t="shared" si="11"/>
        <v>1165939.99</v>
      </c>
      <c r="AB30" s="47">
        <f t="shared" si="12"/>
        <v>1081819.2</v>
      </c>
      <c r="AC30" s="21"/>
      <c r="AD30" s="31">
        <f t="shared" si="13"/>
        <v>1165939.99</v>
      </c>
      <c r="AE30" s="31">
        <f t="shared" si="14"/>
        <v>1081819.2</v>
      </c>
      <c r="AF30" s="17">
        <f t="shared" ref="AF30:AF93" si="17">AA30-AD30</f>
        <v>0</v>
      </c>
      <c r="AG30" s="17">
        <f t="shared" ref="AG30:AG93" si="18">AB30-AE30</f>
        <v>0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66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</row>
    <row r="31" spans="1:117" s="19" customFormat="1" ht="18" customHeight="1" outlineLevel="2" x14ac:dyDescent="0.25">
      <c r="A31" s="48" t="s">
        <v>108</v>
      </c>
      <c r="B31" s="53"/>
      <c r="C31" s="64">
        <v>42127.5</v>
      </c>
      <c r="D31" s="68">
        <v>38308.14</v>
      </c>
      <c r="E31" s="68">
        <v>42127.5</v>
      </c>
      <c r="F31" s="68">
        <v>40967.360000000001</v>
      </c>
      <c r="G31" s="68">
        <v>42127.5</v>
      </c>
      <c r="H31" s="50">
        <v>42127.5</v>
      </c>
      <c r="I31" s="68">
        <v>46767.5</v>
      </c>
      <c r="J31" s="68">
        <v>40427.5</v>
      </c>
      <c r="K31" s="68">
        <v>46867.5</v>
      </c>
      <c r="L31" s="68">
        <v>43527.5</v>
      </c>
      <c r="M31" s="68">
        <v>46867.5</v>
      </c>
      <c r="N31" s="68">
        <v>54159.37</v>
      </c>
      <c r="O31" s="68">
        <v>46867.5</v>
      </c>
      <c r="P31" s="68">
        <v>53227.5</v>
      </c>
      <c r="Q31" s="68">
        <v>46967.5</v>
      </c>
      <c r="R31" s="68">
        <v>48037.18</v>
      </c>
      <c r="S31" s="68">
        <v>47167.5</v>
      </c>
      <c r="T31" s="68">
        <v>38427.5</v>
      </c>
      <c r="U31" s="68">
        <v>47167.5</v>
      </c>
      <c r="V31" s="68">
        <v>41027.5</v>
      </c>
      <c r="W31" s="68">
        <v>47167.5</v>
      </c>
      <c r="X31" s="68">
        <v>42627.5</v>
      </c>
      <c r="Y31" s="68">
        <v>47217.5</v>
      </c>
      <c r="Z31" s="68">
        <v>44708.5</v>
      </c>
      <c r="AA31" s="51">
        <f t="shared" si="11"/>
        <v>549440</v>
      </c>
      <c r="AB31" s="51">
        <f t="shared" si="12"/>
        <v>527573.05000000005</v>
      </c>
      <c r="AC31" s="22"/>
      <c r="AD31" s="31">
        <f t="shared" si="13"/>
        <v>549440</v>
      </c>
      <c r="AE31" s="31">
        <f t="shared" si="14"/>
        <v>527573.05000000005</v>
      </c>
      <c r="AF31" s="17">
        <f t="shared" si="17"/>
        <v>0</v>
      </c>
      <c r="AG31" s="17">
        <f t="shared" si="18"/>
        <v>0</v>
      </c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61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</row>
    <row r="32" spans="1:117" s="19" customFormat="1" ht="18" customHeight="1" outlineLevel="2" x14ac:dyDescent="0.25">
      <c r="A32" s="48" t="s">
        <v>109</v>
      </c>
      <c r="B32" s="53"/>
      <c r="C32" s="64">
        <v>44382.69</v>
      </c>
      <c r="D32" s="68">
        <f>95096.15-28056</f>
        <v>67040.149999999994</v>
      </c>
      <c r="E32" s="68">
        <v>26371.91</v>
      </c>
      <c r="F32" s="68">
        <f>37965-11236</f>
        <v>26729</v>
      </c>
      <c r="G32" s="68">
        <v>40540.74</v>
      </c>
      <c r="H32" s="50">
        <f>46822-3368</f>
        <v>43454</v>
      </c>
      <c r="I32" s="68">
        <v>46936.99</v>
      </c>
      <c r="J32" s="68">
        <f>87127-13351</f>
        <v>73776</v>
      </c>
      <c r="K32" s="68">
        <v>43612.78</v>
      </c>
      <c r="L32" s="68">
        <f>68787-15857</f>
        <v>52930</v>
      </c>
      <c r="M32" s="68">
        <v>46596.68</v>
      </c>
      <c r="N32" s="68">
        <f>71065-4236-6785-10469+11201-29661</f>
        <v>31115</v>
      </c>
      <c r="O32" s="68">
        <v>49747.42</v>
      </c>
      <c r="P32" s="68">
        <f>47331+5416-8685</f>
        <v>44062</v>
      </c>
      <c r="Q32" s="68">
        <v>54715.03</v>
      </c>
      <c r="R32" s="68">
        <f>28636+8685</f>
        <v>37321</v>
      </c>
      <c r="S32" s="68">
        <v>66970.63</v>
      </c>
      <c r="T32" s="68">
        <f>69214-13008</f>
        <v>56206</v>
      </c>
      <c r="U32" s="68">
        <v>54833.440000000002</v>
      </c>
      <c r="V32" s="68">
        <f>36191+1348-659</f>
        <v>36880</v>
      </c>
      <c r="W32" s="68">
        <v>59529.09</v>
      </c>
      <c r="X32" s="68">
        <f>47015-5382</f>
        <v>41633</v>
      </c>
      <c r="Y32" s="68">
        <v>82262.59</v>
      </c>
      <c r="Z32" s="68">
        <f>26250-3559+38296-17887</f>
        <v>43100</v>
      </c>
      <c r="AA32" s="51">
        <f t="shared" si="11"/>
        <v>616499.99</v>
      </c>
      <c r="AB32" s="51">
        <f t="shared" si="12"/>
        <v>554246.15</v>
      </c>
      <c r="AC32" s="22"/>
      <c r="AD32" s="31">
        <f t="shared" si="13"/>
        <v>616499.99</v>
      </c>
      <c r="AE32" s="31">
        <f t="shared" si="14"/>
        <v>554246.15</v>
      </c>
      <c r="AF32" s="17">
        <f t="shared" si="17"/>
        <v>0</v>
      </c>
      <c r="AG32" s="17">
        <f t="shared" si="18"/>
        <v>0</v>
      </c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61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</row>
    <row r="33" spans="1:117" s="17" customFormat="1" ht="18" customHeight="1" outlineLevel="1" x14ac:dyDescent="0.25">
      <c r="A33" s="67" t="s">
        <v>110</v>
      </c>
      <c r="B33" s="45"/>
      <c r="C33" s="65">
        <f t="shared" ref="C33:Z33" si="19">SUM(C34:C38)</f>
        <v>7550.4</v>
      </c>
      <c r="D33" s="65">
        <f t="shared" si="19"/>
        <v>6063.1</v>
      </c>
      <c r="E33" s="65">
        <f t="shared" si="19"/>
        <v>7550.4</v>
      </c>
      <c r="F33" s="65">
        <f t="shared" si="19"/>
        <v>6063.1</v>
      </c>
      <c r="G33" s="65">
        <f t="shared" si="19"/>
        <v>7550.4</v>
      </c>
      <c r="H33" s="65">
        <f t="shared" si="19"/>
        <v>6063.1</v>
      </c>
      <c r="I33" s="65">
        <f t="shared" si="19"/>
        <v>7550.4</v>
      </c>
      <c r="J33" s="65">
        <f t="shared" si="19"/>
        <v>6063.1</v>
      </c>
      <c r="K33" s="65">
        <f t="shared" si="19"/>
        <v>7550.4</v>
      </c>
      <c r="L33" s="65">
        <f t="shared" si="19"/>
        <v>6063.1</v>
      </c>
      <c r="M33" s="65">
        <f t="shared" si="19"/>
        <v>7550.4</v>
      </c>
      <c r="N33" s="65">
        <f t="shared" si="19"/>
        <v>7275.72</v>
      </c>
      <c r="O33" s="65">
        <f t="shared" si="19"/>
        <v>7550.4</v>
      </c>
      <c r="P33" s="65">
        <f t="shared" si="19"/>
        <v>7275.72</v>
      </c>
      <c r="Q33" s="65">
        <f t="shared" si="19"/>
        <v>7550.4</v>
      </c>
      <c r="R33" s="65">
        <f t="shared" si="19"/>
        <v>7275.72</v>
      </c>
      <c r="S33" s="65">
        <f t="shared" si="19"/>
        <v>7550.4</v>
      </c>
      <c r="T33" s="65">
        <f t="shared" si="19"/>
        <v>7444.75</v>
      </c>
      <c r="U33" s="65">
        <f t="shared" si="19"/>
        <v>7550.4</v>
      </c>
      <c r="V33" s="65">
        <f t="shared" si="19"/>
        <v>6282.35</v>
      </c>
      <c r="W33" s="65">
        <f t="shared" si="19"/>
        <v>7550.4</v>
      </c>
      <c r="X33" s="65">
        <f t="shared" si="19"/>
        <v>6282.35</v>
      </c>
      <c r="Y33" s="65">
        <f t="shared" si="19"/>
        <v>7550.4</v>
      </c>
      <c r="Z33" s="65">
        <f t="shared" si="19"/>
        <v>7538.82</v>
      </c>
      <c r="AA33" s="47">
        <f t="shared" si="11"/>
        <v>90604.799999999988</v>
      </c>
      <c r="AB33" s="51">
        <f t="shared" si="12"/>
        <v>79690.930000000022</v>
      </c>
      <c r="AC33" s="21"/>
      <c r="AD33" s="31">
        <f t="shared" si="13"/>
        <v>90604.799999999988</v>
      </c>
      <c r="AE33" s="31">
        <f t="shared" si="14"/>
        <v>79690.930000000022</v>
      </c>
      <c r="AF33" s="17">
        <f t="shared" si="17"/>
        <v>0</v>
      </c>
      <c r="AG33" s="17">
        <f t="shared" si="18"/>
        <v>0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66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</row>
    <row r="34" spans="1:117" s="19" customFormat="1" ht="18" customHeight="1" outlineLevel="2" x14ac:dyDescent="0.25">
      <c r="A34" s="48" t="s">
        <v>111</v>
      </c>
      <c r="B34" s="53"/>
      <c r="C34" s="64">
        <v>4680</v>
      </c>
      <c r="D34" s="68">
        <v>3849.6</v>
      </c>
      <c r="E34" s="68">
        <v>4680</v>
      </c>
      <c r="F34" s="68">
        <v>3849.6</v>
      </c>
      <c r="G34" s="68">
        <v>4680</v>
      </c>
      <c r="H34" s="50">
        <v>3849.6</v>
      </c>
      <c r="I34" s="68">
        <v>4680</v>
      </c>
      <c r="J34" s="68">
        <v>3849.6</v>
      </c>
      <c r="K34" s="68">
        <v>4680</v>
      </c>
      <c r="L34" s="68">
        <v>3849.6</v>
      </c>
      <c r="M34" s="68">
        <v>4680</v>
      </c>
      <c r="N34" s="68">
        <v>4619.5200000000004</v>
      </c>
      <c r="O34" s="68">
        <v>4680</v>
      </c>
      <c r="P34" s="68">
        <v>4619.5200000000004</v>
      </c>
      <c r="Q34" s="68">
        <v>4680</v>
      </c>
      <c r="R34" s="68">
        <v>4619.5200000000004</v>
      </c>
      <c r="S34" s="68">
        <v>4680</v>
      </c>
      <c r="T34" s="68">
        <v>5102.3999999999996</v>
      </c>
      <c r="U34" s="68">
        <v>4680</v>
      </c>
      <c r="V34" s="68">
        <v>3988.8</v>
      </c>
      <c r="W34" s="68">
        <v>4680</v>
      </c>
      <c r="X34" s="68">
        <v>3988.8</v>
      </c>
      <c r="Y34" s="68">
        <v>4680</v>
      </c>
      <c r="Z34" s="68">
        <v>4786.5600000000004</v>
      </c>
      <c r="AA34" s="51">
        <f t="shared" si="11"/>
        <v>56160</v>
      </c>
      <c r="AB34" s="51">
        <f t="shared" si="12"/>
        <v>50973.120000000003</v>
      </c>
      <c r="AC34" s="22"/>
      <c r="AD34" s="31">
        <f t="shared" si="13"/>
        <v>56160</v>
      </c>
      <c r="AE34" s="31">
        <f t="shared" si="14"/>
        <v>50973.120000000003</v>
      </c>
      <c r="AF34" s="17">
        <f t="shared" si="17"/>
        <v>0</v>
      </c>
      <c r="AG34" s="17">
        <f t="shared" si="18"/>
        <v>0</v>
      </c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61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</row>
    <row r="35" spans="1:117" s="19" customFormat="1" ht="18" customHeight="1" outlineLevel="2" x14ac:dyDescent="0.25">
      <c r="A35" s="48" t="s">
        <v>112</v>
      </c>
      <c r="B35" s="53"/>
      <c r="C35" s="64">
        <v>2496</v>
      </c>
      <c r="D35" s="68">
        <v>2045.1</v>
      </c>
      <c r="E35" s="68">
        <v>2496</v>
      </c>
      <c r="F35" s="68">
        <v>2045.1</v>
      </c>
      <c r="G35" s="68">
        <v>2496</v>
      </c>
      <c r="H35" s="50">
        <v>2045.1</v>
      </c>
      <c r="I35" s="68">
        <v>2496</v>
      </c>
      <c r="J35" s="68">
        <v>2045.1</v>
      </c>
      <c r="K35" s="68">
        <v>2496</v>
      </c>
      <c r="L35" s="68">
        <v>2045.1</v>
      </c>
      <c r="M35" s="68">
        <v>2496</v>
      </c>
      <c r="N35" s="68">
        <v>2454.12</v>
      </c>
      <c r="O35" s="68">
        <v>2496</v>
      </c>
      <c r="P35" s="68">
        <v>2454.12</v>
      </c>
      <c r="Q35" s="68">
        <v>2496</v>
      </c>
      <c r="R35" s="68">
        <v>2454.12</v>
      </c>
      <c r="S35" s="68">
        <v>2496</v>
      </c>
      <c r="T35" s="68">
        <v>2119.0500000000002</v>
      </c>
      <c r="U35" s="68">
        <v>2496</v>
      </c>
      <c r="V35" s="68">
        <v>2119.0500000000002</v>
      </c>
      <c r="W35" s="68">
        <v>2496</v>
      </c>
      <c r="X35" s="68">
        <v>2119.0500000000002</v>
      </c>
      <c r="Y35" s="68">
        <v>2496</v>
      </c>
      <c r="Z35" s="68">
        <v>2542.86</v>
      </c>
      <c r="AA35" s="51">
        <f t="shared" si="11"/>
        <v>29952</v>
      </c>
      <c r="AB35" s="51">
        <f t="shared" si="12"/>
        <v>26487.869999999995</v>
      </c>
      <c r="AC35" s="22"/>
      <c r="AD35" s="31">
        <f t="shared" si="13"/>
        <v>29952</v>
      </c>
      <c r="AE35" s="31">
        <f t="shared" si="14"/>
        <v>26487.869999999995</v>
      </c>
      <c r="AF35" s="17">
        <f t="shared" si="17"/>
        <v>0</v>
      </c>
      <c r="AG35" s="17">
        <f t="shared" si="18"/>
        <v>0</v>
      </c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61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</row>
    <row r="36" spans="1:117" s="19" customFormat="1" ht="18" customHeight="1" outlineLevel="2" x14ac:dyDescent="0.25">
      <c r="A36" s="48" t="s">
        <v>113</v>
      </c>
      <c r="B36" s="53"/>
      <c r="C36" s="64">
        <v>62.4</v>
      </c>
      <c r="D36" s="68">
        <v>48.1</v>
      </c>
      <c r="E36" s="68">
        <v>62.4</v>
      </c>
      <c r="F36" s="68">
        <v>48.1</v>
      </c>
      <c r="G36" s="68">
        <v>62.4</v>
      </c>
      <c r="H36" s="50">
        <v>48.1</v>
      </c>
      <c r="I36" s="68">
        <v>62.4</v>
      </c>
      <c r="J36" s="68">
        <v>48.1</v>
      </c>
      <c r="K36" s="68">
        <v>62.4</v>
      </c>
      <c r="L36" s="68">
        <v>48.1</v>
      </c>
      <c r="M36" s="68">
        <v>62.4</v>
      </c>
      <c r="N36" s="68">
        <v>57.72</v>
      </c>
      <c r="O36" s="68">
        <v>62.4</v>
      </c>
      <c r="P36" s="68">
        <v>57.72</v>
      </c>
      <c r="Q36" s="68">
        <v>62.4</v>
      </c>
      <c r="R36" s="68">
        <v>57.72</v>
      </c>
      <c r="S36" s="68">
        <v>62.4</v>
      </c>
      <c r="T36" s="68">
        <v>63.85</v>
      </c>
      <c r="U36" s="68">
        <v>62.4</v>
      </c>
      <c r="V36" s="68">
        <v>49.85</v>
      </c>
      <c r="W36" s="68">
        <v>62.4</v>
      </c>
      <c r="X36" s="68">
        <v>49.85</v>
      </c>
      <c r="Y36" s="68">
        <v>62.4</v>
      </c>
      <c r="Z36" s="68">
        <v>59.82</v>
      </c>
      <c r="AA36" s="51">
        <f t="shared" si="11"/>
        <v>748.79999999999984</v>
      </c>
      <c r="AB36" s="51">
        <f t="shared" si="12"/>
        <v>637.0300000000002</v>
      </c>
      <c r="AC36" s="22"/>
      <c r="AD36" s="31">
        <f t="shared" si="13"/>
        <v>748.79999999999984</v>
      </c>
      <c r="AE36" s="31">
        <f t="shared" si="14"/>
        <v>637.0300000000002</v>
      </c>
      <c r="AF36" s="17">
        <f t="shared" si="17"/>
        <v>0</v>
      </c>
      <c r="AG36" s="17">
        <f t="shared" si="18"/>
        <v>0</v>
      </c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61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</row>
    <row r="37" spans="1:117" s="19" customFormat="1" ht="18" customHeight="1" outlineLevel="2" x14ac:dyDescent="0.25">
      <c r="A37" s="48" t="s">
        <v>114</v>
      </c>
      <c r="B37" s="53"/>
      <c r="C37" s="64">
        <v>156</v>
      </c>
      <c r="D37" s="68">
        <v>120.3</v>
      </c>
      <c r="E37" s="68">
        <v>156</v>
      </c>
      <c r="F37" s="68">
        <v>120.3</v>
      </c>
      <c r="G37" s="68">
        <v>156</v>
      </c>
      <c r="H37" s="50">
        <v>120.3</v>
      </c>
      <c r="I37" s="68">
        <v>156</v>
      </c>
      <c r="J37" s="68">
        <v>120.3</v>
      </c>
      <c r="K37" s="68">
        <v>156</v>
      </c>
      <c r="L37" s="68">
        <v>120.3</v>
      </c>
      <c r="M37" s="68">
        <v>156</v>
      </c>
      <c r="N37" s="68">
        <v>144.36000000000001</v>
      </c>
      <c r="O37" s="68">
        <v>156</v>
      </c>
      <c r="P37" s="68">
        <v>144.36000000000001</v>
      </c>
      <c r="Q37" s="68">
        <v>156</v>
      </c>
      <c r="R37" s="68">
        <v>144.36000000000001</v>
      </c>
      <c r="S37" s="68">
        <v>156</v>
      </c>
      <c r="T37" s="68">
        <v>159.44999999999999</v>
      </c>
      <c r="U37" s="68">
        <v>156</v>
      </c>
      <c r="V37" s="68">
        <v>124.65</v>
      </c>
      <c r="W37" s="68">
        <v>156</v>
      </c>
      <c r="X37" s="68">
        <v>124.65</v>
      </c>
      <c r="Y37" s="68">
        <v>156</v>
      </c>
      <c r="Z37" s="68">
        <v>149.58000000000001</v>
      </c>
      <c r="AA37" s="51">
        <f t="shared" si="11"/>
        <v>1872</v>
      </c>
      <c r="AB37" s="51">
        <f t="shared" si="12"/>
        <v>1592.91</v>
      </c>
      <c r="AC37" s="22"/>
      <c r="AD37" s="31">
        <f t="shared" si="13"/>
        <v>1872</v>
      </c>
      <c r="AE37" s="31">
        <f t="shared" si="14"/>
        <v>1592.91</v>
      </c>
      <c r="AF37" s="17">
        <f t="shared" si="17"/>
        <v>0</v>
      </c>
      <c r="AG37" s="17">
        <f t="shared" si="18"/>
        <v>0</v>
      </c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61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</row>
    <row r="38" spans="1:117" s="19" customFormat="1" ht="18" customHeight="1" outlineLevel="2" x14ac:dyDescent="0.25">
      <c r="A38" s="48" t="s">
        <v>115</v>
      </c>
      <c r="B38" s="53"/>
      <c r="C38" s="64">
        <v>156</v>
      </c>
      <c r="D38" s="68">
        <v>0</v>
      </c>
      <c r="E38" s="68">
        <v>156</v>
      </c>
      <c r="F38" s="68">
        <v>0</v>
      </c>
      <c r="G38" s="68">
        <v>156</v>
      </c>
      <c r="H38" s="50">
        <v>0</v>
      </c>
      <c r="I38" s="68">
        <v>156</v>
      </c>
      <c r="J38" s="68">
        <v>0</v>
      </c>
      <c r="K38" s="68">
        <v>156</v>
      </c>
      <c r="L38" s="68">
        <v>0</v>
      </c>
      <c r="M38" s="68">
        <v>156</v>
      </c>
      <c r="N38" s="68">
        <v>0</v>
      </c>
      <c r="O38" s="68">
        <v>156</v>
      </c>
      <c r="P38" s="68">
        <v>0</v>
      </c>
      <c r="Q38" s="68">
        <v>156</v>
      </c>
      <c r="R38" s="68">
        <v>0</v>
      </c>
      <c r="S38" s="68">
        <v>156</v>
      </c>
      <c r="T38" s="68">
        <v>0</v>
      </c>
      <c r="U38" s="68">
        <v>156</v>
      </c>
      <c r="V38" s="68">
        <v>0</v>
      </c>
      <c r="W38" s="68">
        <v>156</v>
      </c>
      <c r="X38" s="68">
        <v>0</v>
      </c>
      <c r="Y38" s="68">
        <v>156</v>
      </c>
      <c r="Z38" s="68">
        <v>0</v>
      </c>
      <c r="AA38" s="51">
        <f t="shared" si="11"/>
        <v>1872</v>
      </c>
      <c r="AB38" s="51">
        <f t="shared" si="12"/>
        <v>0</v>
      </c>
      <c r="AC38" s="22"/>
      <c r="AD38" s="31">
        <f t="shared" si="13"/>
        <v>1872</v>
      </c>
      <c r="AE38" s="31">
        <f t="shared" si="14"/>
        <v>0</v>
      </c>
      <c r="AF38" s="17">
        <f t="shared" si="17"/>
        <v>0</v>
      </c>
      <c r="AG38" s="17">
        <f t="shared" si="18"/>
        <v>0</v>
      </c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61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</row>
    <row r="39" spans="1:117" s="19" customFormat="1" ht="18" customHeight="1" outlineLevel="1" x14ac:dyDescent="0.25">
      <c r="A39" s="48" t="s">
        <v>116</v>
      </c>
      <c r="B39" s="53"/>
      <c r="C39" s="64">
        <v>1614</v>
      </c>
      <c r="D39" s="68">
        <v>1345</v>
      </c>
      <c r="E39" s="68">
        <v>1614</v>
      </c>
      <c r="F39" s="68">
        <v>1345</v>
      </c>
      <c r="G39" s="68">
        <v>1614</v>
      </c>
      <c r="H39" s="50">
        <v>1345</v>
      </c>
      <c r="I39" s="68">
        <v>1614</v>
      </c>
      <c r="J39" s="68">
        <v>1345</v>
      </c>
      <c r="K39" s="68">
        <v>1614</v>
      </c>
      <c r="L39" s="68">
        <v>1345</v>
      </c>
      <c r="M39" s="68">
        <v>1614</v>
      </c>
      <c r="N39" s="68">
        <v>1345</v>
      </c>
      <c r="O39" s="68">
        <v>1614</v>
      </c>
      <c r="P39" s="68">
        <v>1345</v>
      </c>
      <c r="Q39" s="68">
        <v>1614</v>
      </c>
      <c r="R39" s="68">
        <v>1345</v>
      </c>
      <c r="S39" s="68">
        <v>1614</v>
      </c>
      <c r="T39" s="68">
        <v>1345</v>
      </c>
      <c r="U39" s="68">
        <v>1614</v>
      </c>
      <c r="V39" s="68">
        <v>1345</v>
      </c>
      <c r="W39" s="68">
        <v>1614</v>
      </c>
      <c r="X39" s="68">
        <v>1345</v>
      </c>
      <c r="Y39" s="68">
        <v>1614</v>
      </c>
      <c r="Z39" s="68">
        <v>1614</v>
      </c>
      <c r="AA39" s="51">
        <f t="shared" si="11"/>
        <v>19368</v>
      </c>
      <c r="AB39" s="51">
        <f t="shared" si="12"/>
        <v>16409</v>
      </c>
      <c r="AC39" s="22"/>
      <c r="AD39" s="31">
        <f t="shared" si="13"/>
        <v>19368</v>
      </c>
      <c r="AE39" s="31">
        <f t="shared" si="14"/>
        <v>16409</v>
      </c>
      <c r="AF39" s="17">
        <f t="shared" si="17"/>
        <v>0</v>
      </c>
      <c r="AG39" s="17">
        <f t="shared" si="18"/>
        <v>0</v>
      </c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61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</row>
    <row r="40" spans="1:117" s="19" customFormat="1" ht="18" customHeight="1" outlineLevel="1" x14ac:dyDescent="0.25">
      <c r="A40" s="48" t="s">
        <v>117</v>
      </c>
      <c r="B40" s="53"/>
      <c r="C40" s="64"/>
      <c r="D40" s="68">
        <v>0</v>
      </c>
      <c r="E40" s="68"/>
      <c r="F40" s="68">
        <v>0</v>
      </c>
      <c r="G40" s="68"/>
      <c r="H40" s="50">
        <v>0</v>
      </c>
      <c r="I40" s="68"/>
      <c r="J40" s="68">
        <v>0</v>
      </c>
      <c r="K40" s="68"/>
      <c r="L40" s="68">
        <v>0</v>
      </c>
      <c r="M40" s="68"/>
      <c r="N40" s="68">
        <v>0</v>
      </c>
      <c r="O40" s="68"/>
      <c r="P40" s="68">
        <v>0</v>
      </c>
      <c r="Q40" s="68"/>
      <c r="R40" s="68">
        <v>0</v>
      </c>
      <c r="S40" s="68"/>
      <c r="T40" s="68">
        <v>0</v>
      </c>
      <c r="U40" s="68"/>
      <c r="V40" s="68">
        <v>0</v>
      </c>
      <c r="W40" s="68"/>
      <c r="X40" s="68">
        <v>0</v>
      </c>
      <c r="Y40" s="68"/>
      <c r="Z40" s="68">
        <v>0</v>
      </c>
      <c r="AA40" s="51">
        <f t="shared" si="11"/>
        <v>0</v>
      </c>
      <c r="AB40" s="51">
        <f t="shared" si="12"/>
        <v>0</v>
      </c>
      <c r="AC40" s="22"/>
      <c r="AD40" s="31">
        <f t="shared" si="13"/>
        <v>0</v>
      </c>
      <c r="AE40" s="31">
        <f t="shared" si="14"/>
        <v>0</v>
      </c>
      <c r="AF40" s="17">
        <f t="shared" si="17"/>
        <v>0</v>
      </c>
      <c r="AG40" s="17">
        <f t="shared" si="18"/>
        <v>0</v>
      </c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61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</row>
    <row r="41" spans="1:117" s="19" customFormat="1" ht="18" customHeight="1" outlineLevel="1" x14ac:dyDescent="0.25">
      <c r="A41" s="48" t="s">
        <v>118</v>
      </c>
      <c r="B41" s="53"/>
      <c r="C41" s="64"/>
      <c r="D41" s="68">
        <v>0</v>
      </c>
      <c r="E41" s="68"/>
      <c r="F41" s="68">
        <v>0</v>
      </c>
      <c r="G41" s="68"/>
      <c r="H41" s="50">
        <v>0</v>
      </c>
      <c r="I41" s="68"/>
      <c r="J41" s="68">
        <v>0</v>
      </c>
      <c r="K41" s="68"/>
      <c r="L41" s="68">
        <v>0</v>
      </c>
      <c r="M41" s="68"/>
      <c r="N41" s="68">
        <v>0</v>
      </c>
      <c r="O41" s="68"/>
      <c r="P41" s="68">
        <v>0</v>
      </c>
      <c r="Q41" s="68"/>
      <c r="R41" s="68">
        <v>0</v>
      </c>
      <c r="S41" s="68"/>
      <c r="T41" s="68">
        <v>0</v>
      </c>
      <c r="U41" s="68"/>
      <c r="V41" s="68">
        <v>0</v>
      </c>
      <c r="W41" s="68"/>
      <c r="X41" s="68">
        <v>0</v>
      </c>
      <c r="Y41" s="68"/>
      <c r="Z41" s="68">
        <v>0</v>
      </c>
      <c r="AA41" s="51">
        <f t="shared" si="11"/>
        <v>0</v>
      </c>
      <c r="AB41" s="51">
        <f t="shared" si="12"/>
        <v>0</v>
      </c>
      <c r="AC41" s="22"/>
      <c r="AD41" s="31">
        <f t="shared" si="13"/>
        <v>0</v>
      </c>
      <c r="AE41" s="31">
        <f t="shared" si="14"/>
        <v>0</v>
      </c>
      <c r="AF41" s="17">
        <f t="shared" si="17"/>
        <v>0</v>
      </c>
      <c r="AG41" s="17">
        <f t="shared" si="18"/>
        <v>0</v>
      </c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61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</row>
    <row r="42" spans="1:117" s="17" customFormat="1" ht="18" customHeight="1" outlineLevel="1" x14ac:dyDescent="0.25">
      <c r="A42" s="67" t="s">
        <v>119</v>
      </c>
      <c r="B42" s="45"/>
      <c r="C42" s="65">
        <f t="shared" ref="C42:Z42" si="20">SUM(C43:C49)</f>
        <v>1620</v>
      </c>
      <c r="D42" s="65">
        <f t="shared" si="20"/>
        <v>1368</v>
      </c>
      <c r="E42" s="65">
        <f t="shared" si="20"/>
        <v>0</v>
      </c>
      <c r="F42" s="65">
        <f t="shared" si="20"/>
        <v>2157.4899999999998</v>
      </c>
      <c r="G42" s="65">
        <f t="shared" si="20"/>
        <v>430</v>
      </c>
      <c r="H42" s="65">
        <f t="shared" si="20"/>
        <v>1067</v>
      </c>
      <c r="I42" s="65">
        <f t="shared" si="20"/>
        <v>420</v>
      </c>
      <c r="J42" s="65">
        <f t="shared" si="20"/>
        <v>120.01</v>
      </c>
      <c r="K42" s="65">
        <f t="shared" si="20"/>
        <v>0</v>
      </c>
      <c r="L42" s="65">
        <f t="shared" si="20"/>
        <v>37</v>
      </c>
      <c r="M42" s="65">
        <f t="shared" si="20"/>
        <v>0</v>
      </c>
      <c r="N42" s="65">
        <f t="shared" si="20"/>
        <v>116.44</v>
      </c>
      <c r="O42" s="65">
        <f t="shared" si="20"/>
        <v>0</v>
      </c>
      <c r="P42" s="65">
        <f t="shared" si="20"/>
        <v>1098.1500000000001</v>
      </c>
      <c r="Q42" s="65">
        <f t="shared" si="20"/>
        <v>420</v>
      </c>
      <c r="R42" s="65">
        <f t="shared" si="20"/>
        <v>245.39</v>
      </c>
      <c r="S42" s="65">
        <f t="shared" si="20"/>
        <v>0</v>
      </c>
      <c r="T42" s="65">
        <f t="shared" si="20"/>
        <v>1167.46</v>
      </c>
      <c r="U42" s="65">
        <f t="shared" si="20"/>
        <v>1200</v>
      </c>
      <c r="V42" s="65">
        <f t="shared" si="20"/>
        <v>483.38</v>
      </c>
      <c r="W42" s="65">
        <f t="shared" si="20"/>
        <v>420</v>
      </c>
      <c r="X42" s="65">
        <f t="shared" si="20"/>
        <v>310.39999999999998</v>
      </c>
      <c r="Y42" s="65">
        <f t="shared" si="20"/>
        <v>0</v>
      </c>
      <c r="Z42" s="65">
        <f t="shared" si="20"/>
        <v>110.77</v>
      </c>
      <c r="AA42" s="47">
        <f t="shared" si="11"/>
        <v>4510</v>
      </c>
      <c r="AB42" s="51">
        <f t="shared" si="12"/>
        <v>8281.49</v>
      </c>
      <c r="AC42" s="21"/>
      <c r="AD42" s="31">
        <f t="shared" si="13"/>
        <v>4510</v>
      </c>
      <c r="AE42" s="31">
        <f t="shared" si="14"/>
        <v>8281.49</v>
      </c>
      <c r="AF42" s="17">
        <f t="shared" si="17"/>
        <v>0</v>
      </c>
      <c r="AG42" s="17">
        <f t="shared" si="18"/>
        <v>0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66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</row>
    <row r="43" spans="1:117" s="19" customFormat="1" ht="18" customHeight="1" outlineLevel="2" x14ac:dyDescent="0.25">
      <c r="A43" s="48" t="s">
        <v>120</v>
      </c>
      <c r="B43" s="53"/>
      <c r="C43" s="64"/>
      <c r="D43" s="68">
        <v>0</v>
      </c>
      <c r="E43" s="68"/>
      <c r="F43" s="68">
        <v>0</v>
      </c>
      <c r="G43" s="68"/>
      <c r="H43" s="50">
        <v>0</v>
      </c>
      <c r="I43" s="68"/>
      <c r="J43" s="68">
        <v>0</v>
      </c>
      <c r="K43" s="68"/>
      <c r="L43" s="68">
        <v>0</v>
      </c>
      <c r="M43" s="68"/>
      <c r="N43" s="68">
        <v>0</v>
      </c>
      <c r="O43" s="68"/>
      <c r="P43" s="68">
        <v>0</v>
      </c>
      <c r="Q43" s="68"/>
      <c r="R43" s="68">
        <v>0</v>
      </c>
      <c r="S43" s="68"/>
      <c r="T43" s="68">
        <v>0</v>
      </c>
      <c r="U43" s="68"/>
      <c r="V43" s="68">
        <v>0</v>
      </c>
      <c r="W43" s="68"/>
      <c r="X43" s="68">
        <v>0</v>
      </c>
      <c r="Y43" s="68"/>
      <c r="Z43" s="68">
        <v>0</v>
      </c>
      <c r="AA43" s="51">
        <f t="shared" si="11"/>
        <v>0</v>
      </c>
      <c r="AB43" s="51">
        <f t="shared" si="12"/>
        <v>0</v>
      </c>
      <c r="AC43" s="22"/>
      <c r="AD43" s="31">
        <f t="shared" si="13"/>
        <v>0</v>
      </c>
      <c r="AE43" s="31">
        <f t="shared" si="14"/>
        <v>0</v>
      </c>
      <c r="AF43" s="17">
        <f t="shared" si="17"/>
        <v>0</v>
      </c>
      <c r="AG43" s="17">
        <f t="shared" si="18"/>
        <v>0</v>
      </c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61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</row>
    <row r="44" spans="1:117" s="19" customFormat="1" ht="18" customHeight="1" outlineLevel="2" x14ac:dyDescent="0.25">
      <c r="A44" s="48" t="s">
        <v>121</v>
      </c>
      <c r="B44" s="53"/>
      <c r="C44" s="64"/>
      <c r="D44" s="68">
        <v>168</v>
      </c>
      <c r="E44" s="68"/>
      <c r="F44" s="68">
        <v>157.49</v>
      </c>
      <c r="G44" s="68"/>
      <c r="H44" s="50">
        <v>67</v>
      </c>
      <c r="I44" s="68"/>
      <c r="J44" s="68">
        <v>120.01</v>
      </c>
      <c r="K44" s="68"/>
      <c r="L44" s="68">
        <v>37</v>
      </c>
      <c r="M44" s="68"/>
      <c r="N44" s="68">
        <v>116.44</v>
      </c>
      <c r="O44" s="68"/>
      <c r="P44" s="68">
        <v>98.15</v>
      </c>
      <c r="Q44" s="68"/>
      <c r="R44" s="68">
        <v>245.39</v>
      </c>
      <c r="S44" s="68"/>
      <c r="T44" s="68">
        <v>167.46</v>
      </c>
      <c r="U44" s="68"/>
      <c r="V44" s="68">
        <v>195.78</v>
      </c>
      <c r="W44" s="68"/>
      <c r="X44" s="68">
        <v>46</v>
      </c>
      <c r="Y44" s="68"/>
      <c r="Z44" s="68">
        <v>110.77</v>
      </c>
      <c r="AA44" s="51">
        <f t="shared" si="11"/>
        <v>0</v>
      </c>
      <c r="AB44" s="51">
        <f t="shared" si="12"/>
        <v>1529.49</v>
      </c>
      <c r="AC44" s="22"/>
      <c r="AD44" s="31">
        <f t="shared" si="13"/>
        <v>0</v>
      </c>
      <c r="AE44" s="31">
        <f t="shared" si="14"/>
        <v>1529.49</v>
      </c>
      <c r="AF44" s="17">
        <f t="shared" si="17"/>
        <v>0</v>
      </c>
      <c r="AG44" s="17">
        <f t="shared" si="18"/>
        <v>0</v>
      </c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61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</row>
    <row r="45" spans="1:117" s="19" customFormat="1" ht="18" customHeight="1" outlineLevel="2" x14ac:dyDescent="0.25">
      <c r="A45" s="48" t="s">
        <v>122</v>
      </c>
      <c r="B45" s="53"/>
      <c r="C45" s="64"/>
      <c r="D45" s="68">
        <v>0</v>
      </c>
      <c r="E45" s="68"/>
      <c r="F45" s="68">
        <v>0</v>
      </c>
      <c r="G45" s="68"/>
      <c r="H45" s="50">
        <v>0</v>
      </c>
      <c r="I45" s="68"/>
      <c r="J45" s="68">
        <v>0</v>
      </c>
      <c r="K45" s="68"/>
      <c r="L45" s="68">
        <v>0</v>
      </c>
      <c r="M45" s="68"/>
      <c r="N45" s="68">
        <v>0</v>
      </c>
      <c r="O45" s="68"/>
      <c r="P45" s="68">
        <v>0</v>
      </c>
      <c r="Q45" s="68"/>
      <c r="R45" s="68">
        <v>0</v>
      </c>
      <c r="S45" s="68"/>
      <c r="T45" s="68">
        <v>0</v>
      </c>
      <c r="U45" s="68"/>
      <c r="V45" s="68">
        <v>0</v>
      </c>
      <c r="W45" s="68"/>
      <c r="X45" s="68">
        <v>0</v>
      </c>
      <c r="Y45" s="68"/>
      <c r="Z45" s="68">
        <v>0</v>
      </c>
      <c r="AA45" s="51">
        <f t="shared" si="11"/>
        <v>0</v>
      </c>
      <c r="AB45" s="51">
        <f t="shared" si="12"/>
        <v>0</v>
      </c>
      <c r="AC45" s="22"/>
      <c r="AD45" s="31">
        <f t="shared" si="13"/>
        <v>0</v>
      </c>
      <c r="AE45" s="31">
        <f t="shared" si="14"/>
        <v>0</v>
      </c>
      <c r="AF45" s="17">
        <f t="shared" si="17"/>
        <v>0</v>
      </c>
      <c r="AG45" s="17">
        <f t="shared" si="18"/>
        <v>0</v>
      </c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61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</row>
    <row r="46" spans="1:117" s="19" customFormat="1" ht="18" customHeight="1" outlineLevel="2" x14ac:dyDescent="0.25">
      <c r="A46" s="48" t="s">
        <v>123</v>
      </c>
      <c r="B46" s="53"/>
      <c r="C46" s="64">
        <v>1200</v>
      </c>
      <c r="D46" s="68">
        <v>1200</v>
      </c>
      <c r="E46" s="68"/>
      <c r="F46" s="68">
        <v>0</v>
      </c>
      <c r="G46" s="68">
        <v>100</v>
      </c>
      <c r="H46" s="50">
        <v>0</v>
      </c>
      <c r="I46" s="68"/>
      <c r="J46" s="68">
        <v>0</v>
      </c>
      <c r="K46" s="68"/>
      <c r="L46" s="68">
        <v>0</v>
      </c>
      <c r="M46" s="68"/>
      <c r="N46" s="68">
        <v>0</v>
      </c>
      <c r="O46" s="68"/>
      <c r="P46" s="68">
        <v>0</v>
      </c>
      <c r="Q46" s="68"/>
      <c r="R46" s="68">
        <v>0</v>
      </c>
      <c r="S46" s="68"/>
      <c r="T46" s="68">
        <v>1000</v>
      </c>
      <c r="U46" s="68">
        <v>1200</v>
      </c>
      <c r="V46" s="68">
        <v>0</v>
      </c>
      <c r="W46" s="68"/>
      <c r="X46" s="68">
        <v>0</v>
      </c>
      <c r="Y46" s="68"/>
      <c r="Z46" s="68">
        <v>0</v>
      </c>
      <c r="AA46" s="51">
        <f t="shared" si="11"/>
        <v>2500</v>
      </c>
      <c r="AB46" s="51">
        <f t="shared" si="12"/>
        <v>2200</v>
      </c>
      <c r="AC46" s="22"/>
      <c r="AD46" s="31">
        <f t="shared" si="13"/>
        <v>2500</v>
      </c>
      <c r="AE46" s="31">
        <f t="shared" si="14"/>
        <v>2200</v>
      </c>
      <c r="AF46" s="17">
        <f t="shared" si="17"/>
        <v>0</v>
      </c>
      <c r="AG46" s="17">
        <f t="shared" si="18"/>
        <v>0</v>
      </c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61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</row>
    <row r="47" spans="1:117" s="19" customFormat="1" ht="18" customHeight="1" outlineLevel="2" x14ac:dyDescent="0.25">
      <c r="A47" s="48" t="s">
        <v>124</v>
      </c>
      <c r="B47" s="53"/>
      <c r="C47" s="64"/>
      <c r="D47" s="68">
        <v>0</v>
      </c>
      <c r="E47" s="68"/>
      <c r="F47" s="68">
        <v>0</v>
      </c>
      <c r="G47" s="68">
        <v>330</v>
      </c>
      <c r="H47" s="50">
        <v>0</v>
      </c>
      <c r="I47" s="68"/>
      <c r="J47" s="68">
        <v>0</v>
      </c>
      <c r="K47" s="68"/>
      <c r="L47" s="68">
        <v>0</v>
      </c>
      <c r="M47" s="68"/>
      <c r="N47" s="68">
        <v>0</v>
      </c>
      <c r="O47" s="68"/>
      <c r="P47" s="68">
        <v>0</v>
      </c>
      <c r="Q47" s="68"/>
      <c r="R47" s="68">
        <v>0</v>
      </c>
      <c r="S47" s="68"/>
      <c r="T47" s="68">
        <v>0</v>
      </c>
      <c r="U47" s="68"/>
      <c r="V47" s="68">
        <v>0</v>
      </c>
      <c r="W47" s="68"/>
      <c r="X47" s="68">
        <v>0</v>
      </c>
      <c r="Y47" s="68"/>
      <c r="Z47" s="68">
        <v>0</v>
      </c>
      <c r="AA47" s="51">
        <f t="shared" si="11"/>
        <v>330</v>
      </c>
      <c r="AB47" s="51">
        <f t="shared" si="12"/>
        <v>0</v>
      </c>
      <c r="AC47" s="22"/>
      <c r="AD47" s="31">
        <f t="shared" si="13"/>
        <v>330</v>
      </c>
      <c r="AE47" s="31">
        <f t="shared" si="14"/>
        <v>0</v>
      </c>
      <c r="AF47" s="17">
        <f t="shared" si="17"/>
        <v>0</v>
      </c>
      <c r="AG47" s="17">
        <f t="shared" si="18"/>
        <v>0</v>
      </c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61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</row>
    <row r="48" spans="1:117" s="19" customFormat="1" ht="18" customHeight="1" outlineLevel="2" x14ac:dyDescent="0.25">
      <c r="A48" s="48" t="s">
        <v>125</v>
      </c>
      <c r="B48" s="53"/>
      <c r="C48" s="64"/>
      <c r="D48" s="68">
        <v>0</v>
      </c>
      <c r="E48" s="68"/>
      <c r="F48" s="68">
        <v>2000</v>
      </c>
      <c r="G48" s="68"/>
      <c r="H48" s="50">
        <v>0</v>
      </c>
      <c r="I48" s="68"/>
      <c r="J48" s="68">
        <v>0</v>
      </c>
      <c r="K48" s="68"/>
      <c r="L48" s="68">
        <v>0</v>
      </c>
      <c r="M48" s="68"/>
      <c r="N48" s="68">
        <v>0</v>
      </c>
      <c r="O48" s="68"/>
      <c r="P48" s="68">
        <v>0</v>
      </c>
      <c r="Q48" s="68"/>
      <c r="R48" s="68">
        <v>0</v>
      </c>
      <c r="S48" s="68"/>
      <c r="T48" s="68">
        <v>0</v>
      </c>
      <c r="U48" s="68"/>
      <c r="V48" s="68">
        <v>0</v>
      </c>
      <c r="W48" s="68"/>
      <c r="X48" s="68">
        <v>0</v>
      </c>
      <c r="Y48" s="68"/>
      <c r="Z48" s="68">
        <v>0</v>
      </c>
      <c r="AA48" s="51">
        <f t="shared" si="11"/>
        <v>0</v>
      </c>
      <c r="AB48" s="51">
        <f t="shared" si="12"/>
        <v>2000</v>
      </c>
      <c r="AC48" s="22"/>
      <c r="AD48" s="31">
        <f t="shared" si="13"/>
        <v>0</v>
      </c>
      <c r="AE48" s="31">
        <f t="shared" si="14"/>
        <v>2000</v>
      </c>
      <c r="AF48" s="17">
        <f t="shared" si="17"/>
        <v>0</v>
      </c>
      <c r="AG48" s="17">
        <f t="shared" si="18"/>
        <v>0</v>
      </c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61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</row>
    <row r="49" spans="1:117" s="19" customFormat="1" ht="18" customHeight="1" outlineLevel="2" x14ac:dyDescent="0.25">
      <c r="A49" s="48" t="s">
        <v>126</v>
      </c>
      <c r="B49" s="53"/>
      <c r="C49" s="64">
        <v>420</v>
      </c>
      <c r="D49" s="68">
        <v>0</v>
      </c>
      <c r="E49" s="68"/>
      <c r="F49" s="68">
        <v>0</v>
      </c>
      <c r="G49" s="68"/>
      <c r="H49" s="50">
        <v>1000</v>
      </c>
      <c r="I49" s="68">
        <v>420</v>
      </c>
      <c r="J49" s="68">
        <v>0</v>
      </c>
      <c r="K49" s="68"/>
      <c r="L49" s="68">
        <v>0</v>
      </c>
      <c r="M49" s="68"/>
      <c r="N49" s="68">
        <v>0</v>
      </c>
      <c r="O49" s="68"/>
      <c r="P49" s="68">
        <v>1000</v>
      </c>
      <c r="Q49" s="68">
        <v>420</v>
      </c>
      <c r="R49" s="68">
        <v>0</v>
      </c>
      <c r="S49" s="68"/>
      <c r="T49" s="68">
        <v>0</v>
      </c>
      <c r="U49" s="68"/>
      <c r="V49" s="68">
        <v>287.60000000000002</v>
      </c>
      <c r="W49" s="68">
        <v>420</v>
      </c>
      <c r="X49" s="68">
        <v>264.39999999999998</v>
      </c>
      <c r="Y49" s="68"/>
      <c r="Z49" s="68">
        <v>0</v>
      </c>
      <c r="AA49" s="51">
        <f t="shared" si="11"/>
        <v>1680</v>
      </c>
      <c r="AB49" s="51">
        <f t="shared" si="12"/>
        <v>2552</v>
      </c>
      <c r="AC49" s="22"/>
      <c r="AD49" s="31">
        <f t="shared" si="13"/>
        <v>1680</v>
      </c>
      <c r="AE49" s="31">
        <f t="shared" si="14"/>
        <v>2552</v>
      </c>
      <c r="AF49" s="17">
        <f t="shared" si="17"/>
        <v>0</v>
      </c>
      <c r="AG49" s="17">
        <f t="shared" si="18"/>
        <v>0</v>
      </c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61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</row>
    <row r="50" spans="1:117" s="19" customFormat="1" ht="18" customHeight="1" outlineLevel="1" x14ac:dyDescent="0.25">
      <c r="A50" s="48" t="s">
        <v>127</v>
      </c>
      <c r="B50" s="53"/>
      <c r="C50" s="64"/>
      <c r="D50" s="68">
        <v>0</v>
      </c>
      <c r="E50" s="68"/>
      <c r="F50" s="68">
        <v>0</v>
      </c>
      <c r="G50" s="68"/>
      <c r="H50" s="50">
        <v>0</v>
      </c>
      <c r="I50" s="68"/>
      <c r="J50" s="68">
        <v>0</v>
      </c>
      <c r="K50" s="68"/>
      <c r="L50" s="68">
        <v>0</v>
      </c>
      <c r="M50" s="68"/>
      <c r="N50" s="68">
        <v>800</v>
      </c>
      <c r="O50" s="68"/>
      <c r="P50" s="68">
        <v>0</v>
      </c>
      <c r="Q50" s="68"/>
      <c r="R50" s="68">
        <v>200</v>
      </c>
      <c r="S50" s="68"/>
      <c r="T50" s="68">
        <v>0</v>
      </c>
      <c r="U50" s="68"/>
      <c r="V50" s="68">
        <v>0</v>
      </c>
      <c r="W50" s="68"/>
      <c r="X50" s="68">
        <v>0</v>
      </c>
      <c r="Y50" s="68"/>
      <c r="Z50" s="68">
        <v>0</v>
      </c>
      <c r="AA50" s="51">
        <f t="shared" si="11"/>
        <v>0</v>
      </c>
      <c r="AB50" s="51">
        <f t="shared" si="12"/>
        <v>1000</v>
      </c>
      <c r="AC50" s="22"/>
      <c r="AD50" s="31">
        <f t="shared" si="13"/>
        <v>0</v>
      </c>
      <c r="AE50" s="31">
        <f t="shared" si="14"/>
        <v>1000</v>
      </c>
      <c r="AF50" s="17">
        <f t="shared" si="17"/>
        <v>0</v>
      </c>
      <c r="AG50" s="17">
        <f t="shared" si="18"/>
        <v>0</v>
      </c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61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</row>
    <row r="51" spans="1:117" s="19" customFormat="1" ht="18" customHeight="1" outlineLevel="1" x14ac:dyDescent="0.25">
      <c r="A51" s="48" t="s">
        <v>128</v>
      </c>
      <c r="B51" s="53"/>
      <c r="C51" s="64"/>
      <c r="D51" s="68">
        <v>0</v>
      </c>
      <c r="E51" s="68"/>
      <c r="F51" s="68">
        <v>0</v>
      </c>
      <c r="G51" s="68"/>
      <c r="H51" s="50">
        <v>110</v>
      </c>
      <c r="I51" s="68"/>
      <c r="J51" s="68">
        <v>0</v>
      </c>
      <c r="K51" s="68"/>
      <c r="L51" s="68">
        <v>388</v>
      </c>
      <c r="M51" s="68"/>
      <c r="N51" s="68">
        <v>0</v>
      </c>
      <c r="O51" s="68"/>
      <c r="P51" s="68">
        <v>0</v>
      </c>
      <c r="Q51" s="68"/>
      <c r="R51" s="68">
        <v>50</v>
      </c>
      <c r="S51" s="68"/>
      <c r="T51" s="68">
        <v>0</v>
      </c>
      <c r="U51" s="68"/>
      <c r="V51" s="68">
        <v>120</v>
      </c>
      <c r="W51" s="68"/>
      <c r="X51" s="68">
        <v>0</v>
      </c>
      <c r="Y51" s="68"/>
      <c r="Z51" s="68">
        <v>0</v>
      </c>
      <c r="AA51" s="51">
        <f t="shared" si="11"/>
        <v>0</v>
      </c>
      <c r="AB51" s="51">
        <f t="shared" si="12"/>
        <v>668</v>
      </c>
      <c r="AC51" s="22"/>
      <c r="AD51" s="31">
        <f t="shared" si="13"/>
        <v>0</v>
      </c>
      <c r="AE51" s="31">
        <f t="shared" si="14"/>
        <v>668</v>
      </c>
      <c r="AF51" s="17">
        <f t="shared" si="17"/>
        <v>0</v>
      </c>
      <c r="AG51" s="17">
        <f t="shared" si="18"/>
        <v>0</v>
      </c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61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</row>
    <row r="52" spans="1:117" s="19" customFormat="1" ht="18" customHeight="1" outlineLevel="1" x14ac:dyDescent="0.25">
      <c r="A52" s="48" t="s">
        <v>129</v>
      </c>
      <c r="B52" s="53"/>
      <c r="C52" s="64"/>
      <c r="D52" s="68">
        <v>0</v>
      </c>
      <c r="E52" s="68"/>
      <c r="F52" s="68">
        <v>0</v>
      </c>
      <c r="G52" s="68"/>
      <c r="H52" s="50">
        <v>0</v>
      </c>
      <c r="I52" s="68"/>
      <c r="J52" s="68">
        <v>0</v>
      </c>
      <c r="K52" s="68"/>
      <c r="L52" s="68">
        <v>0</v>
      </c>
      <c r="M52" s="68"/>
      <c r="N52" s="68">
        <v>0</v>
      </c>
      <c r="O52" s="68"/>
      <c r="P52" s="68">
        <v>0</v>
      </c>
      <c r="Q52" s="68"/>
      <c r="R52" s="68">
        <v>0</v>
      </c>
      <c r="S52" s="68"/>
      <c r="T52" s="68">
        <v>0</v>
      </c>
      <c r="U52" s="68"/>
      <c r="V52" s="68">
        <v>0</v>
      </c>
      <c r="W52" s="68"/>
      <c r="X52" s="68">
        <v>0</v>
      </c>
      <c r="Y52" s="68"/>
      <c r="Z52" s="68">
        <v>0</v>
      </c>
      <c r="AA52" s="51">
        <f t="shared" si="11"/>
        <v>0</v>
      </c>
      <c r="AB52" s="51">
        <f t="shared" si="12"/>
        <v>0</v>
      </c>
      <c r="AC52" s="22"/>
      <c r="AD52" s="31">
        <f t="shared" si="13"/>
        <v>0</v>
      </c>
      <c r="AE52" s="31">
        <f t="shared" si="14"/>
        <v>0</v>
      </c>
      <c r="AF52" s="17">
        <f t="shared" si="17"/>
        <v>0</v>
      </c>
      <c r="AG52" s="17">
        <f t="shared" si="18"/>
        <v>0</v>
      </c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61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</row>
    <row r="53" spans="1:117" s="17" customFormat="1" ht="18" customHeight="1" outlineLevel="1" x14ac:dyDescent="0.25">
      <c r="A53" s="67" t="s">
        <v>130</v>
      </c>
      <c r="B53" s="45"/>
      <c r="C53" s="65">
        <f t="shared" ref="C53:Z53" si="21">SUM(C54:C58)</f>
        <v>19690</v>
      </c>
      <c r="D53" s="65">
        <f t="shared" si="21"/>
        <v>16185.95</v>
      </c>
      <c r="E53" s="65">
        <f t="shared" si="21"/>
        <v>19690</v>
      </c>
      <c r="F53" s="65">
        <f t="shared" si="21"/>
        <v>19535.61</v>
      </c>
      <c r="G53" s="65">
        <f t="shared" si="21"/>
        <v>27690</v>
      </c>
      <c r="H53" s="65">
        <f t="shared" si="21"/>
        <v>25386.829999999998</v>
      </c>
      <c r="I53" s="65">
        <f t="shared" si="21"/>
        <v>27690</v>
      </c>
      <c r="J53" s="65">
        <f t="shared" si="21"/>
        <v>30667.510000000002</v>
      </c>
      <c r="K53" s="65">
        <f t="shared" si="21"/>
        <v>27690</v>
      </c>
      <c r="L53" s="65">
        <f t="shared" si="21"/>
        <v>24677.93</v>
      </c>
      <c r="M53" s="65">
        <f t="shared" si="21"/>
        <v>27690</v>
      </c>
      <c r="N53" s="65">
        <f t="shared" si="21"/>
        <v>29313.809999999998</v>
      </c>
      <c r="O53" s="65">
        <f t="shared" si="21"/>
        <v>27690</v>
      </c>
      <c r="P53" s="65">
        <f t="shared" si="21"/>
        <v>23313.87</v>
      </c>
      <c r="Q53" s="65">
        <f t="shared" si="21"/>
        <v>27690</v>
      </c>
      <c r="R53" s="65">
        <f t="shared" si="21"/>
        <v>23413.989999999998</v>
      </c>
      <c r="S53" s="65">
        <f t="shared" si="21"/>
        <v>27690</v>
      </c>
      <c r="T53" s="65">
        <f t="shared" si="21"/>
        <v>20438.46</v>
      </c>
      <c r="U53" s="65">
        <f t="shared" si="21"/>
        <v>27690</v>
      </c>
      <c r="V53" s="65">
        <f t="shared" si="21"/>
        <v>17243.64</v>
      </c>
      <c r="W53" s="65">
        <f t="shared" si="21"/>
        <v>27690</v>
      </c>
      <c r="X53" s="65">
        <f t="shared" si="21"/>
        <v>26505.34</v>
      </c>
      <c r="Y53" s="65">
        <f t="shared" si="21"/>
        <v>27690</v>
      </c>
      <c r="Z53" s="65">
        <f t="shared" si="21"/>
        <v>27474.77</v>
      </c>
      <c r="AA53" s="47">
        <f t="shared" si="11"/>
        <v>316280</v>
      </c>
      <c r="AB53" s="51">
        <f t="shared" si="12"/>
        <v>284157.70999999996</v>
      </c>
      <c r="AC53" s="21"/>
      <c r="AD53" s="31">
        <f t="shared" si="13"/>
        <v>316280</v>
      </c>
      <c r="AE53" s="31">
        <f t="shared" si="14"/>
        <v>284157.70999999996</v>
      </c>
      <c r="AF53" s="17">
        <f t="shared" si="17"/>
        <v>0</v>
      </c>
      <c r="AG53" s="17">
        <f t="shared" si="18"/>
        <v>0</v>
      </c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66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</row>
    <row r="54" spans="1:117" s="19" customFormat="1" ht="18" customHeight="1" outlineLevel="2" x14ac:dyDescent="0.25">
      <c r="A54" s="48" t="s">
        <v>131</v>
      </c>
      <c r="B54" s="53"/>
      <c r="C54" s="64">
        <v>5000</v>
      </c>
      <c r="D54" s="68">
        <f>5787.78+555</f>
        <v>6342.78</v>
      </c>
      <c r="E54" s="68">
        <v>5000</v>
      </c>
      <c r="F54" s="68">
        <f>5598.7+1639.37</f>
        <v>7238.07</v>
      </c>
      <c r="G54" s="68">
        <v>8000</v>
      </c>
      <c r="H54" s="50">
        <f>9278.19+2063.08</f>
        <v>11341.27</v>
      </c>
      <c r="I54" s="68">
        <v>8000</v>
      </c>
      <c r="J54" s="68">
        <f>8096.99+5432.86</f>
        <v>13529.85</v>
      </c>
      <c r="K54" s="68">
        <v>8000</v>
      </c>
      <c r="L54" s="68">
        <f>8448.33+860.3</f>
        <v>9308.6299999999992</v>
      </c>
      <c r="M54" s="68">
        <v>8000</v>
      </c>
      <c r="N54" s="68">
        <f>11542.08+459.54</f>
        <v>12001.62</v>
      </c>
      <c r="O54" s="68">
        <v>8000</v>
      </c>
      <c r="P54" s="68">
        <f>7914.45+1108.6</f>
        <v>9023.0499999999993</v>
      </c>
      <c r="Q54" s="68">
        <v>8000</v>
      </c>
      <c r="R54" s="68">
        <f>7173.26+1207.29</f>
        <v>8380.5499999999993</v>
      </c>
      <c r="S54" s="68">
        <v>8000</v>
      </c>
      <c r="T54" s="68">
        <f>7054.61+820.2+1530.02</f>
        <v>9404.83</v>
      </c>
      <c r="U54" s="68">
        <v>8000</v>
      </c>
      <c r="V54" s="68">
        <v>5571.16</v>
      </c>
      <c r="W54" s="68">
        <v>8000</v>
      </c>
      <c r="X54" s="68">
        <f>8429.45+3024.28</f>
        <v>11453.73</v>
      </c>
      <c r="Y54" s="68">
        <v>8000</v>
      </c>
      <c r="Z54" s="68">
        <f>8281.55+1777.55</f>
        <v>10059.1</v>
      </c>
      <c r="AA54" s="51">
        <f t="shared" si="11"/>
        <v>90000</v>
      </c>
      <c r="AB54" s="51">
        <f t="shared" si="12"/>
        <v>113654.64000000001</v>
      </c>
      <c r="AC54" s="22"/>
      <c r="AD54" s="31">
        <f t="shared" si="13"/>
        <v>90000</v>
      </c>
      <c r="AE54" s="31">
        <f t="shared" si="14"/>
        <v>113654.64000000001</v>
      </c>
      <c r="AF54" s="17">
        <f t="shared" si="17"/>
        <v>0</v>
      </c>
      <c r="AG54" s="17">
        <f t="shared" si="18"/>
        <v>0</v>
      </c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61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</row>
    <row r="55" spans="1:117" s="19" customFormat="1" ht="18" customHeight="1" outlineLevel="2" x14ac:dyDescent="0.25">
      <c r="A55" s="48" t="s">
        <v>132</v>
      </c>
      <c r="B55" s="53"/>
      <c r="C55" s="64">
        <v>5000</v>
      </c>
      <c r="D55" s="68">
        <v>4645.17</v>
      </c>
      <c r="E55" s="68">
        <v>5000</v>
      </c>
      <c r="F55" s="68">
        <v>6362.54</v>
      </c>
      <c r="G55" s="68">
        <v>10000</v>
      </c>
      <c r="H55" s="50">
        <v>6366.86</v>
      </c>
      <c r="I55" s="68">
        <v>10000</v>
      </c>
      <c r="J55" s="68">
        <v>7821.46</v>
      </c>
      <c r="K55" s="68">
        <v>10000</v>
      </c>
      <c r="L55" s="68">
        <v>5674.2</v>
      </c>
      <c r="M55" s="68">
        <v>10000</v>
      </c>
      <c r="N55" s="68">
        <v>7674.11</v>
      </c>
      <c r="O55" s="68">
        <v>10000</v>
      </c>
      <c r="P55" s="68">
        <v>6043.32</v>
      </c>
      <c r="Q55" s="68">
        <v>10000</v>
      </c>
      <c r="R55" s="68">
        <v>6753.84</v>
      </c>
      <c r="S55" s="68">
        <v>10000</v>
      </c>
      <c r="T55" s="68">
        <v>4383.83</v>
      </c>
      <c r="U55" s="68">
        <v>10000</v>
      </c>
      <c r="V55" s="68">
        <v>5147.4799999999996</v>
      </c>
      <c r="W55" s="68">
        <v>10000</v>
      </c>
      <c r="X55" s="68">
        <v>7506.61</v>
      </c>
      <c r="Y55" s="68">
        <v>10000</v>
      </c>
      <c r="Z55" s="68">
        <v>8990.67</v>
      </c>
      <c r="AA55" s="51">
        <f t="shared" si="11"/>
        <v>110000</v>
      </c>
      <c r="AB55" s="51">
        <f t="shared" si="12"/>
        <v>77370.09</v>
      </c>
      <c r="AC55" s="22"/>
      <c r="AD55" s="31">
        <f t="shared" si="13"/>
        <v>110000</v>
      </c>
      <c r="AE55" s="31">
        <f t="shared" si="14"/>
        <v>77370.09</v>
      </c>
      <c r="AF55" s="17">
        <f t="shared" si="17"/>
        <v>0</v>
      </c>
      <c r="AG55" s="17">
        <f t="shared" si="18"/>
        <v>0</v>
      </c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61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</row>
    <row r="56" spans="1:117" s="19" customFormat="1" ht="18" customHeight="1" outlineLevel="2" x14ac:dyDescent="0.25">
      <c r="A56" s="48" t="s">
        <v>180</v>
      </c>
      <c r="B56" s="53"/>
      <c r="C56" s="64">
        <v>7290</v>
      </c>
      <c r="D56" s="68">
        <v>4005</v>
      </c>
      <c r="E56" s="68">
        <v>7290</v>
      </c>
      <c r="F56" s="68">
        <v>3535</v>
      </c>
      <c r="G56" s="68">
        <v>7290</v>
      </c>
      <c r="H56" s="50">
        <v>5757.4</v>
      </c>
      <c r="I56" s="68">
        <v>7290</v>
      </c>
      <c r="J56" s="68">
        <v>6816.2</v>
      </c>
      <c r="K56" s="68">
        <v>7290</v>
      </c>
      <c r="L56" s="68">
        <v>7295.1</v>
      </c>
      <c r="M56" s="68">
        <v>7290</v>
      </c>
      <c r="N56" s="68">
        <v>7238.08</v>
      </c>
      <c r="O56" s="68">
        <v>7290</v>
      </c>
      <c r="P56" s="68">
        <v>6247.5</v>
      </c>
      <c r="Q56" s="68">
        <v>7290</v>
      </c>
      <c r="R56" s="68">
        <v>6279.6</v>
      </c>
      <c r="S56" s="68">
        <v>7290</v>
      </c>
      <c r="T56" s="68">
        <v>5049.8</v>
      </c>
      <c r="U56" s="68">
        <v>7290</v>
      </c>
      <c r="V56" s="68">
        <v>4525</v>
      </c>
      <c r="W56" s="68">
        <v>7290</v>
      </c>
      <c r="X56" s="68">
        <v>5545</v>
      </c>
      <c r="Y56" s="68">
        <v>7290</v>
      </c>
      <c r="Z56" s="68">
        <v>6525</v>
      </c>
      <c r="AA56" s="51">
        <f t="shared" si="11"/>
        <v>87480</v>
      </c>
      <c r="AB56" s="51">
        <f t="shared" si="12"/>
        <v>68818.679999999993</v>
      </c>
      <c r="AC56" s="22"/>
      <c r="AD56" s="31">
        <f t="shared" si="13"/>
        <v>87480</v>
      </c>
      <c r="AE56" s="31">
        <f t="shared" si="14"/>
        <v>68818.679999999993</v>
      </c>
      <c r="AF56" s="17">
        <f t="shared" si="17"/>
        <v>0</v>
      </c>
      <c r="AG56" s="17">
        <f t="shared" si="18"/>
        <v>0</v>
      </c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61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</row>
    <row r="57" spans="1:117" s="19" customFormat="1" ht="18" customHeight="1" outlineLevel="2" x14ac:dyDescent="0.25">
      <c r="A57" s="48" t="s">
        <v>134</v>
      </c>
      <c r="B57" s="53"/>
      <c r="C57" s="64">
        <v>1800</v>
      </c>
      <c r="D57" s="68">
        <v>895</v>
      </c>
      <c r="E57" s="68">
        <v>1800</v>
      </c>
      <c r="F57" s="68">
        <v>1800</v>
      </c>
      <c r="G57" s="68">
        <v>1800</v>
      </c>
      <c r="H57" s="50">
        <v>1418</v>
      </c>
      <c r="I57" s="68">
        <v>1800</v>
      </c>
      <c r="J57" s="68">
        <v>1900</v>
      </c>
      <c r="K57" s="68">
        <v>1800</v>
      </c>
      <c r="L57" s="68">
        <v>1800</v>
      </c>
      <c r="M57" s="68">
        <v>1800</v>
      </c>
      <c r="N57" s="68">
        <v>1800</v>
      </c>
      <c r="O57" s="68">
        <v>1800</v>
      </c>
      <c r="P57" s="68">
        <v>1500</v>
      </c>
      <c r="Q57" s="68">
        <v>1800</v>
      </c>
      <c r="R57" s="68">
        <v>1500</v>
      </c>
      <c r="S57" s="68">
        <v>1800</v>
      </c>
      <c r="T57" s="68">
        <v>1200</v>
      </c>
      <c r="U57" s="68">
        <v>1800</v>
      </c>
      <c r="V57" s="68">
        <v>1500</v>
      </c>
      <c r="W57" s="68">
        <v>1800</v>
      </c>
      <c r="X57" s="68">
        <v>1500</v>
      </c>
      <c r="Y57" s="68">
        <v>1800</v>
      </c>
      <c r="Z57" s="68">
        <v>1500</v>
      </c>
      <c r="AA57" s="51">
        <f t="shared" si="11"/>
        <v>21600</v>
      </c>
      <c r="AB57" s="51">
        <f t="shared" si="12"/>
        <v>18313</v>
      </c>
      <c r="AC57" s="22"/>
      <c r="AD57" s="31">
        <f t="shared" si="13"/>
        <v>21600</v>
      </c>
      <c r="AE57" s="31">
        <f t="shared" si="14"/>
        <v>18313</v>
      </c>
      <c r="AF57" s="17">
        <f t="shared" si="17"/>
        <v>0</v>
      </c>
      <c r="AG57" s="17">
        <f t="shared" si="18"/>
        <v>0</v>
      </c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61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</row>
    <row r="58" spans="1:117" s="19" customFormat="1" ht="18" customHeight="1" outlineLevel="2" x14ac:dyDescent="0.25">
      <c r="A58" s="48" t="s">
        <v>135</v>
      </c>
      <c r="B58" s="53"/>
      <c r="C58" s="64">
        <v>600</v>
      </c>
      <c r="D58" s="68">
        <v>298</v>
      </c>
      <c r="E58" s="68">
        <v>600</v>
      </c>
      <c r="F58" s="68">
        <v>600</v>
      </c>
      <c r="G58" s="68">
        <v>600</v>
      </c>
      <c r="H58" s="50">
        <v>503.3</v>
      </c>
      <c r="I58" s="68">
        <v>600</v>
      </c>
      <c r="J58" s="68">
        <v>600</v>
      </c>
      <c r="K58" s="68">
        <v>600</v>
      </c>
      <c r="L58" s="68">
        <v>600</v>
      </c>
      <c r="M58" s="68">
        <v>600</v>
      </c>
      <c r="N58" s="68">
        <v>600</v>
      </c>
      <c r="O58" s="68">
        <v>600</v>
      </c>
      <c r="P58" s="68">
        <v>500</v>
      </c>
      <c r="Q58" s="68">
        <v>600</v>
      </c>
      <c r="R58" s="68">
        <v>500</v>
      </c>
      <c r="S58" s="68">
        <v>600</v>
      </c>
      <c r="T58" s="68">
        <v>400</v>
      </c>
      <c r="U58" s="68">
        <v>600</v>
      </c>
      <c r="V58" s="68">
        <v>500</v>
      </c>
      <c r="W58" s="68">
        <v>600</v>
      </c>
      <c r="X58" s="68">
        <v>500</v>
      </c>
      <c r="Y58" s="68">
        <v>600</v>
      </c>
      <c r="Z58" s="68">
        <v>400</v>
      </c>
      <c r="AA58" s="51">
        <f t="shared" si="11"/>
        <v>7200</v>
      </c>
      <c r="AB58" s="51">
        <f t="shared" si="12"/>
        <v>6001.3</v>
      </c>
      <c r="AC58" s="22"/>
      <c r="AD58" s="31">
        <f t="shared" si="13"/>
        <v>7200</v>
      </c>
      <c r="AE58" s="31">
        <f t="shared" si="14"/>
        <v>6001.3</v>
      </c>
      <c r="AF58" s="17">
        <f t="shared" si="17"/>
        <v>0</v>
      </c>
      <c r="AG58" s="17">
        <f t="shared" si="18"/>
        <v>0</v>
      </c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61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</row>
    <row r="59" spans="1:117" s="19" customFormat="1" ht="18" customHeight="1" outlineLevel="1" x14ac:dyDescent="0.25">
      <c r="A59" s="48" t="s">
        <v>136</v>
      </c>
      <c r="B59" s="53"/>
      <c r="C59" s="64">
        <v>3750</v>
      </c>
      <c r="D59" s="68">
        <v>8923.41</v>
      </c>
      <c r="E59" s="68">
        <v>3750</v>
      </c>
      <c r="F59" s="68">
        <v>7797</v>
      </c>
      <c r="G59" s="68">
        <v>11750</v>
      </c>
      <c r="H59" s="50">
        <v>9084.01</v>
      </c>
      <c r="I59" s="68">
        <v>3750</v>
      </c>
      <c r="J59" s="68">
        <v>11301.79</v>
      </c>
      <c r="K59" s="68">
        <v>3750</v>
      </c>
      <c r="L59" s="68">
        <v>3921</v>
      </c>
      <c r="M59" s="68">
        <v>3750</v>
      </c>
      <c r="N59" s="68">
        <v>1394.8</v>
      </c>
      <c r="O59" s="68">
        <v>3750</v>
      </c>
      <c r="P59" s="68">
        <v>859</v>
      </c>
      <c r="Q59" s="68">
        <v>3750</v>
      </c>
      <c r="R59" s="68">
        <v>6032.3</v>
      </c>
      <c r="S59" s="68">
        <v>3750</v>
      </c>
      <c r="T59" s="68">
        <v>19662.14</v>
      </c>
      <c r="U59" s="68">
        <v>3750</v>
      </c>
      <c r="V59" s="68">
        <v>1142.6199999999999</v>
      </c>
      <c r="W59" s="68">
        <v>3750</v>
      </c>
      <c r="X59" s="68">
        <v>1712.41</v>
      </c>
      <c r="Y59" s="68">
        <v>3750</v>
      </c>
      <c r="Z59" s="68">
        <v>1332</v>
      </c>
      <c r="AA59" s="51">
        <f t="shared" si="11"/>
        <v>53000</v>
      </c>
      <c r="AB59" s="51">
        <f t="shared" si="12"/>
        <v>73162.48000000001</v>
      </c>
      <c r="AC59" s="22"/>
      <c r="AD59" s="31">
        <f t="shared" si="13"/>
        <v>53000</v>
      </c>
      <c r="AE59" s="31">
        <f t="shared" si="14"/>
        <v>73162.48000000001</v>
      </c>
      <c r="AF59" s="17">
        <f t="shared" si="17"/>
        <v>0</v>
      </c>
      <c r="AG59" s="17">
        <f t="shared" si="18"/>
        <v>0</v>
      </c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61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</row>
    <row r="60" spans="1:117" s="19" customFormat="1" ht="18" customHeight="1" outlineLevel="1" x14ac:dyDescent="0.25">
      <c r="A60" s="48" t="s">
        <v>137</v>
      </c>
      <c r="B60" s="53"/>
      <c r="C60" s="64"/>
      <c r="D60" s="68">
        <v>0</v>
      </c>
      <c r="E60" s="68"/>
      <c r="F60" s="68">
        <v>0</v>
      </c>
      <c r="G60" s="68"/>
      <c r="H60" s="50">
        <v>0</v>
      </c>
      <c r="I60" s="68"/>
      <c r="J60" s="68">
        <v>0</v>
      </c>
      <c r="K60" s="68"/>
      <c r="L60" s="68">
        <v>0</v>
      </c>
      <c r="M60" s="68"/>
      <c r="N60" s="68">
        <v>0</v>
      </c>
      <c r="O60" s="68"/>
      <c r="P60" s="68">
        <v>0</v>
      </c>
      <c r="Q60" s="68"/>
      <c r="R60" s="68">
        <v>0</v>
      </c>
      <c r="S60" s="68"/>
      <c r="T60" s="68">
        <v>0</v>
      </c>
      <c r="U60" s="68"/>
      <c r="V60" s="68">
        <v>0</v>
      </c>
      <c r="W60" s="68"/>
      <c r="X60" s="68">
        <v>0</v>
      </c>
      <c r="Y60" s="68"/>
      <c r="Z60" s="68">
        <v>0</v>
      </c>
      <c r="AA60" s="51">
        <f t="shared" si="11"/>
        <v>0</v>
      </c>
      <c r="AB60" s="51">
        <f t="shared" si="12"/>
        <v>0</v>
      </c>
      <c r="AC60" s="22"/>
      <c r="AD60" s="31">
        <f t="shared" si="13"/>
        <v>0</v>
      </c>
      <c r="AE60" s="31">
        <f t="shared" si="14"/>
        <v>0</v>
      </c>
      <c r="AF60" s="17">
        <f t="shared" si="17"/>
        <v>0</v>
      </c>
      <c r="AG60" s="17">
        <f t="shared" si="18"/>
        <v>0</v>
      </c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61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</row>
    <row r="61" spans="1:117" s="19" customFormat="1" ht="18" customHeight="1" outlineLevel="1" x14ac:dyDescent="0.25">
      <c r="A61" s="48" t="s">
        <v>138</v>
      </c>
      <c r="B61" s="53"/>
      <c r="C61" s="64"/>
      <c r="D61" s="68">
        <v>0</v>
      </c>
      <c r="E61" s="68"/>
      <c r="F61" s="68">
        <v>0</v>
      </c>
      <c r="G61" s="68"/>
      <c r="H61" s="50">
        <v>0</v>
      </c>
      <c r="I61" s="68"/>
      <c r="J61" s="68">
        <v>0</v>
      </c>
      <c r="K61" s="68"/>
      <c r="L61" s="68">
        <v>0</v>
      </c>
      <c r="M61" s="68"/>
      <c r="N61" s="68">
        <v>0</v>
      </c>
      <c r="O61" s="68"/>
      <c r="P61" s="68">
        <v>0</v>
      </c>
      <c r="Q61" s="68"/>
      <c r="R61" s="68">
        <v>0</v>
      </c>
      <c r="S61" s="68"/>
      <c r="T61" s="68">
        <v>0</v>
      </c>
      <c r="U61" s="68"/>
      <c r="V61" s="68">
        <v>0</v>
      </c>
      <c r="W61" s="68"/>
      <c r="X61" s="68">
        <v>0</v>
      </c>
      <c r="Y61" s="68"/>
      <c r="Z61" s="68">
        <v>0</v>
      </c>
      <c r="AA61" s="51">
        <f t="shared" si="11"/>
        <v>0</v>
      </c>
      <c r="AB61" s="51">
        <f t="shared" si="12"/>
        <v>0</v>
      </c>
      <c r="AC61" s="22"/>
      <c r="AD61" s="31">
        <f t="shared" si="13"/>
        <v>0</v>
      </c>
      <c r="AE61" s="31">
        <f t="shared" si="14"/>
        <v>0</v>
      </c>
      <c r="AF61" s="17">
        <f t="shared" si="17"/>
        <v>0</v>
      </c>
      <c r="AG61" s="17">
        <f t="shared" si="18"/>
        <v>0</v>
      </c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61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</row>
    <row r="62" spans="1:117" s="19" customFormat="1" ht="18" customHeight="1" outlineLevel="1" x14ac:dyDescent="0.25">
      <c r="A62" s="48" t="s">
        <v>139</v>
      </c>
      <c r="B62" s="53"/>
      <c r="C62" s="64"/>
      <c r="D62" s="68">
        <v>0</v>
      </c>
      <c r="E62" s="68"/>
      <c r="F62" s="68">
        <v>0</v>
      </c>
      <c r="G62" s="68"/>
      <c r="H62" s="50">
        <v>0</v>
      </c>
      <c r="I62" s="68"/>
      <c r="J62" s="68">
        <v>0</v>
      </c>
      <c r="K62" s="68"/>
      <c r="L62" s="68">
        <v>0</v>
      </c>
      <c r="M62" s="68"/>
      <c r="N62" s="68">
        <v>0</v>
      </c>
      <c r="O62" s="68"/>
      <c r="P62" s="68">
        <v>0</v>
      </c>
      <c r="Q62" s="68"/>
      <c r="R62" s="68">
        <v>0</v>
      </c>
      <c r="S62" s="68"/>
      <c r="T62" s="68">
        <v>0</v>
      </c>
      <c r="U62" s="68"/>
      <c r="V62" s="68">
        <v>0</v>
      </c>
      <c r="W62" s="68"/>
      <c r="X62" s="68">
        <v>0</v>
      </c>
      <c r="Y62" s="68"/>
      <c r="Z62" s="68">
        <v>0</v>
      </c>
      <c r="AA62" s="51">
        <f t="shared" si="11"/>
        <v>0</v>
      </c>
      <c r="AB62" s="51">
        <f t="shared" si="12"/>
        <v>0</v>
      </c>
      <c r="AC62" s="22"/>
      <c r="AD62" s="31">
        <f t="shared" si="13"/>
        <v>0</v>
      </c>
      <c r="AE62" s="31">
        <f t="shared" si="14"/>
        <v>0</v>
      </c>
      <c r="AF62" s="17">
        <f t="shared" si="17"/>
        <v>0</v>
      </c>
      <c r="AG62" s="17">
        <f t="shared" si="18"/>
        <v>0</v>
      </c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61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</row>
    <row r="63" spans="1:117" s="19" customFormat="1" ht="18" customHeight="1" outlineLevel="1" x14ac:dyDescent="0.25">
      <c r="A63" s="48" t="s">
        <v>140</v>
      </c>
      <c r="B63" s="53"/>
      <c r="C63" s="64"/>
      <c r="D63" s="68">
        <v>0</v>
      </c>
      <c r="E63" s="68"/>
      <c r="F63" s="68">
        <v>0</v>
      </c>
      <c r="G63" s="68"/>
      <c r="H63" s="50">
        <v>0</v>
      </c>
      <c r="I63" s="68"/>
      <c r="J63" s="68">
        <v>0</v>
      </c>
      <c r="K63" s="68"/>
      <c r="L63" s="68">
        <v>0</v>
      </c>
      <c r="M63" s="68"/>
      <c r="N63" s="68">
        <v>0</v>
      </c>
      <c r="O63" s="68"/>
      <c r="P63" s="68">
        <v>0</v>
      </c>
      <c r="Q63" s="68"/>
      <c r="R63" s="68">
        <v>0</v>
      </c>
      <c r="S63" s="68"/>
      <c r="T63" s="68">
        <v>0</v>
      </c>
      <c r="U63" s="68"/>
      <c r="V63" s="68">
        <v>0</v>
      </c>
      <c r="W63" s="68"/>
      <c r="X63" s="68">
        <v>0</v>
      </c>
      <c r="Y63" s="68"/>
      <c r="Z63" s="68">
        <v>0</v>
      </c>
      <c r="AA63" s="51">
        <f t="shared" si="11"/>
        <v>0</v>
      </c>
      <c r="AB63" s="51">
        <f t="shared" si="12"/>
        <v>0</v>
      </c>
      <c r="AC63" s="22"/>
      <c r="AD63" s="31">
        <f t="shared" si="13"/>
        <v>0</v>
      </c>
      <c r="AE63" s="31">
        <f t="shared" si="14"/>
        <v>0</v>
      </c>
      <c r="AF63" s="17">
        <f t="shared" si="17"/>
        <v>0</v>
      </c>
      <c r="AG63" s="17">
        <f t="shared" si="18"/>
        <v>0</v>
      </c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61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</row>
    <row r="64" spans="1:117" s="19" customFormat="1" ht="18" customHeight="1" outlineLevel="1" x14ac:dyDescent="0.25">
      <c r="A64" s="48" t="s">
        <v>141</v>
      </c>
      <c r="B64" s="53"/>
      <c r="C64" s="64">
        <v>2500</v>
      </c>
      <c r="D64" s="68">
        <v>2687.5</v>
      </c>
      <c r="E64" s="68">
        <v>2500</v>
      </c>
      <c r="F64" s="68">
        <v>2500</v>
      </c>
      <c r="G64" s="68">
        <v>2500</v>
      </c>
      <c r="H64" s="50">
        <v>2500</v>
      </c>
      <c r="I64" s="68">
        <v>2500</v>
      </c>
      <c r="J64" s="68">
        <v>2687.5</v>
      </c>
      <c r="K64" s="68">
        <v>2500</v>
      </c>
      <c r="L64" s="68">
        <v>2500</v>
      </c>
      <c r="M64" s="68">
        <v>2500</v>
      </c>
      <c r="N64" s="68">
        <v>2500</v>
      </c>
      <c r="O64" s="68">
        <v>2500</v>
      </c>
      <c r="P64" s="68">
        <v>2687.5</v>
      </c>
      <c r="Q64" s="68">
        <v>2500</v>
      </c>
      <c r="R64" s="68">
        <v>2687.5</v>
      </c>
      <c r="S64" s="68">
        <v>2500</v>
      </c>
      <c r="T64" s="68">
        <v>2500</v>
      </c>
      <c r="U64" s="68">
        <v>2500</v>
      </c>
      <c r="V64" s="68">
        <v>2500</v>
      </c>
      <c r="W64" s="68">
        <v>2500</v>
      </c>
      <c r="X64" s="68">
        <v>2500</v>
      </c>
      <c r="Y64" s="68">
        <v>2500</v>
      </c>
      <c r="Z64" s="68">
        <v>2500</v>
      </c>
      <c r="AA64" s="51">
        <f t="shared" si="11"/>
        <v>30000</v>
      </c>
      <c r="AB64" s="51">
        <f t="shared" si="12"/>
        <v>30750</v>
      </c>
      <c r="AC64" s="22"/>
      <c r="AD64" s="31">
        <f t="shared" si="13"/>
        <v>30000</v>
      </c>
      <c r="AE64" s="31">
        <f t="shared" si="14"/>
        <v>30750</v>
      </c>
      <c r="AF64" s="17">
        <f t="shared" si="17"/>
        <v>0</v>
      </c>
      <c r="AG64" s="17">
        <f t="shared" si="18"/>
        <v>0</v>
      </c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61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</row>
    <row r="65" spans="1:117" s="17" customFormat="1" ht="18" customHeight="1" outlineLevel="1" x14ac:dyDescent="0.25">
      <c r="A65" s="67" t="s">
        <v>142</v>
      </c>
      <c r="B65" s="45"/>
      <c r="C65" s="65">
        <f>SUM(C66:C69)</f>
        <v>150</v>
      </c>
      <c r="D65" s="68">
        <v>0</v>
      </c>
      <c r="E65" s="65">
        <f t="shared" ref="E65:Z65" si="22">SUM(E66:E69)</f>
        <v>150</v>
      </c>
      <c r="F65" s="65">
        <f t="shared" si="22"/>
        <v>0</v>
      </c>
      <c r="G65" s="65">
        <f t="shared" si="22"/>
        <v>150</v>
      </c>
      <c r="H65" s="65">
        <f t="shared" si="22"/>
        <v>0</v>
      </c>
      <c r="I65" s="65">
        <f t="shared" si="22"/>
        <v>150</v>
      </c>
      <c r="J65" s="65">
        <f t="shared" si="22"/>
        <v>0</v>
      </c>
      <c r="K65" s="65">
        <f t="shared" si="22"/>
        <v>150</v>
      </c>
      <c r="L65" s="65">
        <f t="shared" si="22"/>
        <v>0</v>
      </c>
      <c r="M65" s="65">
        <f t="shared" si="22"/>
        <v>150</v>
      </c>
      <c r="N65" s="65">
        <f t="shared" si="22"/>
        <v>0</v>
      </c>
      <c r="O65" s="65">
        <f t="shared" si="22"/>
        <v>150</v>
      </c>
      <c r="P65" s="65">
        <f t="shared" si="22"/>
        <v>0</v>
      </c>
      <c r="Q65" s="65">
        <f t="shared" si="22"/>
        <v>150</v>
      </c>
      <c r="R65" s="65">
        <f t="shared" si="22"/>
        <v>0</v>
      </c>
      <c r="S65" s="65">
        <f t="shared" si="22"/>
        <v>150</v>
      </c>
      <c r="T65" s="65">
        <f t="shared" si="22"/>
        <v>0</v>
      </c>
      <c r="U65" s="65">
        <f t="shared" si="22"/>
        <v>150</v>
      </c>
      <c r="V65" s="65">
        <f t="shared" si="22"/>
        <v>0</v>
      </c>
      <c r="W65" s="65">
        <f t="shared" si="22"/>
        <v>150</v>
      </c>
      <c r="X65" s="65">
        <f t="shared" si="22"/>
        <v>0</v>
      </c>
      <c r="Y65" s="65">
        <f t="shared" si="22"/>
        <v>150</v>
      </c>
      <c r="Z65" s="65">
        <f t="shared" si="22"/>
        <v>0</v>
      </c>
      <c r="AA65" s="47">
        <f t="shared" si="11"/>
        <v>1800</v>
      </c>
      <c r="AB65" s="51">
        <f t="shared" si="12"/>
        <v>0</v>
      </c>
      <c r="AC65" s="21"/>
      <c r="AD65" s="31">
        <f t="shared" si="13"/>
        <v>1800</v>
      </c>
      <c r="AE65" s="31">
        <f t="shared" si="14"/>
        <v>0</v>
      </c>
      <c r="AF65" s="17">
        <f t="shared" si="17"/>
        <v>0</v>
      </c>
      <c r="AG65" s="17">
        <f t="shared" si="18"/>
        <v>0</v>
      </c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66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</row>
    <row r="66" spans="1:117" s="19" customFormat="1" ht="18" customHeight="1" outlineLevel="2" x14ac:dyDescent="0.25">
      <c r="A66" s="48" t="s">
        <v>143</v>
      </c>
      <c r="B66" s="53"/>
      <c r="C66" s="64">
        <v>40</v>
      </c>
      <c r="D66" s="68">
        <v>0</v>
      </c>
      <c r="E66" s="68">
        <v>40</v>
      </c>
      <c r="F66" s="68">
        <v>0</v>
      </c>
      <c r="G66" s="68">
        <v>40</v>
      </c>
      <c r="H66" s="50">
        <v>0</v>
      </c>
      <c r="I66" s="68">
        <v>40</v>
      </c>
      <c r="J66" s="68">
        <v>0</v>
      </c>
      <c r="K66" s="68">
        <v>40</v>
      </c>
      <c r="L66" s="68">
        <v>0</v>
      </c>
      <c r="M66" s="68">
        <v>40</v>
      </c>
      <c r="N66" s="68">
        <v>0</v>
      </c>
      <c r="O66" s="68">
        <v>40</v>
      </c>
      <c r="P66" s="68">
        <v>0</v>
      </c>
      <c r="Q66" s="68">
        <v>40</v>
      </c>
      <c r="R66" s="68">
        <v>0</v>
      </c>
      <c r="S66" s="68">
        <v>40</v>
      </c>
      <c r="T66" s="68">
        <v>0</v>
      </c>
      <c r="U66" s="68">
        <v>40</v>
      </c>
      <c r="V66" s="68">
        <v>0</v>
      </c>
      <c r="W66" s="68">
        <v>40</v>
      </c>
      <c r="X66" s="68">
        <v>0</v>
      </c>
      <c r="Y66" s="68">
        <v>40</v>
      </c>
      <c r="Z66" s="68">
        <v>0</v>
      </c>
      <c r="AA66" s="51">
        <f t="shared" si="11"/>
        <v>480</v>
      </c>
      <c r="AB66" s="51">
        <f t="shared" si="12"/>
        <v>0</v>
      </c>
      <c r="AC66" s="22"/>
      <c r="AD66" s="31">
        <f t="shared" si="13"/>
        <v>480</v>
      </c>
      <c r="AE66" s="31">
        <f t="shared" si="14"/>
        <v>0</v>
      </c>
      <c r="AF66" s="17">
        <f t="shared" si="17"/>
        <v>0</v>
      </c>
      <c r="AG66" s="17">
        <f t="shared" si="18"/>
        <v>0</v>
      </c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61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</row>
    <row r="67" spans="1:117" s="19" customFormat="1" ht="18" customHeight="1" outlineLevel="2" x14ac:dyDescent="0.25">
      <c r="A67" s="48" t="s">
        <v>144</v>
      </c>
      <c r="B67" s="53"/>
      <c r="C67" s="64">
        <v>110</v>
      </c>
      <c r="D67" s="68">
        <v>0</v>
      </c>
      <c r="E67" s="68">
        <v>110</v>
      </c>
      <c r="F67" s="68">
        <v>0</v>
      </c>
      <c r="G67" s="68">
        <v>110</v>
      </c>
      <c r="H67" s="50">
        <v>0</v>
      </c>
      <c r="I67" s="68">
        <v>110</v>
      </c>
      <c r="J67" s="68">
        <v>0</v>
      </c>
      <c r="K67" s="68">
        <v>110</v>
      </c>
      <c r="L67" s="68">
        <v>0</v>
      </c>
      <c r="M67" s="68">
        <v>110</v>
      </c>
      <c r="N67" s="68">
        <v>0</v>
      </c>
      <c r="O67" s="68">
        <v>110</v>
      </c>
      <c r="P67" s="68">
        <v>0</v>
      </c>
      <c r="Q67" s="68">
        <v>110</v>
      </c>
      <c r="R67" s="68">
        <v>0</v>
      </c>
      <c r="S67" s="68">
        <v>110</v>
      </c>
      <c r="T67" s="68">
        <v>0</v>
      </c>
      <c r="U67" s="68">
        <v>110</v>
      </c>
      <c r="V67" s="68">
        <v>0</v>
      </c>
      <c r="W67" s="68">
        <v>110</v>
      </c>
      <c r="X67" s="68">
        <v>0</v>
      </c>
      <c r="Y67" s="68">
        <v>110</v>
      </c>
      <c r="Z67" s="68">
        <v>0</v>
      </c>
      <c r="AA67" s="51">
        <f t="shared" si="11"/>
        <v>1320</v>
      </c>
      <c r="AB67" s="51">
        <f t="shared" si="12"/>
        <v>0</v>
      </c>
      <c r="AC67" s="22"/>
      <c r="AD67" s="31">
        <f t="shared" si="13"/>
        <v>1320</v>
      </c>
      <c r="AE67" s="31">
        <f t="shared" si="14"/>
        <v>0</v>
      </c>
      <c r="AF67" s="17">
        <f t="shared" si="17"/>
        <v>0</v>
      </c>
      <c r="AG67" s="17">
        <f t="shared" si="18"/>
        <v>0</v>
      </c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61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</row>
    <row r="68" spans="1:117" s="19" customFormat="1" ht="18" customHeight="1" outlineLevel="2" x14ac:dyDescent="0.25">
      <c r="A68" s="48" t="s">
        <v>145</v>
      </c>
      <c r="B68" s="53"/>
      <c r="C68" s="64"/>
      <c r="D68" s="68">
        <v>0</v>
      </c>
      <c r="E68" s="68"/>
      <c r="F68" s="68">
        <v>0</v>
      </c>
      <c r="G68" s="68"/>
      <c r="H68" s="50">
        <v>0</v>
      </c>
      <c r="I68" s="68"/>
      <c r="J68" s="68">
        <v>0</v>
      </c>
      <c r="K68" s="68"/>
      <c r="L68" s="68">
        <v>0</v>
      </c>
      <c r="M68" s="68"/>
      <c r="N68" s="68">
        <v>0</v>
      </c>
      <c r="O68" s="68"/>
      <c r="P68" s="68">
        <v>0</v>
      </c>
      <c r="Q68" s="68"/>
      <c r="R68" s="68">
        <v>0</v>
      </c>
      <c r="S68" s="68"/>
      <c r="T68" s="68">
        <v>0</v>
      </c>
      <c r="U68" s="68"/>
      <c r="V68" s="68">
        <v>0</v>
      </c>
      <c r="W68" s="68"/>
      <c r="X68" s="68">
        <v>0</v>
      </c>
      <c r="Y68" s="68"/>
      <c r="Z68" s="68">
        <v>0</v>
      </c>
      <c r="AA68" s="51">
        <f t="shared" si="11"/>
        <v>0</v>
      </c>
      <c r="AB68" s="51">
        <f t="shared" si="12"/>
        <v>0</v>
      </c>
      <c r="AC68" s="22"/>
      <c r="AD68" s="31">
        <f t="shared" si="13"/>
        <v>0</v>
      </c>
      <c r="AE68" s="31">
        <f t="shared" si="14"/>
        <v>0</v>
      </c>
      <c r="AF68" s="17">
        <f t="shared" si="17"/>
        <v>0</v>
      </c>
      <c r="AG68" s="17">
        <f t="shared" si="18"/>
        <v>0</v>
      </c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61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</row>
    <row r="69" spans="1:117" s="19" customFormat="1" ht="18" customHeight="1" outlineLevel="2" x14ac:dyDescent="0.25">
      <c r="A69" s="48" t="s">
        <v>146</v>
      </c>
      <c r="B69" s="53"/>
      <c r="C69" s="64"/>
      <c r="D69" s="68">
        <v>0</v>
      </c>
      <c r="E69" s="68"/>
      <c r="F69" s="68">
        <v>0</v>
      </c>
      <c r="G69" s="68"/>
      <c r="H69" s="50">
        <v>0</v>
      </c>
      <c r="I69" s="68"/>
      <c r="J69" s="68">
        <v>0</v>
      </c>
      <c r="K69" s="68"/>
      <c r="L69" s="68">
        <v>0</v>
      </c>
      <c r="M69" s="68"/>
      <c r="N69" s="68">
        <v>0</v>
      </c>
      <c r="O69" s="68"/>
      <c r="P69" s="68">
        <v>0</v>
      </c>
      <c r="Q69" s="68"/>
      <c r="R69" s="68">
        <v>0</v>
      </c>
      <c r="S69" s="68"/>
      <c r="T69" s="68">
        <v>0</v>
      </c>
      <c r="U69" s="68"/>
      <c r="V69" s="68">
        <v>0</v>
      </c>
      <c r="W69" s="68"/>
      <c r="X69" s="68">
        <v>0</v>
      </c>
      <c r="Y69" s="68"/>
      <c r="Z69" s="68">
        <v>0</v>
      </c>
      <c r="AA69" s="51">
        <f t="shared" si="11"/>
        <v>0</v>
      </c>
      <c r="AB69" s="51">
        <f t="shared" si="12"/>
        <v>0</v>
      </c>
      <c r="AC69" s="22"/>
      <c r="AD69" s="31">
        <f t="shared" si="13"/>
        <v>0</v>
      </c>
      <c r="AE69" s="31">
        <f t="shared" si="14"/>
        <v>0</v>
      </c>
      <c r="AF69" s="17">
        <f t="shared" si="17"/>
        <v>0</v>
      </c>
      <c r="AG69" s="17">
        <f t="shared" si="18"/>
        <v>0</v>
      </c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61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</row>
    <row r="70" spans="1:117" s="19" customFormat="1" ht="18" customHeight="1" outlineLevel="1" x14ac:dyDescent="0.25">
      <c r="A70" s="48" t="s">
        <v>147</v>
      </c>
      <c r="B70" s="53"/>
      <c r="C70" s="64"/>
      <c r="D70" s="68">
        <v>0</v>
      </c>
      <c r="E70" s="68"/>
      <c r="F70" s="68">
        <v>0</v>
      </c>
      <c r="G70" s="68"/>
      <c r="H70" s="50">
        <v>0</v>
      </c>
      <c r="I70" s="68"/>
      <c r="J70" s="68">
        <v>0</v>
      </c>
      <c r="K70" s="68"/>
      <c r="L70" s="68">
        <v>0</v>
      </c>
      <c r="M70" s="68"/>
      <c r="N70" s="68">
        <v>0</v>
      </c>
      <c r="O70" s="68"/>
      <c r="P70" s="68">
        <v>0</v>
      </c>
      <c r="Q70" s="68"/>
      <c r="R70" s="68">
        <v>0</v>
      </c>
      <c r="S70" s="68"/>
      <c r="T70" s="68">
        <v>0</v>
      </c>
      <c r="U70" s="68"/>
      <c r="V70" s="68">
        <v>0</v>
      </c>
      <c r="W70" s="68"/>
      <c r="X70" s="68">
        <v>0</v>
      </c>
      <c r="Y70" s="68"/>
      <c r="Z70" s="68">
        <v>0</v>
      </c>
      <c r="AA70" s="51">
        <f t="shared" si="11"/>
        <v>0</v>
      </c>
      <c r="AB70" s="51">
        <f t="shared" si="12"/>
        <v>0</v>
      </c>
      <c r="AC70" s="22"/>
      <c r="AD70" s="31">
        <f t="shared" si="13"/>
        <v>0</v>
      </c>
      <c r="AE70" s="31">
        <f t="shared" si="14"/>
        <v>0</v>
      </c>
      <c r="AF70" s="17">
        <f t="shared" si="17"/>
        <v>0</v>
      </c>
      <c r="AG70" s="17">
        <f t="shared" si="18"/>
        <v>0</v>
      </c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61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</row>
    <row r="71" spans="1:117" s="19" customFormat="1" ht="18" customHeight="1" outlineLevel="1" x14ac:dyDescent="0.25">
      <c r="A71" s="48" t="s">
        <v>148</v>
      </c>
      <c r="B71" s="53"/>
      <c r="C71" s="64"/>
      <c r="D71" s="68">
        <v>0</v>
      </c>
      <c r="E71" s="68"/>
      <c r="F71" s="68">
        <v>0</v>
      </c>
      <c r="G71" s="68">
        <v>1800</v>
      </c>
      <c r="H71" s="50">
        <v>0</v>
      </c>
      <c r="I71" s="68"/>
      <c r="J71" s="68">
        <v>0</v>
      </c>
      <c r="K71" s="68"/>
      <c r="L71" s="68">
        <v>0</v>
      </c>
      <c r="M71" s="68"/>
      <c r="N71" s="68">
        <v>0</v>
      </c>
      <c r="O71" s="68"/>
      <c r="P71" s="68">
        <v>0</v>
      </c>
      <c r="Q71" s="68"/>
      <c r="R71" s="68">
        <v>0</v>
      </c>
      <c r="S71" s="68"/>
      <c r="T71" s="68">
        <v>0</v>
      </c>
      <c r="U71" s="68"/>
      <c r="V71" s="68">
        <v>0</v>
      </c>
      <c r="W71" s="68"/>
      <c r="X71" s="68">
        <v>0</v>
      </c>
      <c r="Y71" s="68"/>
      <c r="Z71" s="68">
        <v>0</v>
      </c>
      <c r="AA71" s="51">
        <f t="shared" si="11"/>
        <v>1800</v>
      </c>
      <c r="AB71" s="51">
        <f t="shared" si="12"/>
        <v>0</v>
      </c>
      <c r="AC71" s="22"/>
      <c r="AD71" s="31">
        <f t="shared" si="13"/>
        <v>1800</v>
      </c>
      <c r="AE71" s="31">
        <f t="shared" si="14"/>
        <v>0</v>
      </c>
      <c r="AF71" s="17">
        <f t="shared" si="17"/>
        <v>0</v>
      </c>
      <c r="AG71" s="17">
        <f t="shared" si="18"/>
        <v>0</v>
      </c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61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</row>
    <row r="72" spans="1:117" s="19" customFormat="1" ht="18" customHeight="1" outlineLevel="1" x14ac:dyDescent="0.25">
      <c r="A72" s="48" t="s">
        <v>149</v>
      </c>
      <c r="B72" s="53"/>
      <c r="C72" s="64"/>
      <c r="D72" s="68">
        <v>0</v>
      </c>
      <c r="E72" s="68"/>
      <c r="F72" s="68">
        <v>0</v>
      </c>
      <c r="G72" s="68"/>
      <c r="H72" s="50">
        <v>0</v>
      </c>
      <c r="I72" s="68"/>
      <c r="J72" s="68">
        <v>0</v>
      </c>
      <c r="K72" s="68"/>
      <c r="L72" s="68">
        <v>0</v>
      </c>
      <c r="M72" s="68"/>
      <c r="N72" s="68">
        <v>0</v>
      </c>
      <c r="O72" s="68"/>
      <c r="P72" s="68">
        <v>20727.72</v>
      </c>
      <c r="Q72" s="68"/>
      <c r="R72" s="68">
        <v>0</v>
      </c>
      <c r="S72" s="68"/>
      <c r="T72" s="68">
        <v>0</v>
      </c>
      <c r="U72" s="68"/>
      <c r="V72" s="68">
        <v>0</v>
      </c>
      <c r="W72" s="68"/>
      <c r="X72" s="68">
        <v>0</v>
      </c>
      <c r="Y72" s="68"/>
      <c r="Z72" s="68">
        <v>0</v>
      </c>
      <c r="AA72" s="51">
        <f t="shared" si="11"/>
        <v>0</v>
      </c>
      <c r="AB72" s="51">
        <f t="shared" si="12"/>
        <v>20727.72</v>
      </c>
      <c r="AC72" s="22"/>
      <c r="AD72" s="31">
        <f t="shared" si="13"/>
        <v>0</v>
      </c>
      <c r="AE72" s="31">
        <f t="shared" si="14"/>
        <v>20727.72</v>
      </c>
      <c r="AF72" s="17">
        <f t="shared" si="17"/>
        <v>0</v>
      </c>
      <c r="AG72" s="17">
        <f t="shared" si="18"/>
        <v>0</v>
      </c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61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</row>
    <row r="73" spans="1:117" s="19" customFormat="1" ht="18" customHeight="1" outlineLevel="1" x14ac:dyDescent="0.25">
      <c r="A73" s="48" t="s">
        <v>150</v>
      </c>
      <c r="B73" s="53"/>
      <c r="C73" s="64">
        <v>1600</v>
      </c>
      <c r="D73" s="68">
        <v>907.3</v>
      </c>
      <c r="E73" s="68">
        <v>1600</v>
      </c>
      <c r="F73" s="68">
        <v>1055.45</v>
      </c>
      <c r="G73" s="68">
        <v>1600</v>
      </c>
      <c r="H73" s="50">
        <v>1931.69</v>
      </c>
      <c r="I73" s="68">
        <v>1600</v>
      </c>
      <c r="J73" s="68">
        <v>2731.92</v>
      </c>
      <c r="K73" s="68">
        <v>1600</v>
      </c>
      <c r="L73" s="68">
        <v>1560.8</v>
      </c>
      <c r="M73" s="68">
        <v>1600</v>
      </c>
      <c r="N73" s="68">
        <v>965.23</v>
      </c>
      <c r="O73" s="68">
        <v>1600</v>
      </c>
      <c r="P73" s="68">
        <v>1272.54</v>
      </c>
      <c r="Q73" s="68">
        <v>1600</v>
      </c>
      <c r="R73" s="68">
        <v>1246.8499999999999</v>
      </c>
      <c r="S73" s="68">
        <v>1600</v>
      </c>
      <c r="T73" s="68">
        <v>1134.07</v>
      </c>
      <c r="U73" s="68">
        <v>1600</v>
      </c>
      <c r="V73" s="68">
        <v>915.93</v>
      </c>
      <c r="W73" s="68">
        <v>1600</v>
      </c>
      <c r="X73" s="68">
        <v>1096.22</v>
      </c>
      <c r="Y73" s="68">
        <v>1600</v>
      </c>
      <c r="Z73" s="68">
        <v>1289.26</v>
      </c>
      <c r="AA73" s="51">
        <f t="shared" si="11"/>
        <v>19200</v>
      </c>
      <c r="AB73" s="51">
        <f t="shared" si="12"/>
        <v>16107.26</v>
      </c>
      <c r="AC73" s="22"/>
      <c r="AD73" s="31">
        <f t="shared" si="13"/>
        <v>19200</v>
      </c>
      <c r="AE73" s="31">
        <f t="shared" si="14"/>
        <v>16107.26</v>
      </c>
      <c r="AF73" s="17">
        <f t="shared" si="17"/>
        <v>0</v>
      </c>
      <c r="AG73" s="17">
        <f t="shared" si="18"/>
        <v>0</v>
      </c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61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</row>
    <row r="74" spans="1:117" s="19" customFormat="1" ht="18" customHeight="1" outlineLevel="1" x14ac:dyDescent="0.25">
      <c r="A74" s="48" t="s">
        <v>151</v>
      </c>
      <c r="B74" s="53"/>
      <c r="C74" s="64"/>
      <c r="D74" s="68">
        <v>0</v>
      </c>
      <c r="E74" s="68"/>
      <c r="F74" s="68">
        <v>0</v>
      </c>
      <c r="G74" s="68"/>
      <c r="H74" s="50">
        <v>0</v>
      </c>
      <c r="I74" s="68"/>
      <c r="J74" s="68">
        <v>9433.9599999999991</v>
      </c>
      <c r="K74" s="68"/>
      <c r="L74" s="68">
        <v>0</v>
      </c>
      <c r="M74" s="68"/>
      <c r="N74" s="68">
        <v>0</v>
      </c>
      <c r="O74" s="68"/>
      <c r="P74" s="68">
        <v>0</v>
      </c>
      <c r="Q74" s="68"/>
      <c r="R74" s="68">
        <v>0</v>
      </c>
      <c r="S74" s="68"/>
      <c r="T74" s="68">
        <v>-4293.6400000000003</v>
      </c>
      <c r="U74" s="68"/>
      <c r="V74" s="68">
        <v>0</v>
      </c>
      <c r="W74" s="68"/>
      <c r="X74" s="68">
        <v>0</v>
      </c>
      <c r="Y74" s="68"/>
      <c r="Z74" s="68">
        <v>0</v>
      </c>
      <c r="AA74" s="51">
        <f t="shared" si="11"/>
        <v>0</v>
      </c>
      <c r="AB74" s="51">
        <f t="shared" si="12"/>
        <v>5140.3199999999988</v>
      </c>
      <c r="AC74" s="22"/>
      <c r="AD74" s="31">
        <f t="shared" si="13"/>
        <v>0</v>
      </c>
      <c r="AE74" s="31">
        <f t="shared" si="14"/>
        <v>5140.3199999999988</v>
      </c>
      <c r="AF74" s="17">
        <f t="shared" si="17"/>
        <v>0</v>
      </c>
      <c r="AG74" s="17">
        <f t="shared" si="18"/>
        <v>0</v>
      </c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61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</row>
    <row r="75" spans="1:117" s="19" customFormat="1" ht="18" customHeight="1" outlineLevel="1" x14ac:dyDescent="0.25">
      <c r="A75" s="48" t="s">
        <v>152</v>
      </c>
      <c r="B75" s="53"/>
      <c r="C75" s="64"/>
      <c r="D75" s="68">
        <v>0</v>
      </c>
      <c r="E75" s="68"/>
      <c r="F75" s="68">
        <v>0</v>
      </c>
      <c r="G75" s="68"/>
      <c r="H75" s="50">
        <v>0</v>
      </c>
      <c r="I75" s="68"/>
      <c r="J75" s="68">
        <v>0</v>
      </c>
      <c r="K75" s="68"/>
      <c r="L75" s="68">
        <v>0</v>
      </c>
      <c r="M75" s="68"/>
      <c r="N75" s="68">
        <v>0</v>
      </c>
      <c r="O75" s="68"/>
      <c r="P75" s="68">
        <v>0</v>
      </c>
      <c r="Q75" s="68"/>
      <c r="R75" s="68">
        <v>0</v>
      </c>
      <c r="S75" s="68"/>
      <c r="T75" s="68">
        <v>0</v>
      </c>
      <c r="U75" s="68"/>
      <c r="V75" s="68">
        <v>0</v>
      </c>
      <c r="W75" s="68"/>
      <c r="X75" s="68">
        <v>0</v>
      </c>
      <c r="Y75" s="68"/>
      <c r="Z75" s="68">
        <v>0</v>
      </c>
      <c r="AA75" s="51">
        <f t="shared" si="11"/>
        <v>0</v>
      </c>
      <c r="AB75" s="51">
        <f t="shared" si="12"/>
        <v>0</v>
      </c>
      <c r="AC75" s="22"/>
      <c r="AD75" s="31">
        <f t="shared" si="13"/>
        <v>0</v>
      </c>
      <c r="AE75" s="31">
        <f t="shared" si="14"/>
        <v>0</v>
      </c>
      <c r="AF75" s="17">
        <f t="shared" si="17"/>
        <v>0</v>
      </c>
      <c r="AG75" s="17">
        <f t="shared" si="18"/>
        <v>0</v>
      </c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61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</row>
    <row r="76" spans="1:117" s="19" customFormat="1" ht="18" customHeight="1" outlineLevel="1" x14ac:dyDescent="0.25">
      <c r="A76" s="48" t="s">
        <v>153</v>
      </c>
      <c r="B76" s="53"/>
      <c r="C76" s="64"/>
      <c r="D76" s="68">
        <v>0</v>
      </c>
      <c r="E76" s="68"/>
      <c r="F76" s="68">
        <v>0</v>
      </c>
      <c r="G76" s="68"/>
      <c r="H76" s="50">
        <v>0</v>
      </c>
      <c r="I76" s="68"/>
      <c r="J76" s="68">
        <v>0</v>
      </c>
      <c r="K76" s="68"/>
      <c r="L76" s="68">
        <v>0</v>
      </c>
      <c r="M76" s="68"/>
      <c r="N76" s="68">
        <v>0</v>
      </c>
      <c r="O76" s="68"/>
      <c r="P76" s="68">
        <v>0</v>
      </c>
      <c r="Q76" s="68"/>
      <c r="R76" s="68">
        <v>0</v>
      </c>
      <c r="S76" s="68"/>
      <c r="T76" s="68">
        <v>0</v>
      </c>
      <c r="U76" s="68"/>
      <c r="V76" s="68">
        <v>0</v>
      </c>
      <c r="W76" s="68"/>
      <c r="X76" s="68">
        <v>3600</v>
      </c>
      <c r="Y76" s="68"/>
      <c r="Z76" s="68">
        <v>9600</v>
      </c>
      <c r="AA76" s="51">
        <f t="shared" si="11"/>
        <v>0</v>
      </c>
      <c r="AB76" s="51">
        <f t="shared" si="12"/>
        <v>13200</v>
      </c>
      <c r="AC76" s="22"/>
      <c r="AD76" s="31">
        <f t="shared" si="13"/>
        <v>0</v>
      </c>
      <c r="AE76" s="31">
        <f t="shared" si="14"/>
        <v>13200</v>
      </c>
      <c r="AF76" s="17">
        <f t="shared" si="17"/>
        <v>0</v>
      </c>
      <c r="AG76" s="17">
        <f t="shared" si="18"/>
        <v>0</v>
      </c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61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</row>
    <row r="77" spans="1:117" s="19" customFormat="1" ht="18" customHeight="1" outlineLevel="1" x14ac:dyDescent="0.25">
      <c r="A77" s="48" t="s">
        <v>154</v>
      </c>
      <c r="B77" s="53"/>
      <c r="C77" s="64"/>
      <c r="D77" s="68">
        <v>0</v>
      </c>
      <c r="E77" s="68"/>
      <c r="F77" s="68">
        <v>0</v>
      </c>
      <c r="G77" s="68"/>
      <c r="H77" s="50">
        <v>0</v>
      </c>
      <c r="I77" s="68"/>
      <c r="J77" s="68">
        <v>0</v>
      </c>
      <c r="K77" s="68"/>
      <c r="L77" s="68">
        <v>0</v>
      </c>
      <c r="M77" s="68"/>
      <c r="N77" s="68">
        <v>0</v>
      </c>
      <c r="O77" s="68"/>
      <c r="P77" s="68">
        <v>0</v>
      </c>
      <c r="Q77" s="68"/>
      <c r="R77" s="68">
        <v>0</v>
      </c>
      <c r="S77" s="68">
        <v>20000</v>
      </c>
      <c r="T77" s="68">
        <v>7619.89</v>
      </c>
      <c r="U77" s="68"/>
      <c r="V77" s="68">
        <v>-197.02</v>
      </c>
      <c r="W77" s="68"/>
      <c r="X77" s="68">
        <v>0</v>
      </c>
      <c r="Y77" s="68"/>
      <c r="Z77" s="68">
        <v>0</v>
      </c>
      <c r="AA77" s="51">
        <f t="shared" si="11"/>
        <v>20000</v>
      </c>
      <c r="AB77" s="51">
        <f t="shared" si="12"/>
        <v>7422.87</v>
      </c>
      <c r="AC77" s="22"/>
      <c r="AD77" s="31">
        <f t="shared" si="13"/>
        <v>20000</v>
      </c>
      <c r="AE77" s="31">
        <f t="shared" si="14"/>
        <v>7422.87</v>
      </c>
      <c r="AF77" s="17">
        <f t="shared" si="17"/>
        <v>0</v>
      </c>
      <c r="AG77" s="17">
        <f t="shared" si="18"/>
        <v>0</v>
      </c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61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</row>
    <row r="78" spans="1:117" s="19" customFormat="1" ht="18" customHeight="1" outlineLevel="1" x14ac:dyDescent="0.25">
      <c r="A78" s="48" t="s">
        <v>155</v>
      </c>
      <c r="B78" s="53"/>
      <c r="C78" s="64"/>
      <c r="D78" s="68">
        <v>0</v>
      </c>
      <c r="E78" s="68"/>
      <c r="F78" s="68">
        <v>0</v>
      </c>
      <c r="G78" s="68"/>
      <c r="H78" s="50">
        <v>0</v>
      </c>
      <c r="I78" s="68"/>
      <c r="J78" s="68">
        <v>0</v>
      </c>
      <c r="K78" s="68"/>
      <c r="L78" s="68">
        <v>0</v>
      </c>
      <c r="M78" s="68"/>
      <c r="N78" s="68">
        <v>0</v>
      </c>
      <c r="O78" s="68"/>
      <c r="P78" s="68">
        <v>0</v>
      </c>
      <c r="Q78" s="68"/>
      <c r="R78" s="68">
        <v>0</v>
      </c>
      <c r="S78" s="68"/>
      <c r="T78" s="68">
        <v>0</v>
      </c>
      <c r="U78" s="68"/>
      <c r="V78" s="68">
        <v>0</v>
      </c>
      <c r="W78" s="68"/>
      <c r="X78" s="68">
        <v>0</v>
      </c>
      <c r="Y78" s="68"/>
      <c r="Z78" s="68">
        <v>0</v>
      </c>
      <c r="AA78" s="51">
        <f t="shared" si="11"/>
        <v>0</v>
      </c>
      <c r="AB78" s="51">
        <f t="shared" si="12"/>
        <v>0</v>
      </c>
      <c r="AC78" s="22"/>
      <c r="AD78" s="31">
        <f t="shared" si="13"/>
        <v>0</v>
      </c>
      <c r="AE78" s="31">
        <f t="shared" si="14"/>
        <v>0</v>
      </c>
      <c r="AF78" s="17">
        <f t="shared" si="17"/>
        <v>0</v>
      </c>
      <c r="AG78" s="17">
        <f t="shared" si="18"/>
        <v>0</v>
      </c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61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</row>
    <row r="79" spans="1:117" s="19" customFormat="1" ht="18" customHeight="1" outlineLevel="1" x14ac:dyDescent="0.25">
      <c r="A79" s="48" t="s">
        <v>156</v>
      </c>
      <c r="B79" s="53"/>
      <c r="C79" s="64">
        <v>2500</v>
      </c>
      <c r="D79" s="68">
        <v>0</v>
      </c>
      <c r="E79" s="68">
        <v>2500</v>
      </c>
      <c r="F79" s="68">
        <v>0</v>
      </c>
      <c r="G79" s="68">
        <v>2500</v>
      </c>
      <c r="H79" s="50">
        <v>0</v>
      </c>
      <c r="I79" s="68">
        <v>2500</v>
      </c>
      <c r="J79" s="68">
        <v>0</v>
      </c>
      <c r="K79" s="68">
        <v>2500</v>
      </c>
      <c r="L79" s="68">
        <v>0</v>
      </c>
      <c r="M79" s="68">
        <v>2500</v>
      </c>
      <c r="N79" s="68">
        <v>0</v>
      </c>
      <c r="O79" s="68">
        <v>2500</v>
      </c>
      <c r="P79" s="68">
        <v>0</v>
      </c>
      <c r="Q79" s="68">
        <v>2500</v>
      </c>
      <c r="R79" s="68">
        <v>0</v>
      </c>
      <c r="S79" s="68">
        <v>2500</v>
      </c>
      <c r="T79" s="68">
        <v>0</v>
      </c>
      <c r="U79" s="68">
        <v>2500</v>
      </c>
      <c r="V79" s="68">
        <v>0</v>
      </c>
      <c r="W79" s="68">
        <v>2500</v>
      </c>
      <c r="X79" s="68">
        <v>0</v>
      </c>
      <c r="Y79" s="68">
        <v>2500</v>
      </c>
      <c r="Z79" s="68">
        <v>0</v>
      </c>
      <c r="AA79" s="51">
        <f t="shared" si="11"/>
        <v>30000</v>
      </c>
      <c r="AB79" s="51">
        <f t="shared" si="12"/>
        <v>0</v>
      </c>
      <c r="AC79" s="22"/>
      <c r="AD79" s="31">
        <f t="shared" si="13"/>
        <v>30000</v>
      </c>
      <c r="AE79" s="31">
        <f t="shared" si="14"/>
        <v>0</v>
      </c>
      <c r="AF79" s="17">
        <f t="shared" si="17"/>
        <v>0</v>
      </c>
      <c r="AG79" s="17">
        <f t="shared" si="18"/>
        <v>0</v>
      </c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61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</row>
    <row r="80" spans="1:117" s="19" customFormat="1" ht="18" customHeight="1" outlineLevel="1" x14ac:dyDescent="0.25">
      <c r="A80" s="48" t="s">
        <v>157</v>
      </c>
      <c r="B80" s="53"/>
      <c r="C80" s="64"/>
      <c r="D80" s="68">
        <v>0</v>
      </c>
      <c r="E80" s="68"/>
      <c r="F80" s="68">
        <v>0</v>
      </c>
      <c r="G80" s="68"/>
      <c r="H80" s="50">
        <v>1008.84</v>
      </c>
      <c r="I80" s="68"/>
      <c r="J80" s="68">
        <v>0</v>
      </c>
      <c r="K80" s="68"/>
      <c r="L80" s="68">
        <v>0</v>
      </c>
      <c r="M80" s="68"/>
      <c r="N80" s="68">
        <v>0</v>
      </c>
      <c r="O80" s="68"/>
      <c r="P80" s="68">
        <v>0</v>
      </c>
      <c r="Q80" s="68"/>
      <c r="R80" s="68">
        <v>0</v>
      </c>
      <c r="S80" s="68"/>
      <c r="T80" s="68">
        <v>1980.2</v>
      </c>
      <c r="U80" s="68"/>
      <c r="V80" s="68">
        <v>0</v>
      </c>
      <c r="W80" s="68"/>
      <c r="X80" s="68">
        <v>0</v>
      </c>
      <c r="Y80" s="68"/>
      <c r="Z80" s="68">
        <v>0</v>
      </c>
      <c r="AA80" s="51">
        <f t="shared" si="11"/>
        <v>0</v>
      </c>
      <c r="AB80" s="51">
        <f t="shared" si="12"/>
        <v>2989.04</v>
      </c>
      <c r="AC80" s="22"/>
      <c r="AD80" s="31">
        <f t="shared" si="13"/>
        <v>0</v>
      </c>
      <c r="AE80" s="31">
        <f t="shared" si="14"/>
        <v>2989.04</v>
      </c>
      <c r="AF80" s="17">
        <f t="shared" si="17"/>
        <v>0</v>
      </c>
      <c r="AG80" s="17">
        <f t="shared" si="18"/>
        <v>0</v>
      </c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61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</row>
    <row r="81" spans="1:117" s="19" customFormat="1" ht="18" customHeight="1" outlineLevel="1" x14ac:dyDescent="0.25">
      <c r="A81" s="48" t="s">
        <v>158</v>
      </c>
      <c r="B81" s="53"/>
      <c r="C81" s="64"/>
      <c r="D81" s="68">
        <v>0</v>
      </c>
      <c r="E81" s="68"/>
      <c r="F81" s="68">
        <v>0</v>
      </c>
      <c r="G81" s="68"/>
      <c r="H81" s="50">
        <v>0</v>
      </c>
      <c r="I81" s="68"/>
      <c r="J81" s="68">
        <v>0</v>
      </c>
      <c r="K81" s="68"/>
      <c r="L81" s="68">
        <v>0</v>
      </c>
      <c r="M81" s="68"/>
      <c r="N81" s="68">
        <v>0</v>
      </c>
      <c r="O81" s="68"/>
      <c r="P81" s="68">
        <v>0</v>
      </c>
      <c r="Q81" s="68"/>
      <c r="R81" s="68">
        <v>0</v>
      </c>
      <c r="S81" s="68"/>
      <c r="T81" s="68">
        <v>0</v>
      </c>
      <c r="U81" s="68"/>
      <c r="V81" s="68">
        <v>0</v>
      </c>
      <c r="W81" s="68"/>
      <c r="X81" s="68">
        <v>0</v>
      </c>
      <c r="Y81" s="68"/>
      <c r="Z81" s="68">
        <v>0</v>
      </c>
      <c r="AA81" s="51">
        <f t="shared" si="11"/>
        <v>0</v>
      </c>
      <c r="AB81" s="51">
        <f t="shared" si="12"/>
        <v>0</v>
      </c>
      <c r="AC81" s="22"/>
      <c r="AD81" s="31">
        <f t="shared" si="13"/>
        <v>0</v>
      </c>
      <c r="AE81" s="31">
        <f t="shared" si="14"/>
        <v>0</v>
      </c>
      <c r="AF81" s="17">
        <f t="shared" si="17"/>
        <v>0</v>
      </c>
      <c r="AG81" s="17">
        <f t="shared" si="18"/>
        <v>0</v>
      </c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61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</row>
    <row r="82" spans="1:117" s="19" customFormat="1" ht="18" customHeight="1" outlineLevel="1" x14ac:dyDescent="0.25">
      <c r="A82" s="48" t="s">
        <v>159</v>
      </c>
      <c r="B82" s="53"/>
      <c r="C82" s="64"/>
      <c r="D82" s="68">
        <v>0</v>
      </c>
      <c r="E82" s="68"/>
      <c r="F82" s="68">
        <v>0</v>
      </c>
      <c r="G82" s="68"/>
      <c r="H82" s="50">
        <v>0</v>
      </c>
      <c r="I82" s="68"/>
      <c r="J82" s="68">
        <v>0</v>
      </c>
      <c r="K82" s="68"/>
      <c r="L82" s="68">
        <v>0</v>
      </c>
      <c r="M82" s="68"/>
      <c r="N82" s="68">
        <v>0</v>
      </c>
      <c r="O82" s="68"/>
      <c r="P82" s="68">
        <v>0</v>
      </c>
      <c r="Q82" s="68"/>
      <c r="R82" s="68">
        <v>0</v>
      </c>
      <c r="S82" s="68"/>
      <c r="T82" s="68">
        <v>0</v>
      </c>
      <c r="U82" s="68"/>
      <c r="V82" s="68">
        <v>0</v>
      </c>
      <c r="W82" s="68"/>
      <c r="X82" s="68">
        <v>0</v>
      </c>
      <c r="Y82" s="68"/>
      <c r="Z82" s="68">
        <v>0</v>
      </c>
      <c r="AA82" s="51">
        <f t="shared" si="11"/>
        <v>0</v>
      </c>
      <c r="AB82" s="51">
        <f t="shared" si="12"/>
        <v>0</v>
      </c>
      <c r="AC82" s="22"/>
      <c r="AD82" s="31">
        <f t="shared" si="13"/>
        <v>0</v>
      </c>
      <c r="AE82" s="31">
        <f t="shared" si="14"/>
        <v>0</v>
      </c>
      <c r="AF82" s="17">
        <f t="shared" si="17"/>
        <v>0</v>
      </c>
      <c r="AG82" s="17">
        <f t="shared" si="18"/>
        <v>0</v>
      </c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61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</row>
    <row r="83" spans="1:117" s="19" customFormat="1" ht="18" customHeight="1" outlineLevel="1" x14ac:dyDescent="0.25">
      <c r="A83" s="48" t="s">
        <v>160</v>
      </c>
      <c r="B83" s="53"/>
      <c r="C83" s="64"/>
      <c r="D83" s="68">
        <v>0</v>
      </c>
      <c r="E83" s="68"/>
      <c r="F83" s="68">
        <v>0</v>
      </c>
      <c r="G83" s="68"/>
      <c r="H83" s="50">
        <v>0</v>
      </c>
      <c r="I83" s="68"/>
      <c r="J83" s="68">
        <v>0</v>
      </c>
      <c r="K83" s="68"/>
      <c r="L83" s="68">
        <v>0</v>
      </c>
      <c r="M83" s="68"/>
      <c r="N83" s="68">
        <v>0</v>
      </c>
      <c r="O83" s="68"/>
      <c r="P83" s="68">
        <v>0</v>
      </c>
      <c r="Q83" s="68"/>
      <c r="R83" s="68">
        <v>0</v>
      </c>
      <c r="S83" s="68"/>
      <c r="T83" s="68">
        <v>0</v>
      </c>
      <c r="U83" s="68"/>
      <c r="V83" s="68">
        <v>0</v>
      </c>
      <c r="W83" s="68"/>
      <c r="X83" s="68">
        <v>0</v>
      </c>
      <c r="Y83" s="68"/>
      <c r="Z83" s="68">
        <v>0</v>
      </c>
      <c r="AA83" s="51">
        <f t="shared" si="11"/>
        <v>0</v>
      </c>
      <c r="AB83" s="51">
        <f t="shared" si="12"/>
        <v>0</v>
      </c>
      <c r="AC83" s="22"/>
      <c r="AD83" s="31">
        <f t="shared" si="13"/>
        <v>0</v>
      </c>
      <c r="AE83" s="31">
        <f t="shared" si="14"/>
        <v>0</v>
      </c>
      <c r="AF83" s="17">
        <f t="shared" si="17"/>
        <v>0</v>
      </c>
      <c r="AG83" s="17">
        <f t="shared" si="18"/>
        <v>0</v>
      </c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61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</row>
    <row r="84" spans="1:117" s="19" customFormat="1" ht="18" customHeight="1" outlineLevel="1" x14ac:dyDescent="0.25">
      <c r="A84" s="48" t="s">
        <v>161</v>
      </c>
      <c r="B84" s="53"/>
      <c r="C84" s="64">
        <v>7000</v>
      </c>
      <c r="D84" s="68">
        <v>3701.01</v>
      </c>
      <c r="E84" s="68">
        <v>7000</v>
      </c>
      <c r="F84" s="68">
        <v>6461.17</v>
      </c>
      <c r="G84" s="68">
        <v>7000</v>
      </c>
      <c r="H84" s="50">
        <v>7611.23</v>
      </c>
      <c r="I84" s="68">
        <v>7000</v>
      </c>
      <c r="J84" s="68">
        <v>10349.780000000001</v>
      </c>
      <c r="K84" s="68">
        <v>7000</v>
      </c>
      <c r="L84" s="68">
        <v>14680.4</v>
      </c>
      <c r="M84" s="68">
        <v>7000</v>
      </c>
      <c r="N84" s="68">
        <v>5056.79</v>
      </c>
      <c r="O84" s="68">
        <v>7000</v>
      </c>
      <c r="P84" s="68">
        <v>5082.59</v>
      </c>
      <c r="Q84" s="68">
        <v>7000</v>
      </c>
      <c r="R84" s="68">
        <v>5982.47</v>
      </c>
      <c r="S84" s="68">
        <v>7000</v>
      </c>
      <c r="T84" s="68">
        <v>9465.67</v>
      </c>
      <c r="U84" s="68">
        <v>7000</v>
      </c>
      <c r="V84" s="68">
        <v>10860.78</v>
      </c>
      <c r="W84" s="68">
        <v>7000</v>
      </c>
      <c r="X84" s="68">
        <v>11188.56</v>
      </c>
      <c r="Y84" s="68">
        <v>7000</v>
      </c>
      <c r="Z84" s="68">
        <v>9822.59</v>
      </c>
      <c r="AA84" s="51">
        <f t="shared" si="11"/>
        <v>84000</v>
      </c>
      <c r="AB84" s="51">
        <f t="shared" si="12"/>
        <v>100263.03999999999</v>
      </c>
      <c r="AC84" s="22"/>
      <c r="AD84" s="31">
        <f t="shared" si="13"/>
        <v>84000</v>
      </c>
      <c r="AE84" s="31">
        <f t="shared" si="14"/>
        <v>100263.03999999999</v>
      </c>
      <c r="AF84" s="17">
        <f t="shared" si="17"/>
        <v>0</v>
      </c>
      <c r="AG84" s="17">
        <f t="shared" si="18"/>
        <v>0</v>
      </c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61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</row>
    <row r="85" spans="1:117" s="19" customFormat="1" ht="18" customHeight="1" outlineLevel="1" x14ac:dyDescent="0.25">
      <c r="A85" s="48" t="s">
        <v>162</v>
      </c>
      <c r="B85" s="53"/>
      <c r="C85" s="64">
        <v>4718</v>
      </c>
      <c r="D85" s="68">
        <v>3653.74</v>
      </c>
      <c r="E85" s="68">
        <v>4718</v>
      </c>
      <c r="F85" s="68">
        <v>4189.6099999999997</v>
      </c>
      <c r="G85" s="68">
        <v>4718</v>
      </c>
      <c r="H85" s="50">
        <v>6138.48</v>
      </c>
      <c r="I85" s="68"/>
      <c r="J85" s="68">
        <v>7194.12</v>
      </c>
      <c r="K85" s="68">
        <v>0</v>
      </c>
      <c r="L85" s="68">
        <v>7137.56</v>
      </c>
      <c r="M85" s="68">
        <v>0</v>
      </c>
      <c r="N85" s="68">
        <v>129.94999999999999</v>
      </c>
      <c r="O85" s="68">
        <v>0</v>
      </c>
      <c r="P85" s="68">
        <v>0</v>
      </c>
      <c r="Q85" s="68">
        <v>0</v>
      </c>
      <c r="R85" s="68">
        <v>0</v>
      </c>
      <c r="S85" s="68">
        <v>0</v>
      </c>
      <c r="T85" s="68">
        <v>1395.59</v>
      </c>
      <c r="U85" s="68">
        <v>0</v>
      </c>
      <c r="V85" s="68">
        <v>4923.95</v>
      </c>
      <c r="W85" s="68">
        <v>0</v>
      </c>
      <c r="X85" s="68">
        <v>6109.39</v>
      </c>
      <c r="Y85" s="68">
        <v>0</v>
      </c>
      <c r="Z85" s="68">
        <v>117.27</v>
      </c>
      <c r="AA85" s="51">
        <f t="shared" si="11"/>
        <v>14154</v>
      </c>
      <c r="AB85" s="51">
        <f t="shared" si="12"/>
        <v>40989.659999999996</v>
      </c>
      <c r="AC85" s="22"/>
      <c r="AD85" s="31">
        <f t="shared" si="13"/>
        <v>14154</v>
      </c>
      <c r="AE85" s="31">
        <f t="shared" si="14"/>
        <v>40989.659999999996</v>
      </c>
      <c r="AF85" s="17">
        <f t="shared" si="17"/>
        <v>0</v>
      </c>
      <c r="AG85" s="17">
        <f t="shared" si="18"/>
        <v>0</v>
      </c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61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</row>
    <row r="86" spans="1:117" s="19" customFormat="1" ht="18" customHeight="1" outlineLevel="1" x14ac:dyDescent="0.25">
      <c r="A86" s="48" t="s">
        <v>163</v>
      </c>
      <c r="B86" s="53"/>
      <c r="C86" s="64"/>
      <c r="D86" s="68">
        <v>0</v>
      </c>
      <c r="E86" s="68"/>
      <c r="F86" s="68">
        <v>0</v>
      </c>
      <c r="G86" s="68"/>
      <c r="H86" s="50">
        <v>0</v>
      </c>
      <c r="I86" s="68"/>
      <c r="J86" s="68">
        <v>0</v>
      </c>
      <c r="K86" s="68"/>
      <c r="L86" s="68">
        <v>0</v>
      </c>
      <c r="M86" s="68"/>
      <c r="N86" s="68">
        <v>0</v>
      </c>
      <c r="O86" s="68"/>
      <c r="P86" s="68">
        <v>0</v>
      </c>
      <c r="Q86" s="68"/>
      <c r="R86" s="68">
        <v>0</v>
      </c>
      <c r="S86" s="68"/>
      <c r="T86" s="68">
        <v>0</v>
      </c>
      <c r="U86" s="68"/>
      <c r="V86" s="68">
        <v>0</v>
      </c>
      <c r="W86" s="68"/>
      <c r="X86" s="68">
        <v>0</v>
      </c>
      <c r="Y86" s="68"/>
      <c r="Z86" s="68">
        <v>0</v>
      </c>
      <c r="AA86" s="51">
        <f t="shared" si="11"/>
        <v>0</v>
      </c>
      <c r="AB86" s="51">
        <f t="shared" si="12"/>
        <v>0</v>
      </c>
      <c r="AC86" s="22"/>
      <c r="AD86" s="31">
        <f t="shared" si="13"/>
        <v>0</v>
      </c>
      <c r="AE86" s="31">
        <f t="shared" si="14"/>
        <v>0</v>
      </c>
      <c r="AF86" s="17">
        <f t="shared" si="17"/>
        <v>0</v>
      </c>
      <c r="AG86" s="17">
        <f t="shared" si="18"/>
        <v>0</v>
      </c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61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</row>
    <row r="87" spans="1:117" s="19" customFormat="1" ht="18" customHeight="1" outlineLevel="1" x14ac:dyDescent="0.25">
      <c r="A87" s="48" t="s">
        <v>164</v>
      </c>
      <c r="B87" s="53"/>
      <c r="C87" s="64"/>
      <c r="D87" s="68">
        <v>0</v>
      </c>
      <c r="E87" s="68"/>
      <c r="F87" s="68">
        <v>926.5</v>
      </c>
      <c r="G87" s="68">
        <v>5000</v>
      </c>
      <c r="H87" s="50">
        <v>831.56</v>
      </c>
      <c r="I87" s="68"/>
      <c r="J87" s="68">
        <v>1152.78</v>
      </c>
      <c r="K87" s="68"/>
      <c r="L87" s="68">
        <v>657.55</v>
      </c>
      <c r="M87" s="68"/>
      <c r="N87" s="68">
        <v>304.72000000000003</v>
      </c>
      <c r="O87" s="68"/>
      <c r="P87" s="68">
        <v>2213.21</v>
      </c>
      <c r="Q87" s="68"/>
      <c r="R87" s="68">
        <v>384.91</v>
      </c>
      <c r="S87" s="68"/>
      <c r="T87" s="68">
        <v>0</v>
      </c>
      <c r="U87" s="68"/>
      <c r="V87" s="68">
        <v>514.15</v>
      </c>
      <c r="W87" s="68"/>
      <c r="X87" s="68">
        <v>593.4</v>
      </c>
      <c r="Y87" s="68"/>
      <c r="Z87" s="68">
        <v>0</v>
      </c>
      <c r="AA87" s="51">
        <f t="shared" si="11"/>
        <v>5000</v>
      </c>
      <c r="AB87" s="51">
        <f t="shared" si="12"/>
        <v>7578.78</v>
      </c>
      <c r="AC87" s="22"/>
      <c r="AD87" s="31">
        <f t="shared" si="13"/>
        <v>5000</v>
      </c>
      <c r="AE87" s="31">
        <f t="shared" si="14"/>
        <v>7578.78</v>
      </c>
      <c r="AF87" s="17">
        <f t="shared" si="17"/>
        <v>0</v>
      </c>
      <c r="AG87" s="17">
        <f t="shared" si="18"/>
        <v>0</v>
      </c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61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</row>
    <row r="88" spans="1:117" s="19" customFormat="1" ht="18" customHeight="1" outlineLevel="1" x14ac:dyDescent="0.25">
      <c r="A88" s="48" t="s">
        <v>165</v>
      </c>
      <c r="B88" s="53"/>
      <c r="C88" s="64"/>
      <c r="D88" s="68">
        <v>0</v>
      </c>
      <c r="E88" s="68"/>
      <c r="F88" s="68">
        <v>0</v>
      </c>
      <c r="G88" s="68"/>
      <c r="H88" s="50">
        <v>0</v>
      </c>
      <c r="I88" s="68"/>
      <c r="J88" s="68">
        <v>0</v>
      </c>
      <c r="K88" s="68"/>
      <c r="L88" s="68">
        <v>0</v>
      </c>
      <c r="M88" s="68"/>
      <c r="N88" s="68">
        <v>0</v>
      </c>
      <c r="O88" s="68"/>
      <c r="P88" s="68">
        <v>0</v>
      </c>
      <c r="Q88" s="68"/>
      <c r="R88" s="68">
        <v>0</v>
      </c>
      <c r="S88" s="68"/>
      <c r="T88" s="68">
        <v>0</v>
      </c>
      <c r="U88" s="68"/>
      <c r="V88" s="68">
        <v>0</v>
      </c>
      <c r="W88" s="68"/>
      <c r="X88" s="68">
        <v>0</v>
      </c>
      <c r="Y88" s="68"/>
      <c r="Z88" s="68">
        <v>0</v>
      </c>
      <c r="AA88" s="51">
        <f t="shared" si="11"/>
        <v>0</v>
      </c>
      <c r="AB88" s="51">
        <f t="shared" si="12"/>
        <v>0</v>
      </c>
      <c r="AC88" s="22"/>
      <c r="AD88" s="31">
        <f t="shared" si="13"/>
        <v>0</v>
      </c>
      <c r="AE88" s="31">
        <f t="shared" si="14"/>
        <v>0</v>
      </c>
      <c r="AF88" s="17">
        <f t="shared" si="17"/>
        <v>0</v>
      </c>
      <c r="AG88" s="17">
        <f t="shared" si="18"/>
        <v>0</v>
      </c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61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</row>
    <row r="89" spans="1:117" s="19" customFormat="1" ht="18" customHeight="1" outlineLevel="1" x14ac:dyDescent="0.25">
      <c r="A89" s="48" t="s">
        <v>166</v>
      </c>
      <c r="B89" s="53"/>
      <c r="C89" s="64"/>
      <c r="D89" s="68">
        <v>0</v>
      </c>
      <c r="E89" s="68"/>
      <c r="F89" s="68">
        <v>0</v>
      </c>
      <c r="G89" s="68"/>
      <c r="H89" s="50">
        <v>0</v>
      </c>
      <c r="I89" s="68"/>
      <c r="J89" s="68">
        <v>0</v>
      </c>
      <c r="K89" s="68"/>
      <c r="L89" s="68">
        <v>0</v>
      </c>
      <c r="M89" s="68"/>
      <c r="N89" s="68">
        <v>0</v>
      </c>
      <c r="O89" s="68"/>
      <c r="P89" s="68">
        <v>0</v>
      </c>
      <c r="Q89" s="68"/>
      <c r="R89" s="68">
        <v>0</v>
      </c>
      <c r="S89" s="68"/>
      <c r="T89" s="68">
        <v>0</v>
      </c>
      <c r="U89" s="68"/>
      <c r="V89" s="68">
        <v>0</v>
      </c>
      <c r="W89" s="68"/>
      <c r="X89" s="68">
        <v>0</v>
      </c>
      <c r="Y89" s="68"/>
      <c r="Z89" s="68">
        <v>0</v>
      </c>
      <c r="AA89" s="51">
        <f t="shared" si="11"/>
        <v>0</v>
      </c>
      <c r="AB89" s="51">
        <f t="shared" si="12"/>
        <v>0</v>
      </c>
      <c r="AC89" s="22"/>
      <c r="AD89" s="31">
        <f t="shared" si="13"/>
        <v>0</v>
      </c>
      <c r="AE89" s="31">
        <f t="shared" si="14"/>
        <v>0</v>
      </c>
      <c r="AF89" s="17">
        <f t="shared" si="17"/>
        <v>0</v>
      </c>
      <c r="AG89" s="17">
        <f t="shared" si="18"/>
        <v>0</v>
      </c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61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</row>
    <row r="90" spans="1:117" s="19" customFormat="1" ht="18" customHeight="1" outlineLevel="1" x14ac:dyDescent="0.25">
      <c r="A90" s="48" t="s">
        <v>167</v>
      </c>
      <c r="B90" s="53"/>
      <c r="C90" s="64"/>
      <c r="D90" s="68">
        <v>0</v>
      </c>
      <c r="E90" s="68"/>
      <c r="F90" s="68">
        <v>0</v>
      </c>
      <c r="G90" s="68"/>
      <c r="H90" s="50">
        <v>0</v>
      </c>
      <c r="I90" s="68"/>
      <c r="J90" s="68">
        <v>0</v>
      </c>
      <c r="K90" s="68"/>
      <c r="L90" s="68">
        <v>0</v>
      </c>
      <c r="M90" s="68"/>
      <c r="N90" s="68">
        <v>0</v>
      </c>
      <c r="O90" s="68"/>
      <c r="P90" s="68">
        <v>0</v>
      </c>
      <c r="Q90" s="68"/>
      <c r="R90" s="68">
        <v>0</v>
      </c>
      <c r="S90" s="68"/>
      <c r="T90" s="68">
        <v>0</v>
      </c>
      <c r="U90" s="68"/>
      <c r="V90" s="68">
        <v>0</v>
      </c>
      <c r="W90" s="68"/>
      <c r="X90" s="68">
        <v>0</v>
      </c>
      <c r="Y90" s="68"/>
      <c r="Z90" s="68">
        <v>0</v>
      </c>
      <c r="AA90" s="51">
        <f t="shared" si="11"/>
        <v>0</v>
      </c>
      <c r="AB90" s="51">
        <f t="shared" si="12"/>
        <v>0</v>
      </c>
      <c r="AC90" s="22"/>
      <c r="AD90" s="31">
        <f t="shared" si="13"/>
        <v>0</v>
      </c>
      <c r="AE90" s="31">
        <f t="shared" si="14"/>
        <v>0</v>
      </c>
      <c r="AF90" s="17">
        <f t="shared" si="17"/>
        <v>0</v>
      </c>
      <c r="AG90" s="17">
        <f t="shared" si="18"/>
        <v>0</v>
      </c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61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</row>
    <row r="91" spans="1:117" s="19" customFormat="1" ht="18" customHeight="1" outlineLevel="1" x14ac:dyDescent="0.25">
      <c r="A91" s="48" t="s">
        <v>168</v>
      </c>
      <c r="B91" s="53"/>
      <c r="C91" s="64"/>
      <c r="D91" s="68">
        <v>0</v>
      </c>
      <c r="E91" s="68"/>
      <c r="F91" s="68">
        <v>0</v>
      </c>
      <c r="G91" s="68"/>
      <c r="H91" s="50">
        <v>0</v>
      </c>
      <c r="I91" s="68"/>
      <c r="J91" s="68">
        <v>0</v>
      </c>
      <c r="K91" s="68"/>
      <c r="L91" s="68">
        <v>2724</v>
      </c>
      <c r="M91" s="68"/>
      <c r="N91" s="68">
        <v>2900</v>
      </c>
      <c r="O91" s="68"/>
      <c r="P91" s="68">
        <v>0</v>
      </c>
      <c r="Q91" s="68"/>
      <c r="R91" s="68">
        <v>0</v>
      </c>
      <c r="S91" s="68"/>
      <c r="T91" s="68">
        <v>0</v>
      </c>
      <c r="U91" s="68"/>
      <c r="V91" s="68">
        <v>0</v>
      </c>
      <c r="W91" s="68"/>
      <c r="X91" s="68">
        <v>2500</v>
      </c>
      <c r="Y91" s="68"/>
      <c r="Z91" s="68">
        <v>5800</v>
      </c>
      <c r="AA91" s="51">
        <f t="shared" si="11"/>
        <v>0</v>
      </c>
      <c r="AB91" s="51">
        <f t="shared" si="12"/>
        <v>13924</v>
      </c>
      <c r="AC91" s="22"/>
      <c r="AD91" s="31">
        <f t="shared" si="13"/>
        <v>0</v>
      </c>
      <c r="AE91" s="31">
        <f t="shared" si="14"/>
        <v>13924</v>
      </c>
      <c r="AF91" s="17">
        <f t="shared" si="17"/>
        <v>0</v>
      </c>
      <c r="AG91" s="17">
        <f t="shared" si="18"/>
        <v>0</v>
      </c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61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</row>
    <row r="92" spans="1:117" s="19" customFormat="1" ht="18" customHeight="1" outlineLevel="1" x14ac:dyDescent="0.25">
      <c r="A92" s="48" t="s">
        <v>169</v>
      </c>
      <c r="B92" s="53"/>
      <c r="C92" s="64"/>
      <c r="D92" s="68">
        <v>253.1</v>
      </c>
      <c r="E92" s="68"/>
      <c r="F92" s="68">
        <v>730.41</v>
      </c>
      <c r="G92" s="68"/>
      <c r="H92" s="50">
        <v>89.56</v>
      </c>
      <c r="I92" s="68"/>
      <c r="J92" s="68">
        <v>323.86</v>
      </c>
      <c r="K92" s="68"/>
      <c r="L92" s="68">
        <v>318.85000000000002</v>
      </c>
      <c r="M92" s="68"/>
      <c r="N92" s="68">
        <v>22.39</v>
      </c>
      <c r="O92" s="68"/>
      <c r="P92" s="68">
        <v>29.93</v>
      </c>
      <c r="Q92" s="68"/>
      <c r="R92" s="68">
        <v>78.36</v>
      </c>
      <c r="S92" s="68"/>
      <c r="T92" s="68">
        <v>1272.8399999999999</v>
      </c>
      <c r="U92" s="68"/>
      <c r="V92" s="68">
        <v>82.48</v>
      </c>
      <c r="W92" s="68"/>
      <c r="X92" s="68">
        <v>70.39</v>
      </c>
      <c r="Y92" s="68"/>
      <c r="Z92" s="68">
        <v>126.47</v>
      </c>
      <c r="AA92" s="51">
        <f t="shared" ref="AA92:AA155" si="23">C92+E92+G92+I92+K92+M92+O92+Q92+S92+U92+W92+Y92</f>
        <v>0</v>
      </c>
      <c r="AB92" s="51">
        <f t="shared" ref="AB92:AB101" si="24">D92+F92+H92+J92+L92+N92+P92+R92+T92+V92+X92+Z92</f>
        <v>3398.6399999999994</v>
      </c>
      <c r="AC92" s="22"/>
      <c r="AD92" s="31">
        <f t="shared" ref="AD92:AD155" si="25">SUMIF($C$5:$Z$5,$AD$5,C92:Z92)</f>
        <v>0</v>
      </c>
      <c r="AE92" s="31">
        <f t="shared" ref="AE92:AE155" si="26">SUMIF($C$5:$Z$5,$AD$5,D92:AA92)</f>
        <v>3398.6399999999994</v>
      </c>
      <c r="AF92" s="17">
        <f t="shared" si="17"/>
        <v>0</v>
      </c>
      <c r="AG92" s="17">
        <f t="shared" si="18"/>
        <v>0</v>
      </c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61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</row>
    <row r="93" spans="1:117" s="19" customFormat="1" ht="18" customHeight="1" outlineLevel="1" x14ac:dyDescent="0.25">
      <c r="A93" s="48" t="s">
        <v>170</v>
      </c>
      <c r="B93" s="53"/>
      <c r="C93" s="64"/>
      <c r="D93" s="68">
        <v>0</v>
      </c>
      <c r="E93" s="68"/>
      <c r="F93" s="68">
        <v>0</v>
      </c>
      <c r="G93" s="68"/>
      <c r="H93" s="50">
        <v>0</v>
      </c>
      <c r="I93" s="68"/>
      <c r="J93" s="68">
        <v>0</v>
      </c>
      <c r="K93" s="68"/>
      <c r="L93" s="68">
        <v>0</v>
      </c>
      <c r="M93" s="68"/>
      <c r="N93" s="68">
        <v>0</v>
      </c>
      <c r="O93" s="68"/>
      <c r="P93" s="68">
        <v>0</v>
      </c>
      <c r="Q93" s="68"/>
      <c r="R93" s="68">
        <v>0</v>
      </c>
      <c r="S93" s="68"/>
      <c r="T93" s="68">
        <v>0</v>
      </c>
      <c r="U93" s="68"/>
      <c r="V93" s="68">
        <v>0</v>
      </c>
      <c r="W93" s="68"/>
      <c r="X93" s="68">
        <v>0</v>
      </c>
      <c r="Y93" s="68"/>
      <c r="Z93" s="68">
        <v>0</v>
      </c>
      <c r="AA93" s="51">
        <f t="shared" si="23"/>
        <v>0</v>
      </c>
      <c r="AB93" s="51">
        <f t="shared" si="24"/>
        <v>0</v>
      </c>
      <c r="AC93" s="22"/>
      <c r="AD93" s="31">
        <f t="shared" si="25"/>
        <v>0</v>
      </c>
      <c r="AE93" s="31">
        <f t="shared" si="26"/>
        <v>0</v>
      </c>
      <c r="AF93" s="17">
        <f t="shared" si="17"/>
        <v>0</v>
      </c>
      <c r="AG93" s="17">
        <f t="shared" si="18"/>
        <v>0</v>
      </c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61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</row>
    <row r="94" spans="1:117" s="19" customFormat="1" ht="18" customHeight="1" outlineLevel="1" x14ac:dyDescent="0.25">
      <c r="A94" s="48" t="s">
        <v>171</v>
      </c>
      <c r="B94" s="53"/>
      <c r="C94" s="64"/>
      <c r="D94" s="68">
        <v>0</v>
      </c>
      <c r="E94" s="68"/>
      <c r="F94" s="68">
        <v>0</v>
      </c>
      <c r="G94" s="68"/>
      <c r="H94" s="50">
        <v>0</v>
      </c>
      <c r="I94" s="68"/>
      <c r="J94" s="68">
        <v>0</v>
      </c>
      <c r="K94" s="68"/>
      <c r="L94" s="68">
        <v>0</v>
      </c>
      <c r="M94" s="68"/>
      <c r="N94" s="68">
        <v>0</v>
      </c>
      <c r="O94" s="68"/>
      <c r="P94" s="68">
        <v>0</v>
      </c>
      <c r="Q94" s="68"/>
      <c r="R94" s="68">
        <v>0</v>
      </c>
      <c r="S94" s="68"/>
      <c r="T94" s="68">
        <v>0</v>
      </c>
      <c r="U94" s="68"/>
      <c r="V94" s="68">
        <v>0</v>
      </c>
      <c r="W94" s="68"/>
      <c r="X94" s="68">
        <v>0</v>
      </c>
      <c r="Y94" s="68"/>
      <c r="Z94" s="68">
        <v>0</v>
      </c>
      <c r="AA94" s="51">
        <f t="shared" si="23"/>
        <v>0</v>
      </c>
      <c r="AB94" s="51">
        <f t="shared" si="24"/>
        <v>0</v>
      </c>
      <c r="AC94" s="22"/>
      <c r="AD94" s="31">
        <f t="shared" si="25"/>
        <v>0</v>
      </c>
      <c r="AE94" s="31">
        <f t="shared" si="26"/>
        <v>0</v>
      </c>
      <c r="AF94" s="17">
        <f t="shared" ref="AF94:AF157" si="27">AA94-AD94</f>
        <v>0</v>
      </c>
      <c r="AG94" s="17">
        <f t="shared" ref="AG94:AG157" si="28">AB94-AE94</f>
        <v>0</v>
      </c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61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</row>
    <row r="95" spans="1:117" s="19" customFormat="1" ht="18" customHeight="1" outlineLevel="1" x14ac:dyDescent="0.25">
      <c r="A95" s="48" t="s">
        <v>172</v>
      </c>
      <c r="B95" s="53"/>
      <c r="C95" s="64"/>
      <c r="D95" s="68">
        <v>0</v>
      </c>
      <c r="E95" s="68"/>
      <c r="F95" s="68">
        <v>0</v>
      </c>
      <c r="G95" s="68"/>
      <c r="H95" s="50">
        <v>0</v>
      </c>
      <c r="I95" s="68"/>
      <c r="J95" s="68">
        <v>0</v>
      </c>
      <c r="K95" s="68"/>
      <c r="L95" s="68">
        <v>0</v>
      </c>
      <c r="M95" s="68"/>
      <c r="N95" s="68">
        <v>0</v>
      </c>
      <c r="O95" s="68"/>
      <c r="P95" s="68">
        <v>0</v>
      </c>
      <c r="Q95" s="68"/>
      <c r="R95" s="68">
        <v>0</v>
      </c>
      <c r="S95" s="68"/>
      <c r="T95" s="68">
        <v>0</v>
      </c>
      <c r="U95" s="68"/>
      <c r="V95" s="68">
        <v>0</v>
      </c>
      <c r="W95" s="68"/>
      <c r="X95" s="68">
        <v>0</v>
      </c>
      <c r="Y95" s="68"/>
      <c r="Z95" s="68">
        <v>0</v>
      </c>
      <c r="AA95" s="51">
        <f t="shared" si="23"/>
        <v>0</v>
      </c>
      <c r="AB95" s="51">
        <f t="shared" si="24"/>
        <v>0</v>
      </c>
      <c r="AC95" s="22"/>
      <c r="AD95" s="31">
        <f t="shared" si="25"/>
        <v>0</v>
      </c>
      <c r="AE95" s="31">
        <f t="shared" si="26"/>
        <v>0</v>
      </c>
      <c r="AF95" s="17">
        <f t="shared" si="27"/>
        <v>0</v>
      </c>
      <c r="AG95" s="17">
        <f t="shared" si="28"/>
        <v>0</v>
      </c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61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</row>
    <row r="96" spans="1:117" s="19" customFormat="1" ht="18" customHeight="1" outlineLevel="1" x14ac:dyDescent="0.25">
      <c r="A96" s="48" t="s">
        <v>173</v>
      </c>
      <c r="B96" s="53"/>
      <c r="C96" s="64"/>
      <c r="D96" s="68">
        <v>0</v>
      </c>
      <c r="E96" s="68"/>
      <c r="F96" s="68">
        <v>0</v>
      </c>
      <c r="G96" s="68"/>
      <c r="H96" s="50">
        <v>0</v>
      </c>
      <c r="I96" s="68"/>
      <c r="J96" s="68">
        <v>0</v>
      </c>
      <c r="K96" s="68"/>
      <c r="L96" s="68">
        <v>0</v>
      </c>
      <c r="M96" s="68"/>
      <c r="N96" s="68">
        <v>0</v>
      </c>
      <c r="O96" s="68"/>
      <c r="P96" s="68">
        <v>0</v>
      </c>
      <c r="Q96" s="68"/>
      <c r="R96" s="68">
        <v>0</v>
      </c>
      <c r="S96" s="68"/>
      <c r="T96" s="68">
        <v>0</v>
      </c>
      <c r="U96" s="68"/>
      <c r="V96" s="68">
        <v>0</v>
      </c>
      <c r="W96" s="68"/>
      <c r="X96" s="68">
        <v>0</v>
      </c>
      <c r="Y96" s="68"/>
      <c r="Z96" s="68">
        <v>0</v>
      </c>
      <c r="AA96" s="51">
        <f t="shared" si="23"/>
        <v>0</v>
      </c>
      <c r="AB96" s="51">
        <f t="shared" si="24"/>
        <v>0</v>
      </c>
      <c r="AC96" s="22"/>
      <c r="AD96" s="31">
        <f t="shared" si="25"/>
        <v>0</v>
      </c>
      <c r="AE96" s="31">
        <f t="shared" si="26"/>
        <v>0</v>
      </c>
      <c r="AF96" s="17">
        <f t="shared" si="27"/>
        <v>0</v>
      </c>
      <c r="AG96" s="17">
        <f t="shared" si="28"/>
        <v>0</v>
      </c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61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</row>
    <row r="97" spans="1:117" s="19" customFormat="1" ht="18" customHeight="1" outlineLevel="1" x14ac:dyDescent="0.25">
      <c r="A97" s="48" t="s">
        <v>174</v>
      </c>
      <c r="B97" s="53"/>
      <c r="C97" s="64"/>
      <c r="D97" s="68">
        <v>0</v>
      </c>
      <c r="E97" s="68"/>
      <c r="F97" s="68">
        <v>0</v>
      </c>
      <c r="G97" s="68"/>
      <c r="H97" s="50">
        <v>0</v>
      </c>
      <c r="I97" s="68"/>
      <c r="J97" s="68">
        <v>0</v>
      </c>
      <c r="K97" s="68"/>
      <c r="L97" s="68">
        <v>0</v>
      </c>
      <c r="M97" s="68"/>
      <c r="N97" s="68">
        <v>0</v>
      </c>
      <c r="O97" s="68"/>
      <c r="P97" s="68">
        <v>0</v>
      </c>
      <c r="Q97" s="68"/>
      <c r="R97" s="68">
        <v>0</v>
      </c>
      <c r="S97" s="68"/>
      <c r="T97" s="68">
        <v>0</v>
      </c>
      <c r="U97" s="68"/>
      <c r="V97" s="68">
        <v>0</v>
      </c>
      <c r="W97" s="68"/>
      <c r="X97" s="68">
        <v>0</v>
      </c>
      <c r="Y97" s="68"/>
      <c r="Z97" s="68">
        <v>0</v>
      </c>
      <c r="AA97" s="51">
        <f t="shared" si="23"/>
        <v>0</v>
      </c>
      <c r="AB97" s="51">
        <f t="shared" si="24"/>
        <v>0</v>
      </c>
      <c r="AC97" s="22"/>
      <c r="AD97" s="31">
        <f t="shared" si="25"/>
        <v>0</v>
      </c>
      <c r="AE97" s="31">
        <f t="shared" si="26"/>
        <v>0</v>
      </c>
      <c r="AF97" s="17">
        <f t="shared" si="27"/>
        <v>0</v>
      </c>
      <c r="AG97" s="17">
        <f t="shared" si="28"/>
        <v>0</v>
      </c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61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</row>
    <row r="98" spans="1:117" s="19" customFormat="1" ht="18" customHeight="1" outlineLevel="1" x14ac:dyDescent="0.25">
      <c r="A98" s="48" t="s">
        <v>175</v>
      </c>
      <c r="B98" s="53"/>
      <c r="C98" s="64"/>
      <c r="D98" s="68">
        <v>0</v>
      </c>
      <c r="E98" s="68"/>
      <c r="F98" s="68">
        <v>0</v>
      </c>
      <c r="G98" s="68"/>
      <c r="H98" s="50">
        <v>0</v>
      </c>
      <c r="I98" s="68"/>
      <c r="J98" s="68">
        <v>0</v>
      </c>
      <c r="K98" s="68"/>
      <c r="L98" s="68">
        <v>0</v>
      </c>
      <c r="M98" s="68"/>
      <c r="N98" s="68">
        <v>0</v>
      </c>
      <c r="O98" s="68"/>
      <c r="P98" s="68">
        <v>0</v>
      </c>
      <c r="Q98" s="68"/>
      <c r="R98" s="68">
        <v>0</v>
      </c>
      <c r="S98" s="68"/>
      <c r="T98" s="68">
        <v>0</v>
      </c>
      <c r="U98" s="68"/>
      <c r="V98" s="68">
        <v>0</v>
      </c>
      <c r="W98" s="68"/>
      <c r="X98" s="68">
        <v>0</v>
      </c>
      <c r="Y98" s="68"/>
      <c r="Z98" s="68">
        <v>0</v>
      </c>
      <c r="AA98" s="51">
        <f t="shared" si="23"/>
        <v>0</v>
      </c>
      <c r="AB98" s="51">
        <f t="shared" si="24"/>
        <v>0</v>
      </c>
      <c r="AC98" s="22"/>
      <c r="AD98" s="31">
        <f t="shared" si="25"/>
        <v>0</v>
      </c>
      <c r="AE98" s="31">
        <f t="shared" si="26"/>
        <v>0</v>
      </c>
      <c r="AF98" s="17">
        <f t="shared" si="27"/>
        <v>0</v>
      </c>
      <c r="AG98" s="17">
        <f t="shared" si="28"/>
        <v>0</v>
      </c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61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</row>
    <row r="99" spans="1:117" s="19" customFormat="1" ht="18" customHeight="1" outlineLevel="1" x14ac:dyDescent="0.25">
      <c r="A99" s="48" t="s">
        <v>176</v>
      </c>
      <c r="B99" s="53"/>
      <c r="C99" s="64"/>
      <c r="D99" s="68">
        <v>0</v>
      </c>
      <c r="E99" s="68"/>
      <c r="F99" s="68">
        <v>0</v>
      </c>
      <c r="G99" s="68"/>
      <c r="H99" s="50">
        <v>0</v>
      </c>
      <c r="I99" s="68"/>
      <c r="J99" s="68">
        <v>0</v>
      </c>
      <c r="K99" s="68"/>
      <c r="L99" s="68">
        <v>0</v>
      </c>
      <c r="M99" s="68"/>
      <c r="N99" s="68">
        <v>0</v>
      </c>
      <c r="O99" s="68"/>
      <c r="P99" s="68">
        <v>0</v>
      </c>
      <c r="Q99" s="68"/>
      <c r="R99" s="68">
        <v>0</v>
      </c>
      <c r="S99" s="68"/>
      <c r="T99" s="68">
        <v>0</v>
      </c>
      <c r="U99" s="68"/>
      <c r="V99" s="68"/>
      <c r="W99" s="68"/>
      <c r="X99" s="68">
        <v>0</v>
      </c>
      <c r="Y99" s="68"/>
      <c r="Z99" s="68">
        <v>0</v>
      </c>
      <c r="AA99" s="51">
        <f t="shared" si="23"/>
        <v>0</v>
      </c>
      <c r="AB99" s="51">
        <f t="shared" si="24"/>
        <v>0</v>
      </c>
      <c r="AC99" s="22"/>
      <c r="AD99" s="31">
        <f t="shared" si="25"/>
        <v>0</v>
      </c>
      <c r="AE99" s="31">
        <f t="shared" si="26"/>
        <v>0</v>
      </c>
      <c r="AF99" s="17">
        <f t="shared" si="27"/>
        <v>0</v>
      </c>
      <c r="AG99" s="17">
        <f t="shared" si="28"/>
        <v>0</v>
      </c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61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</row>
    <row r="100" spans="1:117" s="19" customFormat="1" ht="18" customHeight="1" outlineLevel="1" x14ac:dyDescent="0.25">
      <c r="A100" s="48" t="s">
        <v>177</v>
      </c>
      <c r="B100" s="53"/>
      <c r="C100" s="64"/>
      <c r="D100" s="68">
        <v>0</v>
      </c>
      <c r="E100" s="68"/>
      <c r="F100" s="68">
        <v>0</v>
      </c>
      <c r="G100" s="68"/>
      <c r="H100" s="50">
        <v>0</v>
      </c>
      <c r="I100" s="68"/>
      <c r="J100" s="68">
        <v>0</v>
      </c>
      <c r="K100" s="68"/>
      <c r="L100" s="68">
        <v>0</v>
      </c>
      <c r="M100" s="68"/>
      <c r="N100" s="68">
        <v>0</v>
      </c>
      <c r="O100" s="68"/>
      <c r="P100" s="68">
        <v>0</v>
      </c>
      <c r="Q100" s="68"/>
      <c r="R100" s="68">
        <v>0</v>
      </c>
      <c r="S100" s="68"/>
      <c r="T100" s="68">
        <v>0</v>
      </c>
      <c r="U100" s="68"/>
      <c r="V100" s="68"/>
      <c r="W100" s="68"/>
      <c r="X100" s="68">
        <v>0</v>
      </c>
      <c r="Y100" s="68"/>
      <c r="Z100" s="68">
        <v>0</v>
      </c>
      <c r="AA100" s="51">
        <f t="shared" si="23"/>
        <v>0</v>
      </c>
      <c r="AB100" s="51">
        <f t="shared" si="24"/>
        <v>0</v>
      </c>
      <c r="AC100" s="22"/>
      <c r="AD100" s="31">
        <f t="shared" si="25"/>
        <v>0</v>
      </c>
      <c r="AE100" s="31">
        <f t="shared" si="26"/>
        <v>0</v>
      </c>
      <c r="AF100" s="17">
        <f t="shared" si="27"/>
        <v>0</v>
      </c>
      <c r="AG100" s="17">
        <f t="shared" si="28"/>
        <v>0</v>
      </c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61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</row>
    <row r="101" spans="1:117" s="19" customFormat="1" ht="18" customHeight="1" outlineLevel="1" x14ac:dyDescent="0.25">
      <c r="A101" s="48" t="s">
        <v>178</v>
      </c>
      <c r="B101" s="53"/>
      <c r="C101" s="64">
        <v>500</v>
      </c>
      <c r="D101" s="68">
        <v>0</v>
      </c>
      <c r="E101" s="68">
        <v>500</v>
      </c>
      <c r="F101" s="68">
        <v>0</v>
      </c>
      <c r="G101" s="68">
        <v>500</v>
      </c>
      <c r="H101" s="50">
        <v>0</v>
      </c>
      <c r="I101" s="68">
        <v>500</v>
      </c>
      <c r="J101" s="68"/>
      <c r="K101" s="68">
        <v>500</v>
      </c>
      <c r="L101" s="68">
        <v>0</v>
      </c>
      <c r="M101" s="68">
        <v>500</v>
      </c>
      <c r="N101" s="68">
        <v>0</v>
      </c>
      <c r="O101" s="68">
        <v>500</v>
      </c>
      <c r="P101" s="68">
        <v>0</v>
      </c>
      <c r="Q101" s="68">
        <v>500</v>
      </c>
      <c r="R101" s="68">
        <v>0</v>
      </c>
      <c r="S101" s="68">
        <v>500</v>
      </c>
      <c r="T101" s="68">
        <v>0</v>
      </c>
      <c r="U101" s="68">
        <v>500</v>
      </c>
      <c r="V101" s="68"/>
      <c r="W101" s="68">
        <v>500</v>
      </c>
      <c r="X101" s="68">
        <v>0</v>
      </c>
      <c r="Y101" s="68">
        <v>500</v>
      </c>
      <c r="Z101" s="68">
        <v>6608.11</v>
      </c>
      <c r="AA101" s="51">
        <f t="shared" si="23"/>
        <v>6000</v>
      </c>
      <c r="AB101" s="51">
        <f t="shared" si="24"/>
        <v>6608.11</v>
      </c>
      <c r="AC101" s="22"/>
      <c r="AD101" s="31">
        <f t="shared" si="25"/>
        <v>6000</v>
      </c>
      <c r="AE101" s="31">
        <f t="shared" si="26"/>
        <v>6608.11</v>
      </c>
      <c r="AF101" s="17">
        <f t="shared" si="27"/>
        <v>0</v>
      </c>
      <c r="AG101" s="17">
        <f t="shared" si="28"/>
        <v>0</v>
      </c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61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</row>
    <row r="102" spans="1:117" s="17" customFormat="1" ht="18" customHeight="1" x14ac:dyDescent="0.25">
      <c r="A102" s="52" t="s">
        <v>179</v>
      </c>
      <c r="B102" s="45">
        <v>7</v>
      </c>
      <c r="C102" s="33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51">
        <f t="shared" si="23"/>
        <v>0</v>
      </c>
      <c r="AB102" s="105">
        <f>SUM(D102:Z102)</f>
        <v>0</v>
      </c>
      <c r="AC102" s="21"/>
      <c r="AD102" s="31">
        <f t="shared" si="25"/>
        <v>0</v>
      </c>
      <c r="AE102" s="31">
        <f t="shared" si="26"/>
        <v>0</v>
      </c>
      <c r="AF102" s="17">
        <f t="shared" si="27"/>
        <v>0</v>
      </c>
      <c r="AG102" s="17">
        <f t="shared" si="28"/>
        <v>0</v>
      </c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66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</row>
    <row r="103" spans="1:117" s="17" customFormat="1" ht="18" customHeight="1" outlineLevel="1" x14ac:dyDescent="0.25">
      <c r="A103" s="67" t="s">
        <v>107</v>
      </c>
      <c r="B103" s="45"/>
      <c r="C103" s="33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51">
        <f t="shared" si="23"/>
        <v>0</v>
      </c>
      <c r="AB103" s="51">
        <f t="shared" ref="AB103:AB166" si="29">D103+F103+H103+J103+L103+N103+P103+R103+T103+V103+X103+Z103</f>
        <v>0</v>
      </c>
      <c r="AC103" s="21"/>
      <c r="AD103" s="31">
        <f t="shared" si="25"/>
        <v>0</v>
      </c>
      <c r="AE103" s="31">
        <f t="shared" si="26"/>
        <v>0</v>
      </c>
      <c r="AF103" s="17">
        <f t="shared" si="27"/>
        <v>0</v>
      </c>
      <c r="AG103" s="17">
        <f t="shared" si="28"/>
        <v>0</v>
      </c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66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</row>
    <row r="104" spans="1:117" s="19" customFormat="1" ht="18" customHeight="1" outlineLevel="2" x14ac:dyDescent="0.25">
      <c r="A104" s="48" t="s">
        <v>108</v>
      </c>
      <c r="B104" s="53"/>
      <c r="C104" s="64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51">
        <f t="shared" si="23"/>
        <v>0</v>
      </c>
      <c r="AB104" s="51">
        <f t="shared" si="29"/>
        <v>0</v>
      </c>
      <c r="AD104" s="31">
        <f t="shared" si="25"/>
        <v>0</v>
      </c>
      <c r="AE104" s="31">
        <f t="shared" si="26"/>
        <v>0</v>
      </c>
      <c r="AF104" s="17">
        <f t="shared" si="27"/>
        <v>0</v>
      </c>
      <c r="AG104" s="17">
        <f t="shared" si="28"/>
        <v>0</v>
      </c>
      <c r="BA104" s="66"/>
    </row>
    <row r="105" spans="1:117" s="19" customFormat="1" ht="18" customHeight="1" outlineLevel="2" x14ac:dyDescent="0.25">
      <c r="A105" s="48" t="s">
        <v>109</v>
      </c>
      <c r="B105" s="53"/>
      <c r="C105" s="64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51">
        <f t="shared" si="23"/>
        <v>0</v>
      </c>
      <c r="AB105" s="51">
        <f t="shared" si="29"/>
        <v>0</v>
      </c>
      <c r="AD105" s="31">
        <f t="shared" si="25"/>
        <v>0</v>
      </c>
      <c r="AE105" s="31">
        <f t="shared" si="26"/>
        <v>0</v>
      </c>
      <c r="AF105" s="17">
        <f t="shared" si="27"/>
        <v>0</v>
      </c>
      <c r="AG105" s="17">
        <f t="shared" si="28"/>
        <v>0</v>
      </c>
      <c r="BA105" s="66"/>
    </row>
    <row r="106" spans="1:117" s="17" customFormat="1" ht="18" customHeight="1" outlineLevel="1" x14ac:dyDescent="0.25">
      <c r="A106" s="67" t="s">
        <v>110</v>
      </c>
      <c r="B106" s="45"/>
      <c r="C106" s="33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51">
        <f t="shared" si="23"/>
        <v>0</v>
      </c>
      <c r="AB106" s="51">
        <f t="shared" si="29"/>
        <v>0</v>
      </c>
      <c r="AC106" s="21"/>
      <c r="AD106" s="31">
        <f t="shared" si="25"/>
        <v>0</v>
      </c>
      <c r="AE106" s="31">
        <f t="shared" si="26"/>
        <v>0</v>
      </c>
      <c r="AF106" s="17">
        <f t="shared" si="27"/>
        <v>0</v>
      </c>
      <c r="AG106" s="17">
        <f t="shared" si="28"/>
        <v>0</v>
      </c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66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</row>
    <row r="107" spans="1:117" s="19" customFormat="1" ht="18" customHeight="1" outlineLevel="2" x14ac:dyDescent="0.25">
      <c r="A107" s="48" t="s">
        <v>111</v>
      </c>
      <c r="B107" s="53"/>
      <c r="C107" s="64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51">
        <f t="shared" si="23"/>
        <v>0</v>
      </c>
      <c r="AB107" s="51">
        <f t="shared" si="29"/>
        <v>0</v>
      </c>
      <c r="AD107" s="31">
        <f t="shared" si="25"/>
        <v>0</v>
      </c>
      <c r="AE107" s="31">
        <f t="shared" si="26"/>
        <v>0</v>
      </c>
      <c r="AF107" s="17">
        <f t="shared" si="27"/>
        <v>0</v>
      </c>
      <c r="AG107" s="17">
        <f t="shared" si="28"/>
        <v>0</v>
      </c>
      <c r="BA107" s="20"/>
    </row>
    <row r="108" spans="1:117" s="19" customFormat="1" ht="18" customHeight="1" outlineLevel="2" x14ac:dyDescent="0.25">
      <c r="A108" s="48" t="s">
        <v>112</v>
      </c>
      <c r="B108" s="53"/>
      <c r="C108" s="64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51">
        <f t="shared" si="23"/>
        <v>0</v>
      </c>
      <c r="AB108" s="51">
        <f t="shared" si="29"/>
        <v>0</v>
      </c>
      <c r="AD108" s="31">
        <f t="shared" si="25"/>
        <v>0</v>
      </c>
      <c r="AE108" s="31">
        <f t="shared" si="26"/>
        <v>0</v>
      </c>
      <c r="AF108" s="17">
        <f t="shared" si="27"/>
        <v>0</v>
      </c>
      <c r="AG108" s="17">
        <f t="shared" si="28"/>
        <v>0</v>
      </c>
      <c r="BA108" s="20"/>
    </row>
    <row r="109" spans="1:117" s="19" customFormat="1" ht="18" customHeight="1" outlineLevel="2" x14ac:dyDescent="0.25">
      <c r="A109" s="48" t="s">
        <v>113</v>
      </c>
      <c r="B109" s="53"/>
      <c r="C109" s="64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51">
        <f t="shared" si="23"/>
        <v>0</v>
      </c>
      <c r="AB109" s="51">
        <f t="shared" si="29"/>
        <v>0</v>
      </c>
      <c r="AD109" s="31">
        <f t="shared" si="25"/>
        <v>0</v>
      </c>
      <c r="AE109" s="31">
        <f t="shared" si="26"/>
        <v>0</v>
      </c>
      <c r="AF109" s="17">
        <f t="shared" si="27"/>
        <v>0</v>
      </c>
      <c r="AG109" s="17">
        <f t="shared" si="28"/>
        <v>0</v>
      </c>
      <c r="BA109" s="20"/>
    </row>
    <row r="110" spans="1:117" s="19" customFormat="1" ht="18" customHeight="1" outlineLevel="2" x14ac:dyDescent="0.25">
      <c r="A110" s="48" t="s">
        <v>114</v>
      </c>
      <c r="B110" s="53"/>
      <c r="C110" s="64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51">
        <f t="shared" si="23"/>
        <v>0</v>
      </c>
      <c r="AB110" s="51">
        <f t="shared" si="29"/>
        <v>0</v>
      </c>
      <c r="AD110" s="31">
        <f t="shared" si="25"/>
        <v>0</v>
      </c>
      <c r="AE110" s="31">
        <f t="shared" si="26"/>
        <v>0</v>
      </c>
      <c r="AF110" s="17">
        <f t="shared" si="27"/>
        <v>0</v>
      </c>
      <c r="AG110" s="17">
        <f t="shared" si="28"/>
        <v>0</v>
      </c>
      <c r="BA110" s="20"/>
    </row>
    <row r="111" spans="1:117" s="19" customFormat="1" ht="18" customHeight="1" outlineLevel="2" x14ac:dyDescent="0.25">
      <c r="A111" s="48" t="s">
        <v>115</v>
      </c>
      <c r="B111" s="53"/>
      <c r="C111" s="64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51">
        <f t="shared" si="23"/>
        <v>0</v>
      </c>
      <c r="AB111" s="51">
        <f t="shared" si="29"/>
        <v>0</v>
      </c>
      <c r="AD111" s="31">
        <f t="shared" si="25"/>
        <v>0</v>
      </c>
      <c r="AE111" s="31">
        <f t="shared" si="26"/>
        <v>0</v>
      </c>
      <c r="AF111" s="17">
        <f t="shared" si="27"/>
        <v>0</v>
      </c>
      <c r="AG111" s="17">
        <f t="shared" si="28"/>
        <v>0</v>
      </c>
      <c r="BA111" s="20"/>
    </row>
    <row r="112" spans="1:117" s="19" customFormat="1" ht="18" customHeight="1" outlineLevel="1" x14ac:dyDescent="0.25">
      <c r="A112" s="48" t="s">
        <v>116</v>
      </c>
      <c r="B112" s="53"/>
      <c r="C112" s="64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51">
        <f t="shared" si="23"/>
        <v>0</v>
      </c>
      <c r="AB112" s="51">
        <f t="shared" si="29"/>
        <v>0</v>
      </c>
      <c r="AD112" s="31">
        <f t="shared" si="25"/>
        <v>0</v>
      </c>
      <c r="AE112" s="31">
        <f t="shared" si="26"/>
        <v>0</v>
      </c>
      <c r="AF112" s="17">
        <f t="shared" si="27"/>
        <v>0</v>
      </c>
      <c r="AG112" s="17">
        <f t="shared" si="28"/>
        <v>0</v>
      </c>
      <c r="BA112" s="20"/>
    </row>
    <row r="113" spans="1:117" s="19" customFormat="1" ht="18" customHeight="1" outlineLevel="1" x14ac:dyDescent="0.25">
      <c r="A113" s="48" t="s">
        <v>117</v>
      </c>
      <c r="B113" s="53"/>
      <c r="C113" s="64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51">
        <f t="shared" si="23"/>
        <v>0</v>
      </c>
      <c r="AB113" s="51">
        <f t="shared" si="29"/>
        <v>0</v>
      </c>
      <c r="AD113" s="31">
        <f t="shared" si="25"/>
        <v>0</v>
      </c>
      <c r="AE113" s="31">
        <f t="shared" si="26"/>
        <v>0</v>
      </c>
      <c r="AF113" s="17">
        <f t="shared" si="27"/>
        <v>0</v>
      </c>
      <c r="AG113" s="17">
        <f t="shared" si="28"/>
        <v>0</v>
      </c>
      <c r="BA113" s="20"/>
    </row>
    <row r="114" spans="1:117" s="19" customFormat="1" ht="18" customHeight="1" outlineLevel="1" x14ac:dyDescent="0.25">
      <c r="A114" s="48" t="s">
        <v>118</v>
      </c>
      <c r="B114" s="53"/>
      <c r="C114" s="64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51">
        <f t="shared" si="23"/>
        <v>0</v>
      </c>
      <c r="AB114" s="51">
        <f t="shared" si="29"/>
        <v>0</v>
      </c>
      <c r="AD114" s="31">
        <f t="shared" si="25"/>
        <v>0</v>
      </c>
      <c r="AE114" s="31">
        <f t="shared" si="26"/>
        <v>0</v>
      </c>
      <c r="AF114" s="17">
        <f t="shared" si="27"/>
        <v>0</v>
      </c>
      <c r="AG114" s="17">
        <f t="shared" si="28"/>
        <v>0</v>
      </c>
      <c r="BA114" s="20"/>
    </row>
    <row r="115" spans="1:117" s="17" customFormat="1" ht="18" customHeight="1" outlineLevel="1" x14ac:dyDescent="0.25">
      <c r="A115" s="67" t="s">
        <v>119</v>
      </c>
      <c r="B115" s="45"/>
      <c r="C115" s="33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51">
        <f t="shared" si="23"/>
        <v>0</v>
      </c>
      <c r="AB115" s="51">
        <f t="shared" si="29"/>
        <v>0</v>
      </c>
      <c r="AC115" s="21"/>
      <c r="AD115" s="31">
        <f t="shared" si="25"/>
        <v>0</v>
      </c>
      <c r="AE115" s="31">
        <f t="shared" si="26"/>
        <v>0</v>
      </c>
      <c r="AF115" s="17">
        <f t="shared" si="27"/>
        <v>0</v>
      </c>
      <c r="AG115" s="17">
        <f t="shared" si="28"/>
        <v>0</v>
      </c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66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</row>
    <row r="116" spans="1:117" s="19" customFormat="1" ht="18" customHeight="1" outlineLevel="2" x14ac:dyDescent="0.25">
      <c r="A116" s="48" t="s">
        <v>120</v>
      </c>
      <c r="B116" s="53"/>
      <c r="C116" s="64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51">
        <f t="shared" si="23"/>
        <v>0</v>
      </c>
      <c r="AB116" s="51">
        <f t="shared" si="29"/>
        <v>0</v>
      </c>
      <c r="AD116" s="31">
        <f t="shared" si="25"/>
        <v>0</v>
      </c>
      <c r="AE116" s="31">
        <f t="shared" si="26"/>
        <v>0</v>
      </c>
      <c r="AF116" s="17">
        <f t="shared" si="27"/>
        <v>0</v>
      </c>
      <c r="AG116" s="17">
        <f t="shared" si="28"/>
        <v>0</v>
      </c>
      <c r="BA116" s="20"/>
    </row>
    <row r="117" spans="1:117" s="19" customFormat="1" ht="18" customHeight="1" outlineLevel="2" x14ac:dyDescent="0.25">
      <c r="A117" s="48" t="s">
        <v>121</v>
      </c>
      <c r="B117" s="53"/>
      <c r="C117" s="64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51">
        <f t="shared" si="23"/>
        <v>0</v>
      </c>
      <c r="AB117" s="51">
        <f t="shared" si="29"/>
        <v>0</v>
      </c>
      <c r="AD117" s="31">
        <f t="shared" si="25"/>
        <v>0</v>
      </c>
      <c r="AE117" s="31">
        <f t="shared" si="26"/>
        <v>0</v>
      </c>
      <c r="AF117" s="17">
        <f t="shared" si="27"/>
        <v>0</v>
      </c>
      <c r="AG117" s="17">
        <f t="shared" si="28"/>
        <v>0</v>
      </c>
      <c r="BA117" s="20"/>
    </row>
    <row r="118" spans="1:117" s="19" customFormat="1" ht="18" customHeight="1" outlineLevel="2" x14ac:dyDescent="0.25">
      <c r="A118" s="48" t="s">
        <v>122</v>
      </c>
      <c r="B118" s="53"/>
      <c r="C118" s="64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51">
        <f t="shared" si="23"/>
        <v>0</v>
      </c>
      <c r="AB118" s="51">
        <f t="shared" si="29"/>
        <v>0</v>
      </c>
      <c r="AD118" s="31">
        <f t="shared" si="25"/>
        <v>0</v>
      </c>
      <c r="AE118" s="31">
        <f t="shared" si="26"/>
        <v>0</v>
      </c>
      <c r="AF118" s="17">
        <f t="shared" si="27"/>
        <v>0</v>
      </c>
      <c r="AG118" s="17">
        <f t="shared" si="28"/>
        <v>0</v>
      </c>
      <c r="BA118" s="20"/>
    </row>
    <row r="119" spans="1:117" s="19" customFormat="1" ht="18" customHeight="1" outlineLevel="2" x14ac:dyDescent="0.25">
      <c r="A119" s="48" t="s">
        <v>123</v>
      </c>
      <c r="B119" s="53"/>
      <c r="C119" s="64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51">
        <f t="shared" si="23"/>
        <v>0</v>
      </c>
      <c r="AB119" s="51">
        <f t="shared" si="29"/>
        <v>0</v>
      </c>
      <c r="AD119" s="31">
        <f t="shared" si="25"/>
        <v>0</v>
      </c>
      <c r="AE119" s="31">
        <f t="shared" si="26"/>
        <v>0</v>
      </c>
      <c r="AF119" s="17">
        <f t="shared" si="27"/>
        <v>0</v>
      </c>
      <c r="AG119" s="17">
        <f t="shared" si="28"/>
        <v>0</v>
      </c>
      <c r="BA119" s="20"/>
    </row>
    <row r="120" spans="1:117" s="19" customFormat="1" ht="18" customHeight="1" outlineLevel="2" x14ac:dyDescent="0.25">
      <c r="A120" s="48" t="s">
        <v>124</v>
      </c>
      <c r="B120" s="53"/>
      <c r="C120" s="64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51">
        <f t="shared" si="23"/>
        <v>0</v>
      </c>
      <c r="AB120" s="51">
        <f t="shared" si="29"/>
        <v>0</v>
      </c>
      <c r="AD120" s="31">
        <f t="shared" si="25"/>
        <v>0</v>
      </c>
      <c r="AE120" s="31">
        <f t="shared" si="26"/>
        <v>0</v>
      </c>
      <c r="AF120" s="17">
        <f t="shared" si="27"/>
        <v>0</v>
      </c>
      <c r="AG120" s="17">
        <f t="shared" si="28"/>
        <v>0</v>
      </c>
      <c r="BA120" s="20"/>
    </row>
    <row r="121" spans="1:117" s="19" customFormat="1" ht="18" customHeight="1" outlineLevel="2" x14ac:dyDescent="0.25">
      <c r="A121" s="48" t="s">
        <v>125</v>
      </c>
      <c r="B121" s="53"/>
      <c r="C121" s="64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51">
        <f t="shared" si="23"/>
        <v>0</v>
      </c>
      <c r="AB121" s="51">
        <f t="shared" si="29"/>
        <v>0</v>
      </c>
      <c r="AD121" s="31">
        <f t="shared" si="25"/>
        <v>0</v>
      </c>
      <c r="AE121" s="31">
        <f t="shared" si="26"/>
        <v>0</v>
      </c>
      <c r="AF121" s="17">
        <f t="shared" si="27"/>
        <v>0</v>
      </c>
      <c r="AG121" s="17">
        <f t="shared" si="28"/>
        <v>0</v>
      </c>
      <c r="BA121" s="20"/>
    </row>
    <row r="122" spans="1:117" s="19" customFormat="1" ht="18" customHeight="1" outlineLevel="2" x14ac:dyDescent="0.25">
      <c r="A122" s="48" t="s">
        <v>126</v>
      </c>
      <c r="B122" s="53"/>
      <c r="C122" s="64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51">
        <f t="shared" si="23"/>
        <v>0</v>
      </c>
      <c r="AB122" s="51">
        <f t="shared" si="29"/>
        <v>0</v>
      </c>
      <c r="AD122" s="31">
        <f t="shared" si="25"/>
        <v>0</v>
      </c>
      <c r="AE122" s="31">
        <f t="shared" si="26"/>
        <v>0</v>
      </c>
      <c r="AF122" s="17">
        <f t="shared" si="27"/>
        <v>0</v>
      </c>
      <c r="AG122" s="17">
        <f t="shared" si="28"/>
        <v>0</v>
      </c>
      <c r="BA122" s="20"/>
    </row>
    <row r="123" spans="1:117" s="19" customFormat="1" ht="18" customHeight="1" outlineLevel="1" x14ac:dyDescent="0.25">
      <c r="A123" s="48" t="s">
        <v>127</v>
      </c>
      <c r="B123" s="53"/>
      <c r="C123" s="64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51">
        <f t="shared" si="23"/>
        <v>0</v>
      </c>
      <c r="AB123" s="51">
        <f t="shared" si="29"/>
        <v>0</v>
      </c>
      <c r="AD123" s="31">
        <f t="shared" si="25"/>
        <v>0</v>
      </c>
      <c r="AE123" s="31">
        <f t="shared" si="26"/>
        <v>0</v>
      </c>
      <c r="AF123" s="17">
        <f t="shared" si="27"/>
        <v>0</v>
      </c>
      <c r="AG123" s="17">
        <f t="shared" si="28"/>
        <v>0</v>
      </c>
      <c r="BA123" s="20"/>
    </row>
    <row r="124" spans="1:117" s="19" customFormat="1" ht="18" customHeight="1" outlineLevel="1" x14ac:dyDescent="0.25">
      <c r="A124" s="48" t="s">
        <v>128</v>
      </c>
      <c r="B124" s="53"/>
      <c r="C124" s="64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51">
        <f t="shared" si="23"/>
        <v>0</v>
      </c>
      <c r="AB124" s="51">
        <f t="shared" si="29"/>
        <v>0</v>
      </c>
      <c r="AD124" s="31">
        <f t="shared" si="25"/>
        <v>0</v>
      </c>
      <c r="AE124" s="31">
        <f t="shared" si="26"/>
        <v>0</v>
      </c>
      <c r="AF124" s="17">
        <f t="shared" si="27"/>
        <v>0</v>
      </c>
      <c r="AG124" s="17">
        <f t="shared" si="28"/>
        <v>0</v>
      </c>
      <c r="BA124" s="20"/>
    </row>
    <row r="125" spans="1:117" s="19" customFormat="1" ht="18" customHeight="1" outlineLevel="1" x14ac:dyDescent="0.25">
      <c r="A125" s="48" t="s">
        <v>129</v>
      </c>
      <c r="B125" s="53"/>
      <c r="C125" s="64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51">
        <f t="shared" si="23"/>
        <v>0</v>
      </c>
      <c r="AB125" s="51">
        <f t="shared" si="29"/>
        <v>0</v>
      </c>
      <c r="AD125" s="31">
        <f t="shared" si="25"/>
        <v>0</v>
      </c>
      <c r="AE125" s="31">
        <f t="shared" si="26"/>
        <v>0</v>
      </c>
      <c r="AF125" s="17">
        <f t="shared" si="27"/>
        <v>0</v>
      </c>
      <c r="AG125" s="17">
        <f t="shared" si="28"/>
        <v>0</v>
      </c>
      <c r="BA125" s="20"/>
    </row>
    <row r="126" spans="1:117" s="17" customFormat="1" ht="18" customHeight="1" outlineLevel="1" x14ac:dyDescent="0.25">
      <c r="A126" s="67" t="s">
        <v>130</v>
      </c>
      <c r="B126" s="45"/>
      <c r="C126" s="33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51">
        <f t="shared" si="23"/>
        <v>0</v>
      </c>
      <c r="AB126" s="51">
        <f t="shared" si="29"/>
        <v>0</v>
      </c>
      <c r="AC126" s="21"/>
      <c r="AD126" s="31">
        <f t="shared" si="25"/>
        <v>0</v>
      </c>
      <c r="AE126" s="31">
        <f t="shared" si="26"/>
        <v>0</v>
      </c>
      <c r="AF126" s="17">
        <f t="shared" si="27"/>
        <v>0</v>
      </c>
      <c r="AG126" s="17">
        <f t="shared" si="28"/>
        <v>0</v>
      </c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66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</row>
    <row r="127" spans="1:117" s="19" customFormat="1" ht="18" customHeight="1" outlineLevel="2" x14ac:dyDescent="0.25">
      <c r="A127" s="48" t="s">
        <v>131</v>
      </c>
      <c r="B127" s="53"/>
      <c r="C127" s="64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51">
        <f t="shared" si="23"/>
        <v>0</v>
      </c>
      <c r="AB127" s="51">
        <f t="shared" si="29"/>
        <v>0</v>
      </c>
      <c r="AD127" s="31">
        <f t="shared" si="25"/>
        <v>0</v>
      </c>
      <c r="AE127" s="31">
        <f t="shared" si="26"/>
        <v>0</v>
      </c>
      <c r="AF127" s="17">
        <f t="shared" si="27"/>
        <v>0</v>
      </c>
      <c r="AG127" s="17">
        <f t="shared" si="28"/>
        <v>0</v>
      </c>
      <c r="BA127" s="20"/>
    </row>
    <row r="128" spans="1:117" s="19" customFormat="1" ht="18" customHeight="1" outlineLevel="2" x14ac:dyDescent="0.25">
      <c r="A128" s="48" t="s">
        <v>132</v>
      </c>
      <c r="B128" s="53"/>
      <c r="C128" s="64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51">
        <f t="shared" si="23"/>
        <v>0</v>
      </c>
      <c r="AB128" s="51">
        <f t="shared" si="29"/>
        <v>0</v>
      </c>
      <c r="AD128" s="31">
        <f t="shared" si="25"/>
        <v>0</v>
      </c>
      <c r="AE128" s="31">
        <f t="shared" si="26"/>
        <v>0</v>
      </c>
      <c r="AF128" s="17">
        <f t="shared" si="27"/>
        <v>0</v>
      </c>
      <c r="AG128" s="17">
        <f t="shared" si="28"/>
        <v>0</v>
      </c>
      <c r="BA128" s="20"/>
    </row>
    <row r="129" spans="1:117" s="19" customFormat="1" ht="18" customHeight="1" outlineLevel="2" x14ac:dyDescent="0.25">
      <c r="A129" s="48" t="s">
        <v>180</v>
      </c>
      <c r="B129" s="53"/>
      <c r="C129" s="64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51">
        <f t="shared" si="23"/>
        <v>0</v>
      </c>
      <c r="AB129" s="51">
        <f t="shared" si="29"/>
        <v>0</v>
      </c>
      <c r="AD129" s="31">
        <f t="shared" si="25"/>
        <v>0</v>
      </c>
      <c r="AE129" s="31">
        <f t="shared" si="26"/>
        <v>0</v>
      </c>
      <c r="AF129" s="17">
        <f t="shared" si="27"/>
        <v>0</v>
      </c>
      <c r="AG129" s="17">
        <f t="shared" si="28"/>
        <v>0</v>
      </c>
      <c r="BA129" s="20"/>
    </row>
    <row r="130" spans="1:117" s="19" customFormat="1" ht="18" customHeight="1" outlineLevel="2" x14ac:dyDescent="0.25">
      <c r="A130" s="48" t="s">
        <v>134</v>
      </c>
      <c r="B130" s="53"/>
      <c r="C130" s="64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51">
        <f t="shared" si="23"/>
        <v>0</v>
      </c>
      <c r="AB130" s="51">
        <f t="shared" si="29"/>
        <v>0</v>
      </c>
      <c r="AD130" s="31">
        <f t="shared" si="25"/>
        <v>0</v>
      </c>
      <c r="AE130" s="31">
        <f t="shared" si="26"/>
        <v>0</v>
      </c>
      <c r="AF130" s="17">
        <f t="shared" si="27"/>
        <v>0</v>
      </c>
      <c r="AG130" s="17">
        <f t="shared" si="28"/>
        <v>0</v>
      </c>
      <c r="BA130" s="20"/>
    </row>
    <row r="131" spans="1:117" s="19" customFormat="1" ht="18" customHeight="1" outlineLevel="2" x14ac:dyDescent="0.25">
      <c r="A131" s="48" t="s">
        <v>135</v>
      </c>
      <c r="B131" s="53"/>
      <c r="C131" s="64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51">
        <f t="shared" si="23"/>
        <v>0</v>
      </c>
      <c r="AB131" s="51">
        <f t="shared" si="29"/>
        <v>0</v>
      </c>
      <c r="AD131" s="31">
        <f t="shared" si="25"/>
        <v>0</v>
      </c>
      <c r="AE131" s="31">
        <f t="shared" si="26"/>
        <v>0</v>
      </c>
      <c r="AF131" s="17">
        <f t="shared" si="27"/>
        <v>0</v>
      </c>
      <c r="AG131" s="17">
        <f t="shared" si="28"/>
        <v>0</v>
      </c>
      <c r="BA131" s="20"/>
    </row>
    <row r="132" spans="1:117" s="19" customFormat="1" ht="18" customHeight="1" outlineLevel="1" x14ac:dyDescent="0.25">
      <c r="A132" s="48" t="s">
        <v>136</v>
      </c>
      <c r="B132" s="53"/>
      <c r="C132" s="64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51">
        <f t="shared" si="23"/>
        <v>0</v>
      </c>
      <c r="AB132" s="51">
        <f t="shared" si="29"/>
        <v>0</v>
      </c>
      <c r="AD132" s="31">
        <f t="shared" si="25"/>
        <v>0</v>
      </c>
      <c r="AE132" s="31">
        <f t="shared" si="26"/>
        <v>0</v>
      </c>
      <c r="AF132" s="17">
        <f t="shared" si="27"/>
        <v>0</v>
      </c>
      <c r="AG132" s="17">
        <f t="shared" si="28"/>
        <v>0</v>
      </c>
      <c r="BA132" s="20"/>
    </row>
    <row r="133" spans="1:117" s="19" customFormat="1" ht="18" customHeight="1" outlineLevel="1" x14ac:dyDescent="0.25">
      <c r="A133" s="48" t="s">
        <v>137</v>
      </c>
      <c r="B133" s="53"/>
      <c r="C133" s="64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51">
        <f t="shared" si="23"/>
        <v>0</v>
      </c>
      <c r="AB133" s="51">
        <f t="shared" si="29"/>
        <v>0</v>
      </c>
      <c r="AD133" s="31">
        <f t="shared" si="25"/>
        <v>0</v>
      </c>
      <c r="AE133" s="31">
        <f t="shared" si="26"/>
        <v>0</v>
      </c>
      <c r="AF133" s="17">
        <f t="shared" si="27"/>
        <v>0</v>
      </c>
      <c r="AG133" s="17">
        <f t="shared" si="28"/>
        <v>0</v>
      </c>
      <c r="BA133" s="20"/>
    </row>
    <row r="134" spans="1:117" s="19" customFormat="1" ht="18" customHeight="1" outlineLevel="1" x14ac:dyDescent="0.25">
      <c r="A134" s="48" t="s">
        <v>138</v>
      </c>
      <c r="B134" s="53"/>
      <c r="C134" s="64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51">
        <f t="shared" si="23"/>
        <v>0</v>
      </c>
      <c r="AB134" s="51">
        <f t="shared" si="29"/>
        <v>0</v>
      </c>
      <c r="AD134" s="31">
        <f t="shared" si="25"/>
        <v>0</v>
      </c>
      <c r="AE134" s="31">
        <f t="shared" si="26"/>
        <v>0</v>
      </c>
      <c r="AF134" s="17">
        <f t="shared" si="27"/>
        <v>0</v>
      </c>
      <c r="AG134" s="17">
        <f t="shared" si="28"/>
        <v>0</v>
      </c>
      <c r="BA134" s="20"/>
    </row>
    <row r="135" spans="1:117" s="19" customFormat="1" ht="18" customHeight="1" outlineLevel="1" x14ac:dyDescent="0.25">
      <c r="A135" s="48" t="s">
        <v>139</v>
      </c>
      <c r="B135" s="53"/>
      <c r="C135" s="64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51">
        <f t="shared" si="23"/>
        <v>0</v>
      </c>
      <c r="AB135" s="51">
        <f t="shared" si="29"/>
        <v>0</v>
      </c>
      <c r="AD135" s="31">
        <f t="shared" si="25"/>
        <v>0</v>
      </c>
      <c r="AE135" s="31">
        <f t="shared" si="26"/>
        <v>0</v>
      </c>
      <c r="AF135" s="17">
        <f t="shared" si="27"/>
        <v>0</v>
      </c>
      <c r="AG135" s="17">
        <f t="shared" si="28"/>
        <v>0</v>
      </c>
      <c r="BA135" s="20"/>
    </row>
    <row r="136" spans="1:117" s="19" customFormat="1" ht="18" customHeight="1" outlineLevel="1" x14ac:dyDescent="0.25">
      <c r="A136" s="48" t="s">
        <v>140</v>
      </c>
      <c r="B136" s="53"/>
      <c r="C136" s="64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51">
        <f t="shared" si="23"/>
        <v>0</v>
      </c>
      <c r="AB136" s="51">
        <f t="shared" si="29"/>
        <v>0</v>
      </c>
      <c r="AD136" s="31">
        <f t="shared" si="25"/>
        <v>0</v>
      </c>
      <c r="AE136" s="31">
        <f t="shared" si="26"/>
        <v>0</v>
      </c>
      <c r="AF136" s="17">
        <f t="shared" si="27"/>
        <v>0</v>
      </c>
      <c r="AG136" s="17">
        <f t="shared" si="28"/>
        <v>0</v>
      </c>
      <c r="BA136" s="20"/>
    </row>
    <row r="137" spans="1:117" s="19" customFormat="1" ht="18" customHeight="1" outlineLevel="1" x14ac:dyDescent="0.25">
      <c r="A137" s="48" t="s">
        <v>141</v>
      </c>
      <c r="B137" s="53"/>
      <c r="C137" s="64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51">
        <f t="shared" si="23"/>
        <v>0</v>
      </c>
      <c r="AB137" s="51">
        <f t="shared" si="29"/>
        <v>0</v>
      </c>
      <c r="AD137" s="31">
        <f t="shared" si="25"/>
        <v>0</v>
      </c>
      <c r="AE137" s="31">
        <f t="shared" si="26"/>
        <v>0</v>
      </c>
      <c r="AF137" s="17">
        <f t="shared" si="27"/>
        <v>0</v>
      </c>
      <c r="AG137" s="17">
        <f t="shared" si="28"/>
        <v>0</v>
      </c>
      <c r="BA137" s="20"/>
    </row>
    <row r="138" spans="1:117" s="17" customFormat="1" ht="18" customHeight="1" outlineLevel="1" x14ac:dyDescent="0.25">
      <c r="A138" s="67" t="s">
        <v>142</v>
      </c>
      <c r="B138" s="45"/>
      <c r="C138" s="33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51">
        <f t="shared" si="23"/>
        <v>0</v>
      </c>
      <c r="AB138" s="51">
        <f t="shared" si="29"/>
        <v>0</v>
      </c>
      <c r="AC138" s="21"/>
      <c r="AD138" s="31">
        <f t="shared" si="25"/>
        <v>0</v>
      </c>
      <c r="AE138" s="31">
        <f t="shared" si="26"/>
        <v>0</v>
      </c>
      <c r="AF138" s="17">
        <f t="shared" si="27"/>
        <v>0</v>
      </c>
      <c r="AG138" s="17">
        <f t="shared" si="28"/>
        <v>0</v>
      </c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66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</row>
    <row r="139" spans="1:117" s="19" customFormat="1" ht="18" customHeight="1" outlineLevel="2" x14ac:dyDescent="0.25">
      <c r="A139" s="48" t="s">
        <v>143</v>
      </c>
      <c r="B139" s="53"/>
      <c r="C139" s="64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51">
        <f t="shared" si="23"/>
        <v>0</v>
      </c>
      <c r="AB139" s="51">
        <f t="shared" si="29"/>
        <v>0</v>
      </c>
      <c r="AD139" s="31">
        <f t="shared" si="25"/>
        <v>0</v>
      </c>
      <c r="AE139" s="31">
        <f t="shared" si="26"/>
        <v>0</v>
      </c>
      <c r="AF139" s="17">
        <f t="shared" si="27"/>
        <v>0</v>
      </c>
      <c r="AG139" s="17">
        <f t="shared" si="28"/>
        <v>0</v>
      </c>
      <c r="BA139" s="20"/>
    </row>
    <row r="140" spans="1:117" s="19" customFormat="1" ht="18" customHeight="1" outlineLevel="2" x14ac:dyDescent="0.25">
      <c r="A140" s="48" t="s">
        <v>144</v>
      </c>
      <c r="B140" s="53"/>
      <c r="C140" s="64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51">
        <f t="shared" si="23"/>
        <v>0</v>
      </c>
      <c r="AB140" s="51">
        <f t="shared" si="29"/>
        <v>0</v>
      </c>
      <c r="AD140" s="31">
        <f t="shared" si="25"/>
        <v>0</v>
      </c>
      <c r="AE140" s="31">
        <f t="shared" si="26"/>
        <v>0</v>
      </c>
      <c r="AF140" s="17">
        <f t="shared" si="27"/>
        <v>0</v>
      </c>
      <c r="AG140" s="17">
        <f t="shared" si="28"/>
        <v>0</v>
      </c>
      <c r="BA140" s="20"/>
    </row>
    <row r="141" spans="1:117" s="19" customFormat="1" ht="18" customHeight="1" outlineLevel="2" x14ac:dyDescent="0.25">
      <c r="A141" s="48" t="s">
        <v>145</v>
      </c>
      <c r="B141" s="53"/>
      <c r="C141" s="64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51">
        <f t="shared" si="23"/>
        <v>0</v>
      </c>
      <c r="AB141" s="51">
        <f t="shared" si="29"/>
        <v>0</v>
      </c>
      <c r="AD141" s="31">
        <f t="shared" si="25"/>
        <v>0</v>
      </c>
      <c r="AE141" s="31">
        <f t="shared" si="26"/>
        <v>0</v>
      </c>
      <c r="AF141" s="17">
        <f t="shared" si="27"/>
        <v>0</v>
      </c>
      <c r="AG141" s="17">
        <f t="shared" si="28"/>
        <v>0</v>
      </c>
      <c r="BA141" s="20"/>
    </row>
    <row r="142" spans="1:117" s="19" customFormat="1" ht="18" customHeight="1" outlineLevel="2" x14ac:dyDescent="0.25">
      <c r="A142" s="48" t="s">
        <v>146</v>
      </c>
      <c r="B142" s="53"/>
      <c r="C142" s="64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51">
        <f t="shared" si="23"/>
        <v>0</v>
      </c>
      <c r="AB142" s="51">
        <f t="shared" si="29"/>
        <v>0</v>
      </c>
      <c r="AD142" s="31">
        <f t="shared" si="25"/>
        <v>0</v>
      </c>
      <c r="AE142" s="31">
        <f t="shared" si="26"/>
        <v>0</v>
      </c>
      <c r="AF142" s="17">
        <f t="shared" si="27"/>
        <v>0</v>
      </c>
      <c r="AG142" s="17">
        <f t="shared" si="28"/>
        <v>0</v>
      </c>
      <c r="BA142" s="20"/>
    </row>
    <row r="143" spans="1:117" s="19" customFormat="1" ht="18" customHeight="1" outlineLevel="1" x14ac:dyDescent="0.25">
      <c r="A143" s="48" t="s">
        <v>147</v>
      </c>
      <c r="B143" s="53"/>
      <c r="C143" s="64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51">
        <f t="shared" si="23"/>
        <v>0</v>
      </c>
      <c r="AB143" s="51">
        <f t="shared" si="29"/>
        <v>0</v>
      </c>
      <c r="AD143" s="31">
        <f t="shared" si="25"/>
        <v>0</v>
      </c>
      <c r="AE143" s="31">
        <f t="shared" si="26"/>
        <v>0</v>
      </c>
      <c r="AF143" s="17">
        <f t="shared" si="27"/>
        <v>0</v>
      </c>
      <c r="AG143" s="17">
        <f t="shared" si="28"/>
        <v>0</v>
      </c>
      <c r="BA143" s="20"/>
    </row>
    <row r="144" spans="1:117" s="19" customFormat="1" ht="18" customHeight="1" outlineLevel="1" x14ac:dyDescent="0.25">
      <c r="A144" s="48" t="s">
        <v>148</v>
      </c>
      <c r="B144" s="53"/>
      <c r="C144" s="64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51">
        <f t="shared" si="23"/>
        <v>0</v>
      </c>
      <c r="AB144" s="51">
        <f t="shared" si="29"/>
        <v>0</v>
      </c>
      <c r="AD144" s="31">
        <f t="shared" si="25"/>
        <v>0</v>
      </c>
      <c r="AE144" s="31">
        <f t="shared" si="26"/>
        <v>0</v>
      </c>
      <c r="AF144" s="17">
        <f t="shared" si="27"/>
        <v>0</v>
      </c>
      <c r="AG144" s="17">
        <f t="shared" si="28"/>
        <v>0</v>
      </c>
      <c r="BA144" s="20"/>
    </row>
    <row r="145" spans="1:53" s="19" customFormat="1" ht="18" customHeight="1" outlineLevel="1" x14ac:dyDescent="0.25">
      <c r="A145" s="48" t="s">
        <v>149</v>
      </c>
      <c r="B145" s="53"/>
      <c r="C145" s="64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51">
        <f t="shared" si="23"/>
        <v>0</v>
      </c>
      <c r="AB145" s="51">
        <f t="shared" si="29"/>
        <v>0</v>
      </c>
      <c r="AD145" s="31">
        <f t="shared" si="25"/>
        <v>0</v>
      </c>
      <c r="AE145" s="31">
        <f t="shared" si="26"/>
        <v>0</v>
      </c>
      <c r="AF145" s="17">
        <f t="shared" si="27"/>
        <v>0</v>
      </c>
      <c r="AG145" s="17">
        <f t="shared" si="28"/>
        <v>0</v>
      </c>
      <c r="BA145" s="20"/>
    </row>
    <row r="146" spans="1:53" s="19" customFormat="1" ht="18" customHeight="1" outlineLevel="1" x14ac:dyDescent="0.25">
      <c r="A146" s="48" t="s">
        <v>150</v>
      </c>
      <c r="B146" s="53"/>
      <c r="C146" s="64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51">
        <f t="shared" si="23"/>
        <v>0</v>
      </c>
      <c r="AB146" s="51">
        <f t="shared" si="29"/>
        <v>0</v>
      </c>
      <c r="AD146" s="31">
        <f t="shared" si="25"/>
        <v>0</v>
      </c>
      <c r="AE146" s="31">
        <f t="shared" si="26"/>
        <v>0</v>
      </c>
      <c r="AF146" s="17">
        <f t="shared" si="27"/>
        <v>0</v>
      </c>
      <c r="AG146" s="17">
        <f t="shared" si="28"/>
        <v>0</v>
      </c>
      <c r="BA146" s="20"/>
    </row>
    <row r="147" spans="1:53" s="19" customFormat="1" ht="18" customHeight="1" outlineLevel="1" x14ac:dyDescent="0.25">
      <c r="A147" s="48" t="s">
        <v>151</v>
      </c>
      <c r="B147" s="53"/>
      <c r="C147" s="64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51">
        <f t="shared" si="23"/>
        <v>0</v>
      </c>
      <c r="AB147" s="51">
        <f t="shared" si="29"/>
        <v>0</v>
      </c>
      <c r="AD147" s="31">
        <f t="shared" si="25"/>
        <v>0</v>
      </c>
      <c r="AE147" s="31">
        <f t="shared" si="26"/>
        <v>0</v>
      </c>
      <c r="AF147" s="17">
        <f t="shared" si="27"/>
        <v>0</v>
      </c>
      <c r="AG147" s="17">
        <f t="shared" si="28"/>
        <v>0</v>
      </c>
      <c r="BA147" s="20"/>
    </row>
    <row r="148" spans="1:53" s="19" customFormat="1" ht="18" customHeight="1" outlineLevel="1" x14ac:dyDescent="0.25">
      <c r="A148" s="48" t="s">
        <v>152</v>
      </c>
      <c r="B148" s="53"/>
      <c r="C148" s="64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51">
        <f t="shared" si="23"/>
        <v>0</v>
      </c>
      <c r="AB148" s="51">
        <f t="shared" si="29"/>
        <v>0</v>
      </c>
      <c r="AD148" s="31">
        <f t="shared" si="25"/>
        <v>0</v>
      </c>
      <c r="AE148" s="31">
        <f t="shared" si="26"/>
        <v>0</v>
      </c>
      <c r="AF148" s="17">
        <f t="shared" si="27"/>
        <v>0</v>
      </c>
      <c r="AG148" s="17">
        <f t="shared" si="28"/>
        <v>0</v>
      </c>
      <c r="BA148" s="20"/>
    </row>
    <row r="149" spans="1:53" s="19" customFormat="1" ht="18" customHeight="1" outlineLevel="1" x14ac:dyDescent="0.25">
      <c r="A149" s="48" t="s">
        <v>153</v>
      </c>
      <c r="B149" s="53"/>
      <c r="C149" s="64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51">
        <f t="shared" si="23"/>
        <v>0</v>
      </c>
      <c r="AB149" s="51">
        <f t="shared" si="29"/>
        <v>0</v>
      </c>
      <c r="AD149" s="31">
        <f t="shared" si="25"/>
        <v>0</v>
      </c>
      <c r="AE149" s="31">
        <f t="shared" si="26"/>
        <v>0</v>
      </c>
      <c r="AF149" s="17">
        <f t="shared" si="27"/>
        <v>0</v>
      </c>
      <c r="AG149" s="17">
        <f t="shared" si="28"/>
        <v>0</v>
      </c>
      <c r="BA149" s="20"/>
    </row>
    <row r="150" spans="1:53" s="19" customFormat="1" ht="18" customHeight="1" outlineLevel="1" x14ac:dyDescent="0.25">
      <c r="A150" s="48" t="s">
        <v>154</v>
      </c>
      <c r="B150" s="53"/>
      <c r="C150" s="64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51">
        <f t="shared" si="23"/>
        <v>0</v>
      </c>
      <c r="AB150" s="51">
        <f t="shared" si="29"/>
        <v>0</v>
      </c>
      <c r="AD150" s="31">
        <f t="shared" si="25"/>
        <v>0</v>
      </c>
      <c r="AE150" s="31">
        <f t="shared" si="26"/>
        <v>0</v>
      </c>
      <c r="AF150" s="17">
        <f t="shared" si="27"/>
        <v>0</v>
      </c>
      <c r="AG150" s="17">
        <f t="shared" si="28"/>
        <v>0</v>
      </c>
      <c r="BA150" s="20"/>
    </row>
    <row r="151" spans="1:53" s="19" customFormat="1" ht="18" customHeight="1" outlineLevel="1" x14ac:dyDescent="0.25">
      <c r="A151" s="48" t="s">
        <v>155</v>
      </c>
      <c r="B151" s="53"/>
      <c r="C151" s="64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51">
        <f t="shared" si="23"/>
        <v>0</v>
      </c>
      <c r="AB151" s="51">
        <f t="shared" si="29"/>
        <v>0</v>
      </c>
      <c r="AD151" s="31">
        <f t="shared" si="25"/>
        <v>0</v>
      </c>
      <c r="AE151" s="31">
        <f t="shared" si="26"/>
        <v>0</v>
      </c>
      <c r="AF151" s="17">
        <f t="shared" si="27"/>
        <v>0</v>
      </c>
      <c r="AG151" s="17">
        <f t="shared" si="28"/>
        <v>0</v>
      </c>
      <c r="BA151" s="20"/>
    </row>
    <row r="152" spans="1:53" s="19" customFormat="1" ht="18" customHeight="1" outlineLevel="1" x14ac:dyDescent="0.25">
      <c r="A152" s="48" t="s">
        <v>156</v>
      </c>
      <c r="B152" s="53"/>
      <c r="C152" s="64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51">
        <f t="shared" si="23"/>
        <v>0</v>
      </c>
      <c r="AB152" s="51">
        <f t="shared" si="29"/>
        <v>0</v>
      </c>
      <c r="AD152" s="31">
        <f t="shared" si="25"/>
        <v>0</v>
      </c>
      <c r="AE152" s="31">
        <f t="shared" si="26"/>
        <v>0</v>
      </c>
      <c r="AF152" s="17">
        <f t="shared" si="27"/>
        <v>0</v>
      </c>
      <c r="AG152" s="17">
        <f t="shared" si="28"/>
        <v>0</v>
      </c>
      <c r="BA152" s="20"/>
    </row>
    <row r="153" spans="1:53" s="19" customFormat="1" ht="18" customHeight="1" outlineLevel="1" x14ac:dyDescent="0.25">
      <c r="A153" s="48" t="s">
        <v>157</v>
      </c>
      <c r="B153" s="53"/>
      <c r="C153" s="64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51">
        <f t="shared" si="23"/>
        <v>0</v>
      </c>
      <c r="AB153" s="51">
        <f t="shared" si="29"/>
        <v>0</v>
      </c>
      <c r="AD153" s="31">
        <f t="shared" si="25"/>
        <v>0</v>
      </c>
      <c r="AE153" s="31">
        <f t="shared" si="26"/>
        <v>0</v>
      </c>
      <c r="AF153" s="17">
        <f t="shared" si="27"/>
        <v>0</v>
      </c>
      <c r="AG153" s="17">
        <f t="shared" si="28"/>
        <v>0</v>
      </c>
      <c r="BA153" s="20"/>
    </row>
    <row r="154" spans="1:53" s="19" customFormat="1" ht="18" customHeight="1" outlineLevel="1" x14ac:dyDescent="0.25">
      <c r="A154" s="48" t="s">
        <v>158</v>
      </c>
      <c r="B154" s="53"/>
      <c r="C154" s="64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51">
        <f t="shared" si="23"/>
        <v>0</v>
      </c>
      <c r="AB154" s="51">
        <f t="shared" si="29"/>
        <v>0</v>
      </c>
      <c r="AD154" s="31">
        <f t="shared" si="25"/>
        <v>0</v>
      </c>
      <c r="AE154" s="31">
        <f t="shared" si="26"/>
        <v>0</v>
      </c>
      <c r="AF154" s="17">
        <f t="shared" si="27"/>
        <v>0</v>
      </c>
      <c r="AG154" s="17">
        <f t="shared" si="28"/>
        <v>0</v>
      </c>
      <c r="BA154" s="20"/>
    </row>
    <row r="155" spans="1:53" s="19" customFormat="1" ht="18" customHeight="1" outlineLevel="1" x14ac:dyDescent="0.25">
      <c r="A155" s="48" t="s">
        <v>100</v>
      </c>
      <c r="B155" s="53"/>
      <c r="C155" s="64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51">
        <f t="shared" si="23"/>
        <v>0</v>
      </c>
      <c r="AB155" s="51">
        <f t="shared" si="29"/>
        <v>0</v>
      </c>
      <c r="AD155" s="31">
        <f t="shared" si="25"/>
        <v>0</v>
      </c>
      <c r="AE155" s="31">
        <f t="shared" si="26"/>
        <v>0</v>
      </c>
      <c r="AF155" s="17">
        <f t="shared" si="27"/>
        <v>0</v>
      </c>
      <c r="AG155" s="17">
        <f t="shared" si="28"/>
        <v>0</v>
      </c>
      <c r="BA155" s="20"/>
    </row>
    <row r="156" spans="1:53" s="19" customFormat="1" ht="18" customHeight="1" outlineLevel="1" x14ac:dyDescent="0.25">
      <c r="A156" s="48" t="s">
        <v>159</v>
      </c>
      <c r="B156" s="53"/>
      <c r="C156" s="64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51">
        <f t="shared" ref="AA156:AA219" si="30">C156+E156+G156+I156+K156+M156+O156+Q156+S156+U156+W156+Y156</f>
        <v>0</v>
      </c>
      <c r="AB156" s="51">
        <f t="shared" si="29"/>
        <v>0</v>
      </c>
      <c r="AD156" s="31">
        <f t="shared" ref="AD156:AD219" si="31">SUMIF($C$5:$Z$5,$AD$5,C156:Z156)</f>
        <v>0</v>
      </c>
      <c r="AE156" s="31">
        <f t="shared" ref="AE156:AE219" si="32">SUMIF($C$5:$Z$5,$AD$5,D156:AA156)</f>
        <v>0</v>
      </c>
      <c r="AF156" s="17">
        <f t="shared" si="27"/>
        <v>0</v>
      </c>
      <c r="AG156" s="17">
        <f t="shared" si="28"/>
        <v>0</v>
      </c>
      <c r="BA156" s="20"/>
    </row>
    <row r="157" spans="1:53" s="19" customFormat="1" ht="18" customHeight="1" outlineLevel="1" x14ac:dyDescent="0.25">
      <c r="A157" s="48" t="s">
        <v>160</v>
      </c>
      <c r="B157" s="53"/>
      <c r="C157" s="64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51">
        <f t="shared" si="30"/>
        <v>0</v>
      </c>
      <c r="AB157" s="51">
        <f t="shared" si="29"/>
        <v>0</v>
      </c>
      <c r="AD157" s="31">
        <f t="shared" si="31"/>
        <v>0</v>
      </c>
      <c r="AE157" s="31">
        <f t="shared" si="32"/>
        <v>0</v>
      </c>
      <c r="AF157" s="17">
        <f t="shared" si="27"/>
        <v>0</v>
      </c>
      <c r="AG157" s="17">
        <f t="shared" si="28"/>
        <v>0</v>
      </c>
      <c r="BA157" s="20"/>
    </row>
    <row r="158" spans="1:53" s="19" customFormat="1" ht="18" customHeight="1" outlineLevel="1" x14ac:dyDescent="0.25">
      <c r="A158" s="48" t="s">
        <v>161</v>
      </c>
      <c r="B158" s="53"/>
      <c r="C158" s="64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51">
        <f t="shared" si="30"/>
        <v>0</v>
      </c>
      <c r="AB158" s="51">
        <f t="shared" si="29"/>
        <v>0</v>
      </c>
      <c r="AD158" s="31">
        <f t="shared" si="31"/>
        <v>0</v>
      </c>
      <c r="AE158" s="31">
        <f t="shared" si="32"/>
        <v>0</v>
      </c>
      <c r="AF158" s="17">
        <f t="shared" ref="AF158:AF221" si="33">AA158-AD158</f>
        <v>0</v>
      </c>
      <c r="AG158" s="17">
        <f t="shared" ref="AG158:AG221" si="34">AB158-AE158</f>
        <v>0</v>
      </c>
      <c r="BA158" s="20"/>
    </row>
    <row r="159" spans="1:53" s="19" customFormat="1" ht="18" customHeight="1" outlineLevel="1" x14ac:dyDescent="0.25">
      <c r="A159" s="48" t="s">
        <v>162</v>
      </c>
      <c r="B159" s="53"/>
      <c r="C159" s="64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51">
        <f t="shared" si="30"/>
        <v>0</v>
      </c>
      <c r="AB159" s="51">
        <f t="shared" si="29"/>
        <v>0</v>
      </c>
      <c r="AD159" s="31">
        <f t="shared" si="31"/>
        <v>0</v>
      </c>
      <c r="AE159" s="31">
        <f t="shared" si="32"/>
        <v>0</v>
      </c>
      <c r="AF159" s="17">
        <f t="shared" si="33"/>
        <v>0</v>
      </c>
      <c r="AG159" s="17">
        <f t="shared" si="34"/>
        <v>0</v>
      </c>
      <c r="BA159" s="20"/>
    </row>
    <row r="160" spans="1:53" s="19" customFormat="1" ht="18" customHeight="1" outlineLevel="1" x14ac:dyDescent="0.25">
      <c r="A160" s="48" t="s">
        <v>163</v>
      </c>
      <c r="B160" s="53"/>
      <c r="C160" s="64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51">
        <f t="shared" si="30"/>
        <v>0</v>
      </c>
      <c r="AB160" s="51">
        <f t="shared" si="29"/>
        <v>0</v>
      </c>
      <c r="AD160" s="31">
        <f t="shared" si="31"/>
        <v>0</v>
      </c>
      <c r="AE160" s="31">
        <f t="shared" si="32"/>
        <v>0</v>
      </c>
      <c r="AF160" s="17">
        <f t="shared" si="33"/>
        <v>0</v>
      </c>
      <c r="AG160" s="17">
        <f t="shared" si="34"/>
        <v>0</v>
      </c>
      <c r="BA160" s="20"/>
    </row>
    <row r="161" spans="1:53" s="19" customFormat="1" ht="18" customHeight="1" outlineLevel="1" x14ac:dyDescent="0.25">
      <c r="A161" s="48" t="s">
        <v>164</v>
      </c>
      <c r="B161" s="53"/>
      <c r="C161" s="64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51">
        <f t="shared" si="30"/>
        <v>0</v>
      </c>
      <c r="AB161" s="51">
        <f t="shared" si="29"/>
        <v>0</v>
      </c>
      <c r="AD161" s="31">
        <f t="shared" si="31"/>
        <v>0</v>
      </c>
      <c r="AE161" s="31">
        <f t="shared" si="32"/>
        <v>0</v>
      </c>
      <c r="AF161" s="17">
        <f t="shared" si="33"/>
        <v>0</v>
      </c>
      <c r="AG161" s="17">
        <f t="shared" si="34"/>
        <v>0</v>
      </c>
      <c r="BA161" s="20"/>
    </row>
    <row r="162" spans="1:53" s="19" customFormat="1" ht="18" customHeight="1" outlineLevel="1" x14ac:dyDescent="0.25">
      <c r="A162" s="48" t="s">
        <v>165</v>
      </c>
      <c r="B162" s="53"/>
      <c r="C162" s="64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51">
        <f t="shared" si="30"/>
        <v>0</v>
      </c>
      <c r="AB162" s="51">
        <f t="shared" si="29"/>
        <v>0</v>
      </c>
      <c r="AD162" s="31">
        <f t="shared" si="31"/>
        <v>0</v>
      </c>
      <c r="AE162" s="31">
        <f t="shared" si="32"/>
        <v>0</v>
      </c>
      <c r="AF162" s="17">
        <f t="shared" si="33"/>
        <v>0</v>
      </c>
      <c r="AG162" s="17">
        <f t="shared" si="34"/>
        <v>0</v>
      </c>
      <c r="BA162" s="20"/>
    </row>
    <row r="163" spans="1:53" s="19" customFormat="1" ht="18" customHeight="1" outlineLevel="1" x14ac:dyDescent="0.25">
      <c r="A163" s="48" t="s">
        <v>166</v>
      </c>
      <c r="B163" s="53"/>
      <c r="C163" s="64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51">
        <f t="shared" si="30"/>
        <v>0</v>
      </c>
      <c r="AB163" s="51">
        <f t="shared" si="29"/>
        <v>0</v>
      </c>
      <c r="AD163" s="31">
        <f t="shared" si="31"/>
        <v>0</v>
      </c>
      <c r="AE163" s="31">
        <f t="shared" si="32"/>
        <v>0</v>
      </c>
      <c r="AF163" s="17">
        <f t="shared" si="33"/>
        <v>0</v>
      </c>
      <c r="AG163" s="17">
        <f t="shared" si="34"/>
        <v>0</v>
      </c>
      <c r="BA163" s="20"/>
    </row>
    <row r="164" spans="1:53" s="19" customFormat="1" ht="18" customHeight="1" outlineLevel="1" x14ac:dyDescent="0.25">
      <c r="A164" s="48" t="s">
        <v>167</v>
      </c>
      <c r="B164" s="53"/>
      <c r="C164" s="64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51">
        <f t="shared" si="30"/>
        <v>0</v>
      </c>
      <c r="AB164" s="51">
        <f t="shared" si="29"/>
        <v>0</v>
      </c>
      <c r="AD164" s="31">
        <f t="shared" si="31"/>
        <v>0</v>
      </c>
      <c r="AE164" s="31">
        <f t="shared" si="32"/>
        <v>0</v>
      </c>
      <c r="AF164" s="17">
        <f t="shared" si="33"/>
        <v>0</v>
      </c>
      <c r="AG164" s="17">
        <f t="shared" si="34"/>
        <v>0</v>
      </c>
      <c r="BA164" s="20"/>
    </row>
    <row r="165" spans="1:53" s="19" customFormat="1" ht="18" customHeight="1" outlineLevel="1" x14ac:dyDescent="0.25">
      <c r="A165" s="48" t="s">
        <v>168</v>
      </c>
      <c r="B165" s="53"/>
      <c r="C165" s="64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51">
        <f t="shared" si="30"/>
        <v>0</v>
      </c>
      <c r="AB165" s="51">
        <f t="shared" si="29"/>
        <v>0</v>
      </c>
      <c r="AD165" s="31">
        <f t="shared" si="31"/>
        <v>0</v>
      </c>
      <c r="AE165" s="31">
        <f t="shared" si="32"/>
        <v>0</v>
      </c>
      <c r="AF165" s="17">
        <f t="shared" si="33"/>
        <v>0</v>
      </c>
      <c r="AG165" s="17">
        <f t="shared" si="34"/>
        <v>0</v>
      </c>
      <c r="BA165" s="20"/>
    </row>
    <row r="166" spans="1:53" s="19" customFormat="1" ht="18" customHeight="1" outlineLevel="1" x14ac:dyDescent="0.25">
      <c r="A166" s="48" t="s">
        <v>169</v>
      </c>
      <c r="B166" s="53"/>
      <c r="C166" s="64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51">
        <f t="shared" si="30"/>
        <v>0</v>
      </c>
      <c r="AB166" s="51">
        <f t="shared" si="29"/>
        <v>0</v>
      </c>
      <c r="AD166" s="31">
        <f t="shared" si="31"/>
        <v>0</v>
      </c>
      <c r="AE166" s="31">
        <f t="shared" si="32"/>
        <v>0</v>
      </c>
      <c r="AF166" s="17">
        <f t="shared" si="33"/>
        <v>0</v>
      </c>
      <c r="AG166" s="17">
        <f t="shared" si="34"/>
        <v>0</v>
      </c>
      <c r="BA166" s="20"/>
    </row>
    <row r="167" spans="1:53" s="19" customFormat="1" ht="18" customHeight="1" outlineLevel="1" x14ac:dyDescent="0.25">
      <c r="A167" s="48" t="s">
        <v>170</v>
      </c>
      <c r="B167" s="53"/>
      <c r="C167" s="64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51">
        <f t="shared" si="30"/>
        <v>0</v>
      </c>
      <c r="AB167" s="51">
        <f t="shared" ref="AB167:AB175" si="35">D167+F167+H167+J167+L167+N167+P167+R167+T167+V167+X167+Z167</f>
        <v>0</v>
      </c>
      <c r="AD167" s="31">
        <f t="shared" si="31"/>
        <v>0</v>
      </c>
      <c r="AE167" s="31">
        <f t="shared" si="32"/>
        <v>0</v>
      </c>
      <c r="AF167" s="17">
        <f t="shared" si="33"/>
        <v>0</v>
      </c>
      <c r="AG167" s="17">
        <f t="shared" si="34"/>
        <v>0</v>
      </c>
      <c r="BA167" s="20"/>
    </row>
    <row r="168" spans="1:53" s="19" customFormat="1" ht="18" customHeight="1" outlineLevel="1" x14ac:dyDescent="0.25">
      <c r="A168" s="48" t="s">
        <v>171</v>
      </c>
      <c r="B168" s="53"/>
      <c r="C168" s="64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51">
        <f t="shared" si="30"/>
        <v>0</v>
      </c>
      <c r="AB168" s="51">
        <f t="shared" si="35"/>
        <v>0</v>
      </c>
      <c r="AD168" s="31">
        <f t="shared" si="31"/>
        <v>0</v>
      </c>
      <c r="AE168" s="31">
        <f t="shared" si="32"/>
        <v>0</v>
      </c>
      <c r="AF168" s="17">
        <f t="shared" si="33"/>
        <v>0</v>
      </c>
      <c r="AG168" s="17">
        <f t="shared" si="34"/>
        <v>0</v>
      </c>
      <c r="BA168" s="20"/>
    </row>
    <row r="169" spans="1:53" s="19" customFormat="1" ht="18" customHeight="1" outlineLevel="1" x14ac:dyDescent="0.25">
      <c r="A169" s="48" t="s">
        <v>172</v>
      </c>
      <c r="B169" s="53"/>
      <c r="C169" s="64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51">
        <f t="shared" si="30"/>
        <v>0</v>
      </c>
      <c r="AB169" s="51">
        <f t="shared" si="35"/>
        <v>0</v>
      </c>
      <c r="AD169" s="31">
        <f t="shared" si="31"/>
        <v>0</v>
      </c>
      <c r="AE169" s="31">
        <f t="shared" si="32"/>
        <v>0</v>
      </c>
      <c r="AF169" s="17">
        <f t="shared" si="33"/>
        <v>0</v>
      </c>
      <c r="AG169" s="17">
        <f t="shared" si="34"/>
        <v>0</v>
      </c>
      <c r="BA169" s="20"/>
    </row>
    <row r="170" spans="1:53" s="19" customFormat="1" ht="18" customHeight="1" outlineLevel="1" x14ac:dyDescent="0.25">
      <c r="A170" s="48" t="s">
        <v>173</v>
      </c>
      <c r="B170" s="53"/>
      <c r="C170" s="64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51">
        <f t="shared" si="30"/>
        <v>0</v>
      </c>
      <c r="AB170" s="51">
        <f t="shared" si="35"/>
        <v>0</v>
      </c>
      <c r="AD170" s="31">
        <f t="shared" si="31"/>
        <v>0</v>
      </c>
      <c r="AE170" s="31">
        <f t="shared" si="32"/>
        <v>0</v>
      </c>
      <c r="AF170" s="17">
        <f t="shared" si="33"/>
        <v>0</v>
      </c>
      <c r="AG170" s="17">
        <f t="shared" si="34"/>
        <v>0</v>
      </c>
      <c r="BA170" s="20"/>
    </row>
    <row r="171" spans="1:53" s="19" customFormat="1" ht="18" customHeight="1" outlineLevel="1" x14ac:dyDescent="0.25">
      <c r="A171" s="48" t="s">
        <v>174</v>
      </c>
      <c r="B171" s="53"/>
      <c r="C171" s="64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51">
        <f t="shared" si="30"/>
        <v>0</v>
      </c>
      <c r="AB171" s="51">
        <f t="shared" si="35"/>
        <v>0</v>
      </c>
      <c r="AD171" s="31">
        <f t="shared" si="31"/>
        <v>0</v>
      </c>
      <c r="AE171" s="31">
        <f t="shared" si="32"/>
        <v>0</v>
      </c>
      <c r="AF171" s="17">
        <f t="shared" si="33"/>
        <v>0</v>
      </c>
      <c r="AG171" s="17">
        <f t="shared" si="34"/>
        <v>0</v>
      </c>
      <c r="BA171" s="20"/>
    </row>
    <row r="172" spans="1:53" s="19" customFormat="1" ht="18" customHeight="1" outlineLevel="1" x14ac:dyDescent="0.25">
      <c r="A172" s="48" t="s">
        <v>175</v>
      </c>
      <c r="B172" s="53"/>
      <c r="C172" s="64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51">
        <f t="shared" si="30"/>
        <v>0</v>
      </c>
      <c r="AB172" s="51">
        <f t="shared" si="35"/>
        <v>0</v>
      </c>
      <c r="AD172" s="31">
        <f t="shared" si="31"/>
        <v>0</v>
      </c>
      <c r="AE172" s="31">
        <f t="shared" si="32"/>
        <v>0</v>
      </c>
      <c r="AF172" s="17">
        <f t="shared" si="33"/>
        <v>0</v>
      </c>
      <c r="AG172" s="17">
        <f t="shared" si="34"/>
        <v>0</v>
      </c>
      <c r="BA172" s="20"/>
    </row>
    <row r="173" spans="1:53" s="19" customFormat="1" ht="18" customHeight="1" outlineLevel="1" x14ac:dyDescent="0.25">
      <c r="A173" s="48" t="s">
        <v>176</v>
      </c>
      <c r="B173" s="53"/>
      <c r="C173" s="64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51">
        <f t="shared" si="30"/>
        <v>0</v>
      </c>
      <c r="AB173" s="51">
        <f t="shared" si="35"/>
        <v>0</v>
      </c>
      <c r="AD173" s="31">
        <f t="shared" si="31"/>
        <v>0</v>
      </c>
      <c r="AE173" s="31">
        <f t="shared" si="32"/>
        <v>0</v>
      </c>
      <c r="AF173" s="17">
        <f t="shared" si="33"/>
        <v>0</v>
      </c>
      <c r="AG173" s="17">
        <f t="shared" si="34"/>
        <v>0</v>
      </c>
      <c r="BA173" s="20"/>
    </row>
    <row r="174" spans="1:53" s="19" customFormat="1" ht="18" customHeight="1" outlineLevel="1" x14ac:dyDescent="0.25">
      <c r="A174" s="48" t="s">
        <v>177</v>
      </c>
      <c r="B174" s="53"/>
      <c r="C174" s="64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51">
        <f t="shared" si="30"/>
        <v>0</v>
      </c>
      <c r="AB174" s="51">
        <f t="shared" si="35"/>
        <v>0</v>
      </c>
      <c r="AD174" s="31">
        <f t="shared" si="31"/>
        <v>0</v>
      </c>
      <c r="AE174" s="31">
        <f t="shared" si="32"/>
        <v>0</v>
      </c>
      <c r="AF174" s="17">
        <f t="shared" si="33"/>
        <v>0</v>
      </c>
      <c r="AG174" s="17">
        <f t="shared" si="34"/>
        <v>0</v>
      </c>
      <c r="BA174" s="20"/>
    </row>
    <row r="175" spans="1:53" s="19" customFormat="1" ht="18" customHeight="1" outlineLevel="1" x14ac:dyDescent="0.25">
      <c r="A175" s="48" t="s">
        <v>178</v>
      </c>
      <c r="B175" s="53"/>
      <c r="C175" s="64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51">
        <f t="shared" si="30"/>
        <v>0</v>
      </c>
      <c r="AB175" s="51">
        <f t="shared" si="35"/>
        <v>0</v>
      </c>
      <c r="AD175" s="31">
        <f t="shared" si="31"/>
        <v>0</v>
      </c>
      <c r="AE175" s="31">
        <f t="shared" si="32"/>
        <v>0</v>
      </c>
      <c r="AF175" s="17">
        <f t="shared" si="33"/>
        <v>0</v>
      </c>
      <c r="AG175" s="17">
        <f t="shared" si="34"/>
        <v>0</v>
      </c>
      <c r="BA175" s="20"/>
    </row>
    <row r="176" spans="1:53" s="21" customFormat="1" ht="18" customHeight="1" x14ac:dyDescent="0.25">
      <c r="A176" s="52" t="s">
        <v>181</v>
      </c>
      <c r="B176" s="45">
        <v>8</v>
      </c>
      <c r="C176" s="33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51">
        <f t="shared" si="30"/>
        <v>0</v>
      </c>
      <c r="AB176" s="105">
        <f>SUM(D176:Z176)</f>
        <v>0</v>
      </c>
      <c r="AD176" s="31">
        <f t="shared" si="31"/>
        <v>0</v>
      </c>
      <c r="AE176" s="31">
        <f t="shared" si="32"/>
        <v>0</v>
      </c>
      <c r="AF176" s="17">
        <f t="shared" si="33"/>
        <v>0</v>
      </c>
      <c r="AG176" s="17">
        <f t="shared" si="34"/>
        <v>0</v>
      </c>
      <c r="BA176" s="66"/>
    </row>
    <row r="177" spans="1:117" s="17" customFormat="1" ht="21" customHeight="1" outlineLevel="1" x14ac:dyDescent="0.25">
      <c r="A177" s="67" t="s">
        <v>107</v>
      </c>
      <c r="B177" s="45"/>
      <c r="C177" s="33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51">
        <f t="shared" si="30"/>
        <v>0</v>
      </c>
      <c r="AB177" s="51">
        <f t="shared" ref="AB177:AB240" si="36">D177+F177+H177+J177+L177+N177+P177+R177+T177+V177+X177+Z177</f>
        <v>0</v>
      </c>
      <c r="AC177" s="21"/>
      <c r="AD177" s="31">
        <f t="shared" si="31"/>
        <v>0</v>
      </c>
      <c r="AE177" s="31">
        <f t="shared" si="32"/>
        <v>0</v>
      </c>
      <c r="AF177" s="17">
        <f t="shared" si="33"/>
        <v>0</v>
      </c>
      <c r="AG177" s="17">
        <f t="shared" si="34"/>
        <v>0</v>
      </c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</row>
    <row r="178" spans="1:117" s="19" customFormat="1" ht="21" customHeight="1" outlineLevel="2" x14ac:dyDescent="0.25">
      <c r="A178" s="48" t="s">
        <v>108</v>
      </c>
      <c r="B178" s="53"/>
      <c r="C178" s="64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51">
        <f t="shared" si="30"/>
        <v>0</v>
      </c>
      <c r="AB178" s="51">
        <f t="shared" si="36"/>
        <v>0</v>
      </c>
      <c r="AD178" s="31">
        <f t="shared" si="31"/>
        <v>0</v>
      </c>
      <c r="AE178" s="31">
        <f t="shared" si="32"/>
        <v>0</v>
      </c>
      <c r="AF178" s="17">
        <f t="shared" si="33"/>
        <v>0</v>
      </c>
      <c r="AG178" s="17">
        <f t="shared" si="34"/>
        <v>0</v>
      </c>
    </row>
    <row r="179" spans="1:117" s="19" customFormat="1" ht="21" customHeight="1" outlineLevel="2" x14ac:dyDescent="0.25">
      <c r="A179" s="48" t="s">
        <v>109</v>
      </c>
      <c r="B179" s="53"/>
      <c r="C179" s="64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51">
        <f t="shared" si="30"/>
        <v>0</v>
      </c>
      <c r="AB179" s="51">
        <f t="shared" si="36"/>
        <v>0</v>
      </c>
      <c r="AD179" s="31">
        <f t="shared" si="31"/>
        <v>0</v>
      </c>
      <c r="AE179" s="31">
        <f t="shared" si="32"/>
        <v>0</v>
      </c>
      <c r="AF179" s="17">
        <f t="shared" si="33"/>
        <v>0</v>
      </c>
      <c r="AG179" s="17">
        <f t="shared" si="34"/>
        <v>0</v>
      </c>
    </row>
    <row r="180" spans="1:117" s="17" customFormat="1" ht="21" customHeight="1" outlineLevel="1" x14ac:dyDescent="0.25">
      <c r="A180" s="67" t="s">
        <v>110</v>
      </c>
      <c r="B180" s="45"/>
      <c r="C180" s="33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51">
        <f t="shared" si="30"/>
        <v>0</v>
      </c>
      <c r="AB180" s="51">
        <f t="shared" si="36"/>
        <v>0</v>
      </c>
      <c r="AC180" s="21"/>
      <c r="AD180" s="31">
        <f t="shared" si="31"/>
        <v>0</v>
      </c>
      <c r="AE180" s="31">
        <f t="shared" si="32"/>
        <v>0</v>
      </c>
      <c r="AF180" s="17">
        <f t="shared" si="33"/>
        <v>0</v>
      </c>
      <c r="AG180" s="17">
        <f t="shared" si="34"/>
        <v>0</v>
      </c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</row>
    <row r="181" spans="1:117" s="19" customFormat="1" ht="21" customHeight="1" outlineLevel="2" x14ac:dyDescent="0.25">
      <c r="A181" s="48" t="s">
        <v>111</v>
      </c>
      <c r="B181" s="53"/>
      <c r="C181" s="64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51">
        <f t="shared" si="30"/>
        <v>0</v>
      </c>
      <c r="AB181" s="51">
        <f t="shared" si="36"/>
        <v>0</v>
      </c>
      <c r="AD181" s="31">
        <f t="shared" si="31"/>
        <v>0</v>
      </c>
      <c r="AE181" s="31">
        <f t="shared" si="32"/>
        <v>0</v>
      </c>
      <c r="AF181" s="17">
        <f t="shared" si="33"/>
        <v>0</v>
      </c>
      <c r="AG181" s="17">
        <f t="shared" si="34"/>
        <v>0</v>
      </c>
    </row>
    <row r="182" spans="1:117" s="19" customFormat="1" ht="21" customHeight="1" outlineLevel="2" x14ac:dyDescent="0.25">
      <c r="A182" s="48" t="s">
        <v>112</v>
      </c>
      <c r="B182" s="53"/>
      <c r="C182" s="64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51">
        <f t="shared" si="30"/>
        <v>0</v>
      </c>
      <c r="AB182" s="51">
        <f t="shared" si="36"/>
        <v>0</v>
      </c>
      <c r="AD182" s="31">
        <f t="shared" si="31"/>
        <v>0</v>
      </c>
      <c r="AE182" s="31">
        <f t="shared" si="32"/>
        <v>0</v>
      </c>
      <c r="AF182" s="17">
        <f t="shared" si="33"/>
        <v>0</v>
      </c>
      <c r="AG182" s="17">
        <f t="shared" si="34"/>
        <v>0</v>
      </c>
    </row>
    <row r="183" spans="1:117" s="19" customFormat="1" ht="21" customHeight="1" outlineLevel="2" x14ac:dyDescent="0.25">
      <c r="A183" s="48" t="s">
        <v>113</v>
      </c>
      <c r="B183" s="53"/>
      <c r="C183" s="64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51">
        <f t="shared" si="30"/>
        <v>0</v>
      </c>
      <c r="AB183" s="51">
        <f t="shared" si="36"/>
        <v>0</v>
      </c>
      <c r="AD183" s="31">
        <f t="shared" si="31"/>
        <v>0</v>
      </c>
      <c r="AE183" s="31">
        <f t="shared" si="32"/>
        <v>0</v>
      </c>
      <c r="AF183" s="17">
        <f t="shared" si="33"/>
        <v>0</v>
      </c>
      <c r="AG183" s="17">
        <f t="shared" si="34"/>
        <v>0</v>
      </c>
    </row>
    <row r="184" spans="1:117" s="19" customFormat="1" ht="21" customHeight="1" outlineLevel="2" x14ac:dyDescent="0.25">
      <c r="A184" s="48" t="s">
        <v>114</v>
      </c>
      <c r="B184" s="53"/>
      <c r="C184" s="64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51">
        <f t="shared" si="30"/>
        <v>0</v>
      </c>
      <c r="AB184" s="51">
        <f t="shared" si="36"/>
        <v>0</v>
      </c>
      <c r="AD184" s="31">
        <f t="shared" si="31"/>
        <v>0</v>
      </c>
      <c r="AE184" s="31">
        <f t="shared" si="32"/>
        <v>0</v>
      </c>
      <c r="AF184" s="17">
        <f t="shared" si="33"/>
        <v>0</v>
      </c>
      <c r="AG184" s="17">
        <f t="shared" si="34"/>
        <v>0</v>
      </c>
    </row>
    <row r="185" spans="1:117" s="19" customFormat="1" ht="21" customHeight="1" outlineLevel="2" x14ac:dyDescent="0.25">
      <c r="A185" s="48" t="s">
        <v>115</v>
      </c>
      <c r="B185" s="53"/>
      <c r="C185" s="64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51">
        <f t="shared" si="30"/>
        <v>0</v>
      </c>
      <c r="AB185" s="51">
        <f t="shared" si="36"/>
        <v>0</v>
      </c>
      <c r="AD185" s="31">
        <f t="shared" si="31"/>
        <v>0</v>
      </c>
      <c r="AE185" s="31">
        <f t="shared" si="32"/>
        <v>0</v>
      </c>
      <c r="AF185" s="17">
        <f t="shared" si="33"/>
        <v>0</v>
      </c>
      <c r="AG185" s="17">
        <f t="shared" si="34"/>
        <v>0</v>
      </c>
    </row>
    <row r="186" spans="1:117" s="19" customFormat="1" ht="21" customHeight="1" outlineLevel="1" x14ac:dyDescent="0.25">
      <c r="A186" s="48" t="s">
        <v>116</v>
      </c>
      <c r="B186" s="53"/>
      <c r="C186" s="64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51">
        <f t="shared" si="30"/>
        <v>0</v>
      </c>
      <c r="AB186" s="51">
        <f t="shared" si="36"/>
        <v>0</v>
      </c>
      <c r="AD186" s="31">
        <f t="shared" si="31"/>
        <v>0</v>
      </c>
      <c r="AE186" s="31">
        <f t="shared" si="32"/>
        <v>0</v>
      </c>
      <c r="AF186" s="17">
        <f t="shared" si="33"/>
        <v>0</v>
      </c>
      <c r="AG186" s="17">
        <f t="shared" si="34"/>
        <v>0</v>
      </c>
    </row>
    <row r="187" spans="1:117" s="19" customFormat="1" ht="21" customHeight="1" outlineLevel="1" x14ac:dyDescent="0.25">
      <c r="A187" s="48" t="s">
        <v>117</v>
      </c>
      <c r="B187" s="53"/>
      <c r="C187" s="64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51">
        <f t="shared" si="30"/>
        <v>0</v>
      </c>
      <c r="AB187" s="51">
        <f t="shared" si="36"/>
        <v>0</v>
      </c>
      <c r="AD187" s="31">
        <f t="shared" si="31"/>
        <v>0</v>
      </c>
      <c r="AE187" s="31">
        <f t="shared" si="32"/>
        <v>0</v>
      </c>
      <c r="AF187" s="17">
        <f t="shared" si="33"/>
        <v>0</v>
      </c>
      <c r="AG187" s="17">
        <f t="shared" si="34"/>
        <v>0</v>
      </c>
    </row>
    <row r="188" spans="1:117" s="19" customFormat="1" ht="21" customHeight="1" outlineLevel="1" x14ac:dyDescent="0.25">
      <c r="A188" s="48" t="s">
        <v>118</v>
      </c>
      <c r="B188" s="53"/>
      <c r="C188" s="64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51">
        <f t="shared" si="30"/>
        <v>0</v>
      </c>
      <c r="AB188" s="51">
        <f t="shared" si="36"/>
        <v>0</v>
      </c>
      <c r="AD188" s="31">
        <f t="shared" si="31"/>
        <v>0</v>
      </c>
      <c r="AE188" s="31">
        <f t="shared" si="32"/>
        <v>0</v>
      </c>
      <c r="AF188" s="17">
        <f t="shared" si="33"/>
        <v>0</v>
      </c>
      <c r="AG188" s="17">
        <f t="shared" si="34"/>
        <v>0</v>
      </c>
    </row>
    <row r="189" spans="1:117" s="17" customFormat="1" ht="21" customHeight="1" outlineLevel="1" x14ac:dyDescent="0.25">
      <c r="A189" s="67" t="s">
        <v>119</v>
      </c>
      <c r="B189" s="45"/>
      <c r="C189" s="33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51">
        <f t="shared" si="30"/>
        <v>0</v>
      </c>
      <c r="AB189" s="51">
        <f t="shared" si="36"/>
        <v>0</v>
      </c>
      <c r="AC189" s="21"/>
      <c r="AD189" s="31">
        <f t="shared" si="31"/>
        <v>0</v>
      </c>
      <c r="AE189" s="31">
        <f t="shared" si="32"/>
        <v>0</v>
      </c>
      <c r="AF189" s="17">
        <f t="shared" si="33"/>
        <v>0</v>
      </c>
      <c r="AG189" s="17">
        <f t="shared" si="34"/>
        <v>0</v>
      </c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</row>
    <row r="190" spans="1:117" s="19" customFormat="1" ht="21" customHeight="1" outlineLevel="2" x14ac:dyDescent="0.25">
      <c r="A190" s="48" t="s">
        <v>120</v>
      </c>
      <c r="B190" s="53"/>
      <c r="C190" s="64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51">
        <f t="shared" si="30"/>
        <v>0</v>
      </c>
      <c r="AB190" s="51">
        <f t="shared" si="36"/>
        <v>0</v>
      </c>
      <c r="AD190" s="31">
        <f t="shared" si="31"/>
        <v>0</v>
      </c>
      <c r="AE190" s="31">
        <f t="shared" si="32"/>
        <v>0</v>
      </c>
      <c r="AF190" s="17">
        <f t="shared" si="33"/>
        <v>0</v>
      </c>
      <c r="AG190" s="17">
        <f t="shared" si="34"/>
        <v>0</v>
      </c>
    </row>
    <row r="191" spans="1:117" s="19" customFormat="1" ht="21" customHeight="1" outlineLevel="2" x14ac:dyDescent="0.25">
      <c r="A191" s="48" t="s">
        <v>121</v>
      </c>
      <c r="B191" s="53"/>
      <c r="C191" s="64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51">
        <f t="shared" si="30"/>
        <v>0</v>
      </c>
      <c r="AB191" s="51">
        <f t="shared" si="36"/>
        <v>0</v>
      </c>
      <c r="AD191" s="31">
        <f t="shared" si="31"/>
        <v>0</v>
      </c>
      <c r="AE191" s="31">
        <f t="shared" si="32"/>
        <v>0</v>
      </c>
      <c r="AF191" s="17">
        <f t="shared" si="33"/>
        <v>0</v>
      </c>
      <c r="AG191" s="17">
        <f t="shared" si="34"/>
        <v>0</v>
      </c>
    </row>
    <row r="192" spans="1:117" s="19" customFormat="1" ht="21" customHeight="1" outlineLevel="2" x14ac:dyDescent="0.25">
      <c r="A192" s="48" t="s">
        <v>122</v>
      </c>
      <c r="B192" s="53"/>
      <c r="C192" s="64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51">
        <f t="shared" si="30"/>
        <v>0</v>
      </c>
      <c r="AB192" s="51">
        <f t="shared" si="36"/>
        <v>0</v>
      </c>
      <c r="AD192" s="31">
        <f t="shared" si="31"/>
        <v>0</v>
      </c>
      <c r="AE192" s="31">
        <f t="shared" si="32"/>
        <v>0</v>
      </c>
      <c r="AF192" s="17">
        <f t="shared" si="33"/>
        <v>0</v>
      </c>
      <c r="AG192" s="17">
        <f t="shared" si="34"/>
        <v>0</v>
      </c>
    </row>
    <row r="193" spans="1:117" s="19" customFormat="1" ht="21" customHeight="1" outlineLevel="2" x14ac:dyDescent="0.25">
      <c r="A193" s="48" t="s">
        <v>123</v>
      </c>
      <c r="B193" s="53"/>
      <c r="C193" s="64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51">
        <f t="shared" si="30"/>
        <v>0</v>
      </c>
      <c r="AB193" s="51">
        <f t="shared" si="36"/>
        <v>0</v>
      </c>
      <c r="AD193" s="31">
        <f t="shared" si="31"/>
        <v>0</v>
      </c>
      <c r="AE193" s="31">
        <f t="shared" si="32"/>
        <v>0</v>
      </c>
      <c r="AF193" s="17">
        <f t="shared" si="33"/>
        <v>0</v>
      </c>
      <c r="AG193" s="17">
        <f t="shared" si="34"/>
        <v>0</v>
      </c>
    </row>
    <row r="194" spans="1:117" s="19" customFormat="1" ht="21" customHeight="1" outlineLevel="2" x14ac:dyDescent="0.25">
      <c r="A194" s="48" t="s">
        <v>124</v>
      </c>
      <c r="B194" s="53"/>
      <c r="C194" s="64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51">
        <f t="shared" si="30"/>
        <v>0</v>
      </c>
      <c r="AB194" s="51">
        <f t="shared" si="36"/>
        <v>0</v>
      </c>
      <c r="AD194" s="31">
        <f t="shared" si="31"/>
        <v>0</v>
      </c>
      <c r="AE194" s="31">
        <f t="shared" si="32"/>
        <v>0</v>
      </c>
      <c r="AF194" s="17">
        <f t="shared" si="33"/>
        <v>0</v>
      </c>
      <c r="AG194" s="17">
        <f t="shared" si="34"/>
        <v>0</v>
      </c>
    </row>
    <row r="195" spans="1:117" s="19" customFormat="1" ht="21" customHeight="1" outlineLevel="2" x14ac:dyDescent="0.25">
      <c r="A195" s="48" t="s">
        <v>125</v>
      </c>
      <c r="B195" s="53"/>
      <c r="C195" s="64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51">
        <f t="shared" si="30"/>
        <v>0</v>
      </c>
      <c r="AB195" s="51">
        <f t="shared" si="36"/>
        <v>0</v>
      </c>
      <c r="AD195" s="31">
        <f t="shared" si="31"/>
        <v>0</v>
      </c>
      <c r="AE195" s="31">
        <f t="shared" si="32"/>
        <v>0</v>
      </c>
      <c r="AF195" s="17">
        <f t="shared" si="33"/>
        <v>0</v>
      </c>
      <c r="AG195" s="17">
        <f t="shared" si="34"/>
        <v>0</v>
      </c>
    </row>
    <row r="196" spans="1:117" s="19" customFormat="1" ht="21" customHeight="1" outlineLevel="2" x14ac:dyDescent="0.25">
      <c r="A196" s="48" t="s">
        <v>126</v>
      </c>
      <c r="B196" s="53"/>
      <c r="C196" s="64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51">
        <f t="shared" si="30"/>
        <v>0</v>
      </c>
      <c r="AB196" s="51">
        <f t="shared" si="36"/>
        <v>0</v>
      </c>
      <c r="AD196" s="31">
        <f t="shared" si="31"/>
        <v>0</v>
      </c>
      <c r="AE196" s="31">
        <f t="shared" si="32"/>
        <v>0</v>
      </c>
      <c r="AF196" s="17">
        <f t="shared" si="33"/>
        <v>0</v>
      </c>
      <c r="AG196" s="17">
        <f t="shared" si="34"/>
        <v>0</v>
      </c>
    </row>
    <row r="197" spans="1:117" s="19" customFormat="1" ht="21" customHeight="1" outlineLevel="1" x14ac:dyDescent="0.25">
      <c r="A197" s="48" t="s">
        <v>127</v>
      </c>
      <c r="B197" s="53"/>
      <c r="C197" s="64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51">
        <f t="shared" si="30"/>
        <v>0</v>
      </c>
      <c r="AB197" s="51">
        <f t="shared" si="36"/>
        <v>0</v>
      </c>
      <c r="AD197" s="31">
        <f t="shared" si="31"/>
        <v>0</v>
      </c>
      <c r="AE197" s="31">
        <f t="shared" si="32"/>
        <v>0</v>
      </c>
      <c r="AF197" s="17">
        <f t="shared" si="33"/>
        <v>0</v>
      </c>
      <c r="AG197" s="17">
        <f t="shared" si="34"/>
        <v>0</v>
      </c>
    </row>
    <row r="198" spans="1:117" s="19" customFormat="1" ht="21" customHeight="1" outlineLevel="1" x14ac:dyDescent="0.25">
      <c r="A198" s="48" t="s">
        <v>128</v>
      </c>
      <c r="B198" s="53"/>
      <c r="C198" s="64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51">
        <f t="shared" si="30"/>
        <v>0</v>
      </c>
      <c r="AB198" s="51">
        <f t="shared" si="36"/>
        <v>0</v>
      </c>
      <c r="AD198" s="31">
        <f t="shared" si="31"/>
        <v>0</v>
      </c>
      <c r="AE198" s="31">
        <f t="shared" si="32"/>
        <v>0</v>
      </c>
      <c r="AF198" s="17">
        <f t="shared" si="33"/>
        <v>0</v>
      </c>
      <c r="AG198" s="17">
        <f t="shared" si="34"/>
        <v>0</v>
      </c>
    </row>
    <row r="199" spans="1:117" s="19" customFormat="1" ht="21" customHeight="1" outlineLevel="1" x14ac:dyDescent="0.25">
      <c r="A199" s="48" t="s">
        <v>129</v>
      </c>
      <c r="B199" s="53"/>
      <c r="C199" s="64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51">
        <f t="shared" si="30"/>
        <v>0</v>
      </c>
      <c r="AB199" s="51">
        <f t="shared" si="36"/>
        <v>0</v>
      </c>
      <c r="AD199" s="31">
        <f t="shared" si="31"/>
        <v>0</v>
      </c>
      <c r="AE199" s="31">
        <f t="shared" si="32"/>
        <v>0</v>
      </c>
      <c r="AF199" s="17">
        <f t="shared" si="33"/>
        <v>0</v>
      </c>
      <c r="AG199" s="17">
        <f t="shared" si="34"/>
        <v>0</v>
      </c>
    </row>
    <row r="200" spans="1:117" s="17" customFormat="1" ht="21" customHeight="1" outlineLevel="1" x14ac:dyDescent="0.25">
      <c r="A200" s="67" t="s">
        <v>130</v>
      </c>
      <c r="B200" s="45"/>
      <c r="C200" s="33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51">
        <f t="shared" si="30"/>
        <v>0</v>
      </c>
      <c r="AB200" s="51">
        <f t="shared" si="36"/>
        <v>0</v>
      </c>
      <c r="AC200" s="21"/>
      <c r="AD200" s="31">
        <f t="shared" si="31"/>
        <v>0</v>
      </c>
      <c r="AE200" s="31">
        <f t="shared" si="32"/>
        <v>0</v>
      </c>
      <c r="AF200" s="17">
        <f t="shared" si="33"/>
        <v>0</v>
      </c>
      <c r="AG200" s="17">
        <f t="shared" si="34"/>
        <v>0</v>
      </c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</row>
    <row r="201" spans="1:117" s="19" customFormat="1" ht="21" customHeight="1" outlineLevel="2" x14ac:dyDescent="0.25">
      <c r="A201" s="48" t="s">
        <v>131</v>
      </c>
      <c r="B201" s="53"/>
      <c r="C201" s="64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51">
        <f t="shared" si="30"/>
        <v>0</v>
      </c>
      <c r="AB201" s="51">
        <f t="shared" si="36"/>
        <v>0</v>
      </c>
      <c r="AD201" s="31">
        <f t="shared" si="31"/>
        <v>0</v>
      </c>
      <c r="AE201" s="31">
        <f t="shared" si="32"/>
        <v>0</v>
      </c>
      <c r="AF201" s="17">
        <f t="shared" si="33"/>
        <v>0</v>
      </c>
      <c r="AG201" s="17">
        <f t="shared" si="34"/>
        <v>0</v>
      </c>
    </row>
    <row r="202" spans="1:117" s="19" customFormat="1" ht="21" customHeight="1" outlineLevel="2" x14ac:dyDescent="0.25">
      <c r="A202" s="48" t="s">
        <v>132</v>
      </c>
      <c r="B202" s="53"/>
      <c r="C202" s="64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51">
        <f t="shared" si="30"/>
        <v>0</v>
      </c>
      <c r="AB202" s="51">
        <f t="shared" si="36"/>
        <v>0</v>
      </c>
      <c r="AD202" s="31">
        <f t="shared" si="31"/>
        <v>0</v>
      </c>
      <c r="AE202" s="31">
        <f t="shared" si="32"/>
        <v>0</v>
      </c>
      <c r="AF202" s="17">
        <f t="shared" si="33"/>
        <v>0</v>
      </c>
      <c r="AG202" s="17">
        <f t="shared" si="34"/>
        <v>0</v>
      </c>
    </row>
    <row r="203" spans="1:117" s="19" customFormat="1" ht="21" customHeight="1" outlineLevel="2" x14ac:dyDescent="0.25">
      <c r="A203" s="48" t="s">
        <v>180</v>
      </c>
      <c r="B203" s="53"/>
      <c r="C203" s="64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51">
        <f t="shared" si="30"/>
        <v>0</v>
      </c>
      <c r="AB203" s="51">
        <f t="shared" si="36"/>
        <v>0</v>
      </c>
      <c r="AD203" s="31">
        <f t="shared" si="31"/>
        <v>0</v>
      </c>
      <c r="AE203" s="31">
        <f t="shared" si="32"/>
        <v>0</v>
      </c>
      <c r="AF203" s="17">
        <f t="shared" si="33"/>
        <v>0</v>
      </c>
      <c r="AG203" s="17">
        <f t="shared" si="34"/>
        <v>0</v>
      </c>
    </row>
    <row r="204" spans="1:117" s="19" customFormat="1" ht="21" customHeight="1" outlineLevel="2" x14ac:dyDescent="0.25">
      <c r="A204" s="48" t="s">
        <v>134</v>
      </c>
      <c r="B204" s="53"/>
      <c r="C204" s="64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51">
        <f t="shared" si="30"/>
        <v>0</v>
      </c>
      <c r="AB204" s="51">
        <f t="shared" si="36"/>
        <v>0</v>
      </c>
      <c r="AD204" s="31">
        <f t="shared" si="31"/>
        <v>0</v>
      </c>
      <c r="AE204" s="31">
        <f t="shared" si="32"/>
        <v>0</v>
      </c>
      <c r="AF204" s="17">
        <f t="shared" si="33"/>
        <v>0</v>
      </c>
      <c r="AG204" s="17">
        <f t="shared" si="34"/>
        <v>0</v>
      </c>
    </row>
    <row r="205" spans="1:117" s="19" customFormat="1" ht="21" customHeight="1" outlineLevel="2" x14ac:dyDescent="0.25">
      <c r="A205" s="48" t="s">
        <v>135</v>
      </c>
      <c r="B205" s="53"/>
      <c r="C205" s="64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51">
        <f t="shared" si="30"/>
        <v>0</v>
      </c>
      <c r="AB205" s="51">
        <f t="shared" si="36"/>
        <v>0</v>
      </c>
      <c r="AD205" s="31">
        <f t="shared" si="31"/>
        <v>0</v>
      </c>
      <c r="AE205" s="31">
        <f t="shared" si="32"/>
        <v>0</v>
      </c>
      <c r="AF205" s="17">
        <f t="shared" si="33"/>
        <v>0</v>
      </c>
      <c r="AG205" s="17">
        <f t="shared" si="34"/>
        <v>0</v>
      </c>
    </row>
    <row r="206" spans="1:117" s="19" customFormat="1" ht="21" customHeight="1" outlineLevel="1" x14ac:dyDescent="0.25">
      <c r="A206" s="48" t="s">
        <v>136</v>
      </c>
      <c r="B206" s="53"/>
      <c r="C206" s="64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51">
        <f t="shared" si="30"/>
        <v>0</v>
      </c>
      <c r="AB206" s="51">
        <f t="shared" si="36"/>
        <v>0</v>
      </c>
      <c r="AD206" s="31">
        <f t="shared" si="31"/>
        <v>0</v>
      </c>
      <c r="AE206" s="31">
        <f t="shared" si="32"/>
        <v>0</v>
      </c>
      <c r="AF206" s="17">
        <f t="shared" si="33"/>
        <v>0</v>
      </c>
      <c r="AG206" s="17">
        <f t="shared" si="34"/>
        <v>0</v>
      </c>
    </row>
    <row r="207" spans="1:117" s="19" customFormat="1" ht="21" customHeight="1" outlineLevel="1" x14ac:dyDescent="0.25">
      <c r="A207" s="48" t="s">
        <v>137</v>
      </c>
      <c r="B207" s="53"/>
      <c r="C207" s="64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51">
        <f t="shared" si="30"/>
        <v>0</v>
      </c>
      <c r="AB207" s="51">
        <f t="shared" si="36"/>
        <v>0</v>
      </c>
      <c r="AD207" s="31">
        <f t="shared" si="31"/>
        <v>0</v>
      </c>
      <c r="AE207" s="31">
        <f t="shared" si="32"/>
        <v>0</v>
      </c>
      <c r="AF207" s="17">
        <f t="shared" si="33"/>
        <v>0</v>
      </c>
      <c r="AG207" s="17">
        <f t="shared" si="34"/>
        <v>0</v>
      </c>
    </row>
    <row r="208" spans="1:117" s="19" customFormat="1" ht="21" customHeight="1" outlineLevel="1" x14ac:dyDescent="0.25">
      <c r="A208" s="48" t="s">
        <v>138</v>
      </c>
      <c r="B208" s="53"/>
      <c r="C208" s="64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51">
        <f t="shared" si="30"/>
        <v>0</v>
      </c>
      <c r="AB208" s="51">
        <f t="shared" si="36"/>
        <v>0</v>
      </c>
      <c r="AD208" s="31">
        <f t="shared" si="31"/>
        <v>0</v>
      </c>
      <c r="AE208" s="31">
        <f t="shared" si="32"/>
        <v>0</v>
      </c>
      <c r="AF208" s="17">
        <f t="shared" si="33"/>
        <v>0</v>
      </c>
      <c r="AG208" s="17">
        <f t="shared" si="34"/>
        <v>0</v>
      </c>
    </row>
    <row r="209" spans="1:117" s="19" customFormat="1" ht="21" customHeight="1" outlineLevel="1" x14ac:dyDescent="0.25">
      <c r="A209" s="48" t="s">
        <v>139</v>
      </c>
      <c r="B209" s="53"/>
      <c r="C209" s="64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51">
        <f t="shared" si="30"/>
        <v>0</v>
      </c>
      <c r="AB209" s="51">
        <f t="shared" si="36"/>
        <v>0</v>
      </c>
      <c r="AD209" s="31">
        <f t="shared" si="31"/>
        <v>0</v>
      </c>
      <c r="AE209" s="31">
        <f t="shared" si="32"/>
        <v>0</v>
      </c>
      <c r="AF209" s="17">
        <f t="shared" si="33"/>
        <v>0</v>
      </c>
      <c r="AG209" s="17">
        <f t="shared" si="34"/>
        <v>0</v>
      </c>
    </row>
    <row r="210" spans="1:117" s="19" customFormat="1" ht="21" customHeight="1" outlineLevel="1" x14ac:dyDescent="0.25">
      <c r="A210" s="48" t="s">
        <v>140</v>
      </c>
      <c r="B210" s="53"/>
      <c r="C210" s="64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51">
        <f t="shared" si="30"/>
        <v>0</v>
      </c>
      <c r="AB210" s="51">
        <f t="shared" si="36"/>
        <v>0</v>
      </c>
      <c r="AD210" s="31">
        <f t="shared" si="31"/>
        <v>0</v>
      </c>
      <c r="AE210" s="31">
        <f t="shared" si="32"/>
        <v>0</v>
      </c>
      <c r="AF210" s="17">
        <f t="shared" si="33"/>
        <v>0</v>
      </c>
      <c r="AG210" s="17">
        <f t="shared" si="34"/>
        <v>0</v>
      </c>
    </row>
    <row r="211" spans="1:117" s="19" customFormat="1" ht="21" customHeight="1" outlineLevel="1" x14ac:dyDescent="0.25">
      <c r="A211" s="48" t="s">
        <v>141</v>
      </c>
      <c r="B211" s="53"/>
      <c r="C211" s="64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51">
        <f t="shared" si="30"/>
        <v>0</v>
      </c>
      <c r="AB211" s="51">
        <f t="shared" si="36"/>
        <v>0</v>
      </c>
      <c r="AD211" s="31">
        <f t="shared" si="31"/>
        <v>0</v>
      </c>
      <c r="AE211" s="31">
        <f t="shared" si="32"/>
        <v>0</v>
      </c>
      <c r="AF211" s="17">
        <f t="shared" si="33"/>
        <v>0</v>
      </c>
      <c r="AG211" s="17">
        <f t="shared" si="34"/>
        <v>0</v>
      </c>
    </row>
    <row r="212" spans="1:117" s="17" customFormat="1" ht="21" customHeight="1" outlineLevel="1" x14ac:dyDescent="0.25">
      <c r="A212" s="67" t="s">
        <v>142</v>
      </c>
      <c r="B212" s="71"/>
      <c r="C212" s="33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51">
        <f t="shared" si="30"/>
        <v>0</v>
      </c>
      <c r="AB212" s="51">
        <f t="shared" si="36"/>
        <v>0</v>
      </c>
      <c r="AC212" s="21"/>
      <c r="AD212" s="31">
        <f t="shared" si="31"/>
        <v>0</v>
      </c>
      <c r="AE212" s="31">
        <f t="shared" si="32"/>
        <v>0</v>
      </c>
      <c r="AF212" s="17">
        <f t="shared" si="33"/>
        <v>0</v>
      </c>
      <c r="AG212" s="17">
        <f t="shared" si="34"/>
        <v>0</v>
      </c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</row>
    <row r="213" spans="1:117" s="19" customFormat="1" ht="21" customHeight="1" outlineLevel="2" x14ac:dyDescent="0.25">
      <c r="A213" s="48" t="s">
        <v>143</v>
      </c>
      <c r="B213" s="53"/>
      <c r="C213" s="64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51">
        <f t="shared" si="30"/>
        <v>0</v>
      </c>
      <c r="AB213" s="51">
        <f t="shared" si="36"/>
        <v>0</v>
      </c>
      <c r="AD213" s="31">
        <f t="shared" si="31"/>
        <v>0</v>
      </c>
      <c r="AE213" s="31">
        <f t="shared" si="32"/>
        <v>0</v>
      </c>
      <c r="AF213" s="17">
        <f t="shared" si="33"/>
        <v>0</v>
      </c>
      <c r="AG213" s="17">
        <f t="shared" si="34"/>
        <v>0</v>
      </c>
    </row>
    <row r="214" spans="1:117" s="19" customFormat="1" ht="21" customHeight="1" outlineLevel="2" x14ac:dyDescent="0.25">
      <c r="A214" s="48" t="s">
        <v>144</v>
      </c>
      <c r="B214" s="53"/>
      <c r="C214" s="64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51">
        <f t="shared" si="30"/>
        <v>0</v>
      </c>
      <c r="AB214" s="51">
        <f t="shared" si="36"/>
        <v>0</v>
      </c>
      <c r="AD214" s="31">
        <f t="shared" si="31"/>
        <v>0</v>
      </c>
      <c r="AE214" s="31">
        <f t="shared" si="32"/>
        <v>0</v>
      </c>
      <c r="AF214" s="17">
        <f t="shared" si="33"/>
        <v>0</v>
      </c>
      <c r="AG214" s="17">
        <f t="shared" si="34"/>
        <v>0</v>
      </c>
    </row>
    <row r="215" spans="1:117" s="19" customFormat="1" ht="21" customHeight="1" outlineLevel="2" x14ac:dyDescent="0.25">
      <c r="A215" s="48" t="s">
        <v>145</v>
      </c>
      <c r="B215" s="53"/>
      <c r="C215" s="64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51">
        <f t="shared" si="30"/>
        <v>0</v>
      </c>
      <c r="AB215" s="51">
        <f t="shared" si="36"/>
        <v>0</v>
      </c>
      <c r="AD215" s="31">
        <f t="shared" si="31"/>
        <v>0</v>
      </c>
      <c r="AE215" s="31">
        <f t="shared" si="32"/>
        <v>0</v>
      </c>
      <c r="AF215" s="17">
        <f t="shared" si="33"/>
        <v>0</v>
      </c>
      <c r="AG215" s="17">
        <f t="shared" si="34"/>
        <v>0</v>
      </c>
    </row>
    <row r="216" spans="1:117" s="19" customFormat="1" ht="21" customHeight="1" outlineLevel="2" x14ac:dyDescent="0.25">
      <c r="A216" s="48" t="s">
        <v>146</v>
      </c>
      <c r="B216" s="53"/>
      <c r="C216" s="64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51">
        <f t="shared" si="30"/>
        <v>0</v>
      </c>
      <c r="AB216" s="51">
        <f t="shared" si="36"/>
        <v>0</v>
      </c>
      <c r="AD216" s="31">
        <f t="shared" si="31"/>
        <v>0</v>
      </c>
      <c r="AE216" s="31">
        <f t="shared" si="32"/>
        <v>0</v>
      </c>
      <c r="AF216" s="17">
        <f t="shared" si="33"/>
        <v>0</v>
      </c>
      <c r="AG216" s="17">
        <f t="shared" si="34"/>
        <v>0</v>
      </c>
    </row>
    <row r="217" spans="1:117" s="19" customFormat="1" ht="21" customHeight="1" outlineLevel="1" x14ac:dyDescent="0.25">
      <c r="A217" s="48" t="s">
        <v>147</v>
      </c>
      <c r="B217" s="53"/>
      <c r="C217" s="64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51">
        <f t="shared" si="30"/>
        <v>0</v>
      </c>
      <c r="AB217" s="51">
        <f t="shared" si="36"/>
        <v>0</v>
      </c>
      <c r="AD217" s="31">
        <f t="shared" si="31"/>
        <v>0</v>
      </c>
      <c r="AE217" s="31">
        <f t="shared" si="32"/>
        <v>0</v>
      </c>
      <c r="AF217" s="17">
        <f t="shared" si="33"/>
        <v>0</v>
      </c>
      <c r="AG217" s="17">
        <f t="shared" si="34"/>
        <v>0</v>
      </c>
    </row>
    <row r="218" spans="1:117" s="19" customFormat="1" ht="21" customHeight="1" outlineLevel="1" x14ac:dyDescent="0.25">
      <c r="A218" s="48" t="s">
        <v>148</v>
      </c>
      <c r="B218" s="53"/>
      <c r="C218" s="64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51">
        <f t="shared" si="30"/>
        <v>0</v>
      </c>
      <c r="AB218" s="51">
        <f t="shared" si="36"/>
        <v>0</v>
      </c>
      <c r="AD218" s="31">
        <f t="shared" si="31"/>
        <v>0</v>
      </c>
      <c r="AE218" s="31">
        <f t="shared" si="32"/>
        <v>0</v>
      </c>
      <c r="AF218" s="17">
        <f t="shared" si="33"/>
        <v>0</v>
      </c>
      <c r="AG218" s="17">
        <f t="shared" si="34"/>
        <v>0</v>
      </c>
    </row>
    <row r="219" spans="1:117" s="19" customFormat="1" ht="21" customHeight="1" outlineLevel="1" x14ac:dyDescent="0.25">
      <c r="A219" s="48" t="s">
        <v>149</v>
      </c>
      <c r="B219" s="53"/>
      <c r="C219" s="64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51">
        <f t="shared" si="30"/>
        <v>0</v>
      </c>
      <c r="AB219" s="51">
        <f t="shared" si="36"/>
        <v>0</v>
      </c>
      <c r="AD219" s="31">
        <f t="shared" si="31"/>
        <v>0</v>
      </c>
      <c r="AE219" s="31">
        <f t="shared" si="32"/>
        <v>0</v>
      </c>
      <c r="AF219" s="17">
        <f t="shared" si="33"/>
        <v>0</v>
      </c>
      <c r="AG219" s="17">
        <f t="shared" si="34"/>
        <v>0</v>
      </c>
    </row>
    <row r="220" spans="1:117" s="19" customFormat="1" ht="21" customHeight="1" outlineLevel="1" x14ac:dyDescent="0.25">
      <c r="A220" s="48" t="s">
        <v>150</v>
      </c>
      <c r="B220" s="53"/>
      <c r="C220" s="64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51">
        <f t="shared" ref="AA220:AA257" si="37">C220+E220+G220+I220+K220+M220+O220+Q220+S220+U220+W220+Y220</f>
        <v>0</v>
      </c>
      <c r="AB220" s="51">
        <f t="shared" si="36"/>
        <v>0</v>
      </c>
      <c r="AD220" s="31">
        <f t="shared" ref="AD220:AD265" si="38">SUMIF($C$5:$Z$5,$AD$5,C220:Z220)</f>
        <v>0</v>
      </c>
      <c r="AE220" s="31">
        <f t="shared" ref="AE220:AE265" si="39">SUMIF($C$5:$Z$5,$AD$5,D220:AA220)</f>
        <v>0</v>
      </c>
      <c r="AF220" s="17">
        <f t="shared" si="33"/>
        <v>0</v>
      </c>
      <c r="AG220" s="17">
        <f t="shared" si="34"/>
        <v>0</v>
      </c>
    </row>
    <row r="221" spans="1:117" s="19" customFormat="1" ht="21" customHeight="1" outlineLevel="1" x14ac:dyDescent="0.25">
      <c r="A221" s="48" t="s">
        <v>151</v>
      </c>
      <c r="B221" s="53"/>
      <c r="C221" s="64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51">
        <f t="shared" si="37"/>
        <v>0</v>
      </c>
      <c r="AB221" s="51">
        <f t="shared" si="36"/>
        <v>0</v>
      </c>
      <c r="AD221" s="31">
        <f t="shared" si="38"/>
        <v>0</v>
      </c>
      <c r="AE221" s="31">
        <f t="shared" si="39"/>
        <v>0</v>
      </c>
      <c r="AF221" s="17">
        <f t="shared" si="33"/>
        <v>0</v>
      </c>
      <c r="AG221" s="17">
        <f t="shared" si="34"/>
        <v>0</v>
      </c>
    </row>
    <row r="222" spans="1:117" s="19" customFormat="1" ht="21" customHeight="1" outlineLevel="1" x14ac:dyDescent="0.25">
      <c r="A222" s="48" t="s">
        <v>152</v>
      </c>
      <c r="B222" s="53"/>
      <c r="C222" s="64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51">
        <f t="shared" si="37"/>
        <v>0</v>
      </c>
      <c r="AB222" s="51">
        <f t="shared" si="36"/>
        <v>0</v>
      </c>
      <c r="AD222" s="31">
        <f t="shared" si="38"/>
        <v>0</v>
      </c>
      <c r="AE222" s="31">
        <f t="shared" si="39"/>
        <v>0</v>
      </c>
      <c r="AF222" s="17">
        <f t="shared" ref="AF222:AF260" si="40">AA222-AD222</f>
        <v>0</v>
      </c>
      <c r="AG222" s="17">
        <f t="shared" ref="AG222:AG260" si="41">AB222-AE222</f>
        <v>0</v>
      </c>
    </row>
    <row r="223" spans="1:117" s="19" customFormat="1" ht="21" customHeight="1" outlineLevel="1" x14ac:dyDescent="0.25">
      <c r="A223" s="48" t="s">
        <v>153</v>
      </c>
      <c r="B223" s="53"/>
      <c r="C223" s="64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51">
        <f t="shared" si="37"/>
        <v>0</v>
      </c>
      <c r="AB223" s="51">
        <f t="shared" si="36"/>
        <v>0</v>
      </c>
      <c r="AD223" s="31">
        <f t="shared" si="38"/>
        <v>0</v>
      </c>
      <c r="AE223" s="31">
        <f t="shared" si="39"/>
        <v>0</v>
      </c>
      <c r="AF223" s="17">
        <f t="shared" si="40"/>
        <v>0</v>
      </c>
      <c r="AG223" s="17">
        <f t="shared" si="41"/>
        <v>0</v>
      </c>
    </row>
    <row r="224" spans="1:117" s="19" customFormat="1" ht="21" customHeight="1" outlineLevel="1" x14ac:dyDescent="0.25">
      <c r="A224" s="48" t="s">
        <v>154</v>
      </c>
      <c r="B224" s="53"/>
      <c r="C224" s="64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51">
        <f t="shared" si="37"/>
        <v>0</v>
      </c>
      <c r="AB224" s="51">
        <f t="shared" si="36"/>
        <v>0</v>
      </c>
      <c r="AD224" s="31">
        <f t="shared" si="38"/>
        <v>0</v>
      </c>
      <c r="AE224" s="31">
        <f t="shared" si="39"/>
        <v>0</v>
      </c>
      <c r="AF224" s="17">
        <f t="shared" si="40"/>
        <v>0</v>
      </c>
      <c r="AG224" s="17">
        <f t="shared" si="41"/>
        <v>0</v>
      </c>
    </row>
    <row r="225" spans="1:33" s="19" customFormat="1" ht="21" customHeight="1" outlineLevel="1" x14ac:dyDescent="0.25">
      <c r="A225" s="48" t="s">
        <v>155</v>
      </c>
      <c r="B225" s="53"/>
      <c r="C225" s="64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51">
        <f t="shared" si="37"/>
        <v>0</v>
      </c>
      <c r="AB225" s="51">
        <f t="shared" si="36"/>
        <v>0</v>
      </c>
      <c r="AD225" s="31">
        <f t="shared" si="38"/>
        <v>0</v>
      </c>
      <c r="AE225" s="31">
        <f t="shared" si="39"/>
        <v>0</v>
      </c>
      <c r="AF225" s="17">
        <f t="shared" si="40"/>
        <v>0</v>
      </c>
      <c r="AG225" s="17">
        <f t="shared" si="41"/>
        <v>0</v>
      </c>
    </row>
    <row r="226" spans="1:33" s="19" customFormat="1" ht="21" customHeight="1" outlineLevel="1" x14ac:dyDescent="0.25">
      <c r="A226" s="48" t="s">
        <v>156</v>
      </c>
      <c r="B226" s="53"/>
      <c r="C226" s="64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51">
        <f t="shared" si="37"/>
        <v>0</v>
      </c>
      <c r="AB226" s="51">
        <f t="shared" si="36"/>
        <v>0</v>
      </c>
      <c r="AD226" s="31">
        <f t="shared" si="38"/>
        <v>0</v>
      </c>
      <c r="AE226" s="31">
        <f t="shared" si="39"/>
        <v>0</v>
      </c>
      <c r="AF226" s="17">
        <f t="shared" si="40"/>
        <v>0</v>
      </c>
      <c r="AG226" s="17">
        <f t="shared" si="41"/>
        <v>0</v>
      </c>
    </row>
    <row r="227" spans="1:33" s="19" customFormat="1" ht="21" customHeight="1" outlineLevel="1" x14ac:dyDescent="0.25">
      <c r="A227" s="48" t="s">
        <v>157</v>
      </c>
      <c r="B227" s="53"/>
      <c r="C227" s="64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51">
        <f t="shared" si="37"/>
        <v>0</v>
      </c>
      <c r="AB227" s="51">
        <f t="shared" si="36"/>
        <v>0</v>
      </c>
      <c r="AD227" s="31">
        <f t="shared" si="38"/>
        <v>0</v>
      </c>
      <c r="AE227" s="31">
        <f t="shared" si="39"/>
        <v>0</v>
      </c>
      <c r="AF227" s="17">
        <f t="shared" si="40"/>
        <v>0</v>
      </c>
      <c r="AG227" s="17">
        <f t="shared" si="41"/>
        <v>0</v>
      </c>
    </row>
    <row r="228" spans="1:33" s="19" customFormat="1" ht="21" customHeight="1" outlineLevel="1" x14ac:dyDescent="0.25">
      <c r="A228" s="48" t="s">
        <v>158</v>
      </c>
      <c r="B228" s="53"/>
      <c r="C228" s="64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51">
        <f t="shared" si="37"/>
        <v>0</v>
      </c>
      <c r="AB228" s="51">
        <f t="shared" si="36"/>
        <v>0</v>
      </c>
      <c r="AD228" s="31">
        <f t="shared" si="38"/>
        <v>0</v>
      </c>
      <c r="AE228" s="31">
        <f t="shared" si="39"/>
        <v>0</v>
      </c>
      <c r="AF228" s="17">
        <f t="shared" si="40"/>
        <v>0</v>
      </c>
      <c r="AG228" s="17">
        <f t="shared" si="41"/>
        <v>0</v>
      </c>
    </row>
    <row r="229" spans="1:33" s="19" customFormat="1" ht="21" customHeight="1" outlineLevel="1" x14ac:dyDescent="0.25">
      <c r="A229" s="48" t="s">
        <v>100</v>
      </c>
      <c r="B229" s="53"/>
      <c r="C229" s="64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51">
        <f t="shared" si="37"/>
        <v>0</v>
      </c>
      <c r="AB229" s="51">
        <f t="shared" si="36"/>
        <v>0</v>
      </c>
      <c r="AD229" s="31">
        <f t="shared" si="38"/>
        <v>0</v>
      </c>
      <c r="AE229" s="31">
        <f t="shared" si="39"/>
        <v>0</v>
      </c>
      <c r="AF229" s="17">
        <f t="shared" si="40"/>
        <v>0</v>
      </c>
      <c r="AG229" s="17">
        <f t="shared" si="41"/>
        <v>0</v>
      </c>
    </row>
    <row r="230" spans="1:33" s="19" customFormat="1" ht="21" customHeight="1" outlineLevel="1" x14ac:dyDescent="0.25">
      <c r="A230" s="48" t="s">
        <v>159</v>
      </c>
      <c r="B230" s="53"/>
      <c r="C230" s="64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51">
        <f t="shared" si="37"/>
        <v>0</v>
      </c>
      <c r="AB230" s="51">
        <f t="shared" si="36"/>
        <v>0</v>
      </c>
      <c r="AD230" s="31">
        <f t="shared" si="38"/>
        <v>0</v>
      </c>
      <c r="AE230" s="31">
        <f t="shared" si="39"/>
        <v>0</v>
      </c>
      <c r="AF230" s="17">
        <f t="shared" si="40"/>
        <v>0</v>
      </c>
      <c r="AG230" s="17">
        <f t="shared" si="41"/>
        <v>0</v>
      </c>
    </row>
    <row r="231" spans="1:33" s="19" customFormat="1" ht="21" customHeight="1" outlineLevel="1" x14ac:dyDescent="0.25">
      <c r="A231" s="48" t="s">
        <v>160</v>
      </c>
      <c r="B231" s="53"/>
      <c r="C231" s="64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51">
        <f t="shared" si="37"/>
        <v>0</v>
      </c>
      <c r="AB231" s="51">
        <f t="shared" si="36"/>
        <v>0</v>
      </c>
      <c r="AD231" s="31">
        <f t="shared" si="38"/>
        <v>0</v>
      </c>
      <c r="AE231" s="31">
        <f t="shared" si="39"/>
        <v>0</v>
      </c>
      <c r="AF231" s="17">
        <f t="shared" si="40"/>
        <v>0</v>
      </c>
      <c r="AG231" s="17">
        <f t="shared" si="41"/>
        <v>0</v>
      </c>
    </row>
    <row r="232" spans="1:33" s="19" customFormat="1" ht="21" customHeight="1" outlineLevel="1" x14ac:dyDescent="0.25">
      <c r="A232" s="48" t="s">
        <v>161</v>
      </c>
      <c r="B232" s="53"/>
      <c r="C232" s="64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51">
        <f t="shared" si="37"/>
        <v>0</v>
      </c>
      <c r="AB232" s="51">
        <f t="shared" si="36"/>
        <v>0</v>
      </c>
      <c r="AD232" s="31">
        <f t="shared" si="38"/>
        <v>0</v>
      </c>
      <c r="AE232" s="31">
        <f t="shared" si="39"/>
        <v>0</v>
      </c>
      <c r="AF232" s="17">
        <f t="shared" si="40"/>
        <v>0</v>
      </c>
      <c r="AG232" s="17">
        <f t="shared" si="41"/>
        <v>0</v>
      </c>
    </row>
    <row r="233" spans="1:33" s="19" customFormat="1" ht="21" customHeight="1" outlineLevel="1" x14ac:dyDescent="0.25">
      <c r="A233" s="48" t="s">
        <v>162</v>
      </c>
      <c r="B233" s="53"/>
      <c r="C233" s="64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51">
        <f t="shared" si="37"/>
        <v>0</v>
      </c>
      <c r="AB233" s="51">
        <f t="shared" si="36"/>
        <v>0</v>
      </c>
      <c r="AD233" s="31">
        <f t="shared" si="38"/>
        <v>0</v>
      </c>
      <c r="AE233" s="31">
        <f t="shared" si="39"/>
        <v>0</v>
      </c>
      <c r="AF233" s="17">
        <f t="shared" si="40"/>
        <v>0</v>
      </c>
      <c r="AG233" s="17">
        <f t="shared" si="41"/>
        <v>0</v>
      </c>
    </row>
    <row r="234" spans="1:33" s="19" customFormat="1" ht="21" customHeight="1" outlineLevel="1" x14ac:dyDescent="0.25">
      <c r="A234" s="48" t="s">
        <v>163</v>
      </c>
      <c r="B234" s="53"/>
      <c r="C234" s="64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51">
        <f t="shared" si="37"/>
        <v>0</v>
      </c>
      <c r="AB234" s="51">
        <f t="shared" si="36"/>
        <v>0</v>
      </c>
      <c r="AD234" s="31">
        <f t="shared" si="38"/>
        <v>0</v>
      </c>
      <c r="AE234" s="31">
        <f t="shared" si="39"/>
        <v>0</v>
      </c>
      <c r="AF234" s="17">
        <f t="shared" si="40"/>
        <v>0</v>
      </c>
      <c r="AG234" s="17">
        <f t="shared" si="41"/>
        <v>0</v>
      </c>
    </row>
    <row r="235" spans="1:33" s="19" customFormat="1" ht="21" customHeight="1" outlineLevel="1" x14ac:dyDescent="0.25">
      <c r="A235" s="48" t="s">
        <v>164</v>
      </c>
      <c r="B235" s="53"/>
      <c r="C235" s="64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51">
        <f t="shared" si="37"/>
        <v>0</v>
      </c>
      <c r="AB235" s="51">
        <f t="shared" si="36"/>
        <v>0</v>
      </c>
      <c r="AD235" s="31">
        <f t="shared" si="38"/>
        <v>0</v>
      </c>
      <c r="AE235" s="31">
        <f t="shared" si="39"/>
        <v>0</v>
      </c>
      <c r="AF235" s="17">
        <f t="shared" si="40"/>
        <v>0</v>
      </c>
      <c r="AG235" s="17">
        <f t="shared" si="41"/>
        <v>0</v>
      </c>
    </row>
    <row r="236" spans="1:33" s="19" customFormat="1" ht="21" customHeight="1" outlineLevel="1" x14ac:dyDescent="0.25">
      <c r="A236" s="48" t="s">
        <v>165</v>
      </c>
      <c r="B236" s="53"/>
      <c r="C236" s="64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51">
        <f t="shared" si="37"/>
        <v>0</v>
      </c>
      <c r="AB236" s="51">
        <f t="shared" si="36"/>
        <v>0</v>
      </c>
      <c r="AD236" s="31">
        <f t="shared" si="38"/>
        <v>0</v>
      </c>
      <c r="AE236" s="31">
        <f t="shared" si="39"/>
        <v>0</v>
      </c>
      <c r="AF236" s="17">
        <f t="shared" si="40"/>
        <v>0</v>
      </c>
      <c r="AG236" s="17">
        <f t="shared" si="41"/>
        <v>0</v>
      </c>
    </row>
    <row r="237" spans="1:33" s="19" customFormat="1" ht="21" customHeight="1" outlineLevel="1" x14ac:dyDescent="0.25">
      <c r="A237" s="48" t="s">
        <v>166</v>
      </c>
      <c r="B237" s="53"/>
      <c r="C237" s="64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51">
        <f t="shared" si="37"/>
        <v>0</v>
      </c>
      <c r="AB237" s="51">
        <f t="shared" si="36"/>
        <v>0</v>
      </c>
      <c r="AD237" s="31">
        <f t="shared" si="38"/>
        <v>0</v>
      </c>
      <c r="AE237" s="31">
        <f t="shared" si="39"/>
        <v>0</v>
      </c>
      <c r="AF237" s="17">
        <f t="shared" si="40"/>
        <v>0</v>
      </c>
      <c r="AG237" s="17">
        <f t="shared" si="41"/>
        <v>0</v>
      </c>
    </row>
    <row r="238" spans="1:33" s="19" customFormat="1" ht="21" customHeight="1" outlineLevel="1" x14ac:dyDescent="0.25">
      <c r="A238" s="48" t="s">
        <v>167</v>
      </c>
      <c r="B238" s="53"/>
      <c r="C238" s="64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51">
        <f t="shared" si="37"/>
        <v>0</v>
      </c>
      <c r="AB238" s="51">
        <f t="shared" si="36"/>
        <v>0</v>
      </c>
      <c r="AD238" s="31">
        <f t="shared" si="38"/>
        <v>0</v>
      </c>
      <c r="AE238" s="31">
        <f t="shared" si="39"/>
        <v>0</v>
      </c>
      <c r="AF238" s="17">
        <f t="shared" si="40"/>
        <v>0</v>
      </c>
      <c r="AG238" s="17">
        <f t="shared" si="41"/>
        <v>0</v>
      </c>
    </row>
    <row r="239" spans="1:33" s="19" customFormat="1" ht="21" customHeight="1" outlineLevel="1" x14ac:dyDescent="0.25">
      <c r="A239" s="48" t="s">
        <v>168</v>
      </c>
      <c r="B239" s="53"/>
      <c r="C239" s="64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51">
        <f t="shared" si="37"/>
        <v>0</v>
      </c>
      <c r="AB239" s="51">
        <f t="shared" si="36"/>
        <v>0</v>
      </c>
      <c r="AD239" s="31">
        <f t="shared" si="38"/>
        <v>0</v>
      </c>
      <c r="AE239" s="31">
        <f t="shared" si="39"/>
        <v>0</v>
      </c>
      <c r="AF239" s="17">
        <f t="shared" si="40"/>
        <v>0</v>
      </c>
      <c r="AG239" s="17">
        <f t="shared" si="41"/>
        <v>0</v>
      </c>
    </row>
    <row r="240" spans="1:33" s="19" customFormat="1" ht="21" customHeight="1" outlineLevel="1" x14ac:dyDescent="0.25">
      <c r="A240" s="48" t="s">
        <v>169</v>
      </c>
      <c r="B240" s="53"/>
      <c r="C240" s="64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51">
        <f t="shared" si="37"/>
        <v>0</v>
      </c>
      <c r="AB240" s="51">
        <f t="shared" si="36"/>
        <v>0</v>
      </c>
      <c r="AD240" s="31">
        <f t="shared" si="38"/>
        <v>0</v>
      </c>
      <c r="AE240" s="31">
        <f t="shared" si="39"/>
        <v>0</v>
      </c>
      <c r="AF240" s="17">
        <f t="shared" si="40"/>
        <v>0</v>
      </c>
      <c r="AG240" s="17">
        <f t="shared" si="41"/>
        <v>0</v>
      </c>
    </row>
    <row r="241" spans="1:53" s="19" customFormat="1" ht="21" customHeight="1" outlineLevel="1" x14ac:dyDescent="0.25">
      <c r="A241" s="48" t="s">
        <v>170</v>
      </c>
      <c r="B241" s="53"/>
      <c r="C241" s="64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51">
        <f t="shared" si="37"/>
        <v>0</v>
      </c>
      <c r="AB241" s="51">
        <f t="shared" ref="AB241:AB258" si="42">D241+F241+H241+J241+L241+N241+P241+R241+T241+V241+X241+Z241</f>
        <v>0</v>
      </c>
      <c r="AD241" s="31">
        <f t="shared" si="38"/>
        <v>0</v>
      </c>
      <c r="AE241" s="31">
        <f t="shared" si="39"/>
        <v>0</v>
      </c>
      <c r="AF241" s="17">
        <f t="shared" si="40"/>
        <v>0</v>
      </c>
      <c r="AG241" s="17">
        <f t="shared" si="41"/>
        <v>0</v>
      </c>
    </row>
    <row r="242" spans="1:53" s="19" customFormat="1" ht="21" customHeight="1" outlineLevel="1" x14ac:dyDescent="0.25">
      <c r="A242" s="48" t="s">
        <v>171</v>
      </c>
      <c r="B242" s="53"/>
      <c r="C242" s="64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51">
        <f t="shared" si="37"/>
        <v>0</v>
      </c>
      <c r="AB242" s="51">
        <f t="shared" si="42"/>
        <v>0</v>
      </c>
      <c r="AD242" s="31">
        <f t="shared" si="38"/>
        <v>0</v>
      </c>
      <c r="AE242" s="31">
        <f t="shared" si="39"/>
        <v>0</v>
      </c>
      <c r="AF242" s="17">
        <f t="shared" si="40"/>
        <v>0</v>
      </c>
      <c r="AG242" s="17">
        <f t="shared" si="41"/>
        <v>0</v>
      </c>
    </row>
    <row r="243" spans="1:53" s="19" customFormat="1" ht="21" customHeight="1" outlineLevel="1" x14ac:dyDescent="0.25">
      <c r="A243" s="48" t="s">
        <v>172</v>
      </c>
      <c r="B243" s="53"/>
      <c r="C243" s="64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51">
        <f t="shared" si="37"/>
        <v>0</v>
      </c>
      <c r="AB243" s="51">
        <f t="shared" si="42"/>
        <v>0</v>
      </c>
      <c r="AD243" s="31">
        <f t="shared" si="38"/>
        <v>0</v>
      </c>
      <c r="AE243" s="31">
        <f t="shared" si="39"/>
        <v>0</v>
      </c>
      <c r="AF243" s="17">
        <f t="shared" si="40"/>
        <v>0</v>
      </c>
      <c r="AG243" s="17">
        <f t="shared" si="41"/>
        <v>0</v>
      </c>
    </row>
    <row r="244" spans="1:53" s="19" customFormat="1" ht="21" customHeight="1" outlineLevel="1" x14ac:dyDescent="0.25">
      <c r="A244" s="48" t="s">
        <v>173</v>
      </c>
      <c r="B244" s="53"/>
      <c r="C244" s="64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51">
        <f t="shared" si="37"/>
        <v>0</v>
      </c>
      <c r="AB244" s="51">
        <f t="shared" si="42"/>
        <v>0</v>
      </c>
      <c r="AD244" s="31">
        <f t="shared" si="38"/>
        <v>0</v>
      </c>
      <c r="AE244" s="31">
        <f t="shared" si="39"/>
        <v>0</v>
      </c>
      <c r="AF244" s="17">
        <f t="shared" si="40"/>
        <v>0</v>
      </c>
      <c r="AG244" s="17">
        <f t="shared" si="41"/>
        <v>0</v>
      </c>
    </row>
    <row r="245" spans="1:53" s="19" customFormat="1" ht="21" customHeight="1" outlineLevel="1" x14ac:dyDescent="0.25">
      <c r="A245" s="48" t="s">
        <v>174</v>
      </c>
      <c r="B245" s="53"/>
      <c r="C245" s="64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51">
        <f t="shared" si="37"/>
        <v>0</v>
      </c>
      <c r="AB245" s="51">
        <f t="shared" si="42"/>
        <v>0</v>
      </c>
      <c r="AD245" s="31">
        <f t="shared" si="38"/>
        <v>0</v>
      </c>
      <c r="AE245" s="31">
        <f t="shared" si="39"/>
        <v>0</v>
      </c>
      <c r="AF245" s="17">
        <f t="shared" si="40"/>
        <v>0</v>
      </c>
      <c r="AG245" s="17">
        <f t="shared" si="41"/>
        <v>0</v>
      </c>
    </row>
    <row r="246" spans="1:53" s="19" customFormat="1" ht="21" customHeight="1" outlineLevel="1" x14ac:dyDescent="0.25">
      <c r="A246" s="48" t="s">
        <v>175</v>
      </c>
      <c r="B246" s="53"/>
      <c r="C246" s="64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51">
        <f t="shared" si="37"/>
        <v>0</v>
      </c>
      <c r="AB246" s="51">
        <f t="shared" si="42"/>
        <v>0</v>
      </c>
      <c r="AD246" s="31">
        <f t="shared" si="38"/>
        <v>0</v>
      </c>
      <c r="AE246" s="31">
        <f t="shared" si="39"/>
        <v>0</v>
      </c>
      <c r="AF246" s="17">
        <f t="shared" si="40"/>
        <v>0</v>
      </c>
      <c r="AG246" s="17">
        <f t="shared" si="41"/>
        <v>0</v>
      </c>
    </row>
    <row r="247" spans="1:53" s="19" customFormat="1" ht="21" customHeight="1" outlineLevel="1" x14ac:dyDescent="0.25">
      <c r="A247" s="48" t="s">
        <v>176</v>
      </c>
      <c r="B247" s="53"/>
      <c r="C247" s="64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51">
        <f t="shared" si="37"/>
        <v>0</v>
      </c>
      <c r="AB247" s="51">
        <f t="shared" si="42"/>
        <v>0</v>
      </c>
      <c r="AD247" s="31">
        <f t="shared" si="38"/>
        <v>0</v>
      </c>
      <c r="AE247" s="31">
        <f t="shared" si="39"/>
        <v>0</v>
      </c>
      <c r="AF247" s="17">
        <f t="shared" si="40"/>
        <v>0</v>
      </c>
      <c r="AG247" s="17">
        <f t="shared" si="41"/>
        <v>0</v>
      </c>
    </row>
    <row r="248" spans="1:53" s="19" customFormat="1" ht="21" customHeight="1" outlineLevel="1" x14ac:dyDescent="0.25">
      <c r="A248" s="48" t="s">
        <v>177</v>
      </c>
      <c r="B248" s="53"/>
      <c r="C248" s="64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51">
        <f t="shared" si="37"/>
        <v>0</v>
      </c>
      <c r="AB248" s="51">
        <f t="shared" si="42"/>
        <v>0</v>
      </c>
      <c r="AD248" s="31">
        <f t="shared" si="38"/>
        <v>0</v>
      </c>
      <c r="AE248" s="31">
        <f t="shared" si="39"/>
        <v>0</v>
      </c>
      <c r="AF248" s="17">
        <f t="shared" si="40"/>
        <v>0</v>
      </c>
      <c r="AG248" s="17">
        <f t="shared" si="41"/>
        <v>0</v>
      </c>
    </row>
    <row r="249" spans="1:53" s="19" customFormat="1" ht="21" customHeight="1" outlineLevel="1" x14ac:dyDescent="0.25">
      <c r="A249" s="48" t="s">
        <v>178</v>
      </c>
      <c r="B249" s="53"/>
      <c r="C249" s="64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51">
        <f t="shared" si="37"/>
        <v>0</v>
      </c>
      <c r="AB249" s="51">
        <f t="shared" si="42"/>
        <v>0</v>
      </c>
      <c r="AD249" s="31">
        <f t="shared" si="38"/>
        <v>0</v>
      </c>
      <c r="AE249" s="31">
        <f t="shared" si="39"/>
        <v>0</v>
      </c>
      <c r="AF249" s="17">
        <f t="shared" si="40"/>
        <v>0</v>
      </c>
      <c r="AG249" s="17">
        <f t="shared" si="41"/>
        <v>0</v>
      </c>
    </row>
    <row r="250" spans="1:53" s="19" customFormat="1" ht="21" customHeight="1" x14ac:dyDescent="0.25">
      <c r="A250" s="63" t="s">
        <v>182</v>
      </c>
      <c r="B250" s="53">
        <v>9</v>
      </c>
      <c r="C250" s="64"/>
      <c r="D250" s="68"/>
      <c r="E250" s="68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1">
        <f t="shared" si="37"/>
        <v>0</v>
      </c>
      <c r="AB250" s="51">
        <f t="shared" si="42"/>
        <v>0</v>
      </c>
      <c r="AD250" s="31">
        <f t="shared" si="38"/>
        <v>0</v>
      </c>
      <c r="AE250" s="31">
        <f t="shared" si="39"/>
        <v>0</v>
      </c>
      <c r="AF250" s="17">
        <f t="shared" si="40"/>
        <v>0</v>
      </c>
      <c r="AG250" s="17">
        <f t="shared" si="41"/>
        <v>0</v>
      </c>
      <c r="BA250" s="21"/>
    </row>
    <row r="251" spans="1:53" s="19" customFormat="1" ht="21" customHeight="1" x14ac:dyDescent="0.25">
      <c r="A251" s="63" t="s">
        <v>183</v>
      </c>
      <c r="B251" s="53">
        <v>10</v>
      </c>
      <c r="C251" s="64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1">
        <f t="shared" si="37"/>
        <v>0</v>
      </c>
      <c r="AB251" s="51">
        <f t="shared" si="42"/>
        <v>0</v>
      </c>
      <c r="AD251" s="31">
        <f t="shared" si="38"/>
        <v>0</v>
      </c>
      <c r="AE251" s="31">
        <f t="shared" si="39"/>
        <v>0</v>
      </c>
      <c r="AF251" s="17">
        <f t="shared" si="40"/>
        <v>0</v>
      </c>
      <c r="AG251" s="17">
        <f t="shared" si="41"/>
        <v>0</v>
      </c>
      <c r="BA251" s="21"/>
    </row>
    <row r="252" spans="1:53" s="19" customFormat="1" ht="21" customHeight="1" x14ac:dyDescent="0.25">
      <c r="A252" s="63" t="s">
        <v>184</v>
      </c>
      <c r="B252" s="53">
        <v>11</v>
      </c>
      <c r="C252" s="64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1">
        <f t="shared" si="37"/>
        <v>0</v>
      </c>
      <c r="AB252" s="51">
        <f t="shared" si="42"/>
        <v>0</v>
      </c>
      <c r="AD252" s="31">
        <f t="shared" si="38"/>
        <v>0</v>
      </c>
      <c r="AE252" s="31">
        <f t="shared" si="39"/>
        <v>0</v>
      </c>
      <c r="AF252" s="17">
        <f t="shared" si="40"/>
        <v>0</v>
      </c>
      <c r="AG252" s="17">
        <f t="shared" si="41"/>
        <v>0</v>
      </c>
      <c r="BA252" s="21"/>
    </row>
    <row r="253" spans="1:53" s="19" customFormat="1" ht="22" customHeight="1" outlineLevel="1" x14ac:dyDescent="0.25">
      <c r="A253" s="63" t="s">
        <v>185</v>
      </c>
      <c r="B253" s="53">
        <v>12</v>
      </c>
      <c r="C253" s="64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1">
        <f t="shared" si="37"/>
        <v>0</v>
      </c>
      <c r="AB253" s="51">
        <f t="shared" si="42"/>
        <v>0</v>
      </c>
      <c r="AD253" s="31">
        <f t="shared" si="38"/>
        <v>0</v>
      </c>
      <c r="AE253" s="31">
        <f t="shared" si="39"/>
        <v>0</v>
      </c>
      <c r="AF253" s="17">
        <f t="shared" si="40"/>
        <v>0</v>
      </c>
      <c r="AG253" s="17">
        <f t="shared" si="41"/>
        <v>0</v>
      </c>
      <c r="BA253" s="21"/>
    </row>
    <row r="254" spans="1:53" s="19" customFormat="1" ht="22" customHeight="1" outlineLevel="1" x14ac:dyDescent="0.25">
      <c r="A254" s="63" t="s">
        <v>186</v>
      </c>
      <c r="B254" s="53">
        <v>13</v>
      </c>
      <c r="C254" s="64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51">
        <f t="shared" si="37"/>
        <v>0</v>
      </c>
      <c r="AB254" s="51">
        <f t="shared" si="42"/>
        <v>0</v>
      </c>
      <c r="AD254" s="31">
        <f t="shared" si="38"/>
        <v>0</v>
      </c>
      <c r="AE254" s="31">
        <f t="shared" si="39"/>
        <v>0</v>
      </c>
      <c r="AF254" s="17">
        <f t="shared" si="40"/>
        <v>0</v>
      </c>
      <c r="AG254" s="17">
        <f t="shared" si="41"/>
        <v>0</v>
      </c>
      <c r="BA254" s="21"/>
    </row>
    <row r="255" spans="1:53" s="19" customFormat="1" ht="22" customHeight="1" outlineLevel="1" x14ac:dyDescent="0.25">
      <c r="A255" s="63" t="s">
        <v>187</v>
      </c>
      <c r="B255" s="53">
        <v>14</v>
      </c>
      <c r="C255" s="64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51">
        <f t="shared" si="37"/>
        <v>0</v>
      </c>
      <c r="AB255" s="51">
        <f t="shared" si="42"/>
        <v>0</v>
      </c>
      <c r="AD255" s="31">
        <f t="shared" si="38"/>
        <v>0</v>
      </c>
      <c r="AE255" s="31">
        <f t="shared" si="39"/>
        <v>0</v>
      </c>
      <c r="AF255" s="17">
        <f t="shared" si="40"/>
        <v>0</v>
      </c>
      <c r="AG255" s="17">
        <f t="shared" si="41"/>
        <v>0</v>
      </c>
    </row>
    <row r="256" spans="1:53" s="19" customFormat="1" ht="22" customHeight="1" outlineLevel="1" x14ac:dyDescent="0.25">
      <c r="A256" s="63" t="s">
        <v>188</v>
      </c>
      <c r="B256" s="53">
        <v>15</v>
      </c>
      <c r="C256" s="64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51">
        <f t="shared" si="37"/>
        <v>0</v>
      </c>
      <c r="AB256" s="51">
        <f t="shared" si="42"/>
        <v>0</v>
      </c>
      <c r="AD256" s="31">
        <f t="shared" si="38"/>
        <v>0</v>
      </c>
      <c r="AE256" s="31">
        <f t="shared" si="39"/>
        <v>0</v>
      </c>
      <c r="AF256" s="17">
        <f t="shared" si="40"/>
        <v>0</v>
      </c>
      <c r="AG256" s="17">
        <f t="shared" si="41"/>
        <v>0</v>
      </c>
    </row>
    <row r="257" spans="1:117" s="19" customFormat="1" ht="22" customHeight="1" x14ac:dyDescent="0.25">
      <c r="A257" s="63" t="s">
        <v>189</v>
      </c>
      <c r="B257" s="53">
        <v>16</v>
      </c>
      <c r="C257" s="64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51">
        <f t="shared" si="37"/>
        <v>0</v>
      </c>
      <c r="AB257" s="51">
        <f t="shared" si="42"/>
        <v>0</v>
      </c>
      <c r="AD257" s="31">
        <f t="shared" si="38"/>
        <v>0</v>
      </c>
      <c r="AE257" s="31">
        <f t="shared" si="39"/>
        <v>0</v>
      </c>
      <c r="AF257" s="17">
        <f t="shared" si="40"/>
        <v>0</v>
      </c>
      <c r="AG257" s="17">
        <f t="shared" si="41"/>
        <v>0</v>
      </c>
      <c r="BA257" s="21"/>
    </row>
    <row r="258" spans="1:117" s="17" customFormat="1" ht="22" customHeight="1" x14ac:dyDescent="0.25">
      <c r="A258" s="44" t="s">
        <v>190</v>
      </c>
      <c r="B258" s="45">
        <v>17</v>
      </c>
      <c r="C258" s="77">
        <f t="shared" ref="C258:AA258" si="43">C6-C16-C28-C29-C102-C176-C250-C251-C252+C253+C254+C256+C257</f>
        <v>-35998.905999999988</v>
      </c>
      <c r="D258" s="77">
        <f t="shared" si="43"/>
        <v>374793.67239999864</v>
      </c>
      <c r="E258" s="77">
        <f t="shared" si="43"/>
        <v>7904.2620000001189</v>
      </c>
      <c r="F258" s="77">
        <f t="shared" si="43"/>
        <v>210007.02559999959</v>
      </c>
      <c r="G258" s="77">
        <f t="shared" si="43"/>
        <v>79883.644</v>
      </c>
      <c r="H258" s="77">
        <f t="shared" si="43"/>
        <v>191036.6772000005</v>
      </c>
      <c r="I258" s="77">
        <f t="shared" si="43"/>
        <v>132243.0955999998</v>
      </c>
      <c r="J258" s="77">
        <f t="shared" si="43"/>
        <v>308362.77719999733</v>
      </c>
      <c r="K258" s="77">
        <f t="shared" si="43"/>
        <v>102169.51999999996</v>
      </c>
      <c r="L258" s="77">
        <f t="shared" si="43"/>
        <v>215840.14879999889</v>
      </c>
      <c r="M258" s="77">
        <f t="shared" si="43"/>
        <v>182161.42</v>
      </c>
      <c r="N258" s="77">
        <f t="shared" si="43"/>
        <v>341174.47559999791</v>
      </c>
      <c r="O258" s="77">
        <f t="shared" si="43"/>
        <v>212519.73360000001</v>
      </c>
      <c r="P258" s="77">
        <f t="shared" si="43"/>
        <v>251237.75359999965</v>
      </c>
      <c r="Q258" s="77">
        <f t="shared" si="43"/>
        <v>171404.45240000001</v>
      </c>
      <c r="R258" s="77">
        <f t="shared" si="43"/>
        <v>268253.21520000009</v>
      </c>
      <c r="S258" s="77">
        <f t="shared" si="43"/>
        <v>265427.2307999999</v>
      </c>
      <c r="T258" s="77">
        <f t="shared" si="43"/>
        <v>460908.99519999459</v>
      </c>
      <c r="U258" s="77">
        <f t="shared" si="43"/>
        <v>139484.05280000003</v>
      </c>
      <c r="V258" s="77">
        <f t="shared" si="43"/>
        <v>261060.50319999899</v>
      </c>
      <c r="W258" s="77">
        <f t="shared" si="43"/>
        <v>215083.94199999998</v>
      </c>
      <c r="X258" s="77">
        <f t="shared" si="43"/>
        <v>298202.12399999902</v>
      </c>
      <c r="Y258" s="77">
        <f t="shared" si="43"/>
        <v>588093.98679999984</v>
      </c>
      <c r="Z258" s="77">
        <f t="shared" si="43"/>
        <v>590435.62520000222</v>
      </c>
      <c r="AA258" s="106">
        <f t="shared" si="43"/>
        <v>2060376.4339999997</v>
      </c>
      <c r="AB258" s="47">
        <f t="shared" si="42"/>
        <v>3771312.9931999873</v>
      </c>
      <c r="AD258" s="31">
        <f t="shared" si="38"/>
        <v>2060376.4339999997</v>
      </c>
      <c r="AE258" s="31">
        <f t="shared" si="39"/>
        <v>3771312.9931999873</v>
      </c>
      <c r="AF258" s="17">
        <f t="shared" si="40"/>
        <v>0</v>
      </c>
      <c r="AG258" s="17">
        <f t="shared" si="41"/>
        <v>0</v>
      </c>
      <c r="BA258" s="21"/>
    </row>
    <row r="259" spans="1:117" s="19" customFormat="1" ht="22" customHeight="1" x14ac:dyDescent="0.25">
      <c r="A259" s="63" t="s">
        <v>191</v>
      </c>
      <c r="B259" s="53">
        <v>18</v>
      </c>
      <c r="C259" s="64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1">
        <f>C259+E259+G259+I259+K259+M259+O259+Q259+S259+U259+W259+Y259</f>
        <v>0</v>
      </c>
      <c r="AB259" s="105">
        <f>SUM(D259:Z259)</f>
        <v>0</v>
      </c>
      <c r="AD259" s="31">
        <f t="shared" si="38"/>
        <v>0</v>
      </c>
      <c r="AE259" s="31">
        <f t="shared" si="39"/>
        <v>0</v>
      </c>
      <c r="AF259" s="17">
        <f t="shared" si="40"/>
        <v>0</v>
      </c>
      <c r="AG259" s="17">
        <f t="shared" si="41"/>
        <v>0</v>
      </c>
      <c r="BA259" s="21"/>
    </row>
    <row r="260" spans="1:117" s="19" customFormat="1" ht="22" customHeight="1" x14ac:dyDescent="0.25">
      <c r="A260" s="63" t="s">
        <v>192</v>
      </c>
      <c r="B260" s="53">
        <v>19</v>
      </c>
      <c r="C260" s="64"/>
      <c r="D260" s="68"/>
      <c r="E260" s="68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1">
        <f>C260+E260+G260+I260+K260+M260+O260+Q260+S260+U260+W260+Y260</f>
        <v>0</v>
      </c>
      <c r="AB260" s="105">
        <f>SUM(D260:Z260)</f>
        <v>0</v>
      </c>
      <c r="AD260" s="31">
        <f t="shared" si="38"/>
        <v>0</v>
      </c>
      <c r="AE260" s="31">
        <f t="shared" si="39"/>
        <v>0</v>
      </c>
      <c r="AF260" s="17">
        <f t="shared" si="40"/>
        <v>0</v>
      </c>
      <c r="AG260" s="17">
        <f t="shared" si="41"/>
        <v>0</v>
      </c>
      <c r="BA260" s="21"/>
    </row>
    <row r="261" spans="1:117" s="17" customFormat="1" ht="22" customHeight="1" x14ac:dyDescent="0.25">
      <c r="A261" s="44" t="s">
        <v>193</v>
      </c>
      <c r="B261" s="45">
        <v>20</v>
      </c>
      <c r="C261" s="77">
        <f t="shared" ref="C261:AB261" si="44">C258+C259-C260</f>
        <v>-35998.905999999988</v>
      </c>
      <c r="D261" s="77">
        <f t="shared" si="44"/>
        <v>374793.67239999864</v>
      </c>
      <c r="E261" s="77">
        <f t="shared" si="44"/>
        <v>7904.2620000001189</v>
      </c>
      <c r="F261" s="77">
        <f t="shared" si="44"/>
        <v>210007.02559999959</v>
      </c>
      <c r="G261" s="77">
        <f t="shared" si="44"/>
        <v>79883.644</v>
      </c>
      <c r="H261" s="77">
        <f t="shared" si="44"/>
        <v>191036.6772000005</v>
      </c>
      <c r="I261" s="77">
        <f t="shared" si="44"/>
        <v>132243.0955999998</v>
      </c>
      <c r="J261" s="77">
        <f t="shared" si="44"/>
        <v>308362.77719999733</v>
      </c>
      <c r="K261" s="77">
        <f t="shared" si="44"/>
        <v>102169.51999999996</v>
      </c>
      <c r="L261" s="77">
        <f t="shared" si="44"/>
        <v>215840.14879999889</v>
      </c>
      <c r="M261" s="77">
        <f t="shared" si="44"/>
        <v>182161.42</v>
      </c>
      <c r="N261" s="77">
        <f t="shared" si="44"/>
        <v>341174.47559999791</v>
      </c>
      <c r="O261" s="77">
        <f t="shared" si="44"/>
        <v>212519.73360000001</v>
      </c>
      <c r="P261" s="77">
        <f t="shared" si="44"/>
        <v>251237.75359999965</v>
      </c>
      <c r="Q261" s="77">
        <f t="shared" si="44"/>
        <v>171404.45240000001</v>
      </c>
      <c r="R261" s="77">
        <f t="shared" si="44"/>
        <v>268253.21520000009</v>
      </c>
      <c r="S261" s="77">
        <f t="shared" si="44"/>
        <v>265427.2307999999</v>
      </c>
      <c r="T261" s="77">
        <f t="shared" si="44"/>
        <v>460908.99519999459</v>
      </c>
      <c r="U261" s="77">
        <f t="shared" si="44"/>
        <v>139484.05280000003</v>
      </c>
      <c r="V261" s="77">
        <f t="shared" si="44"/>
        <v>261060.50319999899</v>
      </c>
      <c r="W261" s="77">
        <f t="shared" si="44"/>
        <v>215083.94199999998</v>
      </c>
      <c r="X261" s="77">
        <f t="shared" si="44"/>
        <v>298202.12399999902</v>
      </c>
      <c r="Y261" s="77">
        <f t="shared" si="44"/>
        <v>588093.98679999984</v>
      </c>
      <c r="Z261" s="77">
        <f t="shared" si="44"/>
        <v>590435.62520000222</v>
      </c>
      <c r="AA261" s="106">
        <f t="shared" si="44"/>
        <v>2060376.4339999997</v>
      </c>
      <c r="AB261" s="106">
        <f t="shared" si="44"/>
        <v>3771312.9931999873</v>
      </c>
      <c r="AD261" s="31">
        <f t="shared" si="38"/>
        <v>2060376.4339999997</v>
      </c>
      <c r="AE261" s="31">
        <f t="shared" si="39"/>
        <v>3771312.9931999873</v>
      </c>
      <c r="AF261" s="55">
        <f>AD26-AD28-AD29-AD102-AD176-AD250-AD251-AD252+AD257+AD259-AD260-AA261</f>
        <v>0</v>
      </c>
      <c r="AG261" s="55">
        <f>AE26-AE28-AE29-AE102-AE176-AE250-AE251-AE252+AE257+AE259-AE260-AB261</f>
        <v>0</v>
      </c>
      <c r="BA261" s="21"/>
    </row>
    <row r="262" spans="1:117" s="19" customFormat="1" ht="22" customHeight="1" x14ac:dyDescent="0.25">
      <c r="A262" s="63" t="s">
        <v>194</v>
      </c>
      <c r="B262" s="53">
        <v>21</v>
      </c>
      <c r="C262" s="64"/>
      <c r="D262" s="68"/>
      <c r="E262" s="68">
        <v>2982.25</v>
      </c>
      <c r="F262" s="75"/>
      <c r="G262" s="75">
        <v>11182.95</v>
      </c>
      <c r="H262" s="75"/>
      <c r="I262" s="75">
        <v>16529.349999999999</v>
      </c>
      <c r="J262" s="75"/>
      <c r="K262" s="75">
        <v>13228.15</v>
      </c>
      <c r="L262" s="75"/>
      <c r="M262" s="75">
        <v>21139.96</v>
      </c>
      <c r="N262" s="75"/>
      <c r="O262" s="75">
        <v>24091.56</v>
      </c>
      <c r="P262" s="75"/>
      <c r="Q262" s="75">
        <v>20547.39</v>
      </c>
      <c r="R262" s="75"/>
      <c r="S262" s="75">
        <v>30876.07</v>
      </c>
      <c r="T262" s="75"/>
      <c r="U262" s="75">
        <v>17266.21</v>
      </c>
      <c r="V262" s="75"/>
      <c r="W262" s="75">
        <v>24589.200000000001</v>
      </c>
      <c r="X262" s="75"/>
      <c r="Y262" s="75">
        <v>62107.06</v>
      </c>
      <c r="Z262" s="75"/>
      <c r="AA262" s="51">
        <f>C262+E262+G262+I262+K262+M262+O262+Q262+S262+U262+W262+Y262</f>
        <v>244540.15</v>
      </c>
      <c r="AB262" s="51">
        <f>D262+F262+H262+J262+L262+N262+P262+R262+T262+V262+X262+Z262</f>
        <v>0</v>
      </c>
      <c r="AD262" s="31">
        <f t="shared" si="38"/>
        <v>244540.15</v>
      </c>
      <c r="AE262" s="31">
        <f t="shared" si="39"/>
        <v>0</v>
      </c>
      <c r="AF262" s="17">
        <f>AA262-AD262</f>
        <v>0</v>
      </c>
      <c r="AG262" s="17" t="e">
        <f>IF(AB262-AE262=AB262-#REF!,0,AE262-#REF!)</f>
        <v>#REF!</v>
      </c>
      <c r="BA262" s="21"/>
    </row>
    <row r="263" spans="1:117" s="17" customFormat="1" ht="22" customHeight="1" x14ac:dyDescent="0.25">
      <c r="A263" s="44" t="s">
        <v>196</v>
      </c>
      <c r="B263" s="45">
        <v>22</v>
      </c>
      <c r="C263" s="77">
        <f t="shared" ref="C263:AB263" si="45">C261-C262</f>
        <v>-35998.905999999988</v>
      </c>
      <c r="D263" s="77">
        <f t="shared" si="45"/>
        <v>374793.67239999864</v>
      </c>
      <c r="E263" s="77">
        <f t="shared" si="45"/>
        <v>4922.0120000001189</v>
      </c>
      <c r="F263" s="77">
        <f t="shared" si="45"/>
        <v>210007.02559999959</v>
      </c>
      <c r="G263" s="77">
        <f t="shared" si="45"/>
        <v>68700.694000000003</v>
      </c>
      <c r="H263" s="77">
        <f t="shared" si="45"/>
        <v>191036.6772000005</v>
      </c>
      <c r="I263" s="77">
        <f t="shared" si="45"/>
        <v>115713.74559999979</v>
      </c>
      <c r="J263" s="77">
        <f t="shared" si="45"/>
        <v>308362.77719999733</v>
      </c>
      <c r="K263" s="77">
        <f t="shared" si="45"/>
        <v>88941.369999999966</v>
      </c>
      <c r="L263" s="77">
        <f t="shared" si="45"/>
        <v>215840.14879999889</v>
      </c>
      <c r="M263" s="77">
        <f t="shared" si="45"/>
        <v>161021.46000000002</v>
      </c>
      <c r="N263" s="77">
        <f t="shared" si="45"/>
        <v>341174.47559999791</v>
      </c>
      <c r="O263" s="77">
        <f t="shared" si="45"/>
        <v>188428.17360000001</v>
      </c>
      <c r="P263" s="77">
        <f t="shared" si="45"/>
        <v>251237.75359999965</v>
      </c>
      <c r="Q263" s="77">
        <f t="shared" si="45"/>
        <v>150857.0624</v>
      </c>
      <c r="R263" s="77">
        <f t="shared" si="45"/>
        <v>268253.21520000009</v>
      </c>
      <c r="S263" s="77">
        <f t="shared" si="45"/>
        <v>234551.1607999999</v>
      </c>
      <c r="T263" s="77">
        <f t="shared" si="45"/>
        <v>460908.99519999459</v>
      </c>
      <c r="U263" s="77">
        <f t="shared" si="45"/>
        <v>122217.84280000004</v>
      </c>
      <c r="V263" s="77">
        <f t="shared" si="45"/>
        <v>261060.50319999899</v>
      </c>
      <c r="W263" s="77">
        <f t="shared" si="45"/>
        <v>190494.74199999997</v>
      </c>
      <c r="X263" s="77">
        <f t="shared" si="45"/>
        <v>298202.12399999902</v>
      </c>
      <c r="Y263" s="77">
        <f t="shared" si="45"/>
        <v>525986.92679999978</v>
      </c>
      <c r="Z263" s="77">
        <f t="shared" si="45"/>
        <v>590435.62520000222</v>
      </c>
      <c r="AA263" s="106">
        <f t="shared" si="45"/>
        <v>1815836.2839999998</v>
      </c>
      <c r="AB263" s="106">
        <f t="shared" si="45"/>
        <v>3771312.9931999873</v>
      </c>
      <c r="AD263" s="31">
        <f t="shared" si="38"/>
        <v>1815836.2839999998</v>
      </c>
      <c r="AE263" s="31">
        <f t="shared" si="39"/>
        <v>3771312.9931999873</v>
      </c>
      <c r="AF263" s="17">
        <f>AA263-AD263</f>
        <v>0</v>
      </c>
      <c r="AG263" s="17">
        <f>AB263-AE263</f>
        <v>0</v>
      </c>
      <c r="BA263" s="21"/>
    </row>
    <row r="264" spans="1:117" s="17" customFormat="1" ht="22" customHeight="1" x14ac:dyDescent="0.25">
      <c r="A264" s="79" t="s">
        <v>197</v>
      </c>
      <c r="B264" s="45">
        <v>23</v>
      </c>
      <c r="C264" s="77"/>
      <c r="D264" s="77">
        <v>28056</v>
      </c>
      <c r="E264" s="77"/>
      <c r="F264" s="77">
        <v>11236</v>
      </c>
      <c r="G264" s="77"/>
      <c r="H264" s="77">
        <v>3368</v>
      </c>
      <c r="I264" s="77"/>
      <c r="J264" s="77">
        <v>13351</v>
      </c>
      <c r="K264" s="77"/>
      <c r="L264" s="77">
        <v>15857</v>
      </c>
      <c r="M264" s="77"/>
      <c r="N264" s="77">
        <f>4236+6785+10469-11201+29661</f>
        <v>39950</v>
      </c>
      <c r="O264" s="77"/>
      <c r="P264" s="77">
        <f>-5416+8685</f>
        <v>3269</v>
      </c>
      <c r="Q264" s="77"/>
      <c r="R264" s="77">
        <f>-8685</f>
        <v>-8685</v>
      </c>
      <c r="S264" s="77"/>
      <c r="T264" s="77">
        <v>13008</v>
      </c>
      <c r="U264" s="77"/>
      <c r="V264" s="77">
        <f>-1348+659</f>
        <v>-689</v>
      </c>
      <c r="W264" s="77"/>
      <c r="X264" s="77">
        <f>5382</f>
        <v>5382</v>
      </c>
      <c r="Y264" s="77"/>
      <c r="Z264" s="77">
        <f>3559-38296+17887</f>
        <v>-16850</v>
      </c>
      <c r="AA264" s="51">
        <f>C264+E264+G264+I264+K264+M264+O264+Q264+S264+U264+W264+Y264</f>
        <v>0</v>
      </c>
      <c r="AB264" s="51">
        <f>D264+F264+H264+J264+L264+N264+P264+R264+T264+V264+X264+Z264</f>
        <v>107253</v>
      </c>
      <c r="AD264" s="31">
        <f t="shared" si="38"/>
        <v>0</v>
      </c>
      <c r="AE264" s="31">
        <f t="shared" si="39"/>
        <v>107253</v>
      </c>
      <c r="AF264" s="17">
        <f>AA264-AD264</f>
        <v>0</v>
      </c>
      <c r="AG264" s="17">
        <f>AB264-AE264</f>
        <v>0</v>
      </c>
      <c r="BA264" s="21"/>
    </row>
    <row r="265" spans="1:117" s="17" customFormat="1" ht="22" customHeight="1" x14ac:dyDescent="0.25">
      <c r="A265" s="81" t="s">
        <v>198</v>
      </c>
      <c r="B265" s="45">
        <v>24</v>
      </c>
      <c r="C265" s="77">
        <f t="shared" ref="C265:Z265" si="46">C263-C264</f>
        <v>-35998.905999999988</v>
      </c>
      <c r="D265" s="77">
        <f t="shared" si="46"/>
        <v>346737.67239999864</v>
      </c>
      <c r="E265" s="77">
        <f t="shared" si="46"/>
        <v>4922.0120000001189</v>
      </c>
      <c r="F265" s="77">
        <f t="shared" si="46"/>
        <v>198771.02559999959</v>
      </c>
      <c r="G265" s="77">
        <f t="shared" si="46"/>
        <v>68700.694000000003</v>
      </c>
      <c r="H265" s="77">
        <f t="shared" si="46"/>
        <v>187668.6772000005</v>
      </c>
      <c r="I265" s="77">
        <f t="shared" si="46"/>
        <v>115713.74559999979</v>
      </c>
      <c r="J265" s="77">
        <f t="shared" si="46"/>
        <v>295011.77719999733</v>
      </c>
      <c r="K265" s="77">
        <f t="shared" si="46"/>
        <v>88941.369999999966</v>
      </c>
      <c r="L265" s="77">
        <f t="shared" si="46"/>
        <v>199983.14879999889</v>
      </c>
      <c r="M265" s="77">
        <f t="shared" si="46"/>
        <v>161021.46000000002</v>
      </c>
      <c r="N265" s="77">
        <f t="shared" si="46"/>
        <v>301224.47559999791</v>
      </c>
      <c r="O265" s="77">
        <f t="shared" si="46"/>
        <v>188428.17360000001</v>
      </c>
      <c r="P265" s="77">
        <f t="shared" si="46"/>
        <v>247968.75359999965</v>
      </c>
      <c r="Q265" s="77">
        <f t="shared" si="46"/>
        <v>150857.0624</v>
      </c>
      <c r="R265" s="77">
        <f t="shared" si="46"/>
        <v>276938.21520000009</v>
      </c>
      <c r="S265" s="77">
        <f t="shared" si="46"/>
        <v>234551.1607999999</v>
      </c>
      <c r="T265" s="77">
        <f t="shared" si="46"/>
        <v>447900.99519999459</v>
      </c>
      <c r="U265" s="77">
        <f t="shared" si="46"/>
        <v>122217.84280000004</v>
      </c>
      <c r="V265" s="77">
        <f t="shared" si="46"/>
        <v>261749.50319999899</v>
      </c>
      <c r="W265" s="77">
        <f t="shared" si="46"/>
        <v>190494.74199999997</v>
      </c>
      <c r="X265" s="77">
        <f t="shared" si="46"/>
        <v>292820.12399999902</v>
      </c>
      <c r="Y265" s="77">
        <f t="shared" si="46"/>
        <v>525986.92679999978</v>
      </c>
      <c r="Z265" s="77">
        <f t="shared" si="46"/>
        <v>607285.62520000222</v>
      </c>
      <c r="AA265" s="47">
        <f>C265+E265+G265+I265+K265+M265+O265+Q265+S265+U265+W265+Y265</f>
        <v>1815836.2839999998</v>
      </c>
      <c r="AB265" s="47">
        <f>D265+F265+H265+J265+L265+N265+P265+R265+T265+V265+X265+Z265</f>
        <v>3664059.9931999873</v>
      </c>
      <c r="AD265" s="31">
        <f t="shared" si="38"/>
        <v>1815836.2839999998</v>
      </c>
      <c r="AE265" s="31">
        <f t="shared" si="39"/>
        <v>3664059.9931999873</v>
      </c>
      <c r="AF265" s="17">
        <f>AA265-AD265</f>
        <v>0</v>
      </c>
      <c r="AG265" s="17">
        <f>AB265-AE265</f>
        <v>0</v>
      </c>
      <c r="BA265" s="21"/>
    </row>
    <row r="266" spans="1:117" s="20" customFormat="1" ht="22" customHeight="1" x14ac:dyDescent="0.25">
      <c r="A266" s="82" t="s">
        <v>211</v>
      </c>
      <c r="B266" s="83"/>
      <c r="C266" s="84">
        <f t="shared" ref="C266:AB266" si="47">C263/C6</f>
        <v>-5.2514815463165554E-2</v>
      </c>
      <c r="D266" s="84">
        <f t="shared" si="47"/>
        <v>0.16262182843144982</v>
      </c>
      <c r="E266" s="84">
        <f t="shared" si="47"/>
        <v>6.027445505755717E-3</v>
      </c>
      <c r="F266" s="84">
        <f t="shared" si="47"/>
        <v>0.12603996864399475</v>
      </c>
      <c r="G266" s="84">
        <f t="shared" si="47"/>
        <v>4.6592535774838933E-2</v>
      </c>
      <c r="H266" s="84">
        <f t="shared" si="47"/>
        <v>0.12489323276676893</v>
      </c>
      <c r="I266" s="84">
        <f t="shared" si="47"/>
        <v>6.6867232360589307E-2</v>
      </c>
      <c r="J266" s="84">
        <f t="shared" si="47"/>
        <v>0.1085255233991944</v>
      </c>
      <c r="K266" s="84">
        <f t="shared" si="47"/>
        <v>5.9077628694785764E-2</v>
      </c>
      <c r="L266" s="84">
        <f t="shared" si="47"/>
        <v>0.10421590101307791</v>
      </c>
      <c r="M266" s="84">
        <f t="shared" si="47"/>
        <v>8.7702320261437913E-2</v>
      </c>
      <c r="N266" s="84">
        <f t="shared" si="47"/>
        <v>0.13091495588636132</v>
      </c>
      <c r="O266" s="84">
        <f t="shared" si="47"/>
        <v>9.6716629590658285E-2</v>
      </c>
      <c r="P266" s="84">
        <f t="shared" si="47"/>
        <v>0.10721363499083449</v>
      </c>
      <c r="Q266" s="84">
        <f t="shared" si="47"/>
        <v>7.7597748319070209E-2</v>
      </c>
      <c r="R266" s="84">
        <f t="shared" si="47"/>
        <v>0.12835129359217309</v>
      </c>
      <c r="S266" s="84">
        <f t="shared" si="47"/>
        <v>8.7771784819240833E-2</v>
      </c>
      <c r="T266" s="84">
        <f t="shared" si="47"/>
        <v>0.14491718409175189</v>
      </c>
      <c r="U266" s="84">
        <f t="shared" si="47"/>
        <v>6.880569889234496E-2</v>
      </c>
      <c r="V266" s="84">
        <f t="shared" si="47"/>
        <v>0.13109235664311197</v>
      </c>
      <c r="W266" s="84">
        <f t="shared" si="47"/>
        <v>9.3219839491069226E-2</v>
      </c>
      <c r="X266" s="84">
        <f t="shared" si="47"/>
        <v>0.1377266120097819</v>
      </c>
      <c r="Y266" s="84">
        <f t="shared" si="47"/>
        <v>0.13910306095166308</v>
      </c>
      <c r="Z266" s="84">
        <f t="shared" si="47"/>
        <v>0.16350275483430973</v>
      </c>
      <c r="AA266" s="107">
        <f t="shared" si="47"/>
        <v>8.174186571472622E-2</v>
      </c>
      <c r="AB266" s="107">
        <f t="shared" si="47"/>
        <v>0.13278975996091102</v>
      </c>
      <c r="AC266" s="61"/>
      <c r="AD266" s="61">
        <f>SUM(AD6,-AD16,-AD28,-AD29,-AD102,-AD176,-AD250,-AD251,-AD252,AD257,AD259,-AD260,-AD262)/AD6</f>
        <v>8.174186571472622E-2</v>
      </c>
      <c r="AE266" s="61">
        <f>SUM(AE6,-AE16,-AE28,-AE29,-AE102,-AE176,-AE250,-AE251,-AE252,AE257,AE259,-AE260,-AE262)/AE6</f>
        <v>0.13278975996091122</v>
      </c>
      <c r="AF266" s="17">
        <f>AA266-AD266</f>
        <v>0</v>
      </c>
      <c r="AG266" s="17">
        <f>AB266-AE266</f>
        <v>0</v>
      </c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61"/>
      <c r="AX266" s="61"/>
      <c r="AY266" s="61"/>
      <c r="AZ266" s="61"/>
      <c r="BA266" s="61"/>
      <c r="BB266" s="61"/>
      <c r="BC266" s="61"/>
      <c r="BD266" s="61"/>
      <c r="BE266" s="61"/>
      <c r="BF266" s="61"/>
      <c r="BG266" s="61"/>
      <c r="BH266" s="61"/>
      <c r="BI266" s="6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  <c r="BV266" s="61"/>
      <c r="BW266" s="61"/>
      <c r="BX266" s="61"/>
      <c r="BY266" s="61"/>
      <c r="BZ266" s="61"/>
      <c r="CA266" s="61"/>
      <c r="CB266" s="61"/>
      <c r="CC266" s="61"/>
      <c r="CD266" s="61"/>
      <c r="CE266" s="61"/>
      <c r="CF266" s="61"/>
      <c r="CG266" s="61"/>
      <c r="CH266" s="61"/>
      <c r="CI266" s="61"/>
      <c r="CJ266" s="61"/>
      <c r="CK266" s="61"/>
      <c r="CL266" s="61"/>
      <c r="CM266" s="61"/>
      <c r="CN266" s="61"/>
      <c r="CO266" s="61"/>
      <c r="CP266" s="61"/>
      <c r="CQ266" s="61"/>
      <c r="CR266" s="61"/>
      <c r="CS266" s="61"/>
      <c r="CT266" s="61"/>
      <c r="CU266" s="61"/>
      <c r="CV266" s="61"/>
      <c r="CW266" s="61"/>
      <c r="CX266" s="61"/>
      <c r="CY266" s="61"/>
      <c r="CZ266" s="61"/>
      <c r="DA266" s="61"/>
      <c r="DB266" s="61"/>
      <c r="DC266" s="61"/>
      <c r="DD266" s="61"/>
      <c r="DE266" s="61"/>
      <c r="DF266" s="61"/>
      <c r="DG266" s="61"/>
      <c r="DH266" s="61"/>
      <c r="DI266" s="61"/>
      <c r="DJ266" s="61"/>
      <c r="DK266" s="61"/>
      <c r="DL266" s="61"/>
      <c r="DM266" s="61"/>
    </row>
    <row r="267" spans="1:117" s="19" customFormat="1" ht="21" customHeight="1" x14ac:dyDescent="0.25">
      <c r="A267" s="82" t="s">
        <v>212</v>
      </c>
      <c r="B267" s="83"/>
      <c r="C267" s="84"/>
      <c r="D267" s="84">
        <f>D6/C6</f>
        <v>3.362063805689278</v>
      </c>
      <c r="E267" s="84"/>
      <c r="F267" s="84">
        <f>F6/E6</f>
        <v>2.0404039794268916</v>
      </c>
      <c r="G267" s="84"/>
      <c r="H267" s="84">
        <f>H6/G6</f>
        <v>1.0373685363173959</v>
      </c>
      <c r="I267" s="84"/>
      <c r="J267" s="84">
        <f>J6/I6</f>
        <v>1.6419444336318976</v>
      </c>
      <c r="K267" s="84"/>
      <c r="L267" s="84">
        <f>L6/K6</f>
        <v>1.3756801926270334</v>
      </c>
      <c r="M267" s="84"/>
      <c r="N267" s="84">
        <f>N6/M6</f>
        <v>1.4194320008714592</v>
      </c>
      <c r="O267" s="84"/>
      <c r="P267" s="84">
        <f>P6/O6</f>
        <v>1.202791072603618</v>
      </c>
      <c r="Q267" s="84"/>
      <c r="R267" s="84">
        <f>R6/Q6</f>
        <v>1.0750487503998787</v>
      </c>
      <c r="S267" s="84"/>
      <c r="T267" s="84">
        <f>T6/S6</f>
        <v>1.1901799793545906</v>
      </c>
      <c r="U267" s="84"/>
      <c r="V267" s="84">
        <f>V6/U6</f>
        <v>1.1211238629153701</v>
      </c>
      <c r="W267" s="84"/>
      <c r="X267" s="84">
        <f>X6/W6</f>
        <v>1.0595421206753115</v>
      </c>
      <c r="Y267" s="84"/>
      <c r="Z267" s="84">
        <f>Z6/Y6</f>
        <v>0.95501285159106408</v>
      </c>
      <c r="AA267" s="107"/>
      <c r="AB267" s="108">
        <f>AB6/AA6</f>
        <v>1.2784856201879193</v>
      </c>
      <c r="AD267" s="61"/>
      <c r="AE267" s="61">
        <f>AE6/AD6</f>
        <v>1.2784856201879193</v>
      </c>
      <c r="AF267" s="17"/>
      <c r="AG267" s="87">
        <f>AB267-AE267</f>
        <v>0</v>
      </c>
    </row>
    <row r="268" spans="1:117" s="19" customFormat="1" ht="21" customHeight="1" x14ac:dyDescent="0.25">
      <c r="A268" s="88" t="s">
        <v>201</v>
      </c>
      <c r="B268" s="89"/>
      <c r="C268" s="90"/>
      <c r="D268" s="90">
        <f>2-(D263/C263)</f>
        <v>12.411251730816453</v>
      </c>
      <c r="E268" s="90"/>
      <c r="F268" s="90">
        <f>F263/E263</f>
        <v>42.666906460202561</v>
      </c>
      <c r="G268" s="90"/>
      <c r="H268" s="90">
        <f>H263/G263</f>
        <v>2.7807095689601109</v>
      </c>
      <c r="I268" s="90"/>
      <c r="J268" s="90">
        <f>J263/I263</f>
        <v>2.66487594538637</v>
      </c>
      <c r="K268" s="90"/>
      <c r="L268" s="90">
        <f>L263/K263</f>
        <v>2.4267688793190274</v>
      </c>
      <c r="M268" s="90"/>
      <c r="N268" s="90">
        <f>N263/M263</f>
        <v>2.1188137009812098</v>
      </c>
      <c r="O268" s="90"/>
      <c r="P268" s="90">
        <f>P263/O263</f>
        <v>1.3333343353066371</v>
      </c>
      <c r="Q268" s="90"/>
      <c r="R268" s="90">
        <f>R263/Q263</f>
        <v>1.7781946097340955</v>
      </c>
      <c r="S268" s="90"/>
      <c r="T268" s="90">
        <f>T263/S263</f>
        <v>1.9650680628820609</v>
      </c>
      <c r="U268" s="90"/>
      <c r="V268" s="90">
        <f>V263/U263</f>
        <v>2.1360261089471537</v>
      </c>
      <c r="W268" s="90"/>
      <c r="X268" s="90">
        <f>X263/W263</f>
        <v>1.5654086872381971</v>
      </c>
      <c r="Y268" s="90"/>
      <c r="Z268" s="90">
        <f>Z263/Y263</f>
        <v>1.1225290879225756</v>
      </c>
      <c r="AA268" s="109"/>
      <c r="AB268" s="110">
        <f>AB263/AA263</f>
        <v>2.0769014400859875</v>
      </c>
      <c r="AD268" s="61"/>
      <c r="AE268" s="66">
        <f>ROUND(AE263/AD263,4)</f>
        <v>2.0769000000000002</v>
      </c>
      <c r="AF268" s="17"/>
      <c r="AG268" s="87"/>
    </row>
    <row r="269" spans="1:117" s="19" customFormat="1" ht="27" customHeight="1" x14ac:dyDescent="0.25">
      <c r="A269" s="203"/>
      <c r="B269" s="203"/>
      <c r="C269" s="203"/>
      <c r="D269" s="203"/>
      <c r="E269" s="203"/>
      <c r="F269" s="203"/>
      <c r="G269" s="203"/>
      <c r="H269" s="203"/>
      <c r="I269" s="203"/>
      <c r="J269" s="203"/>
      <c r="K269" s="203"/>
      <c r="L269" s="203"/>
      <c r="M269" s="203"/>
      <c r="N269" s="203"/>
      <c r="O269" s="203"/>
      <c r="P269" s="203"/>
      <c r="Q269" s="203"/>
      <c r="R269" s="203"/>
      <c r="S269" s="203"/>
      <c r="T269" s="203"/>
      <c r="U269" s="203"/>
      <c r="V269" s="203"/>
      <c r="W269" s="203"/>
      <c r="X269" s="203"/>
      <c r="Y269" s="203"/>
      <c r="Z269" s="203"/>
      <c r="AA269" s="203"/>
      <c r="AB269" s="203"/>
      <c r="AD269" s="22"/>
      <c r="AE269" s="22"/>
      <c r="AF269" s="22"/>
      <c r="AG269" s="22"/>
    </row>
    <row r="270" spans="1:117" s="19" customFormat="1" ht="84" customHeight="1" x14ac:dyDescent="0.25">
      <c r="A270" s="93" t="s">
        <v>72</v>
      </c>
      <c r="B270" s="204" t="str">
        <f>索引!C7</f>
        <v>1、营业收入的取数来源为2025年1-12月销售明细表中的金额-2025年1-12月客户计提返利的金额；
2、营业成本的取数来源为2025年1-12月销售明细表中销售结算成本+运费核对表中的运费+销售的原材料的成本；
3、税金及附加核算的是城建税、教育费附加、印花税，城建和教育费附加为当月收入的0.85%，印花税为收入的0.03%；
4、销售费用为分部人员的费用及后台职能协助挂到分部的费用（如有）；
5、所得税与所得税分摊表中数据一致。</v>
      </c>
      <c r="C270" s="204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  <c r="AA270" s="204"/>
      <c r="AB270" s="204"/>
      <c r="AD270" s="22"/>
      <c r="AE270" s="22"/>
      <c r="AF270" s="22"/>
      <c r="AG270" s="22"/>
    </row>
    <row r="271" spans="1:117" s="19" customFormat="1" ht="21" customHeight="1" x14ac:dyDescent="0.25">
      <c r="B271" s="94"/>
      <c r="C271" s="94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D271" s="22"/>
      <c r="AE271" s="22"/>
      <c r="AF271" s="22"/>
      <c r="AG271" s="22"/>
    </row>
    <row r="272" spans="1:117" s="19" customFormat="1" ht="21" customHeight="1" x14ac:dyDescent="0.25">
      <c r="B272" s="94"/>
      <c r="C272" s="94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D272" s="22"/>
      <c r="AE272" s="22"/>
      <c r="AF272" s="22"/>
      <c r="AG272" s="22"/>
    </row>
    <row r="273" spans="2:33" s="19" customFormat="1" ht="21" customHeight="1" x14ac:dyDescent="0.25">
      <c r="B273" s="94"/>
      <c r="C273" s="94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D273" s="22"/>
      <c r="AE273" s="22"/>
      <c r="AF273" s="22"/>
      <c r="AG273" s="22"/>
    </row>
    <row r="274" spans="2:33" s="19" customFormat="1" ht="21" customHeight="1" x14ac:dyDescent="0.25">
      <c r="B274" s="94"/>
      <c r="C274" s="94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D274" s="22"/>
      <c r="AE274" s="22"/>
      <c r="AF274" s="22"/>
      <c r="AG274" s="22"/>
    </row>
    <row r="275" spans="2:33" s="19" customFormat="1" ht="21" customHeight="1" x14ac:dyDescent="0.25">
      <c r="B275" s="94"/>
      <c r="C275" s="94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D275" s="22"/>
      <c r="AE275" s="22"/>
      <c r="AF275" s="22"/>
      <c r="AG275" s="22"/>
    </row>
    <row r="276" spans="2:33" s="19" customFormat="1" ht="21" customHeight="1" x14ac:dyDescent="0.25">
      <c r="B276" s="94"/>
      <c r="C276" s="94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D276" s="22"/>
      <c r="AE276" s="22"/>
      <c r="AF276" s="22"/>
      <c r="AG276" s="22"/>
    </row>
    <row r="277" spans="2:33" s="19" customFormat="1" ht="21" customHeight="1" x14ac:dyDescent="0.25">
      <c r="B277" s="94"/>
      <c r="C277" s="94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D277" s="22"/>
      <c r="AE277" s="22"/>
      <c r="AF277" s="22"/>
      <c r="AG277" s="22"/>
    </row>
    <row r="278" spans="2:33" s="19" customFormat="1" ht="21" customHeight="1" x14ac:dyDescent="0.25">
      <c r="B278" s="94"/>
      <c r="C278" s="94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D278" s="22"/>
      <c r="AE278" s="22"/>
      <c r="AF278" s="22"/>
      <c r="AG278" s="22"/>
    </row>
    <row r="279" spans="2:33" s="19" customFormat="1" ht="21" customHeight="1" x14ac:dyDescent="0.25">
      <c r="B279" s="94"/>
      <c r="C279" s="94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D279" s="22"/>
      <c r="AE279" s="22"/>
      <c r="AF279" s="22"/>
      <c r="AG279" s="22"/>
    </row>
    <row r="280" spans="2:33" s="19" customFormat="1" ht="21" customHeight="1" x14ac:dyDescent="0.25">
      <c r="B280" s="94"/>
      <c r="C280" s="94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D280" s="22"/>
      <c r="AE280" s="22"/>
      <c r="AF280" s="22"/>
      <c r="AG280" s="22"/>
    </row>
    <row r="281" spans="2:33" s="19" customFormat="1" ht="21" customHeight="1" x14ac:dyDescent="0.25">
      <c r="B281" s="94"/>
      <c r="C281" s="94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D281" s="22"/>
      <c r="AE281" s="22"/>
      <c r="AF281" s="22"/>
      <c r="AG281" s="22"/>
    </row>
    <row r="282" spans="2:33" s="19" customFormat="1" ht="21" customHeight="1" x14ac:dyDescent="0.25">
      <c r="B282" s="94"/>
      <c r="C282" s="94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D282" s="22"/>
      <c r="AE282" s="22"/>
      <c r="AF282" s="22"/>
      <c r="AG282" s="22"/>
    </row>
    <row r="283" spans="2:33" s="19" customFormat="1" ht="21" customHeight="1" x14ac:dyDescent="0.25">
      <c r="B283" s="94"/>
      <c r="C283" s="94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D283" s="22"/>
      <c r="AE283" s="22"/>
      <c r="AF283" s="22"/>
      <c r="AG283" s="22"/>
    </row>
    <row r="284" spans="2:33" s="19" customFormat="1" ht="21" customHeight="1" x14ac:dyDescent="0.25">
      <c r="B284" s="94"/>
      <c r="C284" s="94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D284" s="22"/>
      <c r="AE284" s="22"/>
      <c r="AF284" s="22"/>
      <c r="AG284" s="22"/>
    </row>
    <row r="285" spans="2:33" s="19" customFormat="1" ht="21" customHeight="1" x14ac:dyDescent="0.25">
      <c r="B285" s="94"/>
      <c r="C285" s="94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D285" s="22"/>
      <c r="AE285" s="22"/>
      <c r="AF285" s="22"/>
      <c r="AG285" s="22"/>
    </row>
    <row r="286" spans="2:33" s="19" customFormat="1" ht="21" customHeight="1" x14ac:dyDescent="0.25">
      <c r="B286" s="94"/>
      <c r="C286" s="94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D286" s="22"/>
      <c r="AE286" s="22"/>
      <c r="AF286" s="22"/>
      <c r="AG286" s="22"/>
    </row>
  </sheetData>
  <autoFilter ref="C5:AB270" xr:uid="{00000000-0009-0000-0000-000005000000}"/>
  <mergeCells count="20">
    <mergeCell ref="AD4:AE4"/>
    <mergeCell ref="AF4:AG4"/>
    <mergeCell ref="A269:AB269"/>
    <mergeCell ref="B270:AB270"/>
    <mergeCell ref="A4:A5"/>
    <mergeCell ref="B4:B5"/>
    <mergeCell ref="A1:AB1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</mergeCells>
  <phoneticPr fontId="40" type="noConversion"/>
  <hyperlinks>
    <hyperlink ref="A1" location="'索引'!A1" tooltip="返回索引" display="江苏分部利润表 " xr:uid="{00000000-0004-0000-0500-000000000000}"/>
  </hyperlinks>
  <pageMargins left="0.27916666666666701" right="0.156944444444444" top="0.27500000000000002" bottom="0.27500000000000002" header="0.196527777777778" footer="0.118055555555556"/>
  <pageSetup paperSize="9" scale="36" orientation="landscape" r:id="rId1"/>
  <headerFooter>
    <oddFooter>&amp;C第 &amp;P 页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O286"/>
  <sheetViews>
    <sheetView showZeros="0" view="pageBreakPreview" zoomScale="85" zoomScaleNormal="100" workbookViewId="0">
      <pane xSplit="2" ySplit="5" topLeftCell="Q6" activePane="bottomRight" state="frozen"/>
      <selection activeCell="A269" sqref="A269:AB269"/>
      <selection pane="topRight" activeCell="A269" sqref="A269:AB269"/>
      <selection pane="bottomLeft" activeCell="A269" sqref="A269:AB269"/>
      <selection pane="bottomRight" activeCell="A269" sqref="A269:AB269"/>
    </sheetView>
  </sheetViews>
  <sheetFormatPr defaultColWidth="8.6640625" defaultRowHeight="21" customHeight="1" outlineLevelRow="2" outlineLevelCol="1" x14ac:dyDescent="0.25"/>
  <cols>
    <col min="1" max="1" width="20.08203125" style="22" customWidth="1"/>
    <col min="2" max="2" width="5.58203125" style="23" customWidth="1"/>
    <col min="3" max="3" width="13.1640625" style="23" customWidth="1"/>
    <col min="4" max="5" width="12.83203125" style="98" customWidth="1"/>
    <col min="6" max="10" width="13.25" style="98" customWidth="1"/>
    <col min="11" max="11" width="13.33203125" style="98" customWidth="1"/>
    <col min="12" max="12" width="12" style="98" customWidth="1"/>
    <col min="13" max="25" width="12.83203125" style="98" customWidth="1"/>
    <col min="26" max="26" width="12" style="98" customWidth="1"/>
    <col min="27" max="27" width="13.08203125" style="98" customWidth="1"/>
    <col min="28" max="28" width="14.58203125" style="22" customWidth="1"/>
    <col min="29" max="29" width="16.33203125" style="22" customWidth="1"/>
    <col min="30" max="30" width="22.33203125" style="22" hidden="1" customWidth="1" outlineLevel="1"/>
    <col min="31" max="31" width="15.75" style="22" hidden="1" customWidth="1" outlineLevel="1"/>
    <col min="32" max="32" width="15" style="22" hidden="1" customWidth="1" outlineLevel="1"/>
    <col min="33" max="33" width="13.08203125" style="22" hidden="1" customWidth="1" outlineLevel="1"/>
    <col min="34" max="34" width="8.6640625" style="22" customWidth="1" collapsed="1"/>
    <col min="35" max="54" width="8.6640625" style="22" customWidth="1"/>
    <col min="55" max="55" width="15.25" style="22" customWidth="1"/>
    <col min="56" max="56" width="8.6640625" style="22"/>
    <col min="57" max="57" width="14.33203125" style="22"/>
    <col min="58" max="16384" width="8.6640625" style="22"/>
  </cols>
  <sheetData>
    <row r="1" spans="1:119" s="16" customFormat="1" ht="28" customHeight="1" x14ac:dyDescent="0.25">
      <c r="A1" s="189" t="s">
        <v>214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</row>
    <row r="2" spans="1:119" s="16" customFormat="1" ht="21" customHeight="1" x14ac:dyDescent="0.25">
      <c r="A2" s="26">
        <v>46021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9" t="s">
        <v>203</v>
      </c>
    </row>
    <row r="3" spans="1:119" s="17" customFormat="1" ht="22" customHeight="1" x14ac:dyDescent="0.25">
      <c r="A3" s="30" t="s">
        <v>204</v>
      </c>
      <c r="B3" s="31"/>
      <c r="C3" s="31"/>
      <c r="AA3" s="99"/>
      <c r="AB3" s="29" t="s">
        <v>205</v>
      </c>
      <c r="AC3" s="27"/>
    </row>
    <row r="4" spans="1:119" s="17" customFormat="1" ht="24" customHeight="1" x14ac:dyDescent="0.25">
      <c r="A4" s="200" t="s">
        <v>206</v>
      </c>
      <c r="B4" s="200" t="s">
        <v>207</v>
      </c>
      <c r="C4" s="193">
        <v>45658</v>
      </c>
      <c r="D4" s="193"/>
      <c r="E4" s="193">
        <v>45689</v>
      </c>
      <c r="F4" s="193"/>
      <c r="G4" s="193">
        <v>45717</v>
      </c>
      <c r="H4" s="193"/>
      <c r="I4" s="193">
        <v>45748</v>
      </c>
      <c r="J4" s="193"/>
      <c r="K4" s="193">
        <v>45778</v>
      </c>
      <c r="L4" s="193"/>
      <c r="M4" s="193">
        <v>45809</v>
      </c>
      <c r="N4" s="193"/>
      <c r="O4" s="193">
        <v>45839</v>
      </c>
      <c r="P4" s="193"/>
      <c r="Q4" s="193">
        <v>45870</v>
      </c>
      <c r="R4" s="193"/>
      <c r="S4" s="193">
        <v>45901</v>
      </c>
      <c r="T4" s="193"/>
      <c r="U4" s="193">
        <v>45931</v>
      </c>
      <c r="V4" s="193"/>
      <c r="W4" s="193">
        <v>45962</v>
      </c>
      <c r="X4" s="193"/>
      <c r="Y4" s="193">
        <v>45992</v>
      </c>
      <c r="Z4" s="193"/>
      <c r="AA4" s="194" t="s">
        <v>79</v>
      </c>
      <c r="AB4" s="194"/>
      <c r="AD4" s="195" t="s">
        <v>80</v>
      </c>
      <c r="AE4" s="195"/>
      <c r="AF4" s="196" t="s">
        <v>81</v>
      </c>
      <c r="AG4" s="195"/>
    </row>
    <row r="5" spans="1:119" s="18" customFormat="1" ht="24" customHeight="1" x14ac:dyDescent="0.25">
      <c r="A5" s="201"/>
      <c r="B5" s="201"/>
      <c r="C5" s="37" t="s">
        <v>84</v>
      </c>
      <c r="D5" s="38" t="s">
        <v>85</v>
      </c>
      <c r="E5" s="37" t="s">
        <v>84</v>
      </c>
      <c r="F5" s="38" t="s">
        <v>85</v>
      </c>
      <c r="G5" s="37" t="s">
        <v>84</v>
      </c>
      <c r="H5" s="38" t="s">
        <v>85</v>
      </c>
      <c r="I5" s="37" t="s">
        <v>84</v>
      </c>
      <c r="J5" s="38" t="s">
        <v>85</v>
      </c>
      <c r="K5" s="37" t="s">
        <v>84</v>
      </c>
      <c r="L5" s="38" t="s">
        <v>85</v>
      </c>
      <c r="M5" s="37" t="s">
        <v>84</v>
      </c>
      <c r="N5" s="38" t="s">
        <v>85</v>
      </c>
      <c r="O5" s="37" t="s">
        <v>84</v>
      </c>
      <c r="P5" s="38" t="s">
        <v>85</v>
      </c>
      <c r="Q5" s="37" t="s">
        <v>84</v>
      </c>
      <c r="R5" s="38" t="s">
        <v>85</v>
      </c>
      <c r="S5" s="37" t="s">
        <v>84</v>
      </c>
      <c r="T5" s="38" t="s">
        <v>85</v>
      </c>
      <c r="U5" s="37" t="s">
        <v>84</v>
      </c>
      <c r="V5" s="38" t="s">
        <v>85</v>
      </c>
      <c r="W5" s="37" t="s">
        <v>84</v>
      </c>
      <c r="X5" s="38" t="s">
        <v>85</v>
      </c>
      <c r="Y5" s="37" t="s">
        <v>84</v>
      </c>
      <c r="Z5" s="38" t="s">
        <v>85</v>
      </c>
      <c r="AA5" s="39" t="s">
        <v>84</v>
      </c>
      <c r="AB5" s="40" t="s">
        <v>208</v>
      </c>
      <c r="AD5" s="41" t="s">
        <v>84</v>
      </c>
      <c r="AE5" s="42" t="s">
        <v>85</v>
      </c>
      <c r="AF5" s="41" t="s">
        <v>84</v>
      </c>
      <c r="AG5" s="42" t="s">
        <v>85</v>
      </c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</row>
    <row r="6" spans="1:119" s="17" customFormat="1" ht="18" customHeight="1" x14ac:dyDescent="0.25">
      <c r="A6" s="44" t="s">
        <v>209</v>
      </c>
      <c r="B6" s="45" t="s">
        <v>88</v>
      </c>
      <c r="C6" s="46">
        <f t="shared" ref="C6:Z6" si="0">SUM(C7:C13,C15,-C14)</f>
        <v>1350000</v>
      </c>
      <c r="D6" s="46">
        <f t="shared" si="0"/>
        <v>2834280.8711999999</v>
      </c>
      <c r="E6" s="46">
        <f t="shared" si="0"/>
        <v>1450000</v>
      </c>
      <c r="F6" s="46">
        <f t="shared" si="0"/>
        <v>1525913.7156000002</v>
      </c>
      <c r="G6" s="46">
        <f t="shared" si="0"/>
        <v>2550000</v>
      </c>
      <c r="H6" s="46">
        <f t="shared" si="0"/>
        <v>2030622.9768000001</v>
      </c>
      <c r="I6" s="46">
        <f t="shared" si="0"/>
        <v>2550000</v>
      </c>
      <c r="J6" s="46">
        <f t="shared" si="0"/>
        <v>2478134.2715999992</v>
      </c>
      <c r="K6" s="46">
        <f t="shared" si="0"/>
        <v>2750000</v>
      </c>
      <c r="L6" s="46">
        <f t="shared" si="0"/>
        <v>2181763.9827999999</v>
      </c>
      <c r="M6" s="46">
        <f t="shared" si="0"/>
        <v>2850000</v>
      </c>
      <c r="N6" s="46">
        <f t="shared" si="0"/>
        <v>2540161.9539999999</v>
      </c>
      <c r="O6" s="46">
        <f t="shared" si="0"/>
        <v>2194950</v>
      </c>
      <c r="P6" s="46">
        <f t="shared" si="0"/>
        <v>2153150.8412000001</v>
      </c>
      <c r="Q6" s="46">
        <f t="shared" si="0"/>
        <v>3059696.02</v>
      </c>
      <c r="R6" s="46">
        <f t="shared" si="0"/>
        <v>3020394.7952000005</v>
      </c>
      <c r="S6" s="46">
        <f t="shared" si="0"/>
        <v>3664703.98</v>
      </c>
      <c r="T6" s="46">
        <f t="shared" si="0"/>
        <v>3721151.4176000003</v>
      </c>
      <c r="U6" s="46">
        <f t="shared" si="0"/>
        <v>2686850</v>
      </c>
      <c r="V6" s="46">
        <f t="shared" si="0"/>
        <v>2340233.5716000004</v>
      </c>
      <c r="W6" s="46">
        <f t="shared" si="0"/>
        <v>2979000</v>
      </c>
      <c r="X6" s="46">
        <f t="shared" si="0"/>
        <v>2814572.6739999992</v>
      </c>
      <c r="Y6" s="46">
        <f t="shared" si="0"/>
        <v>5599350</v>
      </c>
      <c r="Z6" s="46">
        <f t="shared" si="0"/>
        <v>4295169.2360000005</v>
      </c>
      <c r="AA6" s="47">
        <f t="shared" ref="AA6:AA26" si="1">C6+E6+G6+I6+K6+M6+O6+Q6+S6+U6+W6+Y6</f>
        <v>33684550</v>
      </c>
      <c r="AB6" s="47">
        <f t="shared" ref="AB6:AB26" si="2">D6+F6+H6+J6+L6+N6+P6+R6+T6+V6+X6+Z6</f>
        <v>31935550.307599999</v>
      </c>
      <c r="AD6" s="31">
        <f t="shared" ref="AD6:AD26" si="3">SUMIF($C$5:$Z$5,$AD$5,C6:Z6)</f>
        <v>33684550</v>
      </c>
      <c r="AE6" s="31">
        <f t="shared" ref="AE6:AE26" si="4">SUMIF($C$5:$Z$5,$AD$5,D6:AA6)</f>
        <v>31935550.307599999</v>
      </c>
      <c r="AF6" s="17">
        <f t="shared" ref="AF6:AF25" si="5">AA6-AD6</f>
        <v>0</v>
      </c>
      <c r="AG6" s="17">
        <f t="shared" ref="AG6:AG25" si="6">AB6-AE6</f>
        <v>0</v>
      </c>
      <c r="BC6" s="21"/>
    </row>
    <row r="7" spans="1:119" s="17" customFormat="1" ht="18" customHeight="1" outlineLevel="1" x14ac:dyDescent="0.25">
      <c r="A7" s="48" t="s">
        <v>89</v>
      </c>
      <c r="B7" s="45"/>
      <c r="C7" s="64">
        <v>0</v>
      </c>
      <c r="D7" s="50">
        <v>621298.69559999998</v>
      </c>
      <c r="E7" s="50">
        <v>0</v>
      </c>
      <c r="F7" s="50">
        <v>257359.18320000003</v>
      </c>
      <c r="G7" s="50">
        <v>0</v>
      </c>
      <c r="H7" s="50">
        <v>442434.4632</v>
      </c>
      <c r="I7" s="50">
        <v>0</v>
      </c>
      <c r="J7" s="50">
        <v>628833.14279999898</v>
      </c>
      <c r="K7" s="50">
        <v>0</v>
      </c>
      <c r="L7" s="50">
        <v>493124.23080000002</v>
      </c>
      <c r="M7" s="50">
        <v>0</v>
      </c>
      <c r="N7" s="50">
        <v>558985.50360000005</v>
      </c>
      <c r="O7" s="50">
        <v>0</v>
      </c>
      <c r="P7" s="50">
        <v>454487.00400000002</v>
      </c>
      <c r="Q7" s="50">
        <v>0</v>
      </c>
      <c r="R7" s="50">
        <v>638443.39320000005</v>
      </c>
      <c r="S7" s="50">
        <v>0</v>
      </c>
      <c r="T7" s="50">
        <v>877508.33759999997</v>
      </c>
      <c r="U7" s="50">
        <v>0</v>
      </c>
      <c r="V7" s="50">
        <v>475403.15880000003</v>
      </c>
      <c r="W7" s="50">
        <v>0</v>
      </c>
      <c r="X7" s="50">
        <v>606526.21799999999</v>
      </c>
      <c r="Y7" s="50">
        <v>0</v>
      </c>
      <c r="Z7" s="50">
        <v>1178012.1600000001</v>
      </c>
      <c r="AA7" s="51">
        <f t="shared" si="1"/>
        <v>0</v>
      </c>
      <c r="AB7" s="51">
        <f t="shared" si="2"/>
        <v>7232415.4908000007</v>
      </c>
      <c r="AC7" s="17">
        <v>1.08</v>
      </c>
      <c r="AD7" s="31">
        <f t="shared" si="3"/>
        <v>0</v>
      </c>
      <c r="AE7" s="31">
        <f t="shared" si="4"/>
        <v>7232415.4908000007</v>
      </c>
      <c r="AF7" s="17">
        <f t="shared" si="5"/>
        <v>0</v>
      </c>
      <c r="AG7" s="17">
        <f t="shared" si="6"/>
        <v>0</v>
      </c>
      <c r="BC7" s="21"/>
    </row>
    <row r="8" spans="1:119" s="17" customFormat="1" ht="18" customHeight="1" outlineLevel="1" x14ac:dyDescent="0.25">
      <c r="A8" s="48" t="s">
        <v>90</v>
      </c>
      <c r="B8" s="45"/>
      <c r="C8" s="64">
        <v>0</v>
      </c>
      <c r="D8" s="50">
        <v>850515.2496000001</v>
      </c>
      <c r="E8" s="50">
        <v>0</v>
      </c>
      <c r="F8" s="50">
        <v>778091.09759999998</v>
      </c>
      <c r="G8" s="50">
        <v>0</v>
      </c>
      <c r="H8" s="50">
        <v>914792.85360000015</v>
      </c>
      <c r="I8" s="50">
        <v>0</v>
      </c>
      <c r="J8" s="50">
        <v>783126.16559999995</v>
      </c>
      <c r="K8" s="50">
        <v>0</v>
      </c>
      <c r="L8" s="50">
        <v>702299.52720000001</v>
      </c>
      <c r="M8" s="50">
        <v>0</v>
      </c>
      <c r="N8" s="50">
        <v>1075165.0128000001</v>
      </c>
      <c r="O8" s="50">
        <v>0</v>
      </c>
      <c r="P8" s="50">
        <v>441708.01200000005</v>
      </c>
      <c r="Q8" s="50">
        <v>0</v>
      </c>
      <c r="R8" s="50">
        <v>911105.80920000002</v>
      </c>
      <c r="S8" s="50">
        <v>0</v>
      </c>
      <c r="T8" s="50">
        <v>1502966.3724000002</v>
      </c>
      <c r="U8" s="50">
        <v>0</v>
      </c>
      <c r="V8" s="50">
        <v>919341.99719999998</v>
      </c>
      <c r="W8" s="50">
        <v>0</v>
      </c>
      <c r="X8" s="50">
        <v>1080210.5784</v>
      </c>
      <c r="Y8" s="50">
        <v>0</v>
      </c>
      <c r="Z8" s="50">
        <v>1147110.5088000002</v>
      </c>
      <c r="AA8" s="51">
        <f t="shared" si="1"/>
        <v>0</v>
      </c>
      <c r="AB8" s="51">
        <f t="shared" si="2"/>
        <v>11106433.1844</v>
      </c>
      <c r="AD8" s="31">
        <f t="shared" si="3"/>
        <v>0</v>
      </c>
      <c r="AE8" s="31">
        <f t="shared" si="4"/>
        <v>11106433.1844</v>
      </c>
      <c r="AF8" s="17">
        <f t="shared" si="5"/>
        <v>0</v>
      </c>
      <c r="AG8" s="17">
        <f t="shared" si="6"/>
        <v>0</v>
      </c>
      <c r="BC8" s="21"/>
    </row>
    <row r="9" spans="1:119" s="17" customFormat="1" ht="18" customHeight="1" outlineLevel="1" x14ac:dyDescent="0.25">
      <c r="A9" s="48" t="s">
        <v>91</v>
      </c>
      <c r="B9" s="45"/>
      <c r="C9" s="64">
        <v>0</v>
      </c>
      <c r="D9" s="50">
        <v>1066205.8188</v>
      </c>
      <c r="E9" s="50">
        <v>0</v>
      </c>
      <c r="F9" s="50">
        <v>439343.68680000002</v>
      </c>
      <c r="G9" s="50">
        <v>0</v>
      </c>
      <c r="H9" s="50">
        <v>609218.4852</v>
      </c>
      <c r="I9" s="50">
        <v>0</v>
      </c>
      <c r="J9" s="50">
        <v>777269.71440000006</v>
      </c>
      <c r="K9" s="50">
        <v>0</v>
      </c>
      <c r="L9" s="50">
        <v>841585.64760000003</v>
      </c>
      <c r="M9" s="50">
        <v>0</v>
      </c>
      <c r="N9" s="50">
        <v>735762.08519999997</v>
      </c>
      <c r="O9" s="50">
        <v>0</v>
      </c>
      <c r="P9" s="50">
        <v>1045131.1740000001</v>
      </c>
      <c r="Q9" s="50">
        <v>0</v>
      </c>
      <c r="R9" s="50">
        <v>1228876.7796000002</v>
      </c>
      <c r="S9" s="50">
        <v>0</v>
      </c>
      <c r="T9" s="50">
        <v>992855.4264</v>
      </c>
      <c r="U9" s="50">
        <v>0</v>
      </c>
      <c r="V9" s="50">
        <v>661257.83160000003</v>
      </c>
      <c r="W9" s="50">
        <v>0</v>
      </c>
      <c r="X9" s="50">
        <v>1045864.7963999991</v>
      </c>
      <c r="Y9" s="50">
        <v>0</v>
      </c>
      <c r="Z9" s="50">
        <v>1869699.6396000003</v>
      </c>
      <c r="AA9" s="51">
        <f t="shared" si="1"/>
        <v>0</v>
      </c>
      <c r="AB9" s="51">
        <f t="shared" si="2"/>
        <v>11313071.0856</v>
      </c>
      <c r="AD9" s="31">
        <f t="shared" si="3"/>
        <v>0</v>
      </c>
      <c r="AE9" s="31">
        <f t="shared" si="4"/>
        <v>11313071.0856</v>
      </c>
      <c r="AF9" s="17">
        <f t="shared" si="5"/>
        <v>0</v>
      </c>
      <c r="AG9" s="17">
        <f t="shared" si="6"/>
        <v>0</v>
      </c>
      <c r="BC9" s="21"/>
    </row>
    <row r="10" spans="1:119" s="17" customFormat="1" ht="18" customHeight="1" outlineLevel="1" x14ac:dyDescent="0.25">
      <c r="A10" s="48" t="s">
        <v>92</v>
      </c>
      <c r="B10" s="45"/>
      <c r="C10" s="64">
        <v>0</v>
      </c>
      <c r="D10" s="50">
        <v>220770.70560000002</v>
      </c>
      <c r="E10" s="50">
        <v>0</v>
      </c>
      <c r="F10" s="50">
        <v>40727.966400000005</v>
      </c>
      <c r="G10" s="50">
        <v>0</v>
      </c>
      <c r="H10" s="50">
        <v>19987.063200000001</v>
      </c>
      <c r="I10" s="50">
        <v>0</v>
      </c>
      <c r="J10" s="50">
        <v>190451.43360000002</v>
      </c>
      <c r="K10" s="50">
        <v>0</v>
      </c>
      <c r="L10" s="50">
        <v>105236.33400000002</v>
      </c>
      <c r="M10" s="50">
        <v>0</v>
      </c>
      <c r="N10" s="50">
        <v>86916.337200000009</v>
      </c>
      <c r="O10" s="50">
        <v>0</v>
      </c>
      <c r="P10" s="50">
        <v>121280.66280000001</v>
      </c>
      <c r="Q10" s="50">
        <v>0</v>
      </c>
      <c r="R10" s="50">
        <v>208323.39240000001</v>
      </c>
      <c r="S10" s="50">
        <v>0</v>
      </c>
      <c r="T10" s="50">
        <v>178484.79600000003</v>
      </c>
      <c r="U10" s="50">
        <v>0</v>
      </c>
      <c r="V10" s="50">
        <v>180640.98360000004</v>
      </c>
      <c r="W10" s="50">
        <v>0</v>
      </c>
      <c r="X10" s="50">
        <v>83952.180000000008</v>
      </c>
      <c r="Y10" s="50">
        <v>0</v>
      </c>
      <c r="Z10" s="50">
        <v>99828.806400000001</v>
      </c>
      <c r="AA10" s="51">
        <f t="shared" si="1"/>
        <v>0</v>
      </c>
      <c r="AB10" s="51">
        <f t="shared" si="2"/>
        <v>1536600.6612</v>
      </c>
      <c r="AD10" s="31">
        <f t="shared" si="3"/>
        <v>0</v>
      </c>
      <c r="AE10" s="31">
        <f t="shared" si="4"/>
        <v>1536600.6612</v>
      </c>
      <c r="AF10" s="17">
        <f t="shared" si="5"/>
        <v>0</v>
      </c>
      <c r="AG10" s="17">
        <f t="shared" si="6"/>
        <v>0</v>
      </c>
      <c r="BC10" s="21"/>
    </row>
    <row r="11" spans="1:119" s="17" customFormat="1" ht="18" customHeight="1" outlineLevel="1" x14ac:dyDescent="0.25">
      <c r="A11" s="48" t="s">
        <v>93</v>
      </c>
      <c r="B11" s="45"/>
      <c r="C11" s="64">
        <v>0</v>
      </c>
      <c r="D11" s="50">
        <v>75115.749600000112</v>
      </c>
      <c r="E11" s="50">
        <v>0</v>
      </c>
      <c r="F11" s="50">
        <v>10391.781600000033</v>
      </c>
      <c r="G11" s="50">
        <v>0</v>
      </c>
      <c r="H11" s="50">
        <v>44190.111599999997</v>
      </c>
      <c r="I11" s="50">
        <v>0</v>
      </c>
      <c r="J11" s="50">
        <v>98453.815200000012</v>
      </c>
      <c r="K11" s="50">
        <v>0</v>
      </c>
      <c r="L11" s="50">
        <v>42019.603200000005</v>
      </c>
      <c r="M11" s="50">
        <v>0</v>
      </c>
      <c r="N11" s="50">
        <v>84019.615200000015</v>
      </c>
      <c r="O11" s="50">
        <v>0</v>
      </c>
      <c r="P11" s="50">
        <v>99085.118400000007</v>
      </c>
      <c r="Q11" s="50">
        <v>0</v>
      </c>
      <c r="R11" s="50">
        <v>115308.3708</v>
      </c>
      <c r="S11" s="50">
        <v>0</v>
      </c>
      <c r="T11" s="50">
        <v>195828.23520000002</v>
      </c>
      <c r="U11" s="50">
        <v>0</v>
      </c>
      <c r="V11" s="50">
        <v>103494.11040000001</v>
      </c>
      <c r="W11" s="50">
        <v>0</v>
      </c>
      <c r="X11" s="50">
        <v>52845.609600000003</v>
      </c>
      <c r="Y11" s="50">
        <v>0</v>
      </c>
      <c r="Z11" s="50">
        <v>31432.104000000003</v>
      </c>
      <c r="AA11" s="51">
        <f t="shared" si="1"/>
        <v>0</v>
      </c>
      <c r="AB11" s="51">
        <f t="shared" si="2"/>
        <v>952184.2248000002</v>
      </c>
      <c r="AD11" s="31">
        <f t="shared" si="3"/>
        <v>0</v>
      </c>
      <c r="AE11" s="31">
        <f t="shared" si="4"/>
        <v>952184.2248000002</v>
      </c>
      <c r="AF11" s="17">
        <f t="shared" si="5"/>
        <v>0</v>
      </c>
      <c r="AG11" s="17">
        <f t="shared" si="6"/>
        <v>0</v>
      </c>
      <c r="BC11" s="21"/>
    </row>
    <row r="12" spans="1:119" s="17" customFormat="1" ht="18" customHeight="1" outlineLevel="1" x14ac:dyDescent="0.25">
      <c r="A12" s="48" t="s">
        <v>94</v>
      </c>
      <c r="B12" s="45"/>
      <c r="C12" s="64">
        <v>0</v>
      </c>
      <c r="D12" s="50">
        <v>374.65199999999999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602.12160000000006</v>
      </c>
      <c r="Y12" s="50">
        <v>0</v>
      </c>
      <c r="Z12" s="50">
        <v>2709.5472000000004</v>
      </c>
      <c r="AA12" s="51">
        <f t="shared" si="1"/>
        <v>0</v>
      </c>
      <c r="AB12" s="51">
        <f t="shared" si="2"/>
        <v>3686.3208000000004</v>
      </c>
      <c r="AD12" s="31">
        <f t="shared" si="3"/>
        <v>0</v>
      </c>
      <c r="AE12" s="31">
        <f t="shared" si="4"/>
        <v>3686.3208000000004</v>
      </c>
      <c r="AF12" s="17">
        <f t="shared" si="5"/>
        <v>0</v>
      </c>
      <c r="AG12" s="17">
        <f t="shared" si="6"/>
        <v>0</v>
      </c>
      <c r="BC12" s="21"/>
    </row>
    <row r="13" spans="1:119" s="17" customFormat="1" ht="18" customHeight="1" outlineLevel="1" x14ac:dyDescent="0.25">
      <c r="A13" s="48" t="s">
        <v>95</v>
      </c>
      <c r="B13" s="45"/>
      <c r="C13" s="64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1">
        <f t="shared" si="1"/>
        <v>0</v>
      </c>
      <c r="AB13" s="51">
        <f t="shared" si="2"/>
        <v>0</v>
      </c>
      <c r="AD13" s="31">
        <f t="shared" si="3"/>
        <v>0</v>
      </c>
      <c r="AE13" s="31">
        <f t="shared" si="4"/>
        <v>0</v>
      </c>
      <c r="AF13" s="17">
        <f t="shared" si="5"/>
        <v>0</v>
      </c>
      <c r="AG13" s="17">
        <f t="shared" si="6"/>
        <v>0</v>
      </c>
      <c r="BC13" s="21"/>
    </row>
    <row r="14" spans="1:119" s="17" customFormat="1" ht="18" customHeight="1" outlineLevel="1" x14ac:dyDescent="0.25">
      <c r="A14" s="48" t="s">
        <v>96</v>
      </c>
      <c r="B14" s="45"/>
      <c r="C14" s="64"/>
      <c r="D14" s="50"/>
      <c r="E14" s="50"/>
      <c r="F14" s="50"/>
      <c r="G14" s="50"/>
      <c r="H14" s="50"/>
      <c r="I14" s="50"/>
      <c r="J14" s="50"/>
      <c r="K14" s="50"/>
      <c r="L14" s="50">
        <v>2501.36</v>
      </c>
      <c r="M14" s="50"/>
      <c r="N14" s="50">
        <v>686.6</v>
      </c>
      <c r="O14" s="50">
        <v>55050</v>
      </c>
      <c r="P14" s="50">
        <v>8541.1299999999992</v>
      </c>
      <c r="Q14" s="50">
        <v>40303.980000000003</v>
      </c>
      <c r="R14" s="50">
        <v>82614.28</v>
      </c>
      <c r="S14" s="50">
        <v>135296.01999999999</v>
      </c>
      <c r="T14" s="50">
        <v>26491.75</v>
      </c>
      <c r="U14" s="50">
        <v>13150</v>
      </c>
      <c r="V14" s="50">
        <v>-95.49</v>
      </c>
      <c r="W14" s="50">
        <v>21000</v>
      </c>
      <c r="X14" s="50">
        <v>55428.83</v>
      </c>
      <c r="Y14" s="50">
        <v>50650</v>
      </c>
      <c r="Z14" s="50">
        <v>33623.53</v>
      </c>
      <c r="AA14" s="51">
        <f t="shared" si="1"/>
        <v>315450</v>
      </c>
      <c r="AB14" s="51">
        <f t="shared" si="2"/>
        <v>209791.99</v>
      </c>
      <c r="AD14" s="31">
        <f t="shared" si="3"/>
        <v>315450</v>
      </c>
      <c r="AE14" s="31">
        <f t="shared" si="4"/>
        <v>209791.99</v>
      </c>
      <c r="AF14" s="17">
        <f t="shared" si="5"/>
        <v>0</v>
      </c>
      <c r="AG14" s="17">
        <f t="shared" si="6"/>
        <v>0</v>
      </c>
      <c r="BC14" s="21"/>
    </row>
    <row r="15" spans="1:119" s="17" customFormat="1" ht="18" customHeight="1" outlineLevel="1" x14ac:dyDescent="0.25">
      <c r="A15" s="48" t="s">
        <v>97</v>
      </c>
      <c r="B15" s="45"/>
      <c r="C15" s="64">
        <v>1350000</v>
      </c>
      <c r="D15" s="50"/>
      <c r="E15" s="50">
        <v>1450000</v>
      </c>
      <c r="F15" s="50"/>
      <c r="G15" s="50">
        <v>2550000</v>
      </c>
      <c r="H15" s="50"/>
      <c r="I15" s="50">
        <v>2550000</v>
      </c>
      <c r="J15" s="50"/>
      <c r="K15" s="50">
        <v>2750000</v>
      </c>
      <c r="L15" s="50"/>
      <c r="M15" s="50">
        <v>2850000</v>
      </c>
      <c r="N15" s="50"/>
      <c r="O15" s="50">
        <v>2250000</v>
      </c>
      <c r="P15" s="50"/>
      <c r="Q15" s="50">
        <v>3100000</v>
      </c>
      <c r="R15" s="50">
        <v>951.33</v>
      </c>
      <c r="S15" s="50">
        <v>3800000</v>
      </c>
      <c r="T15" s="50"/>
      <c r="U15" s="50">
        <v>2700000</v>
      </c>
      <c r="V15" s="50"/>
      <c r="W15" s="50">
        <v>3000000</v>
      </c>
      <c r="X15" s="50"/>
      <c r="Y15" s="50">
        <v>5650000</v>
      </c>
      <c r="Z15" s="50"/>
      <c r="AA15" s="51">
        <f t="shared" si="1"/>
        <v>34000000</v>
      </c>
      <c r="AB15" s="51">
        <f t="shared" si="2"/>
        <v>951.33</v>
      </c>
      <c r="AD15" s="31">
        <f t="shared" si="3"/>
        <v>34000000</v>
      </c>
      <c r="AE15" s="31">
        <f t="shared" si="4"/>
        <v>951.33</v>
      </c>
      <c r="AF15" s="17">
        <f t="shared" si="5"/>
        <v>0</v>
      </c>
      <c r="AG15" s="17">
        <f t="shared" si="6"/>
        <v>0</v>
      </c>
      <c r="BC15" s="21"/>
    </row>
    <row r="16" spans="1:119" s="17" customFormat="1" ht="18" customHeight="1" x14ac:dyDescent="0.25">
      <c r="A16" s="52" t="s">
        <v>98</v>
      </c>
      <c r="B16" s="45" t="s">
        <v>99</v>
      </c>
      <c r="C16" s="46">
        <f t="shared" ref="C16:Z16" si="7">SUM(C17:C25)</f>
        <v>1170818.1856</v>
      </c>
      <c r="D16" s="46">
        <f t="shared" si="7"/>
        <v>2360609.7356000016</v>
      </c>
      <c r="E16" s="46">
        <f t="shared" si="7"/>
        <v>1255146.3608000001</v>
      </c>
      <c r="F16" s="46">
        <f t="shared" si="7"/>
        <v>1251376.3379999991</v>
      </c>
      <c r="G16" s="46">
        <f t="shared" si="7"/>
        <v>2175080.4536000001</v>
      </c>
      <c r="H16" s="46">
        <f t="shared" si="7"/>
        <v>1619096.0331999999</v>
      </c>
      <c r="I16" s="46">
        <f t="shared" si="7"/>
        <v>2168751.8144</v>
      </c>
      <c r="J16" s="46">
        <f t="shared" si="7"/>
        <v>2042925.2940000009</v>
      </c>
      <c r="K16" s="46">
        <f t="shared" si="7"/>
        <v>2340475</v>
      </c>
      <c r="L16" s="46">
        <f t="shared" si="7"/>
        <v>1799736.8816000002</v>
      </c>
      <c r="M16" s="46">
        <f t="shared" si="7"/>
        <v>2418510</v>
      </c>
      <c r="N16" s="46">
        <f t="shared" si="7"/>
        <v>2090991.66</v>
      </c>
      <c r="O16" s="46">
        <f t="shared" si="7"/>
        <v>1928495.4536000001</v>
      </c>
      <c r="P16" s="46">
        <f t="shared" si="7"/>
        <v>1806210.7467999998</v>
      </c>
      <c r="Q16" s="46">
        <f t="shared" si="7"/>
        <v>2601350.9072000002</v>
      </c>
      <c r="R16" s="46">
        <f t="shared" si="7"/>
        <v>2530131.9508000007</v>
      </c>
      <c r="S16" s="46">
        <f t="shared" si="7"/>
        <v>3138005.4536000001</v>
      </c>
      <c r="T16" s="46">
        <f t="shared" si="7"/>
        <v>2996551.7123999996</v>
      </c>
      <c r="U16" s="46">
        <f t="shared" si="7"/>
        <v>2299197.2680000002</v>
      </c>
      <c r="V16" s="46">
        <f t="shared" si="7"/>
        <v>1857458.6864000002</v>
      </c>
      <c r="W16" s="46">
        <f t="shared" si="7"/>
        <v>2519209.0927999998</v>
      </c>
      <c r="X16" s="46">
        <f t="shared" si="7"/>
        <v>2231365.5687999995</v>
      </c>
      <c r="Y16" s="46">
        <f t="shared" si="7"/>
        <v>4522825</v>
      </c>
      <c r="Z16" s="46">
        <f t="shared" si="7"/>
        <v>3465866.3468000004</v>
      </c>
      <c r="AA16" s="47">
        <f t="shared" si="1"/>
        <v>28537864.989599999</v>
      </c>
      <c r="AB16" s="47">
        <f t="shared" si="2"/>
        <v>26052320.954400003</v>
      </c>
      <c r="AC16" s="87"/>
      <c r="AD16" s="31">
        <f t="shared" si="3"/>
        <v>28537864.989599999</v>
      </c>
      <c r="AE16" s="31">
        <f t="shared" si="4"/>
        <v>26052320.954400003</v>
      </c>
      <c r="AF16" s="17">
        <f t="shared" si="5"/>
        <v>0</v>
      </c>
      <c r="AG16" s="17">
        <f t="shared" si="6"/>
        <v>0</v>
      </c>
      <c r="BC16" s="21"/>
    </row>
    <row r="17" spans="1:119" s="19" customFormat="1" ht="18" customHeight="1" outlineLevel="1" x14ac:dyDescent="0.25">
      <c r="A17" s="48" t="s">
        <v>89</v>
      </c>
      <c r="B17" s="53"/>
      <c r="C17" s="64">
        <v>0</v>
      </c>
      <c r="D17" s="50">
        <v>413320.73120000004</v>
      </c>
      <c r="E17" s="50">
        <v>0</v>
      </c>
      <c r="F17" s="50">
        <v>176963.05120000002</v>
      </c>
      <c r="G17" s="50">
        <v>0</v>
      </c>
      <c r="H17" s="50">
        <v>312264.46159999998</v>
      </c>
      <c r="I17" s="50">
        <v>0</v>
      </c>
      <c r="J17" s="50">
        <v>465074.50080000004</v>
      </c>
      <c r="K17" s="50">
        <v>0</v>
      </c>
      <c r="L17" s="50">
        <v>340278.67120000004</v>
      </c>
      <c r="M17" s="50">
        <v>0</v>
      </c>
      <c r="N17" s="50">
        <v>384320.61200000002</v>
      </c>
      <c r="O17" s="50">
        <v>0</v>
      </c>
      <c r="P17" s="50">
        <v>315544.43439999997</v>
      </c>
      <c r="Q17" s="50">
        <v>0</v>
      </c>
      <c r="R17" s="50">
        <v>427807.18239999999</v>
      </c>
      <c r="S17" s="50">
        <v>0</v>
      </c>
      <c r="T17" s="50">
        <v>594745.89200000011</v>
      </c>
      <c r="U17" s="50">
        <v>0</v>
      </c>
      <c r="V17" s="50">
        <v>321310.57919999998</v>
      </c>
      <c r="W17" s="50">
        <v>0</v>
      </c>
      <c r="X17" s="50">
        <v>404706.53600000002</v>
      </c>
      <c r="Y17" s="50">
        <v>0</v>
      </c>
      <c r="Z17" s="50">
        <v>801928.27520000003</v>
      </c>
      <c r="AA17" s="51">
        <f t="shared" si="1"/>
        <v>0</v>
      </c>
      <c r="AB17" s="51">
        <f t="shared" si="2"/>
        <v>4958264.9271999998</v>
      </c>
      <c r="AC17" s="100">
        <v>1.04</v>
      </c>
      <c r="AD17" s="31">
        <f t="shared" si="3"/>
        <v>0</v>
      </c>
      <c r="AE17" s="31">
        <f t="shared" si="4"/>
        <v>4958264.9271999998</v>
      </c>
      <c r="AF17" s="17">
        <f t="shared" si="5"/>
        <v>0</v>
      </c>
      <c r="AG17" s="17">
        <f t="shared" si="6"/>
        <v>0</v>
      </c>
      <c r="BC17" s="21"/>
    </row>
    <row r="18" spans="1:119" s="19" customFormat="1" ht="18" customHeight="1" outlineLevel="1" x14ac:dyDescent="0.25">
      <c r="A18" s="48" t="s">
        <v>90</v>
      </c>
      <c r="B18" s="53"/>
      <c r="C18" s="64">
        <v>0</v>
      </c>
      <c r="D18" s="50">
        <v>651919.95440000005</v>
      </c>
      <c r="E18" s="50">
        <v>0</v>
      </c>
      <c r="F18" s="50">
        <v>592487.26160000009</v>
      </c>
      <c r="G18" s="50">
        <v>0</v>
      </c>
      <c r="H18" s="50">
        <v>699919.42799999996</v>
      </c>
      <c r="I18" s="50">
        <v>0</v>
      </c>
      <c r="J18" s="50">
        <v>600969.10640000005</v>
      </c>
      <c r="K18" s="50">
        <v>0</v>
      </c>
      <c r="L18" s="50">
        <v>542325.92960000003</v>
      </c>
      <c r="M18" s="50">
        <v>0</v>
      </c>
      <c r="N18" s="50">
        <v>879362.77520000003</v>
      </c>
      <c r="O18" s="50">
        <v>0</v>
      </c>
      <c r="P18" s="50">
        <v>343666.71040000004</v>
      </c>
      <c r="Q18" s="50">
        <v>0</v>
      </c>
      <c r="R18" s="50">
        <v>655973.32319999998</v>
      </c>
      <c r="S18" s="50">
        <v>0</v>
      </c>
      <c r="T18" s="50">
        <v>1120399.6648000001</v>
      </c>
      <c r="U18" s="50">
        <v>0</v>
      </c>
      <c r="V18" s="50">
        <v>683226.31520000007</v>
      </c>
      <c r="W18" s="50">
        <v>0</v>
      </c>
      <c r="X18" s="50">
        <v>799683.63280000002</v>
      </c>
      <c r="Y18" s="50">
        <v>0</v>
      </c>
      <c r="Z18" s="50">
        <v>840410.70880000002</v>
      </c>
      <c r="AA18" s="51">
        <f t="shared" si="1"/>
        <v>0</v>
      </c>
      <c r="AB18" s="51">
        <f t="shared" si="2"/>
        <v>8410344.8103999998</v>
      </c>
      <c r="AC18" s="100"/>
      <c r="AD18" s="31">
        <f t="shared" si="3"/>
        <v>0</v>
      </c>
      <c r="AE18" s="31">
        <f t="shared" si="4"/>
        <v>8410344.8103999998</v>
      </c>
      <c r="AF18" s="17">
        <f t="shared" si="5"/>
        <v>0</v>
      </c>
      <c r="AG18" s="17">
        <f t="shared" si="6"/>
        <v>0</v>
      </c>
      <c r="BC18" s="21"/>
    </row>
    <row r="19" spans="1:119" s="19" customFormat="1" ht="18" customHeight="1" outlineLevel="1" x14ac:dyDescent="0.25">
      <c r="A19" s="48" t="s">
        <v>91</v>
      </c>
      <c r="B19" s="53"/>
      <c r="C19" s="64">
        <v>0</v>
      </c>
      <c r="D19" s="50">
        <v>966400.780800001</v>
      </c>
      <c r="E19" s="50">
        <v>0</v>
      </c>
      <c r="F19" s="50">
        <v>414512.90399999893</v>
      </c>
      <c r="G19" s="50">
        <v>0</v>
      </c>
      <c r="H19" s="50">
        <v>515340.93520000001</v>
      </c>
      <c r="I19" s="50">
        <v>0</v>
      </c>
      <c r="J19" s="50">
        <v>683713.74240000104</v>
      </c>
      <c r="K19" s="50">
        <v>0</v>
      </c>
      <c r="L19" s="50">
        <v>752037.27040000004</v>
      </c>
      <c r="M19" s="50">
        <v>0</v>
      </c>
      <c r="N19" s="50">
        <v>630490.29680000001</v>
      </c>
      <c r="O19" s="50">
        <v>0</v>
      </c>
      <c r="P19" s="50">
        <v>928549.47120000003</v>
      </c>
      <c r="Q19" s="50">
        <v>0</v>
      </c>
      <c r="R19" s="50">
        <v>1051790.8856000002</v>
      </c>
      <c r="S19" s="50">
        <v>0</v>
      </c>
      <c r="T19" s="50">
        <v>856224.96960000007</v>
      </c>
      <c r="U19" s="50">
        <v>0</v>
      </c>
      <c r="V19" s="50">
        <v>558642.03200000012</v>
      </c>
      <c r="W19" s="50">
        <v>0</v>
      </c>
      <c r="X19" s="50">
        <v>862344.82880000002</v>
      </c>
      <c r="Y19" s="50">
        <v>0</v>
      </c>
      <c r="Z19" s="50">
        <v>1641480.2975999999</v>
      </c>
      <c r="AA19" s="51">
        <f t="shared" si="1"/>
        <v>0</v>
      </c>
      <c r="AB19" s="51">
        <f t="shared" si="2"/>
        <v>9861528.414400002</v>
      </c>
      <c r="AC19" s="100"/>
      <c r="AD19" s="31">
        <f t="shared" si="3"/>
        <v>0</v>
      </c>
      <c r="AE19" s="31">
        <f t="shared" si="4"/>
        <v>9861528.414400002</v>
      </c>
      <c r="AF19" s="17">
        <f t="shared" si="5"/>
        <v>0</v>
      </c>
      <c r="AG19" s="17">
        <f t="shared" si="6"/>
        <v>0</v>
      </c>
      <c r="BC19" s="21"/>
    </row>
    <row r="20" spans="1:119" s="19" customFormat="1" ht="18" customHeight="1" outlineLevel="1" x14ac:dyDescent="0.25">
      <c r="A20" s="48" t="s">
        <v>92</v>
      </c>
      <c r="B20" s="53"/>
      <c r="C20" s="64">
        <v>0</v>
      </c>
      <c r="D20" s="50">
        <v>204440.7144</v>
      </c>
      <c r="E20" s="50">
        <v>0</v>
      </c>
      <c r="F20" s="50">
        <v>38870.852800000001</v>
      </c>
      <c r="G20" s="50">
        <v>0</v>
      </c>
      <c r="H20" s="50">
        <v>17401.363200000003</v>
      </c>
      <c r="I20" s="50">
        <v>0</v>
      </c>
      <c r="J20" s="50">
        <v>170420.15119999999</v>
      </c>
      <c r="K20" s="50">
        <v>0</v>
      </c>
      <c r="L20" s="50">
        <v>94318.182400000005</v>
      </c>
      <c r="M20" s="50">
        <v>0</v>
      </c>
      <c r="N20" s="50">
        <v>82723.763200000001</v>
      </c>
      <c r="O20" s="50">
        <v>0</v>
      </c>
      <c r="P20" s="50">
        <v>116681.57280000001</v>
      </c>
      <c r="Q20" s="50">
        <v>0</v>
      </c>
      <c r="R20" s="50">
        <v>187833.29760000002</v>
      </c>
      <c r="S20" s="50">
        <v>0</v>
      </c>
      <c r="T20" s="50">
        <v>158469.75040000002</v>
      </c>
      <c r="U20" s="50">
        <v>0</v>
      </c>
      <c r="V20" s="50">
        <v>165528.75040000002</v>
      </c>
      <c r="W20" s="50">
        <v>0</v>
      </c>
      <c r="X20" s="50">
        <v>64914.688800000004</v>
      </c>
      <c r="Y20" s="50">
        <v>0</v>
      </c>
      <c r="Z20" s="50">
        <v>85512.450400000002</v>
      </c>
      <c r="AA20" s="51">
        <f t="shared" si="1"/>
        <v>0</v>
      </c>
      <c r="AB20" s="51">
        <f t="shared" si="2"/>
        <v>1387115.5375999999</v>
      </c>
      <c r="AC20" s="100"/>
      <c r="AD20" s="31">
        <f t="shared" si="3"/>
        <v>0</v>
      </c>
      <c r="AE20" s="31">
        <f t="shared" si="4"/>
        <v>1387115.5375999999</v>
      </c>
      <c r="AF20" s="17">
        <f t="shared" si="5"/>
        <v>0</v>
      </c>
      <c r="AG20" s="17">
        <f t="shared" si="6"/>
        <v>0</v>
      </c>
      <c r="BC20" s="21"/>
    </row>
    <row r="21" spans="1:119" s="19" customFormat="1" ht="18" customHeight="1" outlineLevel="1" x14ac:dyDescent="0.25">
      <c r="A21" s="48" t="s">
        <v>93</v>
      </c>
      <c r="B21" s="53"/>
      <c r="C21" s="64">
        <v>0</v>
      </c>
      <c r="D21" s="50">
        <v>65868.888800000102</v>
      </c>
      <c r="E21" s="50">
        <v>0</v>
      </c>
      <c r="F21" s="50">
        <v>7634.0784000000003</v>
      </c>
      <c r="G21" s="50">
        <v>0</v>
      </c>
      <c r="H21" s="50">
        <v>32739.075200000003</v>
      </c>
      <c r="I21" s="50">
        <v>0</v>
      </c>
      <c r="J21" s="50">
        <v>72932.16320000001</v>
      </c>
      <c r="K21" s="50">
        <v>0</v>
      </c>
      <c r="L21" s="50">
        <v>30451.075200000003</v>
      </c>
      <c r="M21" s="50">
        <v>0</v>
      </c>
      <c r="N21" s="50">
        <v>60978.070400000004</v>
      </c>
      <c r="O21" s="50">
        <v>0</v>
      </c>
      <c r="P21" s="50">
        <v>69082.395200000014</v>
      </c>
      <c r="Q21" s="50">
        <v>0</v>
      </c>
      <c r="R21" s="50">
        <v>78165.276800000007</v>
      </c>
      <c r="S21" s="50">
        <v>0</v>
      </c>
      <c r="T21" s="50">
        <v>134857.65280000001</v>
      </c>
      <c r="U21" s="50">
        <v>0</v>
      </c>
      <c r="V21" s="50">
        <v>71651.216</v>
      </c>
      <c r="W21" s="50">
        <v>0</v>
      </c>
      <c r="X21" s="50">
        <v>37126.741600000001</v>
      </c>
      <c r="Y21" s="50">
        <v>0</v>
      </c>
      <c r="Z21" s="50">
        <v>24409.195200000002</v>
      </c>
      <c r="AA21" s="51">
        <f t="shared" si="1"/>
        <v>0</v>
      </c>
      <c r="AB21" s="51">
        <f t="shared" si="2"/>
        <v>685895.82880000002</v>
      </c>
      <c r="AC21" s="100"/>
      <c r="AD21" s="31">
        <f t="shared" si="3"/>
        <v>0</v>
      </c>
      <c r="AE21" s="31">
        <f t="shared" si="4"/>
        <v>685895.82880000002</v>
      </c>
      <c r="AF21" s="17">
        <f t="shared" si="5"/>
        <v>0</v>
      </c>
      <c r="AG21" s="17">
        <f t="shared" si="6"/>
        <v>0</v>
      </c>
      <c r="BC21" s="21"/>
    </row>
    <row r="22" spans="1:119" s="19" customFormat="1" ht="18" customHeight="1" outlineLevel="1" x14ac:dyDescent="0.25">
      <c r="A22" s="48" t="s">
        <v>94</v>
      </c>
      <c r="B22" s="53"/>
      <c r="C22" s="64">
        <v>0</v>
      </c>
      <c r="D22" s="50">
        <v>236.756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465.54559999999998</v>
      </c>
      <c r="Y22" s="50">
        <v>0</v>
      </c>
      <c r="Z22" s="50">
        <v>2094.9135999999999</v>
      </c>
      <c r="AA22" s="51">
        <f t="shared" si="1"/>
        <v>0</v>
      </c>
      <c r="AB22" s="51">
        <f t="shared" si="2"/>
        <v>2797.2151999999996</v>
      </c>
      <c r="AC22" s="100"/>
      <c r="AD22" s="31">
        <f t="shared" si="3"/>
        <v>0</v>
      </c>
      <c r="AE22" s="31">
        <f t="shared" si="4"/>
        <v>2797.2151999999996</v>
      </c>
      <c r="AF22" s="17">
        <f t="shared" si="5"/>
        <v>0</v>
      </c>
      <c r="AG22" s="17">
        <f t="shared" si="6"/>
        <v>0</v>
      </c>
      <c r="BC22" s="21"/>
    </row>
    <row r="23" spans="1:119" s="19" customFormat="1" ht="18" customHeight="1" outlineLevel="1" x14ac:dyDescent="0.25">
      <c r="A23" s="48" t="s">
        <v>95</v>
      </c>
      <c r="B23" s="53"/>
      <c r="C23" s="64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1">
        <f t="shared" si="1"/>
        <v>0</v>
      </c>
      <c r="AB23" s="51">
        <f t="shared" si="2"/>
        <v>0</v>
      </c>
      <c r="AC23" s="100"/>
      <c r="AD23" s="31">
        <f t="shared" si="3"/>
        <v>0</v>
      </c>
      <c r="AE23" s="31">
        <f t="shared" si="4"/>
        <v>0</v>
      </c>
      <c r="AF23" s="17">
        <f t="shared" si="5"/>
        <v>0</v>
      </c>
      <c r="AG23" s="17">
        <f t="shared" si="6"/>
        <v>0</v>
      </c>
      <c r="BC23" s="21"/>
    </row>
    <row r="24" spans="1:119" s="19" customFormat="1" ht="18" customHeight="1" outlineLevel="1" x14ac:dyDescent="0.25">
      <c r="A24" s="48" t="s">
        <v>97</v>
      </c>
      <c r="B24" s="53"/>
      <c r="C24" s="64">
        <v>1143143.1856</v>
      </c>
      <c r="D24" s="50">
        <v>0</v>
      </c>
      <c r="E24" s="50">
        <v>1225421.3608000001</v>
      </c>
      <c r="F24" s="50">
        <v>0</v>
      </c>
      <c r="G24" s="50">
        <v>2122805.4536000001</v>
      </c>
      <c r="H24" s="50">
        <v>0</v>
      </c>
      <c r="I24" s="50">
        <v>2116476.8144</v>
      </c>
      <c r="J24" s="50">
        <v>0</v>
      </c>
      <c r="K24" s="50">
        <v>2284100</v>
      </c>
      <c r="L24" s="50">
        <v>-1853.9872</v>
      </c>
      <c r="M24" s="50">
        <v>2360085</v>
      </c>
      <c r="N24" s="50">
        <v>-1052.1576</v>
      </c>
      <c r="O24" s="50">
        <v>1882370.4536000001</v>
      </c>
      <c r="P24" s="50">
        <f>(-7317.93)*1.04</f>
        <v>-7610.6472000000003</v>
      </c>
      <c r="Q24" s="50">
        <v>2537800.9072000002</v>
      </c>
      <c r="R24" s="50">
        <f>(849.76+65959.62)*1.04</f>
        <v>69481.755199999985</v>
      </c>
      <c r="S24" s="50">
        <v>3060105.4536000001</v>
      </c>
      <c r="T24" s="50">
        <f>(-4086.61+6.07+60657.61)*1.04</f>
        <v>58840.152800000003</v>
      </c>
      <c r="U24" s="50">
        <v>2243847.2680000002</v>
      </c>
      <c r="V24" s="50">
        <f>(13535.34)*1.04</f>
        <v>14076.7536</v>
      </c>
      <c r="W24" s="50">
        <v>2457709.0927999998</v>
      </c>
      <c r="X24" s="50">
        <f>(-622.57+13045.7)*1.04</f>
        <v>12920.055200000001</v>
      </c>
      <c r="Y24" s="50">
        <v>4407000</v>
      </c>
      <c r="Z24" s="50">
        <f>(-957.4+15186.55)*1.04</f>
        <v>14798.316000000001</v>
      </c>
      <c r="AA24" s="51">
        <f t="shared" si="1"/>
        <v>27840864.989599999</v>
      </c>
      <c r="AB24" s="51">
        <f t="shared" si="2"/>
        <v>159600.24079999997</v>
      </c>
      <c r="AC24" s="100"/>
      <c r="AD24" s="31">
        <f t="shared" si="3"/>
        <v>27840864.989599999</v>
      </c>
      <c r="AE24" s="31">
        <f t="shared" si="4"/>
        <v>159600.24079999997</v>
      </c>
      <c r="AF24" s="17">
        <f t="shared" si="5"/>
        <v>0</v>
      </c>
      <c r="AG24" s="17">
        <f t="shared" si="6"/>
        <v>0</v>
      </c>
      <c r="BC24" s="21"/>
    </row>
    <row r="25" spans="1:119" s="19" customFormat="1" ht="18" customHeight="1" outlineLevel="1" x14ac:dyDescent="0.25">
      <c r="A25" s="48" t="s">
        <v>100</v>
      </c>
      <c r="B25" s="53"/>
      <c r="C25" s="64">
        <v>27675</v>
      </c>
      <c r="D25" s="50">
        <v>58421.91</v>
      </c>
      <c r="E25" s="50">
        <v>29725</v>
      </c>
      <c r="F25" s="50">
        <v>20908.189999999999</v>
      </c>
      <c r="G25" s="50">
        <v>52275</v>
      </c>
      <c r="H25" s="50">
        <v>41430.769999999997</v>
      </c>
      <c r="I25" s="50">
        <v>52275</v>
      </c>
      <c r="J25" s="50">
        <v>49815.63</v>
      </c>
      <c r="K25" s="50">
        <v>56375</v>
      </c>
      <c r="L25" s="50">
        <v>42179.74</v>
      </c>
      <c r="M25" s="50">
        <v>58425</v>
      </c>
      <c r="N25" s="50">
        <v>54168.3</v>
      </c>
      <c r="O25" s="50">
        <v>46125</v>
      </c>
      <c r="P25" s="50">
        <v>40296.81</v>
      </c>
      <c r="Q25" s="50">
        <v>63550</v>
      </c>
      <c r="R25" s="50">
        <v>59080.23</v>
      </c>
      <c r="S25" s="50">
        <v>77900</v>
      </c>
      <c r="T25" s="50">
        <v>73013.63</v>
      </c>
      <c r="U25" s="50">
        <v>55350</v>
      </c>
      <c r="V25" s="50">
        <v>43023.040000000001</v>
      </c>
      <c r="W25" s="50">
        <v>61500</v>
      </c>
      <c r="X25" s="50">
        <v>49203.54</v>
      </c>
      <c r="Y25" s="50">
        <v>115825</v>
      </c>
      <c r="Z25" s="50">
        <v>55232.19</v>
      </c>
      <c r="AA25" s="51">
        <f t="shared" si="1"/>
        <v>697000</v>
      </c>
      <c r="AB25" s="51">
        <f t="shared" si="2"/>
        <v>586773.98</v>
      </c>
      <c r="AC25" s="100"/>
      <c r="AD25" s="31">
        <f t="shared" si="3"/>
        <v>697000</v>
      </c>
      <c r="AE25" s="31">
        <f t="shared" si="4"/>
        <v>586773.98</v>
      </c>
      <c r="AF25" s="17">
        <f t="shared" si="5"/>
        <v>0</v>
      </c>
      <c r="AG25" s="17">
        <f t="shared" si="6"/>
        <v>0</v>
      </c>
      <c r="BC25" s="21"/>
    </row>
    <row r="26" spans="1:119" s="19" customFormat="1" ht="18" customHeight="1" x14ac:dyDescent="0.25">
      <c r="A26" s="52" t="s">
        <v>101</v>
      </c>
      <c r="B26" s="45" t="s">
        <v>102</v>
      </c>
      <c r="C26" s="54">
        <f t="shared" ref="C26:Z26" si="8">C6-C16</f>
        <v>179181.81440000003</v>
      </c>
      <c r="D26" s="54">
        <f t="shared" si="8"/>
        <v>473671.13559999829</v>
      </c>
      <c r="E26" s="54">
        <f t="shared" si="8"/>
        <v>194853.63919999986</v>
      </c>
      <c r="F26" s="54">
        <f t="shared" si="8"/>
        <v>274537.37760000117</v>
      </c>
      <c r="G26" s="54">
        <f t="shared" si="8"/>
        <v>374919.54639999988</v>
      </c>
      <c r="H26" s="54">
        <f t="shared" si="8"/>
        <v>411526.94360000012</v>
      </c>
      <c r="I26" s="54">
        <f t="shared" si="8"/>
        <v>381248.18559999997</v>
      </c>
      <c r="J26" s="54">
        <f t="shared" si="8"/>
        <v>435208.97759999824</v>
      </c>
      <c r="K26" s="54">
        <f t="shared" si="8"/>
        <v>409525</v>
      </c>
      <c r="L26" s="54">
        <f t="shared" si="8"/>
        <v>382027.10119999968</v>
      </c>
      <c r="M26" s="54">
        <f t="shared" si="8"/>
        <v>431490</v>
      </c>
      <c r="N26" s="54">
        <f t="shared" si="8"/>
        <v>449170.29399999999</v>
      </c>
      <c r="O26" s="54">
        <f t="shared" si="8"/>
        <v>266454.54639999988</v>
      </c>
      <c r="P26" s="54">
        <f t="shared" si="8"/>
        <v>346940.09440000029</v>
      </c>
      <c r="Q26" s="54">
        <f t="shared" si="8"/>
        <v>458345.11279999977</v>
      </c>
      <c r="R26" s="54">
        <f t="shared" si="8"/>
        <v>490262.84439999983</v>
      </c>
      <c r="S26" s="54">
        <f t="shared" si="8"/>
        <v>526698.52639999986</v>
      </c>
      <c r="T26" s="54">
        <f t="shared" si="8"/>
        <v>724599.70520000067</v>
      </c>
      <c r="U26" s="54">
        <f t="shared" si="8"/>
        <v>387652.73199999984</v>
      </c>
      <c r="V26" s="54">
        <f t="shared" si="8"/>
        <v>482774.88520000014</v>
      </c>
      <c r="W26" s="54">
        <f t="shared" si="8"/>
        <v>459790.90720000025</v>
      </c>
      <c r="X26" s="54">
        <f t="shared" si="8"/>
        <v>583207.10519999964</v>
      </c>
      <c r="Y26" s="54">
        <f t="shared" si="8"/>
        <v>1076525</v>
      </c>
      <c r="Z26" s="54">
        <f t="shared" si="8"/>
        <v>829302.88920000009</v>
      </c>
      <c r="AA26" s="47">
        <f t="shared" si="1"/>
        <v>5146685.0103999991</v>
      </c>
      <c r="AB26" s="47">
        <f t="shared" si="2"/>
        <v>5883229.3531999979</v>
      </c>
      <c r="AC26" s="20"/>
      <c r="AD26" s="31">
        <f t="shared" si="3"/>
        <v>5146685.0103999991</v>
      </c>
      <c r="AE26" s="31">
        <f t="shared" si="4"/>
        <v>5883229.3531999979</v>
      </c>
      <c r="AF26" s="55">
        <f>AD6-AD16-AA26</f>
        <v>0</v>
      </c>
      <c r="AG26" s="55">
        <f>AE6-AE16-AB26</f>
        <v>0</v>
      </c>
      <c r="BC26" s="21"/>
    </row>
    <row r="27" spans="1:119" s="20" customFormat="1" ht="18" customHeight="1" x14ac:dyDescent="0.25">
      <c r="A27" s="56" t="s">
        <v>210</v>
      </c>
      <c r="B27" s="57" t="s">
        <v>104</v>
      </c>
      <c r="C27" s="59">
        <f t="shared" ref="C27:AB27" si="9">C26/C6</f>
        <v>0.13272726992592596</v>
      </c>
      <c r="D27" s="59">
        <f t="shared" si="9"/>
        <v>0.16712215800950303</v>
      </c>
      <c r="E27" s="59">
        <f t="shared" si="9"/>
        <v>0.13438182013793093</v>
      </c>
      <c r="F27" s="59">
        <f t="shared" si="9"/>
        <v>0.17991671140595988</v>
      </c>
      <c r="G27" s="59">
        <f t="shared" si="9"/>
        <v>0.14702727309803917</v>
      </c>
      <c r="H27" s="59">
        <f t="shared" si="9"/>
        <v>0.20266043884153892</v>
      </c>
      <c r="I27" s="59">
        <f t="shared" si="9"/>
        <v>0.14950909239215684</v>
      </c>
      <c r="J27" s="59">
        <f t="shared" si="9"/>
        <v>0.17561961132921461</v>
      </c>
      <c r="K27" s="59">
        <f t="shared" si="9"/>
        <v>0.14891818181818181</v>
      </c>
      <c r="L27" s="59">
        <f t="shared" si="9"/>
        <v>0.1751001044162987</v>
      </c>
      <c r="M27" s="59">
        <f t="shared" si="9"/>
        <v>0.15140000000000001</v>
      </c>
      <c r="N27" s="59">
        <f t="shared" si="9"/>
        <v>0.17682742365804288</v>
      </c>
      <c r="O27" s="59">
        <f t="shared" si="9"/>
        <v>0.12139435814027649</v>
      </c>
      <c r="P27" s="59">
        <f t="shared" si="9"/>
        <v>0.1611313465649451</v>
      </c>
      <c r="Q27" s="59">
        <f t="shared" si="9"/>
        <v>0.14980086577358745</v>
      </c>
      <c r="R27" s="59">
        <f t="shared" si="9"/>
        <v>0.16231747094092586</v>
      </c>
      <c r="S27" s="59">
        <f t="shared" si="9"/>
        <v>0.14372198389677299</v>
      </c>
      <c r="T27" s="59">
        <f t="shared" si="9"/>
        <v>0.19472459566489225</v>
      </c>
      <c r="U27" s="59">
        <f t="shared" si="9"/>
        <v>0.14427777211232479</v>
      </c>
      <c r="V27" s="59">
        <f t="shared" si="9"/>
        <v>0.20629346192565323</v>
      </c>
      <c r="W27" s="59">
        <f t="shared" si="9"/>
        <v>0.1543440440416248</v>
      </c>
      <c r="X27" s="59">
        <f t="shared" si="9"/>
        <v>0.20720982285781966</v>
      </c>
      <c r="Y27" s="59">
        <f t="shared" si="9"/>
        <v>0.19225892291069499</v>
      </c>
      <c r="Z27" s="59">
        <f t="shared" si="9"/>
        <v>0.193078047367538</v>
      </c>
      <c r="AA27" s="101">
        <f t="shared" si="9"/>
        <v>0.15279067140276476</v>
      </c>
      <c r="AB27" s="101">
        <f t="shared" si="9"/>
        <v>0.18422195003791469</v>
      </c>
      <c r="AC27" s="102"/>
      <c r="AD27" s="62">
        <f>AD26/AD6</f>
        <v>0.15279067140276476</v>
      </c>
      <c r="AE27" s="62">
        <f>AE26/AE6</f>
        <v>0.18422195003791469</v>
      </c>
      <c r="AF27" s="17">
        <f>AA27-AD27</f>
        <v>0</v>
      </c>
      <c r="AG27" s="17">
        <f>AB27-AE27</f>
        <v>0</v>
      </c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</row>
    <row r="28" spans="1:119" s="19" customFormat="1" ht="18" customHeight="1" x14ac:dyDescent="0.25">
      <c r="A28" s="63" t="s">
        <v>105</v>
      </c>
      <c r="B28" s="53">
        <v>5</v>
      </c>
      <c r="C28" s="64">
        <f t="shared" ref="C28:N28" si="10">ROUND(C6*0.88%+C6*0.07%,2)</f>
        <v>12825</v>
      </c>
      <c r="D28" s="64">
        <f t="shared" si="10"/>
        <v>26925.67</v>
      </c>
      <c r="E28" s="64">
        <f t="shared" si="10"/>
        <v>13775</v>
      </c>
      <c r="F28" s="64">
        <f t="shared" si="10"/>
        <v>14496.18</v>
      </c>
      <c r="G28" s="64">
        <f t="shared" si="10"/>
        <v>24225</v>
      </c>
      <c r="H28" s="64">
        <f t="shared" si="10"/>
        <v>19290.919999999998</v>
      </c>
      <c r="I28" s="64">
        <f t="shared" si="10"/>
        <v>24225</v>
      </c>
      <c r="J28" s="64">
        <f t="shared" si="10"/>
        <v>23542.28</v>
      </c>
      <c r="K28" s="64">
        <f t="shared" si="10"/>
        <v>26125</v>
      </c>
      <c r="L28" s="64">
        <f t="shared" si="10"/>
        <v>20726.759999999998</v>
      </c>
      <c r="M28" s="64">
        <f t="shared" si="10"/>
        <v>27075</v>
      </c>
      <c r="N28" s="64">
        <f t="shared" si="10"/>
        <v>24131.54</v>
      </c>
      <c r="O28" s="64">
        <v>21375</v>
      </c>
      <c r="P28" s="64">
        <f>ROUND(P6*0.88%+P6*0.07%,2)</f>
        <v>20454.93</v>
      </c>
      <c r="Q28" s="64">
        <v>29450</v>
      </c>
      <c r="R28" s="64">
        <f>ROUND(R6*0.88%+R6*0.07%,2)</f>
        <v>28693.75</v>
      </c>
      <c r="S28" s="64">
        <v>36100</v>
      </c>
      <c r="T28" s="64">
        <f>ROUND(T6*0.88%+T6*0.07%,2)</f>
        <v>35350.94</v>
      </c>
      <c r="U28" s="64">
        <v>25650</v>
      </c>
      <c r="V28" s="64">
        <f>ROUND(V6*0.88%+V6*0.07%,2)</f>
        <v>22232.22</v>
      </c>
      <c r="W28" s="64">
        <v>28500</v>
      </c>
      <c r="X28" s="64">
        <f>ROUND(X6*0.88%+X6*0.07%,2)</f>
        <v>26738.44</v>
      </c>
      <c r="Y28" s="64">
        <v>53675</v>
      </c>
      <c r="Z28" s="64">
        <f>ROUND(Z6*0.88%+Z6*0.07%,2)</f>
        <v>40804.11</v>
      </c>
      <c r="AA28" s="51">
        <f t="shared" ref="AA28:AA91" si="11">C28+E28+G28+I28+K28+M28+O28+Q28+S28+U28+W28+Y28</f>
        <v>323000</v>
      </c>
      <c r="AB28" s="51">
        <f t="shared" ref="AB28:AB91" si="12">D28+F28+H28+J28+L28+N28+P28+R28+T28+V28+X28+Z28</f>
        <v>303387.73999999993</v>
      </c>
      <c r="AC28" s="20"/>
      <c r="AD28" s="31">
        <f t="shared" ref="AD28:AD91" si="13">SUMIF($C$5:$Z$5,$AD$5,C28:Z28)</f>
        <v>323000</v>
      </c>
      <c r="AE28" s="31">
        <f t="shared" ref="AE28:AE91" si="14">SUMIF($C$5:$Z$5,$AD$5,D28:AA28)</f>
        <v>303387.73999999993</v>
      </c>
      <c r="AF28" s="17">
        <f>AA28-AD28</f>
        <v>0</v>
      </c>
      <c r="AG28" s="17">
        <f>AB28-AE28</f>
        <v>0</v>
      </c>
      <c r="BC28" s="21"/>
    </row>
    <row r="29" spans="1:119" s="21" customFormat="1" ht="18" customHeight="1" x14ac:dyDescent="0.25">
      <c r="A29" s="52" t="s">
        <v>106</v>
      </c>
      <c r="B29" s="45">
        <v>6</v>
      </c>
      <c r="C29" s="65">
        <f t="shared" ref="C29:Z29" si="15">SUM(C30:C101)-C30-C33-C42-C53-C65</f>
        <v>173801.23999999996</v>
      </c>
      <c r="D29" s="65">
        <f t="shared" si="15"/>
        <v>204514.37999999995</v>
      </c>
      <c r="E29" s="65">
        <f t="shared" si="15"/>
        <v>145384.94999999998</v>
      </c>
      <c r="F29" s="65">
        <f t="shared" si="15"/>
        <v>112031.99999999997</v>
      </c>
      <c r="G29" s="65">
        <f t="shared" si="15"/>
        <v>181925.63999999998</v>
      </c>
      <c r="H29" s="65">
        <f t="shared" si="15"/>
        <v>134577.19999999998</v>
      </c>
      <c r="I29" s="65">
        <f t="shared" si="15"/>
        <v>176611.08</v>
      </c>
      <c r="J29" s="65">
        <f t="shared" si="15"/>
        <v>173514.28999999995</v>
      </c>
      <c r="K29" s="65">
        <f t="shared" si="15"/>
        <v>171587.83</v>
      </c>
      <c r="L29" s="65">
        <f t="shared" si="15"/>
        <v>124500.87</v>
      </c>
      <c r="M29" s="65">
        <f t="shared" si="15"/>
        <v>176096.83</v>
      </c>
      <c r="N29" s="65">
        <f t="shared" si="15"/>
        <v>131355.20000000001</v>
      </c>
      <c r="O29" s="65">
        <f t="shared" si="15"/>
        <v>180857.94999999998</v>
      </c>
      <c r="P29" s="65">
        <f t="shared" si="15"/>
        <v>124017.32000000002</v>
      </c>
      <c r="Q29" s="65">
        <f t="shared" si="15"/>
        <v>188364.56000000003</v>
      </c>
      <c r="R29" s="65">
        <f t="shared" si="15"/>
        <v>140112.23000000001</v>
      </c>
      <c r="S29" s="65">
        <f t="shared" si="15"/>
        <v>226934.13000000003</v>
      </c>
      <c r="T29" s="65">
        <f t="shared" si="15"/>
        <v>208581.19</v>
      </c>
      <c r="U29" s="65">
        <f t="shared" si="15"/>
        <v>189843.49000000002</v>
      </c>
      <c r="V29" s="65">
        <f t="shared" si="15"/>
        <v>104454.06</v>
      </c>
      <c r="W29" s="65">
        <f t="shared" si="15"/>
        <v>195739.15000000005</v>
      </c>
      <c r="X29" s="65">
        <f t="shared" si="15"/>
        <v>146806.45999999996</v>
      </c>
      <c r="Y29" s="65">
        <f t="shared" si="15"/>
        <v>230091.95000000004</v>
      </c>
      <c r="Z29" s="65">
        <f t="shared" si="15"/>
        <v>146253.73000000001</v>
      </c>
      <c r="AA29" s="47">
        <f t="shared" si="11"/>
        <v>2237238.8000000003</v>
      </c>
      <c r="AB29" s="47">
        <f t="shared" si="12"/>
        <v>1750718.9299999997</v>
      </c>
      <c r="AC29" s="103"/>
      <c r="AD29" s="31">
        <f t="shared" si="13"/>
        <v>2237238.8000000003</v>
      </c>
      <c r="AE29" s="31">
        <f t="shared" si="14"/>
        <v>1750718.9299999997</v>
      </c>
      <c r="AF29" s="17">
        <f>AD29-(SUM(AA30:AA101)-SUM(AA30,AA33,AA42,AA53,AA65))</f>
        <v>0</v>
      </c>
      <c r="AG29" s="17">
        <f>AE29-(SUM(AB30:AB101)-SUM(AB30,AB33,AB42,AB53,AB65))</f>
        <v>0</v>
      </c>
      <c r="BC29" s="66"/>
    </row>
    <row r="30" spans="1:119" s="17" customFormat="1" ht="18" customHeight="1" outlineLevel="1" x14ac:dyDescent="0.25">
      <c r="A30" s="67" t="s">
        <v>107</v>
      </c>
      <c r="B30" s="45"/>
      <c r="C30" s="65">
        <f t="shared" ref="C30:Z30" si="16">SUM(C31:C32)</f>
        <v>112460.17</v>
      </c>
      <c r="D30" s="65">
        <f t="shared" si="16"/>
        <v>138775.03999999998</v>
      </c>
      <c r="E30" s="65">
        <f t="shared" si="16"/>
        <v>85243.88</v>
      </c>
      <c r="F30" s="65">
        <f t="shared" si="16"/>
        <v>60569</v>
      </c>
      <c r="G30" s="65">
        <f t="shared" si="16"/>
        <v>106654.57</v>
      </c>
      <c r="H30" s="65">
        <f t="shared" si="16"/>
        <v>74668</v>
      </c>
      <c r="I30" s="65">
        <f t="shared" si="16"/>
        <v>116470.01</v>
      </c>
      <c r="J30" s="65">
        <f t="shared" si="16"/>
        <v>98582</v>
      </c>
      <c r="K30" s="65">
        <f t="shared" si="16"/>
        <v>111446.76</v>
      </c>
      <c r="L30" s="65">
        <f t="shared" si="16"/>
        <v>72489</v>
      </c>
      <c r="M30" s="65">
        <f t="shared" si="16"/>
        <v>115955.76</v>
      </c>
      <c r="N30" s="65">
        <f t="shared" si="16"/>
        <v>83491.5</v>
      </c>
      <c r="O30" s="65">
        <f t="shared" si="16"/>
        <v>120716.88</v>
      </c>
      <c r="P30" s="65">
        <f t="shared" si="16"/>
        <v>81431.5</v>
      </c>
      <c r="Q30" s="65">
        <f t="shared" si="16"/>
        <v>128223.49</v>
      </c>
      <c r="R30" s="65">
        <f t="shared" si="16"/>
        <v>87951.5</v>
      </c>
      <c r="S30" s="65">
        <f t="shared" si="16"/>
        <v>146793.06</v>
      </c>
      <c r="T30" s="65">
        <f t="shared" si="16"/>
        <v>106903.5</v>
      </c>
      <c r="U30" s="65">
        <f t="shared" si="16"/>
        <v>128502.42</v>
      </c>
      <c r="V30" s="65">
        <f t="shared" si="16"/>
        <v>57888.5</v>
      </c>
      <c r="W30" s="65">
        <f t="shared" si="16"/>
        <v>135598.08000000002</v>
      </c>
      <c r="X30" s="65">
        <f t="shared" si="16"/>
        <v>75753.7</v>
      </c>
      <c r="Y30" s="65">
        <f t="shared" si="16"/>
        <v>169950.91999999998</v>
      </c>
      <c r="Z30" s="65">
        <f t="shared" si="16"/>
        <v>82358.559999999998</v>
      </c>
      <c r="AA30" s="47">
        <f t="shared" si="11"/>
        <v>1478016</v>
      </c>
      <c r="AB30" s="47">
        <f t="shared" si="12"/>
        <v>1020861.8</v>
      </c>
      <c r="AC30" s="103"/>
      <c r="AD30" s="31">
        <f t="shared" si="13"/>
        <v>1478016</v>
      </c>
      <c r="AE30" s="31">
        <f t="shared" si="14"/>
        <v>1020861.8</v>
      </c>
      <c r="AF30" s="17">
        <f t="shared" ref="AF30:AF93" si="17">AA30-AD30</f>
        <v>0</v>
      </c>
      <c r="AG30" s="17">
        <f t="shared" ref="AG30:AG93" si="18">AB30-AE30</f>
        <v>0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66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</row>
    <row r="31" spans="1:119" s="19" customFormat="1" ht="18" customHeight="1" outlineLevel="2" x14ac:dyDescent="0.25">
      <c r="A31" s="48" t="s">
        <v>108</v>
      </c>
      <c r="B31" s="53"/>
      <c r="C31" s="64">
        <v>45393</v>
      </c>
      <c r="D31" s="68">
        <v>45393</v>
      </c>
      <c r="E31" s="68">
        <v>45393</v>
      </c>
      <c r="F31" s="68">
        <v>43393</v>
      </c>
      <c r="G31" s="68">
        <v>45393</v>
      </c>
      <c r="H31" s="50">
        <v>45393</v>
      </c>
      <c r="I31" s="68">
        <v>45543</v>
      </c>
      <c r="J31" s="68">
        <v>45343</v>
      </c>
      <c r="K31" s="68">
        <v>45543</v>
      </c>
      <c r="L31" s="68">
        <v>39862</v>
      </c>
      <c r="M31" s="68">
        <v>45543</v>
      </c>
      <c r="N31" s="68">
        <v>39527.5</v>
      </c>
      <c r="O31" s="68">
        <v>45543</v>
      </c>
      <c r="P31" s="68">
        <v>39527.5</v>
      </c>
      <c r="Q31" s="68">
        <v>45543</v>
      </c>
      <c r="R31" s="68">
        <v>39507.5</v>
      </c>
      <c r="S31" s="68">
        <v>45593</v>
      </c>
      <c r="T31" s="68">
        <v>38527.5</v>
      </c>
      <c r="U31" s="68">
        <v>45643</v>
      </c>
      <c r="V31" s="68">
        <v>44577.5</v>
      </c>
      <c r="W31" s="68">
        <v>45643</v>
      </c>
      <c r="X31" s="68">
        <v>39572.699999999997</v>
      </c>
      <c r="Y31" s="68">
        <v>45643</v>
      </c>
      <c r="Z31" s="68">
        <v>43303.56</v>
      </c>
      <c r="AA31" s="51">
        <f t="shared" si="11"/>
        <v>546416</v>
      </c>
      <c r="AB31" s="51">
        <f t="shared" si="12"/>
        <v>503927.76</v>
      </c>
      <c r="AC31" s="104"/>
      <c r="AD31" s="31">
        <f t="shared" si="13"/>
        <v>546416</v>
      </c>
      <c r="AE31" s="31">
        <f t="shared" si="14"/>
        <v>503927.76</v>
      </c>
      <c r="AF31" s="17">
        <f t="shared" si="17"/>
        <v>0</v>
      </c>
      <c r="AG31" s="17">
        <f t="shared" si="18"/>
        <v>0</v>
      </c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61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</row>
    <row r="32" spans="1:119" s="19" customFormat="1" ht="18" customHeight="1" outlineLevel="2" x14ac:dyDescent="0.25">
      <c r="A32" s="48" t="s">
        <v>109</v>
      </c>
      <c r="B32" s="53"/>
      <c r="C32" s="64">
        <v>67067.17</v>
      </c>
      <c r="D32" s="68">
        <v>93382.04</v>
      </c>
      <c r="E32" s="68">
        <v>39850.879999999997</v>
      </c>
      <c r="F32" s="68">
        <f>27259-10083</f>
        <v>17176</v>
      </c>
      <c r="G32" s="68">
        <v>61261.57</v>
      </c>
      <c r="H32" s="50">
        <f>36294-7019</f>
        <v>29275</v>
      </c>
      <c r="I32" s="68">
        <v>70927.009999999995</v>
      </c>
      <c r="J32" s="68">
        <f>57706-4467</f>
        <v>53239</v>
      </c>
      <c r="K32" s="68">
        <v>65903.759999999995</v>
      </c>
      <c r="L32" s="68">
        <f>46672-14045</f>
        <v>32627</v>
      </c>
      <c r="M32" s="68">
        <v>70412.759999999995</v>
      </c>
      <c r="N32" s="68">
        <f>53976+5791-7912+2248-4243-5896</f>
        <v>43964</v>
      </c>
      <c r="O32" s="68">
        <v>75173.88</v>
      </c>
      <c r="P32" s="68">
        <f>45217-2621-692</f>
        <v>41904</v>
      </c>
      <c r="Q32" s="68">
        <v>82680.490000000005</v>
      </c>
      <c r="R32" s="68">
        <f>47752+692</f>
        <v>48444</v>
      </c>
      <c r="S32" s="68">
        <v>101200.06</v>
      </c>
      <c r="T32" s="68">
        <v>68376</v>
      </c>
      <c r="U32" s="68">
        <v>82859.42</v>
      </c>
      <c r="V32" s="68">
        <v>13311</v>
      </c>
      <c r="W32" s="68">
        <v>89955.08</v>
      </c>
      <c r="X32" s="68">
        <v>36181</v>
      </c>
      <c r="Y32" s="68">
        <v>124307.92</v>
      </c>
      <c r="Z32" s="68">
        <f>-9192-6109+16307+38049</f>
        <v>39055</v>
      </c>
      <c r="AA32" s="51">
        <f t="shared" si="11"/>
        <v>931600.00000000012</v>
      </c>
      <c r="AB32" s="51">
        <f t="shared" si="12"/>
        <v>516934.04</v>
      </c>
      <c r="AC32" s="104"/>
      <c r="AD32" s="31">
        <f t="shared" si="13"/>
        <v>931600.00000000012</v>
      </c>
      <c r="AE32" s="31">
        <f t="shared" si="14"/>
        <v>516934.04</v>
      </c>
      <c r="AF32" s="17">
        <f t="shared" si="17"/>
        <v>0</v>
      </c>
      <c r="AG32" s="17">
        <f t="shared" si="18"/>
        <v>0</v>
      </c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61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</row>
    <row r="33" spans="1:119" s="17" customFormat="1" ht="18" customHeight="1" outlineLevel="1" x14ac:dyDescent="0.25">
      <c r="A33" s="67" t="s">
        <v>110</v>
      </c>
      <c r="B33" s="45"/>
      <c r="C33" s="65">
        <f t="shared" ref="C33:Z33" si="19">SUM(C34:C38)</f>
        <v>7550.4</v>
      </c>
      <c r="D33" s="65">
        <f t="shared" si="19"/>
        <v>7275.72</v>
      </c>
      <c r="E33" s="65">
        <f t="shared" si="19"/>
        <v>7550.4</v>
      </c>
      <c r="F33" s="65">
        <f t="shared" si="19"/>
        <v>7275.72</v>
      </c>
      <c r="G33" s="65">
        <f t="shared" si="19"/>
        <v>7550.4</v>
      </c>
      <c r="H33" s="65">
        <f t="shared" si="19"/>
        <v>7275.72</v>
      </c>
      <c r="I33" s="65">
        <f t="shared" si="19"/>
        <v>7550.4</v>
      </c>
      <c r="J33" s="65">
        <f t="shared" si="19"/>
        <v>7275.72</v>
      </c>
      <c r="K33" s="65">
        <f t="shared" si="19"/>
        <v>7550.4</v>
      </c>
      <c r="L33" s="65">
        <f t="shared" si="19"/>
        <v>6063.1</v>
      </c>
      <c r="M33" s="65">
        <f t="shared" si="19"/>
        <v>7550.4</v>
      </c>
      <c r="N33" s="65">
        <f t="shared" si="19"/>
        <v>6063.1</v>
      </c>
      <c r="O33" s="65">
        <f t="shared" si="19"/>
        <v>7550.4</v>
      </c>
      <c r="P33" s="65">
        <f t="shared" si="19"/>
        <v>6063.1</v>
      </c>
      <c r="Q33" s="65">
        <f t="shared" si="19"/>
        <v>7550.4</v>
      </c>
      <c r="R33" s="65">
        <f t="shared" si="19"/>
        <v>6063.1</v>
      </c>
      <c r="S33" s="65">
        <f t="shared" si="19"/>
        <v>7550.4</v>
      </c>
      <c r="T33" s="65">
        <f t="shared" si="19"/>
        <v>7444.75</v>
      </c>
      <c r="U33" s="65">
        <f t="shared" si="19"/>
        <v>7550.4</v>
      </c>
      <c r="V33" s="65">
        <f t="shared" si="19"/>
        <v>7538.82</v>
      </c>
      <c r="W33" s="65">
        <f t="shared" si="19"/>
        <v>7550.4</v>
      </c>
      <c r="X33" s="65">
        <f t="shared" si="19"/>
        <v>7538.82</v>
      </c>
      <c r="Y33" s="65">
        <f t="shared" si="19"/>
        <v>7550.4</v>
      </c>
      <c r="Z33" s="65">
        <f t="shared" si="19"/>
        <v>7538.82</v>
      </c>
      <c r="AA33" s="47">
        <f t="shared" si="11"/>
        <v>90604.799999999988</v>
      </c>
      <c r="AB33" s="51">
        <f t="shared" si="12"/>
        <v>83416.49000000002</v>
      </c>
      <c r="AC33" s="103"/>
      <c r="AD33" s="31">
        <f t="shared" si="13"/>
        <v>90604.799999999988</v>
      </c>
      <c r="AE33" s="31">
        <f t="shared" si="14"/>
        <v>83416.49000000002</v>
      </c>
      <c r="AF33" s="17">
        <f t="shared" si="17"/>
        <v>0</v>
      </c>
      <c r="AG33" s="17">
        <f t="shared" si="18"/>
        <v>0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66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</row>
    <row r="34" spans="1:119" s="19" customFormat="1" ht="18" customHeight="1" outlineLevel="2" x14ac:dyDescent="0.25">
      <c r="A34" s="48" t="s">
        <v>111</v>
      </c>
      <c r="B34" s="53"/>
      <c r="C34" s="64">
        <v>4680</v>
      </c>
      <c r="D34" s="68">
        <v>4619.5200000000004</v>
      </c>
      <c r="E34" s="68">
        <v>4680</v>
      </c>
      <c r="F34" s="68">
        <v>4619.5200000000004</v>
      </c>
      <c r="G34" s="68">
        <v>4680</v>
      </c>
      <c r="H34" s="50">
        <v>4619.5200000000004</v>
      </c>
      <c r="I34" s="68">
        <v>4680</v>
      </c>
      <c r="J34" s="68">
        <v>4619.5200000000004</v>
      </c>
      <c r="K34" s="68">
        <v>4680</v>
      </c>
      <c r="L34" s="68">
        <v>3849.6</v>
      </c>
      <c r="M34" s="68">
        <v>4680</v>
      </c>
      <c r="N34" s="68">
        <v>3849.6</v>
      </c>
      <c r="O34" s="68">
        <v>4680</v>
      </c>
      <c r="P34" s="68">
        <v>3849.6</v>
      </c>
      <c r="Q34" s="68">
        <v>4680</v>
      </c>
      <c r="R34" s="68">
        <v>3849.6</v>
      </c>
      <c r="S34" s="68">
        <v>4680</v>
      </c>
      <c r="T34" s="68">
        <v>5102.3999999999996</v>
      </c>
      <c r="U34" s="68">
        <v>4680</v>
      </c>
      <c r="V34" s="68">
        <v>4786.5600000000004</v>
      </c>
      <c r="W34" s="68">
        <v>4680</v>
      </c>
      <c r="X34" s="68">
        <v>4786.5600000000004</v>
      </c>
      <c r="Y34" s="68">
        <v>4680</v>
      </c>
      <c r="Z34" s="68">
        <v>4786.5600000000004</v>
      </c>
      <c r="AA34" s="51">
        <f t="shared" si="11"/>
        <v>56160</v>
      </c>
      <c r="AB34" s="51">
        <f t="shared" si="12"/>
        <v>53338.55999999999</v>
      </c>
      <c r="AC34" s="104"/>
      <c r="AD34" s="31">
        <f t="shared" si="13"/>
        <v>56160</v>
      </c>
      <c r="AE34" s="31">
        <f t="shared" si="14"/>
        <v>53338.55999999999</v>
      </c>
      <c r="AF34" s="17">
        <f t="shared" si="17"/>
        <v>0</v>
      </c>
      <c r="AG34" s="17">
        <f t="shared" si="18"/>
        <v>0</v>
      </c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61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</row>
    <row r="35" spans="1:119" s="19" customFormat="1" ht="18" customHeight="1" outlineLevel="2" x14ac:dyDescent="0.25">
      <c r="A35" s="48" t="s">
        <v>112</v>
      </c>
      <c r="B35" s="53"/>
      <c r="C35" s="64">
        <v>2496</v>
      </c>
      <c r="D35" s="68">
        <v>2454.12</v>
      </c>
      <c r="E35" s="68">
        <v>2496</v>
      </c>
      <c r="F35" s="68">
        <v>2454.12</v>
      </c>
      <c r="G35" s="68">
        <v>2496</v>
      </c>
      <c r="H35" s="50">
        <v>2454.12</v>
      </c>
      <c r="I35" s="68">
        <v>2496</v>
      </c>
      <c r="J35" s="68">
        <v>2454.12</v>
      </c>
      <c r="K35" s="68">
        <v>2496</v>
      </c>
      <c r="L35" s="68">
        <v>2045.1</v>
      </c>
      <c r="M35" s="68">
        <v>2496</v>
      </c>
      <c r="N35" s="68">
        <v>2045.1</v>
      </c>
      <c r="O35" s="68">
        <v>2496</v>
      </c>
      <c r="P35" s="68">
        <v>2045.1</v>
      </c>
      <c r="Q35" s="68">
        <v>2496</v>
      </c>
      <c r="R35" s="68">
        <v>2045.1</v>
      </c>
      <c r="S35" s="68">
        <v>2496</v>
      </c>
      <c r="T35" s="68">
        <v>2119.0500000000002</v>
      </c>
      <c r="U35" s="68">
        <v>2496</v>
      </c>
      <c r="V35" s="68">
        <v>2542.86</v>
      </c>
      <c r="W35" s="68">
        <v>2496</v>
      </c>
      <c r="X35" s="68">
        <v>2542.86</v>
      </c>
      <c r="Y35" s="68">
        <v>2496</v>
      </c>
      <c r="Z35" s="68">
        <v>2542.86</v>
      </c>
      <c r="AA35" s="51">
        <f t="shared" si="11"/>
        <v>29952</v>
      </c>
      <c r="AB35" s="51">
        <f t="shared" si="12"/>
        <v>27744.510000000002</v>
      </c>
      <c r="AC35" s="104"/>
      <c r="AD35" s="31">
        <f t="shared" si="13"/>
        <v>29952</v>
      </c>
      <c r="AE35" s="31">
        <f t="shared" si="14"/>
        <v>27744.510000000002</v>
      </c>
      <c r="AF35" s="17">
        <f t="shared" si="17"/>
        <v>0</v>
      </c>
      <c r="AG35" s="17">
        <f t="shared" si="18"/>
        <v>0</v>
      </c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61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</row>
    <row r="36" spans="1:119" s="19" customFormat="1" ht="18" customHeight="1" outlineLevel="2" x14ac:dyDescent="0.25">
      <c r="A36" s="48" t="s">
        <v>113</v>
      </c>
      <c r="B36" s="53"/>
      <c r="C36" s="64">
        <v>62.4</v>
      </c>
      <c r="D36" s="68">
        <v>57.72</v>
      </c>
      <c r="E36" s="68">
        <v>62.4</v>
      </c>
      <c r="F36" s="68">
        <v>57.72</v>
      </c>
      <c r="G36" s="68">
        <v>62.4</v>
      </c>
      <c r="H36" s="50">
        <v>57.72</v>
      </c>
      <c r="I36" s="68">
        <v>62.4</v>
      </c>
      <c r="J36" s="68">
        <v>57.72</v>
      </c>
      <c r="K36" s="68">
        <v>62.4</v>
      </c>
      <c r="L36" s="68">
        <v>48.1</v>
      </c>
      <c r="M36" s="68">
        <v>62.4</v>
      </c>
      <c r="N36" s="68">
        <v>48.1</v>
      </c>
      <c r="O36" s="68">
        <v>62.4</v>
      </c>
      <c r="P36" s="68">
        <v>48.1</v>
      </c>
      <c r="Q36" s="68">
        <v>62.4</v>
      </c>
      <c r="R36" s="68">
        <v>48.1</v>
      </c>
      <c r="S36" s="68">
        <v>62.4</v>
      </c>
      <c r="T36" s="68">
        <v>63.85</v>
      </c>
      <c r="U36" s="68">
        <v>62.4</v>
      </c>
      <c r="V36" s="68">
        <v>59.82</v>
      </c>
      <c r="W36" s="68">
        <v>62.4</v>
      </c>
      <c r="X36" s="68">
        <v>59.82</v>
      </c>
      <c r="Y36" s="68">
        <v>62.4</v>
      </c>
      <c r="Z36" s="68">
        <v>59.82</v>
      </c>
      <c r="AA36" s="51">
        <f t="shared" si="11"/>
        <v>748.79999999999984</v>
      </c>
      <c r="AB36" s="51">
        <f t="shared" si="12"/>
        <v>666.59000000000026</v>
      </c>
      <c r="AC36" s="104"/>
      <c r="AD36" s="31">
        <f t="shared" si="13"/>
        <v>748.79999999999984</v>
      </c>
      <c r="AE36" s="31">
        <f t="shared" si="14"/>
        <v>666.59000000000026</v>
      </c>
      <c r="AF36" s="17">
        <f t="shared" si="17"/>
        <v>0</v>
      </c>
      <c r="AG36" s="17">
        <f t="shared" si="18"/>
        <v>0</v>
      </c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61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</row>
    <row r="37" spans="1:119" s="19" customFormat="1" ht="18" customHeight="1" outlineLevel="2" x14ac:dyDescent="0.25">
      <c r="A37" s="48" t="s">
        <v>114</v>
      </c>
      <c r="B37" s="53"/>
      <c r="C37" s="64">
        <v>156</v>
      </c>
      <c r="D37" s="68">
        <v>144.36000000000001</v>
      </c>
      <c r="E37" s="68">
        <v>156</v>
      </c>
      <c r="F37" s="68">
        <v>144.36000000000001</v>
      </c>
      <c r="G37" s="68">
        <v>156</v>
      </c>
      <c r="H37" s="50">
        <v>144.36000000000001</v>
      </c>
      <c r="I37" s="68">
        <v>156</v>
      </c>
      <c r="J37" s="68">
        <v>144.36000000000001</v>
      </c>
      <c r="K37" s="68">
        <v>156</v>
      </c>
      <c r="L37" s="68">
        <v>120.3</v>
      </c>
      <c r="M37" s="68">
        <v>156</v>
      </c>
      <c r="N37" s="68">
        <v>120.3</v>
      </c>
      <c r="O37" s="68">
        <v>156</v>
      </c>
      <c r="P37" s="68">
        <v>120.3</v>
      </c>
      <c r="Q37" s="68">
        <v>156</v>
      </c>
      <c r="R37" s="68">
        <v>120.3</v>
      </c>
      <c r="S37" s="68">
        <v>156</v>
      </c>
      <c r="T37" s="68">
        <v>159.44999999999999</v>
      </c>
      <c r="U37" s="68">
        <v>156</v>
      </c>
      <c r="V37" s="68">
        <v>149.58000000000001</v>
      </c>
      <c r="W37" s="68">
        <v>156</v>
      </c>
      <c r="X37" s="68">
        <v>149.58000000000001</v>
      </c>
      <c r="Y37" s="68">
        <v>156</v>
      </c>
      <c r="Z37" s="68">
        <v>149.58000000000001</v>
      </c>
      <c r="AA37" s="51">
        <f t="shared" si="11"/>
        <v>1872</v>
      </c>
      <c r="AB37" s="51">
        <f t="shared" si="12"/>
        <v>1666.8299999999997</v>
      </c>
      <c r="AC37" s="104"/>
      <c r="AD37" s="31">
        <f t="shared" si="13"/>
        <v>1872</v>
      </c>
      <c r="AE37" s="31">
        <f t="shared" si="14"/>
        <v>1666.8299999999997</v>
      </c>
      <c r="AF37" s="17">
        <f t="shared" si="17"/>
        <v>0</v>
      </c>
      <c r="AG37" s="17">
        <f t="shared" si="18"/>
        <v>0</v>
      </c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61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</row>
    <row r="38" spans="1:119" s="19" customFormat="1" ht="18" customHeight="1" outlineLevel="2" x14ac:dyDescent="0.25">
      <c r="A38" s="48" t="s">
        <v>115</v>
      </c>
      <c r="B38" s="53"/>
      <c r="C38" s="64">
        <v>156</v>
      </c>
      <c r="D38" s="68">
        <v>0</v>
      </c>
      <c r="E38" s="68">
        <v>156</v>
      </c>
      <c r="F38" s="68">
        <v>0</v>
      </c>
      <c r="G38" s="68">
        <v>156</v>
      </c>
      <c r="H38" s="50">
        <v>0</v>
      </c>
      <c r="I38" s="68">
        <v>156</v>
      </c>
      <c r="J38" s="68">
        <v>0</v>
      </c>
      <c r="K38" s="68">
        <v>156</v>
      </c>
      <c r="L38" s="68">
        <v>0</v>
      </c>
      <c r="M38" s="68">
        <v>156</v>
      </c>
      <c r="N38" s="68">
        <v>0</v>
      </c>
      <c r="O38" s="68">
        <v>156</v>
      </c>
      <c r="P38" s="68">
        <v>0</v>
      </c>
      <c r="Q38" s="68">
        <v>156</v>
      </c>
      <c r="R38" s="68">
        <v>0</v>
      </c>
      <c r="S38" s="68">
        <v>156</v>
      </c>
      <c r="T38" s="68">
        <v>0</v>
      </c>
      <c r="U38" s="68">
        <v>156</v>
      </c>
      <c r="V38" s="68">
        <v>0</v>
      </c>
      <c r="W38" s="68">
        <v>156</v>
      </c>
      <c r="X38" s="68">
        <v>0</v>
      </c>
      <c r="Y38" s="68">
        <v>156</v>
      </c>
      <c r="Z38" s="68">
        <v>0</v>
      </c>
      <c r="AA38" s="51">
        <f t="shared" si="11"/>
        <v>1872</v>
      </c>
      <c r="AB38" s="51">
        <f t="shared" si="12"/>
        <v>0</v>
      </c>
      <c r="AC38" s="104"/>
      <c r="AD38" s="31">
        <f t="shared" si="13"/>
        <v>1872</v>
      </c>
      <c r="AE38" s="31">
        <f t="shared" si="14"/>
        <v>0</v>
      </c>
      <c r="AF38" s="17">
        <f t="shared" si="17"/>
        <v>0</v>
      </c>
      <c r="AG38" s="17">
        <f t="shared" si="18"/>
        <v>0</v>
      </c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61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</row>
    <row r="39" spans="1:119" s="19" customFormat="1" ht="18" customHeight="1" outlineLevel="1" x14ac:dyDescent="0.25">
      <c r="A39" s="48" t="s">
        <v>116</v>
      </c>
      <c r="B39" s="53"/>
      <c r="C39" s="64">
        <v>1614</v>
      </c>
      <c r="D39" s="68">
        <v>1614</v>
      </c>
      <c r="E39" s="68">
        <v>1614</v>
      </c>
      <c r="F39" s="68">
        <v>1614</v>
      </c>
      <c r="G39" s="68">
        <v>1614</v>
      </c>
      <c r="H39" s="50">
        <v>1614</v>
      </c>
      <c r="I39" s="68">
        <v>1614</v>
      </c>
      <c r="J39" s="68">
        <v>1614</v>
      </c>
      <c r="K39" s="68">
        <v>1614</v>
      </c>
      <c r="L39" s="68">
        <v>1345</v>
      </c>
      <c r="M39" s="68">
        <v>1614</v>
      </c>
      <c r="N39" s="68">
        <v>1345</v>
      </c>
      <c r="O39" s="68">
        <v>1614</v>
      </c>
      <c r="P39" s="68">
        <v>1345</v>
      </c>
      <c r="Q39" s="68">
        <v>1614</v>
      </c>
      <c r="R39" s="68">
        <v>1345</v>
      </c>
      <c r="S39" s="68">
        <v>1614</v>
      </c>
      <c r="T39" s="68">
        <v>1345</v>
      </c>
      <c r="U39" s="68">
        <v>1614</v>
      </c>
      <c r="V39" s="68">
        <v>1345</v>
      </c>
      <c r="W39" s="68">
        <v>1614</v>
      </c>
      <c r="X39" s="68">
        <v>1345</v>
      </c>
      <c r="Y39" s="68">
        <v>1614</v>
      </c>
      <c r="Z39" s="68">
        <v>1345</v>
      </c>
      <c r="AA39" s="51">
        <f t="shared" si="11"/>
        <v>19368</v>
      </c>
      <c r="AB39" s="51">
        <f t="shared" si="12"/>
        <v>17216</v>
      </c>
      <c r="AC39" s="104"/>
      <c r="AD39" s="31">
        <f t="shared" si="13"/>
        <v>19368</v>
      </c>
      <c r="AE39" s="31">
        <f t="shared" si="14"/>
        <v>17216</v>
      </c>
      <c r="AF39" s="17">
        <f t="shared" si="17"/>
        <v>0</v>
      </c>
      <c r="AG39" s="17">
        <f t="shared" si="18"/>
        <v>0</v>
      </c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61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</row>
    <row r="40" spans="1:119" s="19" customFormat="1" ht="18" customHeight="1" outlineLevel="1" x14ac:dyDescent="0.25">
      <c r="A40" s="48" t="s">
        <v>117</v>
      </c>
      <c r="B40" s="53"/>
      <c r="C40" s="64"/>
      <c r="D40" s="68">
        <v>0</v>
      </c>
      <c r="E40" s="68"/>
      <c r="F40" s="68">
        <v>0</v>
      </c>
      <c r="G40" s="68"/>
      <c r="H40" s="50">
        <v>0</v>
      </c>
      <c r="I40" s="68"/>
      <c r="J40" s="68">
        <v>0</v>
      </c>
      <c r="K40" s="68"/>
      <c r="L40" s="68">
        <v>0</v>
      </c>
      <c r="M40" s="68"/>
      <c r="N40" s="68">
        <v>0</v>
      </c>
      <c r="O40" s="68"/>
      <c r="P40" s="68">
        <v>0</v>
      </c>
      <c r="Q40" s="68"/>
      <c r="R40" s="68">
        <v>0</v>
      </c>
      <c r="S40" s="68"/>
      <c r="T40" s="68">
        <v>0</v>
      </c>
      <c r="U40" s="68"/>
      <c r="V40" s="68">
        <v>0</v>
      </c>
      <c r="W40" s="68"/>
      <c r="X40" s="68">
        <v>0</v>
      </c>
      <c r="Y40" s="68"/>
      <c r="Z40" s="68">
        <v>0</v>
      </c>
      <c r="AA40" s="51">
        <f t="shared" si="11"/>
        <v>0</v>
      </c>
      <c r="AB40" s="51">
        <f t="shared" si="12"/>
        <v>0</v>
      </c>
      <c r="AC40" s="104"/>
      <c r="AD40" s="31">
        <f t="shared" si="13"/>
        <v>0</v>
      </c>
      <c r="AE40" s="31">
        <f t="shared" si="14"/>
        <v>0</v>
      </c>
      <c r="AF40" s="17">
        <f t="shared" si="17"/>
        <v>0</v>
      </c>
      <c r="AG40" s="17">
        <f t="shared" si="18"/>
        <v>0</v>
      </c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61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</row>
    <row r="41" spans="1:119" s="19" customFormat="1" ht="18" customHeight="1" outlineLevel="1" x14ac:dyDescent="0.25">
      <c r="A41" s="48" t="s">
        <v>118</v>
      </c>
      <c r="B41" s="53"/>
      <c r="C41" s="64"/>
      <c r="D41" s="68">
        <v>0</v>
      </c>
      <c r="E41" s="68"/>
      <c r="F41" s="68">
        <v>0</v>
      </c>
      <c r="G41" s="68"/>
      <c r="H41" s="50">
        <v>0</v>
      </c>
      <c r="I41" s="68"/>
      <c r="J41" s="68">
        <v>0</v>
      </c>
      <c r="K41" s="68"/>
      <c r="L41" s="68">
        <v>0</v>
      </c>
      <c r="M41" s="68"/>
      <c r="N41" s="68">
        <v>0</v>
      </c>
      <c r="O41" s="68"/>
      <c r="P41" s="68">
        <v>0</v>
      </c>
      <c r="Q41" s="68"/>
      <c r="R41" s="68">
        <v>0</v>
      </c>
      <c r="S41" s="68"/>
      <c r="T41" s="68">
        <v>0</v>
      </c>
      <c r="U41" s="68"/>
      <c r="V41" s="68">
        <v>0</v>
      </c>
      <c r="W41" s="68"/>
      <c r="X41" s="68">
        <v>0</v>
      </c>
      <c r="Y41" s="68"/>
      <c r="Z41" s="68">
        <v>0</v>
      </c>
      <c r="AA41" s="51">
        <f t="shared" si="11"/>
        <v>0</v>
      </c>
      <c r="AB41" s="51">
        <f t="shared" si="12"/>
        <v>0</v>
      </c>
      <c r="AC41" s="104"/>
      <c r="AD41" s="31">
        <f t="shared" si="13"/>
        <v>0</v>
      </c>
      <c r="AE41" s="31">
        <f t="shared" si="14"/>
        <v>0</v>
      </c>
      <c r="AF41" s="17">
        <f t="shared" si="17"/>
        <v>0</v>
      </c>
      <c r="AG41" s="17">
        <f t="shared" si="18"/>
        <v>0</v>
      </c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61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</row>
    <row r="42" spans="1:119" s="17" customFormat="1" ht="18" customHeight="1" outlineLevel="1" x14ac:dyDescent="0.25">
      <c r="A42" s="67" t="s">
        <v>119</v>
      </c>
      <c r="B42" s="45"/>
      <c r="C42" s="65">
        <f t="shared" ref="C42:Z42" si="20">SUM(C43:C49)</f>
        <v>1300</v>
      </c>
      <c r="D42" s="65">
        <f t="shared" si="20"/>
        <v>1450.15</v>
      </c>
      <c r="E42" s="65">
        <f t="shared" si="20"/>
        <v>100</v>
      </c>
      <c r="F42" s="65">
        <f t="shared" si="20"/>
        <v>2121.48</v>
      </c>
      <c r="G42" s="65">
        <f t="shared" si="20"/>
        <v>430</v>
      </c>
      <c r="H42" s="65">
        <f t="shared" si="20"/>
        <v>155.51</v>
      </c>
      <c r="I42" s="65">
        <f t="shared" si="20"/>
        <v>100</v>
      </c>
      <c r="J42" s="65">
        <f t="shared" si="20"/>
        <v>165.04</v>
      </c>
      <c r="K42" s="65">
        <f t="shared" si="20"/>
        <v>100</v>
      </c>
      <c r="L42" s="65">
        <f t="shared" si="20"/>
        <v>260.23</v>
      </c>
      <c r="M42" s="65">
        <f t="shared" si="20"/>
        <v>100</v>
      </c>
      <c r="N42" s="65">
        <f t="shared" si="20"/>
        <v>0</v>
      </c>
      <c r="O42" s="65">
        <f t="shared" si="20"/>
        <v>100</v>
      </c>
      <c r="P42" s="65">
        <f t="shared" si="20"/>
        <v>252.48</v>
      </c>
      <c r="Q42" s="65">
        <f t="shared" si="20"/>
        <v>100</v>
      </c>
      <c r="R42" s="65">
        <f t="shared" si="20"/>
        <v>0</v>
      </c>
      <c r="S42" s="65">
        <f t="shared" si="20"/>
        <v>100</v>
      </c>
      <c r="T42" s="65">
        <f t="shared" si="20"/>
        <v>1838.4099999999999</v>
      </c>
      <c r="U42" s="65">
        <f t="shared" si="20"/>
        <v>1300</v>
      </c>
      <c r="V42" s="65">
        <f t="shared" si="20"/>
        <v>0</v>
      </c>
      <c r="W42" s="65">
        <f t="shared" si="20"/>
        <v>100</v>
      </c>
      <c r="X42" s="65">
        <f t="shared" si="20"/>
        <v>538.25</v>
      </c>
      <c r="Y42" s="65">
        <f t="shared" si="20"/>
        <v>100</v>
      </c>
      <c r="Z42" s="65">
        <f t="shared" si="20"/>
        <v>215.03</v>
      </c>
      <c r="AA42" s="47">
        <f t="shared" si="11"/>
        <v>3930</v>
      </c>
      <c r="AB42" s="51">
        <f t="shared" si="12"/>
        <v>6996.579999999999</v>
      </c>
      <c r="AC42" s="103"/>
      <c r="AD42" s="31">
        <f t="shared" si="13"/>
        <v>3930</v>
      </c>
      <c r="AE42" s="31">
        <f t="shared" si="14"/>
        <v>6996.579999999999</v>
      </c>
      <c r="AF42" s="17">
        <f t="shared" si="17"/>
        <v>0</v>
      </c>
      <c r="AG42" s="17">
        <f t="shared" si="18"/>
        <v>0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66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</row>
    <row r="43" spans="1:119" s="19" customFormat="1" ht="18" customHeight="1" outlineLevel="2" x14ac:dyDescent="0.25">
      <c r="A43" s="48" t="s">
        <v>120</v>
      </c>
      <c r="B43" s="53"/>
      <c r="C43" s="64">
        <v>0</v>
      </c>
      <c r="D43" s="68">
        <v>0</v>
      </c>
      <c r="E43" s="68">
        <v>0</v>
      </c>
      <c r="F43" s="68">
        <v>0</v>
      </c>
      <c r="G43" s="68">
        <v>0</v>
      </c>
      <c r="H43" s="50">
        <v>0</v>
      </c>
      <c r="I43" s="68">
        <v>0</v>
      </c>
      <c r="J43" s="68">
        <v>0</v>
      </c>
      <c r="K43" s="68">
        <v>0</v>
      </c>
      <c r="L43" s="68">
        <v>0</v>
      </c>
      <c r="M43" s="68">
        <v>0</v>
      </c>
      <c r="N43" s="68"/>
      <c r="O43" s="68">
        <v>0</v>
      </c>
      <c r="P43" s="68">
        <v>0</v>
      </c>
      <c r="Q43" s="68">
        <v>0</v>
      </c>
      <c r="R43" s="68"/>
      <c r="S43" s="68">
        <v>0</v>
      </c>
      <c r="T43" s="68">
        <v>0</v>
      </c>
      <c r="U43" s="68">
        <v>0</v>
      </c>
      <c r="V43" s="68"/>
      <c r="W43" s="68">
        <v>0</v>
      </c>
      <c r="X43" s="68">
        <v>0</v>
      </c>
      <c r="Y43" s="68">
        <v>0</v>
      </c>
      <c r="Z43" s="68">
        <v>0</v>
      </c>
      <c r="AA43" s="51">
        <f t="shared" si="11"/>
        <v>0</v>
      </c>
      <c r="AB43" s="51">
        <f t="shared" si="12"/>
        <v>0</v>
      </c>
      <c r="AC43" s="104"/>
      <c r="AD43" s="31">
        <f t="shared" si="13"/>
        <v>0</v>
      </c>
      <c r="AE43" s="31">
        <f t="shared" si="14"/>
        <v>0</v>
      </c>
      <c r="AF43" s="17">
        <f t="shared" si="17"/>
        <v>0</v>
      </c>
      <c r="AG43" s="17">
        <f t="shared" si="18"/>
        <v>0</v>
      </c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61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</row>
    <row r="44" spans="1:119" s="19" customFormat="1" ht="18" customHeight="1" outlineLevel="2" x14ac:dyDescent="0.25">
      <c r="A44" s="48" t="s">
        <v>121</v>
      </c>
      <c r="B44" s="53"/>
      <c r="C44" s="64">
        <v>100</v>
      </c>
      <c r="D44" s="68">
        <v>250.15</v>
      </c>
      <c r="E44" s="68">
        <v>100</v>
      </c>
      <c r="F44" s="68">
        <v>121.48</v>
      </c>
      <c r="G44" s="68">
        <v>100</v>
      </c>
      <c r="H44" s="50">
        <v>155.51</v>
      </c>
      <c r="I44" s="68">
        <v>100</v>
      </c>
      <c r="J44" s="68">
        <v>165.04</v>
      </c>
      <c r="K44" s="68">
        <v>100</v>
      </c>
      <c r="L44" s="68">
        <v>260.23</v>
      </c>
      <c r="M44" s="68">
        <v>100</v>
      </c>
      <c r="N44" s="68"/>
      <c r="O44" s="68">
        <v>100</v>
      </c>
      <c r="P44" s="68">
        <v>252.48</v>
      </c>
      <c r="Q44" s="68">
        <v>100</v>
      </c>
      <c r="R44" s="68"/>
      <c r="S44" s="68">
        <v>100</v>
      </c>
      <c r="T44" s="68">
        <v>638.41</v>
      </c>
      <c r="U44" s="68">
        <v>100</v>
      </c>
      <c r="V44" s="68"/>
      <c r="W44" s="68">
        <v>100</v>
      </c>
      <c r="X44" s="68">
        <v>538.25</v>
      </c>
      <c r="Y44" s="68">
        <v>100</v>
      </c>
      <c r="Z44" s="68">
        <v>215.03</v>
      </c>
      <c r="AA44" s="51">
        <f t="shared" si="11"/>
        <v>1200</v>
      </c>
      <c r="AB44" s="51">
        <f t="shared" si="12"/>
        <v>2596.58</v>
      </c>
      <c r="AC44" s="104"/>
      <c r="AD44" s="31">
        <f t="shared" si="13"/>
        <v>1200</v>
      </c>
      <c r="AE44" s="31">
        <f t="shared" si="14"/>
        <v>2596.58</v>
      </c>
      <c r="AF44" s="17">
        <f t="shared" si="17"/>
        <v>0</v>
      </c>
      <c r="AG44" s="17">
        <f t="shared" si="18"/>
        <v>0</v>
      </c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61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</row>
    <row r="45" spans="1:119" s="19" customFormat="1" ht="18" customHeight="1" outlineLevel="2" x14ac:dyDescent="0.25">
      <c r="A45" s="48" t="s">
        <v>122</v>
      </c>
      <c r="B45" s="53"/>
      <c r="C45" s="64"/>
      <c r="D45" s="68">
        <v>0</v>
      </c>
      <c r="E45" s="68"/>
      <c r="F45" s="68">
        <v>0</v>
      </c>
      <c r="G45" s="68"/>
      <c r="H45" s="50">
        <v>0</v>
      </c>
      <c r="I45" s="68"/>
      <c r="J45" s="68">
        <v>0</v>
      </c>
      <c r="K45" s="68"/>
      <c r="L45" s="68">
        <v>0</v>
      </c>
      <c r="M45" s="68"/>
      <c r="N45" s="68"/>
      <c r="O45" s="68"/>
      <c r="P45" s="68">
        <v>0</v>
      </c>
      <c r="Q45" s="68"/>
      <c r="R45" s="68"/>
      <c r="S45" s="68"/>
      <c r="T45" s="68">
        <v>0</v>
      </c>
      <c r="U45" s="68"/>
      <c r="V45" s="68"/>
      <c r="W45" s="68"/>
      <c r="X45" s="68">
        <v>0</v>
      </c>
      <c r="Y45" s="68"/>
      <c r="Z45" s="68">
        <v>0</v>
      </c>
      <c r="AA45" s="51">
        <f t="shared" si="11"/>
        <v>0</v>
      </c>
      <c r="AB45" s="51">
        <f t="shared" si="12"/>
        <v>0</v>
      </c>
      <c r="AC45" s="104"/>
      <c r="AD45" s="31">
        <f t="shared" si="13"/>
        <v>0</v>
      </c>
      <c r="AE45" s="31">
        <f t="shared" si="14"/>
        <v>0</v>
      </c>
      <c r="AF45" s="17">
        <f t="shared" si="17"/>
        <v>0</v>
      </c>
      <c r="AG45" s="17">
        <f t="shared" si="18"/>
        <v>0</v>
      </c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61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</row>
    <row r="46" spans="1:119" s="19" customFormat="1" ht="18" customHeight="1" outlineLevel="2" x14ac:dyDescent="0.25">
      <c r="A46" s="48" t="s">
        <v>123</v>
      </c>
      <c r="B46" s="53"/>
      <c r="C46" s="64">
        <v>1200</v>
      </c>
      <c r="D46" s="68">
        <v>1200</v>
      </c>
      <c r="E46" s="68"/>
      <c r="F46" s="68">
        <v>0</v>
      </c>
      <c r="G46" s="68"/>
      <c r="H46" s="50">
        <v>0</v>
      </c>
      <c r="I46" s="68"/>
      <c r="J46" s="68">
        <v>0</v>
      </c>
      <c r="K46" s="68"/>
      <c r="L46" s="68">
        <v>0</v>
      </c>
      <c r="M46" s="68"/>
      <c r="N46" s="68"/>
      <c r="O46" s="68"/>
      <c r="P46" s="68">
        <v>0</v>
      </c>
      <c r="Q46" s="68"/>
      <c r="R46" s="68"/>
      <c r="S46" s="68"/>
      <c r="T46" s="68">
        <v>1200</v>
      </c>
      <c r="U46" s="68">
        <v>1200</v>
      </c>
      <c r="V46" s="68"/>
      <c r="W46" s="68"/>
      <c r="X46" s="68">
        <v>0</v>
      </c>
      <c r="Y46" s="68"/>
      <c r="Z46" s="68">
        <v>0</v>
      </c>
      <c r="AA46" s="51">
        <f t="shared" si="11"/>
        <v>2400</v>
      </c>
      <c r="AB46" s="51">
        <f t="shared" si="12"/>
        <v>2400</v>
      </c>
      <c r="AC46" s="104"/>
      <c r="AD46" s="31">
        <f t="shared" si="13"/>
        <v>2400</v>
      </c>
      <c r="AE46" s="31">
        <f t="shared" si="14"/>
        <v>2400</v>
      </c>
      <c r="AF46" s="17">
        <f t="shared" si="17"/>
        <v>0</v>
      </c>
      <c r="AG46" s="17">
        <f t="shared" si="18"/>
        <v>0</v>
      </c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61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</row>
    <row r="47" spans="1:119" s="19" customFormat="1" ht="18" customHeight="1" outlineLevel="2" x14ac:dyDescent="0.25">
      <c r="A47" s="48" t="s">
        <v>124</v>
      </c>
      <c r="B47" s="53"/>
      <c r="C47" s="64"/>
      <c r="D47" s="68">
        <v>0</v>
      </c>
      <c r="E47" s="68"/>
      <c r="F47" s="68">
        <v>0</v>
      </c>
      <c r="G47" s="68">
        <v>330</v>
      </c>
      <c r="H47" s="50">
        <v>0</v>
      </c>
      <c r="I47" s="68"/>
      <c r="J47" s="68">
        <v>0</v>
      </c>
      <c r="K47" s="68"/>
      <c r="L47" s="68">
        <v>0</v>
      </c>
      <c r="M47" s="68"/>
      <c r="N47" s="68"/>
      <c r="O47" s="68"/>
      <c r="P47" s="68">
        <v>0</v>
      </c>
      <c r="Q47" s="68"/>
      <c r="R47" s="68"/>
      <c r="S47" s="68"/>
      <c r="T47" s="68">
        <v>0</v>
      </c>
      <c r="U47" s="68"/>
      <c r="V47" s="68"/>
      <c r="W47" s="68"/>
      <c r="X47" s="68">
        <v>0</v>
      </c>
      <c r="Y47" s="68"/>
      <c r="Z47" s="68">
        <v>0</v>
      </c>
      <c r="AA47" s="51">
        <f t="shared" si="11"/>
        <v>330</v>
      </c>
      <c r="AB47" s="51">
        <f t="shared" si="12"/>
        <v>0</v>
      </c>
      <c r="AC47" s="104"/>
      <c r="AD47" s="31">
        <f t="shared" si="13"/>
        <v>330</v>
      </c>
      <c r="AE47" s="31">
        <f t="shared" si="14"/>
        <v>0</v>
      </c>
      <c r="AF47" s="17">
        <f t="shared" si="17"/>
        <v>0</v>
      </c>
      <c r="AG47" s="17">
        <f t="shared" si="18"/>
        <v>0</v>
      </c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61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</row>
    <row r="48" spans="1:119" s="19" customFormat="1" ht="18" customHeight="1" outlineLevel="2" x14ac:dyDescent="0.25">
      <c r="A48" s="48" t="s">
        <v>125</v>
      </c>
      <c r="B48" s="53"/>
      <c r="C48" s="64"/>
      <c r="D48" s="68">
        <v>0</v>
      </c>
      <c r="E48" s="68"/>
      <c r="F48" s="68">
        <v>2000</v>
      </c>
      <c r="G48" s="68"/>
      <c r="H48" s="50">
        <v>0</v>
      </c>
      <c r="I48" s="68"/>
      <c r="J48" s="68">
        <v>0</v>
      </c>
      <c r="K48" s="68"/>
      <c r="L48" s="68">
        <v>0</v>
      </c>
      <c r="M48" s="68"/>
      <c r="N48" s="68"/>
      <c r="O48" s="68"/>
      <c r="P48" s="68">
        <v>0</v>
      </c>
      <c r="Q48" s="68"/>
      <c r="R48" s="68"/>
      <c r="S48" s="68"/>
      <c r="T48" s="68">
        <v>0</v>
      </c>
      <c r="U48" s="68"/>
      <c r="V48" s="68"/>
      <c r="W48" s="68"/>
      <c r="X48" s="68">
        <v>0</v>
      </c>
      <c r="Y48" s="68"/>
      <c r="Z48" s="68">
        <v>0</v>
      </c>
      <c r="AA48" s="51">
        <f t="shared" si="11"/>
        <v>0</v>
      </c>
      <c r="AB48" s="51">
        <f t="shared" si="12"/>
        <v>2000</v>
      </c>
      <c r="AC48" s="104"/>
      <c r="AD48" s="31">
        <f t="shared" si="13"/>
        <v>0</v>
      </c>
      <c r="AE48" s="31">
        <f t="shared" si="14"/>
        <v>2000</v>
      </c>
      <c r="AF48" s="17">
        <f t="shared" si="17"/>
        <v>0</v>
      </c>
      <c r="AG48" s="17">
        <f t="shared" si="18"/>
        <v>0</v>
      </c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61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</row>
    <row r="49" spans="1:119" s="19" customFormat="1" ht="18" customHeight="1" outlineLevel="2" x14ac:dyDescent="0.25">
      <c r="A49" s="48" t="s">
        <v>126</v>
      </c>
      <c r="B49" s="53"/>
      <c r="C49" s="64"/>
      <c r="D49" s="68">
        <v>0</v>
      </c>
      <c r="E49" s="68"/>
      <c r="F49" s="68">
        <v>0</v>
      </c>
      <c r="G49" s="68"/>
      <c r="H49" s="50">
        <v>0</v>
      </c>
      <c r="I49" s="68"/>
      <c r="J49" s="68">
        <v>0</v>
      </c>
      <c r="K49" s="68"/>
      <c r="L49" s="68">
        <v>0</v>
      </c>
      <c r="M49" s="68"/>
      <c r="N49" s="68"/>
      <c r="O49" s="68"/>
      <c r="P49" s="68">
        <v>0</v>
      </c>
      <c r="Q49" s="68"/>
      <c r="R49" s="68"/>
      <c r="S49" s="68"/>
      <c r="T49" s="68">
        <v>0</v>
      </c>
      <c r="U49" s="68"/>
      <c r="V49" s="68"/>
      <c r="W49" s="68"/>
      <c r="X49" s="68">
        <v>0</v>
      </c>
      <c r="Y49" s="68"/>
      <c r="Z49" s="68">
        <v>0</v>
      </c>
      <c r="AA49" s="51">
        <f t="shared" si="11"/>
        <v>0</v>
      </c>
      <c r="AB49" s="51">
        <f t="shared" si="12"/>
        <v>0</v>
      </c>
      <c r="AC49" s="104"/>
      <c r="AD49" s="31">
        <f t="shared" si="13"/>
        <v>0</v>
      </c>
      <c r="AE49" s="31">
        <f t="shared" si="14"/>
        <v>0</v>
      </c>
      <c r="AF49" s="17">
        <f t="shared" si="17"/>
        <v>0</v>
      </c>
      <c r="AG49" s="17">
        <f t="shared" si="18"/>
        <v>0</v>
      </c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61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</row>
    <row r="50" spans="1:119" s="19" customFormat="1" ht="18" customHeight="1" outlineLevel="1" x14ac:dyDescent="0.25">
      <c r="A50" s="48" t="s">
        <v>127</v>
      </c>
      <c r="B50" s="53"/>
      <c r="C50" s="64"/>
      <c r="D50" s="68">
        <v>0</v>
      </c>
      <c r="E50" s="68"/>
      <c r="F50" s="68">
        <v>0</v>
      </c>
      <c r="G50" s="68"/>
      <c r="H50" s="50">
        <v>0</v>
      </c>
      <c r="I50" s="68"/>
      <c r="J50" s="68">
        <v>0</v>
      </c>
      <c r="K50" s="68"/>
      <c r="L50" s="68">
        <v>0</v>
      </c>
      <c r="M50" s="68"/>
      <c r="N50" s="68"/>
      <c r="O50" s="68"/>
      <c r="P50" s="68">
        <v>0</v>
      </c>
      <c r="Q50" s="68"/>
      <c r="R50" s="68"/>
      <c r="S50" s="68"/>
      <c r="T50" s="68">
        <v>0</v>
      </c>
      <c r="U50" s="68"/>
      <c r="V50" s="68"/>
      <c r="W50" s="68"/>
      <c r="X50" s="68">
        <v>0</v>
      </c>
      <c r="Y50" s="68"/>
      <c r="Z50" s="68">
        <v>0</v>
      </c>
      <c r="AA50" s="51">
        <f t="shared" si="11"/>
        <v>0</v>
      </c>
      <c r="AB50" s="51">
        <f t="shared" si="12"/>
        <v>0</v>
      </c>
      <c r="AC50" s="104"/>
      <c r="AD50" s="31">
        <f t="shared" si="13"/>
        <v>0</v>
      </c>
      <c r="AE50" s="31">
        <f t="shared" si="14"/>
        <v>0</v>
      </c>
      <c r="AF50" s="17">
        <f t="shared" si="17"/>
        <v>0</v>
      </c>
      <c r="AG50" s="17">
        <f t="shared" si="18"/>
        <v>0</v>
      </c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61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</row>
    <row r="51" spans="1:119" s="19" customFormat="1" ht="18" customHeight="1" outlineLevel="1" x14ac:dyDescent="0.25">
      <c r="A51" s="48" t="s">
        <v>128</v>
      </c>
      <c r="B51" s="53"/>
      <c r="C51" s="64"/>
      <c r="D51" s="68">
        <v>0</v>
      </c>
      <c r="E51" s="68"/>
      <c r="F51" s="68">
        <v>190</v>
      </c>
      <c r="G51" s="68"/>
      <c r="H51" s="50">
        <v>0</v>
      </c>
      <c r="I51" s="68"/>
      <c r="J51" s="68">
        <v>0</v>
      </c>
      <c r="K51" s="68"/>
      <c r="L51" s="68">
        <v>0</v>
      </c>
      <c r="M51" s="68"/>
      <c r="N51" s="68"/>
      <c r="O51" s="68"/>
      <c r="P51" s="68">
        <v>0</v>
      </c>
      <c r="Q51" s="68"/>
      <c r="R51" s="68"/>
      <c r="S51" s="68"/>
      <c r="T51" s="68">
        <v>0</v>
      </c>
      <c r="U51" s="68"/>
      <c r="V51" s="68"/>
      <c r="W51" s="68"/>
      <c r="X51" s="68">
        <v>0</v>
      </c>
      <c r="Y51" s="68"/>
      <c r="Z51" s="68">
        <v>0</v>
      </c>
      <c r="AA51" s="51">
        <f t="shared" si="11"/>
        <v>0</v>
      </c>
      <c r="AB51" s="51">
        <f t="shared" si="12"/>
        <v>190</v>
      </c>
      <c r="AC51" s="104"/>
      <c r="AD51" s="31">
        <f t="shared" si="13"/>
        <v>0</v>
      </c>
      <c r="AE51" s="31">
        <f t="shared" si="14"/>
        <v>190</v>
      </c>
      <c r="AF51" s="17">
        <f t="shared" si="17"/>
        <v>0</v>
      </c>
      <c r="AG51" s="17">
        <f t="shared" si="18"/>
        <v>0</v>
      </c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61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</row>
    <row r="52" spans="1:119" s="19" customFormat="1" ht="18" customHeight="1" outlineLevel="1" x14ac:dyDescent="0.25">
      <c r="A52" s="48" t="s">
        <v>129</v>
      </c>
      <c r="B52" s="53"/>
      <c r="C52" s="64">
        <v>0</v>
      </c>
      <c r="D52" s="68">
        <v>0</v>
      </c>
      <c r="E52" s="68">
        <v>0</v>
      </c>
      <c r="F52" s="68">
        <v>0</v>
      </c>
      <c r="G52" s="68">
        <v>0</v>
      </c>
      <c r="H52" s="50">
        <v>0</v>
      </c>
      <c r="I52" s="68">
        <v>0</v>
      </c>
      <c r="J52" s="68">
        <v>0</v>
      </c>
      <c r="K52" s="68">
        <v>0</v>
      </c>
      <c r="L52" s="68">
        <v>0</v>
      </c>
      <c r="M52" s="68">
        <v>0</v>
      </c>
      <c r="N52" s="68"/>
      <c r="O52" s="68">
        <v>0</v>
      </c>
      <c r="P52" s="68">
        <v>0</v>
      </c>
      <c r="Q52" s="68">
        <v>0</v>
      </c>
      <c r="R52" s="68"/>
      <c r="S52" s="68">
        <v>0</v>
      </c>
      <c r="T52" s="68">
        <v>0</v>
      </c>
      <c r="U52" s="68">
        <v>0</v>
      </c>
      <c r="V52" s="68"/>
      <c r="W52" s="68">
        <v>0</v>
      </c>
      <c r="X52" s="68">
        <v>0</v>
      </c>
      <c r="Y52" s="68">
        <v>0</v>
      </c>
      <c r="Z52" s="68">
        <v>0</v>
      </c>
      <c r="AA52" s="51">
        <f t="shared" si="11"/>
        <v>0</v>
      </c>
      <c r="AB52" s="51">
        <f t="shared" si="12"/>
        <v>0</v>
      </c>
      <c r="AC52" s="104"/>
      <c r="AD52" s="31">
        <f t="shared" si="13"/>
        <v>0</v>
      </c>
      <c r="AE52" s="31">
        <f t="shared" si="14"/>
        <v>0</v>
      </c>
      <c r="AF52" s="17">
        <f t="shared" si="17"/>
        <v>0</v>
      </c>
      <c r="AG52" s="17">
        <f t="shared" si="18"/>
        <v>0</v>
      </c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61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</row>
    <row r="53" spans="1:119" s="17" customFormat="1" ht="18" customHeight="1" outlineLevel="1" x14ac:dyDescent="0.25">
      <c r="A53" s="67" t="s">
        <v>130</v>
      </c>
      <c r="B53" s="45"/>
      <c r="C53" s="65">
        <f t="shared" ref="C53:Z53" si="21">SUM(C54:C58)</f>
        <v>28690</v>
      </c>
      <c r="D53" s="65">
        <f t="shared" si="21"/>
        <v>18874.93</v>
      </c>
      <c r="E53" s="65">
        <f t="shared" si="21"/>
        <v>28690</v>
      </c>
      <c r="F53" s="65">
        <f t="shared" si="21"/>
        <v>19975.78</v>
      </c>
      <c r="G53" s="65">
        <f t="shared" si="21"/>
        <v>28690</v>
      </c>
      <c r="H53" s="65">
        <f t="shared" si="21"/>
        <v>27389.7</v>
      </c>
      <c r="I53" s="65">
        <f t="shared" si="21"/>
        <v>28690</v>
      </c>
      <c r="J53" s="65">
        <f t="shared" si="21"/>
        <v>28322.65</v>
      </c>
      <c r="K53" s="65">
        <f t="shared" si="21"/>
        <v>28690</v>
      </c>
      <c r="L53" s="65">
        <f t="shared" si="21"/>
        <v>26594.84</v>
      </c>
      <c r="M53" s="65">
        <f t="shared" si="21"/>
        <v>28690</v>
      </c>
      <c r="N53" s="65">
        <f t="shared" si="21"/>
        <v>26615.510000000002</v>
      </c>
      <c r="O53" s="65">
        <f t="shared" si="21"/>
        <v>28690</v>
      </c>
      <c r="P53" s="65">
        <f t="shared" si="21"/>
        <v>22474.799999999999</v>
      </c>
      <c r="Q53" s="65">
        <f t="shared" si="21"/>
        <v>28690</v>
      </c>
      <c r="R53" s="65">
        <f t="shared" si="21"/>
        <v>26156.57</v>
      </c>
      <c r="S53" s="65">
        <f t="shared" si="21"/>
        <v>28690</v>
      </c>
      <c r="T53" s="65">
        <f t="shared" si="21"/>
        <v>33567.85</v>
      </c>
      <c r="U53" s="65">
        <f t="shared" si="21"/>
        <v>28690</v>
      </c>
      <c r="V53" s="65">
        <f t="shared" si="21"/>
        <v>23708.510000000002</v>
      </c>
      <c r="W53" s="65">
        <f t="shared" si="21"/>
        <v>28690</v>
      </c>
      <c r="X53" s="65">
        <f t="shared" si="21"/>
        <v>31124.42</v>
      </c>
      <c r="Y53" s="65">
        <f t="shared" si="21"/>
        <v>28690</v>
      </c>
      <c r="Z53" s="65">
        <f t="shared" si="21"/>
        <v>30604.76</v>
      </c>
      <c r="AA53" s="47">
        <f t="shared" si="11"/>
        <v>344280</v>
      </c>
      <c r="AB53" s="51">
        <f t="shared" si="12"/>
        <v>315410.32</v>
      </c>
      <c r="AC53" s="103"/>
      <c r="AD53" s="31">
        <f t="shared" si="13"/>
        <v>344280</v>
      </c>
      <c r="AE53" s="31">
        <f t="shared" si="14"/>
        <v>315410.32</v>
      </c>
      <c r="AF53" s="17">
        <f t="shared" si="17"/>
        <v>0</v>
      </c>
      <c r="AG53" s="17">
        <f t="shared" si="18"/>
        <v>0</v>
      </c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66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</row>
    <row r="54" spans="1:119" s="19" customFormat="1" ht="18" customHeight="1" outlineLevel="2" x14ac:dyDescent="0.25">
      <c r="A54" s="48" t="s">
        <v>131</v>
      </c>
      <c r="B54" s="53"/>
      <c r="C54" s="64">
        <v>6250</v>
      </c>
      <c r="D54" s="68">
        <f>4628.74+548.9</f>
        <v>5177.6400000000003</v>
      </c>
      <c r="E54" s="68">
        <v>6250</v>
      </c>
      <c r="F54" s="68">
        <f>5222.84+1916.53</f>
        <v>7139.37</v>
      </c>
      <c r="G54" s="68">
        <v>6250</v>
      </c>
      <c r="H54" s="50">
        <f>4491.1+576</f>
        <v>5067.1000000000004</v>
      </c>
      <c r="I54" s="68">
        <v>6250</v>
      </c>
      <c r="J54" s="68">
        <f>6227.44+1686.42</f>
        <v>7913.86</v>
      </c>
      <c r="K54" s="68">
        <v>6250</v>
      </c>
      <c r="L54" s="68">
        <f>5937.8+4678.74</f>
        <v>10616.54</v>
      </c>
      <c r="M54" s="68">
        <v>6250</v>
      </c>
      <c r="N54" s="68">
        <f>8127.21+982.8</f>
        <v>9110.01</v>
      </c>
      <c r="O54" s="68">
        <v>6250</v>
      </c>
      <c r="P54" s="68">
        <f>6126.87+380.1</f>
        <v>6506.97</v>
      </c>
      <c r="Q54" s="68">
        <v>6250</v>
      </c>
      <c r="R54" s="68">
        <f>7445.02+1008.8</f>
        <v>8453.82</v>
      </c>
      <c r="S54" s="68">
        <v>6250</v>
      </c>
      <c r="T54" s="68">
        <f>12755.18-1916.53+257.49+1945.5</f>
        <v>13041.64</v>
      </c>
      <c r="U54" s="68">
        <v>6250</v>
      </c>
      <c r="V54" s="68">
        <f>3303.45+1867.8</f>
        <v>5171.25</v>
      </c>
      <c r="W54" s="68">
        <v>6250</v>
      </c>
      <c r="X54" s="68">
        <f>8175.02+2083</f>
        <v>10258.02</v>
      </c>
      <c r="Y54" s="68">
        <v>6250</v>
      </c>
      <c r="Z54" s="68">
        <f>5661.44+2394</f>
        <v>8055.44</v>
      </c>
      <c r="AA54" s="51">
        <f t="shared" si="11"/>
        <v>75000</v>
      </c>
      <c r="AB54" s="51">
        <f t="shared" si="12"/>
        <v>96511.660000000018</v>
      </c>
      <c r="AC54" s="104"/>
      <c r="AD54" s="31">
        <f t="shared" si="13"/>
        <v>75000</v>
      </c>
      <c r="AE54" s="31">
        <f t="shared" si="14"/>
        <v>96511.660000000018</v>
      </c>
      <c r="AF54" s="17">
        <f t="shared" si="17"/>
        <v>0</v>
      </c>
      <c r="AG54" s="17">
        <f t="shared" si="18"/>
        <v>0</v>
      </c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61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</row>
    <row r="55" spans="1:119" s="19" customFormat="1" ht="18" customHeight="1" outlineLevel="2" x14ac:dyDescent="0.25">
      <c r="A55" s="48" t="s">
        <v>132</v>
      </c>
      <c r="B55" s="53"/>
      <c r="C55" s="64">
        <v>13020</v>
      </c>
      <c r="D55" s="68">
        <v>7264.29</v>
      </c>
      <c r="E55" s="68">
        <v>13020</v>
      </c>
      <c r="F55" s="68">
        <v>7162.63</v>
      </c>
      <c r="G55" s="68">
        <v>13020</v>
      </c>
      <c r="H55" s="50">
        <v>12833.6</v>
      </c>
      <c r="I55" s="68">
        <v>13020</v>
      </c>
      <c r="J55" s="68">
        <v>10633.79</v>
      </c>
      <c r="K55" s="68">
        <v>13020</v>
      </c>
      <c r="L55" s="68">
        <v>8383.2999999999993</v>
      </c>
      <c r="M55" s="68">
        <v>13020</v>
      </c>
      <c r="N55" s="68">
        <v>9315.5</v>
      </c>
      <c r="O55" s="68">
        <v>13020</v>
      </c>
      <c r="P55" s="68">
        <v>8032.83</v>
      </c>
      <c r="Q55" s="68">
        <v>13020</v>
      </c>
      <c r="R55" s="68">
        <v>8452.75</v>
      </c>
      <c r="S55" s="68">
        <v>13020</v>
      </c>
      <c r="T55" s="68">
        <v>10894.21</v>
      </c>
      <c r="U55" s="68">
        <v>13020</v>
      </c>
      <c r="V55" s="68">
        <v>10167.26</v>
      </c>
      <c r="W55" s="68">
        <v>13020</v>
      </c>
      <c r="X55" s="68">
        <v>12016.4</v>
      </c>
      <c r="Y55" s="68">
        <v>13020</v>
      </c>
      <c r="Z55" s="68">
        <v>13234.32</v>
      </c>
      <c r="AA55" s="51">
        <f t="shared" si="11"/>
        <v>156240</v>
      </c>
      <c r="AB55" s="51">
        <f t="shared" si="12"/>
        <v>118390.87999999998</v>
      </c>
      <c r="AC55" s="104"/>
      <c r="AD55" s="31">
        <f t="shared" si="13"/>
        <v>156240</v>
      </c>
      <c r="AE55" s="31">
        <f t="shared" si="14"/>
        <v>118390.87999999998</v>
      </c>
      <c r="AF55" s="17">
        <f t="shared" si="17"/>
        <v>0</v>
      </c>
      <c r="AG55" s="17">
        <f t="shared" si="18"/>
        <v>0</v>
      </c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61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</row>
    <row r="56" spans="1:119" s="19" customFormat="1" ht="18" customHeight="1" outlineLevel="2" x14ac:dyDescent="0.25">
      <c r="A56" s="48" t="s">
        <v>180</v>
      </c>
      <c r="B56" s="53"/>
      <c r="C56" s="64">
        <v>7020</v>
      </c>
      <c r="D56" s="68">
        <v>5383</v>
      </c>
      <c r="E56" s="68">
        <v>7020</v>
      </c>
      <c r="F56" s="68">
        <v>3657</v>
      </c>
      <c r="G56" s="68">
        <v>7020</v>
      </c>
      <c r="H56" s="50">
        <v>6955</v>
      </c>
      <c r="I56" s="68">
        <v>7020</v>
      </c>
      <c r="J56" s="68">
        <v>7375</v>
      </c>
      <c r="K56" s="68">
        <v>7020</v>
      </c>
      <c r="L56" s="68">
        <v>5595</v>
      </c>
      <c r="M56" s="68">
        <v>7020</v>
      </c>
      <c r="N56" s="68">
        <v>5590</v>
      </c>
      <c r="O56" s="68">
        <v>7020</v>
      </c>
      <c r="P56" s="68">
        <v>5935</v>
      </c>
      <c r="Q56" s="68">
        <v>7020</v>
      </c>
      <c r="R56" s="68">
        <v>7050</v>
      </c>
      <c r="S56" s="68">
        <v>7020</v>
      </c>
      <c r="T56" s="68">
        <v>7252</v>
      </c>
      <c r="U56" s="68">
        <v>7020</v>
      </c>
      <c r="V56" s="68">
        <v>5985</v>
      </c>
      <c r="W56" s="68">
        <v>7020</v>
      </c>
      <c r="X56" s="68">
        <v>6870</v>
      </c>
      <c r="Y56" s="68">
        <v>7020</v>
      </c>
      <c r="Z56" s="68">
        <v>7065</v>
      </c>
      <c r="AA56" s="51">
        <f t="shared" si="11"/>
        <v>84240</v>
      </c>
      <c r="AB56" s="51">
        <f t="shared" si="12"/>
        <v>74712</v>
      </c>
      <c r="AC56" s="104"/>
      <c r="AD56" s="31">
        <f t="shared" si="13"/>
        <v>84240</v>
      </c>
      <c r="AE56" s="31">
        <f t="shared" si="14"/>
        <v>74712</v>
      </c>
      <c r="AF56" s="17">
        <f t="shared" si="17"/>
        <v>0</v>
      </c>
      <c r="AG56" s="17">
        <f t="shared" si="18"/>
        <v>0</v>
      </c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61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</row>
    <row r="57" spans="1:119" s="19" customFormat="1" ht="18" customHeight="1" outlineLevel="2" x14ac:dyDescent="0.25">
      <c r="A57" s="48" t="s">
        <v>134</v>
      </c>
      <c r="B57" s="53"/>
      <c r="C57" s="64">
        <v>1800</v>
      </c>
      <c r="D57" s="68">
        <v>700</v>
      </c>
      <c r="E57" s="68">
        <v>1800</v>
      </c>
      <c r="F57" s="68">
        <v>1500.78</v>
      </c>
      <c r="G57" s="68">
        <v>1800</v>
      </c>
      <c r="H57" s="50">
        <v>1700</v>
      </c>
      <c r="I57" s="68">
        <v>1800</v>
      </c>
      <c r="J57" s="68">
        <v>1600</v>
      </c>
      <c r="K57" s="68">
        <v>1800</v>
      </c>
      <c r="L57" s="68">
        <v>1300</v>
      </c>
      <c r="M57" s="68">
        <v>1800</v>
      </c>
      <c r="N57" s="68">
        <v>1500</v>
      </c>
      <c r="O57" s="68">
        <v>1800</v>
      </c>
      <c r="P57" s="68">
        <v>1300</v>
      </c>
      <c r="Q57" s="68">
        <v>1800</v>
      </c>
      <c r="R57" s="68">
        <v>1650</v>
      </c>
      <c r="S57" s="68">
        <v>1800</v>
      </c>
      <c r="T57" s="68">
        <v>1780</v>
      </c>
      <c r="U57" s="68">
        <v>1800</v>
      </c>
      <c r="V57" s="68">
        <v>1785</v>
      </c>
      <c r="W57" s="68">
        <v>1800</v>
      </c>
      <c r="X57" s="68">
        <v>1480</v>
      </c>
      <c r="Y57" s="68">
        <v>1800</v>
      </c>
      <c r="Z57" s="68">
        <v>1700</v>
      </c>
      <c r="AA57" s="51">
        <f t="shared" si="11"/>
        <v>21600</v>
      </c>
      <c r="AB57" s="51">
        <f t="shared" si="12"/>
        <v>17995.78</v>
      </c>
      <c r="AC57" s="104"/>
      <c r="AD57" s="31">
        <f t="shared" si="13"/>
        <v>21600</v>
      </c>
      <c r="AE57" s="31">
        <f t="shared" si="14"/>
        <v>17995.78</v>
      </c>
      <c r="AF57" s="17">
        <f t="shared" si="17"/>
        <v>0</v>
      </c>
      <c r="AG57" s="17">
        <f t="shared" si="18"/>
        <v>0</v>
      </c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61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</row>
    <row r="58" spans="1:119" s="19" customFormat="1" ht="18" customHeight="1" outlineLevel="2" x14ac:dyDescent="0.25">
      <c r="A58" s="48" t="s">
        <v>135</v>
      </c>
      <c r="B58" s="53"/>
      <c r="C58" s="64">
        <v>600</v>
      </c>
      <c r="D58" s="68">
        <v>350</v>
      </c>
      <c r="E58" s="68">
        <v>600</v>
      </c>
      <c r="F58" s="68">
        <v>516</v>
      </c>
      <c r="G58" s="68">
        <v>600</v>
      </c>
      <c r="H58" s="50">
        <v>834</v>
      </c>
      <c r="I58" s="68">
        <v>600</v>
      </c>
      <c r="J58" s="68">
        <v>800</v>
      </c>
      <c r="K58" s="68">
        <v>600</v>
      </c>
      <c r="L58" s="68">
        <v>700</v>
      </c>
      <c r="M58" s="68">
        <v>600</v>
      </c>
      <c r="N58" s="68">
        <v>1100</v>
      </c>
      <c r="O58" s="68">
        <v>600</v>
      </c>
      <c r="P58" s="68">
        <v>700</v>
      </c>
      <c r="Q58" s="68">
        <v>600</v>
      </c>
      <c r="R58" s="68">
        <v>550</v>
      </c>
      <c r="S58" s="68">
        <v>600</v>
      </c>
      <c r="T58" s="68">
        <v>600</v>
      </c>
      <c r="U58" s="68">
        <v>600</v>
      </c>
      <c r="V58" s="68">
        <v>600</v>
      </c>
      <c r="W58" s="68">
        <v>600</v>
      </c>
      <c r="X58" s="68">
        <v>500</v>
      </c>
      <c r="Y58" s="68">
        <v>600</v>
      </c>
      <c r="Z58" s="68">
        <v>550</v>
      </c>
      <c r="AA58" s="51">
        <f t="shared" si="11"/>
        <v>7200</v>
      </c>
      <c r="AB58" s="51">
        <f t="shared" si="12"/>
        <v>7800</v>
      </c>
      <c r="AC58" s="104"/>
      <c r="AD58" s="31">
        <f t="shared" si="13"/>
        <v>7200</v>
      </c>
      <c r="AE58" s="31">
        <f t="shared" si="14"/>
        <v>7800</v>
      </c>
      <c r="AF58" s="17">
        <f t="shared" si="17"/>
        <v>0</v>
      </c>
      <c r="AG58" s="17">
        <f t="shared" si="18"/>
        <v>0</v>
      </c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61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</row>
    <row r="59" spans="1:119" s="19" customFormat="1" ht="18" customHeight="1" outlineLevel="1" x14ac:dyDescent="0.25">
      <c r="A59" s="48" t="s">
        <v>136</v>
      </c>
      <c r="B59" s="53"/>
      <c r="C59" s="64">
        <v>5400</v>
      </c>
      <c r="D59" s="68">
        <v>29373</v>
      </c>
      <c r="E59" s="68">
        <v>5400</v>
      </c>
      <c r="F59" s="68">
        <v>3392</v>
      </c>
      <c r="G59" s="68">
        <v>13400</v>
      </c>
      <c r="H59" s="50">
        <v>6382.82</v>
      </c>
      <c r="I59" s="68">
        <v>5400</v>
      </c>
      <c r="J59" s="68">
        <v>24333.46</v>
      </c>
      <c r="K59" s="68">
        <v>5400</v>
      </c>
      <c r="L59" s="68">
        <v>4242.99</v>
      </c>
      <c r="M59" s="68">
        <v>5400</v>
      </c>
      <c r="N59" s="68">
        <v>4204</v>
      </c>
      <c r="O59" s="68">
        <v>5400</v>
      </c>
      <c r="P59" s="68">
        <v>2311</v>
      </c>
      <c r="Q59" s="68">
        <v>5400</v>
      </c>
      <c r="R59" s="68">
        <v>3726</v>
      </c>
      <c r="S59" s="68">
        <v>5400</v>
      </c>
      <c r="T59" s="68">
        <v>31312.6</v>
      </c>
      <c r="U59" s="68">
        <v>5400</v>
      </c>
      <c r="V59" s="68">
        <v>1530</v>
      </c>
      <c r="W59" s="68">
        <v>5400</v>
      </c>
      <c r="X59" s="68">
        <v>12777.2</v>
      </c>
      <c r="Y59" s="68">
        <v>5400</v>
      </c>
      <c r="Z59" s="68">
        <v>4078</v>
      </c>
      <c r="AA59" s="51">
        <f t="shared" si="11"/>
        <v>72800</v>
      </c>
      <c r="AB59" s="51">
        <f t="shared" si="12"/>
        <v>127663.06999999999</v>
      </c>
      <c r="AC59" s="104"/>
      <c r="AD59" s="31">
        <f t="shared" si="13"/>
        <v>72800</v>
      </c>
      <c r="AE59" s="31">
        <f t="shared" si="14"/>
        <v>127663.06999999999</v>
      </c>
      <c r="AF59" s="17">
        <f t="shared" si="17"/>
        <v>0</v>
      </c>
      <c r="AG59" s="17">
        <f t="shared" si="18"/>
        <v>0</v>
      </c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61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</row>
    <row r="60" spans="1:119" s="19" customFormat="1" ht="18" customHeight="1" outlineLevel="1" x14ac:dyDescent="0.25">
      <c r="A60" s="48" t="s">
        <v>137</v>
      </c>
      <c r="B60" s="53"/>
      <c r="C60" s="64"/>
      <c r="D60" s="68">
        <v>0</v>
      </c>
      <c r="E60" s="68"/>
      <c r="F60" s="68">
        <v>0</v>
      </c>
      <c r="G60" s="68"/>
      <c r="H60" s="50">
        <v>0</v>
      </c>
      <c r="I60" s="68"/>
      <c r="J60" s="68">
        <v>0</v>
      </c>
      <c r="K60" s="68"/>
      <c r="L60" s="68">
        <v>0</v>
      </c>
      <c r="M60" s="68"/>
      <c r="N60" s="68">
        <v>0</v>
      </c>
      <c r="O60" s="68"/>
      <c r="P60" s="68">
        <v>0</v>
      </c>
      <c r="Q60" s="68"/>
      <c r="R60" s="68">
        <v>0</v>
      </c>
      <c r="S60" s="68"/>
      <c r="T60" s="68">
        <v>0</v>
      </c>
      <c r="U60" s="68"/>
      <c r="V60" s="68">
        <v>0</v>
      </c>
      <c r="W60" s="68"/>
      <c r="X60" s="68">
        <v>0</v>
      </c>
      <c r="Y60" s="68"/>
      <c r="Z60" s="68">
        <v>0</v>
      </c>
      <c r="AA60" s="51">
        <f t="shared" si="11"/>
        <v>0</v>
      </c>
      <c r="AB60" s="51">
        <f t="shared" si="12"/>
        <v>0</v>
      </c>
      <c r="AC60" s="104"/>
      <c r="AD60" s="31">
        <f t="shared" si="13"/>
        <v>0</v>
      </c>
      <c r="AE60" s="31">
        <f t="shared" si="14"/>
        <v>0</v>
      </c>
      <c r="AF60" s="17">
        <f t="shared" si="17"/>
        <v>0</v>
      </c>
      <c r="AG60" s="17">
        <f t="shared" si="18"/>
        <v>0</v>
      </c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61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</row>
    <row r="61" spans="1:119" s="19" customFormat="1" ht="18" customHeight="1" outlineLevel="1" x14ac:dyDescent="0.25">
      <c r="A61" s="48" t="s">
        <v>138</v>
      </c>
      <c r="B61" s="53"/>
      <c r="C61" s="64"/>
      <c r="D61" s="68">
        <v>0</v>
      </c>
      <c r="E61" s="68"/>
      <c r="F61" s="68">
        <v>0</v>
      </c>
      <c r="G61" s="68"/>
      <c r="H61" s="50">
        <v>0</v>
      </c>
      <c r="I61" s="68"/>
      <c r="J61" s="68">
        <v>0</v>
      </c>
      <c r="K61" s="68"/>
      <c r="L61" s="68">
        <v>0</v>
      </c>
      <c r="M61" s="68"/>
      <c r="N61" s="68">
        <v>0</v>
      </c>
      <c r="O61" s="68"/>
      <c r="P61" s="68">
        <v>0</v>
      </c>
      <c r="Q61" s="68"/>
      <c r="R61" s="68">
        <v>0</v>
      </c>
      <c r="S61" s="68"/>
      <c r="T61" s="68">
        <v>0</v>
      </c>
      <c r="U61" s="68"/>
      <c r="V61" s="68">
        <v>0</v>
      </c>
      <c r="W61" s="68"/>
      <c r="X61" s="68">
        <v>0</v>
      </c>
      <c r="Y61" s="68"/>
      <c r="Z61" s="68">
        <v>0</v>
      </c>
      <c r="AA61" s="51">
        <f t="shared" si="11"/>
        <v>0</v>
      </c>
      <c r="AB61" s="51">
        <f t="shared" si="12"/>
        <v>0</v>
      </c>
      <c r="AC61" s="104"/>
      <c r="AD61" s="31">
        <f t="shared" si="13"/>
        <v>0</v>
      </c>
      <c r="AE61" s="31">
        <f t="shared" si="14"/>
        <v>0</v>
      </c>
      <c r="AF61" s="17">
        <f t="shared" si="17"/>
        <v>0</v>
      </c>
      <c r="AG61" s="17">
        <f t="shared" si="18"/>
        <v>0</v>
      </c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61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</row>
    <row r="62" spans="1:119" s="19" customFormat="1" ht="18" customHeight="1" outlineLevel="1" x14ac:dyDescent="0.25">
      <c r="A62" s="48" t="s">
        <v>139</v>
      </c>
      <c r="B62" s="53"/>
      <c r="C62" s="64"/>
      <c r="D62" s="68">
        <v>0</v>
      </c>
      <c r="E62" s="68"/>
      <c r="F62" s="68">
        <v>0</v>
      </c>
      <c r="G62" s="68"/>
      <c r="H62" s="50">
        <v>0</v>
      </c>
      <c r="I62" s="68"/>
      <c r="J62" s="68">
        <v>0</v>
      </c>
      <c r="K62" s="68"/>
      <c r="L62" s="68">
        <v>0</v>
      </c>
      <c r="M62" s="68"/>
      <c r="N62" s="68">
        <v>0</v>
      </c>
      <c r="O62" s="68"/>
      <c r="P62" s="68">
        <v>0</v>
      </c>
      <c r="Q62" s="68"/>
      <c r="R62" s="68">
        <v>0</v>
      </c>
      <c r="S62" s="68"/>
      <c r="T62" s="68">
        <v>0</v>
      </c>
      <c r="U62" s="68"/>
      <c r="V62" s="68">
        <v>0</v>
      </c>
      <c r="W62" s="68"/>
      <c r="X62" s="68">
        <v>0</v>
      </c>
      <c r="Y62" s="68"/>
      <c r="Z62" s="68">
        <v>0</v>
      </c>
      <c r="AA62" s="51">
        <f t="shared" si="11"/>
        <v>0</v>
      </c>
      <c r="AB62" s="51">
        <f t="shared" si="12"/>
        <v>0</v>
      </c>
      <c r="AC62" s="104"/>
      <c r="AD62" s="31">
        <f t="shared" si="13"/>
        <v>0</v>
      </c>
      <c r="AE62" s="31">
        <f t="shared" si="14"/>
        <v>0</v>
      </c>
      <c r="AF62" s="17">
        <f t="shared" si="17"/>
        <v>0</v>
      </c>
      <c r="AG62" s="17">
        <f t="shared" si="18"/>
        <v>0</v>
      </c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61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</row>
    <row r="63" spans="1:119" s="19" customFormat="1" ht="18" customHeight="1" outlineLevel="1" x14ac:dyDescent="0.25">
      <c r="A63" s="48" t="s">
        <v>140</v>
      </c>
      <c r="B63" s="53"/>
      <c r="C63" s="64"/>
      <c r="D63" s="68">
        <v>0</v>
      </c>
      <c r="E63" s="68"/>
      <c r="F63" s="68">
        <v>0</v>
      </c>
      <c r="G63" s="68"/>
      <c r="H63" s="50">
        <v>0</v>
      </c>
      <c r="I63" s="68"/>
      <c r="J63" s="68">
        <v>0</v>
      </c>
      <c r="K63" s="68"/>
      <c r="L63" s="68">
        <v>0</v>
      </c>
      <c r="M63" s="68"/>
      <c r="N63" s="68">
        <v>0</v>
      </c>
      <c r="O63" s="68"/>
      <c r="P63" s="68">
        <v>0</v>
      </c>
      <c r="Q63" s="68"/>
      <c r="R63" s="68">
        <v>0</v>
      </c>
      <c r="S63" s="68"/>
      <c r="T63" s="68">
        <v>0</v>
      </c>
      <c r="U63" s="68"/>
      <c r="V63" s="68">
        <v>0</v>
      </c>
      <c r="W63" s="68"/>
      <c r="X63" s="68">
        <v>0</v>
      </c>
      <c r="Y63" s="68"/>
      <c r="Z63" s="68">
        <v>0</v>
      </c>
      <c r="AA63" s="51">
        <f t="shared" si="11"/>
        <v>0</v>
      </c>
      <c r="AB63" s="51">
        <f t="shared" si="12"/>
        <v>0</v>
      </c>
      <c r="AC63" s="104"/>
      <c r="AD63" s="31">
        <f t="shared" si="13"/>
        <v>0</v>
      </c>
      <c r="AE63" s="31">
        <f t="shared" si="14"/>
        <v>0</v>
      </c>
      <c r="AF63" s="17">
        <f t="shared" si="17"/>
        <v>0</v>
      </c>
      <c r="AG63" s="17">
        <f t="shared" si="18"/>
        <v>0</v>
      </c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61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</row>
    <row r="64" spans="1:119" s="19" customFormat="1" ht="18" customHeight="1" outlineLevel="1" x14ac:dyDescent="0.25">
      <c r="A64" s="48" t="s">
        <v>141</v>
      </c>
      <c r="B64" s="53"/>
      <c r="C64" s="64">
        <v>5010</v>
      </c>
      <c r="D64" s="68">
        <v>4400</v>
      </c>
      <c r="E64" s="68">
        <v>5010</v>
      </c>
      <c r="F64" s="68">
        <v>4400</v>
      </c>
      <c r="G64" s="68">
        <v>5010</v>
      </c>
      <c r="H64" s="50">
        <v>4400</v>
      </c>
      <c r="I64" s="68">
        <v>5010</v>
      </c>
      <c r="J64" s="68">
        <v>4411</v>
      </c>
      <c r="K64" s="68">
        <v>5010</v>
      </c>
      <c r="L64" s="68">
        <v>4461.6000000000004</v>
      </c>
      <c r="M64" s="68">
        <v>5010</v>
      </c>
      <c r="N64" s="68">
        <v>3900</v>
      </c>
      <c r="O64" s="68">
        <v>5010</v>
      </c>
      <c r="P64" s="68">
        <v>3900</v>
      </c>
      <c r="Q64" s="68">
        <v>5010</v>
      </c>
      <c r="R64" s="68">
        <v>3900</v>
      </c>
      <c r="S64" s="68">
        <v>5010</v>
      </c>
      <c r="T64" s="68">
        <v>3900</v>
      </c>
      <c r="U64" s="68">
        <v>5010</v>
      </c>
      <c r="V64" s="68">
        <v>3900</v>
      </c>
      <c r="W64" s="68">
        <v>5010</v>
      </c>
      <c r="X64" s="68">
        <v>3900</v>
      </c>
      <c r="Y64" s="68">
        <v>5010</v>
      </c>
      <c r="Z64" s="68">
        <v>4461.6000000000004</v>
      </c>
      <c r="AA64" s="51">
        <f t="shared" si="11"/>
        <v>60120</v>
      </c>
      <c r="AB64" s="51">
        <f t="shared" si="12"/>
        <v>49934.2</v>
      </c>
      <c r="AC64" s="104"/>
      <c r="AD64" s="31">
        <f t="shared" si="13"/>
        <v>60120</v>
      </c>
      <c r="AE64" s="31">
        <f t="shared" si="14"/>
        <v>49934.2</v>
      </c>
      <c r="AF64" s="17">
        <f t="shared" si="17"/>
        <v>0</v>
      </c>
      <c r="AG64" s="17">
        <f t="shared" si="18"/>
        <v>0</v>
      </c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61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</row>
    <row r="65" spans="1:119" s="17" customFormat="1" ht="18" customHeight="1" outlineLevel="1" x14ac:dyDescent="0.25">
      <c r="A65" s="67" t="s">
        <v>142</v>
      </c>
      <c r="B65" s="45"/>
      <c r="C65" s="65">
        <f t="shared" ref="C65:Z65" si="22">SUM(C66:C69)</f>
        <v>0</v>
      </c>
      <c r="D65" s="65">
        <f t="shared" si="22"/>
        <v>0</v>
      </c>
      <c r="E65" s="65">
        <f t="shared" si="22"/>
        <v>0</v>
      </c>
      <c r="F65" s="65">
        <f t="shared" si="22"/>
        <v>0</v>
      </c>
      <c r="G65" s="65">
        <f t="shared" si="22"/>
        <v>0</v>
      </c>
      <c r="H65" s="65">
        <f t="shared" si="22"/>
        <v>0</v>
      </c>
      <c r="I65" s="65">
        <f t="shared" si="22"/>
        <v>0</v>
      </c>
      <c r="J65" s="65">
        <f t="shared" si="22"/>
        <v>0</v>
      </c>
      <c r="K65" s="65">
        <f t="shared" si="22"/>
        <v>0</v>
      </c>
      <c r="L65" s="65">
        <f t="shared" si="22"/>
        <v>0</v>
      </c>
      <c r="M65" s="65">
        <f t="shared" si="22"/>
        <v>0</v>
      </c>
      <c r="N65" s="65">
        <f t="shared" si="22"/>
        <v>0</v>
      </c>
      <c r="O65" s="65">
        <f t="shared" si="22"/>
        <v>0</v>
      </c>
      <c r="P65" s="65">
        <f t="shared" si="22"/>
        <v>0</v>
      </c>
      <c r="Q65" s="65">
        <f t="shared" si="22"/>
        <v>0</v>
      </c>
      <c r="R65" s="65">
        <f t="shared" si="22"/>
        <v>0</v>
      </c>
      <c r="S65" s="65">
        <f t="shared" si="22"/>
        <v>0</v>
      </c>
      <c r="T65" s="65">
        <f t="shared" si="22"/>
        <v>0</v>
      </c>
      <c r="U65" s="65">
        <f t="shared" si="22"/>
        <v>0</v>
      </c>
      <c r="V65" s="65">
        <f t="shared" si="22"/>
        <v>0</v>
      </c>
      <c r="W65" s="65">
        <f t="shared" si="22"/>
        <v>0</v>
      </c>
      <c r="X65" s="65">
        <f t="shared" si="22"/>
        <v>0</v>
      </c>
      <c r="Y65" s="65">
        <f t="shared" si="22"/>
        <v>0</v>
      </c>
      <c r="Z65" s="65">
        <f t="shared" si="22"/>
        <v>0</v>
      </c>
      <c r="AA65" s="47">
        <f t="shared" si="11"/>
        <v>0</v>
      </c>
      <c r="AB65" s="51">
        <f t="shared" si="12"/>
        <v>0</v>
      </c>
      <c r="AC65" s="103"/>
      <c r="AD65" s="31">
        <f t="shared" si="13"/>
        <v>0</v>
      </c>
      <c r="AE65" s="31">
        <f t="shared" si="14"/>
        <v>0</v>
      </c>
      <c r="AF65" s="17">
        <f t="shared" si="17"/>
        <v>0</v>
      </c>
      <c r="AG65" s="17">
        <f t="shared" si="18"/>
        <v>0</v>
      </c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66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</row>
    <row r="66" spans="1:119" s="19" customFormat="1" ht="18" customHeight="1" outlineLevel="2" x14ac:dyDescent="0.25">
      <c r="A66" s="48" t="s">
        <v>143</v>
      </c>
      <c r="B66" s="53"/>
      <c r="C66" s="64"/>
      <c r="D66" s="68">
        <v>0</v>
      </c>
      <c r="E66" s="68"/>
      <c r="F66" s="68">
        <v>0</v>
      </c>
      <c r="G66" s="68"/>
      <c r="H66" s="50">
        <v>0</v>
      </c>
      <c r="I66" s="68"/>
      <c r="J66" s="68">
        <v>0</v>
      </c>
      <c r="K66" s="68"/>
      <c r="L66" s="68">
        <v>0</v>
      </c>
      <c r="M66" s="68"/>
      <c r="N66" s="68">
        <v>0</v>
      </c>
      <c r="O66" s="68"/>
      <c r="P66" s="68">
        <v>0</v>
      </c>
      <c r="Q66" s="68"/>
      <c r="R66" s="68">
        <v>0</v>
      </c>
      <c r="S66" s="68"/>
      <c r="T66" s="68">
        <v>0</v>
      </c>
      <c r="U66" s="68"/>
      <c r="V66" s="68">
        <v>0</v>
      </c>
      <c r="W66" s="68"/>
      <c r="X66" s="68">
        <v>0</v>
      </c>
      <c r="Y66" s="68"/>
      <c r="Z66" s="68">
        <v>0</v>
      </c>
      <c r="AA66" s="51">
        <f t="shared" si="11"/>
        <v>0</v>
      </c>
      <c r="AB66" s="51">
        <f t="shared" si="12"/>
        <v>0</v>
      </c>
      <c r="AC66" s="104"/>
      <c r="AD66" s="31">
        <f t="shared" si="13"/>
        <v>0</v>
      </c>
      <c r="AE66" s="31">
        <f t="shared" si="14"/>
        <v>0</v>
      </c>
      <c r="AF66" s="17">
        <f t="shared" si="17"/>
        <v>0</v>
      </c>
      <c r="AG66" s="17">
        <f t="shared" si="18"/>
        <v>0</v>
      </c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61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</row>
    <row r="67" spans="1:119" s="19" customFormat="1" ht="18" customHeight="1" outlineLevel="2" x14ac:dyDescent="0.25">
      <c r="A67" s="48" t="s">
        <v>144</v>
      </c>
      <c r="B67" s="53"/>
      <c r="C67" s="64"/>
      <c r="D67" s="68">
        <v>0</v>
      </c>
      <c r="E67" s="68"/>
      <c r="F67" s="68">
        <v>0</v>
      </c>
      <c r="G67" s="68"/>
      <c r="H67" s="50">
        <v>0</v>
      </c>
      <c r="I67" s="68"/>
      <c r="J67" s="68">
        <v>0</v>
      </c>
      <c r="K67" s="68"/>
      <c r="L67" s="68">
        <v>0</v>
      </c>
      <c r="M67" s="68"/>
      <c r="N67" s="68">
        <v>0</v>
      </c>
      <c r="O67" s="68"/>
      <c r="P67" s="68">
        <v>0</v>
      </c>
      <c r="Q67" s="68"/>
      <c r="R67" s="68">
        <v>0</v>
      </c>
      <c r="S67" s="68"/>
      <c r="T67" s="68">
        <v>0</v>
      </c>
      <c r="U67" s="68"/>
      <c r="V67" s="68">
        <v>0</v>
      </c>
      <c r="W67" s="68"/>
      <c r="X67" s="68">
        <v>0</v>
      </c>
      <c r="Y67" s="68"/>
      <c r="Z67" s="68">
        <v>0</v>
      </c>
      <c r="AA67" s="51">
        <f t="shared" si="11"/>
        <v>0</v>
      </c>
      <c r="AB67" s="51">
        <f t="shared" si="12"/>
        <v>0</v>
      </c>
      <c r="AC67" s="104"/>
      <c r="AD67" s="31">
        <f t="shared" si="13"/>
        <v>0</v>
      </c>
      <c r="AE67" s="31">
        <f t="shared" si="14"/>
        <v>0</v>
      </c>
      <c r="AF67" s="17">
        <f t="shared" si="17"/>
        <v>0</v>
      </c>
      <c r="AG67" s="17">
        <f t="shared" si="18"/>
        <v>0</v>
      </c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61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</row>
    <row r="68" spans="1:119" s="19" customFormat="1" ht="18" customHeight="1" outlineLevel="2" x14ac:dyDescent="0.25">
      <c r="A68" s="48" t="s">
        <v>145</v>
      </c>
      <c r="B68" s="53"/>
      <c r="C68" s="64"/>
      <c r="D68" s="68">
        <v>0</v>
      </c>
      <c r="E68" s="68"/>
      <c r="F68" s="68">
        <v>0</v>
      </c>
      <c r="G68" s="68"/>
      <c r="H68" s="50">
        <v>0</v>
      </c>
      <c r="I68" s="68"/>
      <c r="J68" s="68">
        <v>0</v>
      </c>
      <c r="K68" s="68"/>
      <c r="L68" s="68">
        <v>0</v>
      </c>
      <c r="M68" s="68"/>
      <c r="N68" s="68">
        <v>0</v>
      </c>
      <c r="O68" s="68"/>
      <c r="P68" s="68">
        <v>0</v>
      </c>
      <c r="Q68" s="68"/>
      <c r="R68" s="68">
        <v>0</v>
      </c>
      <c r="S68" s="68"/>
      <c r="T68" s="68">
        <v>0</v>
      </c>
      <c r="U68" s="68"/>
      <c r="V68" s="68">
        <v>0</v>
      </c>
      <c r="W68" s="68"/>
      <c r="X68" s="68">
        <v>0</v>
      </c>
      <c r="Y68" s="68"/>
      <c r="Z68" s="68">
        <v>0</v>
      </c>
      <c r="AA68" s="51">
        <f t="shared" si="11"/>
        <v>0</v>
      </c>
      <c r="AB68" s="51">
        <f t="shared" si="12"/>
        <v>0</v>
      </c>
      <c r="AC68" s="104"/>
      <c r="AD68" s="31">
        <f t="shared" si="13"/>
        <v>0</v>
      </c>
      <c r="AE68" s="31">
        <f t="shared" si="14"/>
        <v>0</v>
      </c>
      <c r="AF68" s="17">
        <f t="shared" si="17"/>
        <v>0</v>
      </c>
      <c r="AG68" s="17">
        <f t="shared" si="18"/>
        <v>0</v>
      </c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61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</row>
    <row r="69" spans="1:119" s="19" customFormat="1" ht="18" customHeight="1" outlineLevel="2" x14ac:dyDescent="0.25">
      <c r="A69" s="48" t="s">
        <v>146</v>
      </c>
      <c r="B69" s="53"/>
      <c r="C69" s="64"/>
      <c r="D69" s="68">
        <v>0</v>
      </c>
      <c r="E69" s="68"/>
      <c r="F69" s="68">
        <v>0</v>
      </c>
      <c r="G69" s="68"/>
      <c r="H69" s="50">
        <v>0</v>
      </c>
      <c r="I69" s="68"/>
      <c r="J69" s="68">
        <v>0</v>
      </c>
      <c r="K69" s="68"/>
      <c r="L69" s="68">
        <v>0</v>
      </c>
      <c r="M69" s="68"/>
      <c r="N69" s="68">
        <v>0</v>
      </c>
      <c r="O69" s="68"/>
      <c r="P69" s="68">
        <v>0</v>
      </c>
      <c r="Q69" s="68"/>
      <c r="R69" s="68">
        <v>0</v>
      </c>
      <c r="S69" s="68"/>
      <c r="T69" s="68">
        <v>0</v>
      </c>
      <c r="U69" s="68"/>
      <c r="V69" s="68">
        <v>0</v>
      </c>
      <c r="W69" s="68"/>
      <c r="X69" s="68">
        <v>0</v>
      </c>
      <c r="Y69" s="68"/>
      <c r="Z69" s="68">
        <v>0</v>
      </c>
      <c r="AA69" s="51">
        <f t="shared" si="11"/>
        <v>0</v>
      </c>
      <c r="AB69" s="51">
        <f t="shared" si="12"/>
        <v>0</v>
      </c>
      <c r="AC69" s="104"/>
      <c r="AD69" s="31">
        <f t="shared" si="13"/>
        <v>0</v>
      </c>
      <c r="AE69" s="31">
        <f t="shared" si="14"/>
        <v>0</v>
      </c>
      <c r="AF69" s="17">
        <f t="shared" si="17"/>
        <v>0</v>
      </c>
      <c r="AG69" s="17">
        <f t="shared" si="18"/>
        <v>0</v>
      </c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61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</row>
    <row r="70" spans="1:119" s="19" customFormat="1" ht="18" customHeight="1" outlineLevel="1" x14ac:dyDescent="0.25">
      <c r="A70" s="48" t="s">
        <v>147</v>
      </c>
      <c r="B70" s="53"/>
      <c r="C70" s="64"/>
      <c r="D70" s="68">
        <v>0</v>
      </c>
      <c r="E70" s="68"/>
      <c r="F70" s="68">
        <v>0</v>
      </c>
      <c r="G70" s="68"/>
      <c r="H70" s="50">
        <v>0</v>
      </c>
      <c r="I70" s="68"/>
      <c r="J70" s="68">
        <v>0</v>
      </c>
      <c r="K70" s="68"/>
      <c r="L70" s="68">
        <v>0</v>
      </c>
      <c r="M70" s="68"/>
      <c r="N70" s="68">
        <v>0</v>
      </c>
      <c r="O70" s="68"/>
      <c r="P70" s="68">
        <v>0</v>
      </c>
      <c r="Q70" s="68"/>
      <c r="R70" s="68">
        <v>0</v>
      </c>
      <c r="S70" s="68"/>
      <c r="T70" s="68">
        <v>0</v>
      </c>
      <c r="U70" s="68"/>
      <c r="V70" s="68">
        <v>0</v>
      </c>
      <c r="W70" s="68"/>
      <c r="X70" s="68">
        <v>0</v>
      </c>
      <c r="Y70" s="68"/>
      <c r="Z70" s="68">
        <v>0</v>
      </c>
      <c r="AA70" s="51">
        <f t="shared" si="11"/>
        <v>0</v>
      </c>
      <c r="AB70" s="51">
        <f t="shared" si="12"/>
        <v>0</v>
      </c>
      <c r="AC70" s="104"/>
      <c r="AD70" s="31">
        <f t="shared" si="13"/>
        <v>0</v>
      </c>
      <c r="AE70" s="31">
        <f t="shared" si="14"/>
        <v>0</v>
      </c>
      <c r="AF70" s="17">
        <f t="shared" si="17"/>
        <v>0</v>
      </c>
      <c r="AG70" s="17">
        <f t="shared" si="18"/>
        <v>0</v>
      </c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61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</row>
    <row r="71" spans="1:119" s="19" customFormat="1" ht="18" customHeight="1" outlineLevel="1" x14ac:dyDescent="0.25">
      <c r="A71" s="48" t="s">
        <v>148</v>
      </c>
      <c r="B71" s="53"/>
      <c r="C71" s="64"/>
      <c r="D71" s="68">
        <v>0</v>
      </c>
      <c r="E71" s="68"/>
      <c r="F71" s="68">
        <v>0</v>
      </c>
      <c r="G71" s="68">
        <v>1800</v>
      </c>
      <c r="H71" s="50">
        <v>0</v>
      </c>
      <c r="I71" s="68"/>
      <c r="J71" s="68">
        <v>0</v>
      </c>
      <c r="K71" s="68"/>
      <c r="L71" s="68">
        <v>0</v>
      </c>
      <c r="M71" s="68"/>
      <c r="N71" s="68">
        <v>0</v>
      </c>
      <c r="O71" s="68"/>
      <c r="P71" s="68">
        <v>0</v>
      </c>
      <c r="Q71" s="68"/>
      <c r="R71" s="68">
        <v>0</v>
      </c>
      <c r="S71" s="68"/>
      <c r="T71" s="68">
        <v>0</v>
      </c>
      <c r="U71" s="68"/>
      <c r="V71" s="68">
        <v>0</v>
      </c>
      <c r="W71" s="68"/>
      <c r="X71" s="68">
        <v>0</v>
      </c>
      <c r="Y71" s="68"/>
      <c r="Z71" s="68">
        <v>0</v>
      </c>
      <c r="AA71" s="51">
        <f t="shared" si="11"/>
        <v>1800</v>
      </c>
      <c r="AB71" s="51">
        <f t="shared" si="12"/>
        <v>0</v>
      </c>
      <c r="AC71" s="104"/>
      <c r="AD71" s="31">
        <f t="shared" si="13"/>
        <v>1800</v>
      </c>
      <c r="AE71" s="31">
        <f t="shared" si="14"/>
        <v>0</v>
      </c>
      <c r="AF71" s="17">
        <f t="shared" si="17"/>
        <v>0</v>
      </c>
      <c r="AG71" s="17">
        <f t="shared" si="18"/>
        <v>0</v>
      </c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61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</row>
    <row r="72" spans="1:119" s="19" customFormat="1" ht="18" customHeight="1" outlineLevel="1" x14ac:dyDescent="0.25">
      <c r="A72" s="48" t="s">
        <v>149</v>
      </c>
      <c r="B72" s="53"/>
      <c r="C72" s="64"/>
      <c r="D72" s="68">
        <v>0</v>
      </c>
      <c r="E72" s="68"/>
      <c r="F72" s="68">
        <v>0</v>
      </c>
      <c r="G72" s="68"/>
      <c r="H72" s="50">
        <v>0</v>
      </c>
      <c r="I72" s="68"/>
      <c r="J72" s="68">
        <v>0</v>
      </c>
      <c r="K72" s="68"/>
      <c r="L72" s="68">
        <v>0</v>
      </c>
      <c r="M72" s="68"/>
      <c r="N72" s="68">
        <v>0</v>
      </c>
      <c r="O72" s="68"/>
      <c r="P72" s="68">
        <v>0</v>
      </c>
      <c r="Q72" s="68"/>
      <c r="R72" s="68">
        <v>0</v>
      </c>
      <c r="S72" s="68"/>
      <c r="T72" s="68">
        <v>0</v>
      </c>
      <c r="U72" s="68"/>
      <c r="V72" s="68">
        <v>0</v>
      </c>
      <c r="W72" s="68"/>
      <c r="X72" s="68">
        <v>0</v>
      </c>
      <c r="Y72" s="68"/>
      <c r="Z72" s="68">
        <v>0</v>
      </c>
      <c r="AA72" s="51">
        <f t="shared" si="11"/>
        <v>0</v>
      </c>
      <c r="AB72" s="51">
        <f t="shared" si="12"/>
        <v>0</v>
      </c>
      <c r="AC72" s="104"/>
      <c r="AD72" s="31">
        <f t="shared" si="13"/>
        <v>0</v>
      </c>
      <c r="AE72" s="31">
        <f t="shared" si="14"/>
        <v>0</v>
      </c>
      <c r="AF72" s="17">
        <f t="shared" si="17"/>
        <v>0</v>
      </c>
      <c r="AG72" s="17">
        <f t="shared" si="18"/>
        <v>0</v>
      </c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61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</row>
    <row r="73" spans="1:119" s="19" customFormat="1" ht="18" customHeight="1" outlineLevel="1" x14ac:dyDescent="0.25">
      <c r="A73" s="48" t="s">
        <v>150</v>
      </c>
      <c r="B73" s="53"/>
      <c r="C73" s="64">
        <v>1600</v>
      </c>
      <c r="D73" s="68">
        <v>478.62</v>
      </c>
      <c r="E73" s="68">
        <v>1600</v>
      </c>
      <c r="F73" s="68">
        <v>1350.35</v>
      </c>
      <c r="G73" s="68">
        <v>1600</v>
      </c>
      <c r="H73" s="50">
        <v>2306.41</v>
      </c>
      <c r="I73" s="68">
        <v>1600</v>
      </c>
      <c r="J73" s="68">
        <v>2126.09</v>
      </c>
      <c r="K73" s="68">
        <v>1600</v>
      </c>
      <c r="L73" s="68">
        <v>1427.96</v>
      </c>
      <c r="M73" s="68">
        <v>1600</v>
      </c>
      <c r="N73" s="68">
        <v>893.86</v>
      </c>
      <c r="O73" s="68">
        <v>1600</v>
      </c>
      <c r="P73" s="68">
        <v>1440.35</v>
      </c>
      <c r="Q73" s="68">
        <v>1600</v>
      </c>
      <c r="R73" s="68">
        <v>1094.21</v>
      </c>
      <c r="S73" s="68">
        <v>1600</v>
      </c>
      <c r="T73" s="68">
        <v>1279.92</v>
      </c>
      <c r="U73" s="68">
        <v>1600</v>
      </c>
      <c r="V73" s="68">
        <v>1231.3800000000001</v>
      </c>
      <c r="W73" s="68">
        <v>1600</v>
      </c>
      <c r="X73" s="68">
        <v>1187.1300000000001</v>
      </c>
      <c r="Y73" s="68">
        <v>1600</v>
      </c>
      <c r="Z73" s="68">
        <v>1259.69</v>
      </c>
      <c r="AA73" s="51">
        <f t="shared" si="11"/>
        <v>19200</v>
      </c>
      <c r="AB73" s="51">
        <f t="shared" si="12"/>
        <v>16075.97</v>
      </c>
      <c r="AC73" s="104"/>
      <c r="AD73" s="31">
        <f t="shared" si="13"/>
        <v>19200</v>
      </c>
      <c r="AE73" s="31">
        <f t="shared" si="14"/>
        <v>16075.97</v>
      </c>
      <c r="AF73" s="17">
        <f t="shared" si="17"/>
        <v>0</v>
      </c>
      <c r="AG73" s="17">
        <f t="shared" si="18"/>
        <v>0</v>
      </c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61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</row>
    <row r="74" spans="1:119" s="19" customFormat="1" ht="18" customHeight="1" outlineLevel="1" x14ac:dyDescent="0.25">
      <c r="A74" s="48" t="s">
        <v>151</v>
      </c>
      <c r="B74" s="53"/>
      <c r="C74" s="64"/>
      <c r="D74" s="68">
        <v>0</v>
      </c>
      <c r="E74" s="68"/>
      <c r="F74" s="68">
        <v>0</v>
      </c>
      <c r="G74" s="68"/>
      <c r="H74" s="50">
        <v>0</v>
      </c>
      <c r="I74" s="68"/>
      <c r="J74" s="68">
        <v>0</v>
      </c>
      <c r="K74" s="68"/>
      <c r="L74" s="68">
        <v>0</v>
      </c>
      <c r="M74" s="68"/>
      <c r="N74" s="68">
        <v>0</v>
      </c>
      <c r="O74" s="68"/>
      <c r="P74" s="68">
        <v>0</v>
      </c>
      <c r="Q74" s="68"/>
      <c r="R74" s="68">
        <v>0</v>
      </c>
      <c r="S74" s="68"/>
      <c r="T74" s="68">
        <v>0</v>
      </c>
      <c r="U74" s="68"/>
      <c r="V74" s="68">
        <v>0</v>
      </c>
      <c r="W74" s="68"/>
      <c r="X74" s="68">
        <v>0</v>
      </c>
      <c r="Y74" s="68"/>
      <c r="Z74" s="68">
        <v>0</v>
      </c>
      <c r="AA74" s="51">
        <f t="shared" si="11"/>
        <v>0</v>
      </c>
      <c r="AB74" s="51">
        <f t="shared" si="12"/>
        <v>0</v>
      </c>
      <c r="AC74" s="104"/>
      <c r="AD74" s="31">
        <f t="shared" si="13"/>
        <v>0</v>
      </c>
      <c r="AE74" s="31">
        <f t="shared" si="14"/>
        <v>0</v>
      </c>
      <c r="AF74" s="17">
        <f t="shared" si="17"/>
        <v>0</v>
      </c>
      <c r="AG74" s="17">
        <f t="shared" si="18"/>
        <v>0</v>
      </c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61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</row>
    <row r="75" spans="1:119" s="19" customFormat="1" ht="18" customHeight="1" outlineLevel="1" x14ac:dyDescent="0.25">
      <c r="A75" s="48" t="s">
        <v>152</v>
      </c>
      <c r="B75" s="53"/>
      <c r="C75" s="64"/>
      <c r="D75" s="68">
        <v>0</v>
      </c>
      <c r="E75" s="68"/>
      <c r="F75" s="68">
        <v>0</v>
      </c>
      <c r="G75" s="68"/>
      <c r="H75" s="50">
        <v>0</v>
      </c>
      <c r="I75" s="68"/>
      <c r="J75" s="68">
        <v>0</v>
      </c>
      <c r="K75" s="68"/>
      <c r="L75" s="68">
        <v>0</v>
      </c>
      <c r="M75" s="68"/>
      <c r="N75" s="68">
        <v>0</v>
      </c>
      <c r="O75" s="68"/>
      <c r="P75" s="68">
        <v>0</v>
      </c>
      <c r="Q75" s="68"/>
      <c r="R75" s="68">
        <v>0</v>
      </c>
      <c r="S75" s="68"/>
      <c r="T75" s="68">
        <v>0</v>
      </c>
      <c r="U75" s="68"/>
      <c r="V75" s="68">
        <v>0</v>
      </c>
      <c r="W75" s="68"/>
      <c r="X75" s="68">
        <v>0</v>
      </c>
      <c r="Y75" s="68"/>
      <c r="Z75" s="68">
        <v>0</v>
      </c>
      <c r="AA75" s="51">
        <f t="shared" si="11"/>
        <v>0</v>
      </c>
      <c r="AB75" s="51">
        <f t="shared" si="12"/>
        <v>0</v>
      </c>
      <c r="AC75" s="104"/>
      <c r="AD75" s="31">
        <f t="shared" si="13"/>
        <v>0</v>
      </c>
      <c r="AE75" s="31">
        <f t="shared" si="14"/>
        <v>0</v>
      </c>
      <c r="AF75" s="17">
        <f t="shared" si="17"/>
        <v>0</v>
      </c>
      <c r="AG75" s="17">
        <f t="shared" si="18"/>
        <v>0</v>
      </c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61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</row>
    <row r="76" spans="1:119" s="19" customFormat="1" ht="18" customHeight="1" outlineLevel="1" x14ac:dyDescent="0.25">
      <c r="A76" s="48" t="s">
        <v>153</v>
      </c>
      <c r="B76" s="53"/>
      <c r="C76" s="64">
        <v>0</v>
      </c>
      <c r="D76" s="68">
        <v>0</v>
      </c>
      <c r="E76" s="68">
        <v>0</v>
      </c>
      <c r="F76" s="68">
        <v>0</v>
      </c>
      <c r="G76" s="68">
        <v>0</v>
      </c>
      <c r="H76" s="50">
        <v>0</v>
      </c>
      <c r="I76" s="68">
        <v>0</v>
      </c>
      <c r="J76" s="68">
        <v>0</v>
      </c>
      <c r="K76" s="68">
        <v>0</v>
      </c>
      <c r="L76" s="68">
        <v>0</v>
      </c>
      <c r="M76" s="68">
        <v>0</v>
      </c>
      <c r="N76" s="68">
        <v>0</v>
      </c>
      <c r="O76" s="68">
        <v>0</v>
      </c>
      <c r="P76" s="68">
        <v>0</v>
      </c>
      <c r="Q76" s="68">
        <v>0</v>
      </c>
      <c r="R76" s="68">
        <v>0</v>
      </c>
      <c r="S76" s="68">
        <v>0</v>
      </c>
      <c r="T76" s="68">
        <v>0</v>
      </c>
      <c r="U76" s="68">
        <v>0</v>
      </c>
      <c r="V76" s="68">
        <v>0</v>
      </c>
      <c r="W76" s="68">
        <v>0</v>
      </c>
      <c r="X76" s="68">
        <v>0</v>
      </c>
      <c r="Y76" s="68">
        <v>0</v>
      </c>
      <c r="Z76" s="68">
        <v>2500</v>
      </c>
      <c r="AA76" s="51">
        <f t="shared" si="11"/>
        <v>0</v>
      </c>
      <c r="AB76" s="51">
        <f t="shared" si="12"/>
        <v>2500</v>
      </c>
      <c r="AC76" s="104"/>
      <c r="AD76" s="31">
        <f t="shared" si="13"/>
        <v>0</v>
      </c>
      <c r="AE76" s="31">
        <f t="shared" si="14"/>
        <v>2500</v>
      </c>
      <c r="AF76" s="17">
        <f t="shared" si="17"/>
        <v>0</v>
      </c>
      <c r="AG76" s="17">
        <f t="shared" si="18"/>
        <v>0</v>
      </c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61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</row>
    <row r="77" spans="1:119" s="19" customFormat="1" ht="18" customHeight="1" outlineLevel="1" x14ac:dyDescent="0.25">
      <c r="A77" s="48" t="s">
        <v>154</v>
      </c>
      <c r="B77" s="53"/>
      <c r="C77" s="64"/>
      <c r="D77" s="68">
        <v>0</v>
      </c>
      <c r="E77" s="68"/>
      <c r="F77" s="68">
        <v>0</v>
      </c>
      <c r="G77" s="68"/>
      <c r="H77" s="50">
        <v>0</v>
      </c>
      <c r="I77" s="68"/>
      <c r="J77" s="68">
        <v>0</v>
      </c>
      <c r="K77" s="68"/>
      <c r="L77" s="68">
        <v>0</v>
      </c>
      <c r="M77" s="68"/>
      <c r="N77" s="68">
        <v>0</v>
      </c>
      <c r="O77" s="68"/>
      <c r="P77" s="68">
        <v>0</v>
      </c>
      <c r="Q77" s="68"/>
      <c r="R77" s="68">
        <v>0</v>
      </c>
      <c r="S77" s="68">
        <v>20000</v>
      </c>
      <c r="T77" s="68">
        <v>7619.88</v>
      </c>
      <c r="U77" s="68"/>
      <c r="V77" s="68">
        <v>-197.01</v>
      </c>
      <c r="W77" s="68"/>
      <c r="X77" s="68">
        <v>0</v>
      </c>
      <c r="Y77" s="68"/>
      <c r="Z77" s="68">
        <v>0</v>
      </c>
      <c r="AA77" s="51">
        <f t="shared" si="11"/>
        <v>20000</v>
      </c>
      <c r="AB77" s="51">
        <f t="shared" si="12"/>
        <v>7422.87</v>
      </c>
      <c r="AC77" s="104"/>
      <c r="AD77" s="31">
        <f t="shared" si="13"/>
        <v>20000</v>
      </c>
      <c r="AE77" s="31">
        <f t="shared" si="14"/>
        <v>7422.87</v>
      </c>
      <c r="AF77" s="17">
        <f t="shared" si="17"/>
        <v>0</v>
      </c>
      <c r="AG77" s="17">
        <f t="shared" si="18"/>
        <v>0</v>
      </c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61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</row>
    <row r="78" spans="1:119" s="19" customFormat="1" ht="18" customHeight="1" outlineLevel="1" x14ac:dyDescent="0.25">
      <c r="A78" s="48" t="s">
        <v>155</v>
      </c>
      <c r="B78" s="53"/>
      <c r="C78" s="64"/>
      <c r="D78" s="68">
        <v>0</v>
      </c>
      <c r="E78" s="68"/>
      <c r="F78" s="68">
        <v>0</v>
      </c>
      <c r="G78" s="68"/>
      <c r="H78" s="50">
        <v>0</v>
      </c>
      <c r="I78" s="68"/>
      <c r="J78" s="68">
        <v>0</v>
      </c>
      <c r="K78" s="68"/>
      <c r="L78" s="68">
        <v>0</v>
      </c>
      <c r="M78" s="68"/>
      <c r="N78" s="68">
        <v>0</v>
      </c>
      <c r="O78" s="68"/>
      <c r="P78" s="68">
        <v>0</v>
      </c>
      <c r="Q78" s="68"/>
      <c r="R78" s="68">
        <v>0</v>
      </c>
      <c r="S78" s="68"/>
      <c r="T78" s="68">
        <v>0</v>
      </c>
      <c r="U78" s="68"/>
      <c r="V78" s="68">
        <v>0</v>
      </c>
      <c r="W78" s="68"/>
      <c r="X78" s="68">
        <v>0</v>
      </c>
      <c r="Y78" s="68"/>
      <c r="Z78" s="68">
        <v>0</v>
      </c>
      <c r="AA78" s="51">
        <f t="shared" si="11"/>
        <v>0</v>
      </c>
      <c r="AB78" s="51">
        <f t="shared" si="12"/>
        <v>0</v>
      </c>
      <c r="AC78" s="104"/>
      <c r="AD78" s="31">
        <f t="shared" si="13"/>
        <v>0</v>
      </c>
      <c r="AE78" s="31">
        <f t="shared" si="14"/>
        <v>0</v>
      </c>
      <c r="AF78" s="17">
        <f t="shared" si="17"/>
        <v>0</v>
      </c>
      <c r="AG78" s="17">
        <f t="shared" si="18"/>
        <v>0</v>
      </c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61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</row>
    <row r="79" spans="1:119" s="19" customFormat="1" ht="18" customHeight="1" outlineLevel="1" x14ac:dyDescent="0.25">
      <c r="A79" s="48" t="s">
        <v>156</v>
      </c>
      <c r="B79" s="53"/>
      <c r="C79" s="64">
        <v>1666.67</v>
      </c>
      <c r="D79" s="68">
        <v>0</v>
      </c>
      <c r="E79" s="68">
        <v>1666.67</v>
      </c>
      <c r="F79" s="68">
        <v>0</v>
      </c>
      <c r="G79" s="68">
        <v>1666.67</v>
      </c>
      <c r="H79" s="50">
        <v>0</v>
      </c>
      <c r="I79" s="68">
        <v>1666.67</v>
      </c>
      <c r="J79" s="68">
        <v>0</v>
      </c>
      <c r="K79" s="68">
        <v>1666.67</v>
      </c>
      <c r="L79" s="68">
        <v>0</v>
      </c>
      <c r="M79" s="68">
        <v>1666.67</v>
      </c>
      <c r="N79" s="68">
        <v>0</v>
      </c>
      <c r="O79" s="68">
        <v>1666.67</v>
      </c>
      <c r="P79" s="68">
        <v>0</v>
      </c>
      <c r="Q79" s="68">
        <v>1666.67</v>
      </c>
      <c r="R79" s="68">
        <v>0</v>
      </c>
      <c r="S79" s="68">
        <v>1666.67</v>
      </c>
      <c r="T79" s="68">
        <v>0</v>
      </c>
      <c r="U79" s="68">
        <v>1666.67</v>
      </c>
      <c r="V79" s="68">
        <v>0</v>
      </c>
      <c r="W79" s="68">
        <v>1666.67</v>
      </c>
      <c r="X79" s="68">
        <v>0</v>
      </c>
      <c r="Y79" s="68">
        <v>1666.63</v>
      </c>
      <c r="Z79" s="68">
        <v>0</v>
      </c>
      <c r="AA79" s="51">
        <f t="shared" si="11"/>
        <v>20000.000000000004</v>
      </c>
      <c r="AB79" s="51">
        <f t="shared" si="12"/>
        <v>0</v>
      </c>
      <c r="AC79" s="104"/>
      <c r="AD79" s="31">
        <f t="shared" si="13"/>
        <v>20000.000000000004</v>
      </c>
      <c r="AE79" s="31">
        <f t="shared" si="14"/>
        <v>0</v>
      </c>
      <c r="AF79" s="17">
        <f t="shared" si="17"/>
        <v>0</v>
      </c>
      <c r="AG79" s="17">
        <f t="shared" si="18"/>
        <v>0</v>
      </c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61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</row>
    <row r="80" spans="1:119" s="19" customFormat="1" ht="18" customHeight="1" outlineLevel="1" x14ac:dyDescent="0.25">
      <c r="A80" s="48" t="s">
        <v>157</v>
      </c>
      <c r="B80" s="53"/>
      <c r="C80" s="64"/>
      <c r="D80" s="68">
        <v>0</v>
      </c>
      <c r="E80" s="68"/>
      <c r="F80" s="68">
        <v>0</v>
      </c>
      <c r="G80" s="68"/>
      <c r="H80" s="50">
        <v>1008.84</v>
      </c>
      <c r="I80" s="68"/>
      <c r="J80" s="68">
        <v>0</v>
      </c>
      <c r="K80" s="68"/>
      <c r="L80" s="68">
        <v>0</v>
      </c>
      <c r="M80" s="68"/>
      <c r="N80" s="68">
        <v>0</v>
      </c>
      <c r="O80" s="68"/>
      <c r="P80" s="68">
        <v>0</v>
      </c>
      <c r="Q80" s="68"/>
      <c r="R80" s="68">
        <v>0</v>
      </c>
      <c r="S80" s="68"/>
      <c r="T80" s="68">
        <v>1980.2</v>
      </c>
      <c r="U80" s="68"/>
      <c r="V80" s="68">
        <v>0</v>
      </c>
      <c r="W80" s="68"/>
      <c r="X80" s="68">
        <v>0</v>
      </c>
      <c r="Y80" s="68"/>
      <c r="Z80" s="68">
        <v>0</v>
      </c>
      <c r="AA80" s="51">
        <f t="shared" si="11"/>
        <v>0</v>
      </c>
      <c r="AB80" s="51">
        <f t="shared" si="12"/>
        <v>2989.04</v>
      </c>
      <c r="AC80" s="104"/>
      <c r="AD80" s="31">
        <f t="shared" si="13"/>
        <v>0</v>
      </c>
      <c r="AE80" s="31">
        <f t="shared" si="14"/>
        <v>2989.04</v>
      </c>
      <c r="AF80" s="17">
        <f t="shared" si="17"/>
        <v>0</v>
      </c>
      <c r="AG80" s="17">
        <f t="shared" si="18"/>
        <v>0</v>
      </c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61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</row>
    <row r="81" spans="1:119" s="19" customFormat="1" ht="18" customHeight="1" outlineLevel="1" x14ac:dyDescent="0.25">
      <c r="A81" s="48" t="s">
        <v>158</v>
      </c>
      <c r="B81" s="53"/>
      <c r="C81" s="64"/>
      <c r="D81" s="68">
        <v>0</v>
      </c>
      <c r="E81" s="68"/>
      <c r="F81" s="68">
        <v>0</v>
      </c>
      <c r="G81" s="68"/>
      <c r="H81" s="50">
        <v>0</v>
      </c>
      <c r="I81" s="68"/>
      <c r="J81" s="68">
        <v>0</v>
      </c>
      <c r="K81" s="68"/>
      <c r="L81" s="68">
        <v>0</v>
      </c>
      <c r="M81" s="68"/>
      <c r="N81" s="68">
        <v>0</v>
      </c>
      <c r="O81" s="68"/>
      <c r="P81" s="68">
        <v>0</v>
      </c>
      <c r="Q81" s="68"/>
      <c r="R81" s="68">
        <v>0</v>
      </c>
      <c r="S81" s="68"/>
      <c r="T81" s="68">
        <v>0</v>
      </c>
      <c r="U81" s="68"/>
      <c r="V81" s="68">
        <v>0</v>
      </c>
      <c r="W81" s="68"/>
      <c r="X81" s="68">
        <v>0</v>
      </c>
      <c r="Y81" s="68"/>
      <c r="Z81" s="68">
        <v>0</v>
      </c>
      <c r="AA81" s="51">
        <f t="shared" si="11"/>
        <v>0</v>
      </c>
      <c r="AB81" s="51">
        <f t="shared" si="12"/>
        <v>0</v>
      </c>
      <c r="AC81" s="104"/>
      <c r="AD81" s="31">
        <f t="shared" si="13"/>
        <v>0</v>
      </c>
      <c r="AE81" s="31">
        <f t="shared" si="14"/>
        <v>0</v>
      </c>
      <c r="AF81" s="17">
        <f t="shared" si="17"/>
        <v>0</v>
      </c>
      <c r="AG81" s="17">
        <f t="shared" si="18"/>
        <v>0</v>
      </c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61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</row>
    <row r="82" spans="1:119" s="19" customFormat="1" ht="18" customHeight="1" outlineLevel="1" x14ac:dyDescent="0.25">
      <c r="A82" s="48" t="s">
        <v>159</v>
      </c>
      <c r="B82" s="53"/>
      <c r="C82" s="64"/>
      <c r="D82" s="68">
        <v>0</v>
      </c>
      <c r="E82" s="68"/>
      <c r="F82" s="68">
        <v>0</v>
      </c>
      <c r="G82" s="68"/>
      <c r="H82" s="50">
        <v>0</v>
      </c>
      <c r="I82" s="68"/>
      <c r="J82" s="68">
        <v>0</v>
      </c>
      <c r="K82" s="68"/>
      <c r="L82" s="68">
        <v>0</v>
      </c>
      <c r="M82" s="68"/>
      <c r="N82" s="68">
        <v>0</v>
      </c>
      <c r="O82" s="68"/>
      <c r="P82" s="68">
        <v>0</v>
      </c>
      <c r="Q82" s="68"/>
      <c r="R82" s="68">
        <v>0</v>
      </c>
      <c r="S82" s="68"/>
      <c r="T82" s="68">
        <v>0</v>
      </c>
      <c r="U82" s="68"/>
      <c r="V82" s="68">
        <v>0</v>
      </c>
      <c r="W82" s="68"/>
      <c r="X82" s="68">
        <v>0</v>
      </c>
      <c r="Y82" s="68"/>
      <c r="Z82" s="68">
        <v>0</v>
      </c>
      <c r="AA82" s="51">
        <f t="shared" si="11"/>
        <v>0</v>
      </c>
      <c r="AB82" s="51">
        <f t="shared" si="12"/>
        <v>0</v>
      </c>
      <c r="AC82" s="104"/>
      <c r="AD82" s="31">
        <f t="shared" si="13"/>
        <v>0</v>
      </c>
      <c r="AE82" s="31">
        <f t="shared" si="14"/>
        <v>0</v>
      </c>
      <c r="AF82" s="17">
        <f t="shared" si="17"/>
        <v>0</v>
      </c>
      <c r="AG82" s="17">
        <f t="shared" si="18"/>
        <v>0</v>
      </c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61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</row>
    <row r="83" spans="1:119" s="19" customFormat="1" ht="18" customHeight="1" outlineLevel="1" x14ac:dyDescent="0.25">
      <c r="A83" s="48" t="s">
        <v>160</v>
      </c>
      <c r="B83" s="53"/>
      <c r="C83" s="64"/>
      <c r="D83" s="68">
        <v>0</v>
      </c>
      <c r="E83" s="68"/>
      <c r="F83" s="68">
        <v>0</v>
      </c>
      <c r="G83" s="68"/>
      <c r="H83" s="50">
        <v>0</v>
      </c>
      <c r="I83" s="68"/>
      <c r="J83" s="68">
        <v>0</v>
      </c>
      <c r="K83" s="68"/>
      <c r="L83" s="68">
        <v>0</v>
      </c>
      <c r="M83" s="68"/>
      <c r="N83" s="68">
        <v>0</v>
      </c>
      <c r="O83" s="68"/>
      <c r="P83" s="68">
        <v>0</v>
      </c>
      <c r="Q83" s="68"/>
      <c r="R83" s="68">
        <v>0</v>
      </c>
      <c r="S83" s="68"/>
      <c r="T83" s="68">
        <v>0</v>
      </c>
      <c r="U83" s="68"/>
      <c r="V83" s="68">
        <v>0</v>
      </c>
      <c r="W83" s="68"/>
      <c r="X83" s="68">
        <v>0</v>
      </c>
      <c r="Y83" s="68"/>
      <c r="Z83" s="68">
        <v>0</v>
      </c>
      <c r="AA83" s="51">
        <f t="shared" si="11"/>
        <v>0</v>
      </c>
      <c r="AB83" s="51">
        <f t="shared" si="12"/>
        <v>0</v>
      </c>
      <c r="AC83" s="104"/>
      <c r="AD83" s="31">
        <f t="shared" si="13"/>
        <v>0</v>
      </c>
      <c r="AE83" s="31">
        <f t="shared" si="14"/>
        <v>0</v>
      </c>
      <c r="AF83" s="17">
        <f t="shared" si="17"/>
        <v>0</v>
      </c>
      <c r="AG83" s="17">
        <f t="shared" si="18"/>
        <v>0</v>
      </c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61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</row>
    <row r="84" spans="1:119" s="19" customFormat="1" ht="18" customHeight="1" outlineLevel="1" x14ac:dyDescent="0.25">
      <c r="A84" s="48" t="s">
        <v>161</v>
      </c>
      <c r="B84" s="53"/>
      <c r="C84" s="64">
        <v>8010</v>
      </c>
      <c r="D84" s="68">
        <v>2251.92</v>
      </c>
      <c r="E84" s="68">
        <v>8010</v>
      </c>
      <c r="F84" s="68">
        <v>8412.49</v>
      </c>
      <c r="G84" s="68">
        <v>8010</v>
      </c>
      <c r="H84" s="50">
        <v>9067.9699999999993</v>
      </c>
      <c r="I84" s="68">
        <v>8010</v>
      </c>
      <c r="J84" s="68">
        <v>6283.23</v>
      </c>
      <c r="K84" s="68">
        <v>8010</v>
      </c>
      <c r="L84" s="68">
        <v>4882.22</v>
      </c>
      <c r="M84" s="68">
        <v>8010</v>
      </c>
      <c r="N84" s="68">
        <v>3325.06</v>
      </c>
      <c r="O84" s="68">
        <v>8010</v>
      </c>
      <c r="P84" s="68">
        <v>4792.45</v>
      </c>
      <c r="Q84" s="68">
        <v>8010</v>
      </c>
      <c r="R84" s="68">
        <v>6755.2</v>
      </c>
      <c r="S84" s="68">
        <v>8010</v>
      </c>
      <c r="T84" s="68">
        <v>3932.68</v>
      </c>
      <c r="U84" s="68">
        <v>8010</v>
      </c>
      <c r="V84" s="68">
        <v>6146.84</v>
      </c>
      <c r="W84" s="68">
        <v>8010</v>
      </c>
      <c r="X84" s="68">
        <v>9968.75</v>
      </c>
      <c r="Y84" s="68">
        <v>8010</v>
      </c>
      <c r="Z84" s="68">
        <v>5922.07</v>
      </c>
      <c r="AA84" s="51">
        <f t="shared" si="11"/>
        <v>96120</v>
      </c>
      <c r="AB84" s="51">
        <f t="shared" si="12"/>
        <v>71740.88</v>
      </c>
      <c r="AC84" s="104"/>
      <c r="AD84" s="31">
        <f t="shared" si="13"/>
        <v>96120</v>
      </c>
      <c r="AE84" s="31">
        <f t="shared" si="14"/>
        <v>71740.88</v>
      </c>
      <c r="AF84" s="17">
        <f t="shared" si="17"/>
        <v>0</v>
      </c>
      <c r="AG84" s="17">
        <f t="shared" si="18"/>
        <v>0</v>
      </c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61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</row>
    <row r="85" spans="1:119" s="19" customFormat="1" ht="18" customHeight="1" outlineLevel="1" x14ac:dyDescent="0.25">
      <c r="A85" s="48" t="s">
        <v>162</v>
      </c>
      <c r="B85" s="53"/>
      <c r="C85" s="64"/>
      <c r="D85" s="68">
        <v>0</v>
      </c>
      <c r="E85" s="68">
        <v>0</v>
      </c>
      <c r="F85" s="68">
        <v>0</v>
      </c>
      <c r="G85" s="68">
        <v>0</v>
      </c>
      <c r="H85" s="50">
        <v>0</v>
      </c>
      <c r="I85" s="68"/>
      <c r="J85" s="68">
        <v>0</v>
      </c>
      <c r="K85" s="68"/>
      <c r="L85" s="68">
        <v>0</v>
      </c>
      <c r="M85" s="68">
        <v>0</v>
      </c>
      <c r="N85" s="68">
        <v>0</v>
      </c>
      <c r="O85" s="68">
        <v>0</v>
      </c>
      <c r="P85" s="68">
        <v>0</v>
      </c>
      <c r="Q85" s="68">
        <v>0</v>
      </c>
      <c r="R85" s="68">
        <v>3064.52</v>
      </c>
      <c r="S85" s="68">
        <v>0</v>
      </c>
      <c r="T85" s="68">
        <v>6649.56</v>
      </c>
      <c r="U85" s="68">
        <v>0</v>
      </c>
      <c r="V85" s="68">
        <v>21.21</v>
      </c>
      <c r="W85" s="68">
        <v>0</v>
      </c>
      <c r="X85" s="68">
        <v>0</v>
      </c>
      <c r="Y85" s="68">
        <v>0</v>
      </c>
      <c r="Z85" s="68">
        <v>0</v>
      </c>
      <c r="AA85" s="51">
        <f t="shared" si="11"/>
        <v>0</v>
      </c>
      <c r="AB85" s="51">
        <f t="shared" si="12"/>
        <v>9735.2899999999991</v>
      </c>
      <c r="AC85" s="104"/>
      <c r="AD85" s="31">
        <f t="shared" si="13"/>
        <v>0</v>
      </c>
      <c r="AE85" s="31">
        <f t="shared" si="14"/>
        <v>9735.2899999999991</v>
      </c>
      <c r="AF85" s="17">
        <f t="shared" si="17"/>
        <v>0</v>
      </c>
      <c r="AG85" s="17">
        <f t="shared" si="18"/>
        <v>0</v>
      </c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61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</row>
    <row r="86" spans="1:119" s="19" customFormat="1" ht="18" customHeight="1" outlineLevel="1" x14ac:dyDescent="0.25">
      <c r="A86" s="48" t="s">
        <v>163</v>
      </c>
      <c r="B86" s="53"/>
      <c r="C86" s="64"/>
      <c r="D86" s="68">
        <v>0</v>
      </c>
      <c r="E86" s="68"/>
      <c r="F86" s="68">
        <v>0</v>
      </c>
      <c r="G86" s="68"/>
      <c r="H86" s="50">
        <v>0</v>
      </c>
      <c r="I86" s="68"/>
      <c r="J86" s="68">
        <v>0</v>
      </c>
      <c r="K86" s="68"/>
      <c r="L86" s="68">
        <v>0</v>
      </c>
      <c r="M86" s="68"/>
      <c r="N86" s="68">
        <v>0</v>
      </c>
      <c r="O86" s="68"/>
      <c r="P86" s="68">
        <v>0</v>
      </c>
      <c r="Q86" s="68"/>
      <c r="R86" s="68">
        <v>0</v>
      </c>
      <c r="S86" s="68"/>
      <c r="T86" s="68">
        <v>0</v>
      </c>
      <c r="U86" s="68"/>
      <c r="V86" s="68">
        <v>0</v>
      </c>
      <c r="W86" s="68"/>
      <c r="X86" s="68">
        <v>0</v>
      </c>
      <c r="Y86" s="68"/>
      <c r="Z86" s="68">
        <v>0</v>
      </c>
      <c r="AA86" s="51">
        <f t="shared" si="11"/>
        <v>0</v>
      </c>
      <c r="AB86" s="51">
        <f t="shared" si="12"/>
        <v>0</v>
      </c>
      <c r="AC86" s="104"/>
      <c r="AD86" s="31">
        <f t="shared" si="13"/>
        <v>0</v>
      </c>
      <c r="AE86" s="31">
        <f t="shared" si="14"/>
        <v>0</v>
      </c>
      <c r="AF86" s="17">
        <f t="shared" si="17"/>
        <v>0</v>
      </c>
      <c r="AG86" s="17">
        <f t="shared" si="18"/>
        <v>0</v>
      </c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61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</row>
    <row r="87" spans="1:119" s="19" customFormat="1" ht="18" customHeight="1" outlineLevel="1" x14ac:dyDescent="0.25">
      <c r="A87" s="48" t="s">
        <v>164</v>
      </c>
      <c r="B87" s="53"/>
      <c r="C87" s="64"/>
      <c r="D87" s="68">
        <v>0</v>
      </c>
      <c r="E87" s="68">
        <v>0</v>
      </c>
      <c r="F87" s="68">
        <v>2448</v>
      </c>
      <c r="G87" s="68">
        <v>5000</v>
      </c>
      <c r="H87" s="50">
        <v>116.43</v>
      </c>
      <c r="I87" s="68"/>
      <c r="J87" s="68">
        <v>370.48</v>
      </c>
      <c r="K87" s="68"/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1283.02</v>
      </c>
      <c r="W87" s="68">
        <v>0</v>
      </c>
      <c r="X87" s="68">
        <v>0</v>
      </c>
      <c r="Y87" s="68">
        <v>0</v>
      </c>
      <c r="Z87" s="68">
        <v>0</v>
      </c>
      <c r="AA87" s="51">
        <f t="shared" si="11"/>
        <v>5000</v>
      </c>
      <c r="AB87" s="51">
        <f t="shared" si="12"/>
        <v>4217.93</v>
      </c>
      <c r="AC87" s="104"/>
      <c r="AD87" s="31">
        <f t="shared" si="13"/>
        <v>5000</v>
      </c>
      <c r="AE87" s="31">
        <f t="shared" si="14"/>
        <v>4217.93</v>
      </c>
      <c r="AF87" s="17">
        <f t="shared" si="17"/>
        <v>0</v>
      </c>
      <c r="AG87" s="17">
        <f t="shared" si="18"/>
        <v>0</v>
      </c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61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</row>
    <row r="88" spans="1:119" s="19" customFormat="1" ht="18" customHeight="1" outlineLevel="1" x14ac:dyDescent="0.25">
      <c r="A88" s="48" t="s">
        <v>165</v>
      </c>
      <c r="B88" s="53"/>
      <c r="C88" s="64"/>
      <c r="D88" s="68">
        <v>0</v>
      </c>
      <c r="E88" s="68"/>
      <c r="F88" s="68">
        <v>0</v>
      </c>
      <c r="G88" s="68"/>
      <c r="H88" s="50">
        <v>0</v>
      </c>
      <c r="I88" s="68"/>
      <c r="J88" s="68">
        <v>0</v>
      </c>
      <c r="K88" s="68"/>
      <c r="L88" s="68">
        <v>0</v>
      </c>
      <c r="M88" s="68"/>
      <c r="N88" s="68">
        <v>0</v>
      </c>
      <c r="O88" s="68"/>
      <c r="P88" s="68">
        <v>0</v>
      </c>
      <c r="Q88" s="68"/>
      <c r="R88" s="68">
        <v>0</v>
      </c>
      <c r="S88" s="68"/>
      <c r="T88" s="68">
        <v>0</v>
      </c>
      <c r="U88" s="68"/>
      <c r="V88" s="68">
        <v>0</v>
      </c>
      <c r="W88" s="68"/>
      <c r="X88" s="68">
        <v>0</v>
      </c>
      <c r="Y88" s="68"/>
      <c r="Z88" s="68">
        <v>0</v>
      </c>
      <c r="AA88" s="51">
        <f t="shared" si="11"/>
        <v>0</v>
      </c>
      <c r="AB88" s="51">
        <f t="shared" si="12"/>
        <v>0</v>
      </c>
      <c r="AC88" s="104"/>
      <c r="AD88" s="31">
        <f t="shared" si="13"/>
        <v>0</v>
      </c>
      <c r="AE88" s="31">
        <f t="shared" si="14"/>
        <v>0</v>
      </c>
      <c r="AF88" s="17">
        <f t="shared" si="17"/>
        <v>0</v>
      </c>
      <c r="AG88" s="17">
        <f t="shared" si="18"/>
        <v>0</v>
      </c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61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</row>
    <row r="89" spans="1:119" s="19" customFormat="1" ht="18" customHeight="1" outlineLevel="1" x14ac:dyDescent="0.25">
      <c r="A89" s="48" t="s">
        <v>166</v>
      </c>
      <c r="B89" s="53"/>
      <c r="C89" s="64"/>
      <c r="D89" s="68">
        <v>0</v>
      </c>
      <c r="E89" s="68"/>
      <c r="F89" s="68">
        <v>0</v>
      </c>
      <c r="G89" s="68"/>
      <c r="H89" s="50">
        <v>0</v>
      </c>
      <c r="I89" s="68"/>
      <c r="J89" s="68">
        <v>0</v>
      </c>
      <c r="K89" s="68"/>
      <c r="L89" s="68">
        <v>0</v>
      </c>
      <c r="M89" s="68"/>
      <c r="N89" s="68">
        <v>0</v>
      </c>
      <c r="O89" s="68"/>
      <c r="P89" s="68">
        <v>0</v>
      </c>
      <c r="Q89" s="68"/>
      <c r="R89" s="68">
        <v>0</v>
      </c>
      <c r="S89" s="68"/>
      <c r="T89" s="68">
        <v>0</v>
      </c>
      <c r="U89" s="68"/>
      <c r="V89" s="68">
        <v>0</v>
      </c>
      <c r="W89" s="68"/>
      <c r="X89" s="68">
        <v>0</v>
      </c>
      <c r="Y89" s="68"/>
      <c r="Z89" s="68">
        <v>0</v>
      </c>
      <c r="AA89" s="51">
        <f t="shared" si="11"/>
        <v>0</v>
      </c>
      <c r="AB89" s="51">
        <f t="shared" si="12"/>
        <v>0</v>
      </c>
      <c r="AC89" s="104"/>
      <c r="AD89" s="31">
        <f t="shared" si="13"/>
        <v>0</v>
      </c>
      <c r="AE89" s="31">
        <f t="shared" si="14"/>
        <v>0</v>
      </c>
      <c r="AF89" s="17">
        <f t="shared" si="17"/>
        <v>0</v>
      </c>
      <c r="AG89" s="17">
        <f t="shared" si="18"/>
        <v>0</v>
      </c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61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</row>
    <row r="90" spans="1:119" s="19" customFormat="1" ht="18" customHeight="1" outlineLevel="1" x14ac:dyDescent="0.25">
      <c r="A90" s="48" t="s">
        <v>167</v>
      </c>
      <c r="B90" s="53"/>
      <c r="C90" s="64"/>
      <c r="D90" s="68">
        <v>0</v>
      </c>
      <c r="E90" s="68"/>
      <c r="F90" s="68">
        <v>0</v>
      </c>
      <c r="G90" s="68"/>
      <c r="H90" s="50">
        <v>0</v>
      </c>
      <c r="I90" s="68"/>
      <c r="J90" s="68">
        <v>0</v>
      </c>
      <c r="K90" s="68"/>
      <c r="L90" s="68">
        <v>0</v>
      </c>
      <c r="M90" s="68"/>
      <c r="N90" s="68">
        <v>0</v>
      </c>
      <c r="O90" s="68"/>
      <c r="P90" s="68">
        <v>0</v>
      </c>
      <c r="Q90" s="68"/>
      <c r="R90" s="68">
        <v>0</v>
      </c>
      <c r="S90" s="68"/>
      <c r="T90" s="68">
        <v>0</v>
      </c>
      <c r="U90" s="68"/>
      <c r="V90" s="68">
        <v>0</v>
      </c>
      <c r="W90" s="68"/>
      <c r="X90" s="68">
        <v>0</v>
      </c>
      <c r="Y90" s="68"/>
      <c r="Z90" s="68">
        <v>0</v>
      </c>
      <c r="AA90" s="51">
        <f t="shared" si="11"/>
        <v>0</v>
      </c>
      <c r="AB90" s="51">
        <f t="shared" si="12"/>
        <v>0</v>
      </c>
      <c r="AC90" s="104"/>
      <c r="AD90" s="31">
        <f t="shared" si="13"/>
        <v>0</v>
      </c>
      <c r="AE90" s="31">
        <f t="shared" si="14"/>
        <v>0</v>
      </c>
      <c r="AF90" s="17">
        <f t="shared" si="17"/>
        <v>0</v>
      </c>
      <c r="AG90" s="17">
        <f t="shared" si="18"/>
        <v>0</v>
      </c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61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</row>
    <row r="91" spans="1:119" s="19" customFormat="1" ht="18" customHeight="1" outlineLevel="1" x14ac:dyDescent="0.25">
      <c r="A91" s="48" t="s">
        <v>168</v>
      </c>
      <c r="B91" s="53"/>
      <c r="C91" s="64"/>
      <c r="D91" s="68">
        <v>0</v>
      </c>
      <c r="E91" s="68"/>
      <c r="F91" s="68">
        <v>0</v>
      </c>
      <c r="G91" s="68"/>
      <c r="H91" s="50">
        <v>0</v>
      </c>
      <c r="I91" s="68"/>
      <c r="J91" s="68">
        <v>0</v>
      </c>
      <c r="K91" s="68"/>
      <c r="L91" s="68">
        <v>2724</v>
      </c>
      <c r="M91" s="68"/>
      <c r="N91" s="68">
        <v>1450</v>
      </c>
      <c r="O91" s="68"/>
      <c r="P91" s="68">
        <v>0</v>
      </c>
      <c r="Q91" s="68"/>
      <c r="R91" s="68">
        <v>0</v>
      </c>
      <c r="S91" s="68"/>
      <c r="T91" s="68">
        <v>0</v>
      </c>
      <c r="U91" s="68"/>
      <c r="V91" s="68">
        <v>0</v>
      </c>
      <c r="W91" s="68"/>
      <c r="X91" s="68">
        <v>2500</v>
      </c>
      <c r="Y91" s="68"/>
      <c r="Z91" s="68">
        <v>5800</v>
      </c>
      <c r="AA91" s="51">
        <f t="shared" si="11"/>
        <v>0</v>
      </c>
      <c r="AB91" s="51">
        <f t="shared" si="12"/>
        <v>12474</v>
      </c>
      <c r="AC91" s="104"/>
      <c r="AD91" s="31">
        <f t="shared" si="13"/>
        <v>0</v>
      </c>
      <c r="AE91" s="31">
        <f t="shared" si="14"/>
        <v>12474</v>
      </c>
      <c r="AF91" s="17">
        <f t="shared" si="17"/>
        <v>0</v>
      </c>
      <c r="AG91" s="17">
        <f t="shared" si="18"/>
        <v>0</v>
      </c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61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</row>
    <row r="92" spans="1:119" s="19" customFormat="1" ht="18" customHeight="1" outlineLevel="1" x14ac:dyDescent="0.25">
      <c r="A92" s="48" t="s">
        <v>169</v>
      </c>
      <c r="B92" s="53"/>
      <c r="C92" s="64"/>
      <c r="D92" s="68">
        <v>21</v>
      </c>
      <c r="E92" s="68"/>
      <c r="F92" s="68">
        <v>283.18</v>
      </c>
      <c r="G92" s="68"/>
      <c r="H92" s="50">
        <v>191.8</v>
      </c>
      <c r="I92" s="68"/>
      <c r="J92" s="68">
        <v>30.62</v>
      </c>
      <c r="K92" s="68"/>
      <c r="L92" s="68">
        <v>9.93</v>
      </c>
      <c r="M92" s="68"/>
      <c r="N92" s="68">
        <v>67.17</v>
      </c>
      <c r="O92" s="68"/>
      <c r="P92" s="68">
        <v>6.64</v>
      </c>
      <c r="Q92" s="68"/>
      <c r="R92" s="68">
        <v>56.13</v>
      </c>
      <c r="S92" s="68"/>
      <c r="T92" s="68">
        <v>806.84</v>
      </c>
      <c r="U92" s="68"/>
      <c r="V92" s="68">
        <v>57.79</v>
      </c>
      <c r="W92" s="68"/>
      <c r="X92" s="68">
        <v>173.19</v>
      </c>
      <c r="Y92" s="68"/>
      <c r="Z92" s="68">
        <v>170.2</v>
      </c>
      <c r="AA92" s="51">
        <f t="shared" ref="AA92:AA155" si="23">C92+E92+G92+I92+K92+M92+O92+Q92+S92+U92+W92+Y92</f>
        <v>0</v>
      </c>
      <c r="AB92" s="51">
        <f t="shared" ref="AB92:AB101" si="24">D92+F92+H92+J92+L92+N92+P92+R92+T92+V92+X92+Z92</f>
        <v>1874.49</v>
      </c>
      <c r="AC92" s="104"/>
      <c r="AD92" s="31">
        <f t="shared" ref="AD92:AD155" si="25">SUMIF($C$5:$Z$5,$AD$5,C92:Z92)</f>
        <v>0</v>
      </c>
      <c r="AE92" s="31">
        <f t="shared" ref="AE92:AE155" si="26">SUMIF($C$5:$Z$5,$AD$5,D92:AA92)</f>
        <v>1874.49</v>
      </c>
      <c r="AF92" s="17">
        <f t="shared" si="17"/>
        <v>0</v>
      </c>
      <c r="AG92" s="17">
        <f t="shared" si="18"/>
        <v>0</v>
      </c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61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</row>
    <row r="93" spans="1:119" s="19" customFormat="1" ht="18" customHeight="1" outlineLevel="1" x14ac:dyDescent="0.25">
      <c r="A93" s="48" t="s">
        <v>170</v>
      </c>
      <c r="B93" s="53"/>
      <c r="C93" s="64"/>
      <c r="D93" s="68">
        <v>0</v>
      </c>
      <c r="E93" s="68"/>
      <c r="F93" s="68">
        <v>0</v>
      </c>
      <c r="G93" s="68"/>
      <c r="H93" s="50">
        <v>0</v>
      </c>
      <c r="I93" s="68"/>
      <c r="J93" s="68">
        <v>0</v>
      </c>
      <c r="K93" s="68"/>
      <c r="L93" s="68">
        <v>0</v>
      </c>
      <c r="M93" s="68"/>
      <c r="N93" s="68">
        <v>0</v>
      </c>
      <c r="O93" s="68"/>
      <c r="P93" s="68">
        <v>0</v>
      </c>
      <c r="Q93" s="68"/>
      <c r="R93" s="68">
        <v>0</v>
      </c>
      <c r="S93" s="68"/>
      <c r="T93" s="68">
        <v>0</v>
      </c>
      <c r="U93" s="68"/>
      <c r="V93" s="68">
        <v>0</v>
      </c>
      <c r="W93" s="68"/>
      <c r="X93" s="68">
        <v>0</v>
      </c>
      <c r="Y93" s="68"/>
      <c r="Z93" s="68">
        <v>0</v>
      </c>
      <c r="AA93" s="51">
        <f t="shared" si="23"/>
        <v>0</v>
      </c>
      <c r="AB93" s="51">
        <f t="shared" si="24"/>
        <v>0</v>
      </c>
      <c r="AC93" s="104"/>
      <c r="AD93" s="31">
        <f t="shared" si="25"/>
        <v>0</v>
      </c>
      <c r="AE93" s="31">
        <f t="shared" si="26"/>
        <v>0</v>
      </c>
      <c r="AF93" s="17">
        <f t="shared" si="17"/>
        <v>0</v>
      </c>
      <c r="AG93" s="17">
        <f t="shared" si="18"/>
        <v>0</v>
      </c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61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</row>
    <row r="94" spans="1:119" s="19" customFormat="1" ht="18" customHeight="1" outlineLevel="1" x14ac:dyDescent="0.25">
      <c r="A94" s="48" t="s">
        <v>171</v>
      </c>
      <c r="B94" s="53"/>
      <c r="C94" s="64"/>
      <c r="D94" s="68">
        <v>0</v>
      </c>
      <c r="E94" s="68"/>
      <c r="F94" s="68">
        <v>0</v>
      </c>
      <c r="G94" s="68"/>
      <c r="H94" s="50">
        <v>0</v>
      </c>
      <c r="I94" s="68"/>
      <c r="J94" s="68">
        <v>0</v>
      </c>
      <c r="K94" s="68"/>
      <c r="L94" s="68">
        <v>0</v>
      </c>
      <c r="M94" s="68"/>
      <c r="N94" s="68">
        <v>0</v>
      </c>
      <c r="O94" s="68"/>
      <c r="P94" s="68">
        <v>0</v>
      </c>
      <c r="Q94" s="68"/>
      <c r="R94" s="68">
        <v>0</v>
      </c>
      <c r="S94" s="68"/>
      <c r="T94" s="68">
        <v>0</v>
      </c>
      <c r="U94" s="68"/>
      <c r="V94" s="68">
        <v>0</v>
      </c>
      <c r="W94" s="68"/>
      <c r="X94" s="68">
        <v>0</v>
      </c>
      <c r="Y94" s="68"/>
      <c r="Z94" s="68">
        <v>0</v>
      </c>
      <c r="AA94" s="51">
        <f t="shared" si="23"/>
        <v>0</v>
      </c>
      <c r="AB94" s="51">
        <f t="shared" si="24"/>
        <v>0</v>
      </c>
      <c r="AC94" s="104"/>
      <c r="AD94" s="31">
        <f t="shared" si="25"/>
        <v>0</v>
      </c>
      <c r="AE94" s="31">
        <f t="shared" si="26"/>
        <v>0</v>
      </c>
      <c r="AF94" s="17">
        <f t="shared" ref="AF94:AF157" si="27">AA94-AD94</f>
        <v>0</v>
      </c>
      <c r="AG94" s="17">
        <f t="shared" ref="AG94:AG157" si="28">AB94-AE94</f>
        <v>0</v>
      </c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61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</row>
    <row r="95" spans="1:119" s="19" customFormat="1" ht="18" customHeight="1" outlineLevel="1" x14ac:dyDescent="0.25">
      <c r="A95" s="48" t="s">
        <v>172</v>
      </c>
      <c r="B95" s="53"/>
      <c r="C95" s="64"/>
      <c r="D95" s="68">
        <v>0</v>
      </c>
      <c r="E95" s="68"/>
      <c r="F95" s="68">
        <v>0</v>
      </c>
      <c r="G95" s="68"/>
      <c r="H95" s="50">
        <v>0</v>
      </c>
      <c r="I95" s="68"/>
      <c r="J95" s="68">
        <v>0</v>
      </c>
      <c r="K95" s="68"/>
      <c r="L95" s="68">
        <v>0</v>
      </c>
      <c r="M95" s="68"/>
      <c r="N95" s="68">
        <v>0</v>
      </c>
      <c r="O95" s="68"/>
      <c r="P95" s="68">
        <v>0</v>
      </c>
      <c r="Q95" s="68"/>
      <c r="R95" s="68">
        <v>0</v>
      </c>
      <c r="S95" s="68"/>
      <c r="T95" s="68">
        <v>0</v>
      </c>
      <c r="U95" s="68"/>
      <c r="V95" s="68">
        <v>0</v>
      </c>
      <c r="W95" s="68"/>
      <c r="X95" s="68">
        <v>0</v>
      </c>
      <c r="Y95" s="68"/>
      <c r="Z95" s="68">
        <v>0</v>
      </c>
      <c r="AA95" s="51">
        <f t="shared" si="23"/>
        <v>0</v>
      </c>
      <c r="AB95" s="51">
        <f t="shared" si="24"/>
        <v>0</v>
      </c>
      <c r="AC95" s="104"/>
      <c r="AD95" s="31">
        <f t="shared" si="25"/>
        <v>0</v>
      </c>
      <c r="AE95" s="31">
        <f t="shared" si="26"/>
        <v>0</v>
      </c>
      <c r="AF95" s="17">
        <f t="shared" si="27"/>
        <v>0</v>
      </c>
      <c r="AG95" s="17">
        <f t="shared" si="28"/>
        <v>0</v>
      </c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61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</row>
    <row r="96" spans="1:119" s="19" customFormat="1" ht="18" customHeight="1" outlineLevel="1" x14ac:dyDescent="0.25">
      <c r="A96" s="48" t="s">
        <v>173</v>
      </c>
      <c r="B96" s="53"/>
      <c r="C96" s="64"/>
      <c r="D96" s="68">
        <v>0</v>
      </c>
      <c r="E96" s="68"/>
      <c r="F96" s="68">
        <v>0</v>
      </c>
      <c r="G96" s="68"/>
      <c r="H96" s="50">
        <v>0</v>
      </c>
      <c r="I96" s="68"/>
      <c r="J96" s="68">
        <v>0</v>
      </c>
      <c r="K96" s="68"/>
      <c r="L96" s="68">
        <v>0</v>
      </c>
      <c r="M96" s="68"/>
      <c r="N96" s="68">
        <v>0</v>
      </c>
      <c r="O96" s="68"/>
      <c r="P96" s="68">
        <v>0</v>
      </c>
      <c r="Q96" s="68"/>
      <c r="R96" s="68">
        <v>0</v>
      </c>
      <c r="S96" s="68"/>
      <c r="T96" s="68">
        <v>0</v>
      </c>
      <c r="U96" s="68"/>
      <c r="V96" s="68">
        <v>0</v>
      </c>
      <c r="W96" s="68"/>
      <c r="X96" s="68">
        <v>0</v>
      </c>
      <c r="Y96" s="68"/>
      <c r="Z96" s="68">
        <v>0</v>
      </c>
      <c r="AA96" s="51">
        <f t="shared" si="23"/>
        <v>0</v>
      </c>
      <c r="AB96" s="51">
        <f t="shared" si="24"/>
        <v>0</v>
      </c>
      <c r="AC96" s="104"/>
      <c r="AD96" s="31">
        <f t="shared" si="25"/>
        <v>0</v>
      </c>
      <c r="AE96" s="31">
        <f t="shared" si="26"/>
        <v>0</v>
      </c>
      <c r="AF96" s="17">
        <f t="shared" si="27"/>
        <v>0</v>
      </c>
      <c r="AG96" s="17">
        <f t="shared" si="28"/>
        <v>0</v>
      </c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61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</row>
    <row r="97" spans="1:119" s="19" customFormat="1" ht="18" customHeight="1" outlineLevel="1" x14ac:dyDescent="0.25">
      <c r="A97" s="48" t="s">
        <v>174</v>
      </c>
      <c r="B97" s="53"/>
      <c r="C97" s="64"/>
      <c r="D97" s="68">
        <v>0</v>
      </c>
      <c r="E97" s="68"/>
      <c r="F97" s="68">
        <v>0</v>
      </c>
      <c r="G97" s="68"/>
      <c r="H97" s="50">
        <v>0</v>
      </c>
      <c r="I97" s="68"/>
      <c r="J97" s="68">
        <v>0</v>
      </c>
      <c r="K97" s="68"/>
      <c r="L97" s="68">
        <v>0</v>
      </c>
      <c r="M97" s="68"/>
      <c r="N97" s="68">
        <v>0</v>
      </c>
      <c r="O97" s="68"/>
      <c r="P97" s="68">
        <v>0</v>
      </c>
      <c r="Q97" s="68"/>
      <c r="R97" s="68">
        <v>0</v>
      </c>
      <c r="S97" s="68"/>
      <c r="T97" s="68">
        <v>0</v>
      </c>
      <c r="U97" s="68"/>
      <c r="V97" s="68">
        <v>0</v>
      </c>
      <c r="W97" s="68"/>
      <c r="X97" s="68">
        <v>0</v>
      </c>
      <c r="Y97" s="68"/>
      <c r="Z97" s="68">
        <v>0</v>
      </c>
      <c r="AA97" s="51">
        <f t="shared" si="23"/>
        <v>0</v>
      </c>
      <c r="AB97" s="51">
        <f t="shared" si="24"/>
        <v>0</v>
      </c>
      <c r="AC97" s="104"/>
      <c r="AD97" s="31">
        <f t="shared" si="25"/>
        <v>0</v>
      </c>
      <c r="AE97" s="31">
        <f t="shared" si="26"/>
        <v>0</v>
      </c>
      <c r="AF97" s="17">
        <f t="shared" si="27"/>
        <v>0</v>
      </c>
      <c r="AG97" s="17">
        <f t="shared" si="28"/>
        <v>0</v>
      </c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61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</row>
    <row r="98" spans="1:119" s="19" customFormat="1" ht="18" customHeight="1" outlineLevel="1" x14ac:dyDescent="0.25">
      <c r="A98" s="48" t="s">
        <v>175</v>
      </c>
      <c r="B98" s="53"/>
      <c r="C98" s="64"/>
      <c r="D98" s="68">
        <v>0</v>
      </c>
      <c r="E98" s="68"/>
      <c r="F98" s="68">
        <v>0</v>
      </c>
      <c r="G98" s="68"/>
      <c r="H98" s="50">
        <v>0</v>
      </c>
      <c r="I98" s="68"/>
      <c r="J98" s="68">
        <v>0</v>
      </c>
      <c r="K98" s="68"/>
      <c r="L98" s="68">
        <v>0</v>
      </c>
      <c r="M98" s="68"/>
      <c r="N98" s="68">
        <v>0</v>
      </c>
      <c r="O98" s="68"/>
      <c r="P98" s="68">
        <v>0</v>
      </c>
      <c r="Q98" s="68"/>
      <c r="R98" s="68">
        <v>0</v>
      </c>
      <c r="S98" s="68"/>
      <c r="T98" s="68">
        <v>0</v>
      </c>
      <c r="U98" s="68"/>
      <c r="V98" s="68">
        <v>0</v>
      </c>
      <c r="W98" s="68"/>
      <c r="X98" s="68">
        <v>0</v>
      </c>
      <c r="Y98" s="68"/>
      <c r="Z98" s="68">
        <v>0</v>
      </c>
      <c r="AA98" s="51">
        <f t="shared" si="23"/>
        <v>0</v>
      </c>
      <c r="AB98" s="51">
        <f t="shared" si="24"/>
        <v>0</v>
      </c>
      <c r="AC98" s="104"/>
      <c r="AD98" s="31">
        <f t="shared" si="25"/>
        <v>0</v>
      </c>
      <c r="AE98" s="31">
        <f t="shared" si="26"/>
        <v>0</v>
      </c>
      <c r="AF98" s="17">
        <f t="shared" si="27"/>
        <v>0</v>
      </c>
      <c r="AG98" s="17">
        <f t="shared" si="28"/>
        <v>0</v>
      </c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61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</row>
    <row r="99" spans="1:119" s="19" customFormat="1" ht="18" customHeight="1" outlineLevel="1" x14ac:dyDescent="0.25">
      <c r="A99" s="48" t="s">
        <v>176</v>
      </c>
      <c r="B99" s="53"/>
      <c r="C99" s="64"/>
      <c r="D99" s="68">
        <v>0</v>
      </c>
      <c r="E99" s="68"/>
      <c r="F99" s="68">
        <v>0</v>
      </c>
      <c r="G99" s="68"/>
      <c r="H99" s="50">
        <v>0</v>
      </c>
      <c r="I99" s="68"/>
      <c r="J99" s="68">
        <v>0</v>
      </c>
      <c r="K99" s="68"/>
      <c r="L99" s="68">
        <v>0</v>
      </c>
      <c r="M99" s="68"/>
      <c r="N99" s="68">
        <v>0</v>
      </c>
      <c r="O99" s="68"/>
      <c r="P99" s="68">
        <v>0</v>
      </c>
      <c r="Q99" s="68"/>
      <c r="R99" s="68">
        <v>0</v>
      </c>
      <c r="S99" s="68"/>
      <c r="T99" s="68">
        <v>0</v>
      </c>
      <c r="U99" s="68"/>
      <c r="V99" s="68">
        <v>0</v>
      </c>
      <c r="W99" s="68"/>
      <c r="X99" s="68">
        <v>0</v>
      </c>
      <c r="Y99" s="68"/>
      <c r="Z99" s="68">
        <v>0</v>
      </c>
      <c r="AA99" s="51">
        <f t="shared" si="23"/>
        <v>0</v>
      </c>
      <c r="AB99" s="51">
        <f t="shared" si="24"/>
        <v>0</v>
      </c>
      <c r="AC99" s="104"/>
      <c r="AD99" s="31">
        <f t="shared" si="25"/>
        <v>0</v>
      </c>
      <c r="AE99" s="31">
        <f t="shared" si="26"/>
        <v>0</v>
      </c>
      <c r="AF99" s="17">
        <f t="shared" si="27"/>
        <v>0</v>
      </c>
      <c r="AG99" s="17">
        <f t="shared" si="28"/>
        <v>0</v>
      </c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61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</row>
    <row r="100" spans="1:119" s="19" customFormat="1" ht="18" customHeight="1" outlineLevel="1" x14ac:dyDescent="0.25">
      <c r="A100" s="48" t="s">
        <v>177</v>
      </c>
      <c r="B100" s="53"/>
      <c r="C100" s="64"/>
      <c r="D100" s="68">
        <v>0</v>
      </c>
      <c r="E100" s="68"/>
      <c r="F100" s="68">
        <v>0</v>
      </c>
      <c r="G100" s="68"/>
      <c r="H100" s="50">
        <v>0</v>
      </c>
      <c r="I100" s="68"/>
      <c r="J100" s="68">
        <v>0</v>
      </c>
      <c r="K100" s="68"/>
      <c r="L100" s="68">
        <v>0</v>
      </c>
      <c r="M100" s="68"/>
      <c r="N100" s="68">
        <v>0</v>
      </c>
      <c r="O100" s="68"/>
      <c r="P100" s="68">
        <v>0</v>
      </c>
      <c r="Q100" s="68"/>
      <c r="R100" s="68">
        <v>0</v>
      </c>
      <c r="S100" s="68"/>
      <c r="T100" s="68">
        <v>0</v>
      </c>
      <c r="U100" s="68"/>
      <c r="V100" s="68">
        <v>0</v>
      </c>
      <c r="W100" s="68"/>
      <c r="X100" s="68">
        <v>0</v>
      </c>
      <c r="Y100" s="68"/>
      <c r="Z100" s="68">
        <v>0</v>
      </c>
      <c r="AA100" s="51">
        <f t="shared" si="23"/>
        <v>0</v>
      </c>
      <c r="AB100" s="51">
        <f t="shared" si="24"/>
        <v>0</v>
      </c>
      <c r="AC100" s="104"/>
      <c r="AD100" s="31">
        <f t="shared" si="25"/>
        <v>0</v>
      </c>
      <c r="AE100" s="31">
        <f t="shared" si="26"/>
        <v>0</v>
      </c>
      <c r="AF100" s="17">
        <f t="shared" si="27"/>
        <v>0</v>
      </c>
      <c r="AG100" s="17">
        <f t="shared" si="28"/>
        <v>0</v>
      </c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61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</row>
    <row r="101" spans="1:119" s="19" customFormat="1" ht="18" customHeight="1" outlineLevel="1" x14ac:dyDescent="0.25">
      <c r="A101" s="48" t="s">
        <v>178</v>
      </c>
      <c r="B101" s="53"/>
      <c r="C101" s="64">
        <v>500</v>
      </c>
      <c r="D101" s="68">
        <v>0</v>
      </c>
      <c r="E101" s="68">
        <v>500</v>
      </c>
      <c r="F101" s="68">
        <v>0</v>
      </c>
      <c r="G101" s="68">
        <v>500</v>
      </c>
      <c r="H101" s="50">
        <v>0</v>
      </c>
      <c r="I101" s="68">
        <v>500</v>
      </c>
      <c r="J101" s="68">
        <v>0</v>
      </c>
      <c r="K101" s="68">
        <v>500</v>
      </c>
      <c r="L101" s="68">
        <v>0</v>
      </c>
      <c r="M101" s="68">
        <v>500</v>
      </c>
      <c r="N101" s="68">
        <v>0</v>
      </c>
      <c r="O101" s="68">
        <v>500</v>
      </c>
      <c r="P101" s="68">
        <v>0</v>
      </c>
      <c r="Q101" s="68">
        <v>500</v>
      </c>
      <c r="R101" s="68">
        <v>0</v>
      </c>
      <c r="S101" s="68">
        <v>500</v>
      </c>
      <c r="T101" s="68">
        <v>0</v>
      </c>
      <c r="U101" s="68">
        <v>500</v>
      </c>
      <c r="V101" s="68"/>
      <c r="W101" s="68">
        <v>500</v>
      </c>
      <c r="X101" s="68">
        <v>0</v>
      </c>
      <c r="Y101" s="68">
        <v>500</v>
      </c>
      <c r="Z101" s="68">
        <v>0</v>
      </c>
      <c r="AA101" s="51">
        <f t="shared" si="23"/>
        <v>6000</v>
      </c>
      <c r="AB101" s="51">
        <f t="shared" si="24"/>
        <v>0</v>
      </c>
      <c r="AC101" s="104"/>
      <c r="AD101" s="31">
        <f t="shared" si="25"/>
        <v>6000</v>
      </c>
      <c r="AE101" s="31">
        <f t="shared" si="26"/>
        <v>0</v>
      </c>
      <c r="AF101" s="17">
        <f t="shared" si="27"/>
        <v>0</v>
      </c>
      <c r="AG101" s="17">
        <f t="shared" si="28"/>
        <v>0</v>
      </c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61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</row>
    <row r="102" spans="1:119" s="17" customFormat="1" ht="18" customHeight="1" x14ac:dyDescent="0.25">
      <c r="A102" s="52" t="s">
        <v>179</v>
      </c>
      <c r="B102" s="45">
        <v>7</v>
      </c>
      <c r="C102" s="33"/>
      <c r="D102" s="65"/>
      <c r="E102" s="65"/>
      <c r="F102" s="65">
        <f>SUM(F103:F175)-F103-F106-F115-F126-F138-F172</f>
        <v>0</v>
      </c>
      <c r="G102" s="65"/>
      <c r="H102" s="65">
        <f>SUM(H103:H175)-H103-H106-H115-H126-H138-H172</f>
        <v>0</v>
      </c>
      <c r="I102" s="65"/>
      <c r="J102" s="65">
        <f>SUM(J103:J175)-J103-J106-J115-J126-J138-J172</f>
        <v>0</v>
      </c>
      <c r="K102" s="65"/>
      <c r="L102" s="65">
        <f>SUM(L103:L175)-L103-L106-L115-L126-L138-L172</f>
        <v>0</v>
      </c>
      <c r="M102" s="65"/>
      <c r="N102" s="65">
        <f>SUM(N103:N175)-N103-N106-N115-N126-N138-N172</f>
        <v>0</v>
      </c>
      <c r="O102" s="65"/>
      <c r="P102" s="65">
        <f>SUM(P103:P175)-P103-P106-P115-P126-P138-P172</f>
        <v>0</v>
      </c>
      <c r="Q102" s="65"/>
      <c r="R102" s="65">
        <f>SUM(R103:R175)-R103-R106-R115-R126-R138-R172</f>
        <v>0</v>
      </c>
      <c r="S102" s="65"/>
      <c r="T102" s="65">
        <f>SUM(T103:T175)-T103-T106-T115-T126-T138-T172</f>
        <v>0</v>
      </c>
      <c r="U102" s="65"/>
      <c r="V102" s="65">
        <f>SUM(V103:V175)-V103-V106-V115-V126-V138-V172</f>
        <v>0</v>
      </c>
      <c r="W102" s="65"/>
      <c r="X102" s="65">
        <f>SUM(X103:X175)-X103-X106-X115-X126-X138-X172</f>
        <v>0</v>
      </c>
      <c r="Y102" s="65"/>
      <c r="Z102" s="65">
        <f>SUM(Z103:Z175)-Z103-Z106-Z115-Z126-Z138-Z172</f>
        <v>0</v>
      </c>
      <c r="AA102" s="51">
        <f t="shared" si="23"/>
        <v>0</v>
      </c>
      <c r="AB102" s="105">
        <f>SUM(D102:Z102)</f>
        <v>0</v>
      </c>
      <c r="AC102" s="103"/>
      <c r="AD102" s="31">
        <f t="shared" si="25"/>
        <v>0</v>
      </c>
      <c r="AE102" s="31">
        <f t="shared" si="26"/>
        <v>0</v>
      </c>
      <c r="AF102" s="17">
        <f t="shared" si="27"/>
        <v>0</v>
      </c>
      <c r="AG102" s="17">
        <f t="shared" si="28"/>
        <v>0</v>
      </c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66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</row>
    <row r="103" spans="1:119" s="17" customFormat="1" ht="18" customHeight="1" outlineLevel="1" x14ac:dyDescent="0.25">
      <c r="A103" s="67" t="s">
        <v>107</v>
      </c>
      <c r="B103" s="45"/>
      <c r="C103" s="33"/>
      <c r="D103" s="65"/>
      <c r="E103" s="65"/>
      <c r="F103" s="65">
        <f>SUM(F104:F105)</f>
        <v>0</v>
      </c>
      <c r="G103" s="65"/>
      <c r="H103" s="65">
        <f>SUM(H104:H105)</f>
        <v>0</v>
      </c>
      <c r="I103" s="65"/>
      <c r="J103" s="65">
        <f>SUM(J104:J105)</f>
        <v>0</v>
      </c>
      <c r="K103" s="65"/>
      <c r="L103" s="65">
        <f>SUM(L104:L105)</f>
        <v>0</v>
      </c>
      <c r="M103" s="65"/>
      <c r="N103" s="65">
        <f>SUM(N104:N105)</f>
        <v>0</v>
      </c>
      <c r="O103" s="65"/>
      <c r="P103" s="65">
        <f>SUM(P104:P105)</f>
        <v>0</v>
      </c>
      <c r="Q103" s="65"/>
      <c r="R103" s="65">
        <f>SUM(R104:R105)</f>
        <v>0</v>
      </c>
      <c r="S103" s="65"/>
      <c r="T103" s="65">
        <f>SUM(T104:T105)</f>
        <v>0</v>
      </c>
      <c r="U103" s="65"/>
      <c r="V103" s="65">
        <f>SUM(V104:V105)</f>
        <v>0</v>
      </c>
      <c r="W103" s="65"/>
      <c r="X103" s="65">
        <f>SUM(X104:X105)</f>
        <v>0</v>
      </c>
      <c r="Y103" s="65"/>
      <c r="Z103" s="65">
        <f>SUM(Z104:Z105)</f>
        <v>0</v>
      </c>
      <c r="AA103" s="51">
        <f t="shared" si="23"/>
        <v>0</v>
      </c>
      <c r="AB103" s="51">
        <f t="shared" ref="AB103:AB166" si="29">D103+F103+H103+J103+L103+N103+P103+R103+T103+V103+X103+Z103</f>
        <v>0</v>
      </c>
      <c r="AC103" s="103"/>
      <c r="AD103" s="31">
        <f t="shared" si="25"/>
        <v>0</v>
      </c>
      <c r="AE103" s="31">
        <f t="shared" si="26"/>
        <v>0</v>
      </c>
      <c r="AF103" s="17">
        <f t="shared" si="27"/>
        <v>0</v>
      </c>
      <c r="AG103" s="17">
        <f t="shared" si="28"/>
        <v>0</v>
      </c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66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</row>
    <row r="104" spans="1:119" s="19" customFormat="1" ht="18" customHeight="1" outlineLevel="2" x14ac:dyDescent="0.25">
      <c r="A104" s="48" t="s">
        <v>108</v>
      </c>
      <c r="B104" s="53"/>
      <c r="C104" s="64"/>
      <c r="D104" s="68"/>
      <c r="E104" s="68"/>
      <c r="F104" s="68">
        <v>0</v>
      </c>
      <c r="G104" s="68"/>
      <c r="H104" s="68">
        <v>0</v>
      </c>
      <c r="I104" s="68"/>
      <c r="J104" s="68">
        <v>0</v>
      </c>
      <c r="K104" s="68"/>
      <c r="L104" s="68">
        <v>0</v>
      </c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51">
        <f t="shared" si="23"/>
        <v>0</v>
      </c>
      <c r="AB104" s="51">
        <f t="shared" si="29"/>
        <v>0</v>
      </c>
      <c r="AC104" s="100"/>
      <c r="AD104" s="31">
        <f t="shared" si="25"/>
        <v>0</v>
      </c>
      <c r="AE104" s="31">
        <f t="shared" si="26"/>
        <v>0</v>
      </c>
      <c r="AF104" s="17">
        <f t="shared" si="27"/>
        <v>0</v>
      </c>
      <c r="AG104" s="17">
        <f t="shared" si="28"/>
        <v>0</v>
      </c>
      <c r="BC104" s="66"/>
    </row>
    <row r="105" spans="1:119" s="19" customFormat="1" ht="18" customHeight="1" outlineLevel="2" x14ac:dyDescent="0.25">
      <c r="A105" s="48" t="s">
        <v>109</v>
      </c>
      <c r="B105" s="53"/>
      <c r="C105" s="64"/>
      <c r="D105" s="68"/>
      <c r="E105" s="68"/>
      <c r="F105" s="68">
        <v>0</v>
      </c>
      <c r="G105" s="68"/>
      <c r="H105" s="68">
        <v>0</v>
      </c>
      <c r="I105" s="68"/>
      <c r="J105" s="68">
        <v>0</v>
      </c>
      <c r="K105" s="68"/>
      <c r="L105" s="68">
        <v>0</v>
      </c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51">
        <f t="shared" si="23"/>
        <v>0</v>
      </c>
      <c r="AB105" s="51">
        <f t="shared" si="29"/>
        <v>0</v>
      </c>
      <c r="AC105" s="100"/>
      <c r="AD105" s="31">
        <f t="shared" si="25"/>
        <v>0</v>
      </c>
      <c r="AE105" s="31">
        <f t="shared" si="26"/>
        <v>0</v>
      </c>
      <c r="AF105" s="17">
        <f t="shared" si="27"/>
        <v>0</v>
      </c>
      <c r="AG105" s="17">
        <f t="shared" si="28"/>
        <v>0</v>
      </c>
      <c r="BC105" s="66"/>
    </row>
    <row r="106" spans="1:119" s="17" customFormat="1" ht="18" customHeight="1" outlineLevel="1" x14ac:dyDescent="0.25">
      <c r="A106" s="67" t="s">
        <v>110</v>
      </c>
      <c r="B106" s="45"/>
      <c r="C106" s="33"/>
      <c r="D106" s="65"/>
      <c r="E106" s="65"/>
      <c r="F106" s="65">
        <f>SUM(F107:F111)</f>
        <v>0</v>
      </c>
      <c r="G106" s="65"/>
      <c r="H106" s="65">
        <f>SUM(H107:H111)</f>
        <v>0</v>
      </c>
      <c r="I106" s="65"/>
      <c r="J106" s="65">
        <f>SUM(J107:J111)</f>
        <v>0</v>
      </c>
      <c r="K106" s="65"/>
      <c r="L106" s="65">
        <f>SUM(L107:L111)</f>
        <v>0</v>
      </c>
      <c r="M106" s="65"/>
      <c r="N106" s="65">
        <f>SUM(N107:N111)</f>
        <v>0</v>
      </c>
      <c r="O106" s="65"/>
      <c r="P106" s="65">
        <f>SUM(P107:P111)</f>
        <v>0</v>
      </c>
      <c r="Q106" s="65"/>
      <c r="R106" s="65">
        <f>SUM(R107:R111)</f>
        <v>0</v>
      </c>
      <c r="S106" s="65"/>
      <c r="T106" s="65">
        <f>SUM(T107:T111)</f>
        <v>0</v>
      </c>
      <c r="U106" s="65"/>
      <c r="V106" s="65">
        <f>SUM(V107:V111)</f>
        <v>0</v>
      </c>
      <c r="W106" s="65"/>
      <c r="X106" s="65">
        <f>SUM(X107:X111)</f>
        <v>0</v>
      </c>
      <c r="Y106" s="65"/>
      <c r="Z106" s="65">
        <f>SUM(Z107:Z111)</f>
        <v>0</v>
      </c>
      <c r="AA106" s="51">
        <f t="shared" si="23"/>
        <v>0</v>
      </c>
      <c r="AB106" s="51">
        <f t="shared" si="29"/>
        <v>0</v>
      </c>
      <c r="AC106" s="103"/>
      <c r="AD106" s="31">
        <f t="shared" si="25"/>
        <v>0</v>
      </c>
      <c r="AE106" s="31">
        <f t="shared" si="26"/>
        <v>0</v>
      </c>
      <c r="AF106" s="17">
        <f t="shared" si="27"/>
        <v>0</v>
      </c>
      <c r="AG106" s="17">
        <f t="shared" si="28"/>
        <v>0</v>
      </c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66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</row>
    <row r="107" spans="1:119" s="19" customFormat="1" ht="18" customHeight="1" outlineLevel="2" x14ac:dyDescent="0.25">
      <c r="A107" s="48" t="s">
        <v>111</v>
      </c>
      <c r="B107" s="53"/>
      <c r="C107" s="64"/>
      <c r="D107" s="68"/>
      <c r="E107" s="68"/>
      <c r="F107" s="68">
        <v>0</v>
      </c>
      <c r="G107" s="68"/>
      <c r="H107" s="68">
        <v>0</v>
      </c>
      <c r="I107" s="68"/>
      <c r="J107" s="68">
        <v>0</v>
      </c>
      <c r="K107" s="68"/>
      <c r="L107" s="68">
        <v>0</v>
      </c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51">
        <f t="shared" si="23"/>
        <v>0</v>
      </c>
      <c r="AB107" s="51">
        <f t="shared" si="29"/>
        <v>0</v>
      </c>
      <c r="AC107" s="100"/>
      <c r="AD107" s="31">
        <f t="shared" si="25"/>
        <v>0</v>
      </c>
      <c r="AE107" s="31">
        <f t="shared" si="26"/>
        <v>0</v>
      </c>
      <c r="AF107" s="17">
        <f t="shared" si="27"/>
        <v>0</v>
      </c>
      <c r="AG107" s="17">
        <f t="shared" si="28"/>
        <v>0</v>
      </c>
      <c r="BC107" s="20"/>
    </row>
    <row r="108" spans="1:119" s="19" customFormat="1" ht="18" customHeight="1" outlineLevel="2" x14ac:dyDescent="0.25">
      <c r="A108" s="48" t="s">
        <v>112</v>
      </c>
      <c r="B108" s="53"/>
      <c r="C108" s="64"/>
      <c r="D108" s="68"/>
      <c r="E108" s="68"/>
      <c r="F108" s="68">
        <v>0</v>
      </c>
      <c r="G108" s="68"/>
      <c r="H108" s="68">
        <v>0</v>
      </c>
      <c r="I108" s="68"/>
      <c r="J108" s="68">
        <v>0</v>
      </c>
      <c r="K108" s="68"/>
      <c r="L108" s="68">
        <v>0</v>
      </c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51">
        <f t="shared" si="23"/>
        <v>0</v>
      </c>
      <c r="AB108" s="51">
        <f t="shared" si="29"/>
        <v>0</v>
      </c>
      <c r="AC108" s="100"/>
      <c r="AD108" s="31">
        <f t="shared" si="25"/>
        <v>0</v>
      </c>
      <c r="AE108" s="31">
        <f t="shared" si="26"/>
        <v>0</v>
      </c>
      <c r="AF108" s="17">
        <f t="shared" si="27"/>
        <v>0</v>
      </c>
      <c r="AG108" s="17">
        <f t="shared" si="28"/>
        <v>0</v>
      </c>
      <c r="BC108" s="20"/>
    </row>
    <row r="109" spans="1:119" s="19" customFormat="1" ht="18" customHeight="1" outlineLevel="2" x14ac:dyDescent="0.25">
      <c r="A109" s="48" t="s">
        <v>113</v>
      </c>
      <c r="B109" s="53"/>
      <c r="C109" s="64"/>
      <c r="D109" s="68"/>
      <c r="E109" s="68"/>
      <c r="F109" s="68">
        <v>0</v>
      </c>
      <c r="G109" s="68"/>
      <c r="H109" s="68">
        <v>0</v>
      </c>
      <c r="I109" s="68"/>
      <c r="J109" s="68">
        <v>0</v>
      </c>
      <c r="K109" s="68"/>
      <c r="L109" s="68">
        <v>0</v>
      </c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51">
        <f t="shared" si="23"/>
        <v>0</v>
      </c>
      <c r="AB109" s="51">
        <f t="shared" si="29"/>
        <v>0</v>
      </c>
      <c r="AC109" s="100"/>
      <c r="AD109" s="31">
        <f t="shared" si="25"/>
        <v>0</v>
      </c>
      <c r="AE109" s="31">
        <f t="shared" si="26"/>
        <v>0</v>
      </c>
      <c r="AF109" s="17">
        <f t="shared" si="27"/>
        <v>0</v>
      </c>
      <c r="AG109" s="17">
        <f t="shared" si="28"/>
        <v>0</v>
      </c>
      <c r="BC109" s="20"/>
    </row>
    <row r="110" spans="1:119" s="19" customFormat="1" ht="18" customHeight="1" outlineLevel="2" x14ac:dyDescent="0.25">
      <c r="A110" s="48" t="s">
        <v>114</v>
      </c>
      <c r="B110" s="53"/>
      <c r="C110" s="64"/>
      <c r="D110" s="68"/>
      <c r="E110" s="68"/>
      <c r="F110" s="68">
        <v>0</v>
      </c>
      <c r="G110" s="68"/>
      <c r="H110" s="68">
        <v>0</v>
      </c>
      <c r="I110" s="68"/>
      <c r="J110" s="68">
        <v>0</v>
      </c>
      <c r="K110" s="68"/>
      <c r="L110" s="68">
        <v>0</v>
      </c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51">
        <f t="shared" si="23"/>
        <v>0</v>
      </c>
      <c r="AB110" s="51">
        <f t="shared" si="29"/>
        <v>0</v>
      </c>
      <c r="AC110" s="100"/>
      <c r="AD110" s="31">
        <f t="shared" si="25"/>
        <v>0</v>
      </c>
      <c r="AE110" s="31">
        <f t="shared" si="26"/>
        <v>0</v>
      </c>
      <c r="AF110" s="17">
        <f t="shared" si="27"/>
        <v>0</v>
      </c>
      <c r="AG110" s="17">
        <f t="shared" si="28"/>
        <v>0</v>
      </c>
      <c r="BC110" s="20"/>
    </row>
    <row r="111" spans="1:119" s="19" customFormat="1" ht="18" customHeight="1" outlineLevel="2" x14ac:dyDescent="0.25">
      <c r="A111" s="48" t="s">
        <v>115</v>
      </c>
      <c r="B111" s="53"/>
      <c r="C111" s="64"/>
      <c r="D111" s="68"/>
      <c r="E111" s="68"/>
      <c r="F111" s="68">
        <v>0</v>
      </c>
      <c r="G111" s="68"/>
      <c r="H111" s="68">
        <v>0</v>
      </c>
      <c r="I111" s="68"/>
      <c r="J111" s="68">
        <v>0</v>
      </c>
      <c r="K111" s="68"/>
      <c r="L111" s="68">
        <v>0</v>
      </c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51">
        <f t="shared" si="23"/>
        <v>0</v>
      </c>
      <c r="AB111" s="51">
        <f t="shared" si="29"/>
        <v>0</v>
      </c>
      <c r="AC111" s="100"/>
      <c r="AD111" s="31">
        <f t="shared" si="25"/>
        <v>0</v>
      </c>
      <c r="AE111" s="31">
        <f t="shared" si="26"/>
        <v>0</v>
      </c>
      <c r="AF111" s="17">
        <f t="shared" si="27"/>
        <v>0</v>
      </c>
      <c r="AG111" s="17">
        <f t="shared" si="28"/>
        <v>0</v>
      </c>
      <c r="BC111" s="20"/>
    </row>
    <row r="112" spans="1:119" s="19" customFormat="1" ht="18" customHeight="1" outlineLevel="1" x14ac:dyDescent="0.25">
      <c r="A112" s="48" t="s">
        <v>116</v>
      </c>
      <c r="B112" s="53"/>
      <c r="C112" s="64"/>
      <c r="D112" s="68"/>
      <c r="E112" s="68"/>
      <c r="F112" s="68">
        <v>0</v>
      </c>
      <c r="G112" s="68"/>
      <c r="H112" s="68">
        <v>0</v>
      </c>
      <c r="I112" s="68"/>
      <c r="J112" s="68">
        <v>0</v>
      </c>
      <c r="K112" s="68"/>
      <c r="L112" s="68">
        <v>0</v>
      </c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51">
        <f t="shared" si="23"/>
        <v>0</v>
      </c>
      <c r="AB112" s="51">
        <f t="shared" si="29"/>
        <v>0</v>
      </c>
      <c r="AC112" s="100"/>
      <c r="AD112" s="31">
        <f t="shared" si="25"/>
        <v>0</v>
      </c>
      <c r="AE112" s="31">
        <f t="shared" si="26"/>
        <v>0</v>
      </c>
      <c r="AF112" s="17">
        <f t="shared" si="27"/>
        <v>0</v>
      </c>
      <c r="AG112" s="17">
        <f t="shared" si="28"/>
        <v>0</v>
      </c>
      <c r="BC112" s="20"/>
    </row>
    <row r="113" spans="1:119" s="19" customFormat="1" ht="18" customHeight="1" outlineLevel="1" x14ac:dyDescent="0.25">
      <c r="A113" s="48" t="s">
        <v>117</v>
      </c>
      <c r="B113" s="53"/>
      <c r="C113" s="64"/>
      <c r="D113" s="68"/>
      <c r="E113" s="68"/>
      <c r="F113" s="68">
        <v>0</v>
      </c>
      <c r="G113" s="68"/>
      <c r="H113" s="68">
        <v>0</v>
      </c>
      <c r="I113" s="68"/>
      <c r="J113" s="68">
        <v>0</v>
      </c>
      <c r="K113" s="68"/>
      <c r="L113" s="68">
        <v>0</v>
      </c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51">
        <f t="shared" si="23"/>
        <v>0</v>
      </c>
      <c r="AB113" s="51">
        <f t="shared" si="29"/>
        <v>0</v>
      </c>
      <c r="AC113" s="100"/>
      <c r="AD113" s="31">
        <f t="shared" si="25"/>
        <v>0</v>
      </c>
      <c r="AE113" s="31">
        <f t="shared" si="26"/>
        <v>0</v>
      </c>
      <c r="AF113" s="17">
        <f t="shared" si="27"/>
        <v>0</v>
      </c>
      <c r="AG113" s="17">
        <f t="shared" si="28"/>
        <v>0</v>
      </c>
      <c r="BC113" s="20"/>
    </row>
    <row r="114" spans="1:119" s="19" customFormat="1" ht="18" customHeight="1" outlineLevel="1" x14ac:dyDescent="0.25">
      <c r="A114" s="48" t="s">
        <v>118</v>
      </c>
      <c r="B114" s="53"/>
      <c r="C114" s="64"/>
      <c r="D114" s="68"/>
      <c r="E114" s="68"/>
      <c r="F114" s="68">
        <v>0</v>
      </c>
      <c r="G114" s="68"/>
      <c r="H114" s="68">
        <v>0</v>
      </c>
      <c r="I114" s="68"/>
      <c r="J114" s="68">
        <v>0</v>
      </c>
      <c r="K114" s="68"/>
      <c r="L114" s="68">
        <v>0</v>
      </c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51">
        <f t="shared" si="23"/>
        <v>0</v>
      </c>
      <c r="AB114" s="51">
        <f t="shared" si="29"/>
        <v>0</v>
      </c>
      <c r="AC114" s="100"/>
      <c r="AD114" s="31">
        <f t="shared" si="25"/>
        <v>0</v>
      </c>
      <c r="AE114" s="31">
        <f t="shared" si="26"/>
        <v>0</v>
      </c>
      <c r="AF114" s="17">
        <f t="shared" si="27"/>
        <v>0</v>
      </c>
      <c r="AG114" s="17">
        <f t="shared" si="28"/>
        <v>0</v>
      </c>
      <c r="BC114" s="20"/>
    </row>
    <row r="115" spans="1:119" s="17" customFormat="1" ht="18" customHeight="1" outlineLevel="1" x14ac:dyDescent="0.25">
      <c r="A115" s="67" t="s">
        <v>119</v>
      </c>
      <c r="B115" s="45"/>
      <c r="C115" s="33"/>
      <c r="D115" s="65"/>
      <c r="E115" s="65"/>
      <c r="F115" s="65">
        <f>SUM(F116:F122)</f>
        <v>0</v>
      </c>
      <c r="G115" s="65"/>
      <c r="H115" s="65">
        <f>SUM(H116:H122)</f>
        <v>0</v>
      </c>
      <c r="I115" s="65"/>
      <c r="J115" s="65">
        <f>SUM(J116:J122)</f>
        <v>0</v>
      </c>
      <c r="K115" s="65"/>
      <c r="L115" s="65">
        <f>SUM(L116:L122)</f>
        <v>0</v>
      </c>
      <c r="M115" s="65"/>
      <c r="N115" s="65">
        <f>SUM(N116:N122)</f>
        <v>0</v>
      </c>
      <c r="O115" s="65"/>
      <c r="P115" s="65">
        <f>SUM(P116:P122)</f>
        <v>0</v>
      </c>
      <c r="Q115" s="65"/>
      <c r="R115" s="65">
        <f>SUM(R116:R122)</f>
        <v>0</v>
      </c>
      <c r="S115" s="65"/>
      <c r="T115" s="65">
        <f>SUM(T116:T122)</f>
        <v>0</v>
      </c>
      <c r="U115" s="65"/>
      <c r="V115" s="65">
        <f>SUM(V116:V122)</f>
        <v>0</v>
      </c>
      <c r="W115" s="65"/>
      <c r="X115" s="65">
        <f>SUM(X116:X122)</f>
        <v>0</v>
      </c>
      <c r="Y115" s="65"/>
      <c r="Z115" s="65">
        <f>SUM(Z116:Z122)</f>
        <v>0</v>
      </c>
      <c r="AA115" s="51">
        <f t="shared" si="23"/>
        <v>0</v>
      </c>
      <c r="AB115" s="51">
        <f t="shared" si="29"/>
        <v>0</v>
      </c>
      <c r="AC115" s="103"/>
      <c r="AD115" s="31">
        <f t="shared" si="25"/>
        <v>0</v>
      </c>
      <c r="AE115" s="31">
        <f t="shared" si="26"/>
        <v>0</v>
      </c>
      <c r="AF115" s="17">
        <f t="shared" si="27"/>
        <v>0</v>
      </c>
      <c r="AG115" s="17">
        <f t="shared" si="28"/>
        <v>0</v>
      </c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66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</row>
    <row r="116" spans="1:119" s="19" customFormat="1" ht="18" customHeight="1" outlineLevel="2" x14ac:dyDescent="0.25">
      <c r="A116" s="48" t="s">
        <v>120</v>
      </c>
      <c r="B116" s="53"/>
      <c r="C116" s="64"/>
      <c r="D116" s="68"/>
      <c r="E116" s="68"/>
      <c r="F116" s="68">
        <v>0</v>
      </c>
      <c r="G116" s="68"/>
      <c r="H116" s="68">
        <v>0</v>
      </c>
      <c r="I116" s="68"/>
      <c r="J116" s="68">
        <v>0</v>
      </c>
      <c r="K116" s="68"/>
      <c r="L116" s="68">
        <v>0</v>
      </c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51">
        <f t="shared" si="23"/>
        <v>0</v>
      </c>
      <c r="AB116" s="51">
        <f t="shared" si="29"/>
        <v>0</v>
      </c>
      <c r="AC116" s="100"/>
      <c r="AD116" s="31">
        <f t="shared" si="25"/>
        <v>0</v>
      </c>
      <c r="AE116" s="31">
        <f t="shared" si="26"/>
        <v>0</v>
      </c>
      <c r="AF116" s="17">
        <f t="shared" si="27"/>
        <v>0</v>
      </c>
      <c r="AG116" s="17">
        <f t="shared" si="28"/>
        <v>0</v>
      </c>
      <c r="BC116" s="20"/>
    </row>
    <row r="117" spans="1:119" s="19" customFormat="1" ht="18" customHeight="1" outlineLevel="2" x14ac:dyDescent="0.25">
      <c r="A117" s="48" t="s">
        <v>121</v>
      </c>
      <c r="B117" s="53"/>
      <c r="C117" s="64"/>
      <c r="D117" s="68"/>
      <c r="E117" s="68"/>
      <c r="F117" s="68">
        <v>0</v>
      </c>
      <c r="G117" s="68"/>
      <c r="H117" s="68">
        <v>0</v>
      </c>
      <c r="I117" s="68"/>
      <c r="J117" s="68">
        <v>0</v>
      </c>
      <c r="K117" s="68"/>
      <c r="L117" s="68">
        <v>0</v>
      </c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51">
        <f t="shared" si="23"/>
        <v>0</v>
      </c>
      <c r="AB117" s="51">
        <f t="shared" si="29"/>
        <v>0</v>
      </c>
      <c r="AC117" s="100"/>
      <c r="AD117" s="31">
        <f t="shared" si="25"/>
        <v>0</v>
      </c>
      <c r="AE117" s="31">
        <f t="shared" si="26"/>
        <v>0</v>
      </c>
      <c r="AF117" s="17">
        <f t="shared" si="27"/>
        <v>0</v>
      </c>
      <c r="AG117" s="17">
        <f t="shared" si="28"/>
        <v>0</v>
      </c>
      <c r="BC117" s="20"/>
    </row>
    <row r="118" spans="1:119" s="19" customFormat="1" ht="18" customHeight="1" outlineLevel="2" x14ac:dyDescent="0.25">
      <c r="A118" s="48" t="s">
        <v>122</v>
      </c>
      <c r="B118" s="53"/>
      <c r="C118" s="64"/>
      <c r="D118" s="68"/>
      <c r="E118" s="68"/>
      <c r="F118" s="68">
        <v>0</v>
      </c>
      <c r="G118" s="68"/>
      <c r="H118" s="68">
        <v>0</v>
      </c>
      <c r="I118" s="68"/>
      <c r="J118" s="68">
        <v>0</v>
      </c>
      <c r="K118" s="68"/>
      <c r="L118" s="68">
        <v>0</v>
      </c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51">
        <f t="shared" si="23"/>
        <v>0</v>
      </c>
      <c r="AB118" s="51">
        <f t="shared" si="29"/>
        <v>0</v>
      </c>
      <c r="AC118" s="100"/>
      <c r="AD118" s="31">
        <f t="shared" si="25"/>
        <v>0</v>
      </c>
      <c r="AE118" s="31">
        <f t="shared" si="26"/>
        <v>0</v>
      </c>
      <c r="AF118" s="17">
        <f t="shared" si="27"/>
        <v>0</v>
      </c>
      <c r="AG118" s="17">
        <f t="shared" si="28"/>
        <v>0</v>
      </c>
      <c r="BC118" s="20"/>
    </row>
    <row r="119" spans="1:119" s="19" customFormat="1" ht="18" customHeight="1" outlineLevel="2" x14ac:dyDescent="0.25">
      <c r="A119" s="48" t="s">
        <v>123</v>
      </c>
      <c r="B119" s="53"/>
      <c r="C119" s="64"/>
      <c r="D119" s="68"/>
      <c r="E119" s="68"/>
      <c r="F119" s="68">
        <v>0</v>
      </c>
      <c r="G119" s="68"/>
      <c r="H119" s="68">
        <v>0</v>
      </c>
      <c r="I119" s="68"/>
      <c r="J119" s="68">
        <v>0</v>
      </c>
      <c r="K119" s="68"/>
      <c r="L119" s="68">
        <v>0</v>
      </c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51">
        <f t="shared" si="23"/>
        <v>0</v>
      </c>
      <c r="AB119" s="51">
        <f t="shared" si="29"/>
        <v>0</v>
      </c>
      <c r="AC119" s="100"/>
      <c r="AD119" s="31">
        <f t="shared" si="25"/>
        <v>0</v>
      </c>
      <c r="AE119" s="31">
        <f t="shared" si="26"/>
        <v>0</v>
      </c>
      <c r="AF119" s="17">
        <f t="shared" si="27"/>
        <v>0</v>
      </c>
      <c r="AG119" s="17">
        <f t="shared" si="28"/>
        <v>0</v>
      </c>
      <c r="BC119" s="20"/>
    </row>
    <row r="120" spans="1:119" s="19" customFormat="1" ht="18" customHeight="1" outlineLevel="2" x14ac:dyDescent="0.25">
      <c r="A120" s="48" t="s">
        <v>124</v>
      </c>
      <c r="B120" s="53"/>
      <c r="C120" s="64"/>
      <c r="D120" s="68"/>
      <c r="E120" s="68"/>
      <c r="F120" s="68">
        <v>0</v>
      </c>
      <c r="G120" s="68"/>
      <c r="H120" s="68">
        <v>0</v>
      </c>
      <c r="I120" s="68"/>
      <c r="J120" s="68">
        <v>0</v>
      </c>
      <c r="K120" s="68"/>
      <c r="L120" s="68">
        <v>0</v>
      </c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51">
        <f t="shared" si="23"/>
        <v>0</v>
      </c>
      <c r="AB120" s="51">
        <f t="shared" si="29"/>
        <v>0</v>
      </c>
      <c r="AC120" s="100"/>
      <c r="AD120" s="31">
        <f t="shared" si="25"/>
        <v>0</v>
      </c>
      <c r="AE120" s="31">
        <f t="shared" si="26"/>
        <v>0</v>
      </c>
      <c r="AF120" s="17">
        <f t="shared" si="27"/>
        <v>0</v>
      </c>
      <c r="AG120" s="17">
        <f t="shared" si="28"/>
        <v>0</v>
      </c>
      <c r="BC120" s="20"/>
    </row>
    <row r="121" spans="1:119" s="19" customFormat="1" ht="18" customHeight="1" outlineLevel="2" x14ac:dyDescent="0.25">
      <c r="A121" s="48" t="s">
        <v>125</v>
      </c>
      <c r="B121" s="53"/>
      <c r="C121" s="64"/>
      <c r="D121" s="68"/>
      <c r="E121" s="68"/>
      <c r="F121" s="68">
        <v>0</v>
      </c>
      <c r="G121" s="68"/>
      <c r="H121" s="68">
        <v>0</v>
      </c>
      <c r="I121" s="68"/>
      <c r="J121" s="68">
        <v>0</v>
      </c>
      <c r="K121" s="68"/>
      <c r="L121" s="68">
        <v>0</v>
      </c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51">
        <f t="shared" si="23"/>
        <v>0</v>
      </c>
      <c r="AB121" s="51">
        <f t="shared" si="29"/>
        <v>0</v>
      </c>
      <c r="AC121" s="100"/>
      <c r="AD121" s="31">
        <f t="shared" si="25"/>
        <v>0</v>
      </c>
      <c r="AE121" s="31">
        <f t="shared" si="26"/>
        <v>0</v>
      </c>
      <c r="AF121" s="17">
        <f t="shared" si="27"/>
        <v>0</v>
      </c>
      <c r="AG121" s="17">
        <f t="shared" si="28"/>
        <v>0</v>
      </c>
      <c r="BC121" s="20"/>
    </row>
    <row r="122" spans="1:119" s="19" customFormat="1" ht="18" customHeight="1" outlineLevel="2" x14ac:dyDescent="0.25">
      <c r="A122" s="48" t="s">
        <v>126</v>
      </c>
      <c r="B122" s="53"/>
      <c r="C122" s="64"/>
      <c r="D122" s="68"/>
      <c r="E122" s="68"/>
      <c r="F122" s="68">
        <v>0</v>
      </c>
      <c r="G122" s="68"/>
      <c r="H122" s="68">
        <v>0</v>
      </c>
      <c r="I122" s="68"/>
      <c r="J122" s="68">
        <v>0</v>
      </c>
      <c r="K122" s="68"/>
      <c r="L122" s="68">
        <v>0</v>
      </c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51">
        <f t="shared" si="23"/>
        <v>0</v>
      </c>
      <c r="AB122" s="51">
        <f t="shared" si="29"/>
        <v>0</v>
      </c>
      <c r="AC122" s="100"/>
      <c r="AD122" s="31">
        <f t="shared" si="25"/>
        <v>0</v>
      </c>
      <c r="AE122" s="31">
        <f t="shared" si="26"/>
        <v>0</v>
      </c>
      <c r="AF122" s="17">
        <f t="shared" si="27"/>
        <v>0</v>
      </c>
      <c r="AG122" s="17">
        <f t="shared" si="28"/>
        <v>0</v>
      </c>
      <c r="BC122" s="20"/>
    </row>
    <row r="123" spans="1:119" s="19" customFormat="1" ht="18" customHeight="1" outlineLevel="1" x14ac:dyDescent="0.25">
      <c r="A123" s="48" t="s">
        <v>127</v>
      </c>
      <c r="B123" s="53"/>
      <c r="C123" s="64"/>
      <c r="D123" s="68"/>
      <c r="E123" s="68"/>
      <c r="F123" s="68">
        <v>0</v>
      </c>
      <c r="G123" s="68"/>
      <c r="H123" s="68">
        <v>0</v>
      </c>
      <c r="I123" s="68"/>
      <c r="J123" s="68">
        <v>0</v>
      </c>
      <c r="K123" s="68"/>
      <c r="L123" s="68">
        <v>0</v>
      </c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51">
        <f t="shared" si="23"/>
        <v>0</v>
      </c>
      <c r="AB123" s="51">
        <f t="shared" si="29"/>
        <v>0</v>
      </c>
      <c r="AC123" s="100"/>
      <c r="AD123" s="31">
        <f t="shared" si="25"/>
        <v>0</v>
      </c>
      <c r="AE123" s="31">
        <f t="shared" si="26"/>
        <v>0</v>
      </c>
      <c r="AF123" s="17">
        <f t="shared" si="27"/>
        <v>0</v>
      </c>
      <c r="AG123" s="17">
        <f t="shared" si="28"/>
        <v>0</v>
      </c>
      <c r="BC123" s="20"/>
    </row>
    <row r="124" spans="1:119" s="19" customFormat="1" ht="18" customHeight="1" outlineLevel="1" x14ac:dyDescent="0.25">
      <c r="A124" s="48" t="s">
        <v>128</v>
      </c>
      <c r="B124" s="53"/>
      <c r="C124" s="64"/>
      <c r="D124" s="68"/>
      <c r="E124" s="68"/>
      <c r="F124" s="68">
        <v>0</v>
      </c>
      <c r="G124" s="68"/>
      <c r="H124" s="68">
        <v>0</v>
      </c>
      <c r="I124" s="68"/>
      <c r="J124" s="68">
        <v>0</v>
      </c>
      <c r="K124" s="68"/>
      <c r="L124" s="68">
        <v>0</v>
      </c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51">
        <f t="shared" si="23"/>
        <v>0</v>
      </c>
      <c r="AB124" s="51">
        <f t="shared" si="29"/>
        <v>0</v>
      </c>
      <c r="AC124" s="100"/>
      <c r="AD124" s="31">
        <f t="shared" si="25"/>
        <v>0</v>
      </c>
      <c r="AE124" s="31">
        <f t="shared" si="26"/>
        <v>0</v>
      </c>
      <c r="AF124" s="17">
        <f t="shared" si="27"/>
        <v>0</v>
      </c>
      <c r="AG124" s="17">
        <f t="shared" si="28"/>
        <v>0</v>
      </c>
      <c r="BC124" s="20"/>
    </row>
    <row r="125" spans="1:119" s="19" customFormat="1" ht="18" customHeight="1" outlineLevel="1" x14ac:dyDescent="0.25">
      <c r="A125" s="48" t="s">
        <v>129</v>
      </c>
      <c r="B125" s="53"/>
      <c r="C125" s="64"/>
      <c r="D125" s="68"/>
      <c r="E125" s="68"/>
      <c r="F125" s="68">
        <v>0</v>
      </c>
      <c r="G125" s="68"/>
      <c r="H125" s="68">
        <v>0</v>
      </c>
      <c r="I125" s="68"/>
      <c r="J125" s="68">
        <v>0</v>
      </c>
      <c r="K125" s="68"/>
      <c r="L125" s="68">
        <v>0</v>
      </c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51">
        <f t="shared" si="23"/>
        <v>0</v>
      </c>
      <c r="AB125" s="51">
        <f t="shared" si="29"/>
        <v>0</v>
      </c>
      <c r="AC125" s="100"/>
      <c r="AD125" s="31">
        <f t="shared" si="25"/>
        <v>0</v>
      </c>
      <c r="AE125" s="31">
        <f t="shared" si="26"/>
        <v>0</v>
      </c>
      <c r="AF125" s="17">
        <f t="shared" si="27"/>
        <v>0</v>
      </c>
      <c r="AG125" s="17">
        <f t="shared" si="28"/>
        <v>0</v>
      </c>
      <c r="BC125" s="20"/>
    </row>
    <row r="126" spans="1:119" s="17" customFormat="1" ht="18" customHeight="1" outlineLevel="1" x14ac:dyDescent="0.25">
      <c r="A126" s="67" t="s">
        <v>130</v>
      </c>
      <c r="B126" s="45"/>
      <c r="C126" s="33"/>
      <c r="D126" s="65"/>
      <c r="E126" s="65"/>
      <c r="F126" s="65">
        <f>SUM(F127:F131)</f>
        <v>0</v>
      </c>
      <c r="G126" s="65"/>
      <c r="H126" s="65">
        <f>SUM(H127:H131)</f>
        <v>0</v>
      </c>
      <c r="I126" s="65"/>
      <c r="J126" s="65">
        <f>SUM(J127:J131)</f>
        <v>0</v>
      </c>
      <c r="K126" s="65"/>
      <c r="L126" s="65">
        <f>SUM(L127:L131)</f>
        <v>0</v>
      </c>
      <c r="M126" s="65"/>
      <c r="N126" s="65">
        <f>SUM(N127:N131)</f>
        <v>0</v>
      </c>
      <c r="O126" s="65"/>
      <c r="P126" s="65">
        <f>SUM(P127:P131)</f>
        <v>0</v>
      </c>
      <c r="Q126" s="65"/>
      <c r="R126" s="65">
        <f>SUM(R127:R131)</f>
        <v>0</v>
      </c>
      <c r="S126" s="65"/>
      <c r="T126" s="65">
        <f>SUM(T127:T131)</f>
        <v>0</v>
      </c>
      <c r="U126" s="65"/>
      <c r="V126" s="65">
        <f>SUM(V127:V131)</f>
        <v>0</v>
      </c>
      <c r="W126" s="65"/>
      <c r="X126" s="65">
        <f>SUM(X127:X131)</f>
        <v>0</v>
      </c>
      <c r="Y126" s="65"/>
      <c r="Z126" s="65">
        <f>SUM(Z127:Z131)</f>
        <v>0</v>
      </c>
      <c r="AA126" s="51">
        <f t="shared" si="23"/>
        <v>0</v>
      </c>
      <c r="AB126" s="51">
        <f t="shared" si="29"/>
        <v>0</v>
      </c>
      <c r="AC126" s="103"/>
      <c r="AD126" s="31">
        <f t="shared" si="25"/>
        <v>0</v>
      </c>
      <c r="AE126" s="31">
        <f t="shared" si="26"/>
        <v>0</v>
      </c>
      <c r="AF126" s="17">
        <f t="shared" si="27"/>
        <v>0</v>
      </c>
      <c r="AG126" s="17">
        <f t="shared" si="28"/>
        <v>0</v>
      </c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66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</row>
    <row r="127" spans="1:119" s="19" customFormat="1" ht="18" customHeight="1" outlineLevel="2" x14ac:dyDescent="0.25">
      <c r="A127" s="48" t="s">
        <v>131</v>
      </c>
      <c r="B127" s="53"/>
      <c r="C127" s="64"/>
      <c r="D127" s="68"/>
      <c r="E127" s="68"/>
      <c r="F127" s="68">
        <v>0</v>
      </c>
      <c r="G127" s="68"/>
      <c r="H127" s="68">
        <v>0</v>
      </c>
      <c r="I127" s="68"/>
      <c r="J127" s="68">
        <v>0</v>
      </c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51">
        <f t="shared" si="23"/>
        <v>0</v>
      </c>
      <c r="AB127" s="51">
        <f t="shared" si="29"/>
        <v>0</v>
      </c>
      <c r="AC127" s="100"/>
      <c r="AD127" s="31">
        <f t="shared" si="25"/>
        <v>0</v>
      </c>
      <c r="AE127" s="31">
        <f t="shared" si="26"/>
        <v>0</v>
      </c>
      <c r="AF127" s="17">
        <f t="shared" si="27"/>
        <v>0</v>
      </c>
      <c r="AG127" s="17">
        <f t="shared" si="28"/>
        <v>0</v>
      </c>
      <c r="BC127" s="20"/>
    </row>
    <row r="128" spans="1:119" s="19" customFormat="1" ht="18" customHeight="1" outlineLevel="2" x14ac:dyDescent="0.25">
      <c r="A128" s="48" t="s">
        <v>132</v>
      </c>
      <c r="B128" s="53"/>
      <c r="C128" s="64"/>
      <c r="D128" s="68"/>
      <c r="E128" s="68"/>
      <c r="F128" s="68">
        <v>0</v>
      </c>
      <c r="G128" s="68"/>
      <c r="H128" s="68">
        <v>0</v>
      </c>
      <c r="I128" s="68"/>
      <c r="J128" s="68">
        <v>0</v>
      </c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51">
        <f t="shared" si="23"/>
        <v>0</v>
      </c>
      <c r="AB128" s="51">
        <f t="shared" si="29"/>
        <v>0</v>
      </c>
      <c r="AC128" s="100"/>
      <c r="AD128" s="31">
        <f t="shared" si="25"/>
        <v>0</v>
      </c>
      <c r="AE128" s="31">
        <f t="shared" si="26"/>
        <v>0</v>
      </c>
      <c r="AF128" s="17">
        <f t="shared" si="27"/>
        <v>0</v>
      </c>
      <c r="AG128" s="17">
        <f t="shared" si="28"/>
        <v>0</v>
      </c>
      <c r="BC128" s="20"/>
    </row>
    <row r="129" spans="1:119" s="19" customFormat="1" ht="18" customHeight="1" outlineLevel="2" x14ac:dyDescent="0.25">
      <c r="A129" s="48" t="s">
        <v>180</v>
      </c>
      <c r="B129" s="53"/>
      <c r="C129" s="64"/>
      <c r="D129" s="68"/>
      <c r="E129" s="68"/>
      <c r="F129" s="68">
        <v>0</v>
      </c>
      <c r="G129" s="68"/>
      <c r="H129" s="68">
        <v>0</v>
      </c>
      <c r="I129" s="68"/>
      <c r="J129" s="68">
        <v>0</v>
      </c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51">
        <f t="shared" si="23"/>
        <v>0</v>
      </c>
      <c r="AB129" s="51">
        <f t="shared" si="29"/>
        <v>0</v>
      </c>
      <c r="AC129" s="100"/>
      <c r="AD129" s="31">
        <f t="shared" si="25"/>
        <v>0</v>
      </c>
      <c r="AE129" s="31">
        <f t="shared" si="26"/>
        <v>0</v>
      </c>
      <c r="AF129" s="17">
        <f t="shared" si="27"/>
        <v>0</v>
      </c>
      <c r="AG129" s="17">
        <f t="shared" si="28"/>
        <v>0</v>
      </c>
      <c r="BC129" s="20"/>
    </row>
    <row r="130" spans="1:119" s="19" customFormat="1" ht="18" customHeight="1" outlineLevel="2" x14ac:dyDescent="0.25">
      <c r="A130" s="48" t="s">
        <v>134</v>
      </c>
      <c r="B130" s="53"/>
      <c r="C130" s="64"/>
      <c r="D130" s="68"/>
      <c r="E130" s="68"/>
      <c r="F130" s="68">
        <v>0</v>
      </c>
      <c r="G130" s="68"/>
      <c r="H130" s="68">
        <v>0</v>
      </c>
      <c r="I130" s="68"/>
      <c r="J130" s="68">
        <v>0</v>
      </c>
      <c r="K130" s="68"/>
      <c r="L130" s="68">
        <v>0</v>
      </c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51">
        <f t="shared" si="23"/>
        <v>0</v>
      </c>
      <c r="AB130" s="51">
        <f t="shared" si="29"/>
        <v>0</v>
      </c>
      <c r="AC130" s="100"/>
      <c r="AD130" s="31">
        <f t="shared" si="25"/>
        <v>0</v>
      </c>
      <c r="AE130" s="31">
        <f t="shared" si="26"/>
        <v>0</v>
      </c>
      <c r="AF130" s="17">
        <f t="shared" si="27"/>
        <v>0</v>
      </c>
      <c r="AG130" s="17">
        <f t="shared" si="28"/>
        <v>0</v>
      </c>
      <c r="BC130" s="20"/>
    </row>
    <row r="131" spans="1:119" s="19" customFormat="1" ht="18" customHeight="1" outlineLevel="2" x14ac:dyDescent="0.25">
      <c r="A131" s="48" t="s">
        <v>135</v>
      </c>
      <c r="B131" s="53"/>
      <c r="C131" s="64"/>
      <c r="D131" s="68"/>
      <c r="E131" s="68"/>
      <c r="F131" s="68">
        <v>0</v>
      </c>
      <c r="G131" s="68"/>
      <c r="H131" s="68">
        <v>0</v>
      </c>
      <c r="I131" s="68"/>
      <c r="J131" s="68">
        <v>0</v>
      </c>
      <c r="K131" s="68"/>
      <c r="L131" s="68">
        <v>0</v>
      </c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51">
        <f t="shared" si="23"/>
        <v>0</v>
      </c>
      <c r="AB131" s="51">
        <f t="shared" si="29"/>
        <v>0</v>
      </c>
      <c r="AC131" s="100"/>
      <c r="AD131" s="31">
        <f t="shared" si="25"/>
        <v>0</v>
      </c>
      <c r="AE131" s="31">
        <f t="shared" si="26"/>
        <v>0</v>
      </c>
      <c r="AF131" s="17">
        <f t="shared" si="27"/>
        <v>0</v>
      </c>
      <c r="AG131" s="17">
        <f t="shared" si="28"/>
        <v>0</v>
      </c>
      <c r="BC131" s="20"/>
    </row>
    <row r="132" spans="1:119" s="19" customFormat="1" ht="18" customHeight="1" outlineLevel="1" x14ac:dyDescent="0.25">
      <c r="A132" s="48" t="s">
        <v>136</v>
      </c>
      <c r="B132" s="53"/>
      <c r="C132" s="64"/>
      <c r="D132" s="68"/>
      <c r="E132" s="68"/>
      <c r="F132" s="68">
        <v>0</v>
      </c>
      <c r="G132" s="68"/>
      <c r="H132" s="68">
        <v>0</v>
      </c>
      <c r="I132" s="68"/>
      <c r="J132" s="68">
        <v>0</v>
      </c>
      <c r="K132" s="68"/>
      <c r="L132" s="68">
        <v>0</v>
      </c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51">
        <f t="shared" si="23"/>
        <v>0</v>
      </c>
      <c r="AB132" s="51">
        <f t="shared" si="29"/>
        <v>0</v>
      </c>
      <c r="AC132" s="100"/>
      <c r="AD132" s="31">
        <f t="shared" si="25"/>
        <v>0</v>
      </c>
      <c r="AE132" s="31">
        <f t="shared" si="26"/>
        <v>0</v>
      </c>
      <c r="AF132" s="17">
        <f t="shared" si="27"/>
        <v>0</v>
      </c>
      <c r="AG132" s="17">
        <f t="shared" si="28"/>
        <v>0</v>
      </c>
      <c r="BC132" s="20"/>
    </row>
    <row r="133" spans="1:119" s="19" customFormat="1" ht="18" customHeight="1" outlineLevel="1" x14ac:dyDescent="0.25">
      <c r="A133" s="48" t="s">
        <v>137</v>
      </c>
      <c r="B133" s="53"/>
      <c r="C133" s="64"/>
      <c r="D133" s="68"/>
      <c r="E133" s="68"/>
      <c r="F133" s="68">
        <v>0</v>
      </c>
      <c r="G133" s="68"/>
      <c r="H133" s="68">
        <v>0</v>
      </c>
      <c r="I133" s="68"/>
      <c r="J133" s="68">
        <v>0</v>
      </c>
      <c r="K133" s="68"/>
      <c r="L133" s="68">
        <v>0</v>
      </c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51">
        <f t="shared" si="23"/>
        <v>0</v>
      </c>
      <c r="AB133" s="51">
        <f t="shared" si="29"/>
        <v>0</v>
      </c>
      <c r="AC133" s="100"/>
      <c r="AD133" s="31">
        <f t="shared" si="25"/>
        <v>0</v>
      </c>
      <c r="AE133" s="31">
        <f t="shared" si="26"/>
        <v>0</v>
      </c>
      <c r="AF133" s="17">
        <f t="shared" si="27"/>
        <v>0</v>
      </c>
      <c r="AG133" s="17">
        <f t="shared" si="28"/>
        <v>0</v>
      </c>
      <c r="BC133" s="20"/>
    </row>
    <row r="134" spans="1:119" s="19" customFormat="1" ht="18" customHeight="1" outlineLevel="1" x14ac:dyDescent="0.25">
      <c r="A134" s="48" t="s">
        <v>138</v>
      </c>
      <c r="B134" s="53"/>
      <c r="C134" s="64"/>
      <c r="D134" s="68"/>
      <c r="E134" s="68"/>
      <c r="F134" s="68">
        <v>0</v>
      </c>
      <c r="G134" s="68"/>
      <c r="H134" s="68">
        <v>0</v>
      </c>
      <c r="I134" s="68"/>
      <c r="J134" s="68">
        <v>0</v>
      </c>
      <c r="K134" s="68"/>
      <c r="L134" s="68">
        <v>0</v>
      </c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51">
        <f t="shared" si="23"/>
        <v>0</v>
      </c>
      <c r="AB134" s="51">
        <f t="shared" si="29"/>
        <v>0</v>
      </c>
      <c r="AC134" s="100"/>
      <c r="AD134" s="31">
        <f t="shared" si="25"/>
        <v>0</v>
      </c>
      <c r="AE134" s="31">
        <f t="shared" si="26"/>
        <v>0</v>
      </c>
      <c r="AF134" s="17">
        <f t="shared" si="27"/>
        <v>0</v>
      </c>
      <c r="AG134" s="17">
        <f t="shared" si="28"/>
        <v>0</v>
      </c>
      <c r="BC134" s="20"/>
    </row>
    <row r="135" spans="1:119" s="19" customFormat="1" ht="18" customHeight="1" outlineLevel="1" x14ac:dyDescent="0.25">
      <c r="A135" s="48" t="s">
        <v>139</v>
      </c>
      <c r="B135" s="53"/>
      <c r="C135" s="64"/>
      <c r="D135" s="68"/>
      <c r="E135" s="68"/>
      <c r="F135" s="68">
        <v>0</v>
      </c>
      <c r="G135" s="68"/>
      <c r="H135" s="68">
        <v>0</v>
      </c>
      <c r="I135" s="68"/>
      <c r="J135" s="68">
        <v>0</v>
      </c>
      <c r="K135" s="68"/>
      <c r="L135" s="68">
        <v>0</v>
      </c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51">
        <f t="shared" si="23"/>
        <v>0</v>
      </c>
      <c r="AB135" s="51">
        <f t="shared" si="29"/>
        <v>0</v>
      </c>
      <c r="AC135" s="100"/>
      <c r="AD135" s="31">
        <f t="shared" si="25"/>
        <v>0</v>
      </c>
      <c r="AE135" s="31">
        <f t="shared" si="26"/>
        <v>0</v>
      </c>
      <c r="AF135" s="17">
        <f t="shared" si="27"/>
        <v>0</v>
      </c>
      <c r="AG135" s="17">
        <f t="shared" si="28"/>
        <v>0</v>
      </c>
      <c r="BC135" s="20"/>
    </row>
    <row r="136" spans="1:119" s="19" customFormat="1" ht="18" customHeight="1" outlineLevel="1" x14ac:dyDescent="0.25">
      <c r="A136" s="48" t="s">
        <v>140</v>
      </c>
      <c r="B136" s="53"/>
      <c r="C136" s="64"/>
      <c r="D136" s="68"/>
      <c r="E136" s="68"/>
      <c r="F136" s="68">
        <v>0</v>
      </c>
      <c r="G136" s="68"/>
      <c r="H136" s="68">
        <v>0</v>
      </c>
      <c r="I136" s="68"/>
      <c r="J136" s="68">
        <v>0</v>
      </c>
      <c r="K136" s="68"/>
      <c r="L136" s="68">
        <v>0</v>
      </c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51">
        <f t="shared" si="23"/>
        <v>0</v>
      </c>
      <c r="AB136" s="51">
        <f t="shared" si="29"/>
        <v>0</v>
      </c>
      <c r="AC136" s="100"/>
      <c r="AD136" s="31">
        <f t="shared" si="25"/>
        <v>0</v>
      </c>
      <c r="AE136" s="31">
        <f t="shared" si="26"/>
        <v>0</v>
      </c>
      <c r="AF136" s="17">
        <f t="shared" si="27"/>
        <v>0</v>
      </c>
      <c r="AG136" s="17">
        <f t="shared" si="28"/>
        <v>0</v>
      </c>
      <c r="BC136" s="20"/>
    </row>
    <row r="137" spans="1:119" s="19" customFormat="1" ht="18" customHeight="1" outlineLevel="1" x14ac:dyDescent="0.25">
      <c r="A137" s="48" t="s">
        <v>141</v>
      </c>
      <c r="B137" s="53"/>
      <c r="C137" s="64"/>
      <c r="D137" s="68"/>
      <c r="E137" s="68"/>
      <c r="F137" s="68">
        <v>0</v>
      </c>
      <c r="G137" s="68"/>
      <c r="H137" s="68">
        <v>0</v>
      </c>
      <c r="I137" s="68"/>
      <c r="J137" s="68">
        <v>0</v>
      </c>
      <c r="K137" s="68"/>
      <c r="L137" s="68">
        <v>0</v>
      </c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51">
        <f t="shared" si="23"/>
        <v>0</v>
      </c>
      <c r="AB137" s="51">
        <f t="shared" si="29"/>
        <v>0</v>
      </c>
      <c r="AC137" s="100"/>
      <c r="AD137" s="31">
        <f t="shared" si="25"/>
        <v>0</v>
      </c>
      <c r="AE137" s="31">
        <f t="shared" si="26"/>
        <v>0</v>
      </c>
      <c r="AF137" s="17">
        <f t="shared" si="27"/>
        <v>0</v>
      </c>
      <c r="AG137" s="17">
        <f t="shared" si="28"/>
        <v>0</v>
      </c>
      <c r="BC137" s="20"/>
    </row>
    <row r="138" spans="1:119" s="17" customFormat="1" ht="18" customHeight="1" outlineLevel="1" x14ac:dyDescent="0.25">
      <c r="A138" s="67" t="s">
        <v>142</v>
      </c>
      <c r="B138" s="45"/>
      <c r="C138" s="33"/>
      <c r="D138" s="65"/>
      <c r="E138" s="65"/>
      <c r="F138" s="65">
        <f>SUM(F139:F142)</f>
        <v>0</v>
      </c>
      <c r="G138" s="65"/>
      <c r="H138" s="65">
        <f>SUM(H139:H142)</f>
        <v>0</v>
      </c>
      <c r="I138" s="65"/>
      <c r="J138" s="65">
        <f>SUM(J139:J142)</f>
        <v>0</v>
      </c>
      <c r="K138" s="65"/>
      <c r="L138" s="65">
        <f>SUM(L139:L142)</f>
        <v>0</v>
      </c>
      <c r="M138" s="65"/>
      <c r="N138" s="65">
        <f>SUM(N139:N142)</f>
        <v>0</v>
      </c>
      <c r="O138" s="65"/>
      <c r="P138" s="65">
        <f>SUM(P139:P142)</f>
        <v>0</v>
      </c>
      <c r="Q138" s="65"/>
      <c r="R138" s="65">
        <f>SUM(R139:R142)</f>
        <v>0</v>
      </c>
      <c r="S138" s="65"/>
      <c r="T138" s="65">
        <f>SUM(T139:T142)</f>
        <v>0</v>
      </c>
      <c r="U138" s="65"/>
      <c r="V138" s="65">
        <f>SUM(V139:V142)</f>
        <v>0</v>
      </c>
      <c r="W138" s="65"/>
      <c r="X138" s="65">
        <f>SUM(X139:X142)</f>
        <v>0</v>
      </c>
      <c r="Y138" s="65"/>
      <c r="Z138" s="65">
        <f>SUM(Z139:Z142)</f>
        <v>0</v>
      </c>
      <c r="AA138" s="51">
        <f t="shared" si="23"/>
        <v>0</v>
      </c>
      <c r="AB138" s="51">
        <f t="shared" si="29"/>
        <v>0</v>
      </c>
      <c r="AC138" s="103"/>
      <c r="AD138" s="31">
        <f t="shared" si="25"/>
        <v>0</v>
      </c>
      <c r="AE138" s="31">
        <f t="shared" si="26"/>
        <v>0</v>
      </c>
      <c r="AF138" s="17">
        <f t="shared" si="27"/>
        <v>0</v>
      </c>
      <c r="AG138" s="17">
        <f t="shared" si="28"/>
        <v>0</v>
      </c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66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</row>
    <row r="139" spans="1:119" s="19" customFormat="1" ht="18" customHeight="1" outlineLevel="2" x14ac:dyDescent="0.25">
      <c r="A139" s="48" t="s">
        <v>143</v>
      </c>
      <c r="B139" s="53"/>
      <c r="C139" s="64"/>
      <c r="D139" s="68"/>
      <c r="E139" s="68"/>
      <c r="F139" s="68">
        <v>0</v>
      </c>
      <c r="G139" s="68"/>
      <c r="H139" s="68">
        <v>0</v>
      </c>
      <c r="I139" s="68"/>
      <c r="J139" s="68">
        <v>0</v>
      </c>
      <c r="K139" s="68"/>
      <c r="L139" s="68">
        <v>0</v>
      </c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51">
        <f t="shared" si="23"/>
        <v>0</v>
      </c>
      <c r="AB139" s="51">
        <f t="shared" si="29"/>
        <v>0</v>
      </c>
      <c r="AC139" s="100"/>
      <c r="AD139" s="31">
        <f t="shared" si="25"/>
        <v>0</v>
      </c>
      <c r="AE139" s="31">
        <f t="shared" si="26"/>
        <v>0</v>
      </c>
      <c r="AF139" s="17">
        <f t="shared" si="27"/>
        <v>0</v>
      </c>
      <c r="AG139" s="17">
        <f t="shared" si="28"/>
        <v>0</v>
      </c>
      <c r="BC139" s="20"/>
    </row>
    <row r="140" spans="1:119" s="19" customFormat="1" ht="18" customHeight="1" outlineLevel="2" x14ac:dyDescent="0.25">
      <c r="A140" s="48" t="s">
        <v>144</v>
      </c>
      <c r="B140" s="53"/>
      <c r="C140" s="64"/>
      <c r="D140" s="68"/>
      <c r="E140" s="68"/>
      <c r="F140" s="68">
        <v>0</v>
      </c>
      <c r="G140" s="68"/>
      <c r="H140" s="68">
        <v>0</v>
      </c>
      <c r="I140" s="68"/>
      <c r="J140" s="68">
        <v>0</v>
      </c>
      <c r="K140" s="68"/>
      <c r="L140" s="68">
        <v>0</v>
      </c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51">
        <f t="shared" si="23"/>
        <v>0</v>
      </c>
      <c r="AB140" s="51">
        <f t="shared" si="29"/>
        <v>0</v>
      </c>
      <c r="AC140" s="100"/>
      <c r="AD140" s="31">
        <f t="shared" si="25"/>
        <v>0</v>
      </c>
      <c r="AE140" s="31">
        <f t="shared" si="26"/>
        <v>0</v>
      </c>
      <c r="AF140" s="17">
        <f t="shared" si="27"/>
        <v>0</v>
      </c>
      <c r="AG140" s="17">
        <f t="shared" si="28"/>
        <v>0</v>
      </c>
      <c r="BC140" s="20"/>
    </row>
    <row r="141" spans="1:119" s="19" customFormat="1" ht="18" customHeight="1" outlineLevel="2" x14ac:dyDescent="0.25">
      <c r="A141" s="48" t="s">
        <v>145</v>
      </c>
      <c r="B141" s="53"/>
      <c r="C141" s="64"/>
      <c r="D141" s="68"/>
      <c r="E141" s="68"/>
      <c r="F141" s="68">
        <v>0</v>
      </c>
      <c r="G141" s="68"/>
      <c r="H141" s="68">
        <v>0</v>
      </c>
      <c r="I141" s="68"/>
      <c r="J141" s="68">
        <v>0</v>
      </c>
      <c r="K141" s="68"/>
      <c r="L141" s="68">
        <v>0</v>
      </c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51">
        <f t="shared" si="23"/>
        <v>0</v>
      </c>
      <c r="AB141" s="51">
        <f t="shared" si="29"/>
        <v>0</v>
      </c>
      <c r="AC141" s="100"/>
      <c r="AD141" s="31">
        <f t="shared" si="25"/>
        <v>0</v>
      </c>
      <c r="AE141" s="31">
        <f t="shared" si="26"/>
        <v>0</v>
      </c>
      <c r="AF141" s="17">
        <f t="shared" si="27"/>
        <v>0</v>
      </c>
      <c r="AG141" s="17">
        <f t="shared" si="28"/>
        <v>0</v>
      </c>
      <c r="BC141" s="20"/>
    </row>
    <row r="142" spans="1:119" s="19" customFormat="1" ht="18" customHeight="1" outlineLevel="2" x14ac:dyDescent="0.25">
      <c r="A142" s="48" t="s">
        <v>146</v>
      </c>
      <c r="B142" s="53"/>
      <c r="C142" s="64"/>
      <c r="D142" s="68"/>
      <c r="E142" s="68"/>
      <c r="F142" s="68">
        <v>0</v>
      </c>
      <c r="G142" s="68"/>
      <c r="H142" s="68">
        <v>0</v>
      </c>
      <c r="I142" s="68"/>
      <c r="J142" s="68">
        <v>0</v>
      </c>
      <c r="K142" s="68"/>
      <c r="L142" s="68">
        <v>0</v>
      </c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51">
        <f t="shared" si="23"/>
        <v>0</v>
      </c>
      <c r="AB142" s="51">
        <f t="shared" si="29"/>
        <v>0</v>
      </c>
      <c r="AC142" s="100"/>
      <c r="AD142" s="31">
        <f t="shared" si="25"/>
        <v>0</v>
      </c>
      <c r="AE142" s="31">
        <f t="shared" si="26"/>
        <v>0</v>
      </c>
      <c r="AF142" s="17">
        <f t="shared" si="27"/>
        <v>0</v>
      </c>
      <c r="AG142" s="17">
        <f t="shared" si="28"/>
        <v>0</v>
      </c>
      <c r="BC142" s="20"/>
    </row>
    <row r="143" spans="1:119" s="19" customFormat="1" ht="18" customHeight="1" outlineLevel="1" x14ac:dyDescent="0.25">
      <c r="A143" s="48" t="s">
        <v>147</v>
      </c>
      <c r="B143" s="53"/>
      <c r="C143" s="64"/>
      <c r="D143" s="68"/>
      <c r="E143" s="68"/>
      <c r="F143" s="68">
        <v>0</v>
      </c>
      <c r="G143" s="68"/>
      <c r="H143" s="68">
        <v>0</v>
      </c>
      <c r="I143" s="68"/>
      <c r="J143" s="68">
        <v>0</v>
      </c>
      <c r="K143" s="68"/>
      <c r="L143" s="68">
        <v>0</v>
      </c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51">
        <f t="shared" si="23"/>
        <v>0</v>
      </c>
      <c r="AB143" s="51">
        <f t="shared" si="29"/>
        <v>0</v>
      </c>
      <c r="AC143" s="100"/>
      <c r="AD143" s="31">
        <f t="shared" si="25"/>
        <v>0</v>
      </c>
      <c r="AE143" s="31">
        <f t="shared" si="26"/>
        <v>0</v>
      </c>
      <c r="AF143" s="17">
        <f t="shared" si="27"/>
        <v>0</v>
      </c>
      <c r="AG143" s="17">
        <f t="shared" si="28"/>
        <v>0</v>
      </c>
      <c r="BC143" s="20"/>
    </row>
    <row r="144" spans="1:119" s="19" customFormat="1" ht="18" customHeight="1" outlineLevel="1" x14ac:dyDescent="0.25">
      <c r="A144" s="48" t="s">
        <v>148</v>
      </c>
      <c r="B144" s="53"/>
      <c r="C144" s="64"/>
      <c r="D144" s="68"/>
      <c r="E144" s="68"/>
      <c r="F144" s="68">
        <v>0</v>
      </c>
      <c r="G144" s="68"/>
      <c r="H144" s="68">
        <v>0</v>
      </c>
      <c r="I144" s="68"/>
      <c r="J144" s="68">
        <v>0</v>
      </c>
      <c r="K144" s="68"/>
      <c r="L144" s="68">
        <v>0</v>
      </c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51">
        <f t="shared" si="23"/>
        <v>0</v>
      </c>
      <c r="AB144" s="51">
        <f t="shared" si="29"/>
        <v>0</v>
      </c>
      <c r="AC144" s="100"/>
      <c r="AD144" s="31">
        <f t="shared" si="25"/>
        <v>0</v>
      </c>
      <c r="AE144" s="31">
        <f t="shared" si="26"/>
        <v>0</v>
      </c>
      <c r="AF144" s="17">
        <f t="shared" si="27"/>
        <v>0</v>
      </c>
      <c r="AG144" s="17">
        <f t="shared" si="28"/>
        <v>0</v>
      </c>
      <c r="BC144" s="20"/>
    </row>
    <row r="145" spans="1:55" s="19" customFormat="1" ht="18" customHeight="1" outlineLevel="1" x14ac:dyDescent="0.25">
      <c r="A145" s="48" t="s">
        <v>149</v>
      </c>
      <c r="B145" s="53"/>
      <c r="C145" s="64"/>
      <c r="D145" s="68"/>
      <c r="E145" s="68"/>
      <c r="F145" s="68">
        <v>0</v>
      </c>
      <c r="G145" s="68"/>
      <c r="H145" s="68">
        <v>0</v>
      </c>
      <c r="I145" s="68"/>
      <c r="J145" s="68">
        <v>0</v>
      </c>
      <c r="K145" s="68"/>
      <c r="L145" s="68">
        <v>0</v>
      </c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51">
        <f t="shared" si="23"/>
        <v>0</v>
      </c>
      <c r="AB145" s="51">
        <f t="shared" si="29"/>
        <v>0</v>
      </c>
      <c r="AC145" s="100"/>
      <c r="AD145" s="31">
        <f t="shared" si="25"/>
        <v>0</v>
      </c>
      <c r="AE145" s="31">
        <f t="shared" si="26"/>
        <v>0</v>
      </c>
      <c r="AF145" s="17">
        <f t="shared" si="27"/>
        <v>0</v>
      </c>
      <c r="AG145" s="17">
        <f t="shared" si="28"/>
        <v>0</v>
      </c>
      <c r="BC145" s="20"/>
    </row>
    <row r="146" spans="1:55" s="19" customFormat="1" ht="18" customHeight="1" outlineLevel="1" x14ac:dyDescent="0.25">
      <c r="A146" s="48" t="s">
        <v>150</v>
      </c>
      <c r="B146" s="53"/>
      <c r="C146" s="64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51">
        <f t="shared" si="23"/>
        <v>0</v>
      </c>
      <c r="AB146" s="51">
        <f t="shared" si="29"/>
        <v>0</v>
      </c>
      <c r="AC146" s="100"/>
      <c r="AD146" s="31">
        <f t="shared" si="25"/>
        <v>0</v>
      </c>
      <c r="AE146" s="31">
        <f t="shared" si="26"/>
        <v>0</v>
      </c>
      <c r="AF146" s="17">
        <f t="shared" si="27"/>
        <v>0</v>
      </c>
      <c r="AG146" s="17">
        <f t="shared" si="28"/>
        <v>0</v>
      </c>
      <c r="BC146" s="20"/>
    </row>
    <row r="147" spans="1:55" s="19" customFormat="1" ht="18" customHeight="1" outlineLevel="1" x14ac:dyDescent="0.25">
      <c r="A147" s="48" t="s">
        <v>151</v>
      </c>
      <c r="B147" s="53"/>
      <c r="C147" s="64"/>
      <c r="D147" s="68"/>
      <c r="E147" s="68"/>
      <c r="F147" s="68">
        <v>0</v>
      </c>
      <c r="G147" s="68"/>
      <c r="H147" s="68">
        <v>0</v>
      </c>
      <c r="I147" s="68"/>
      <c r="J147" s="68">
        <v>0</v>
      </c>
      <c r="K147" s="68"/>
      <c r="L147" s="68">
        <v>0</v>
      </c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51">
        <f t="shared" si="23"/>
        <v>0</v>
      </c>
      <c r="AB147" s="51">
        <f t="shared" si="29"/>
        <v>0</v>
      </c>
      <c r="AC147" s="100"/>
      <c r="AD147" s="31">
        <f t="shared" si="25"/>
        <v>0</v>
      </c>
      <c r="AE147" s="31">
        <f t="shared" si="26"/>
        <v>0</v>
      </c>
      <c r="AF147" s="17">
        <f t="shared" si="27"/>
        <v>0</v>
      </c>
      <c r="AG147" s="17">
        <f t="shared" si="28"/>
        <v>0</v>
      </c>
      <c r="BC147" s="20"/>
    </row>
    <row r="148" spans="1:55" s="19" customFormat="1" ht="18" customHeight="1" outlineLevel="1" x14ac:dyDescent="0.25">
      <c r="A148" s="48" t="s">
        <v>152</v>
      </c>
      <c r="B148" s="53"/>
      <c r="C148" s="64"/>
      <c r="D148" s="68"/>
      <c r="E148" s="68"/>
      <c r="F148" s="68">
        <v>0</v>
      </c>
      <c r="G148" s="68"/>
      <c r="H148" s="68">
        <v>0</v>
      </c>
      <c r="I148" s="68"/>
      <c r="J148" s="68">
        <v>0</v>
      </c>
      <c r="K148" s="68"/>
      <c r="L148" s="68">
        <v>0</v>
      </c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51">
        <f t="shared" si="23"/>
        <v>0</v>
      </c>
      <c r="AB148" s="51">
        <f t="shared" si="29"/>
        <v>0</v>
      </c>
      <c r="AC148" s="100"/>
      <c r="AD148" s="31">
        <f t="shared" si="25"/>
        <v>0</v>
      </c>
      <c r="AE148" s="31">
        <f t="shared" si="26"/>
        <v>0</v>
      </c>
      <c r="AF148" s="17">
        <f t="shared" si="27"/>
        <v>0</v>
      </c>
      <c r="AG148" s="17">
        <f t="shared" si="28"/>
        <v>0</v>
      </c>
      <c r="BC148" s="20"/>
    </row>
    <row r="149" spans="1:55" s="19" customFormat="1" ht="18" customHeight="1" outlineLevel="1" x14ac:dyDescent="0.25">
      <c r="A149" s="48" t="s">
        <v>153</v>
      </c>
      <c r="B149" s="53"/>
      <c r="C149" s="64"/>
      <c r="D149" s="68"/>
      <c r="E149" s="68"/>
      <c r="F149" s="68">
        <v>0</v>
      </c>
      <c r="G149" s="68"/>
      <c r="H149" s="68">
        <v>0</v>
      </c>
      <c r="I149" s="68"/>
      <c r="J149" s="68">
        <v>0</v>
      </c>
      <c r="K149" s="68"/>
      <c r="L149" s="68">
        <v>0</v>
      </c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51">
        <f t="shared" si="23"/>
        <v>0</v>
      </c>
      <c r="AB149" s="51">
        <f t="shared" si="29"/>
        <v>0</v>
      </c>
      <c r="AC149" s="100"/>
      <c r="AD149" s="31">
        <f t="shared" si="25"/>
        <v>0</v>
      </c>
      <c r="AE149" s="31">
        <f t="shared" si="26"/>
        <v>0</v>
      </c>
      <c r="AF149" s="17">
        <f t="shared" si="27"/>
        <v>0</v>
      </c>
      <c r="AG149" s="17">
        <f t="shared" si="28"/>
        <v>0</v>
      </c>
      <c r="BC149" s="20"/>
    </row>
    <row r="150" spans="1:55" s="19" customFormat="1" ht="18" customHeight="1" outlineLevel="1" x14ac:dyDescent="0.25">
      <c r="A150" s="48" t="s">
        <v>154</v>
      </c>
      <c r="B150" s="53"/>
      <c r="C150" s="64"/>
      <c r="D150" s="68"/>
      <c r="E150" s="68"/>
      <c r="F150" s="68">
        <v>0</v>
      </c>
      <c r="G150" s="68"/>
      <c r="H150" s="68">
        <v>0</v>
      </c>
      <c r="I150" s="68"/>
      <c r="J150" s="68">
        <v>0</v>
      </c>
      <c r="K150" s="68"/>
      <c r="L150" s="68">
        <v>0</v>
      </c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51">
        <f t="shared" si="23"/>
        <v>0</v>
      </c>
      <c r="AB150" s="51">
        <f t="shared" si="29"/>
        <v>0</v>
      </c>
      <c r="AC150" s="100"/>
      <c r="AD150" s="31">
        <f t="shared" si="25"/>
        <v>0</v>
      </c>
      <c r="AE150" s="31">
        <f t="shared" si="26"/>
        <v>0</v>
      </c>
      <c r="AF150" s="17">
        <f t="shared" si="27"/>
        <v>0</v>
      </c>
      <c r="AG150" s="17">
        <f t="shared" si="28"/>
        <v>0</v>
      </c>
      <c r="BC150" s="20"/>
    </row>
    <row r="151" spans="1:55" s="19" customFormat="1" ht="18" customHeight="1" outlineLevel="1" x14ac:dyDescent="0.25">
      <c r="A151" s="48" t="s">
        <v>155</v>
      </c>
      <c r="B151" s="53"/>
      <c r="C151" s="64"/>
      <c r="D151" s="68"/>
      <c r="E151" s="68"/>
      <c r="F151" s="68">
        <v>0</v>
      </c>
      <c r="G151" s="68"/>
      <c r="H151" s="68">
        <v>0</v>
      </c>
      <c r="I151" s="68"/>
      <c r="J151" s="68">
        <v>0</v>
      </c>
      <c r="K151" s="68"/>
      <c r="L151" s="68">
        <v>0</v>
      </c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51">
        <f t="shared" si="23"/>
        <v>0</v>
      </c>
      <c r="AB151" s="51">
        <f t="shared" si="29"/>
        <v>0</v>
      </c>
      <c r="AC151" s="100"/>
      <c r="AD151" s="31">
        <f t="shared" si="25"/>
        <v>0</v>
      </c>
      <c r="AE151" s="31">
        <f t="shared" si="26"/>
        <v>0</v>
      </c>
      <c r="AF151" s="17">
        <f t="shared" si="27"/>
        <v>0</v>
      </c>
      <c r="AG151" s="17">
        <f t="shared" si="28"/>
        <v>0</v>
      </c>
      <c r="BC151" s="20"/>
    </row>
    <row r="152" spans="1:55" s="19" customFormat="1" ht="18" customHeight="1" outlineLevel="1" x14ac:dyDescent="0.25">
      <c r="A152" s="48" t="s">
        <v>156</v>
      </c>
      <c r="B152" s="53"/>
      <c r="C152" s="64"/>
      <c r="D152" s="68"/>
      <c r="E152" s="68"/>
      <c r="F152" s="68">
        <v>0</v>
      </c>
      <c r="G152" s="68"/>
      <c r="H152" s="68">
        <v>0</v>
      </c>
      <c r="I152" s="68"/>
      <c r="J152" s="68">
        <v>0</v>
      </c>
      <c r="K152" s="68"/>
      <c r="L152" s="68">
        <v>0</v>
      </c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51">
        <f t="shared" si="23"/>
        <v>0</v>
      </c>
      <c r="AB152" s="51">
        <f t="shared" si="29"/>
        <v>0</v>
      </c>
      <c r="AC152" s="100"/>
      <c r="AD152" s="31">
        <f t="shared" si="25"/>
        <v>0</v>
      </c>
      <c r="AE152" s="31">
        <f t="shared" si="26"/>
        <v>0</v>
      </c>
      <c r="AF152" s="17">
        <f t="shared" si="27"/>
        <v>0</v>
      </c>
      <c r="AG152" s="17">
        <f t="shared" si="28"/>
        <v>0</v>
      </c>
      <c r="BC152" s="20"/>
    </row>
    <row r="153" spans="1:55" s="19" customFormat="1" ht="18" customHeight="1" outlineLevel="1" x14ac:dyDescent="0.25">
      <c r="A153" s="48" t="s">
        <v>157</v>
      </c>
      <c r="B153" s="53"/>
      <c r="C153" s="64"/>
      <c r="D153" s="68"/>
      <c r="E153" s="68"/>
      <c r="F153" s="68">
        <v>0</v>
      </c>
      <c r="G153" s="68"/>
      <c r="H153" s="68">
        <v>0</v>
      </c>
      <c r="I153" s="68"/>
      <c r="J153" s="68">
        <v>0</v>
      </c>
      <c r="K153" s="68"/>
      <c r="L153" s="68">
        <v>0</v>
      </c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51">
        <f t="shared" si="23"/>
        <v>0</v>
      </c>
      <c r="AB153" s="51">
        <f t="shared" si="29"/>
        <v>0</v>
      </c>
      <c r="AC153" s="100"/>
      <c r="AD153" s="31">
        <f t="shared" si="25"/>
        <v>0</v>
      </c>
      <c r="AE153" s="31">
        <f t="shared" si="26"/>
        <v>0</v>
      </c>
      <c r="AF153" s="17">
        <f t="shared" si="27"/>
        <v>0</v>
      </c>
      <c r="AG153" s="17">
        <f t="shared" si="28"/>
        <v>0</v>
      </c>
      <c r="BC153" s="20"/>
    </row>
    <row r="154" spans="1:55" s="19" customFormat="1" ht="18" customHeight="1" outlineLevel="1" x14ac:dyDescent="0.25">
      <c r="A154" s="48" t="s">
        <v>158</v>
      </c>
      <c r="B154" s="53"/>
      <c r="C154" s="64"/>
      <c r="D154" s="68"/>
      <c r="E154" s="68"/>
      <c r="F154" s="68">
        <v>0</v>
      </c>
      <c r="G154" s="68"/>
      <c r="H154" s="68">
        <v>0</v>
      </c>
      <c r="I154" s="68"/>
      <c r="J154" s="68">
        <v>0</v>
      </c>
      <c r="K154" s="68"/>
      <c r="L154" s="68">
        <v>0</v>
      </c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51">
        <f t="shared" si="23"/>
        <v>0</v>
      </c>
      <c r="AB154" s="51">
        <f t="shared" si="29"/>
        <v>0</v>
      </c>
      <c r="AC154" s="100"/>
      <c r="AD154" s="31">
        <f t="shared" si="25"/>
        <v>0</v>
      </c>
      <c r="AE154" s="31">
        <f t="shared" si="26"/>
        <v>0</v>
      </c>
      <c r="AF154" s="17">
        <f t="shared" si="27"/>
        <v>0</v>
      </c>
      <c r="AG154" s="17">
        <f t="shared" si="28"/>
        <v>0</v>
      </c>
      <c r="BC154" s="20"/>
    </row>
    <row r="155" spans="1:55" s="19" customFormat="1" ht="18" customHeight="1" outlineLevel="1" x14ac:dyDescent="0.25">
      <c r="A155" s="48" t="s">
        <v>100</v>
      </c>
      <c r="B155" s="53"/>
      <c r="C155" s="64"/>
      <c r="D155" s="68"/>
      <c r="E155" s="68"/>
      <c r="F155" s="68">
        <v>0</v>
      </c>
      <c r="G155" s="68"/>
      <c r="H155" s="68">
        <v>0</v>
      </c>
      <c r="I155" s="68"/>
      <c r="J155" s="68">
        <v>0</v>
      </c>
      <c r="K155" s="68"/>
      <c r="L155" s="68">
        <v>0</v>
      </c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51">
        <f t="shared" si="23"/>
        <v>0</v>
      </c>
      <c r="AB155" s="51">
        <f t="shared" si="29"/>
        <v>0</v>
      </c>
      <c r="AC155" s="100"/>
      <c r="AD155" s="31">
        <f t="shared" si="25"/>
        <v>0</v>
      </c>
      <c r="AE155" s="31">
        <f t="shared" si="26"/>
        <v>0</v>
      </c>
      <c r="AF155" s="17">
        <f t="shared" si="27"/>
        <v>0</v>
      </c>
      <c r="AG155" s="17">
        <f t="shared" si="28"/>
        <v>0</v>
      </c>
      <c r="BC155" s="20"/>
    </row>
    <row r="156" spans="1:55" s="19" customFormat="1" ht="18" customHeight="1" outlineLevel="1" x14ac:dyDescent="0.25">
      <c r="A156" s="48" t="s">
        <v>159</v>
      </c>
      <c r="B156" s="53"/>
      <c r="C156" s="64"/>
      <c r="D156" s="68"/>
      <c r="E156" s="68"/>
      <c r="F156" s="68">
        <v>0</v>
      </c>
      <c r="G156" s="68"/>
      <c r="H156" s="68">
        <v>0</v>
      </c>
      <c r="I156" s="68"/>
      <c r="J156" s="68">
        <v>0</v>
      </c>
      <c r="K156" s="68"/>
      <c r="L156" s="68">
        <v>0</v>
      </c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51">
        <f t="shared" ref="AA156:AA219" si="30">C156+E156+G156+I156+K156+M156+O156+Q156+S156+U156+W156+Y156</f>
        <v>0</v>
      </c>
      <c r="AB156" s="51">
        <f t="shared" si="29"/>
        <v>0</v>
      </c>
      <c r="AC156" s="100"/>
      <c r="AD156" s="31">
        <f t="shared" ref="AD156:AD219" si="31">SUMIF($C$5:$Z$5,$AD$5,C156:Z156)</f>
        <v>0</v>
      </c>
      <c r="AE156" s="31">
        <f t="shared" ref="AE156:AE219" si="32">SUMIF($C$5:$Z$5,$AD$5,D156:AA156)</f>
        <v>0</v>
      </c>
      <c r="AF156" s="17">
        <f t="shared" si="27"/>
        <v>0</v>
      </c>
      <c r="AG156" s="17">
        <f t="shared" si="28"/>
        <v>0</v>
      </c>
      <c r="BC156" s="20"/>
    </row>
    <row r="157" spans="1:55" s="19" customFormat="1" ht="18" customHeight="1" outlineLevel="1" x14ac:dyDescent="0.25">
      <c r="A157" s="48" t="s">
        <v>160</v>
      </c>
      <c r="B157" s="53"/>
      <c r="C157" s="64"/>
      <c r="D157" s="68"/>
      <c r="E157" s="68"/>
      <c r="F157" s="68">
        <v>0</v>
      </c>
      <c r="G157" s="68"/>
      <c r="H157" s="68">
        <v>0</v>
      </c>
      <c r="I157" s="68"/>
      <c r="J157" s="68">
        <v>0</v>
      </c>
      <c r="K157" s="68"/>
      <c r="L157" s="68">
        <v>0</v>
      </c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51">
        <f t="shared" si="30"/>
        <v>0</v>
      </c>
      <c r="AB157" s="51">
        <f t="shared" si="29"/>
        <v>0</v>
      </c>
      <c r="AC157" s="100"/>
      <c r="AD157" s="31">
        <f t="shared" si="31"/>
        <v>0</v>
      </c>
      <c r="AE157" s="31">
        <f t="shared" si="32"/>
        <v>0</v>
      </c>
      <c r="AF157" s="17">
        <f t="shared" si="27"/>
        <v>0</v>
      </c>
      <c r="AG157" s="17">
        <f t="shared" si="28"/>
        <v>0</v>
      </c>
      <c r="BC157" s="20"/>
    </row>
    <row r="158" spans="1:55" s="19" customFormat="1" ht="18" customHeight="1" outlineLevel="1" x14ac:dyDescent="0.25">
      <c r="A158" s="48" t="s">
        <v>161</v>
      </c>
      <c r="B158" s="53"/>
      <c r="C158" s="64"/>
      <c r="D158" s="68"/>
      <c r="E158" s="68"/>
      <c r="F158" s="68">
        <v>0</v>
      </c>
      <c r="G158" s="68"/>
      <c r="H158" s="68">
        <v>0</v>
      </c>
      <c r="I158" s="68"/>
      <c r="J158" s="68">
        <v>0</v>
      </c>
      <c r="K158" s="68"/>
      <c r="L158" s="68">
        <v>0</v>
      </c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51">
        <f t="shared" si="30"/>
        <v>0</v>
      </c>
      <c r="AB158" s="51">
        <f t="shared" si="29"/>
        <v>0</v>
      </c>
      <c r="AC158" s="100"/>
      <c r="AD158" s="31">
        <f t="shared" si="31"/>
        <v>0</v>
      </c>
      <c r="AE158" s="31">
        <f t="shared" si="32"/>
        <v>0</v>
      </c>
      <c r="AF158" s="17">
        <f t="shared" ref="AF158:AF221" si="33">AA158-AD158</f>
        <v>0</v>
      </c>
      <c r="AG158" s="17">
        <f t="shared" ref="AG158:AG221" si="34">AB158-AE158</f>
        <v>0</v>
      </c>
      <c r="BC158" s="20"/>
    </row>
    <row r="159" spans="1:55" s="19" customFormat="1" ht="18" customHeight="1" outlineLevel="1" x14ac:dyDescent="0.25">
      <c r="A159" s="48" t="s">
        <v>162</v>
      </c>
      <c r="B159" s="53"/>
      <c r="C159" s="64"/>
      <c r="D159" s="68"/>
      <c r="E159" s="68"/>
      <c r="F159" s="68">
        <v>0</v>
      </c>
      <c r="G159" s="68"/>
      <c r="H159" s="68">
        <v>0</v>
      </c>
      <c r="I159" s="68"/>
      <c r="J159" s="68">
        <v>0</v>
      </c>
      <c r="K159" s="68"/>
      <c r="L159" s="68">
        <v>0</v>
      </c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51">
        <f t="shared" si="30"/>
        <v>0</v>
      </c>
      <c r="AB159" s="51">
        <f t="shared" si="29"/>
        <v>0</v>
      </c>
      <c r="AC159" s="100"/>
      <c r="AD159" s="31">
        <f t="shared" si="31"/>
        <v>0</v>
      </c>
      <c r="AE159" s="31">
        <f t="shared" si="32"/>
        <v>0</v>
      </c>
      <c r="AF159" s="17">
        <f t="shared" si="33"/>
        <v>0</v>
      </c>
      <c r="AG159" s="17">
        <f t="shared" si="34"/>
        <v>0</v>
      </c>
      <c r="BC159" s="20"/>
    </row>
    <row r="160" spans="1:55" s="19" customFormat="1" ht="18" customHeight="1" outlineLevel="1" x14ac:dyDescent="0.25">
      <c r="A160" s="48" t="s">
        <v>163</v>
      </c>
      <c r="B160" s="53"/>
      <c r="C160" s="64"/>
      <c r="D160" s="68"/>
      <c r="E160" s="68"/>
      <c r="F160" s="68">
        <v>0</v>
      </c>
      <c r="G160" s="68"/>
      <c r="H160" s="68">
        <v>0</v>
      </c>
      <c r="I160" s="68"/>
      <c r="J160" s="68">
        <v>0</v>
      </c>
      <c r="K160" s="68"/>
      <c r="L160" s="68">
        <v>0</v>
      </c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51">
        <f t="shared" si="30"/>
        <v>0</v>
      </c>
      <c r="AB160" s="51">
        <f t="shared" si="29"/>
        <v>0</v>
      </c>
      <c r="AC160" s="100"/>
      <c r="AD160" s="31">
        <f t="shared" si="31"/>
        <v>0</v>
      </c>
      <c r="AE160" s="31">
        <f t="shared" si="32"/>
        <v>0</v>
      </c>
      <c r="AF160" s="17">
        <f t="shared" si="33"/>
        <v>0</v>
      </c>
      <c r="AG160" s="17">
        <f t="shared" si="34"/>
        <v>0</v>
      </c>
      <c r="BC160" s="20"/>
    </row>
    <row r="161" spans="1:55" s="19" customFormat="1" ht="18" customHeight="1" outlineLevel="1" x14ac:dyDescent="0.25">
      <c r="A161" s="48" t="s">
        <v>164</v>
      </c>
      <c r="B161" s="53"/>
      <c r="C161" s="64"/>
      <c r="D161" s="68"/>
      <c r="E161" s="68"/>
      <c r="F161" s="68">
        <v>0</v>
      </c>
      <c r="G161" s="68"/>
      <c r="H161" s="68">
        <v>0</v>
      </c>
      <c r="I161" s="68"/>
      <c r="J161" s="68">
        <v>0</v>
      </c>
      <c r="K161" s="68"/>
      <c r="L161" s="68">
        <v>0</v>
      </c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51">
        <f t="shared" si="30"/>
        <v>0</v>
      </c>
      <c r="AB161" s="51">
        <f t="shared" si="29"/>
        <v>0</v>
      </c>
      <c r="AC161" s="100"/>
      <c r="AD161" s="31">
        <f t="shared" si="31"/>
        <v>0</v>
      </c>
      <c r="AE161" s="31">
        <f t="shared" si="32"/>
        <v>0</v>
      </c>
      <c r="AF161" s="17">
        <f t="shared" si="33"/>
        <v>0</v>
      </c>
      <c r="AG161" s="17">
        <f t="shared" si="34"/>
        <v>0</v>
      </c>
      <c r="BC161" s="20"/>
    </row>
    <row r="162" spans="1:55" s="19" customFormat="1" ht="18" customHeight="1" outlineLevel="1" x14ac:dyDescent="0.25">
      <c r="A162" s="48" t="s">
        <v>165</v>
      </c>
      <c r="B162" s="53"/>
      <c r="C162" s="64"/>
      <c r="D162" s="68"/>
      <c r="E162" s="68"/>
      <c r="F162" s="68">
        <v>0</v>
      </c>
      <c r="G162" s="68"/>
      <c r="H162" s="68">
        <v>0</v>
      </c>
      <c r="I162" s="68"/>
      <c r="J162" s="68">
        <v>0</v>
      </c>
      <c r="K162" s="68"/>
      <c r="L162" s="68">
        <v>0</v>
      </c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51">
        <f t="shared" si="30"/>
        <v>0</v>
      </c>
      <c r="AB162" s="51">
        <f t="shared" si="29"/>
        <v>0</v>
      </c>
      <c r="AC162" s="100"/>
      <c r="AD162" s="31">
        <f t="shared" si="31"/>
        <v>0</v>
      </c>
      <c r="AE162" s="31">
        <f t="shared" si="32"/>
        <v>0</v>
      </c>
      <c r="AF162" s="17">
        <f t="shared" si="33"/>
        <v>0</v>
      </c>
      <c r="AG162" s="17">
        <f t="shared" si="34"/>
        <v>0</v>
      </c>
      <c r="BC162" s="20"/>
    </row>
    <row r="163" spans="1:55" s="19" customFormat="1" ht="18" customHeight="1" outlineLevel="1" x14ac:dyDescent="0.25">
      <c r="A163" s="48" t="s">
        <v>166</v>
      </c>
      <c r="B163" s="53"/>
      <c r="C163" s="64"/>
      <c r="D163" s="68"/>
      <c r="E163" s="68"/>
      <c r="F163" s="68">
        <v>0</v>
      </c>
      <c r="G163" s="68"/>
      <c r="H163" s="68">
        <v>0</v>
      </c>
      <c r="I163" s="68"/>
      <c r="J163" s="68">
        <v>0</v>
      </c>
      <c r="K163" s="68"/>
      <c r="L163" s="68">
        <v>0</v>
      </c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51">
        <f t="shared" si="30"/>
        <v>0</v>
      </c>
      <c r="AB163" s="51">
        <f t="shared" si="29"/>
        <v>0</v>
      </c>
      <c r="AC163" s="100"/>
      <c r="AD163" s="31">
        <f t="shared" si="31"/>
        <v>0</v>
      </c>
      <c r="AE163" s="31">
        <f t="shared" si="32"/>
        <v>0</v>
      </c>
      <c r="AF163" s="17">
        <f t="shared" si="33"/>
        <v>0</v>
      </c>
      <c r="AG163" s="17">
        <f t="shared" si="34"/>
        <v>0</v>
      </c>
      <c r="BC163" s="20"/>
    </row>
    <row r="164" spans="1:55" s="19" customFormat="1" ht="18" customHeight="1" outlineLevel="1" x14ac:dyDescent="0.25">
      <c r="A164" s="48" t="s">
        <v>167</v>
      </c>
      <c r="B164" s="53"/>
      <c r="C164" s="64"/>
      <c r="D164" s="68"/>
      <c r="E164" s="68"/>
      <c r="F164" s="68">
        <v>0</v>
      </c>
      <c r="G164" s="68"/>
      <c r="H164" s="68">
        <v>0</v>
      </c>
      <c r="I164" s="68"/>
      <c r="J164" s="68">
        <v>0</v>
      </c>
      <c r="K164" s="68"/>
      <c r="L164" s="68">
        <v>0</v>
      </c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51">
        <f t="shared" si="30"/>
        <v>0</v>
      </c>
      <c r="AB164" s="51">
        <f t="shared" si="29"/>
        <v>0</v>
      </c>
      <c r="AC164" s="100"/>
      <c r="AD164" s="31">
        <f t="shared" si="31"/>
        <v>0</v>
      </c>
      <c r="AE164" s="31">
        <f t="shared" si="32"/>
        <v>0</v>
      </c>
      <c r="AF164" s="17">
        <f t="shared" si="33"/>
        <v>0</v>
      </c>
      <c r="AG164" s="17">
        <f t="shared" si="34"/>
        <v>0</v>
      </c>
      <c r="BC164" s="20"/>
    </row>
    <row r="165" spans="1:55" s="19" customFormat="1" ht="18" customHeight="1" outlineLevel="1" x14ac:dyDescent="0.25">
      <c r="A165" s="48" t="s">
        <v>168</v>
      </c>
      <c r="B165" s="53"/>
      <c r="C165" s="64"/>
      <c r="D165" s="68"/>
      <c r="E165" s="68"/>
      <c r="F165" s="68">
        <v>0</v>
      </c>
      <c r="G165" s="68"/>
      <c r="H165" s="68">
        <v>0</v>
      </c>
      <c r="I165" s="68"/>
      <c r="J165" s="68">
        <v>0</v>
      </c>
      <c r="K165" s="68"/>
      <c r="L165" s="68">
        <v>0</v>
      </c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51">
        <f t="shared" si="30"/>
        <v>0</v>
      </c>
      <c r="AB165" s="51">
        <f t="shared" si="29"/>
        <v>0</v>
      </c>
      <c r="AC165" s="100"/>
      <c r="AD165" s="31">
        <f t="shared" si="31"/>
        <v>0</v>
      </c>
      <c r="AE165" s="31">
        <f t="shared" si="32"/>
        <v>0</v>
      </c>
      <c r="AF165" s="17">
        <f t="shared" si="33"/>
        <v>0</v>
      </c>
      <c r="AG165" s="17">
        <f t="shared" si="34"/>
        <v>0</v>
      </c>
      <c r="BC165" s="20"/>
    </row>
    <row r="166" spans="1:55" s="19" customFormat="1" ht="18" customHeight="1" outlineLevel="1" x14ac:dyDescent="0.25">
      <c r="A166" s="48" t="s">
        <v>169</v>
      </c>
      <c r="B166" s="53"/>
      <c r="C166" s="64"/>
      <c r="D166" s="68"/>
      <c r="E166" s="68"/>
      <c r="F166" s="68">
        <v>0</v>
      </c>
      <c r="G166" s="68"/>
      <c r="H166" s="68">
        <v>0</v>
      </c>
      <c r="I166" s="68"/>
      <c r="J166" s="68">
        <v>0</v>
      </c>
      <c r="K166" s="68"/>
      <c r="L166" s="68">
        <v>0</v>
      </c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51">
        <f t="shared" si="30"/>
        <v>0</v>
      </c>
      <c r="AB166" s="51">
        <f t="shared" si="29"/>
        <v>0</v>
      </c>
      <c r="AC166" s="100"/>
      <c r="AD166" s="31">
        <f t="shared" si="31"/>
        <v>0</v>
      </c>
      <c r="AE166" s="31">
        <f t="shared" si="32"/>
        <v>0</v>
      </c>
      <c r="AF166" s="17">
        <f t="shared" si="33"/>
        <v>0</v>
      </c>
      <c r="AG166" s="17">
        <f t="shared" si="34"/>
        <v>0</v>
      </c>
      <c r="BC166" s="20"/>
    </row>
    <row r="167" spans="1:55" s="19" customFormat="1" ht="18" customHeight="1" outlineLevel="1" x14ac:dyDescent="0.25">
      <c r="A167" s="48" t="s">
        <v>170</v>
      </c>
      <c r="B167" s="53"/>
      <c r="C167" s="64"/>
      <c r="D167" s="68"/>
      <c r="E167" s="68"/>
      <c r="F167" s="68">
        <v>0</v>
      </c>
      <c r="G167" s="68"/>
      <c r="H167" s="68">
        <v>0</v>
      </c>
      <c r="I167" s="68"/>
      <c r="J167" s="68">
        <v>0</v>
      </c>
      <c r="K167" s="68"/>
      <c r="L167" s="68">
        <v>0</v>
      </c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51">
        <f t="shared" si="30"/>
        <v>0</v>
      </c>
      <c r="AB167" s="51">
        <f t="shared" ref="AB167:AB175" si="35">D167+F167+H167+J167+L167+N167+P167+R167+T167+V167+X167+Z167</f>
        <v>0</v>
      </c>
      <c r="AC167" s="100"/>
      <c r="AD167" s="31">
        <f t="shared" si="31"/>
        <v>0</v>
      </c>
      <c r="AE167" s="31">
        <f t="shared" si="32"/>
        <v>0</v>
      </c>
      <c r="AF167" s="17">
        <f t="shared" si="33"/>
        <v>0</v>
      </c>
      <c r="AG167" s="17">
        <f t="shared" si="34"/>
        <v>0</v>
      </c>
      <c r="BC167" s="20"/>
    </row>
    <row r="168" spans="1:55" s="19" customFormat="1" ht="18" customHeight="1" outlineLevel="1" x14ac:dyDescent="0.25">
      <c r="A168" s="48" t="s">
        <v>171</v>
      </c>
      <c r="B168" s="53"/>
      <c r="C168" s="64"/>
      <c r="D168" s="68"/>
      <c r="E168" s="68"/>
      <c r="F168" s="68">
        <v>0</v>
      </c>
      <c r="G168" s="68"/>
      <c r="H168" s="68">
        <v>0</v>
      </c>
      <c r="I168" s="68"/>
      <c r="J168" s="68">
        <v>0</v>
      </c>
      <c r="K168" s="68"/>
      <c r="L168" s="68">
        <v>0</v>
      </c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51">
        <f t="shared" si="30"/>
        <v>0</v>
      </c>
      <c r="AB168" s="51">
        <f t="shared" si="35"/>
        <v>0</v>
      </c>
      <c r="AC168" s="100"/>
      <c r="AD168" s="31">
        <f t="shared" si="31"/>
        <v>0</v>
      </c>
      <c r="AE168" s="31">
        <f t="shared" si="32"/>
        <v>0</v>
      </c>
      <c r="AF168" s="17">
        <f t="shared" si="33"/>
        <v>0</v>
      </c>
      <c r="AG168" s="17">
        <f t="shared" si="34"/>
        <v>0</v>
      </c>
      <c r="BC168" s="20"/>
    </row>
    <row r="169" spans="1:55" s="19" customFormat="1" ht="18" customHeight="1" outlineLevel="1" x14ac:dyDescent="0.25">
      <c r="A169" s="48" t="s">
        <v>172</v>
      </c>
      <c r="B169" s="53"/>
      <c r="C169" s="64"/>
      <c r="D169" s="68"/>
      <c r="E169" s="68"/>
      <c r="F169" s="68">
        <v>0</v>
      </c>
      <c r="G169" s="68"/>
      <c r="H169" s="68">
        <v>0</v>
      </c>
      <c r="I169" s="68"/>
      <c r="J169" s="68">
        <v>0</v>
      </c>
      <c r="K169" s="68"/>
      <c r="L169" s="68">
        <v>0</v>
      </c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51">
        <f t="shared" si="30"/>
        <v>0</v>
      </c>
      <c r="AB169" s="51">
        <f t="shared" si="35"/>
        <v>0</v>
      </c>
      <c r="AC169" s="100"/>
      <c r="AD169" s="31">
        <f t="shared" si="31"/>
        <v>0</v>
      </c>
      <c r="AE169" s="31">
        <f t="shared" si="32"/>
        <v>0</v>
      </c>
      <c r="AF169" s="17">
        <f t="shared" si="33"/>
        <v>0</v>
      </c>
      <c r="AG169" s="17">
        <f t="shared" si="34"/>
        <v>0</v>
      </c>
      <c r="BC169" s="20"/>
    </row>
    <row r="170" spans="1:55" s="19" customFormat="1" ht="18" customHeight="1" outlineLevel="1" x14ac:dyDescent="0.25">
      <c r="A170" s="48" t="s">
        <v>173</v>
      </c>
      <c r="B170" s="53"/>
      <c r="C170" s="64"/>
      <c r="D170" s="68"/>
      <c r="E170" s="68"/>
      <c r="F170" s="68">
        <v>0</v>
      </c>
      <c r="G170" s="68"/>
      <c r="H170" s="68">
        <v>0</v>
      </c>
      <c r="I170" s="68"/>
      <c r="J170" s="68">
        <v>0</v>
      </c>
      <c r="K170" s="68"/>
      <c r="L170" s="68">
        <v>0</v>
      </c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51">
        <f t="shared" si="30"/>
        <v>0</v>
      </c>
      <c r="AB170" s="51">
        <f t="shared" si="35"/>
        <v>0</v>
      </c>
      <c r="AC170" s="100"/>
      <c r="AD170" s="31">
        <f t="shared" si="31"/>
        <v>0</v>
      </c>
      <c r="AE170" s="31">
        <f t="shared" si="32"/>
        <v>0</v>
      </c>
      <c r="AF170" s="17">
        <f t="shared" si="33"/>
        <v>0</v>
      </c>
      <c r="AG170" s="17">
        <f t="shared" si="34"/>
        <v>0</v>
      </c>
      <c r="BC170" s="20"/>
    </row>
    <row r="171" spans="1:55" s="19" customFormat="1" ht="18" customHeight="1" outlineLevel="1" x14ac:dyDescent="0.25">
      <c r="A171" s="48" t="s">
        <v>174</v>
      </c>
      <c r="B171" s="53"/>
      <c r="C171" s="64"/>
      <c r="D171" s="68"/>
      <c r="E171" s="68"/>
      <c r="F171" s="68">
        <v>0</v>
      </c>
      <c r="G171" s="68"/>
      <c r="H171" s="68">
        <v>0</v>
      </c>
      <c r="I171" s="68"/>
      <c r="J171" s="68">
        <v>0</v>
      </c>
      <c r="K171" s="68"/>
      <c r="L171" s="68">
        <v>0</v>
      </c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51">
        <f t="shared" si="30"/>
        <v>0</v>
      </c>
      <c r="AB171" s="51">
        <f t="shared" si="35"/>
        <v>0</v>
      </c>
      <c r="AC171" s="100"/>
      <c r="AD171" s="31">
        <f t="shared" si="31"/>
        <v>0</v>
      </c>
      <c r="AE171" s="31">
        <f t="shared" si="32"/>
        <v>0</v>
      </c>
      <c r="AF171" s="17">
        <f t="shared" si="33"/>
        <v>0</v>
      </c>
      <c r="AG171" s="17">
        <f t="shared" si="34"/>
        <v>0</v>
      </c>
      <c r="BC171" s="20"/>
    </row>
    <row r="172" spans="1:55" s="19" customFormat="1" ht="18" customHeight="1" outlineLevel="1" x14ac:dyDescent="0.25">
      <c r="A172" s="48" t="s">
        <v>175</v>
      </c>
      <c r="B172" s="53"/>
      <c r="C172" s="64"/>
      <c r="D172" s="68"/>
      <c r="E172" s="68"/>
      <c r="F172" s="68">
        <v>0</v>
      </c>
      <c r="G172" s="68"/>
      <c r="H172" s="68">
        <v>0</v>
      </c>
      <c r="I172" s="68"/>
      <c r="J172" s="68">
        <v>0</v>
      </c>
      <c r="K172" s="68"/>
      <c r="L172" s="68">
        <v>0</v>
      </c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51">
        <f t="shared" si="30"/>
        <v>0</v>
      </c>
      <c r="AB172" s="51">
        <f t="shared" si="35"/>
        <v>0</v>
      </c>
      <c r="AC172" s="100"/>
      <c r="AD172" s="31">
        <f t="shared" si="31"/>
        <v>0</v>
      </c>
      <c r="AE172" s="31">
        <f t="shared" si="32"/>
        <v>0</v>
      </c>
      <c r="AF172" s="17">
        <f t="shared" si="33"/>
        <v>0</v>
      </c>
      <c r="AG172" s="17">
        <f t="shared" si="34"/>
        <v>0</v>
      </c>
      <c r="BC172" s="20"/>
    </row>
    <row r="173" spans="1:55" s="19" customFormat="1" ht="18" customHeight="1" outlineLevel="1" x14ac:dyDescent="0.25">
      <c r="A173" s="48" t="s">
        <v>176</v>
      </c>
      <c r="B173" s="53"/>
      <c r="C173" s="64"/>
      <c r="D173" s="68"/>
      <c r="E173" s="68"/>
      <c r="F173" s="68">
        <v>0</v>
      </c>
      <c r="G173" s="68"/>
      <c r="H173" s="68">
        <v>0</v>
      </c>
      <c r="I173" s="68"/>
      <c r="J173" s="68">
        <v>0</v>
      </c>
      <c r="K173" s="68"/>
      <c r="L173" s="68">
        <v>0</v>
      </c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51">
        <f t="shared" si="30"/>
        <v>0</v>
      </c>
      <c r="AB173" s="51">
        <f t="shared" si="35"/>
        <v>0</v>
      </c>
      <c r="AC173" s="100"/>
      <c r="AD173" s="31">
        <f t="shared" si="31"/>
        <v>0</v>
      </c>
      <c r="AE173" s="31">
        <f t="shared" si="32"/>
        <v>0</v>
      </c>
      <c r="AF173" s="17">
        <f t="shared" si="33"/>
        <v>0</v>
      </c>
      <c r="AG173" s="17">
        <f t="shared" si="34"/>
        <v>0</v>
      </c>
      <c r="BC173" s="20"/>
    </row>
    <row r="174" spans="1:55" s="19" customFormat="1" ht="18" customHeight="1" outlineLevel="1" x14ac:dyDescent="0.25">
      <c r="A174" s="48" t="s">
        <v>177</v>
      </c>
      <c r="B174" s="53"/>
      <c r="C174" s="64"/>
      <c r="D174" s="68"/>
      <c r="E174" s="68"/>
      <c r="F174" s="68">
        <v>0</v>
      </c>
      <c r="G174" s="68"/>
      <c r="H174" s="68">
        <v>0</v>
      </c>
      <c r="I174" s="68"/>
      <c r="J174" s="68">
        <v>0</v>
      </c>
      <c r="K174" s="68"/>
      <c r="L174" s="68">
        <v>0</v>
      </c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51">
        <f t="shared" si="30"/>
        <v>0</v>
      </c>
      <c r="AB174" s="51">
        <f t="shared" si="35"/>
        <v>0</v>
      </c>
      <c r="AC174" s="100"/>
      <c r="AD174" s="31">
        <f t="shared" si="31"/>
        <v>0</v>
      </c>
      <c r="AE174" s="31">
        <f t="shared" si="32"/>
        <v>0</v>
      </c>
      <c r="AF174" s="17">
        <f t="shared" si="33"/>
        <v>0</v>
      </c>
      <c r="AG174" s="17">
        <f t="shared" si="34"/>
        <v>0</v>
      </c>
      <c r="BC174" s="20"/>
    </row>
    <row r="175" spans="1:55" s="19" customFormat="1" ht="18" customHeight="1" outlineLevel="1" x14ac:dyDescent="0.25">
      <c r="A175" s="48" t="s">
        <v>178</v>
      </c>
      <c r="B175" s="53"/>
      <c r="C175" s="64"/>
      <c r="D175" s="68"/>
      <c r="E175" s="68"/>
      <c r="F175" s="68">
        <v>0</v>
      </c>
      <c r="G175" s="68"/>
      <c r="H175" s="68">
        <v>0</v>
      </c>
      <c r="I175" s="68"/>
      <c r="J175" s="68">
        <v>0</v>
      </c>
      <c r="K175" s="68"/>
      <c r="L175" s="68">
        <v>0</v>
      </c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51">
        <f t="shared" si="30"/>
        <v>0</v>
      </c>
      <c r="AB175" s="51">
        <f t="shared" si="35"/>
        <v>0</v>
      </c>
      <c r="AC175" s="100"/>
      <c r="AD175" s="31">
        <f t="shared" si="31"/>
        <v>0</v>
      </c>
      <c r="AE175" s="31">
        <f t="shared" si="32"/>
        <v>0</v>
      </c>
      <c r="AF175" s="17">
        <f t="shared" si="33"/>
        <v>0</v>
      </c>
      <c r="AG175" s="17">
        <f t="shared" si="34"/>
        <v>0</v>
      </c>
      <c r="BC175" s="20"/>
    </row>
    <row r="176" spans="1:55" s="21" customFormat="1" ht="18" customHeight="1" x14ac:dyDescent="0.25">
      <c r="A176" s="52" t="s">
        <v>181</v>
      </c>
      <c r="B176" s="45">
        <v>8</v>
      </c>
      <c r="C176" s="33"/>
      <c r="D176" s="65"/>
      <c r="E176" s="65"/>
      <c r="F176" s="65">
        <f>SUM(F177:F249)-F177-F180-F189-F200-F212</f>
        <v>0</v>
      </c>
      <c r="G176" s="65"/>
      <c r="H176" s="65">
        <f>SUM(H177:H249)-H177-H180-H189-H200-H212</f>
        <v>0</v>
      </c>
      <c r="I176" s="65"/>
      <c r="J176" s="65">
        <f>SUM(J177:J249)-J177-J180-J189-J200-J212</f>
        <v>0</v>
      </c>
      <c r="K176" s="65"/>
      <c r="L176" s="65">
        <f>SUM(L177:L249)-L177-L180-L189-L200-L212</f>
        <v>0</v>
      </c>
      <c r="M176" s="65"/>
      <c r="N176" s="65">
        <f>SUM(N177:N249)-N177-N180-N189-N200-N212</f>
        <v>0</v>
      </c>
      <c r="O176" s="65"/>
      <c r="P176" s="65">
        <f>SUM(P177:P249)-P177-P180-P189-P200-P212</f>
        <v>0</v>
      </c>
      <c r="Q176" s="65"/>
      <c r="R176" s="65">
        <f>SUM(R177:R249)-R177-R180-R189-R200-R212</f>
        <v>0</v>
      </c>
      <c r="S176" s="65"/>
      <c r="T176" s="65">
        <f>SUM(T177:T249)-T177-T180-T189-T200-T212</f>
        <v>0</v>
      </c>
      <c r="U176" s="65"/>
      <c r="V176" s="65">
        <f>SUM(V177:V249)-V177-V180-V189-V200-V212</f>
        <v>0</v>
      </c>
      <c r="W176" s="65"/>
      <c r="X176" s="65">
        <f>SUM(X177:X249)-X177-X180-X189-X200-X212</f>
        <v>0</v>
      </c>
      <c r="Y176" s="65"/>
      <c r="Z176" s="65">
        <f>SUM(Z177:Z249)-Z177-Z180-Z189-Z200-Z212</f>
        <v>0</v>
      </c>
      <c r="AA176" s="51">
        <f t="shared" si="30"/>
        <v>0</v>
      </c>
      <c r="AB176" s="105">
        <f>SUM(D176:Z176)</f>
        <v>0</v>
      </c>
      <c r="AC176" s="103"/>
      <c r="AD176" s="31">
        <f t="shared" si="31"/>
        <v>0</v>
      </c>
      <c r="AE176" s="31">
        <f t="shared" si="32"/>
        <v>0</v>
      </c>
      <c r="AF176" s="17">
        <f t="shared" si="33"/>
        <v>0</v>
      </c>
      <c r="AG176" s="17">
        <f t="shared" si="34"/>
        <v>0</v>
      </c>
      <c r="BC176" s="66"/>
    </row>
    <row r="177" spans="1:119" s="17" customFormat="1" ht="18" customHeight="1" outlineLevel="1" x14ac:dyDescent="0.25">
      <c r="A177" s="67" t="s">
        <v>107</v>
      </c>
      <c r="B177" s="45"/>
      <c r="C177" s="33"/>
      <c r="D177" s="65"/>
      <c r="E177" s="65"/>
      <c r="F177" s="65">
        <f>SUM(F178:F179)</f>
        <v>0</v>
      </c>
      <c r="G177" s="65"/>
      <c r="H177" s="65">
        <f>SUM(H178:H179)</f>
        <v>0</v>
      </c>
      <c r="I177" s="65"/>
      <c r="J177" s="65">
        <f>SUM(J178:J179)</f>
        <v>0</v>
      </c>
      <c r="K177" s="65"/>
      <c r="L177" s="65">
        <f>SUM(L178:L179)</f>
        <v>0</v>
      </c>
      <c r="M177" s="65"/>
      <c r="N177" s="65">
        <f>SUM(N178:N179)</f>
        <v>0</v>
      </c>
      <c r="O177" s="65"/>
      <c r="P177" s="65">
        <f>SUM(P178:P179)</f>
        <v>0</v>
      </c>
      <c r="Q177" s="65"/>
      <c r="R177" s="65">
        <f>SUM(R178:R179)</f>
        <v>0</v>
      </c>
      <c r="S177" s="65"/>
      <c r="T177" s="65">
        <f>SUM(T178:T179)</f>
        <v>0</v>
      </c>
      <c r="U177" s="65"/>
      <c r="V177" s="65">
        <f>SUM(V178:V179)</f>
        <v>0</v>
      </c>
      <c r="W177" s="65"/>
      <c r="X177" s="65">
        <f>SUM(X178:X179)</f>
        <v>0</v>
      </c>
      <c r="Y177" s="65"/>
      <c r="Z177" s="65">
        <f>SUM(Z178:Z179)</f>
        <v>0</v>
      </c>
      <c r="AA177" s="51">
        <f t="shared" si="30"/>
        <v>0</v>
      </c>
      <c r="AB177" s="51">
        <f t="shared" ref="AB177:AB240" si="36">D177+F177+H177+J177+L177+N177+P177+R177+T177+V177+X177+Z177</f>
        <v>0</v>
      </c>
      <c r="AC177" s="103"/>
      <c r="AD177" s="31">
        <f t="shared" si="31"/>
        <v>0</v>
      </c>
      <c r="AE177" s="31">
        <f t="shared" si="32"/>
        <v>0</v>
      </c>
      <c r="AF177" s="17">
        <f t="shared" si="33"/>
        <v>0</v>
      </c>
      <c r="AG177" s="17">
        <f t="shared" si="34"/>
        <v>0</v>
      </c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</row>
    <row r="178" spans="1:119" s="19" customFormat="1" ht="18" customHeight="1" outlineLevel="2" x14ac:dyDescent="0.25">
      <c r="A178" s="48" t="s">
        <v>108</v>
      </c>
      <c r="B178" s="53"/>
      <c r="C178" s="64"/>
      <c r="D178" s="68"/>
      <c r="E178" s="68"/>
      <c r="F178" s="68">
        <v>0</v>
      </c>
      <c r="G178" s="68"/>
      <c r="H178" s="68">
        <v>0</v>
      </c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51">
        <f t="shared" si="30"/>
        <v>0</v>
      </c>
      <c r="AB178" s="51">
        <f t="shared" si="36"/>
        <v>0</v>
      </c>
      <c r="AC178" s="100"/>
      <c r="AD178" s="31">
        <f t="shared" si="31"/>
        <v>0</v>
      </c>
      <c r="AE178" s="31">
        <f t="shared" si="32"/>
        <v>0</v>
      </c>
      <c r="AF178" s="17">
        <f t="shared" si="33"/>
        <v>0</v>
      </c>
      <c r="AG178" s="17">
        <f t="shared" si="34"/>
        <v>0</v>
      </c>
    </row>
    <row r="179" spans="1:119" s="19" customFormat="1" ht="18" customHeight="1" outlineLevel="2" x14ac:dyDescent="0.25">
      <c r="A179" s="48" t="s">
        <v>109</v>
      </c>
      <c r="B179" s="53"/>
      <c r="C179" s="64"/>
      <c r="D179" s="68"/>
      <c r="E179" s="68"/>
      <c r="F179" s="68">
        <v>0</v>
      </c>
      <c r="G179" s="68"/>
      <c r="H179" s="68">
        <v>0</v>
      </c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51">
        <f t="shared" si="30"/>
        <v>0</v>
      </c>
      <c r="AB179" s="51">
        <f t="shared" si="36"/>
        <v>0</v>
      </c>
      <c r="AC179" s="100"/>
      <c r="AD179" s="31">
        <f t="shared" si="31"/>
        <v>0</v>
      </c>
      <c r="AE179" s="31">
        <f t="shared" si="32"/>
        <v>0</v>
      </c>
      <c r="AF179" s="17">
        <f t="shared" si="33"/>
        <v>0</v>
      </c>
      <c r="AG179" s="17">
        <f t="shared" si="34"/>
        <v>0</v>
      </c>
    </row>
    <row r="180" spans="1:119" s="17" customFormat="1" ht="18" customHeight="1" outlineLevel="1" x14ac:dyDescent="0.25">
      <c r="A180" s="67" t="s">
        <v>110</v>
      </c>
      <c r="B180" s="45"/>
      <c r="C180" s="33"/>
      <c r="D180" s="65"/>
      <c r="E180" s="65"/>
      <c r="F180" s="65">
        <f>SUM(F181:F185)</f>
        <v>0</v>
      </c>
      <c r="G180" s="65"/>
      <c r="H180" s="65">
        <f>SUM(H181:H185)</f>
        <v>0</v>
      </c>
      <c r="I180" s="65"/>
      <c r="J180" s="65">
        <f>SUM(J181:J185)</f>
        <v>0</v>
      </c>
      <c r="K180" s="65"/>
      <c r="L180" s="65">
        <f>SUM(L181:L185)</f>
        <v>0</v>
      </c>
      <c r="M180" s="65"/>
      <c r="N180" s="65">
        <f>SUM(N181:N185)</f>
        <v>0</v>
      </c>
      <c r="O180" s="65"/>
      <c r="P180" s="65">
        <f>SUM(P181:P185)</f>
        <v>0</v>
      </c>
      <c r="Q180" s="65"/>
      <c r="R180" s="65">
        <f>SUM(R181:R185)</f>
        <v>0</v>
      </c>
      <c r="S180" s="65"/>
      <c r="T180" s="65">
        <f>SUM(T181:T185)</f>
        <v>0</v>
      </c>
      <c r="U180" s="65"/>
      <c r="V180" s="65">
        <f>SUM(V181:V185)</f>
        <v>0</v>
      </c>
      <c r="W180" s="65"/>
      <c r="X180" s="65">
        <f>SUM(X181:X185)</f>
        <v>0</v>
      </c>
      <c r="Y180" s="65"/>
      <c r="Z180" s="65">
        <f>SUM(Z181:Z185)</f>
        <v>0</v>
      </c>
      <c r="AA180" s="51">
        <f t="shared" si="30"/>
        <v>0</v>
      </c>
      <c r="AB180" s="51">
        <f t="shared" si="36"/>
        <v>0</v>
      </c>
      <c r="AC180" s="103"/>
      <c r="AD180" s="31">
        <f t="shared" si="31"/>
        <v>0</v>
      </c>
      <c r="AE180" s="31">
        <f t="shared" si="32"/>
        <v>0</v>
      </c>
      <c r="AF180" s="17">
        <f t="shared" si="33"/>
        <v>0</v>
      </c>
      <c r="AG180" s="17">
        <f t="shared" si="34"/>
        <v>0</v>
      </c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</row>
    <row r="181" spans="1:119" s="19" customFormat="1" ht="18" customHeight="1" outlineLevel="2" x14ac:dyDescent="0.25">
      <c r="A181" s="48" t="s">
        <v>111</v>
      </c>
      <c r="B181" s="53"/>
      <c r="C181" s="64"/>
      <c r="D181" s="68"/>
      <c r="E181" s="68"/>
      <c r="F181" s="68">
        <v>0</v>
      </c>
      <c r="G181" s="68"/>
      <c r="H181" s="68">
        <v>0</v>
      </c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51">
        <f t="shared" si="30"/>
        <v>0</v>
      </c>
      <c r="AB181" s="51">
        <f t="shared" si="36"/>
        <v>0</v>
      </c>
      <c r="AC181" s="100"/>
      <c r="AD181" s="31">
        <f t="shared" si="31"/>
        <v>0</v>
      </c>
      <c r="AE181" s="31">
        <f t="shared" si="32"/>
        <v>0</v>
      </c>
      <c r="AF181" s="17">
        <f t="shared" si="33"/>
        <v>0</v>
      </c>
      <c r="AG181" s="17">
        <f t="shared" si="34"/>
        <v>0</v>
      </c>
    </row>
    <row r="182" spans="1:119" s="19" customFormat="1" ht="18" customHeight="1" outlineLevel="2" x14ac:dyDescent="0.25">
      <c r="A182" s="48" t="s">
        <v>112</v>
      </c>
      <c r="B182" s="53"/>
      <c r="C182" s="64"/>
      <c r="D182" s="68"/>
      <c r="E182" s="68"/>
      <c r="F182" s="68">
        <v>0</v>
      </c>
      <c r="G182" s="68"/>
      <c r="H182" s="68">
        <v>0</v>
      </c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51">
        <f t="shared" si="30"/>
        <v>0</v>
      </c>
      <c r="AB182" s="51">
        <f t="shared" si="36"/>
        <v>0</v>
      </c>
      <c r="AC182" s="100"/>
      <c r="AD182" s="31">
        <f t="shared" si="31"/>
        <v>0</v>
      </c>
      <c r="AE182" s="31">
        <f t="shared" si="32"/>
        <v>0</v>
      </c>
      <c r="AF182" s="17">
        <f t="shared" si="33"/>
        <v>0</v>
      </c>
      <c r="AG182" s="17">
        <f t="shared" si="34"/>
        <v>0</v>
      </c>
    </row>
    <row r="183" spans="1:119" s="19" customFormat="1" ht="18" customHeight="1" outlineLevel="2" x14ac:dyDescent="0.25">
      <c r="A183" s="48" t="s">
        <v>113</v>
      </c>
      <c r="B183" s="53"/>
      <c r="C183" s="64"/>
      <c r="D183" s="68"/>
      <c r="E183" s="68"/>
      <c r="F183" s="68">
        <v>0</v>
      </c>
      <c r="G183" s="68"/>
      <c r="H183" s="68">
        <v>0</v>
      </c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51">
        <f t="shared" si="30"/>
        <v>0</v>
      </c>
      <c r="AB183" s="51">
        <f t="shared" si="36"/>
        <v>0</v>
      </c>
      <c r="AC183" s="100"/>
      <c r="AD183" s="31">
        <f t="shared" si="31"/>
        <v>0</v>
      </c>
      <c r="AE183" s="31">
        <f t="shared" si="32"/>
        <v>0</v>
      </c>
      <c r="AF183" s="17">
        <f t="shared" si="33"/>
        <v>0</v>
      </c>
      <c r="AG183" s="17">
        <f t="shared" si="34"/>
        <v>0</v>
      </c>
    </row>
    <row r="184" spans="1:119" s="19" customFormat="1" ht="18" customHeight="1" outlineLevel="2" x14ac:dyDescent="0.25">
      <c r="A184" s="48" t="s">
        <v>114</v>
      </c>
      <c r="B184" s="53"/>
      <c r="C184" s="64"/>
      <c r="D184" s="68"/>
      <c r="E184" s="68"/>
      <c r="F184" s="68">
        <v>0</v>
      </c>
      <c r="G184" s="68"/>
      <c r="H184" s="68">
        <v>0</v>
      </c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51">
        <f t="shared" si="30"/>
        <v>0</v>
      </c>
      <c r="AB184" s="51">
        <f t="shared" si="36"/>
        <v>0</v>
      </c>
      <c r="AC184" s="100"/>
      <c r="AD184" s="31">
        <f t="shared" si="31"/>
        <v>0</v>
      </c>
      <c r="AE184" s="31">
        <f t="shared" si="32"/>
        <v>0</v>
      </c>
      <c r="AF184" s="17">
        <f t="shared" si="33"/>
        <v>0</v>
      </c>
      <c r="AG184" s="17">
        <f t="shared" si="34"/>
        <v>0</v>
      </c>
    </row>
    <row r="185" spans="1:119" s="19" customFormat="1" ht="18" customHeight="1" outlineLevel="2" x14ac:dyDescent="0.25">
      <c r="A185" s="48" t="s">
        <v>115</v>
      </c>
      <c r="B185" s="53"/>
      <c r="C185" s="64"/>
      <c r="D185" s="68"/>
      <c r="E185" s="68"/>
      <c r="F185" s="68">
        <v>0</v>
      </c>
      <c r="G185" s="68"/>
      <c r="H185" s="68">
        <v>0</v>
      </c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51">
        <f t="shared" si="30"/>
        <v>0</v>
      </c>
      <c r="AB185" s="51">
        <f t="shared" si="36"/>
        <v>0</v>
      </c>
      <c r="AC185" s="100"/>
      <c r="AD185" s="31">
        <f t="shared" si="31"/>
        <v>0</v>
      </c>
      <c r="AE185" s="31">
        <f t="shared" si="32"/>
        <v>0</v>
      </c>
      <c r="AF185" s="17">
        <f t="shared" si="33"/>
        <v>0</v>
      </c>
      <c r="AG185" s="17">
        <f t="shared" si="34"/>
        <v>0</v>
      </c>
    </row>
    <row r="186" spans="1:119" s="19" customFormat="1" ht="18" customHeight="1" outlineLevel="1" x14ac:dyDescent="0.25">
      <c r="A186" s="48" t="s">
        <v>116</v>
      </c>
      <c r="B186" s="53"/>
      <c r="C186" s="64"/>
      <c r="D186" s="68"/>
      <c r="E186" s="68"/>
      <c r="F186" s="68">
        <v>0</v>
      </c>
      <c r="G186" s="68"/>
      <c r="H186" s="68">
        <v>0</v>
      </c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51">
        <f t="shared" si="30"/>
        <v>0</v>
      </c>
      <c r="AB186" s="51">
        <f t="shared" si="36"/>
        <v>0</v>
      </c>
      <c r="AC186" s="100"/>
      <c r="AD186" s="31">
        <f t="shared" si="31"/>
        <v>0</v>
      </c>
      <c r="AE186" s="31">
        <f t="shared" si="32"/>
        <v>0</v>
      </c>
      <c r="AF186" s="17">
        <f t="shared" si="33"/>
        <v>0</v>
      </c>
      <c r="AG186" s="17">
        <f t="shared" si="34"/>
        <v>0</v>
      </c>
    </row>
    <row r="187" spans="1:119" s="19" customFormat="1" ht="18" customHeight="1" outlineLevel="1" x14ac:dyDescent="0.25">
      <c r="A187" s="48" t="s">
        <v>117</v>
      </c>
      <c r="B187" s="53"/>
      <c r="C187" s="64"/>
      <c r="D187" s="68"/>
      <c r="E187" s="68"/>
      <c r="F187" s="68">
        <v>0</v>
      </c>
      <c r="G187" s="68"/>
      <c r="H187" s="68">
        <v>0</v>
      </c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51">
        <f t="shared" si="30"/>
        <v>0</v>
      </c>
      <c r="AB187" s="51">
        <f t="shared" si="36"/>
        <v>0</v>
      </c>
      <c r="AC187" s="100"/>
      <c r="AD187" s="31">
        <f t="shared" si="31"/>
        <v>0</v>
      </c>
      <c r="AE187" s="31">
        <f t="shared" si="32"/>
        <v>0</v>
      </c>
      <c r="AF187" s="17">
        <f t="shared" si="33"/>
        <v>0</v>
      </c>
      <c r="AG187" s="17">
        <f t="shared" si="34"/>
        <v>0</v>
      </c>
    </row>
    <row r="188" spans="1:119" s="19" customFormat="1" ht="18" customHeight="1" outlineLevel="1" x14ac:dyDescent="0.25">
      <c r="A188" s="48" t="s">
        <v>118</v>
      </c>
      <c r="B188" s="53"/>
      <c r="C188" s="64"/>
      <c r="D188" s="68"/>
      <c r="E188" s="68"/>
      <c r="F188" s="68">
        <v>0</v>
      </c>
      <c r="G188" s="68"/>
      <c r="H188" s="68">
        <v>0</v>
      </c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51">
        <f t="shared" si="30"/>
        <v>0</v>
      </c>
      <c r="AB188" s="51">
        <f t="shared" si="36"/>
        <v>0</v>
      </c>
      <c r="AC188" s="100"/>
      <c r="AD188" s="31">
        <f t="shared" si="31"/>
        <v>0</v>
      </c>
      <c r="AE188" s="31">
        <f t="shared" si="32"/>
        <v>0</v>
      </c>
      <c r="AF188" s="17">
        <f t="shared" si="33"/>
        <v>0</v>
      </c>
      <c r="AG188" s="17">
        <f t="shared" si="34"/>
        <v>0</v>
      </c>
    </row>
    <row r="189" spans="1:119" s="17" customFormat="1" ht="18" customHeight="1" outlineLevel="1" x14ac:dyDescent="0.25">
      <c r="A189" s="67" t="s">
        <v>119</v>
      </c>
      <c r="B189" s="45"/>
      <c r="C189" s="33"/>
      <c r="D189" s="65"/>
      <c r="E189" s="65"/>
      <c r="F189" s="65">
        <f>SUM(F190:F196)</f>
        <v>0</v>
      </c>
      <c r="G189" s="65"/>
      <c r="H189" s="65">
        <f>SUM(H190:H196)</f>
        <v>0</v>
      </c>
      <c r="I189" s="65"/>
      <c r="J189" s="65">
        <f>SUM(J190:J196)</f>
        <v>0</v>
      </c>
      <c r="K189" s="65"/>
      <c r="L189" s="65">
        <f>SUM(L190:L196)</f>
        <v>0</v>
      </c>
      <c r="M189" s="65"/>
      <c r="N189" s="65">
        <f>SUM(N190:N196)</f>
        <v>0</v>
      </c>
      <c r="O189" s="65"/>
      <c r="P189" s="65">
        <f>SUM(P190:P196)</f>
        <v>0</v>
      </c>
      <c r="Q189" s="65"/>
      <c r="R189" s="65">
        <f>SUM(R190:R196)</f>
        <v>0</v>
      </c>
      <c r="S189" s="65"/>
      <c r="T189" s="65">
        <f>SUM(T190:T196)</f>
        <v>0</v>
      </c>
      <c r="U189" s="65"/>
      <c r="V189" s="65">
        <f>SUM(V190:V196)</f>
        <v>0</v>
      </c>
      <c r="W189" s="65"/>
      <c r="X189" s="65">
        <f>SUM(X190:X196)</f>
        <v>0</v>
      </c>
      <c r="Y189" s="65"/>
      <c r="Z189" s="65">
        <f>SUM(Z190:Z196)</f>
        <v>0</v>
      </c>
      <c r="AA189" s="51">
        <f t="shared" si="30"/>
        <v>0</v>
      </c>
      <c r="AB189" s="51">
        <f t="shared" si="36"/>
        <v>0</v>
      </c>
      <c r="AC189" s="103"/>
      <c r="AD189" s="31">
        <f t="shared" si="31"/>
        <v>0</v>
      </c>
      <c r="AE189" s="31">
        <f t="shared" si="32"/>
        <v>0</v>
      </c>
      <c r="AF189" s="17">
        <f t="shared" si="33"/>
        <v>0</v>
      </c>
      <c r="AG189" s="17">
        <f t="shared" si="34"/>
        <v>0</v>
      </c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</row>
    <row r="190" spans="1:119" s="19" customFormat="1" ht="18" customHeight="1" outlineLevel="2" x14ac:dyDescent="0.25">
      <c r="A190" s="48" t="s">
        <v>120</v>
      </c>
      <c r="B190" s="53"/>
      <c r="C190" s="64"/>
      <c r="D190" s="68"/>
      <c r="E190" s="68"/>
      <c r="F190" s="68">
        <v>0</v>
      </c>
      <c r="G190" s="68"/>
      <c r="H190" s="68">
        <v>0</v>
      </c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51">
        <f t="shared" si="30"/>
        <v>0</v>
      </c>
      <c r="AB190" s="51">
        <f t="shared" si="36"/>
        <v>0</v>
      </c>
      <c r="AC190" s="100"/>
      <c r="AD190" s="31">
        <f t="shared" si="31"/>
        <v>0</v>
      </c>
      <c r="AE190" s="31">
        <f t="shared" si="32"/>
        <v>0</v>
      </c>
      <c r="AF190" s="17">
        <f t="shared" si="33"/>
        <v>0</v>
      </c>
      <c r="AG190" s="17">
        <f t="shared" si="34"/>
        <v>0</v>
      </c>
    </row>
    <row r="191" spans="1:119" s="19" customFormat="1" ht="18" customHeight="1" outlineLevel="2" x14ac:dyDescent="0.25">
      <c r="A191" s="48" t="s">
        <v>121</v>
      </c>
      <c r="B191" s="53"/>
      <c r="C191" s="64"/>
      <c r="D191" s="68"/>
      <c r="E191" s="68"/>
      <c r="F191" s="68">
        <v>0</v>
      </c>
      <c r="G191" s="68"/>
      <c r="H191" s="68">
        <v>0</v>
      </c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51">
        <f t="shared" si="30"/>
        <v>0</v>
      </c>
      <c r="AB191" s="51">
        <f t="shared" si="36"/>
        <v>0</v>
      </c>
      <c r="AC191" s="100"/>
      <c r="AD191" s="31">
        <f t="shared" si="31"/>
        <v>0</v>
      </c>
      <c r="AE191" s="31">
        <f t="shared" si="32"/>
        <v>0</v>
      </c>
      <c r="AF191" s="17">
        <f t="shared" si="33"/>
        <v>0</v>
      </c>
      <c r="AG191" s="17">
        <f t="shared" si="34"/>
        <v>0</v>
      </c>
    </row>
    <row r="192" spans="1:119" s="19" customFormat="1" ht="18" customHeight="1" outlineLevel="2" x14ac:dyDescent="0.25">
      <c r="A192" s="48" t="s">
        <v>122</v>
      </c>
      <c r="B192" s="53"/>
      <c r="C192" s="64"/>
      <c r="D192" s="68"/>
      <c r="E192" s="68"/>
      <c r="F192" s="68">
        <v>0</v>
      </c>
      <c r="G192" s="68"/>
      <c r="H192" s="68">
        <v>0</v>
      </c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51">
        <f t="shared" si="30"/>
        <v>0</v>
      </c>
      <c r="AB192" s="51">
        <f t="shared" si="36"/>
        <v>0</v>
      </c>
      <c r="AC192" s="100"/>
      <c r="AD192" s="31">
        <f t="shared" si="31"/>
        <v>0</v>
      </c>
      <c r="AE192" s="31">
        <f t="shared" si="32"/>
        <v>0</v>
      </c>
      <c r="AF192" s="17">
        <f t="shared" si="33"/>
        <v>0</v>
      </c>
      <c r="AG192" s="17">
        <f t="shared" si="34"/>
        <v>0</v>
      </c>
    </row>
    <row r="193" spans="1:119" s="19" customFormat="1" ht="18" customHeight="1" outlineLevel="2" x14ac:dyDescent="0.25">
      <c r="A193" s="48" t="s">
        <v>123</v>
      </c>
      <c r="B193" s="53"/>
      <c r="C193" s="64"/>
      <c r="D193" s="68"/>
      <c r="E193" s="68"/>
      <c r="F193" s="68">
        <v>0</v>
      </c>
      <c r="G193" s="68"/>
      <c r="H193" s="68">
        <v>0</v>
      </c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51">
        <f t="shared" si="30"/>
        <v>0</v>
      </c>
      <c r="AB193" s="51">
        <f t="shared" si="36"/>
        <v>0</v>
      </c>
      <c r="AC193" s="100"/>
      <c r="AD193" s="31">
        <f t="shared" si="31"/>
        <v>0</v>
      </c>
      <c r="AE193" s="31">
        <f t="shared" si="32"/>
        <v>0</v>
      </c>
      <c r="AF193" s="17">
        <f t="shared" si="33"/>
        <v>0</v>
      </c>
      <c r="AG193" s="17">
        <f t="shared" si="34"/>
        <v>0</v>
      </c>
    </row>
    <row r="194" spans="1:119" s="19" customFormat="1" ht="18" customHeight="1" outlineLevel="2" x14ac:dyDescent="0.25">
      <c r="A194" s="48" t="s">
        <v>124</v>
      </c>
      <c r="B194" s="53"/>
      <c r="C194" s="64"/>
      <c r="D194" s="68"/>
      <c r="E194" s="68"/>
      <c r="F194" s="68">
        <v>0</v>
      </c>
      <c r="G194" s="68"/>
      <c r="H194" s="68">
        <v>0</v>
      </c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51">
        <f t="shared" si="30"/>
        <v>0</v>
      </c>
      <c r="AB194" s="51">
        <f t="shared" si="36"/>
        <v>0</v>
      </c>
      <c r="AC194" s="100"/>
      <c r="AD194" s="31">
        <f t="shared" si="31"/>
        <v>0</v>
      </c>
      <c r="AE194" s="31">
        <f t="shared" si="32"/>
        <v>0</v>
      </c>
      <c r="AF194" s="17">
        <f t="shared" si="33"/>
        <v>0</v>
      </c>
      <c r="AG194" s="17">
        <f t="shared" si="34"/>
        <v>0</v>
      </c>
    </row>
    <row r="195" spans="1:119" s="19" customFormat="1" ht="18" customHeight="1" outlineLevel="2" x14ac:dyDescent="0.25">
      <c r="A195" s="48" t="s">
        <v>125</v>
      </c>
      <c r="B195" s="53"/>
      <c r="C195" s="64"/>
      <c r="D195" s="68"/>
      <c r="E195" s="68"/>
      <c r="F195" s="68">
        <v>0</v>
      </c>
      <c r="G195" s="68"/>
      <c r="H195" s="68">
        <v>0</v>
      </c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51">
        <f t="shared" si="30"/>
        <v>0</v>
      </c>
      <c r="AB195" s="51">
        <f t="shared" si="36"/>
        <v>0</v>
      </c>
      <c r="AC195" s="100"/>
      <c r="AD195" s="31">
        <f t="shared" si="31"/>
        <v>0</v>
      </c>
      <c r="AE195" s="31">
        <f t="shared" si="32"/>
        <v>0</v>
      </c>
      <c r="AF195" s="17">
        <f t="shared" si="33"/>
        <v>0</v>
      </c>
      <c r="AG195" s="17">
        <f t="shared" si="34"/>
        <v>0</v>
      </c>
    </row>
    <row r="196" spans="1:119" s="19" customFormat="1" ht="18" customHeight="1" outlineLevel="2" x14ac:dyDescent="0.25">
      <c r="A196" s="48" t="s">
        <v>126</v>
      </c>
      <c r="B196" s="53"/>
      <c r="C196" s="64"/>
      <c r="D196" s="68"/>
      <c r="E196" s="68"/>
      <c r="F196" s="68">
        <v>0</v>
      </c>
      <c r="G196" s="68"/>
      <c r="H196" s="68">
        <v>0</v>
      </c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51">
        <f t="shared" si="30"/>
        <v>0</v>
      </c>
      <c r="AB196" s="51">
        <f t="shared" si="36"/>
        <v>0</v>
      </c>
      <c r="AC196" s="100"/>
      <c r="AD196" s="31">
        <f t="shared" si="31"/>
        <v>0</v>
      </c>
      <c r="AE196" s="31">
        <f t="shared" si="32"/>
        <v>0</v>
      </c>
      <c r="AF196" s="17">
        <f t="shared" si="33"/>
        <v>0</v>
      </c>
      <c r="AG196" s="17">
        <f t="shared" si="34"/>
        <v>0</v>
      </c>
    </row>
    <row r="197" spans="1:119" s="19" customFormat="1" ht="18" customHeight="1" outlineLevel="1" x14ac:dyDescent="0.25">
      <c r="A197" s="48" t="s">
        <v>127</v>
      </c>
      <c r="B197" s="53"/>
      <c r="C197" s="64"/>
      <c r="D197" s="68"/>
      <c r="E197" s="68"/>
      <c r="F197" s="68">
        <v>0</v>
      </c>
      <c r="G197" s="68"/>
      <c r="H197" s="68">
        <v>0</v>
      </c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51">
        <f t="shared" si="30"/>
        <v>0</v>
      </c>
      <c r="AB197" s="51">
        <f t="shared" si="36"/>
        <v>0</v>
      </c>
      <c r="AC197" s="100"/>
      <c r="AD197" s="31">
        <f t="shared" si="31"/>
        <v>0</v>
      </c>
      <c r="AE197" s="31">
        <f t="shared" si="32"/>
        <v>0</v>
      </c>
      <c r="AF197" s="17">
        <f t="shared" si="33"/>
        <v>0</v>
      </c>
      <c r="AG197" s="17">
        <f t="shared" si="34"/>
        <v>0</v>
      </c>
    </row>
    <row r="198" spans="1:119" s="19" customFormat="1" ht="18" customHeight="1" outlineLevel="1" x14ac:dyDescent="0.25">
      <c r="A198" s="48" t="s">
        <v>128</v>
      </c>
      <c r="B198" s="53"/>
      <c r="C198" s="64"/>
      <c r="D198" s="68"/>
      <c r="E198" s="68"/>
      <c r="F198" s="68">
        <v>0</v>
      </c>
      <c r="G198" s="68"/>
      <c r="H198" s="68">
        <v>0</v>
      </c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51">
        <f t="shared" si="30"/>
        <v>0</v>
      </c>
      <c r="AB198" s="51">
        <f t="shared" si="36"/>
        <v>0</v>
      </c>
      <c r="AC198" s="100"/>
      <c r="AD198" s="31">
        <f t="shared" si="31"/>
        <v>0</v>
      </c>
      <c r="AE198" s="31">
        <f t="shared" si="32"/>
        <v>0</v>
      </c>
      <c r="AF198" s="17">
        <f t="shared" si="33"/>
        <v>0</v>
      </c>
      <c r="AG198" s="17">
        <f t="shared" si="34"/>
        <v>0</v>
      </c>
    </row>
    <row r="199" spans="1:119" s="19" customFormat="1" ht="18" customHeight="1" outlineLevel="1" x14ac:dyDescent="0.25">
      <c r="A199" s="48" t="s">
        <v>129</v>
      </c>
      <c r="B199" s="53"/>
      <c r="C199" s="64"/>
      <c r="D199" s="68"/>
      <c r="E199" s="68"/>
      <c r="F199" s="68">
        <v>0</v>
      </c>
      <c r="G199" s="68"/>
      <c r="H199" s="68">
        <v>0</v>
      </c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51">
        <f t="shared" si="30"/>
        <v>0</v>
      </c>
      <c r="AB199" s="51">
        <f t="shared" si="36"/>
        <v>0</v>
      </c>
      <c r="AC199" s="100"/>
      <c r="AD199" s="31">
        <f t="shared" si="31"/>
        <v>0</v>
      </c>
      <c r="AE199" s="31">
        <f t="shared" si="32"/>
        <v>0</v>
      </c>
      <c r="AF199" s="17">
        <f t="shared" si="33"/>
        <v>0</v>
      </c>
      <c r="AG199" s="17">
        <f t="shared" si="34"/>
        <v>0</v>
      </c>
    </row>
    <row r="200" spans="1:119" s="17" customFormat="1" ht="18" customHeight="1" outlineLevel="1" x14ac:dyDescent="0.25">
      <c r="A200" s="67" t="s">
        <v>130</v>
      </c>
      <c r="B200" s="45"/>
      <c r="C200" s="33"/>
      <c r="D200" s="65"/>
      <c r="E200" s="65"/>
      <c r="F200" s="65">
        <f>SUM(F201:F205)</f>
        <v>0</v>
      </c>
      <c r="G200" s="65"/>
      <c r="H200" s="65">
        <f>SUM(H201:H205)</f>
        <v>0</v>
      </c>
      <c r="I200" s="65"/>
      <c r="J200" s="65">
        <f>SUM(J201:J205)</f>
        <v>0</v>
      </c>
      <c r="K200" s="65"/>
      <c r="L200" s="65">
        <f>SUM(L201:L205)</f>
        <v>0</v>
      </c>
      <c r="M200" s="65"/>
      <c r="N200" s="65">
        <f>SUM(N201:N205)</f>
        <v>0</v>
      </c>
      <c r="O200" s="65"/>
      <c r="P200" s="65">
        <f>SUM(P201:P205)</f>
        <v>0</v>
      </c>
      <c r="Q200" s="65"/>
      <c r="R200" s="65">
        <f>SUM(R201:R205)</f>
        <v>0</v>
      </c>
      <c r="S200" s="65"/>
      <c r="T200" s="65">
        <f>SUM(T201:T205)</f>
        <v>0</v>
      </c>
      <c r="U200" s="65"/>
      <c r="V200" s="65">
        <f>SUM(V201:V205)</f>
        <v>0</v>
      </c>
      <c r="W200" s="65"/>
      <c r="X200" s="65">
        <f>SUM(X201:X205)</f>
        <v>0</v>
      </c>
      <c r="Y200" s="65"/>
      <c r="Z200" s="65">
        <f>SUM(Z201:Z205)</f>
        <v>0</v>
      </c>
      <c r="AA200" s="51">
        <f t="shared" si="30"/>
        <v>0</v>
      </c>
      <c r="AB200" s="51">
        <f t="shared" si="36"/>
        <v>0</v>
      </c>
      <c r="AC200" s="103"/>
      <c r="AD200" s="31">
        <f t="shared" si="31"/>
        <v>0</v>
      </c>
      <c r="AE200" s="31">
        <f t="shared" si="32"/>
        <v>0</v>
      </c>
      <c r="AF200" s="17">
        <f t="shared" si="33"/>
        <v>0</v>
      </c>
      <c r="AG200" s="17">
        <f t="shared" si="34"/>
        <v>0</v>
      </c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</row>
    <row r="201" spans="1:119" s="19" customFormat="1" ht="18" customHeight="1" outlineLevel="2" x14ac:dyDescent="0.25">
      <c r="A201" s="48" t="s">
        <v>131</v>
      </c>
      <c r="B201" s="53"/>
      <c r="C201" s="64"/>
      <c r="D201" s="68"/>
      <c r="E201" s="68"/>
      <c r="F201" s="68">
        <v>0</v>
      </c>
      <c r="G201" s="68"/>
      <c r="H201" s="68">
        <v>0</v>
      </c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51">
        <f t="shared" si="30"/>
        <v>0</v>
      </c>
      <c r="AB201" s="51">
        <f t="shared" si="36"/>
        <v>0</v>
      </c>
      <c r="AC201" s="100"/>
      <c r="AD201" s="31">
        <f t="shared" si="31"/>
        <v>0</v>
      </c>
      <c r="AE201" s="31">
        <f t="shared" si="32"/>
        <v>0</v>
      </c>
      <c r="AF201" s="17">
        <f t="shared" si="33"/>
        <v>0</v>
      </c>
      <c r="AG201" s="17">
        <f t="shared" si="34"/>
        <v>0</v>
      </c>
    </row>
    <row r="202" spans="1:119" s="19" customFormat="1" ht="18" customHeight="1" outlineLevel="2" x14ac:dyDescent="0.25">
      <c r="A202" s="48" t="s">
        <v>132</v>
      </c>
      <c r="B202" s="53"/>
      <c r="C202" s="64"/>
      <c r="D202" s="68"/>
      <c r="E202" s="68"/>
      <c r="F202" s="68">
        <v>0</v>
      </c>
      <c r="G202" s="68"/>
      <c r="H202" s="68">
        <v>0</v>
      </c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51">
        <f t="shared" si="30"/>
        <v>0</v>
      </c>
      <c r="AB202" s="51">
        <f t="shared" si="36"/>
        <v>0</v>
      </c>
      <c r="AC202" s="100"/>
      <c r="AD202" s="31">
        <f t="shared" si="31"/>
        <v>0</v>
      </c>
      <c r="AE202" s="31">
        <f t="shared" si="32"/>
        <v>0</v>
      </c>
      <c r="AF202" s="17">
        <f t="shared" si="33"/>
        <v>0</v>
      </c>
      <c r="AG202" s="17">
        <f t="shared" si="34"/>
        <v>0</v>
      </c>
    </row>
    <row r="203" spans="1:119" s="19" customFormat="1" ht="18" customHeight="1" outlineLevel="2" x14ac:dyDescent="0.25">
      <c r="A203" s="48" t="s">
        <v>180</v>
      </c>
      <c r="B203" s="53"/>
      <c r="C203" s="64"/>
      <c r="D203" s="68"/>
      <c r="E203" s="68"/>
      <c r="F203" s="68">
        <v>0</v>
      </c>
      <c r="G203" s="68"/>
      <c r="H203" s="68">
        <v>0</v>
      </c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51">
        <f t="shared" si="30"/>
        <v>0</v>
      </c>
      <c r="AB203" s="51">
        <f t="shared" si="36"/>
        <v>0</v>
      </c>
      <c r="AC203" s="100"/>
      <c r="AD203" s="31">
        <f t="shared" si="31"/>
        <v>0</v>
      </c>
      <c r="AE203" s="31">
        <f t="shared" si="32"/>
        <v>0</v>
      </c>
      <c r="AF203" s="17">
        <f t="shared" si="33"/>
        <v>0</v>
      </c>
      <c r="AG203" s="17">
        <f t="shared" si="34"/>
        <v>0</v>
      </c>
    </row>
    <row r="204" spans="1:119" s="19" customFormat="1" ht="18" customHeight="1" outlineLevel="2" x14ac:dyDescent="0.25">
      <c r="A204" s="48" t="s">
        <v>134</v>
      </c>
      <c r="B204" s="53"/>
      <c r="C204" s="64"/>
      <c r="D204" s="68"/>
      <c r="E204" s="68"/>
      <c r="F204" s="68">
        <v>0</v>
      </c>
      <c r="G204" s="68"/>
      <c r="H204" s="68">
        <v>0</v>
      </c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51">
        <f t="shared" si="30"/>
        <v>0</v>
      </c>
      <c r="AB204" s="51">
        <f t="shared" si="36"/>
        <v>0</v>
      </c>
      <c r="AC204" s="100"/>
      <c r="AD204" s="31">
        <f t="shared" si="31"/>
        <v>0</v>
      </c>
      <c r="AE204" s="31">
        <f t="shared" si="32"/>
        <v>0</v>
      </c>
      <c r="AF204" s="17">
        <f t="shared" si="33"/>
        <v>0</v>
      </c>
      <c r="AG204" s="17">
        <f t="shared" si="34"/>
        <v>0</v>
      </c>
    </row>
    <row r="205" spans="1:119" s="19" customFormat="1" ht="18" customHeight="1" outlineLevel="2" x14ac:dyDescent="0.25">
      <c r="A205" s="48" t="s">
        <v>135</v>
      </c>
      <c r="B205" s="53"/>
      <c r="C205" s="64"/>
      <c r="D205" s="68"/>
      <c r="E205" s="68"/>
      <c r="F205" s="68">
        <v>0</v>
      </c>
      <c r="G205" s="68"/>
      <c r="H205" s="68">
        <v>0</v>
      </c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51">
        <f t="shared" si="30"/>
        <v>0</v>
      </c>
      <c r="AB205" s="51">
        <f t="shared" si="36"/>
        <v>0</v>
      </c>
      <c r="AC205" s="100"/>
      <c r="AD205" s="31">
        <f t="shared" si="31"/>
        <v>0</v>
      </c>
      <c r="AE205" s="31">
        <f t="shared" si="32"/>
        <v>0</v>
      </c>
      <c r="AF205" s="17">
        <f t="shared" si="33"/>
        <v>0</v>
      </c>
      <c r="AG205" s="17">
        <f t="shared" si="34"/>
        <v>0</v>
      </c>
    </row>
    <row r="206" spans="1:119" s="19" customFormat="1" ht="18" customHeight="1" outlineLevel="1" x14ac:dyDescent="0.25">
      <c r="A206" s="48" t="s">
        <v>136</v>
      </c>
      <c r="B206" s="53"/>
      <c r="C206" s="64"/>
      <c r="D206" s="68"/>
      <c r="E206" s="68"/>
      <c r="F206" s="68">
        <v>0</v>
      </c>
      <c r="G206" s="68"/>
      <c r="H206" s="68">
        <v>0</v>
      </c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51">
        <f t="shared" si="30"/>
        <v>0</v>
      </c>
      <c r="AB206" s="51">
        <f t="shared" si="36"/>
        <v>0</v>
      </c>
      <c r="AC206" s="100"/>
      <c r="AD206" s="31">
        <f t="shared" si="31"/>
        <v>0</v>
      </c>
      <c r="AE206" s="31">
        <f t="shared" si="32"/>
        <v>0</v>
      </c>
      <c r="AF206" s="17">
        <f t="shared" si="33"/>
        <v>0</v>
      </c>
      <c r="AG206" s="17">
        <f t="shared" si="34"/>
        <v>0</v>
      </c>
    </row>
    <row r="207" spans="1:119" s="19" customFormat="1" ht="18" customHeight="1" outlineLevel="1" x14ac:dyDescent="0.25">
      <c r="A207" s="48" t="s">
        <v>137</v>
      </c>
      <c r="B207" s="53"/>
      <c r="C207" s="64"/>
      <c r="D207" s="68"/>
      <c r="E207" s="68"/>
      <c r="F207" s="68">
        <v>0</v>
      </c>
      <c r="G207" s="68"/>
      <c r="H207" s="68">
        <v>0</v>
      </c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51">
        <f t="shared" si="30"/>
        <v>0</v>
      </c>
      <c r="AB207" s="51">
        <f t="shared" si="36"/>
        <v>0</v>
      </c>
      <c r="AC207" s="100"/>
      <c r="AD207" s="31">
        <f t="shared" si="31"/>
        <v>0</v>
      </c>
      <c r="AE207" s="31">
        <f t="shared" si="32"/>
        <v>0</v>
      </c>
      <c r="AF207" s="17">
        <f t="shared" si="33"/>
        <v>0</v>
      </c>
      <c r="AG207" s="17">
        <f t="shared" si="34"/>
        <v>0</v>
      </c>
    </row>
    <row r="208" spans="1:119" s="19" customFormat="1" ht="18" customHeight="1" outlineLevel="1" x14ac:dyDescent="0.25">
      <c r="A208" s="48" t="s">
        <v>138</v>
      </c>
      <c r="B208" s="53"/>
      <c r="C208" s="64"/>
      <c r="D208" s="68"/>
      <c r="E208" s="68"/>
      <c r="F208" s="68">
        <v>0</v>
      </c>
      <c r="G208" s="68"/>
      <c r="H208" s="68">
        <v>0</v>
      </c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51">
        <f t="shared" si="30"/>
        <v>0</v>
      </c>
      <c r="AB208" s="51">
        <f t="shared" si="36"/>
        <v>0</v>
      </c>
      <c r="AC208" s="100"/>
      <c r="AD208" s="31">
        <f t="shared" si="31"/>
        <v>0</v>
      </c>
      <c r="AE208" s="31">
        <f t="shared" si="32"/>
        <v>0</v>
      </c>
      <c r="AF208" s="17">
        <f t="shared" si="33"/>
        <v>0</v>
      </c>
      <c r="AG208" s="17">
        <f t="shared" si="34"/>
        <v>0</v>
      </c>
    </row>
    <row r="209" spans="1:119" s="19" customFormat="1" ht="18" customHeight="1" outlineLevel="1" x14ac:dyDescent="0.25">
      <c r="A209" s="48" t="s">
        <v>139</v>
      </c>
      <c r="B209" s="53"/>
      <c r="C209" s="64"/>
      <c r="D209" s="68"/>
      <c r="E209" s="68"/>
      <c r="F209" s="68">
        <v>0</v>
      </c>
      <c r="G209" s="68"/>
      <c r="H209" s="68">
        <v>0</v>
      </c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51">
        <f t="shared" si="30"/>
        <v>0</v>
      </c>
      <c r="AB209" s="51">
        <f t="shared" si="36"/>
        <v>0</v>
      </c>
      <c r="AC209" s="100"/>
      <c r="AD209" s="31">
        <f t="shared" si="31"/>
        <v>0</v>
      </c>
      <c r="AE209" s="31">
        <f t="shared" si="32"/>
        <v>0</v>
      </c>
      <c r="AF209" s="17">
        <f t="shared" si="33"/>
        <v>0</v>
      </c>
      <c r="AG209" s="17">
        <f t="shared" si="34"/>
        <v>0</v>
      </c>
    </row>
    <row r="210" spans="1:119" s="19" customFormat="1" ht="18" customHeight="1" outlineLevel="1" x14ac:dyDescent="0.25">
      <c r="A210" s="48" t="s">
        <v>140</v>
      </c>
      <c r="B210" s="53"/>
      <c r="C210" s="64"/>
      <c r="D210" s="68"/>
      <c r="E210" s="68"/>
      <c r="F210" s="68">
        <v>0</v>
      </c>
      <c r="G210" s="68"/>
      <c r="H210" s="68">
        <v>0</v>
      </c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51">
        <f t="shared" si="30"/>
        <v>0</v>
      </c>
      <c r="AB210" s="51">
        <f t="shared" si="36"/>
        <v>0</v>
      </c>
      <c r="AC210" s="100"/>
      <c r="AD210" s="31">
        <f t="shared" si="31"/>
        <v>0</v>
      </c>
      <c r="AE210" s="31">
        <f t="shared" si="32"/>
        <v>0</v>
      </c>
      <c r="AF210" s="17">
        <f t="shared" si="33"/>
        <v>0</v>
      </c>
      <c r="AG210" s="17">
        <f t="shared" si="34"/>
        <v>0</v>
      </c>
    </row>
    <row r="211" spans="1:119" s="19" customFormat="1" ht="18" customHeight="1" outlineLevel="1" x14ac:dyDescent="0.25">
      <c r="A211" s="48" t="s">
        <v>141</v>
      </c>
      <c r="B211" s="53"/>
      <c r="C211" s="64"/>
      <c r="D211" s="68"/>
      <c r="E211" s="68"/>
      <c r="F211" s="68">
        <v>0</v>
      </c>
      <c r="G211" s="68"/>
      <c r="H211" s="68">
        <v>0</v>
      </c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51">
        <f t="shared" si="30"/>
        <v>0</v>
      </c>
      <c r="AB211" s="51">
        <f t="shared" si="36"/>
        <v>0</v>
      </c>
      <c r="AC211" s="100"/>
      <c r="AD211" s="31">
        <f t="shared" si="31"/>
        <v>0</v>
      </c>
      <c r="AE211" s="31">
        <f t="shared" si="32"/>
        <v>0</v>
      </c>
      <c r="AF211" s="17">
        <f t="shared" si="33"/>
        <v>0</v>
      </c>
      <c r="AG211" s="17">
        <f t="shared" si="34"/>
        <v>0</v>
      </c>
    </row>
    <row r="212" spans="1:119" s="17" customFormat="1" ht="18" customHeight="1" outlineLevel="1" x14ac:dyDescent="0.25">
      <c r="A212" s="67" t="s">
        <v>142</v>
      </c>
      <c r="B212" s="71"/>
      <c r="C212" s="33"/>
      <c r="D212" s="65"/>
      <c r="E212" s="65"/>
      <c r="F212" s="65">
        <f>SUM(F213:F216)</f>
        <v>0</v>
      </c>
      <c r="G212" s="65"/>
      <c r="H212" s="65">
        <f>SUM(H213:H216)</f>
        <v>0</v>
      </c>
      <c r="I212" s="65"/>
      <c r="J212" s="65">
        <f>SUM(J213:J216)</f>
        <v>0</v>
      </c>
      <c r="K212" s="65"/>
      <c r="L212" s="65">
        <f>SUM(L213:L216)</f>
        <v>0</v>
      </c>
      <c r="M212" s="65"/>
      <c r="N212" s="65">
        <f>SUM(N213:N216)</f>
        <v>0</v>
      </c>
      <c r="O212" s="65"/>
      <c r="P212" s="65">
        <f>SUM(P213:P216)</f>
        <v>0</v>
      </c>
      <c r="Q212" s="65"/>
      <c r="R212" s="65">
        <f>SUM(R213:R216)</f>
        <v>0</v>
      </c>
      <c r="S212" s="65"/>
      <c r="T212" s="65">
        <f>SUM(T213:T216)</f>
        <v>0</v>
      </c>
      <c r="U212" s="65"/>
      <c r="V212" s="65">
        <f>SUM(V213:V216)</f>
        <v>0</v>
      </c>
      <c r="W212" s="65"/>
      <c r="X212" s="65">
        <f>SUM(X213:X216)</f>
        <v>0</v>
      </c>
      <c r="Y212" s="65"/>
      <c r="Z212" s="65">
        <f>SUM(Z213:Z216)</f>
        <v>0</v>
      </c>
      <c r="AA212" s="51">
        <f t="shared" si="30"/>
        <v>0</v>
      </c>
      <c r="AB212" s="51">
        <f t="shared" si="36"/>
        <v>0</v>
      </c>
      <c r="AC212" s="103"/>
      <c r="AD212" s="31">
        <f t="shared" si="31"/>
        <v>0</v>
      </c>
      <c r="AE212" s="31">
        <f t="shared" si="32"/>
        <v>0</v>
      </c>
      <c r="AF212" s="17">
        <f t="shared" si="33"/>
        <v>0</v>
      </c>
      <c r="AG212" s="17">
        <f t="shared" si="34"/>
        <v>0</v>
      </c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</row>
    <row r="213" spans="1:119" s="19" customFormat="1" ht="18" customHeight="1" outlineLevel="2" x14ac:dyDescent="0.25">
      <c r="A213" s="48" t="s">
        <v>143</v>
      </c>
      <c r="B213" s="53"/>
      <c r="C213" s="64"/>
      <c r="D213" s="68"/>
      <c r="E213" s="68"/>
      <c r="F213" s="68">
        <v>0</v>
      </c>
      <c r="G213" s="68"/>
      <c r="H213" s="68">
        <v>0</v>
      </c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51">
        <f t="shared" si="30"/>
        <v>0</v>
      </c>
      <c r="AB213" s="51">
        <f t="shared" si="36"/>
        <v>0</v>
      </c>
      <c r="AC213" s="100"/>
      <c r="AD213" s="31">
        <f t="shared" si="31"/>
        <v>0</v>
      </c>
      <c r="AE213" s="31">
        <f t="shared" si="32"/>
        <v>0</v>
      </c>
      <c r="AF213" s="17">
        <f t="shared" si="33"/>
        <v>0</v>
      </c>
      <c r="AG213" s="17">
        <f t="shared" si="34"/>
        <v>0</v>
      </c>
    </row>
    <row r="214" spans="1:119" s="19" customFormat="1" ht="18" customHeight="1" outlineLevel="2" x14ac:dyDescent="0.25">
      <c r="A214" s="48" t="s">
        <v>144</v>
      </c>
      <c r="B214" s="53"/>
      <c r="C214" s="64"/>
      <c r="D214" s="68"/>
      <c r="E214" s="68"/>
      <c r="F214" s="68">
        <v>0</v>
      </c>
      <c r="G214" s="68"/>
      <c r="H214" s="68">
        <v>0</v>
      </c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51">
        <f t="shared" si="30"/>
        <v>0</v>
      </c>
      <c r="AB214" s="51">
        <f t="shared" si="36"/>
        <v>0</v>
      </c>
      <c r="AC214" s="100"/>
      <c r="AD214" s="31">
        <f t="shared" si="31"/>
        <v>0</v>
      </c>
      <c r="AE214" s="31">
        <f t="shared" si="32"/>
        <v>0</v>
      </c>
      <c r="AF214" s="17">
        <f t="shared" si="33"/>
        <v>0</v>
      </c>
      <c r="AG214" s="17">
        <f t="shared" si="34"/>
        <v>0</v>
      </c>
    </row>
    <row r="215" spans="1:119" s="19" customFormat="1" ht="18" customHeight="1" outlineLevel="2" x14ac:dyDescent="0.25">
      <c r="A215" s="48" t="s">
        <v>145</v>
      </c>
      <c r="B215" s="53"/>
      <c r="C215" s="64"/>
      <c r="D215" s="68"/>
      <c r="E215" s="68"/>
      <c r="F215" s="68">
        <v>0</v>
      </c>
      <c r="G215" s="68"/>
      <c r="H215" s="68">
        <v>0</v>
      </c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51">
        <f t="shared" si="30"/>
        <v>0</v>
      </c>
      <c r="AB215" s="51">
        <f t="shared" si="36"/>
        <v>0</v>
      </c>
      <c r="AC215" s="100"/>
      <c r="AD215" s="31">
        <f t="shared" si="31"/>
        <v>0</v>
      </c>
      <c r="AE215" s="31">
        <f t="shared" si="32"/>
        <v>0</v>
      </c>
      <c r="AF215" s="17">
        <f t="shared" si="33"/>
        <v>0</v>
      </c>
      <c r="AG215" s="17">
        <f t="shared" si="34"/>
        <v>0</v>
      </c>
    </row>
    <row r="216" spans="1:119" s="19" customFormat="1" ht="18" customHeight="1" outlineLevel="2" x14ac:dyDescent="0.25">
      <c r="A216" s="48" t="s">
        <v>146</v>
      </c>
      <c r="B216" s="53"/>
      <c r="C216" s="64"/>
      <c r="D216" s="68"/>
      <c r="E216" s="68"/>
      <c r="F216" s="68">
        <v>0</v>
      </c>
      <c r="G216" s="68"/>
      <c r="H216" s="68">
        <v>0</v>
      </c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51">
        <f t="shared" si="30"/>
        <v>0</v>
      </c>
      <c r="AB216" s="51">
        <f t="shared" si="36"/>
        <v>0</v>
      </c>
      <c r="AC216" s="100"/>
      <c r="AD216" s="31">
        <f t="shared" si="31"/>
        <v>0</v>
      </c>
      <c r="AE216" s="31">
        <f t="shared" si="32"/>
        <v>0</v>
      </c>
      <c r="AF216" s="17">
        <f t="shared" si="33"/>
        <v>0</v>
      </c>
      <c r="AG216" s="17">
        <f t="shared" si="34"/>
        <v>0</v>
      </c>
    </row>
    <row r="217" spans="1:119" s="19" customFormat="1" ht="18" customHeight="1" outlineLevel="1" x14ac:dyDescent="0.25">
      <c r="A217" s="48" t="s">
        <v>147</v>
      </c>
      <c r="B217" s="53"/>
      <c r="C217" s="64"/>
      <c r="D217" s="68"/>
      <c r="E217" s="68"/>
      <c r="F217" s="68">
        <v>0</v>
      </c>
      <c r="G217" s="68"/>
      <c r="H217" s="68">
        <v>0</v>
      </c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51">
        <f t="shared" si="30"/>
        <v>0</v>
      </c>
      <c r="AB217" s="51">
        <f t="shared" si="36"/>
        <v>0</v>
      </c>
      <c r="AC217" s="100"/>
      <c r="AD217" s="31">
        <f t="shared" si="31"/>
        <v>0</v>
      </c>
      <c r="AE217" s="31">
        <f t="shared" si="32"/>
        <v>0</v>
      </c>
      <c r="AF217" s="17">
        <f t="shared" si="33"/>
        <v>0</v>
      </c>
      <c r="AG217" s="17">
        <f t="shared" si="34"/>
        <v>0</v>
      </c>
    </row>
    <row r="218" spans="1:119" s="19" customFormat="1" ht="18" customHeight="1" outlineLevel="1" x14ac:dyDescent="0.25">
      <c r="A218" s="48" t="s">
        <v>148</v>
      </c>
      <c r="B218" s="53"/>
      <c r="C218" s="64"/>
      <c r="D218" s="68"/>
      <c r="E218" s="68"/>
      <c r="F218" s="68">
        <v>0</v>
      </c>
      <c r="G218" s="68"/>
      <c r="H218" s="68">
        <v>0</v>
      </c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51">
        <f t="shared" si="30"/>
        <v>0</v>
      </c>
      <c r="AB218" s="51">
        <f t="shared" si="36"/>
        <v>0</v>
      </c>
      <c r="AC218" s="100"/>
      <c r="AD218" s="31">
        <f t="shared" si="31"/>
        <v>0</v>
      </c>
      <c r="AE218" s="31">
        <f t="shared" si="32"/>
        <v>0</v>
      </c>
      <c r="AF218" s="17">
        <f t="shared" si="33"/>
        <v>0</v>
      </c>
      <c r="AG218" s="17">
        <f t="shared" si="34"/>
        <v>0</v>
      </c>
    </row>
    <row r="219" spans="1:119" s="19" customFormat="1" ht="18" customHeight="1" outlineLevel="1" x14ac:dyDescent="0.25">
      <c r="A219" s="48" t="s">
        <v>149</v>
      </c>
      <c r="B219" s="53"/>
      <c r="C219" s="64"/>
      <c r="D219" s="68"/>
      <c r="E219" s="68"/>
      <c r="F219" s="68">
        <v>0</v>
      </c>
      <c r="G219" s="68"/>
      <c r="H219" s="68">
        <v>0</v>
      </c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51">
        <f t="shared" si="30"/>
        <v>0</v>
      </c>
      <c r="AB219" s="51">
        <f t="shared" si="36"/>
        <v>0</v>
      </c>
      <c r="AC219" s="100"/>
      <c r="AD219" s="31">
        <f t="shared" si="31"/>
        <v>0</v>
      </c>
      <c r="AE219" s="31">
        <f t="shared" si="32"/>
        <v>0</v>
      </c>
      <c r="AF219" s="17">
        <f t="shared" si="33"/>
        <v>0</v>
      </c>
      <c r="AG219" s="17">
        <f t="shared" si="34"/>
        <v>0</v>
      </c>
    </row>
    <row r="220" spans="1:119" s="19" customFormat="1" ht="18" customHeight="1" outlineLevel="1" x14ac:dyDescent="0.25">
      <c r="A220" s="48" t="s">
        <v>150</v>
      </c>
      <c r="B220" s="53"/>
      <c r="C220" s="64"/>
      <c r="D220" s="68"/>
      <c r="E220" s="68"/>
      <c r="F220" s="68">
        <v>0</v>
      </c>
      <c r="G220" s="68"/>
      <c r="H220" s="68">
        <v>0</v>
      </c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51">
        <f t="shared" ref="AA220:AA257" si="37">C220+E220+G220+I220+K220+M220+O220+Q220+S220+U220+W220+Y220</f>
        <v>0</v>
      </c>
      <c r="AB220" s="51">
        <f t="shared" si="36"/>
        <v>0</v>
      </c>
      <c r="AC220" s="100"/>
      <c r="AD220" s="31">
        <f t="shared" ref="AD220:AD265" si="38">SUMIF($C$5:$Z$5,$AD$5,C220:Z220)</f>
        <v>0</v>
      </c>
      <c r="AE220" s="31">
        <f t="shared" ref="AE220:AE263" si="39">SUMIF($C$5:$Z$5,$AD$5,D220:AA220)</f>
        <v>0</v>
      </c>
      <c r="AF220" s="17">
        <f t="shared" si="33"/>
        <v>0</v>
      </c>
      <c r="AG220" s="17">
        <f t="shared" si="34"/>
        <v>0</v>
      </c>
    </row>
    <row r="221" spans="1:119" s="19" customFormat="1" ht="18" customHeight="1" outlineLevel="1" x14ac:dyDescent="0.25">
      <c r="A221" s="48" t="s">
        <v>151</v>
      </c>
      <c r="B221" s="53"/>
      <c r="C221" s="64"/>
      <c r="D221" s="68"/>
      <c r="E221" s="68"/>
      <c r="F221" s="68">
        <v>0</v>
      </c>
      <c r="G221" s="68"/>
      <c r="H221" s="68">
        <v>0</v>
      </c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51">
        <f t="shared" si="37"/>
        <v>0</v>
      </c>
      <c r="AB221" s="51">
        <f t="shared" si="36"/>
        <v>0</v>
      </c>
      <c r="AC221" s="100"/>
      <c r="AD221" s="31">
        <f t="shared" si="38"/>
        <v>0</v>
      </c>
      <c r="AE221" s="31">
        <f t="shared" si="39"/>
        <v>0</v>
      </c>
      <c r="AF221" s="17">
        <f t="shared" si="33"/>
        <v>0</v>
      </c>
      <c r="AG221" s="17">
        <f t="shared" si="34"/>
        <v>0</v>
      </c>
    </row>
    <row r="222" spans="1:119" s="19" customFormat="1" ht="18" customHeight="1" outlineLevel="1" x14ac:dyDescent="0.25">
      <c r="A222" s="48" t="s">
        <v>152</v>
      </c>
      <c r="B222" s="53"/>
      <c r="C222" s="64"/>
      <c r="D222" s="68"/>
      <c r="E222" s="68"/>
      <c r="F222" s="68">
        <v>0</v>
      </c>
      <c r="G222" s="68"/>
      <c r="H222" s="68">
        <v>0</v>
      </c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51">
        <f t="shared" si="37"/>
        <v>0</v>
      </c>
      <c r="AB222" s="51">
        <f t="shared" si="36"/>
        <v>0</v>
      </c>
      <c r="AC222" s="100"/>
      <c r="AD222" s="31">
        <f t="shared" si="38"/>
        <v>0</v>
      </c>
      <c r="AE222" s="31">
        <f t="shared" si="39"/>
        <v>0</v>
      </c>
      <c r="AF222" s="17">
        <f t="shared" ref="AF222:AF260" si="40">AA222-AD222</f>
        <v>0</v>
      </c>
      <c r="AG222" s="17">
        <f t="shared" ref="AG222:AG260" si="41">AB222-AE222</f>
        <v>0</v>
      </c>
    </row>
    <row r="223" spans="1:119" s="19" customFormat="1" ht="18" customHeight="1" outlineLevel="1" x14ac:dyDescent="0.25">
      <c r="A223" s="48" t="s">
        <v>153</v>
      </c>
      <c r="B223" s="53"/>
      <c r="C223" s="64"/>
      <c r="D223" s="68"/>
      <c r="E223" s="68"/>
      <c r="F223" s="68">
        <v>0</v>
      </c>
      <c r="G223" s="68"/>
      <c r="H223" s="68">
        <v>0</v>
      </c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51">
        <f t="shared" si="37"/>
        <v>0</v>
      </c>
      <c r="AB223" s="51">
        <f t="shared" si="36"/>
        <v>0</v>
      </c>
      <c r="AC223" s="100"/>
      <c r="AD223" s="31">
        <f t="shared" si="38"/>
        <v>0</v>
      </c>
      <c r="AE223" s="31">
        <f t="shared" si="39"/>
        <v>0</v>
      </c>
      <c r="AF223" s="17">
        <f t="shared" si="40"/>
        <v>0</v>
      </c>
      <c r="AG223" s="17">
        <f t="shared" si="41"/>
        <v>0</v>
      </c>
    </row>
    <row r="224" spans="1:119" s="19" customFormat="1" ht="18" customHeight="1" outlineLevel="1" x14ac:dyDescent="0.25">
      <c r="A224" s="48" t="s">
        <v>154</v>
      </c>
      <c r="B224" s="53"/>
      <c r="C224" s="64"/>
      <c r="D224" s="68"/>
      <c r="E224" s="68"/>
      <c r="F224" s="68">
        <v>0</v>
      </c>
      <c r="G224" s="68"/>
      <c r="H224" s="68">
        <v>0</v>
      </c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51">
        <f t="shared" si="37"/>
        <v>0</v>
      </c>
      <c r="AB224" s="51">
        <f t="shared" si="36"/>
        <v>0</v>
      </c>
      <c r="AC224" s="100"/>
      <c r="AD224" s="31">
        <f t="shared" si="38"/>
        <v>0</v>
      </c>
      <c r="AE224" s="31">
        <f t="shared" si="39"/>
        <v>0</v>
      </c>
      <c r="AF224" s="17">
        <f t="shared" si="40"/>
        <v>0</v>
      </c>
      <c r="AG224" s="17">
        <f t="shared" si="41"/>
        <v>0</v>
      </c>
    </row>
    <row r="225" spans="1:33" s="19" customFormat="1" ht="18" customHeight="1" outlineLevel="1" x14ac:dyDescent="0.25">
      <c r="A225" s="48" t="s">
        <v>155</v>
      </c>
      <c r="B225" s="53"/>
      <c r="C225" s="64"/>
      <c r="D225" s="68"/>
      <c r="E225" s="68"/>
      <c r="F225" s="68">
        <v>0</v>
      </c>
      <c r="G225" s="68"/>
      <c r="H225" s="68">
        <v>0</v>
      </c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51">
        <f t="shared" si="37"/>
        <v>0</v>
      </c>
      <c r="AB225" s="51">
        <f t="shared" si="36"/>
        <v>0</v>
      </c>
      <c r="AC225" s="100"/>
      <c r="AD225" s="31">
        <f t="shared" si="38"/>
        <v>0</v>
      </c>
      <c r="AE225" s="31">
        <f t="shared" si="39"/>
        <v>0</v>
      </c>
      <c r="AF225" s="17">
        <f t="shared" si="40"/>
        <v>0</v>
      </c>
      <c r="AG225" s="17">
        <f t="shared" si="41"/>
        <v>0</v>
      </c>
    </row>
    <row r="226" spans="1:33" s="19" customFormat="1" ht="18" customHeight="1" outlineLevel="1" x14ac:dyDescent="0.25">
      <c r="A226" s="48" t="s">
        <v>156</v>
      </c>
      <c r="B226" s="53"/>
      <c r="C226" s="64"/>
      <c r="D226" s="68"/>
      <c r="E226" s="68"/>
      <c r="F226" s="68">
        <v>0</v>
      </c>
      <c r="G226" s="68"/>
      <c r="H226" s="68">
        <v>0</v>
      </c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51">
        <f t="shared" si="37"/>
        <v>0</v>
      </c>
      <c r="AB226" s="51">
        <f t="shared" si="36"/>
        <v>0</v>
      </c>
      <c r="AC226" s="100"/>
      <c r="AD226" s="31">
        <f t="shared" si="38"/>
        <v>0</v>
      </c>
      <c r="AE226" s="31">
        <f t="shared" si="39"/>
        <v>0</v>
      </c>
      <c r="AF226" s="17">
        <f t="shared" si="40"/>
        <v>0</v>
      </c>
      <c r="AG226" s="17">
        <f t="shared" si="41"/>
        <v>0</v>
      </c>
    </row>
    <row r="227" spans="1:33" s="19" customFormat="1" ht="18" customHeight="1" outlineLevel="1" x14ac:dyDescent="0.25">
      <c r="A227" s="48" t="s">
        <v>157</v>
      </c>
      <c r="B227" s="53"/>
      <c r="C227" s="64"/>
      <c r="D227" s="68"/>
      <c r="E227" s="68"/>
      <c r="F227" s="68">
        <v>0</v>
      </c>
      <c r="G227" s="68"/>
      <c r="H227" s="68">
        <v>0</v>
      </c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51">
        <f t="shared" si="37"/>
        <v>0</v>
      </c>
      <c r="AB227" s="51">
        <f t="shared" si="36"/>
        <v>0</v>
      </c>
      <c r="AC227" s="100"/>
      <c r="AD227" s="31">
        <f t="shared" si="38"/>
        <v>0</v>
      </c>
      <c r="AE227" s="31">
        <f t="shared" si="39"/>
        <v>0</v>
      </c>
      <c r="AF227" s="17">
        <f t="shared" si="40"/>
        <v>0</v>
      </c>
      <c r="AG227" s="17">
        <f t="shared" si="41"/>
        <v>0</v>
      </c>
    </row>
    <row r="228" spans="1:33" s="19" customFormat="1" ht="18" customHeight="1" outlineLevel="1" x14ac:dyDescent="0.25">
      <c r="A228" s="48" t="s">
        <v>158</v>
      </c>
      <c r="B228" s="53"/>
      <c r="C228" s="64"/>
      <c r="D228" s="68"/>
      <c r="E228" s="68"/>
      <c r="F228" s="68">
        <v>0</v>
      </c>
      <c r="G228" s="68"/>
      <c r="H228" s="68">
        <v>0</v>
      </c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51">
        <f t="shared" si="37"/>
        <v>0</v>
      </c>
      <c r="AB228" s="51">
        <f t="shared" si="36"/>
        <v>0</v>
      </c>
      <c r="AC228" s="100"/>
      <c r="AD228" s="31">
        <f t="shared" si="38"/>
        <v>0</v>
      </c>
      <c r="AE228" s="31">
        <f t="shared" si="39"/>
        <v>0</v>
      </c>
      <c r="AF228" s="17">
        <f t="shared" si="40"/>
        <v>0</v>
      </c>
      <c r="AG228" s="17">
        <f t="shared" si="41"/>
        <v>0</v>
      </c>
    </row>
    <row r="229" spans="1:33" s="19" customFormat="1" ht="18" customHeight="1" outlineLevel="1" x14ac:dyDescent="0.25">
      <c r="A229" s="48" t="s">
        <v>100</v>
      </c>
      <c r="B229" s="53"/>
      <c r="C229" s="64"/>
      <c r="D229" s="68"/>
      <c r="E229" s="68"/>
      <c r="F229" s="68">
        <v>0</v>
      </c>
      <c r="G229" s="68"/>
      <c r="H229" s="68">
        <v>0</v>
      </c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51">
        <f t="shared" si="37"/>
        <v>0</v>
      </c>
      <c r="AB229" s="51">
        <f t="shared" si="36"/>
        <v>0</v>
      </c>
      <c r="AC229" s="100"/>
      <c r="AD229" s="31">
        <f t="shared" si="38"/>
        <v>0</v>
      </c>
      <c r="AE229" s="31">
        <f t="shared" si="39"/>
        <v>0</v>
      </c>
      <c r="AF229" s="17">
        <f t="shared" si="40"/>
        <v>0</v>
      </c>
      <c r="AG229" s="17">
        <f t="shared" si="41"/>
        <v>0</v>
      </c>
    </row>
    <row r="230" spans="1:33" s="19" customFormat="1" ht="18" customHeight="1" outlineLevel="1" x14ac:dyDescent="0.25">
      <c r="A230" s="48" t="s">
        <v>159</v>
      </c>
      <c r="B230" s="53"/>
      <c r="C230" s="64"/>
      <c r="D230" s="68"/>
      <c r="E230" s="68"/>
      <c r="F230" s="68">
        <v>0</v>
      </c>
      <c r="G230" s="68"/>
      <c r="H230" s="68">
        <v>0</v>
      </c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51">
        <f t="shared" si="37"/>
        <v>0</v>
      </c>
      <c r="AB230" s="51">
        <f t="shared" si="36"/>
        <v>0</v>
      </c>
      <c r="AC230" s="100"/>
      <c r="AD230" s="31">
        <f t="shared" si="38"/>
        <v>0</v>
      </c>
      <c r="AE230" s="31">
        <f t="shared" si="39"/>
        <v>0</v>
      </c>
      <c r="AF230" s="17">
        <f t="shared" si="40"/>
        <v>0</v>
      </c>
      <c r="AG230" s="17">
        <f t="shared" si="41"/>
        <v>0</v>
      </c>
    </row>
    <row r="231" spans="1:33" s="19" customFormat="1" ht="18" customHeight="1" outlineLevel="1" x14ac:dyDescent="0.25">
      <c r="A231" s="48" t="s">
        <v>160</v>
      </c>
      <c r="B231" s="53"/>
      <c r="C231" s="64"/>
      <c r="D231" s="68"/>
      <c r="E231" s="68"/>
      <c r="F231" s="68">
        <v>0</v>
      </c>
      <c r="G231" s="68"/>
      <c r="H231" s="68">
        <v>0</v>
      </c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51">
        <f t="shared" si="37"/>
        <v>0</v>
      </c>
      <c r="AB231" s="51">
        <f t="shared" si="36"/>
        <v>0</v>
      </c>
      <c r="AC231" s="100"/>
      <c r="AD231" s="31">
        <f t="shared" si="38"/>
        <v>0</v>
      </c>
      <c r="AE231" s="31">
        <f t="shared" si="39"/>
        <v>0</v>
      </c>
      <c r="AF231" s="17">
        <f t="shared" si="40"/>
        <v>0</v>
      </c>
      <c r="AG231" s="17">
        <f t="shared" si="41"/>
        <v>0</v>
      </c>
    </row>
    <row r="232" spans="1:33" s="19" customFormat="1" ht="18" customHeight="1" outlineLevel="1" x14ac:dyDescent="0.25">
      <c r="A232" s="48" t="s">
        <v>161</v>
      </c>
      <c r="B232" s="53"/>
      <c r="C232" s="64"/>
      <c r="D232" s="68"/>
      <c r="E232" s="68"/>
      <c r="F232" s="68">
        <v>0</v>
      </c>
      <c r="G232" s="68"/>
      <c r="H232" s="68">
        <v>0</v>
      </c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51">
        <f t="shared" si="37"/>
        <v>0</v>
      </c>
      <c r="AB232" s="51">
        <f t="shared" si="36"/>
        <v>0</v>
      </c>
      <c r="AC232" s="100"/>
      <c r="AD232" s="31">
        <f t="shared" si="38"/>
        <v>0</v>
      </c>
      <c r="AE232" s="31">
        <f t="shared" si="39"/>
        <v>0</v>
      </c>
      <c r="AF232" s="17">
        <f t="shared" si="40"/>
        <v>0</v>
      </c>
      <c r="AG232" s="17">
        <f t="shared" si="41"/>
        <v>0</v>
      </c>
    </row>
    <row r="233" spans="1:33" s="19" customFormat="1" ht="18" customHeight="1" outlineLevel="1" x14ac:dyDescent="0.25">
      <c r="A233" s="48" t="s">
        <v>162</v>
      </c>
      <c r="B233" s="53"/>
      <c r="C233" s="64"/>
      <c r="D233" s="68"/>
      <c r="E233" s="68"/>
      <c r="F233" s="68">
        <v>0</v>
      </c>
      <c r="G233" s="68"/>
      <c r="H233" s="68">
        <v>0</v>
      </c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51">
        <f t="shared" si="37"/>
        <v>0</v>
      </c>
      <c r="AB233" s="51">
        <f t="shared" si="36"/>
        <v>0</v>
      </c>
      <c r="AC233" s="100"/>
      <c r="AD233" s="31">
        <f t="shared" si="38"/>
        <v>0</v>
      </c>
      <c r="AE233" s="31">
        <f t="shared" si="39"/>
        <v>0</v>
      </c>
      <c r="AF233" s="17">
        <f t="shared" si="40"/>
        <v>0</v>
      </c>
      <c r="AG233" s="17">
        <f t="shared" si="41"/>
        <v>0</v>
      </c>
    </row>
    <row r="234" spans="1:33" s="19" customFormat="1" ht="18" customHeight="1" outlineLevel="1" x14ac:dyDescent="0.25">
      <c r="A234" s="48" t="s">
        <v>163</v>
      </c>
      <c r="B234" s="53"/>
      <c r="C234" s="64"/>
      <c r="D234" s="68"/>
      <c r="E234" s="68"/>
      <c r="F234" s="68">
        <v>0</v>
      </c>
      <c r="G234" s="68"/>
      <c r="H234" s="68">
        <v>0</v>
      </c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51">
        <f t="shared" si="37"/>
        <v>0</v>
      </c>
      <c r="AB234" s="51">
        <f t="shared" si="36"/>
        <v>0</v>
      </c>
      <c r="AC234" s="100"/>
      <c r="AD234" s="31">
        <f t="shared" si="38"/>
        <v>0</v>
      </c>
      <c r="AE234" s="31">
        <f t="shared" si="39"/>
        <v>0</v>
      </c>
      <c r="AF234" s="17">
        <f t="shared" si="40"/>
        <v>0</v>
      </c>
      <c r="AG234" s="17">
        <f t="shared" si="41"/>
        <v>0</v>
      </c>
    </row>
    <row r="235" spans="1:33" s="19" customFormat="1" ht="18" customHeight="1" outlineLevel="1" x14ac:dyDescent="0.25">
      <c r="A235" s="48" t="s">
        <v>164</v>
      </c>
      <c r="B235" s="53"/>
      <c r="C235" s="64"/>
      <c r="D235" s="68"/>
      <c r="E235" s="68"/>
      <c r="F235" s="68">
        <v>0</v>
      </c>
      <c r="G235" s="68"/>
      <c r="H235" s="68">
        <v>0</v>
      </c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51">
        <f t="shared" si="37"/>
        <v>0</v>
      </c>
      <c r="AB235" s="51">
        <f t="shared" si="36"/>
        <v>0</v>
      </c>
      <c r="AC235" s="100"/>
      <c r="AD235" s="31">
        <f t="shared" si="38"/>
        <v>0</v>
      </c>
      <c r="AE235" s="31">
        <f t="shared" si="39"/>
        <v>0</v>
      </c>
      <c r="AF235" s="17">
        <f t="shared" si="40"/>
        <v>0</v>
      </c>
      <c r="AG235" s="17">
        <f t="shared" si="41"/>
        <v>0</v>
      </c>
    </row>
    <row r="236" spans="1:33" s="19" customFormat="1" ht="18" customHeight="1" outlineLevel="1" x14ac:dyDescent="0.25">
      <c r="A236" s="48" t="s">
        <v>165</v>
      </c>
      <c r="B236" s="53"/>
      <c r="C236" s="64"/>
      <c r="D236" s="68"/>
      <c r="E236" s="68"/>
      <c r="F236" s="68">
        <v>0</v>
      </c>
      <c r="G236" s="68"/>
      <c r="H236" s="68">
        <v>0</v>
      </c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51">
        <f t="shared" si="37"/>
        <v>0</v>
      </c>
      <c r="AB236" s="51">
        <f t="shared" si="36"/>
        <v>0</v>
      </c>
      <c r="AC236" s="100"/>
      <c r="AD236" s="31">
        <f t="shared" si="38"/>
        <v>0</v>
      </c>
      <c r="AE236" s="31">
        <f t="shared" si="39"/>
        <v>0</v>
      </c>
      <c r="AF236" s="17">
        <f t="shared" si="40"/>
        <v>0</v>
      </c>
      <c r="AG236" s="17">
        <f t="shared" si="41"/>
        <v>0</v>
      </c>
    </row>
    <row r="237" spans="1:33" s="19" customFormat="1" ht="18" customHeight="1" outlineLevel="1" x14ac:dyDescent="0.25">
      <c r="A237" s="48" t="s">
        <v>166</v>
      </c>
      <c r="B237" s="53"/>
      <c r="C237" s="64"/>
      <c r="D237" s="68"/>
      <c r="E237" s="68"/>
      <c r="F237" s="68">
        <v>0</v>
      </c>
      <c r="G237" s="68"/>
      <c r="H237" s="68">
        <v>0</v>
      </c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51">
        <f t="shared" si="37"/>
        <v>0</v>
      </c>
      <c r="AB237" s="51">
        <f t="shared" si="36"/>
        <v>0</v>
      </c>
      <c r="AC237" s="100"/>
      <c r="AD237" s="31">
        <f t="shared" si="38"/>
        <v>0</v>
      </c>
      <c r="AE237" s="31">
        <f t="shared" si="39"/>
        <v>0</v>
      </c>
      <c r="AF237" s="17">
        <f t="shared" si="40"/>
        <v>0</v>
      </c>
      <c r="AG237" s="17">
        <f t="shared" si="41"/>
        <v>0</v>
      </c>
    </row>
    <row r="238" spans="1:33" s="19" customFormat="1" ht="18" customHeight="1" outlineLevel="1" x14ac:dyDescent="0.25">
      <c r="A238" s="48" t="s">
        <v>167</v>
      </c>
      <c r="B238" s="53"/>
      <c r="C238" s="64"/>
      <c r="D238" s="68"/>
      <c r="E238" s="68"/>
      <c r="F238" s="68">
        <v>0</v>
      </c>
      <c r="G238" s="68"/>
      <c r="H238" s="68">
        <v>0</v>
      </c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51">
        <f t="shared" si="37"/>
        <v>0</v>
      </c>
      <c r="AB238" s="51">
        <f t="shared" si="36"/>
        <v>0</v>
      </c>
      <c r="AC238" s="100"/>
      <c r="AD238" s="31">
        <f t="shared" si="38"/>
        <v>0</v>
      </c>
      <c r="AE238" s="31">
        <f t="shared" si="39"/>
        <v>0</v>
      </c>
      <c r="AF238" s="17">
        <f t="shared" si="40"/>
        <v>0</v>
      </c>
      <c r="AG238" s="17">
        <f t="shared" si="41"/>
        <v>0</v>
      </c>
    </row>
    <row r="239" spans="1:33" s="19" customFormat="1" ht="18" customHeight="1" outlineLevel="1" x14ac:dyDescent="0.25">
      <c r="A239" s="48" t="s">
        <v>168</v>
      </c>
      <c r="B239" s="53"/>
      <c r="C239" s="64"/>
      <c r="D239" s="68"/>
      <c r="E239" s="68"/>
      <c r="F239" s="68">
        <v>0</v>
      </c>
      <c r="G239" s="68"/>
      <c r="H239" s="68">
        <v>0</v>
      </c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51">
        <f t="shared" si="37"/>
        <v>0</v>
      </c>
      <c r="AB239" s="51">
        <f t="shared" si="36"/>
        <v>0</v>
      </c>
      <c r="AC239" s="100"/>
      <c r="AD239" s="31">
        <f t="shared" si="38"/>
        <v>0</v>
      </c>
      <c r="AE239" s="31">
        <f t="shared" si="39"/>
        <v>0</v>
      </c>
      <c r="AF239" s="17">
        <f t="shared" si="40"/>
        <v>0</v>
      </c>
      <c r="AG239" s="17">
        <f t="shared" si="41"/>
        <v>0</v>
      </c>
    </row>
    <row r="240" spans="1:33" s="19" customFormat="1" ht="18" customHeight="1" outlineLevel="1" x14ac:dyDescent="0.25">
      <c r="A240" s="48" t="s">
        <v>169</v>
      </c>
      <c r="B240" s="53"/>
      <c r="C240" s="64"/>
      <c r="D240" s="68"/>
      <c r="E240" s="68"/>
      <c r="F240" s="68">
        <v>0</v>
      </c>
      <c r="G240" s="68"/>
      <c r="H240" s="68">
        <v>0</v>
      </c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51">
        <f t="shared" si="37"/>
        <v>0</v>
      </c>
      <c r="AB240" s="51">
        <f t="shared" si="36"/>
        <v>0</v>
      </c>
      <c r="AC240" s="100"/>
      <c r="AD240" s="31">
        <f t="shared" si="38"/>
        <v>0</v>
      </c>
      <c r="AE240" s="31">
        <f t="shared" si="39"/>
        <v>0</v>
      </c>
      <c r="AF240" s="17">
        <f t="shared" si="40"/>
        <v>0</v>
      </c>
      <c r="AG240" s="17">
        <f t="shared" si="41"/>
        <v>0</v>
      </c>
    </row>
    <row r="241" spans="1:55" s="19" customFormat="1" ht="18" customHeight="1" outlineLevel="1" x14ac:dyDescent="0.25">
      <c r="A241" s="48" t="s">
        <v>170</v>
      </c>
      <c r="B241" s="53"/>
      <c r="C241" s="64"/>
      <c r="D241" s="68"/>
      <c r="E241" s="68"/>
      <c r="F241" s="68">
        <v>0</v>
      </c>
      <c r="G241" s="68"/>
      <c r="H241" s="68">
        <v>0</v>
      </c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51">
        <f t="shared" si="37"/>
        <v>0</v>
      </c>
      <c r="AB241" s="51">
        <f t="shared" ref="AB241:AB258" si="42">D241+F241+H241+J241+L241+N241+P241+R241+T241+V241+X241+Z241</f>
        <v>0</v>
      </c>
      <c r="AC241" s="100"/>
      <c r="AD241" s="31">
        <f t="shared" si="38"/>
        <v>0</v>
      </c>
      <c r="AE241" s="31">
        <f t="shared" si="39"/>
        <v>0</v>
      </c>
      <c r="AF241" s="17">
        <f t="shared" si="40"/>
        <v>0</v>
      </c>
      <c r="AG241" s="17">
        <f t="shared" si="41"/>
        <v>0</v>
      </c>
    </row>
    <row r="242" spans="1:55" s="19" customFormat="1" ht="18" customHeight="1" outlineLevel="1" x14ac:dyDescent="0.25">
      <c r="A242" s="48" t="s">
        <v>171</v>
      </c>
      <c r="B242" s="53"/>
      <c r="C242" s="64"/>
      <c r="D242" s="68"/>
      <c r="E242" s="68"/>
      <c r="F242" s="68">
        <v>0</v>
      </c>
      <c r="G242" s="68"/>
      <c r="H242" s="68">
        <v>0</v>
      </c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51">
        <f t="shared" si="37"/>
        <v>0</v>
      </c>
      <c r="AB242" s="51">
        <f t="shared" si="42"/>
        <v>0</v>
      </c>
      <c r="AC242" s="100"/>
      <c r="AD242" s="31">
        <f t="shared" si="38"/>
        <v>0</v>
      </c>
      <c r="AE242" s="31">
        <f t="shared" si="39"/>
        <v>0</v>
      </c>
      <c r="AF242" s="17">
        <f t="shared" si="40"/>
        <v>0</v>
      </c>
      <c r="AG242" s="17">
        <f t="shared" si="41"/>
        <v>0</v>
      </c>
    </row>
    <row r="243" spans="1:55" s="19" customFormat="1" ht="18" customHeight="1" outlineLevel="1" x14ac:dyDescent="0.25">
      <c r="A243" s="48" t="s">
        <v>172</v>
      </c>
      <c r="B243" s="53"/>
      <c r="C243" s="64"/>
      <c r="D243" s="68"/>
      <c r="E243" s="68"/>
      <c r="F243" s="68">
        <v>0</v>
      </c>
      <c r="G243" s="68"/>
      <c r="H243" s="68">
        <v>0</v>
      </c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51">
        <f t="shared" si="37"/>
        <v>0</v>
      </c>
      <c r="AB243" s="51">
        <f t="shared" si="42"/>
        <v>0</v>
      </c>
      <c r="AC243" s="100"/>
      <c r="AD243" s="31">
        <f t="shared" si="38"/>
        <v>0</v>
      </c>
      <c r="AE243" s="31">
        <f t="shared" si="39"/>
        <v>0</v>
      </c>
      <c r="AF243" s="17">
        <f t="shared" si="40"/>
        <v>0</v>
      </c>
      <c r="AG243" s="17">
        <f t="shared" si="41"/>
        <v>0</v>
      </c>
    </row>
    <row r="244" spans="1:55" s="19" customFormat="1" ht="18" customHeight="1" outlineLevel="1" x14ac:dyDescent="0.25">
      <c r="A244" s="48" t="s">
        <v>173</v>
      </c>
      <c r="B244" s="53"/>
      <c r="C244" s="64"/>
      <c r="D244" s="68"/>
      <c r="E244" s="68"/>
      <c r="F244" s="68">
        <v>0</v>
      </c>
      <c r="G244" s="68"/>
      <c r="H244" s="68">
        <v>0</v>
      </c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51">
        <f t="shared" si="37"/>
        <v>0</v>
      </c>
      <c r="AB244" s="51">
        <f t="shared" si="42"/>
        <v>0</v>
      </c>
      <c r="AC244" s="100"/>
      <c r="AD244" s="31">
        <f t="shared" si="38"/>
        <v>0</v>
      </c>
      <c r="AE244" s="31">
        <f t="shared" si="39"/>
        <v>0</v>
      </c>
      <c r="AF244" s="17">
        <f t="shared" si="40"/>
        <v>0</v>
      </c>
      <c r="AG244" s="17">
        <f t="shared" si="41"/>
        <v>0</v>
      </c>
    </row>
    <row r="245" spans="1:55" s="19" customFormat="1" ht="18" customHeight="1" outlineLevel="1" x14ac:dyDescent="0.25">
      <c r="A245" s="48" t="s">
        <v>174</v>
      </c>
      <c r="B245" s="53"/>
      <c r="C245" s="64"/>
      <c r="D245" s="68"/>
      <c r="E245" s="68"/>
      <c r="F245" s="68">
        <v>0</v>
      </c>
      <c r="G245" s="68"/>
      <c r="H245" s="68">
        <v>0</v>
      </c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51">
        <f t="shared" si="37"/>
        <v>0</v>
      </c>
      <c r="AB245" s="51">
        <f t="shared" si="42"/>
        <v>0</v>
      </c>
      <c r="AC245" s="100"/>
      <c r="AD245" s="31">
        <f t="shared" si="38"/>
        <v>0</v>
      </c>
      <c r="AE245" s="31">
        <f t="shared" si="39"/>
        <v>0</v>
      </c>
      <c r="AF245" s="17">
        <f t="shared" si="40"/>
        <v>0</v>
      </c>
      <c r="AG245" s="17">
        <f t="shared" si="41"/>
        <v>0</v>
      </c>
    </row>
    <row r="246" spans="1:55" s="19" customFormat="1" ht="18" customHeight="1" outlineLevel="1" x14ac:dyDescent="0.25">
      <c r="A246" s="48" t="s">
        <v>175</v>
      </c>
      <c r="B246" s="53"/>
      <c r="C246" s="64"/>
      <c r="D246" s="68"/>
      <c r="E246" s="68"/>
      <c r="F246" s="68">
        <v>0</v>
      </c>
      <c r="G246" s="68"/>
      <c r="H246" s="68">
        <v>0</v>
      </c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51">
        <f t="shared" si="37"/>
        <v>0</v>
      </c>
      <c r="AB246" s="51">
        <f t="shared" si="42"/>
        <v>0</v>
      </c>
      <c r="AC246" s="100"/>
      <c r="AD246" s="31">
        <f t="shared" si="38"/>
        <v>0</v>
      </c>
      <c r="AE246" s="31">
        <f t="shared" si="39"/>
        <v>0</v>
      </c>
      <c r="AF246" s="17">
        <f t="shared" si="40"/>
        <v>0</v>
      </c>
      <c r="AG246" s="17">
        <f t="shared" si="41"/>
        <v>0</v>
      </c>
    </row>
    <row r="247" spans="1:55" s="19" customFormat="1" ht="18" customHeight="1" outlineLevel="1" x14ac:dyDescent="0.25">
      <c r="A247" s="48" t="s">
        <v>176</v>
      </c>
      <c r="B247" s="53"/>
      <c r="C247" s="64"/>
      <c r="D247" s="68"/>
      <c r="E247" s="68"/>
      <c r="F247" s="68">
        <v>0</v>
      </c>
      <c r="G247" s="68"/>
      <c r="H247" s="68">
        <v>0</v>
      </c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51">
        <f t="shared" si="37"/>
        <v>0</v>
      </c>
      <c r="AB247" s="51">
        <f t="shared" si="42"/>
        <v>0</v>
      </c>
      <c r="AC247" s="100"/>
      <c r="AD247" s="31">
        <f t="shared" si="38"/>
        <v>0</v>
      </c>
      <c r="AE247" s="31">
        <f t="shared" si="39"/>
        <v>0</v>
      </c>
      <c r="AF247" s="17">
        <f t="shared" si="40"/>
        <v>0</v>
      </c>
      <c r="AG247" s="17">
        <f t="shared" si="41"/>
        <v>0</v>
      </c>
    </row>
    <row r="248" spans="1:55" s="19" customFormat="1" ht="18" customHeight="1" outlineLevel="1" x14ac:dyDescent="0.25">
      <c r="A248" s="48" t="s">
        <v>177</v>
      </c>
      <c r="B248" s="53"/>
      <c r="C248" s="64"/>
      <c r="D248" s="68"/>
      <c r="E248" s="68"/>
      <c r="F248" s="68">
        <v>0</v>
      </c>
      <c r="G248" s="68"/>
      <c r="H248" s="68">
        <v>0</v>
      </c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51">
        <f t="shared" si="37"/>
        <v>0</v>
      </c>
      <c r="AB248" s="51">
        <f t="shared" si="42"/>
        <v>0</v>
      </c>
      <c r="AC248" s="100"/>
      <c r="AD248" s="31">
        <f t="shared" si="38"/>
        <v>0</v>
      </c>
      <c r="AE248" s="31">
        <f t="shared" si="39"/>
        <v>0</v>
      </c>
      <c r="AF248" s="17">
        <f t="shared" si="40"/>
        <v>0</v>
      </c>
      <c r="AG248" s="17">
        <f t="shared" si="41"/>
        <v>0</v>
      </c>
    </row>
    <row r="249" spans="1:55" s="19" customFormat="1" ht="18" customHeight="1" outlineLevel="1" x14ac:dyDescent="0.25">
      <c r="A249" s="48" t="s">
        <v>178</v>
      </c>
      <c r="B249" s="53"/>
      <c r="C249" s="64"/>
      <c r="D249" s="68"/>
      <c r="E249" s="68"/>
      <c r="F249" s="68">
        <v>0</v>
      </c>
      <c r="G249" s="68"/>
      <c r="H249" s="68">
        <v>0</v>
      </c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51">
        <f t="shared" si="37"/>
        <v>0</v>
      </c>
      <c r="AB249" s="51">
        <f t="shared" si="42"/>
        <v>0</v>
      </c>
      <c r="AC249" s="100"/>
      <c r="AD249" s="31">
        <f t="shared" si="38"/>
        <v>0</v>
      </c>
      <c r="AE249" s="31">
        <f t="shared" si="39"/>
        <v>0</v>
      </c>
      <c r="AF249" s="17">
        <f t="shared" si="40"/>
        <v>0</v>
      </c>
      <c r="AG249" s="17">
        <f t="shared" si="41"/>
        <v>0</v>
      </c>
    </row>
    <row r="250" spans="1:55" s="19" customFormat="1" ht="18" customHeight="1" x14ac:dyDescent="0.25">
      <c r="A250" s="63" t="s">
        <v>182</v>
      </c>
      <c r="B250" s="53">
        <v>9</v>
      </c>
      <c r="C250" s="64"/>
      <c r="D250" s="68"/>
      <c r="E250" s="68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1">
        <f t="shared" si="37"/>
        <v>0</v>
      </c>
      <c r="AB250" s="51">
        <f t="shared" si="42"/>
        <v>0</v>
      </c>
      <c r="AC250" s="100"/>
      <c r="AD250" s="31">
        <f t="shared" si="38"/>
        <v>0</v>
      </c>
      <c r="AE250" s="31">
        <f t="shared" si="39"/>
        <v>0</v>
      </c>
      <c r="AF250" s="17">
        <f t="shared" si="40"/>
        <v>0</v>
      </c>
      <c r="AG250" s="17">
        <f t="shared" si="41"/>
        <v>0</v>
      </c>
      <c r="BC250" s="21"/>
    </row>
    <row r="251" spans="1:55" s="19" customFormat="1" ht="18" customHeight="1" x14ac:dyDescent="0.25">
      <c r="A251" s="63" t="s">
        <v>183</v>
      </c>
      <c r="B251" s="53">
        <v>10</v>
      </c>
      <c r="C251" s="64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1">
        <f t="shared" si="37"/>
        <v>0</v>
      </c>
      <c r="AB251" s="51">
        <f t="shared" si="42"/>
        <v>0</v>
      </c>
      <c r="AD251" s="31">
        <f t="shared" si="38"/>
        <v>0</v>
      </c>
      <c r="AE251" s="31">
        <f t="shared" si="39"/>
        <v>0</v>
      </c>
      <c r="AF251" s="17">
        <f t="shared" si="40"/>
        <v>0</v>
      </c>
      <c r="AG251" s="17">
        <f t="shared" si="41"/>
        <v>0</v>
      </c>
      <c r="BC251" s="21"/>
    </row>
    <row r="252" spans="1:55" s="19" customFormat="1" ht="18" customHeight="1" x14ac:dyDescent="0.25">
      <c r="A252" s="63" t="s">
        <v>184</v>
      </c>
      <c r="B252" s="53">
        <v>11</v>
      </c>
      <c r="C252" s="64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1">
        <f t="shared" si="37"/>
        <v>0</v>
      </c>
      <c r="AB252" s="51">
        <f t="shared" si="42"/>
        <v>0</v>
      </c>
      <c r="AD252" s="31">
        <f t="shared" si="38"/>
        <v>0</v>
      </c>
      <c r="AE252" s="31">
        <f t="shared" si="39"/>
        <v>0</v>
      </c>
      <c r="AF252" s="17">
        <f t="shared" si="40"/>
        <v>0</v>
      </c>
      <c r="AG252" s="17">
        <f t="shared" si="41"/>
        <v>0</v>
      </c>
      <c r="BC252" s="21"/>
    </row>
    <row r="253" spans="1:55" s="19" customFormat="1" ht="18" customHeight="1" outlineLevel="1" x14ac:dyDescent="0.25">
      <c r="A253" s="63" t="s">
        <v>185</v>
      </c>
      <c r="B253" s="53">
        <v>12</v>
      </c>
      <c r="C253" s="64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1">
        <f t="shared" si="37"/>
        <v>0</v>
      </c>
      <c r="AB253" s="51">
        <f t="shared" si="42"/>
        <v>0</v>
      </c>
      <c r="AD253" s="31">
        <f t="shared" si="38"/>
        <v>0</v>
      </c>
      <c r="AE253" s="31">
        <f t="shared" si="39"/>
        <v>0</v>
      </c>
      <c r="AF253" s="17">
        <f t="shared" si="40"/>
        <v>0</v>
      </c>
      <c r="AG253" s="17">
        <f t="shared" si="41"/>
        <v>0</v>
      </c>
      <c r="BC253" s="21"/>
    </row>
    <row r="254" spans="1:55" s="19" customFormat="1" ht="18" customHeight="1" outlineLevel="1" x14ac:dyDescent="0.25">
      <c r="A254" s="63" t="s">
        <v>186</v>
      </c>
      <c r="B254" s="53">
        <v>13</v>
      </c>
      <c r="C254" s="64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51">
        <f t="shared" si="37"/>
        <v>0</v>
      </c>
      <c r="AB254" s="51">
        <f t="shared" si="42"/>
        <v>0</v>
      </c>
      <c r="AD254" s="31">
        <f t="shared" si="38"/>
        <v>0</v>
      </c>
      <c r="AE254" s="31">
        <f t="shared" si="39"/>
        <v>0</v>
      </c>
      <c r="AF254" s="17">
        <f t="shared" si="40"/>
        <v>0</v>
      </c>
      <c r="AG254" s="17">
        <f t="shared" si="41"/>
        <v>0</v>
      </c>
      <c r="BC254" s="21"/>
    </row>
    <row r="255" spans="1:55" s="19" customFormat="1" ht="25" outlineLevel="1" x14ac:dyDescent="0.25">
      <c r="A255" s="63" t="s">
        <v>187</v>
      </c>
      <c r="B255" s="53">
        <v>14</v>
      </c>
      <c r="C255" s="64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51">
        <f t="shared" si="37"/>
        <v>0</v>
      </c>
      <c r="AB255" s="51">
        <f t="shared" si="42"/>
        <v>0</v>
      </c>
      <c r="AD255" s="31">
        <f t="shared" si="38"/>
        <v>0</v>
      </c>
      <c r="AE255" s="31">
        <f t="shared" si="39"/>
        <v>0</v>
      </c>
      <c r="AF255" s="17">
        <f t="shared" si="40"/>
        <v>0</v>
      </c>
      <c r="AG255" s="17">
        <f t="shared" si="41"/>
        <v>0</v>
      </c>
    </row>
    <row r="256" spans="1:55" s="19" customFormat="1" ht="25" outlineLevel="1" x14ac:dyDescent="0.25">
      <c r="A256" s="63" t="s">
        <v>188</v>
      </c>
      <c r="B256" s="53">
        <v>15</v>
      </c>
      <c r="C256" s="64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51">
        <f t="shared" si="37"/>
        <v>0</v>
      </c>
      <c r="AB256" s="51">
        <f t="shared" si="42"/>
        <v>0</v>
      </c>
      <c r="AD256" s="31">
        <f t="shared" si="38"/>
        <v>0</v>
      </c>
      <c r="AE256" s="31">
        <f t="shared" si="39"/>
        <v>0</v>
      </c>
      <c r="AF256" s="17">
        <f t="shared" si="40"/>
        <v>0</v>
      </c>
      <c r="AG256" s="17">
        <f t="shared" si="41"/>
        <v>0</v>
      </c>
    </row>
    <row r="257" spans="1:119" s="19" customFormat="1" ht="14" x14ac:dyDescent="0.25">
      <c r="A257" s="63" t="s">
        <v>189</v>
      </c>
      <c r="B257" s="53">
        <v>16</v>
      </c>
      <c r="C257" s="64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51">
        <f t="shared" si="37"/>
        <v>0</v>
      </c>
      <c r="AB257" s="51">
        <f t="shared" si="42"/>
        <v>0</v>
      </c>
      <c r="AD257" s="31">
        <f t="shared" si="38"/>
        <v>0</v>
      </c>
      <c r="AE257" s="31">
        <f t="shared" si="39"/>
        <v>0</v>
      </c>
      <c r="AF257" s="17">
        <f t="shared" si="40"/>
        <v>0</v>
      </c>
      <c r="AG257" s="17">
        <f t="shared" si="41"/>
        <v>0</v>
      </c>
      <c r="BC257" s="21"/>
    </row>
    <row r="258" spans="1:119" s="17" customFormat="1" ht="26" x14ac:dyDescent="0.25">
      <c r="A258" s="44" t="s">
        <v>190</v>
      </c>
      <c r="B258" s="45">
        <v>17</v>
      </c>
      <c r="C258" s="77">
        <f t="shared" ref="C258:AA258" si="43">C6-C16-C28-C29-C102-C176-C250-C251-C252+C253+C254+C256+C257</f>
        <v>-7444.4255999999295</v>
      </c>
      <c r="D258" s="77">
        <f t="shared" si="43"/>
        <v>242231.08559999836</v>
      </c>
      <c r="E258" s="77">
        <f t="shared" si="43"/>
        <v>35693.689199999877</v>
      </c>
      <c r="F258" s="77">
        <f t="shared" si="43"/>
        <v>148009.19760000121</v>
      </c>
      <c r="G258" s="77">
        <f t="shared" si="43"/>
        <v>168768.90639999989</v>
      </c>
      <c r="H258" s="77">
        <f t="shared" si="43"/>
        <v>257658.82360000015</v>
      </c>
      <c r="I258" s="77">
        <f t="shared" si="43"/>
        <v>180412.10559999998</v>
      </c>
      <c r="J258" s="77">
        <f t="shared" si="43"/>
        <v>238152.40759999826</v>
      </c>
      <c r="K258" s="77">
        <f t="shared" si="43"/>
        <v>211812.17</v>
      </c>
      <c r="L258" s="77">
        <f t="shared" si="43"/>
        <v>236799.47119999968</v>
      </c>
      <c r="M258" s="77">
        <f t="shared" si="43"/>
        <v>228318.17</v>
      </c>
      <c r="N258" s="77">
        <f t="shared" si="43"/>
        <v>293683.554</v>
      </c>
      <c r="O258" s="77">
        <f t="shared" si="43"/>
        <v>64221.596399999893</v>
      </c>
      <c r="P258" s="77">
        <f t="shared" si="43"/>
        <v>202467.84440000029</v>
      </c>
      <c r="Q258" s="77">
        <f t="shared" si="43"/>
        <v>240530.55279999974</v>
      </c>
      <c r="R258" s="77">
        <f t="shared" si="43"/>
        <v>321456.86439999985</v>
      </c>
      <c r="S258" s="77">
        <f t="shared" si="43"/>
        <v>263664.39639999985</v>
      </c>
      <c r="T258" s="77">
        <f t="shared" si="43"/>
        <v>480667.57520000072</v>
      </c>
      <c r="U258" s="77">
        <f t="shared" si="43"/>
        <v>172159.24199999982</v>
      </c>
      <c r="V258" s="77">
        <f t="shared" si="43"/>
        <v>356088.60520000017</v>
      </c>
      <c r="W258" s="77">
        <f t="shared" si="43"/>
        <v>235551.7572000002</v>
      </c>
      <c r="X258" s="77">
        <f t="shared" si="43"/>
        <v>409662.20519999973</v>
      </c>
      <c r="Y258" s="77">
        <f t="shared" si="43"/>
        <v>792758.04999999993</v>
      </c>
      <c r="Z258" s="77">
        <f t="shared" si="43"/>
        <v>642245.04920000012</v>
      </c>
      <c r="AA258" s="106">
        <f t="shared" si="43"/>
        <v>2586446.2104000007</v>
      </c>
      <c r="AB258" s="47">
        <f t="shared" si="42"/>
        <v>3829122.6831999985</v>
      </c>
      <c r="AD258" s="31">
        <f t="shared" si="38"/>
        <v>2586446.2103999993</v>
      </c>
      <c r="AE258" s="31">
        <f t="shared" si="39"/>
        <v>3829122.6831999985</v>
      </c>
      <c r="AF258" s="17">
        <f t="shared" si="40"/>
        <v>0</v>
      </c>
      <c r="AG258" s="17">
        <f t="shared" si="41"/>
        <v>0</v>
      </c>
      <c r="BC258" s="21"/>
    </row>
    <row r="259" spans="1:119" s="19" customFormat="1" ht="22" customHeight="1" x14ac:dyDescent="0.25">
      <c r="A259" s="63" t="s">
        <v>191</v>
      </c>
      <c r="B259" s="53">
        <v>18</v>
      </c>
      <c r="C259" s="64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1">
        <f>C259+E259+G259+I259+K259+M259+O259+Q259+S259+U259+W259+Y259</f>
        <v>0</v>
      </c>
      <c r="AB259" s="105">
        <f>SUM(D259:Z259)</f>
        <v>0</v>
      </c>
      <c r="AD259" s="31">
        <f t="shared" si="38"/>
        <v>0</v>
      </c>
      <c r="AE259" s="31">
        <f t="shared" si="39"/>
        <v>0</v>
      </c>
      <c r="AF259" s="17">
        <f t="shared" si="40"/>
        <v>0</v>
      </c>
      <c r="AG259" s="17">
        <f t="shared" si="41"/>
        <v>0</v>
      </c>
      <c r="BC259" s="21"/>
    </row>
    <row r="260" spans="1:119" s="19" customFormat="1" ht="22" customHeight="1" x14ac:dyDescent="0.25">
      <c r="A260" s="63" t="s">
        <v>192</v>
      </c>
      <c r="B260" s="53">
        <v>19</v>
      </c>
      <c r="C260" s="64"/>
      <c r="D260" s="68"/>
      <c r="E260" s="68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1">
        <f>C260+E260+G260+I260+K260+M260+O260+Q260+S260+U260+W260+Y260</f>
        <v>0</v>
      </c>
      <c r="AB260" s="105">
        <f>SUM(D260:Z260)</f>
        <v>0</v>
      </c>
      <c r="AD260" s="31">
        <f t="shared" si="38"/>
        <v>0</v>
      </c>
      <c r="AE260" s="31">
        <f t="shared" si="39"/>
        <v>0</v>
      </c>
      <c r="AF260" s="17">
        <f t="shared" si="40"/>
        <v>0</v>
      </c>
      <c r="AG260" s="17">
        <f t="shared" si="41"/>
        <v>0</v>
      </c>
      <c r="BC260" s="21"/>
    </row>
    <row r="261" spans="1:119" s="17" customFormat="1" ht="22" customHeight="1" x14ac:dyDescent="0.25">
      <c r="A261" s="44" t="s">
        <v>193</v>
      </c>
      <c r="B261" s="45">
        <v>20</v>
      </c>
      <c r="C261" s="77">
        <f t="shared" ref="C261:AB261" si="44">C258+C259-C260</f>
        <v>-7444.4255999999295</v>
      </c>
      <c r="D261" s="77">
        <f t="shared" si="44"/>
        <v>242231.08559999836</v>
      </c>
      <c r="E261" s="77">
        <f t="shared" si="44"/>
        <v>35693.689199999877</v>
      </c>
      <c r="F261" s="77">
        <f t="shared" si="44"/>
        <v>148009.19760000121</v>
      </c>
      <c r="G261" s="77">
        <f t="shared" si="44"/>
        <v>168768.90639999989</v>
      </c>
      <c r="H261" s="77">
        <f t="shared" si="44"/>
        <v>257658.82360000015</v>
      </c>
      <c r="I261" s="77">
        <f t="shared" si="44"/>
        <v>180412.10559999998</v>
      </c>
      <c r="J261" s="77">
        <f t="shared" si="44"/>
        <v>238152.40759999826</v>
      </c>
      <c r="K261" s="77">
        <f t="shared" si="44"/>
        <v>211812.17</v>
      </c>
      <c r="L261" s="77">
        <f t="shared" si="44"/>
        <v>236799.47119999968</v>
      </c>
      <c r="M261" s="77">
        <f t="shared" si="44"/>
        <v>228318.17</v>
      </c>
      <c r="N261" s="77">
        <f t="shared" si="44"/>
        <v>293683.554</v>
      </c>
      <c r="O261" s="77">
        <f t="shared" si="44"/>
        <v>64221.596399999893</v>
      </c>
      <c r="P261" s="77">
        <f t="shared" si="44"/>
        <v>202467.84440000029</v>
      </c>
      <c r="Q261" s="77">
        <f t="shared" si="44"/>
        <v>240530.55279999974</v>
      </c>
      <c r="R261" s="77">
        <f t="shared" si="44"/>
        <v>321456.86439999985</v>
      </c>
      <c r="S261" s="77">
        <f t="shared" si="44"/>
        <v>263664.39639999985</v>
      </c>
      <c r="T261" s="77">
        <f t="shared" si="44"/>
        <v>480667.57520000072</v>
      </c>
      <c r="U261" s="77">
        <f t="shared" si="44"/>
        <v>172159.24199999982</v>
      </c>
      <c r="V261" s="77">
        <f t="shared" si="44"/>
        <v>356088.60520000017</v>
      </c>
      <c r="W261" s="77">
        <f t="shared" si="44"/>
        <v>235551.7572000002</v>
      </c>
      <c r="X261" s="77">
        <f t="shared" si="44"/>
        <v>409662.20519999973</v>
      </c>
      <c r="Y261" s="77">
        <f t="shared" si="44"/>
        <v>792758.04999999993</v>
      </c>
      <c r="Z261" s="77">
        <f t="shared" si="44"/>
        <v>642245.04920000012</v>
      </c>
      <c r="AA261" s="106">
        <f t="shared" si="44"/>
        <v>2586446.2104000007</v>
      </c>
      <c r="AB261" s="106">
        <f t="shared" si="44"/>
        <v>3829122.6831999985</v>
      </c>
      <c r="AD261" s="31">
        <f t="shared" si="38"/>
        <v>2586446.2103999993</v>
      </c>
      <c r="AE261" s="31">
        <f t="shared" si="39"/>
        <v>3829122.6831999985</v>
      </c>
      <c r="AF261" s="55">
        <f>AD26-AD28-AD29-AD102-AD176-AD250-AD251-AD252+AD257+AD259-AD260-AA261</f>
        <v>0</v>
      </c>
      <c r="AG261" s="55">
        <f>AE26-AE28-AE29-AE102-AE176-AE250-AE251-AE252+AE257+AE259-AE260-AB261</f>
        <v>0</v>
      </c>
      <c r="BC261" s="21"/>
    </row>
    <row r="262" spans="1:119" s="19" customFormat="1" ht="22" customHeight="1" x14ac:dyDescent="0.25">
      <c r="A262" s="63" t="s">
        <v>194</v>
      </c>
      <c r="B262" s="53">
        <v>21</v>
      </c>
      <c r="C262" s="64">
        <v>3256.24</v>
      </c>
      <c r="D262" s="68"/>
      <c r="E262" s="68">
        <v>7384.44</v>
      </c>
      <c r="F262" s="75"/>
      <c r="G262" s="75">
        <v>22326.23</v>
      </c>
      <c r="H262" s="75"/>
      <c r="I262" s="75">
        <v>23342.6</v>
      </c>
      <c r="J262" s="75"/>
      <c r="K262" s="75">
        <v>26716.93</v>
      </c>
      <c r="L262" s="75"/>
      <c r="M262" s="75">
        <v>28449.11</v>
      </c>
      <c r="N262" s="75"/>
      <c r="O262" s="75">
        <v>12180.65</v>
      </c>
      <c r="P262" s="75"/>
      <c r="Q262" s="75">
        <v>30147.34</v>
      </c>
      <c r="R262" s="75"/>
      <c r="S262" s="75">
        <v>34000.92</v>
      </c>
      <c r="T262" s="75"/>
      <c r="U262" s="75">
        <v>23043.57</v>
      </c>
      <c r="V262" s="75"/>
      <c r="W262" s="75">
        <v>29428.799999999999</v>
      </c>
      <c r="X262" s="75"/>
      <c r="Y262" s="75">
        <v>85791.89</v>
      </c>
      <c r="Z262" s="75"/>
      <c r="AA262" s="51">
        <f>C262+E262+G262+I262+K262+M262+O262+Q262+S262+U262+W262+Y262</f>
        <v>326068.72000000003</v>
      </c>
      <c r="AB262" s="51">
        <f>D262+F262+H262+J262+L262+N262+P262+R262+T262+V262+X262+Z262</f>
        <v>0</v>
      </c>
      <c r="AD262" s="31">
        <f t="shared" si="38"/>
        <v>326068.72000000003</v>
      </c>
      <c r="AE262" s="31">
        <f t="shared" si="39"/>
        <v>0</v>
      </c>
      <c r="AF262" s="17">
        <f>AA262-AD262</f>
        <v>0</v>
      </c>
      <c r="AG262" s="17" t="e">
        <f>IF(AB262-AE262=AB262-#REF!,0,AE262-#REF!)</f>
        <v>#REF!</v>
      </c>
      <c r="BC262" s="21"/>
    </row>
    <row r="263" spans="1:119" s="17" customFormat="1" ht="22" customHeight="1" x14ac:dyDescent="0.25">
      <c r="A263" s="44" t="s">
        <v>196</v>
      </c>
      <c r="B263" s="45">
        <v>22</v>
      </c>
      <c r="C263" s="77">
        <f t="shared" ref="C263:AB263" si="45">C261-C262</f>
        <v>-10700.665599999929</v>
      </c>
      <c r="D263" s="77">
        <f t="shared" si="45"/>
        <v>242231.08559999836</v>
      </c>
      <c r="E263" s="77">
        <f t="shared" si="45"/>
        <v>28309.249199999878</v>
      </c>
      <c r="F263" s="77">
        <f t="shared" si="45"/>
        <v>148009.19760000121</v>
      </c>
      <c r="G263" s="77">
        <f t="shared" si="45"/>
        <v>146442.67639999988</v>
      </c>
      <c r="H263" s="77">
        <f t="shared" si="45"/>
        <v>257658.82360000015</v>
      </c>
      <c r="I263" s="77">
        <f t="shared" si="45"/>
        <v>157069.50559999997</v>
      </c>
      <c r="J263" s="77">
        <f t="shared" si="45"/>
        <v>238152.40759999826</v>
      </c>
      <c r="K263" s="77">
        <f t="shared" si="45"/>
        <v>185095.24000000002</v>
      </c>
      <c r="L263" s="77">
        <f t="shared" si="45"/>
        <v>236799.47119999968</v>
      </c>
      <c r="M263" s="77">
        <f t="shared" si="45"/>
        <v>199869.06</v>
      </c>
      <c r="N263" s="77">
        <f t="shared" si="45"/>
        <v>293683.554</v>
      </c>
      <c r="O263" s="77">
        <f t="shared" si="45"/>
        <v>52040.946399999892</v>
      </c>
      <c r="P263" s="77">
        <f t="shared" si="45"/>
        <v>202467.84440000029</v>
      </c>
      <c r="Q263" s="77">
        <f t="shared" si="45"/>
        <v>210383.21279999975</v>
      </c>
      <c r="R263" s="77">
        <f t="shared" si="45"/>
        <v>321456.86439999985</v>
      </c>
      <c r="S263" s="77">
        <f t="shared" si="45"/>
        <v>229663.47639999987</v>
      </c>
      <c r="T263" s="77">
        <f t="shared" si="45"/>
        <v>480667.57520000072</v>
      </c>
      <c r="U263" s="77">
        <f t="shared" si="45"/>
        <v>149115.67199999982</v>
      </c>
      <c r="V263" s="77">
        <f t="shared" si="45"/>
        <v>356088.60520000017</v>
      </c>
      <c r="W263" s="77">
        <f t="shared" si="45"/>
        <v>206122.95720000021</v>
      </c>
      <c r="X263" s="77">
        <f t="shared" si="45"/>
        <v>409662.20519999973</v>
      </c>
      <c r="Y263" s="77">
        <f t="shared" si="45"/>
        <v>706966.15999999992</v>
      </c>
      <c r="Z263" s="77">
        <f t="shared" si="45"/>
        <v>642245.04920000012</v>
      </c>
      <c r="AA263" s="106">
        <f t="shared" si="45"/>
        <v>2260377.4904000005</v>
      </c>
      <c r="AB263" s="106">
        <f t="shared" si="45"/>
        <v>3829122.6831999985</v>
      </c>
      <c r="AD263" s="31">
        <f t="shared" si="38"/>
        <v>2260377.4903999995</v>
      </c>
      <c r="AE263" s="31">
        <f t="shared" si="39"/>
        <v>3829122.6831999985</v>
      </c>
      <c r="AF263" s="17">
        <f>AA263-AD263</f>
        <v>0</v>
      </c>
      <c r="AG263" s="17">
        <f>AB263-AE263</f>
        <v>0</v>
      </c>
      <c r="BC263" s="21"/>
    </row>
    <row r="264" spans="1:119" s="17" customFormat="1" ht="22" customHeight="1" x14ac:dyDescent="0.25">
      <c r="A264" s="79" t="s">
        <v>197</v>
      </c>
      <c r="B264" s="45">
        <v>23</v>
      </c>
      <c r="C264" s="77"/>
      <c r="D264" s="77"/>
      <c r="E264" s="77"/>
      <c r="F264" s="77">
        <v>10083</v>
      </c>
      <c r="G264" s="77"/>
      <c r="H264" s="77">
        <v>7019</v>
      </c>
      <c r="I264" s="77"/>
      <c r="J264" s="77">
        <v>4467</v>
      </c>
      <c r="K264" s="77"/>
      <c r="L264" s="77">
        <v>14045</v>
      </c>
      <c r="M264" s="77"/>
      <c r="N264" s="77">
        <f>-5791+7912-2248+4243+5896</f>
        <v>10012</v>
      </c>
      <c r="O264" s="77"/>
      <c r="P264" s="77">
        <f>2621+692</f>
        <v>3313</v>
      </c>
      <c r="Q264" s="77"/>
      <c r="R264" s="77">
        <f>-692</f>
        <v>-692</v>
      </c>
      <c r="S264" s="77"/>
      <c r="T264" s="77"/>
      <c r="U264" s="77"/>
      <c r="V264" s="77"/>
      <c r="W264" s="77"/>
      <c r="X264" s="77"/>
      <c r="Y264" s="77"/>
      <c r="Z264" s="77">
        <f>6109-16307-38049</f>
        <v>-48247</v>
      </c>
      <c r="AA264" s="51">
        <f>C264+E264+G264+I264+K264+M264+O264+Q264+S264+U264+W264+Y264</f>
        <v>0</v>
      </c>
      <c r="AB264" s="51">
        <f>D264+F264+H264+J264+L264+N264+P264+R264+T264+V264+X264+Z264</f>
        <v>0</v>
      </c>
      <c r="AD264" s="31">
        <f t="shared" si="38"/>
        <v>0</v>
      </c>
      <c r="AE264" s="80">
        <f>SUMIF($C$5:$Z$263,$AE$5,$C264:Z523)</f>
        <v>0</v>
      </c>
      <c r="AF264" s="17">
        <f>AA264-AD264</f>
        <v>0</v>
      </c>
      <c r="AG264" s="17">
        <f>AB264-AE264</f>
        <v>0</v>
      </c>
      <c r="BC264" s="21"/>
    </row>
    <row r="265" spans="1:119" s="17" customFormat="1" ht="22" customHeight="1" x14ac:dyDescent="0.25">
      <c r="A265" s="81" t="s">
        <v>198</v>
      </c>
      <c r="B265" s="45">
        <v>24</v>
      </c>
      <c r="C265" s="77">
        <f t="shared" ref="C265:Z265" si="46">C263-C264</f>
        <v>-10700.665599999929</v>
      </c>
      <c r="D265" s="77">
        <f t="shared" si="46"/>
        <v>242231.08559999836</v>
      </c>
      <c r="E265" s="77">
        <f t="shared" si="46"/>
        <v>28309.249199999878</v>
      </c>
      <c r="F265" s="77">
        <f t="shared" si="46"/>
        <v>137926.19760000121</v>
      </c>
      <c r="G265" s="77">
        <f t="shared" si="46"/>
        <v>146442.67639999988</v>
      </c>
      <c r="H265" s="77">
        <f t="shared" si="46"/>
        <v>250639.82360000015</v>
      </c>
      <c r="I265" s="77">
        <f t="shared" si="46"/>
        <v>157069.50559999997</v>
      </c>
      <c r="J265" s="77">
        <f t="shared" si="46"/>
        <v>233685.40759999826</v>
      </c>
      <c r="K265" s="77">
        <f t="shared" si="46"/>
        <v>185095.24000000002</v>
      </c>
      <c r="L265" s="77">
        <f t="shared" si="46"/>
        <v>222754.47119999968</v>
      </c>
      <c r="M265" s="77">
        <f t="shared" si="46"/>
        <v>199869.06</v>
      </c>
      <c r="N265" s="77">
        <f t="shared" si="46"/>
        <v>283671.554</v>
      </c>
      <c r="O265" s="77">
        <f t="shared" si="46"/>
        <v>52040.946399999892</v>
      </c>
      <c r="P265" s="77">
        <f t="shared" si="46"/>
        <v>199154.84440000029</v>
      </c>
      <c r="Q265" s="77">
        <f t="shared" si="46"/>
        <v>210383.21279999975</v>
      </c>
      <c r="R265" s="77">
        <f t="shared" si="46"/>
        <v>322148.86439999985</v>
      </c>
      <c r="S265" s="77">
        <f t="shared" si="46"/>
        <v>229663.47639999987</v>
      </c>
      <c r="T265" s="77">
        <f t="shared" si="46"/>
        <v>480667.57520000072</v>
      </c>
      <c r="U265" s="77">
        <f t="shared" si="46"/>
        <v>149115.67199999982</v>
      </c>
      <c r="V265" s="77">
        <f t="shared" si="46"/>
        <v>356088.60520000017</v>
      </c>
      <c r="W265" s="77">
        <f t="shared" si="46"/>
        <v>206122.95720000021</v>
      </c>
      <c r="X265" s="77">
        <f t="shared" si="46"/>
        <v>409662.20519999973</v>
      </c>
      <c r="Y265" s="77">
        <f t="shared" si="46"/>
        <v>706966.15999999992</v>
      </c>
      <c r="Z265" s="77">
        <f t="shared" si="46"/>
        <v>690492.04920000012</v>
      </c>
      <c r="AA265" s="47">
        <f>C265+E265+G265+I265+K265+M265+O265+Q265+S265+U265+W265+Y265</f>
        <v>2260377.4903999995</v>
      </c>
      <c r="AB265" s="47">
        <f>D265+F265+H265+J265+L265+N265+P265+R265+T265+V265+X265+Z265</f>
        <v>3829122.6831999985</v>
      </c>
      <c r="AD265" s="31">
        <f t="shared" si="38"/>
        <v>2260377.4903999995</v>
      </c>
      <c r="AE265" s="80">
        <f>SUMIF($C$5:$Z$263,$AE$5,$C265:Z524)</f>
        <v>3829122.6831999985</v>
      </c>
      <c r="AF265" s="17">
        <f>AA265-AD265</f>
        <v>0</v>
      </c>
      <c r="AG265" s="17">
        <f>AB265-AE265</f>
        <v>0</v>
      </c>
      <c r="BC265" s="21"/>
    </row>
    <row r="266" spans="1:119" s="20" customFormat="1" ht="22" customHeight="1" x14ac:dyDescent="0.25">
      <c r="A266" s="82" t="s">
        <v>211</v>
      </c>
      <c r="B266" s="83"/>
      <c r="C266" s="84">
        <f t="shared" ref="C266:AB266" si="47">C263/C6</f>
        <v>-7.9264189629629101E-3</v>
      </c>
      <c r="D266" s="84">
        <f t="shared" si="47"/>
        <v>8.5464742771749605E-2</v>
      </c>
      <c r="E266" s="84">
        <f t="shared" si="47"/>
        <v>1.952362013793095E-2</v>
      </c>
      <c r="F266" s="84">
        <f t="shared" si="47"/>
        <v>9.6997094977813295E-2</v>
      </c>
      <c r="G266" s="84">
        <f t="shared" si="47"/>
        <v>5.7428500549019559E-2</v>
      </c>
      <c r="H266" s="84">
        <f t="shared" si="47"/>
        <v>0.12688658926042354</v>
      </c>
      <c r="I266" s="84">
        <f t="shared" si="47"/>
        <v>6.1595884549019597E-2</v>
      </c>
      <c r="J266" s="84">
        <f t="shared" si="47"/>
        <v>9.6101494712889771E-2</v>
      </c>
      <c r="K266" s="84">
        <f t="shared" si="47"/>
        <v>6.7307360000000011E-2</v>
      </c>
      <c r="L266" s="84">
        <f t="shared" si="47"/>
        <v>0.10853578712767065</v>
      </c>
      <c r="M266" s="84">
        <f t="shared" si="47"/>
        <v>7.0129494736842102E-2</v>
      </c>
      <c r="N266" s="84">
        <f t="shared" si="47"/>
        <v>0.11561607461191035</v>
      </c>
      <c r="O266" s="84">
        <f t="shared" si="47"/>
        <v>2.3709399485181845E-2</v>
      </c>
      <c r="P266" s="84">
        <f t="shared" si="47"/>
        <v>9.4033283932471887E-2</v>
      </c>
      <c r="Q266" s="84">
        <f t="shared" si="47"/>
        <v>6.8759514482749085E-2</v>
      </c>
      <c r="R266" s="84">
        <f t="shared" si="47"/>
        <v>0.10642875723096128</v>
      </c>
      <c r="S266" s="84">
        <f t="shared" si="47"/>
        <v>6.2669038932852597E-2</v>
      </c>
      <c r="T266" s="84">
        <f t="shared" si="47"/>
        <v>0.12917173241770766</v>
      </c>
      <c r="U266" s="84">
        <f t="shared" si="47"/>
        <v>5.5498324059772529E-2</v>
      </c>
      <c r="V266" s="84">
        <f t="shared" si="47"/>
        <v>0.15215942952076575</v>
      </c>
      <c r="W266" s="84">
        <f t="shared" si="47"/>
        <v>6.9191996374622422E-2</v>
      </c>
      <c r="X266" s="84">
        <f t="shared" si="47"/>
        <v>0.14555040947576536</v>
      </c>
      <c r="Y266" s="84">
        <f t="shared" si="47"/>
        <v>0.12625861216034001</v>
      </c>
      <c r="Z266" s="84">
        <f t="shared" si="47"/>
        <v>0.14952729774115006</v>
      </c>
      <c r="AA266" s="107">
        <f t="shared" si="47"/>
        <v>6.7104280460923496E-2</v>
      </c>
      <c r="AB266" s="107">
        <f t="shared" si="47"/>
        <v>0.11990157195721618</v>
      </c>
      <c r="AC266" s="61"/>
      <c r="AD266" s="61">
        <f>SUM(AD6,-AD16,-AD28,-AD29,-AD102,-AD176,-AD250,-AD251,-AD252,AD257,AD259,-AD260,-AD262)/AD6</f>
        <v>6.7104280460923496E-2</v>
      </c>
      <c r="AE266" s="61">
        <f>SUM(AE6,-AE16,-AE28,-AE29,-AE102,-AE176,-AE250,-AE251,-AE252,AE257,AE259,-AE260,-AE262)/AE6</f>
        <v>0.1199015719572161</v>
      </c>
      <c r="AF266" s="17">
        <f>AA266-AD266</f>
        <v>0</v>
      </c>
      <c r="AG266" s="17">
        <f>AB266-AE266</f>
        <v>0</v>
      </c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61"/>
      <c r="AX266" s="61"/>
      <c r="AY266" s="61"/>
      <c r="AZ266" s="61"/>
      <c r="BA266" s="61"/>
      <c r="BB266" s="61"/>
      <c r="BC266" s="61"/>
      <c r="BD266" s="61"/>
      <c r="BE266" s="61"/>
      <c r="BF266" s="61"/>
      <c r="BG266" s="61"/>
      <c r="BH266" s="61"/>
      <c r="BI266" s="6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  <c r="BV266" s="61"/>
      <c r="BW266" s="61"/>
      <c r="BX266" s="61"/>
      <c r="BY266" s="61"/>
      <c r="BZ266" s="61"/>
      <c r="CA266" s="61"/>
      <c r="CB266" s="61"/>
      <c r="CC266" s="61"/>
      <c r="CD266" s="61"/>
      <c r="CE266" s="61"/>
      <c r="CF266" s="61"/>
      <c r="CG266" s="61"/>
      <c r="CH266" s="61"/>
      <c r="CI266" s="61"/>
      <c r="CJ266" s="61"/>
      <c r="CK266" s="61"/>
      <c r="CL266" s="61"/>
      <c r="CM266" s="61"/>
      <c r="CN266" s="61"/>
      <c r="CO266" s="61"/>
      <c r="CP266" s="61"/>
      <c r="CQ266" s="61"/>
      <c r="CR266" s="61"/>
      <c r="CS266" s="61"/>
      <c r="CT266" s="61"/>
      <c r="CU266" s="61"/>
      <c r="CV266" s="61"/>
      <c r="CW266" s="61"/>
      <c r="CX266" s="61"/>
      <c r="CY266" s="61"/>
      <c r="CZ266" s="61"/>
      <c r="DA266" s="61"/>
      <c r="DB266" s="61"/>
      <c r="DC266" s="61"/>
      <c r="DD266" s="61"/>
      <c r="DE266" s="61"/>
      <c r="DF266" s="61"/>
      <c r="DG266" s="61"/>
      <c r="DH266" s="61"/>
      <c r="DI266" s="61"/>
      <c r="DJ266" s="61"/>
      <c r="DK266" s="61"/>
      <c r="DL266" s="61"/>
      <c r="DM266" s="61"/>
      <c r="DN266" s="61"/>
      <c r="DO266" s="61"/>
    </row>
    <row r="267" spans="1:119" s="19" customFormat="1" ht="21" customHeight="1" x14ac:dyDescent="0.25">
      <c r="A267" s="82" t="s">
        <v>212</v>
      </c>
      <c r="B267" s="83"/>
      <c r="C267" s="84"/>
      <c r="D267" s="84">
        <f>D6/C6</f>
        <v>2.0994673119999998</v>
      </c>
      <c r="E267" s="84"/>
      <c r="F267" s="84">
        <f>F6/E6</f>
        <v>1.0523542866206899</v>
      </c>
      <c r="G267" s="84"/>
      <c r="H267" s="84">
        <f>H6/G6</f>
        <v>0.79632273600000003</v>
      </c>
      <c r="I267" s="84"/>
      <c r="J267" s="84">
        <f>J6/I6</f>
        <v>0.97181736141176434</v>
      </c>
      <c r="K267" s="84"/>
      <c r="L267" s="84">
        <f>L6/K6</f>
        <v>0.79336872101818179</v>
      </c>
      <c r="M267" s="84"/>
      <c r="N267" s="84">
        <f>N6/M6</f>
        <v>0.89128489614035089</v>
      </c>
      <c r="O267" s="84"/>
      <c r="P267" s="84">
        <f>P6/O6</f>
        <v>0.98095666926353686</v>
      </c>
      <c r="Q267" s="84"/>
      <c r="R267" s="84">
        <f>R6/Q6</f>
        <v>0.98715518648156442</v>
      </c>
      <c r="S267" s="84"/>
      <c r="T267" s="84">
        <f>T6/S6</f>
        <v>1.0154030005992463</v>
      </c>
      <c r="U267" s="84"/>
      <c r="V267" s="84">
        <f>V6/U6</f>
        <v>0.87099524409624662</v>
      </c>
      <c r="W267" s="84"/>
      <c r="X267" s="84">
        <f>X6/W6</f>
        <v>0.94480452299429307</v>
      </c>
      <c r="Y267" s="84"/>
      <c r="Z267" s="84">
        <f>Z6/Y6</f>
        <v>0.76708354291123082</v>
      </c>
      <c r="AA267" s="107"/>
      <c r="AB267" s="108">
        <f>AB6/AA6</f>
        <v>0.94807709491740277</v>
      </c>
      <c r="AD267" s="61"/>
      <c r="AE267" s="61">
        <f>AE6/AD6</f>
        <v>0.94807709491740277</v>
      </c>
      <c r="AF267" s="17"/>
      <c r="AG267" s="87">
        <f>AB267-AE267</f>
        <v>0</v>
      </c>
    </row>
    <row r="268" spans="1:119" s="19" customFormat="1" ht="21" customHeight="1" x14ac:dyDescent="0.25">
      <c r="A268" s="88" t="s">
        <v>201</v>
      </c>
      <c r="B268" s="89"/>
      <c r="C268" s="90"/>
      <c r="D268" s="90">
        <f>D263/C263</f>
        <v>-22.637011065928455</v>
      </c>
      <c r="E268" s="90"/>
      <c r="F268" s="90">
        <f>F263/E263</f>
        <v>5.2282982340627333</v>
      </c>
      <c r="G268" s="90"/>
      <c r="H268" s="90">
        <f>H263/G263</f>
        <v>1.7594517522762263</v>
      </c>
      <c r="I268" s="90"/>
      <c r="J268" s="90">
        <f>J263/I263</f>
        <v>1.5162230675538479</v>
      </c>
      <c r="K268" s="90"/>
      <c r="L268" s="90">
        <f>L263/K263</f>
        <v>1.2793385243186137</v>
      </c>
      <c r="M268" s="90"/>
      <c r="N268" s="90">
        <f>N263/M263</f>
        <v>1.4693797729373421</v>
      </c>
      <c r="O268" s="90"/>
      <c r="P268" s="90">
        <f>P263/O263</f>
        <v>3.890548854430532</v>
      </c>
      <c r="Q268" s="90"/>
      <c r="R268" s="90">
        <f>R263/Q263</f>
        <v>1.5279587193375166</v>
      </c>
      <c r="S268" s="90"/>
      <c r="T268" s="90">
        <f>T263/S263</f>
        <v>2.0929212721783959</v>
      </c>
      <c r="U268" s="90"/>
      <c r="V268" s="90">
        <f>V263/U263</f>
        <v>2.3880025514689067</v>
      </c>
      <c r="W268" s="90"/>
      <c r="X268" s="90">
        <f>X263/W263</f>
        <v>1.9874652040942062</v>
      </c>
      <c r="Y268" s="90"/>
      <c r="Z268" s="90">
        <f>Z263/Y263</f>
        <v>0.90845232139541188</v>
      </c>
      <c r="AA268" s="109"/>
      <c r="AB268" s="110">
        <f>AB263/AA263</f>
        <v>1.6940191182501954</v>
      </c>
      <c r="AD268" s="61"/>
      <c r="AE268" s="66">
        <f>ROUND(AE263/AD263,4)</f>
        <v>1.694</v>
      </c>
      <c r="AF268" s="17"/>
      <c r="AG268" s="87"/>
    </row>
    <row r="269" spans="1:119" s="19" customFormat="1" ht="27" customHeight="1" x14ac:dyDescent="0.25">
      <c r="A269" s="203"/>
      <c r="B269" s="205"/>
      <c r="C269" s="205"/>
      <c r="D269" s="205"/>
      <c r="E269" s="205"/>
      <c r="F269" s="205"/>
      <c r="G269" s="205"/>
      <c r="H269" s="205"/>
      <c r="I269" s="205"/>
      <c r="J269" s="205"/>
      <c r="K269" s="205"/>
      <c r="L269" s="205"/>
      <c r="M269" s="205"/>
      <c r="N269" s="205"/>
      <c r="O269" s="205"/>
      <c r="P269" s="205"/>
      <c r="Q269" s="205"/>
      <c r="R269" s="205"/>
      <c r="S269" s="205"/>
      <c r="T269" s="205"/>
      <c r="U269" s="205"/>
      <c r="V269" s="205"/>
      <c r="W269" s="205"/>
      <c r="X269" s="205"/>
      <c r="Y269" s="205"/>
      <c r="Z269" s="205"/>
      <c r="AA269" s="205"/>
      <c r="AB269" s="205"/>
      <c r="AD269" s="22"/>
      <c r="AE269" s="22"/>
      <c r="AF269" s="22"/>
      <c r="AG269" s="22"/>
    </row>
    <row r="270" spans="1:119" s="19" customFormat="1" ht="82" customHeight="1" x14ac:dyDescent="0.25">
      <c r="A270" s="93" t="s">
        <v>72</v>
      </c>
      <c r="B270" s="204" t="str">
        <f>索引!C7</f>
        <v>1、营业收入的取数来源为2025年1-12月销售明细表中的金额-2025年1-12月客户计提返利的金额；
2、营业成本的取数来源为2025年1-12月销售明细表中销售结算成本+运费核对表中的运费+销售的原材料的成本；
3、税金及附加核算的是城建税、教育费附加、印花税，城建和教育费附加为当月收入的0.85%，印花税为收入的0.03%；
4、销售费用为分部人员的费用及后台职能协助挂到分部的费用（如有）；
5、所得税与所得税分摊表中数据一致。</v>
      </c>
      <c r="C270" s="204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  <c r="AA270" s="204"/>
      <c r="AB270" s="204"/>
      <c r="AD270" s="22"/>
      <c r="AE270" s="22"/>
      <c r="AF270" s="22"/>
      <c r="AG270" s="22"/>
    </row>
    <row r="271" spans="1:119" s="19" customFormat="1" ht="21" customHeight="1" x14ac:dyDescent="0.25">
      <c r="B271" s="94"/>
      <c r="C271" s="94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D271" s="22"/>
      <c r="AE271" s="22"/>
      <c r="AF271" s="22"/>
      <c r="AG271" s="22"/>
    </row>
    <row r="272" spans="1:119" s="19" customFormat="1" ht="21" customHeight="1" x14ac:dyDescent="0.25">
      <c r="B272" s="94"/>
      <c r="C272" s="94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D272" s="22"/>
      <c r="AE272" s="22"/>
      <c r="AF272" s="22"/>
      <c r="AG272" s="22"/>
    </row>
    <row r="273" spans="2:33" s="19" customFormat="1" ht="21" customHeight="1" x14ac:dyDescent="0.25">
      <c r="B273" s="94"/>
      <c r="C273" s="94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D273" s="22"/>
      <c r="AE273" s="22"/>
      <c r="AF273" s="22"/>
      <c r="AG273" s="22"/>
    </row>
    <row r="274" spans="2:33" s="19" customFormat="1" ht="21" customHeight="1" x14ac:dyDescent="0.25">
      <c r="B274" s="94"/>
      <c r="C274" s="94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D274" s="22"/>
      <c r="AE274" s="22"/>
      <c r="AF274" s="22"/>
      <c r="AG274" s="22"/>
    </row>
    <row r="275" spans="2:33" s="19" customFormat="1" ht="21" customHeight="1" x14ac:dyDescent="0.25">
      <c r="B275" s="94"/>
      <c r="C275" s="94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D275" s="22"/>
      <c r="AE275" s="22"/>
      <c r="AF275" s="22"/>
      <c r="AG275" s="22"/>
    </row>
    <row r="276" spans="2:33" s="19" customFormat="1" ht="21" customHeight="1" x14ac:dyDescent="0.25">
      <c r="B276" s="94"/>
      <c r="C276" s="94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D276" s="22"/>
      <c r="AE276" s="22"/>
      <c r="AF276" s="22"/>
      <c r="AG276" s="22"/>
    </row>
    <row r="277" spans="2:33" s="19" customFormat="1" ht="21" customHeight="1" x14ac:dyDescent="0.25">
      <c r="B277" s="94"/>
      <c r="C277" s="94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D277" s="22"/>
      <c r="AE277" s="22"/>
      <c r="AF277" s="22"/>
      <c r="AG277" s="22"/>
    </row>
    <row r="278" spans="2:33" s="19" customFormat="1" ht="21" customHeight="1" x14ac:dyDescent="0.25">
      <c r="B278" s="94"/>
      <c r="C278" s="94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D278" s="22"/>
      <c r="AE278" s="22"/>
      <c r="AF278" s="22"/>
      <c r="AG278" s="22"/>
    </row>
    <row r="279" spans="2:33" s="19" customFormat="1" ht="21" customHeight="1" x14ac:dyDescent="0.25">
      <c r="B279" s="94"/>
      <c r="C279" s="94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D279" s="22"/>
      <c r="AE279" s="22"/>
      <c r="AF279" s="22"/>
      <c r="AG279" s="22"/>
    </row>
    <row r="280" spans="2:33" s="19" customFormat="1" ht="21" customHeight="1" x14ac:dyDescent="0.25">
      <c r="B280" s="94"/>
      <c r="C280" s="94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D280" s="22"/>
      <c r="AE280" s="22"/>
      <c r="AF280" s="22"/>
      <c r="AG280" s="22"/>
    </row>
    <row r="281" spans="2:33" s="19" customFormat="1" ht="21" customHeight="1" x14ac:dyDescent="0.25">
      <c r="B281" s="94"/>
      <c r="C281" s="94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D281" s="22"/>
      <c r="AE281" s="22"/>
      <c r="AF281" s="22"/>
      <c r="AG281" s="22"/>
    </row>
    <row r="282" spans="2:33" s="19" customFormat="1" ht="21" customHeight="1" x14ac:dyDescent="0.25">
      <c r="B282" s="94"/>
      <c r="C282" s="94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D282" s="22"/>
      <c r="AE282" s="22"/>
      <c r="AF282" s="22"/>
      <c r="AG282" s="22"/>
    </row>
    <row r="283" spans="2:33" s="19" customFormat="1" ht="21" customHeight="1" x14ac:dyDescent="0.25">
      <c r="B283" s="94"/>
      <c r="C283" s="94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D283" s="22"/>
      <c r="AE283" s="22"/>
      <c r="AF283" s="22"/>
      <c r="AG283" s="22"/>
    </row>
    <row r="284" spans="2:33" s="19" customFormat="1" ht="21" customHeight="1" x14ac:dyDescent="0.25">
      <c r="B284" s="94"/>
      <c r="C284" s="94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D284" s="22"/>
      <c r="AE284" s="22"/>
      <c r="AF284" s="22"/>
      <c r="AG284" s="22"/>
    </row>
    <row r="285" spans="2:33" s="19" customFormat="1" ht="21" customHeight="1" x14ac:dyDescent="0.25">
      <c r="B285" s="94"/>
      <c r="C285" s="94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D285" s="22"/>
      <c r="AE285" s="22"/>
      <c r="AF285" s="22"/>
      <c r="AG285" s="22"/>
    </row>
    <row r="286" spans="2:33" s="19" customFormat="1" ht="21" customHeight="1" x14ac:dyDescent="0.25">
      <c r="B286" s="94"/>
      <c r="C286" s="94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D286" s="22"/>
      <c r="AE286" s="22"/>
      <c r="AF286" s="22"/>
      <c r="AG286" s="22"/>
    </row>
  </sheetData>
  <autoFilter ref="C5:AB270" xr:uid="{00000000-0009-0000-0000-000006000000}"/>
  <mergeCells count="20">
    <mergeCell ref="AD4:AE4"/>
    <mergeCell ref="AF4:AG4"/>
    <mergeCell ref="A269:AB269"/>
    <mergeCell ref="B270:AB270"/>
    <mergeCell ref="A4:A5"/>
    <mergeCell ref="B4:B5"/>
    <mergeCell ref="A1:AB1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</mergeCells>
  <phoneticPr fontId="40" type="noConversion"/>
  <hyperlinks>
    <hyperlink ref="A1" location="'索引'!A1" tooltip="返回索引" display="浙江分部利润表 " xr:uid="{00000000-0004-0000-0600-000000000000}"/>
  </hyperlinks>
  <pageMargins left="0.27916666666666701" right="0.156944444444444" top="0.27916666666666701" bottom="0.35416666666666702" header="0.23958333333333301" footer="0.118055555555556"/>
  <pageSetup paperSize="9" scale="37" orientation="landscape" r:id="rId1"/>
  <headerFooter>
    <oddFooter>&amp;C第 &amp;P 页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O286"/>
  <sheetViews>
    <sheetView showZeros="0" view="pageBreakPreview" zoomScale="85" zoomScaleNormal="100" workbookViewId="0">
      <pane xSplit="2" ySplit="5" topLeftCell="C260" activePane="bottomRight" state="frozen"/>
      <selection activeCell="A269" sqref="A269:AB269"/>
      <selection pane="topRight" activeCell="A269" sqref="A269:AB269"/>
      <selection pane="bottomLeft" activeCell="A269" sqref="A269:AB269"/>
      <selection pane="bottomRight" activeCell="A269" sqref="A269:AB269"/>
    </sheetView>
  </sheetViews>
  <sheetFormatPr defaultColWidth="8.6640625" defaultRowHeight="21" customHeight="1" outlineLevelRow="2" outlineLevelCol="1" x14ac:dyDescent="0.25"/>
  <cols>
    <col min="1" max="1" width="20.08203125" style="22" customWidth="1"/>
    <col min="2" max="2" width="5.58203125" style="23" customWidth="1"/>
    <col min="3" max="3" width="13.1640625" style="23" customWidth="1"/>
    <col min="4" max="5" width="12.83203125" style="98" customWidth="1"/>
    <col min="6" max="7" width="13.25" style="98" customWidth="1"/>
    <col min="8" max="8" width="12" style="98" customWidth="1"/>
    <col min="9" max="9" width="13.25" style="98" customWidth="1"/>
    <col min="10" max="10" width="12" style="98" customWidth="1"/>
    <col min="11" max="11" width="13.33203125" style="98" customWidth="1"/>
    <col min="12" max="12" width="13.5" style="98" customWidth="1"/>
    <col min="13" max="26" width="12.83203125" style="98" customWidth="1"/>
    <col min="27" max="27" width="13.08203125" style="98" customWidth="1"/>
    <col min="28" max="28" width="14.58203125" style="22" customWidth="1"/>
    <col min="29" max="29" width="16.33203125" style="22" customWidth="1"/>
    <col min="30" max="30" width="22.33203125" style="22" hidden="1" customWidth="1" outlineLevel="1"/>
    <col min="31" max="31" width="15.75" style="22" hidden="1" customWidth="1" outlineLevel="1"/>
    <col min="32" max="32" width="15" style="22" hidden="1" customWidth="1" outlineLevel="1"/>
    <col min="33" max="33" width="13.08203125" style="22" hidden="1" customWidth="1" outlineLevel="1"/>
    <col min="34" max="34" width="8.6640625" style="22" customWidth="1" collapsed="1"/>
    <col min="35" max="54" width="8.6640625" style="22" customWidth="1"/>
    <col min="55" max="55" width="15.25" style="22" customWidth="1"/>
    <col min="56" max="56" width="8.6640625" style="22"/>
    <col min="57" max="57" width="14.33203125" style="22"/>
    <col min="58" max="16384" width="8.6640625" style="22"/>
  </cols>
  <sheetData>
    <row r="1" spans="1:119" s="16" customFormat="1" ht="28" customHeight="1" x14ac:dyDescent="0.25">
      <c r="A1" s="189" t="s">
        <v>215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  <c r="AA1" s="202"/>
      <c r="AB1" s="202"/>
    </row>
    <row r="2" spans="1:119" s="16" customFormat="1" ht="21" customHeight="1" x14ac:dyDescent="0.25">
      <c r="A2" s="26">
        <v>46021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9" t="s">
        <v>203</v>
      </c>
    </row>
    <row r="3" spans="1:119" s="17" customFormat="1" ht="22" customHeight="1" x14ac:dyDescent="0.25">
      <c r="A3" s="30" t="s">
        <v>204</v>
      </c>
      <c r="B3" s="31"/>
      <c r="C3" s="31"/>
      <c r="S3" s="99"/>
      <c r="AA3" s="99"/>
      <c r="AB3" s="29" t="s">
        <v>205</v>
      </c>
      <c r="AC3" s="27"/>
    </row>
    <row r="4" spans="1:119" s="17" customFormat="1" ht="24" customHeight="1" x14ac:dyDescent="0.25">
      <c r="A4" s="200" t="s">
        <v>206</v>
      </c>
      <c r="B4" s="200" t="s">
        <v>207</v>
      </c>
      <c r="C4" s="193">
        <v>45658</v>
      </c>
      <c r="D4" s="193"/>
      <c r="E4" s="193">
        <v>45689</v>
      </c>
      <c r="F4" s="193"/>
      <c r="G4" s="193">
        <v>45717</v>
      </c>
      <c r="H4" s="193"/>
      <c r="I4" s="193">
        <v>45748</v>
      </c>
      <c r="J4" s="193"/>
      <c r="K4" s="193">
        <v>45778</v>
      </c>
      <c r="L4" s="193"/>
      <c r="M4" s="193">
        <v>45809</v>
      </c>
      <c r="N4" s="193"/>
      <c r="O4" s="193">
        <v>45839</v>
      </c>
      <c r="P4" s="193"/>
      <c r="Q4" s="193">
        <v>45870</v>
      </c>
      <c r="R4" s="193"/>
      <c r="S4" s="193">
        <v>45901</v>
      </c>
      <c r="T4" s="193"/>
      <c r="U4" s="193">
        <v>45931</v>
      </c>
      <c r="V4" s="193"/>
      <c r="W4" s="193">
        <v>45962</v>
      </c>
      <c r="X4" s="193"/>
      <c r="Y4" s="193">
        <v>45992</v>
      </c>
      <c r="Z4" s="193"/>
      <c r="AA4" s="194" t="s">
        <v>79</v>
      </c>
      <c r="AB4" s="194"/>
      <c r="AD4" s="195" t="s">
        <v>80</v>
      </c>
      <c r="AE4" s="195"/>
      <c r="AF4" s="196" t="s">
        <v>81</v>
      </c>
      <c r="AG4" s="195"/>
    </row>
    <row r="5" spans="1:119" s="18" customFormat="1" ht="24" customHeight="1" x14ac:dyDescent="0.25">
      <c r="A5" s="201"/>
      <c r="B5" s="201"/>
      <c r="C5" s="37" t="s">
        <v>84</v>
      </c>
      <c r="D5" s="38" t="s">
        <v>85</v>
      </c>
      <c r="E5" s="37" t="s">
        <v>84</v>
      </c>
      <c r="F5" s="38" t="s">
        <v>85</v>
      </c>
      <c r="G5" s="37" t="s">
        <v>84</v>
      </c>
      <c r="H5" s="38" t="s">
        <v>85</v>
      </c>
      <c r="I5" s="37" t="s">
        <v>84</v>
      </c>
      <c r="J5" s="38" t="s">
        <v>85</v>
      </c>
      <c r="K5" s="37" t="s">
        <v>84</v>
      </c>
      <c r="L5" s="38" t="s">
        <v>85</v>
      </c>
      <c r="M5" s="37" t="s">
        <v>84</v>
      </c>
      <c r="N5" s="38" t="s">
        <v>85</v>
      </c>
      <c r="O5" s="37" t="s">
        <v>84</v>
      </c>
      <c r="P5" s="38" t="s">
        <v>85</v>
      </c>
      <c r="Q5" s="37" t="s">
        <v>84</v>
      </c>
      <c r="R5" s="38" t="s">
        <v>85</v>
      </c>
      <c r="S5" s="37" t="s">
        <v>84</v>
      </c>
      <c r="T5" s="38" t="s">
        <v>85</v>
      </c>
      <c r="U5" s="37" t="s">
        <v>84</v>
      </c>
      <c r="V5" s="38" t="s">
        <v>85</v>
      </c>
      <c r="W5" s="37" t="s">
        <v>84</v>
      </c>
      <c r="X5" s="38" t="s">
        <v>85</v>
      </c>
      <c r="Y5" s="37" t="s">
        <v>84</v>
      </c>
      <c r="Z5" s="38" t="s">
        <v>85</v>
      </c>
      <c r="AA5" s="39" t="s">
        <v>84</v>
      </c>
      <c r="AB5" s="40" t="s">
        <v>208</v>
      </c>
      <c r="AD5" s="41" t="s">
        <v>84</v>
      </c>
      <c r="AE5" s="42" t="s">
        <v>85</v>
      </c>
      <c r="AF5" s="41" t="s">
        <v>84</v>
      </c>
      <c r="AG5" s="42" t="s">
        <v>85</v>
      </c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</row>
    <row r="6" spans="1:119" s="17" customFormat="1" ht="18" customHeight="1" x14ac:dyDescent="0.25">
      <c r="A6" s="44" t="s">
        <v>209</v>
      </c>
      <c r="B6" s="45" t="s">
        <v>88</v>
      </c>
      <c r="C6" s="46">
        <f t="shared" ref="C6:Z6" si="0">SUM(C7:C13,C15,-C14)</f>
        <v>1107000</v>
      </c>
      <c r="D6" s="46">
        <f t="shared" si="0"/>
        <v>2193436.4868000015</v>
      </c>
      <c r="E6" s="46">
        <f t="shared" si="0"/>
        <v>1826000</v>
      </c>
      <c r="F6" s="46">
        <f t="shared" si="0"/>
        <v>1523858.8751999999</v>
      </c>
      <c r="G6" s="46">
        <f t="shared" si="0"/>
        <v>3300200</v>
      </c>
      <c r="H6" s="46">
        <f t="shared" si="0"/>
        <v>3225443.6736000003</v>
      </c>
      <c r="I6" s="46">
        <f t="shared" si="0"/>
        <v>4218200</v>
      </c>
      <c r="J6" s="46">
        <f t="shared" si="0"/>
        <v>3850614.7484000009</v>
      </c>
      <c r="K6" s="46">
        <f t="shared" si="0"/>
        <v>3815800</v>
      </c>
      <c r="L6" s="46">
        <f t="shared" si="0"/>
        <v>1812935.7660000003</v>
      </c>
      <c r="M6" s="46">
        <f t="shared" si="0"/>
        <v>3800500</v>
      </c>
      <c r="N6" s="46">
        <f t="shared" si="0"/>
        <v>2841582.3747999999</v>
      </c>
      <c r="O6" s="46">
        <f t="shared" si="0"/>
        <v>3986520</v>
      </c>
      <c r="P6" s="46">
        <f t="shared" si="0"/>
        <v>2029987.7548000005</v>
      </c>
      <c r="Q6" s="46">
        <f t="shared" si="0"/>
        <v>4575627.8</v>
      </c>
      <c r="R6" s="46">
        <f t="shared" si="0"/>
        <v>2538407.1072</v>
      </c>
      <c r="S6" s="46">
        <f t="shared" si="0"/>
        <v>5227978.2</v>
      </c>
      <c r="T6" s="46">
        <f t="shared" si="0"/>
        <v>4157487.4392000004</v>
      </c>
      <c r="U6" s="46">
        <f t="shared" si="0"/>
        <v>3221313</v>
      </c>
      <c r="V6" s="46">
        <f t="shared" si="0"/>
        <v>2466210.1256141597</v>
      </c>
      <c r="W6" s="46">
        <f t="shared" si="0"/>
        <v>4178540</v>
      </c>
      <c r="X6" s="46">
        <f t="shared" si="0"/>
        <v>2502821.622</v>
      </c>
      <c r="Y6" s="46">
        <f t="shared" si="0"/>
        <v>6218296</v>
      </c>
      <c r="Z6" s="46">
        <f t="shared" si="0"/>
        <v>3686699.0356710004</v>
      </c>
      <c r="AA6" s="47">
        <f t="shared" ref="AA6:AA26" si="1">C6+E6+G6+I6+K6+M6+O6+Q6+S6+U6+W6+Y6</f>
        <v>45475975</v>
      </c>
      <c r="AB6" s="47">
        <f t="shared" ref="AB6:AB26" si="2">D6+F6+H6+J6+L6+N6+P6+R6+T6+V6+X6+Z6</f>
        <v>32829485.009285163</v>
      </c>
      <c r="AD6" s="31">
        <f t="shared" ref="AD6:AD26" si="3">SUMIF($C$5:$Z$5,$AD$5,C6:Z6)</f>
        <v>45475975</v>
      </c>
      <c r="AE6" s="31">
        <f t="shared" ref="AE6:AE26" si="4">SUMIF($C$5:$Z$5,$AD$5,D6:AA6)</f>
        <v>32829485.009285163</v>
      </c>
      <c r="AF6" s="17">
        <f t="shared" ref="AF6:AF25" si="5">AA6-AD6</f>
        <v>0</v>
      </c>
      <c r="AG6" s="17">
        <f t="shared" ref="AG6:AG25" si="6">AB6-AE6</f>
        <v>0</v>
      </c>
      <c r="BC6" s="21"/>
    </row>
    <row r="7" spans="1:119" s="17" customFormat="1" ht="18" customHeight="1" outlineLevel="1" x14ac:dyDescent="0.25">
      <c r="A7" s="48" t="s">
        <v>89</v>
      </c>
      <c r="B7" s="45"/>
      <c r="C7" s="64">
        <v>0</v>
      </c>
      <c r="D7" s="50">
        <v>460319.38200000004</v>
      </c>
      <c r="E7" s="50">
        <v>0</v>
      </c>
      <c r="F7" s="50">
        <v>478773.15840000001</v>
      </c>
      <c r="G7" s="50">
        <v>0</v>
      </c>
      <c r="H7" s="50">
        <v>1075254.0372000001</v>
      </c>
      <c r="I7" s="50">
        <v>0</v>
      </c>
      <c r="J7" s="50">
        <v>992423.12400000007</v>
      </c>
      <c r="K7" s="50">
        <v>0</v>
      </c>
      <c r="L7" s="50">
        <v>644092.62480000011</v>
      </c>
      <c r="M7" s="50">
        <v>0</v>
      </c>
      <c r="N7" s="50">
        <v>809224.63560000004</v>
      </c>
      <c r="O7" s="50">
        <v>0</v>
      </c>
      <c r="P7" s="50">
        <v>762221.77200000011</v>
      </c>
      <c r="Q7" s="50">
        <v>0</v>
      </c>
      <c r="R7" s="50">
        <v>1061937.5616000001</v>
      </c>
      <c r="S7" s="50">
        <v>0</v>
      </c>
      <c r="T7" s="50">
        <v>1451171.6244000001</v>
      </c>
      <c r="U7" s="50">
        <v>0</v>
      </c>
      <c r="V7" s="50">
        <v>698270.00400000007</v>
      </c>
      <c r="W7" s="50">
        <v>0</v>
      </c>
      <c r="X7" s="50">
        <v>838259.2476</v>
      </c>
      <c r="Y7" s="50">
        <v>0</v>
      </c>
      <c r="Z7" s="50">
        <v>1169819.0856000001</v>
      </c>
      <c r="AA7" s="51">
        <f t="shared" si="1"/>
        <v>0</v>
      </c>
      <c r="AB7" s="51">
        <f t="shared" si="2"/>
        <v>10441766.257200001</v>
      </c>
      <c r="AC7" s="17">
        <v>1.08</v>
      </c>
      <c r="AD7" s="31">
        <f t="shared" si="3"/>
        <v>0</v>
      </c>
      <c r="AE7" s="31">
        <f t="shared" si="4"/>
        <v>10441766.257200001</v>
      </c>
      <c r="AF7" s="17">
        <f t="shared" si="5"/>
        <v>0</v>
      </c>
      <c r="AG7" s="17">
        <f t="shared" si="6"/>
        <v>0</v>
      </c>
      <c r="BC7" s="21"/>
    </row>
    <row r="8" spans="1:119" s="17" customFormat="1" ht="18" customHeight="1" outlineLevel="1" x14ac:dyDescent="0.25">
      <c r="A8" s="48" t="s">
        <v>90</v>
      </c>
      <c r="B8" s="45"/>
      <c r="C8" s="64">
        <v>0</v>
      </c>
      <c r="D8" s="50">
        <v>940595.19840000116</v>
      </c>
      <c r="E8" s="50">
        <v>0</v>
      </c>
      <c r="F8" s="50">
        <v>428957.11080000002</v>
      </c>
      <c r="G8" s="50">
        <v>0</v>
      </c>
      <c r="H8" s="50">
        <v>1489102.3368000002</v>
      </c>
      <c r="I8" s="50">
        <v>0</v>
      </c>
      <c r="J8" s="50">
        <v>1721444.9832000001</v>
      </c>
      <c r="K8" s="50">
        <v>0</v>
      </c>
      <c r="L8" s="50">
        <v>642617.79839999997</v>
      </c>
      <c r="M8" s="50">
        <v>0</v>
      </c>
      <c r="N8" s="50">
        <v>1356921.3528</v>
      </c>
      <c r="O8" s="50">
        <v>0</v>
      </c>
      <c r="P8" s="50">
        <v>742036.93920000002</v>
      </c>
      <c r="Q8" s="50">
        <v>0</v>
      </c>
      <c r="R8" s="50">
        <v>1051513.1532000001</v>
      </c>
      <c r="S8" s="50">
        <v>0</v>
      </c>
      <c r="T8" s="50">
        <v>1660882.0068000001</v>
      </c>
      <c r="U8" s="50">
        <v>0</v>
      </c>
      <c r="V8" s="50">
        <v>1336196.5308000001</v>
      </c>
      <c r="W8" s="50">
        <v>0</v>
      </c>
      <c r="X8" s="50">
        <v>914395.75920000009</v>
      </c>
      <c r="Y8" s="50">
        <v>0</v>
      </c>
      <c r="Z8" s="50">
        <v>1910918.3796000003</v>
      </c>
      <c r="AA8" s="51">
        <f t="shared" si="1"/>
        <v>0</v>
      </c>
      <c r="AB8" s="51">
        <f t="shared" si="2"/>
        <v>14195581.5492</v>
      </c>
      <c r="AD8" s="31">
        <f t="shared" si="3"/>
        <v>0</v>
      </c>
      <c r="AE8" s="31">
        <f t="shared" si="4"/>
        <v>14195581.5492</v>
      </c>
      <c r="AF8" s="17">
        <f t="shared" si="5"/>
        <v>0</v>
      </c>
      <c r="AG8" s="17">
        <f t="shared" si="6"/>
        <v>0</v>
      </c>
      <c r="BC8" s="21"/>
    </row>
    <row r="9" spans="1:119" s="17" customFormat="1" ht="18" customHeight="1" outlineLevel="1" x14ac:dyDescent="0.25">
      <c r="A9" s="48" t="s">
        <v>91</v>
      </c>
      <c r="B9" s="45"/>
      <c r="C9" s="64">
        <v>0</v>
      </c>
      <c r="D9" s="50">
        <v>587640.49560000002</v>
      </c>
      <c r="E9" s="50">
        <v>0</v>
      </c>
      <c r="F9" s="50">
        <v>497892.47400000005</v>
      </c>
      <c r="G9" s="50">
        <v>0</v>
      </c>
      <c r="H9" s="50">
        <v>521688.65400000004</v>
      </c>
      <c r="I9" s="50">
        <v>0</v>
      </c>
      <c r="J9" s="50">
        <v>934986.4236000001</v>
      </c>
      <c r="K9" s="50">
        <v>0</v>
      </c>
      <c r="L9" s="50">
        <v>457783.12080000003</v>
      </c>
      <c r="M9" s="50">
        <v>0</v>
      </c>
      <c r="N9" s="50">
        <v>608883.99840000004</v>
      </c>
      <c r="O9" s="50">
        <v>0</v>
      </c>
      <c r="P9" s="50">
        <v>438375.83400000003</v>
      </c>
      <c r="Q9" s="50">
        <v>0</v>
      </c>
      <c r="R9" s="50">
        <v>353594.66759999999</v>
      </c>
      <c r="S9" s="50">
        <v>0</v>
      </c>
      <c r="T9" s="50">
        <v>809677.78200000012</v>
      </c>
      <c r="U9" s="50">
        <v>0</v>
      </c>
      <c r="V9" s="50">
        <v>371909.15640000004</v>
      </c>
      <c r="W9" s="50">
        <v>0</v>
      </c>
      <c r="X9" s="50">
        <v>643976.07120000001</v>
      </c>
      <c r="Y9" s="50">
        <v>0</v>
      </c>
      <c r="Z9" s="50">
        <v>563758.326</v>
      </c>
      <c r="AA9" s="51">
        <f t="shared" si="1"/>
        <v>0</v>
      </c>
      <c r="AB9" s="51">
        <f t="shared" si="2"/>
        <v>6790167.0036000013</v>
      </c>
      <c r="AD9" s="31">
        <f t="shared" si="3"/>
        <v>0</v>
      </c>
      <c r="AE9" s="31">
        <f t="shared" si="4"/>
        <v>6790167.0036000013</v>
      </c>
      <c r="AF9" s="17">
        <f t="shared" si="5"/>
        <v>0</v>
      </c>
      <c r="AG9" s="17">
        <f t="shared" si="6"/>
        <v>0</v>
      </c>
      <c r="BC9" s="21"/>
    </row>
    <row r="10" spans="1:119" s="17" customFormat="1" ht="18" customHeight="1" outlineLevel="1" x14ac:dyDescent="0.25">
      <c r="A10" s="48" t="s">
        <v>92</v>
      </c>
      <c r="B10" s="45"/>
      <c r="C10" s="64">
        <v>0</v>
      </c>
      <c r="D10" s="50">
        <v>103032</v>
      </c>
      <c r="E10" s="50">
        <v>0</v>
      </c>
      <c r="F10" s="50">
        <v>48864.222000000002</v>
      </c>
      <c r="G10" s="50">
        <v>0</v>
      </c>
      <c r="H10" s="50">
        <v>107695.40760000012</v>
      </c>
      <c r="I10" s="50">
        <v>0</v>
      </c>
      <c r="J10" s="50">
        <v>104859.59760000012</v>
      </c>
      <c r="K10" s="50">
        <v>0</v>
      </c>
      <c r="L10" s="50">
        <v>87704.953200000004</v>
      </c>
      <c r="M10" s="50">
        <v>0</v>
      </c>
      <c r="N10" s="50">
        <v>56906.312400000003</v>
      </c>
      <c r="O10" s="50">
        <v>0</v>
      </c>
      <c r="P10" s="50">
        <v>89424.172800000015</v>
      </c>
      <c r="Q10" s="50">
        <v>0</v>
      </c>
      <c r="R10" s="50">
        <v>82955.059200000018</v>
      </c>
      <c r="S10" s="50">
        <v>0</v>
      </c>
      <c r="T10" s="50">
        <v>139654.88640000002</v>
      </c>
      <c r="U10" s="50">
        <v>0</v>
      </c>
      <c r="V10" s="50">
        <v>63532.533600000002</v>
      </c>
      <c r="W10" s="50">
        <v>0</v>
      </c>
      <c r="X10" s="50">
        <v>74211.022800000006</v>
      </c>
      <c r="Y10" s="50">
        <v>0</v>
      </c>
      <c r="Z10" s="50">
        <v>59258.390400000004</v>
      </c>
      <c r="AA10" s="51">
        <f t="shared" si="1"/>
        <v>0</v>
      </c>
      <c r="AB10" s="51">
        <f t="shared" si="2"/>
        <v>1018098.5580000004</v>
      </c>
      <c r="AD10" s="31">
        <f t="shared" si="3"/>
        <v>0</v>
      </c>
      <c r="AE10" s="31">
        <f t="shared" si="4"/>
        <v>1018098.5580000004</v>
      </c>
      <c r="AF10" s="17">
        <f t="shared" si="5"/>
        <v>0</v>
      </c>
      <c r="AG10" s="17">
        <f t="shared" si="6"/>
        <v>0</v>
      </c>
      <c r="BC10" s="21"/>
    </row>
    <row r="11" spans="1:119" s="17" customFormat="1" ht="18" customHeight="1" outlineLevel="1" x14ac:dyDescent="0.25">
      <c r="A11" s="48" t="s">
        <v>93</v>
      </c>
      <c r="B11" s="45"/>
      <c r="C11" s="64">
        <v>0</v>
      </c>
      <c r="D11" s="50">
        <v>101361.97439999999</v>
      </c>
      <c r="E11" s="50">
        <v>0</v>
      </c>
      <c r="F11" s="50">
        <v>69111.954000000012</v>
      </c>
      <c r="G11" s="50">
        <v>0</v>
      </c>
      <c r="H11" s="50">
        <v>30298.287600000003</v>
      </c>
      <c r="I11" s="50">
        <v>0</v>
      </c>
      <c r="J11" s="50">
        <v>149244.5196</v>
      </c>
      <c r="K11" s="50">
        <v>0</v>
      </c>
      <c r="L11" s="50">
        <v>38667.358800000002</v>
      </c>
      <c r="M11" s="50">
        <v>0</v>
      </c>
      <c r="N11" s="50">
        <v>64179.712800000008</v>
      </c>
      <c r="O11" s="50">
        <v>0</v>
      </c>
      <c r="P11" s="50">
        <v>54567.237600000008</v>
      </c>
      <c r="Q11" s="50">
        <v>0</v>
      </c>
      <c r="R11" s="50">
        <v>28576.972800000003</v>
      </c>
      <c r="S11" s="50">
        <v>0</v>
      </c>
      <c r="T11" s="50">
        <v>125555.2596</v>
      </c>
      <c r="U11" s="50">
        <v>0</v>
      </c>
      <c r="V11" s="50">
        <v>22696.254000000001</v>
      </c>
      <c r="W11" s="50">
        <v>0</v>
      </c>
      <c r="X11" s="50">
        <v>44070.933600000004</v>
      </c>
      <c r="Y11" s="50">
        <v>0</v>
      </c>
      <c r="Z11" s="50">
        <v>5899.3812000000007</v>
      </c>
      <c r="AA11" s="51">
        <f t="shared" si="1"/>
        <v>0</v>
      </c>
      <c r="AB11" s="51">
        <f t="shared" si="2"/>
        <v>734229.8459999999</v>
      </c>
      <c r="AD11" s="31">
        <f t="shared" si="3"/>
        <v>0</v>
      </c>
      <c r="AE11" s="31">
        <f t="shared" si="4"/>
        <v>734229.8459999999</v>
      </c>
      <c r="AF11" s="17">
        <f t="shared" si="5"/>
        <v>0</v>
      </c>
      <c r="AG11" s="17">
        <f t="shared" si="6"/>
        <v>0</v>
      </c>
      <c r="BC11" s="21"/>
    </row>
    <row r="12" spans="1:119" s="17" customFormat="1" ht="18" customHeight="1" outlineLevel="1" x14ac:dyDescent="0.25">
      <c r="A12" s="48" t="s">
        <v>94</v>
      </c>
      <c r="B12" s="45"/>
      <c r="C12" s="64">
        <v>0</v>
      </c>
      <c r="D12" s="50">
        <v>487.43639999999999</v>
      </c>
      <c r="E12" s="50">
        <v>0</v>
      </c>
      <c r="F12" s="50">
        <v>259.95600000000002</v>
      </c>
      <c r="G12" s="50">
        <v>0</v>
      </c>
      <c r="H12" s="50">
        <v>1404.9504000000002</v>
      </c>
      <c r="I12" s="50">
        <v>0</v>
      </c>
      <c r="J12" s="50">
        <v>6264.9504000000006</v>
      </c>
      <c r="K12" s="50">
        <v>0</v>
      </c>
      <c r="L12" s="50">
        <v>0</v>
      </c>
      <c r="M12" s="50">
        <v>0</v>
      </c>
      <c r="N12" s="50">
        <v>243.71280000000002</v>
      </c>
      <c r="O12" s="50">
        <v>0</v>
      </c>
      <c r="P12" s="50">
        <v>6479.9892</v>
      </c>
      <c r="Q12" s="50">
        <v>0</v>
      </c>
      <c r="R12" s="50">
        <v>243.71280000000002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5242.2876000000006</v>
      </c>
      <c r="Y12" s="50">
        <v>0</v>
      </c>
      <c r="Z12" s="50">
        <v>0</v>
      </c>
      <c r="AA12" s="51">
        <f t="shared" si="1"/>
        <v>0</v>
      </c>
      <c r="AB12" s="51">
        <f t="shared" si="2"/>
        <v>20626.995599999998</v>
      </c>
      <c r="AD12" s="31">
        <f t="shared" si="3"/>
        <v>0</v>
      </c>
      <c r="AE12" s="31">
        <f t="shared" si="4"/>
        <v>20626.995599999998</v>
      </c>
      <c r="AF12" s="17">
        <f t="shared" si="5"/>
        <v>0</v>
      </c>
      <c r="AG12" s="17">
        <f t="shared" si="6"/>
        <v>0</v>
      </c>
      <c r="BC12" s="21"/>
    </row>
    <row r="13" spans="1:119" s="17" customFormat="1" ht="18" customHeight="1" outlineLevel="1" x14ac:dyDescent="0.25">
      <c r="A13" s="48" t="s">
        <v>95</v>
      </c>
      <c r="B13" s="45"/>
      <c r="C13" s="64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1">
        <f t="shared" si="1"/>
        <v>0</v>
      </c>
      <c r="AB13" s="51">
        <f t="shared" si="2"/>
        <v>0</v>
      </c>
      <c r="AD13" s="31">
        <f t="shared" si="3"/>
        <v>0</v>
      </c>
      <c r="AE13" s="31">
        <f t="shared" si="4"/>
        <v>0</v>
      </c>
      <c r="AF13" s="17">
        <f t="shared" si="5"/>
        <v>0</v>
      </c>
      <c r="AG13" s="17">
        <f t="shared" si="6"/>
        <v>0</v>
      </c>
      <c r="BC13" s="21"/>
    </row>
    <row r="14" spans="1:119" s="17" customFormat="1" ht="18" customHeight="1" outlineLevel="1" x14ac:dyDescent="0.25">
      <c r="A14" s="48" t="s">
        <v>96</v>
      </c>
      <c r="B14" s="45"/>
      <c r="C14" s="64"/>
      <c r="D14" s="50"/>
      <c r="E14" s="50"/>
      <c r="F14" s="50"/>
      <c r="G14" s="50"/>
      <c r="H14" s="50"/>
      <c r="I14" s="50"/>
      <c r="J14" s="50">
        <v>58608.85</v>
      </c>
      <c r="K14" s="50"/>
      <c r="L14" s="50">
        <v>57930.09</v>
      </c>
      <c r="M14" s="50"/>
      <c r="N14" s="50">
        <v>54777.35</v>
      </c>
      <c r="O14" s="50">
        <v>136680</v>
      </c>
      <c r="P14" s="50">
        <v>63118.19</v>
      </c>
      <c r="Q14" s="50">
        <v>142072.20000000001</v>
      </c>
      <c r="R14" s="50">
        <v>40414.019999999997</v>
      </c>
      <c r="S14" s="50">
        <v>102821.8</v>
      </c>
      <c r="T14" s="50">
        <v>29454.12</v>
      </c>
      <c r="U14" s="50">
        <v>34187</v>
      </c>
      <c r="V14" s="50">
        <v>26394.353185841101</v>
      </c>
      <c r="W14" s="50">
        <v>42760</v>
      </c>
      <c r="X14" s="50">
        <v>17333.7</v>
      </c>
      <c r="Y14" s="50">
        <v>65504</v>
      </c>
      <c r="Z14" s="50">
        <v>22954.5271289999</v>
      </c>
      <c r="AA14" s="51">
        <f t="shared" si="1"/>
        <v>524025</v>
      </c>
      <c r="AB14" s="51">
        <f t="shared" si="2"/>
        <v>370985.200314841</v>
      </c>
      <c r="AD14" s="31">
        <f t="shared" si="3"/>
        <v>524025</v>
      </c>
      <c r="AE14" s="31">
        <f t="shared" si="4"/>
        <v>370985.200314841</v>
      </c>
      <c r="AF14" s="17">
        <f t="shared" si="5"/>
        <v>0</v>
      </c>
      <c r="AG14" s="17">
        <f t="shared" si="6"/>
        <v>0</v>
      </c>
      <c r="BC14" s="21"/>
    </row>
    <row r="15" spans="1:119" s="17" customFormat="1" ht="18" customHeight="1" outlineLevel="1" x14ac:dyDescent="0.25">
      <c r="A15" s="48" t="s">
        <v>97</v>
      </c>
      <c r="B15" s="45"/>
      <c r="C15" s="64">
        <v>1107000</v>
      </c>
      <c r="D15" s="50"/>
      <c r="E15" s="50">
        <v>1826000</v>
      </c>
      <c r="F15" s="50"/>
      <c r="G15" s="50">
        <v>3300200</v>
      </c>
      <c r="H15" s="50"/>
      <c r="I15" s="50">
        <v>4218200</v>
      </c>
      <c r="J15" s="50"/>
      <c r="K15" s="50">
        <v>3815800</v>
      </c>
      <c r="L15" s="50"/>
      <c r="M15" s="50">
        <v>3800500</v>
      </c>
      <c r="N15" s="50"/>
      <c r="O15" s="50">
        <v>4123200</v>
      </c>
      <c r="P15" s="50"/>
      <c r="Q15" s="50">
        <v>4717700</v>
      </c>
      <c r="R15" s="50"/>
      <c r="S15" s="50">
        <v>5330800</v>
      </c>
      <c r="T15" s="50"/>
      <c r="U15" s="50">
        <v>3255500</v>
      </c>
      <c r="V15" s="50"/>
      <c r="W15" s="50">
        <v>4221300</v>
      </c>
      <c r="X15" s="50"/>
      <c r="Y15" s="50">
        <v>6283800</v>
      </c>
      <c r="Z15" s="50"/>
      <c r="AA15" s="51">
        <f t="shared" si="1"/>
        <v>46000000</v>
      </c>
      <c r="AB15" s="51">
        <f t="shared" si="2"/>
        <v>0</v>
      </c>
      <c r="AD15" s="31">
        <f t="shared" si="3"/>
        <v>46000000</v>
      </c>
      <c r="AE15" s="31">
        <f t="shared" si="4"/>
        <v>0</v>
      </c>
      <c r="AF15" s="17">
        <f t="shared" si="5"/>
        <v>0</v>
      </c>
      <c r="AG15" s="17">
        <f t="shared" si="6"/>
        <v>0</v>
      </c>
      <c r="BC15" s="21"/>
    </row>
    <row r="16" spans="1:119" s="17" customFormat="1" ht="18" customHeight="1" x14ac:dyDescent="0.25">
      <c r="A16" s="52" t="s">
        <v>98</v>
      </c>
      <c r="B16" s="45" t="s">
        <v>99</v>
      </c>
      <c r="C16" s="46">
        <f t="shared" ref="C16:Z16" si="7">SUM(C17:C25)</f>
        <v>941885.91440000001</v>
      </c>
      <c r="D16" s="46">
        <f t="shared" si="7"/>
        <v>1733361.6924000003</v>
      </c>
      <c r="E16" s="46">
        <f t="shared" si="7"/>
        <v>1539185.2</v>
      </c>
      <c r="F16" s="46">
        <f t="shared" si="7"/>
        <v>1151984.1823999998</v>
      </c>
      <c r="G16" s="46">
        <f t="shared" si="7"/>
        <v>2732295.5808000001</v>
      </c>
      <c r="H16" s="46">
        <f t="shared" si="7"/>
        <v>2582195.9292000001</v>
      </c>
      <c r="I16" s="46">
        <f t="shared" si="7"/>
        <v>3422532.4343999997</v>
      </c>
      <c r="J16" s="46">
        <f t="shared" si="7"/>
        <v>3099270.0363999996</v>
      </c>
      <c r="K16" s="46">
        <f t="shared" si="7"/>
        <v>3143837.62</v>
      </c>
      <c r="L16" s="46">
        <f t="shared" si="7"/>
        <v>1424279.1588000001</v>
      </c>
      <c r="M16" s="46">
        <f t="shared" si="7"/>
        <v>3135723.4552000002</v>
      </c>
      <c r="N16" s="46">
        <f t="shared" si="7"/>
        <v>2232517.1127999998</v>
      </c>
      <c r="O16" s="46">
        <f t="shared" si="7"/>
        <v>3368841.8143999996</v>
      </c>
      <c r="P16" s="46">
        <f t="shared" si="7"/>
        <v>1564732.9479999999</v>
      </c>
      <c r="Q16" s="46">
        <f t="shared" si="7"/>
        <v>3775961.3007999999</v>
      </c>
      <c r="R16" s="46">
        <f t="shared" si="7"/>
        <v>1897919.6563999997</v>
      </c>
      <c r="S16" s="46">
        <f t="shared" si="7"/>
        <v>4257225.3456000006</v>
      </c>
      <c r="T16" s="46">
        <f t="shared" si="7"/>
        <v>3204742.8196000005</v>
      </c>
      <c r="U16" s="46">
        <f t="shared" si="7"/>
        <v>2697980.8319999999</v>
      </c>
      <c r="V16" s="46">
        <f t="shared" si="7"/>
        <v>1924440.2176000003</v>
      </c>
      <c r="W16" s="46">
        <f t="shared" si="7"/>
        <v>3421555.5320000001</v>
      </c>
      <c r="X16" s="46">
        <f t="shared" si="7"/>
        <v>2030341.6924000001</v>
      </c>
      <c r="Y16" s="46">
        <f t="shared" si="7"/>
        <v>4984138.7807999998</v>
      </c>
      <c r="Z16" s="46">
        <f t="shared" si="7"/>
        <v>2891788.1740000006</v>
      </c>
      <c r="AA16" s="47">
        <f t="shared" si="1"/>
        <v>37421163.810400002</v>
      </c>
      <c r="AB16" s="47">
        <f t="shared" si="2"/>
        <v>25737573.619999997</v>
      </c>
      <c r="AC16" s="87"/>
      <c r="AD16" s="31">
        <f t="shared" si="3"/>
        <v>37421163.810400002</v>
      </c>
      <c r="AE16" s="31">
        <f t="shared" si="4"/>
        <v>25737573.619999997</v>
      </c>
      <c r="AF16" s="17">
        <f t="shared" si="5"/>
        <v>0</v>
      </c>
      <c r="AG16" s="17">
        <f t="shared" si="6"/>
        <v>0</v>
      </c>
      <c r="BC16" s="21"/>
    </row>
    <row r="17" spans="1:119" s="19" customFormat="1" ht="18" customHeight="1" outlineLevel="1" x14ac:dyDescent="0.25">
      <c r="A17" s="48" t="s">
        <v>89</v>
      </c>
      <c r="B17" s="53"/>
      <c r="C17" s="64">
        <v>0</v>
      </c>
      <c r="D17" s="50">
        <v>320122.44159999996</v>
      </c>
      <c r="E17" s="50">
        <v>0</v>
      </c>
      <c r="F17" s="50">
        <v>328325.04639999999</v>
      </c>
      <c r="G17" s="50">
        <v>0</v>
      </c>
      <c r="H17" s="50">
        <v>790317.15359999996</v>
      </c>
      <c r="I17" s="50">
        <v>0</v>
      </c>
      <c r="J17" s="50">
        <v>709315.67200000002</v>
      </c>
      <c r="K17" s="50">
        <v>0</v>
      </c>
      <c r="L17" s="50">
        <v>452767.83760000003</v>
      </c>
      <c r="M17" s="50">
        <v>0</v>
      </c>
      <c r="N17" s="50">
        <v>566854.34</v>
      </c>
      <c r="O17" s="50">
        <v>0</v>
      </c>
      <c r="P17" s="50">
        <v>530885.78399999999</v>
      </c>
      <c r="Q17" s="50">
        <v>0</v>
      </c>
      <c r="R17" s="50">
        <v>696196.00959999999</v>
      </c>
      <c r="S17" s="50">
        <v>0</v>
      </c>
      <c r="T17" s="50">
        <v>972612.0560000001</v>
      </c>
      <c r="U17" s="50">
        <v>0</v>
      </c>
      <c r="V17" s="50">
        <v>462450.80959999998</v>
      </c>
      <c r="W17" s="50">
        <v>0</v>
      </c>
      <c r="X17" s="50">
        <v>599702.31359999999</v>
      </c>
      <c r="Y17" s="50">
        <v>0</v>
      </c>
      <c r="Z17" s="50">
        <v>834650.61680000008</v>
      </c>
      <c r="AA17" s="51">
        <f t="shared" si="1"/>
        <v>0</v>
      </c>
      <c r="AB17" s="51">
        <f t="shared" si="2"/>
        <v>7264200.0808000006</v>
      </c>
      <c r="AC17" s="19">
        <v>1.04</v>
      </c>
      <c r="AD17" s="31">
        <f t="shared" si="3"/>
        <v>0</v>
      </c>
      <c r="AE17" s="31">
        <f t="shared" si="4"/>
        <v>7264200.0808000006</v>
      </c>
      <c r="AF17" s="17">
        <f t="shared" si="5"/>
        <v>0</v>
      </c>
      <c r="AG17" s="17">
        <f t="shared" si="6"/>
        <v>0</v>
      </c>
      <c r="BC17" s="21"/>
    </row>
    <row r="18" spans="1:119" s="19" customFormat="1" ht="18" customHeight="1" outlineLevel="1" x14ac:dyDescent="0.25">
      <c r="A18" s="48" t="s">
        <v>90</v>
      </c>
      <c r="B18" s="53"/>
      <c r="C18" s="64">
        <v>0</v>
      </c>
      <c r="D18" s="50">
        <v>740859.00720000011</v>
      </c>
      <c r="E18" s="50">
        <v>0</v>
      </c>
      <c r="F18" s="50">
        <v>332310.12880000001</v>
      </c>
      <c r="G18" s="50">
        <v>0</v>
      </c>
      <c r="H18" s="50">
        <v>1212586.4504</v>
      </c>
      <c r="I18" s="50">
        <v>0</v>
      </c>
      <c r="J18" s="50">
        <v>1382046.2759999998</v>
      </c>
      <c r="K18" s="50">
        <v>0</v>
      </c>
      <c r="L18" s="50">
        <v>507483.56880000001</v>
      </c>
      <c r="M18" s="50">
        <v>0</v>
      </c>
      <c r="N18" s="50">
        <v>1095519.2040000001</v>
      </c>
      <c r="O18" s="50">
        <v>0</v>
      </c>
      <c r="P18" s="50">
        <v>566156.26080000005</v>
      </c>
      <c r="Q18" s="50">
        <v>0</v>
      </c>
      <c r="R18" s="50">
        <v>789594.99840000004</v>
      </c>
      <c r="S18" s="50">
        <v>0</v>
      </c>
      <c r="T18" s="50">
        <v>1286607.452</v>
      </c>
      <c r="U18" s="50">
        <v>0</v>
      </c>
      <c r="V18" s="50">
        <v>1064762.088</v>
      </c>
      <c r="W18" s="50">
        <v>0</v>
      </c>
      <c r="X18" s="50">
        <v>796322.31120000011</v>
      </c>
      <c r="Y18" s="50">
        <v>0</v>
      </c>
      <c r="Z18" s="50">
        <v>1533853.36</v>
      </c>
      <c r="AA18" s="51">
        <f t="shared" si="1"/>
        <v>0</v>
      </c>
      <c r="AB18" s="51">
        <f t="shared" si="2"/>
        <v>11308101.105599999</v>
      </c>
      <c r="AD18" s="31">
        <f t="shared" si="3"/>
        <v>0</v>
      </c>
      <c r="AE18" s="31">
        <f t="shared" si="4"/>
        <v>11308101.105599999</v>
      </c>
      <c r="AF18" s="17">
        <f t="shared" si="5"/>
        <v>0</v>
      </c>
      <c r="AG18" s="17">
        <f t="shared" si="6"/>
        <v>0</v>
      </c>
      <c r="BC18" s="21"/>
    </row>
    <row r="19" spans="1:119" s="19" customFormat="1" ht="18" customHeight="1" outlineLevel="1" x14ac:dyDescent="0.25">
      <c r="A19" s="48" t="s">
        <v>91</v>
      </c>
      <c r="B19" s="53"/>
      <c r="C19" s="64">
        <v>0</v>
      </c>
      <c r="D19" s="50">
        <v>475678.00800000003</v>
      </c>
      <c r="E19" s="50">
        <v>0</v>
      </c>
      <c r="F19" s="50">
        <v>372729.83280000003</v>
      </c>
      <c r="G19" s="50">
        <v>0</v>
      </c>
      <c r="H19" s="50">
        <v>424616.3688</v>
      </c>
      <c r="I19" s="50">
        <v>0</v>
      </c>
      <c r="J19" s="50">
        <v>743741.08640000003</v>
      </c>
      <c r="K19" s="50">
        <v>0</v>
      </c>
      <c r="L19" s="50">
        <v>340897.64800000004</v>
      </c>
      <c r="M19" s="50">
        <v>0</v>
      </c>
      <c r="N19" s="50">
        <v>453935.46639999998</v>
      </c>
      <c r="O19" s="50">
        <v>0</v>
      </c>
      <c r="P19" s="50">
        <v>326823.43199999997</v>
      </c>
      <c r="Q19" s="50">
        <v>0</v>
      </c>
      <c r="R19" s="50">
        <v>255937.14640000003</v>
      </c>
      <c r="S19" s="50">
        <v>0</v>
      </c>
      <c r="T19" s="50">
        <v>629156.2472000001</v>
      </c>
      <c r="U19" s="50">
        <v>0</v>
      </c>
      <c r="V19" s="50">
        <v>293245.90879999998</v>
      </c>
      <c r="W19" s="50">
        <v>0</v>
      </c>
      <c r="X19" s="50">
        <v>524675.96479999996</v>
      </c>
      <c r="Y19" s="50">
        <v>0</v>
      </c>
      <c r="Z19" s="50">
        <v>458199.64320000005</v>
      </c>
      <c r="AA19" s="51">
        <f t="shared" si="1"/>
        <v>0</v>
      </c>
      <c r="AB19" s="51">
        <f t="shared" si="2"/>
        <v>5299636.7527999999</v>
      </c>
      <c r="AD19" s="31">
        <f t="shared" si="3"/>
        <v>0</v>
      </c>
      <c r="AE19" s="31">
        <f t="shared" si="4"/>
        <v>5299636.7527999999</v>
      </c>
      <c r="AF19" s="17">
        <f t="shared" si="5"/>
        <v>0</v>
      </c>
      <c r="AG19" s="17">
        <f t="shared" si="6"/>
        <v>0</v>
      </c>
      <c r="BC19" s="21"/>
    </row>
    <row r="20" spans="1:119" s="19" customFormat="1" ht="18" customHeight="1" outlineLevel="1" x14ac:dyDescent="0.25">
      <c r="A20" s="48" t="s">
        <v>92</v>
      </c>
      <c r="B20" s="53"/>
      <c r="C20" s="64">
        <v>0</v>
      </c>
      <c r="D20" s="50">
        <v>83888.272000000012</v>
      </c>
      <c r="E20" s="50">
        <v>0</v>
      </c>
      <c r="F20" s="50">
        <v>39509.027999999998</v>
      </c>
      <c r="G20" s="50">
        <v>0</v>
      </c>
      <c r="H20" s="50">
        <v>89995.318400000004</v>
      </c>
      <c r="I20" s="50">
        <v>0</v>
      </c>
      <c r="J20" s="50">
        <v>83374.397600000011</v>
      </c>
      <c r="K20" s="50">
        <v>0</v>
      </c>
      <c r="L20" s="50">
        <v>69927.696800000005</v>
      </c>
      <c r="M20" s="50">
        <v>0</v>
      </c>
      <c r="N20" s="50">
        <v>44348.470400000006</v>
      </c>
      <c r="O20" s="50">
        <v>0</v>
      </c>
      <c r="P20" s="50">
        <v>69697.763200000001</v>
      </c>
      <c r="Q20" s="50">
        <v>0</v>
      </c>
      <c r="R20" s="50">
        <v>64338.258399999999</v>
      </c>
      <c r="S20" s="50">
        <v>0</v>
      </c>
      <c r="T20" s="50">
        <v>105543.7968</v>
      </c>
      <c r="U20" s="50">
        <v>0</v>
      </c>
      <c r="V20" s="50">
        <v>46544.451200000003</v>
      </c>
      <c r="W20" s="50">
        <v>0</v>
      </c>
      <c r="X20" s="50">
        <v>56860.096799999999</v>
      </c>
      <c r="Y20" s="50">
        <v>0</v>
      </c>
      <c r="Z20" s="50">
        <v>41741.700000000004</v>
      </c>
      <c r="AA20" s="51">
        <f t="shared" si="1"/>
        <v>0</v>
      </c>
      <c r="AB20" s="51">
        <f t="shared" si="2"/>
        <v>795769.24959999998</v>
      </c>
      <c r="AD20" s="31">
        <f t="shared" si="3"/>
        <v>0</v>
      </c>
      <c r="AE20" s="31">
        <f t="shared" si="4"/>
        <v>795769.24959999998</v>
      </c>
      <c r="AF20" s="17">
        <f t="shared" si="5"/>
        <v>0</v>
      </c>
      <c r="AG20" s="17">
        <f t="shared" si="6"/>
        <v>0</v>
      </c>
      <c r="BC20" s="21"/>
    </row>
    <row r="21" spans="1:119" s="19" customFormat="1" ht="18" customHeight="1" outlineLevel="1" x14ac:dyDescent="0.25">
      <c r="A21" s="48" t="s">
        <v>93</v>
      </c>
      <c r="B21" s="53"/>
      <c r="C21" s="64">
        <v>0</v>
      </c>
      <c r="D21" s="50">
        <v>72879.674400000004</v>
      </c>
      <c r="E21" s="50">
        <v>0</v>
      </c>
      <c r="F21" s="50">
        <v>54286.731200000002</v>
      </c>
      <c r="G21" s="50">
        <v>0</v>
      </c>
      <c r="H21" s="50">
        <v>21341.122400000004</v>
      </c>
      <c r="I21" s="50">
        <v>0</v>
      </c>
      <c r="J21" s="50">
        <v>127969.44159999999</v>
      </c>
      <c r="K21" s="50">
        <v>0</v>
      </c>
      <c r="L21" s="50">
        <v>30803.052800000001</v>
      </c>
      <c r="M21" s="50">
        <v>0</v>
      </c>
      <c r="N21" s="50">
        <v>41946.538399999998</v>
      </c>
      <c r="O21" s="50">
        <v>0</v>
      </c>
      <c r="P21" s="50">
        <v>36759.423999999999</v>
      </c>
      <c r="Q21" s="50">
        <v>0</v>
      </c>
      <c r="R21" s="50">
        <v>19231.024799999999</v>
      </c>
      <c r="S21" s="50">
        <v>0</v>
      </c>
      <c r="T21" s="50">
        <v>98723.705600000001</v>
      </c>
      <c r="U21" s="50">
        <v>0</v>
      </c>
      <c r="V21" s="50">
        <v>15100.2904</v>
      </c>
      <c r="W21" s="50">
        <v>0</v>
      </c>
      <c r="X21" s="50">
        <v>31996.192800000001</v>
      </c>
      <c r="Y21" s="50">
        <v>0</v>
      </c>
      <c r="Z21" s="50">
        <v>4290.5616</v>
      </c>
      <c r="AA21" s="51">
        <f t="shared" si="1"/>
        <v>0</v>
      </c>
      <c r="AB21" s="51">
        <f t="shared" si="2"/>
        <v>555327.76</v>
      </c>
      <c r="AD21" s="31">
        <f t="shared" si="3"/>
        <v>0</v>
      </c>
      <c r="AE21" s="31">
        <f t="shared" si="4"/>
        <v>555327.76</v>
      </c>
      <c r="AF21" s="17">
        <f t="shared" si="5"/>
        <v>0</v>
      </c>
      <c r="AG21" s="17">
        <f t="shared" si="6"/>
        <v>0</v>
      </c>
      <c r="BC21" s="21"/>
    </row>
    <row r="22" spans="1:119" s="19" customFormat="1" ht="18" customHeight="1" outlineLevel="1" x14ac:dyDescent="0.25">
      <c r="A22" s="48" t="s">
        <v>94</v>
      </c>
      <c r="B22" s="53"/>
      <c r="C22" s="64">
        <v>0</v>
      </c>
      <c r="D22" s="50">
        <v>281.03920000000005</v>
      </c>
      <c r="E22" s="50">
        <v>0</v>
      </c>
      <c r="F22" s="50">
        <v>151.45519999999999</v>
      </c>
      <c r="G22" s="50">
        <v>0</v>
      </c>
      <c r="H22" s="50">
        <v>735.42560000000003</v>
      </c>
      <c r="I22" s="50">
        <v>0</v>
      </c>
      <c r="J22" s="50">
        <v>3752.3928000000001</v>
      </c>
      <c r="K22" s="50">
        <v>0</v>
      </c>
      <c r="L22" s="50">
        <v>0</v>
      </c>
      <c r="M22" s="50">
        <v>0</v>
      </c>
      <c r="N22" s="50">
        <v>143.68639999999999</v>
      </c>
      <c r="O22" s="50">
        <v>0</v>
      </c>
      <c r="P22" s="50">
        <v>3850.5688</v>
      </c>
      <c r="Q22" s="50">
        <v>0</v>
      </c>
      <c r="R22" s="50">
        <v>143.68639999999999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3206.32</v>
      </c>
      <c r="Y22" s="50">
        <v>0</v>
      </c>
      <c r="Z22" s="50">
        <v>0</v>
      </c>
      <c r="AA22" s="51">
        <f t="shared" si="1"/>
        <v>0</v>
      </c>
      <c r="AB22" s="51">
        <f t="shared" si="2"/>
        <v>12264.5744</v>
      </c>
      <c r="AD22" s="31">
        <f t="shared" si="3"/>
        <v>0</v>
      </c>
      <c r="AE22" s="31">
        <f t="shared" si="4"/>
        <v>12264.5744</v>
      </c>
      <c r="AF22" s="17">
        <f t="shared" si="5"/>
        <v>0</v>
      </c>
      <c r="AG22" s="17">
        <f t="shared" si="6"/>
        <v>0</v>
      </c>
      <c r="BC22" s="21"/>
    </row>
    <row r="23" spans="1:119" s="19" customFormat="1" ht="18" customHeight="1" outlineLevel="1" x14ac:dyDescent="0.25">
      <c r="A23" s="48" t="s">
        <v>95</v>
      </c>
      <c r="B23" s="53"/>
      <c r="C23" s="64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1">
        <f t="shared" si="1"/>
        <v>0</v>
      </c>
      <c r="AB23" s="51">
        <f t="shared" si="2"/>
        <v>0</v>
      </c>
      <c r="AC23" s="100"/>
      <c r="AD23" s="31">
        <f t="shared" si="3"/>
        <v>0</v>
      </c>
      <c r="AE23" s="31">
        <f t="shared" si="4"/>
        <v>0</v>
      </c>
      <c r="AF23" s="17">
        <f t="shared" si="5"/>
        <v>0</v>
      </c>
      <c r="AG23" s="17">
        <f t="shared" si="6"/>
        <v>0</v>
      </c>
      <c r="BC23" s="21"/>
    </row>
    <row r="24" spans="1:119" s="19" customFormat="1" ht="18" customHeight="1" outlineLevel="1" x14ac:dyDescent="0.25">
      <c r="A24" s="48" t="s">
        <v>97</v>
      </c>
      <c r="B24" s="53"/>
      <c r="C24" s="64">
        <v>926387.91440000001</v>
      </c>
      <c r="D24" s="50">
        <v>0</v>
      </c>
      <c r="E24" s="50">
        <v>1513621.2</v>
      </c>
      <c r="F24" s="50">
        <v>0</v>
      </c>
      <c r="G24" s="50">
        <v>2686092.7808000003</v>
      </c>
      <c r="H24" s="50">
        <v>0</v>
      </c>
      <c r="I24" s="50">
        <v>3363477.6343999999</v>
      </c>
      <c r="J24" s="50">
        <v>0</v>
      </c>
      <c r="K24" s="50">
        <v>3090416.42</v>
      </c>
      <c r="L24" s="50">
        <v>-5930.2152000000006</v>
      </c>
      <c r="M24" s="50">
        <v>3082516.4552000002</v>
      </c>
      <c r="N24" s="50">
        <v>-12635.552799999999</v>
      </c>
      <c r="O24" s="50">
        <v>3311117.0143999998</v>
      </c>
      <c r="P24" s="50">
        <f>(-4548.62)*1.04</f>
        <v>-4730.5648000000001</v>
      </c>
      <c r="Q24" s="50">
        <v>3709913.5008</v>
      </c>
      <c r="R24" s="50">
        <v>32898.1224</v>
      </c>
      <c r="S24" s="50">
        <v>4182594.1456000004</v>
      </c>
      <c r="T24" s="50">
        <f>(2.93+55626.62)*1.04</f>
        <v>57854.732000000004</v>
      </c>
      <c r="U24" s="50">
        <v>2652403.8319999999</v>
      </c>
      <c r="V24" s="50">
        <f>(13907.99)*1.04</f>
        <v>14464.309600000001</v>
      </c>
      <c r="W24" s="50">
        <v>3362457.3319999999</v>
      </c>
      <c r="X24" s="50">
        <f>(-27488.24+11369.32)*1.04</f>
        <v>-16763.676800000001</v>
      </c>
      <c r="Y24" s="50">
        <v>4896165.5807999996</v>
      </c>
      <c r="Z24" s="50">
        <f>(-50090.39+14411.45)*1.04</f>
        <v>-37106.097600000001</v>
      </c>
      <c r="AA24" s="51">
        <f t="shared" si="1"/>
        <v>36777163.810399994</v>
      </c>
      <c r="AB24" s="51">
        <f t="shared" si="2"/>
        <v>28051.056800000013</v>
      </c>
      <c r="AC24" s="100"/>
      <c r="AD24" s="31">
        <f t="shared" si="3"/>
        <v>36777163.810399994</v>
      </c>
      <c r="AE24" s="31">
        <f t="shared" si="4"/>
        <v>28051.056800000013</v>
      </c>
      <c r="AF24" s="17">
        <f t="shared" si="5"/>
        <v>0</v>
      </c>
      <c r="AG24" s="17">
        <f t="shared" si="6"/>
        <v>0</v>
      </c>
      <c r="BC24" s="21"/>
    </row>
    <row r="25" spans="1:119" s="19" customFormat="1" ht="18" customHeight="1" outlineLevel="1" x14ac:dyDescent="0.25">
      <c r="A25" s="48" t="s">
        <v>100</v>
      </c>
      <c r="B25" s="53"/>
      <c r="C25" s="64">
        <v>15498</v>
      </c>
      <c r="D25" s="50">
        <v>39653.25</v>
      </c>
      <c r="E25" s="50">
        <v>25564</v>
      </c>
      <c r="F25" s="50">
        <v>24671.96</v>
      </c>
      <c r="G25" s="50">
        <v>46202.8</v>
      </c>
      <c r="H25" s="50">
        <v>42604.09</v>
      </c>
      <c r="I25" s="50">
        <v>59054.8</v>
      </c>
      <c r="J25" s="50">
        <v>49070.77</v>
      </c>
      <c r="K25" s="50">
        <v>53421.2</v>
      </c>
      <c r="L25" s="50">
        <v>28329.57</v>
      </c>
      <c r="M25" s="50">
        <v>53207</v>
      </c>
      <c r="N25" s="50">
        <v>42404.959999999999</v>
      </c>
      <c r="O25" s="50">
        <v>57724.800000000003</v>
      </c>
      <c r="P25" s="50">
        <v>35290.28</v>
      </c>
      <c r="Q25" s="50">
        <v>66047.8</v>
      </c>
      <c r="R25" s="50">
        <v>39580.410000000003</v>
      </c>
      <c r="S25" s="50">
        <v>74631.199999999997</v>
      </c>
      <c r="T25" s="50">
        <v>54244.83</v>
      </c>
      <c r="U25" s="50">
        <v>45577</v>
      </c>
      <c r="V25" s="50">
        <v>27872.36</v>
      </c>
      <c r="W25" s="50">
        <v>59098.2</v>
      </c>
      <c r="X25" s="50">
        <v>34342.17</v>
      </c>
      <c r="Y25" s="50">
        <v>87973.2</v>
      </c>
      <c r="Z25" s="50">
        <v>56158.39</v>
      </c>
      <c r="AA25" s="51">
        <f t="shared" si="1"/>
        <v>643999.99999999988</v>
      </c>
      <c r="AB25" s="51">
        <f t="shared" si="2"/>
        <v>474223.04</v>
      </c>
      <c r="AC25" s="20"/>
      <c r="AD25" s="31">
        <f t="shared" si="3"/>
        <v>643999.99999999988</v>
      </c>
      <c r="AE25" s="31">
        <f t="shared" si="4"/>
        <v>474223.04</v>
      </c>
      <c r="AF25" s="17">
        <f t="shared" si="5"/>
        <v>0</v>
      </c>
      <c r="AG25" s="17">
        <f t="shared" si="6"/>
        <v>0</v>
      </c>
      <c r="BC25" s="21"/>
    </row>
    <row r="26" spans="1:119" s="19" customFormat="1" ht="18" customHeight="1" x14ac:dyDescent="0.25">
      <c r="A26" s="52" t="s">
        <v>101</v>
      </c>
      <c r="B26" s="45" t="s">
        <v>102</v>
      </c>
      <c r="C26" s="54">
        <f t="shared" ref="C26:Z26" si="8">C6-C16</f>
        <v>165114.08559999999</v>
      </c>
      <c r="D26" s="54">
        <f t="shared" si="8"/>
        <v>460074.79440000118</v>
      </c>
      <c r="E26" s="54">
        <f t="shared" si="8"/>
        <v>286814.80000000005</v>
      </c>
      <c r="F26" s="54">
        <f t="shared" si="8"/>
        <v>371874.69280000008</v>
      </c>
      <c r="G26" s="54">
        <f t="shared" si="8"/>
        <v>567904.41919999989</v>
      </c>
      <c r="H26" s="54">
        <f t="shared" si="8"/>
        <v>643247.7444000002</v>
      </c>
      <c r="I26" s="54">
        <f t="shared" si="8"/>
        <v>795667.56560000032</v>
      </c>
      <c r="J26" s="54">
        <f t="shared" si="8"/>
        <v>751344.71200000122</v>
      </c>
      <c r="K26" s="54">
        <f t="shared" si="8"/>
        <v>671962.37999999989</v>
      </c>
      <c r="L26" s="54">
        <f t="shared" si="8"/>
        <v>388656.6072000002</v>
      </c>
      <c r="M26" s="54">
        <f t="shared" si="8"/>
        <v>664776.5447999998</v>
      </c>
      <c r="N26" s="54">
        <f t="shared" si="8"/>
        <v>609065.2620000001</v>
      </c>
      <c r="O26" s="54">
        <f t="shared" si="8"/>
        <v>617678.18560000043</v>
      </c>
      <c r="P26" s="54">
        <f t="shared" si="8"/>
        <v>465254.8068000006</v>
      </c>
      <c r="Q26" s="54">
        <f t="shared" si="8"/>
        <v>799666.49919999996</v>
      </c>
      <c r="R26" s="54">
        <f t="shared" si="8"/>
        <v>640487.45080000022</v>
      </c>
      <c r="S26" s="54">
        <f t="shared" si="8"/>
        <v>970752.8543999996</v>
      </c>
      <c r="T26" s="54">
        <f t="shared" si="8"/>
        <v>952744.61959999986</v>
      </c>
      <c r="U26" s="54">
        <f t="shared" si="8"/>
        <v>523332.16800000006</v>
      </c>
      <c r="V26" s="54">
        <f t="shared" si="8"/>
        <v>541769.90801415942</v>
      </c>
      <c r="W26" s="54">
        <f t="shared" si="8"/>
        <v>756984.46799999988</v>
      </c>
      <c r="X26" s="54">
        <f t="shared" si="8"/>
        <v>472479.92959999992</v>
      </c>
      <c r="Y26" s="54">
        <f t="shared" si="8"/>
        <v>1234157.2192000002</v>
      </c>
      <c r="Z26" s="54">
        <f t="shared" si="8"/>
        <v>794910.86167099979</v>
      </c>
      <c r="AA26" s="47">
        <f t="shared" si="1"/>
        <v>8054811.1896000002</v>
      </c>
      <c r="AB26" s="47">
        <f t="shared" si="2"/>
        <v>7091911.389285163</v>
      </c>
      <c r="AC26" s="20"/>
      <c r="AD26" s="31">
        <f t="shared" si="3"/>
        <v>8054811.1896000002</v>
      </c>
      <c r="AE26" s="31">
        <f t="shared" si="4"/>
        <v>7091911.389285163</v>
      </c>
      <c r="AF26" s="55">
        <f>AD6-AD16-AA26</f>
        <v>0</v>
      </c>
      <c r="AG26" s="55">
        <f>AE6-AE16-AB26</f>
        <v>0</v>
      </c>
      <c r="BC26" s="21"/>
    </row>
    <row r="27" spans="1:119" s="20" customFormat="1" ht="18" customHeight="1" x14ac:dyDescent="0.25">
      <c r="A27" s="56" t="s">
        <v>210</v>
      </c>
      <c r="B27" s="57" t="s">
        <v>104</v>
      </c>
      <c r="C27" s="59">
        <f t="shared" ref="C27:AB27" si="9">C26/C6</f>
        <v>0.14915454887082202</v>
      </c>
      <c r="D27" s="59">
        <f t="shared" si="9"/>
        <v>0.20975067988916471</v>
      </c>
      <c r="E27" s="59">
        <f t="shared" si="9"/>
        <v>0.15707272727272731</v>
      </c>
      <c r="F27" s="59">
        <f t="shared" si="9"/>
        <v>0.24403486362947693</v>
      </c>
      <c r="G27" s="59">
        <f t="shared" si="9"/>
        <v>0.17208181904127018</v>
      </c>
      <c r="H27" s="59">
        <f t="shared" si="9"/>
        <v>0.19942922881119635</v>
      </c>
      <c r="I27" s="59">
        <f t="shared" si="9"/>
        <v>0.18862727362382067</v>
      </c>
      <c r="J27" s="59">
        <f t="shared" si="9"/>
        <v>0.19512331435187028</v>
      </c>
      <c r="K27" s="59">
        <f t="shared" si="9"/>
        <v>0.17609999999999998</v>
      </c>
      <c r="L27" s="59">
        <f t="shared" si="9"/>
        <v>0.21437968983176878</v>
      </c>
      <c r="M27" s="59">
        <f t="shared" si="9"/>
        <v>0.17491818044994076</v>
      </c>
      <c r="N27" s="59">
        <f t="shared" si="9"/>
        <v>0.2143401744750997</v>
      </c>
      <c r="O27" s="59">
        <f t="shared" si="9"/>
        <v>0.15494169992876003</v>
      </c>
      <c r="P27" s="59">
        <f t="shared" si="9"/>
        <v>0.22919094250686192</v>
      </c>
      <c r="Q27" s="59">
        <f t="shared" si="9"/>
        <v>0.17476650946128092</v>
      </c>
      <c r="R27" s="59">
        <f t="shared" si="9"/>
        <v>0.25231864856638087</v>
      </c>
      <c r="S27" s="59">
        <f t="shared" si="9"/>
        <v>0.18568418177413204</v>
      </c>
      <c r="T27" s="59">
        <f t="shared" si="9"/>
        <v>0.22916355936924504</v>
      </c>
      <c r="U27" s="59">
        <f t="shared" si="9"/>
        <v>0.16245927297347387</v>
      </c>
      <c r="V27" s="59">
        <f t="shared" si="9"/>
        <v>0.21967710795901568</v>
      </c>
      <c r="W27" s="59">
        <f t="shared" si="9"/>
        <v>0.18116003867379513</v>
      </c>
      <c r="X27" s="59">
        <f t="shared" si="9"/>
        <v>0.1887789067534274</v>
      </c>
      <c r="Y27" s="59">
        <f t="shared" si="9"/>
        <v>0.19847193173177993</v>
      </c>
      <c r="Z27" s="59">
        <f t="shared" si="9"/>
        <v>0.21561588130188161</v>
      </c>
      <c r="AA27" s="101">
        <f t="shared" si="9"/>
        <v>0.17712234184313805</v>
      </c>
      <c r="AB27" s="101">
        <f t="shared" si="9"/>
        <v>0.21602262074106121</v>
      </c>
      <c r="AC27" s="102"/>
      <c r="AD27" s="62">
        <f>AD26/AD6</f>
        <v>0.17712234184313805</v>
      </c>
      <c r="AE27" s="62">
        <f>AE26/AE6</f>
        <v>0.21602262074106121</v>
      </c>
      <c r="AF27" s="17">
        <f>AA27-AD27</f>
        <v>0</v>
      </c>
      <c r="AG27" s="17">
        <f>AB27-AE27</f>
        <v>0</v>
      </c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</row>
    <row r="28" spans="1:119" s="19" customFormat="1" ht="18" customHeight="1" x14ac:dyDescent="0.25">
      <c r="A28" s="63" t="s">
        <v>105</v>
      </c>
      <c r="B28" s="53">
        <v>5</v>
      </c>
      <c r="C28" s="64">
        <f t="shared" ref="C28:N28" si="10">ROUND(C6*0.88%+C6*0.07%,2)</f>
        <v>10516.5</v>
      </c>
      <c r="D28" s="64">
        <f t="shared" si="10"/>
        <v>20837.650000000001</v>
      </c>
      <c r="E28" s="64">
        <f t="shared" si="10"/>
        <v>17347</v>
      </c>
      <c r="F28" s="64">
        <f t="shared" si="10"/>
        <v>14476.66</v>
      </c>
      <c r="G28" s="64">
        <f t="shared" si="10"/>
        <v>31351.9</v>
      </c>
      <c r="H28" s="64">
        <f t="shared" si="10"/>
        <v>30641.71</v>
      </c>
      <c r="I28" s="64">
        <f t="shared" si="10"/>
        <v>40072.9</v>
      </c>
      <c r="J28" s="64">
        <f t="shared" si="10"/>
        <v>36580.839999999997</v>
      </c>
      <c r="K28" s="64">
        <f t="shared" si="10"/>
        <v>36250.1</v>
      </c>
      <c r="L28" s="64">
        <f t="shared" si="10"/>
        <v>17222.89</v>
      </c>
      <c r="M28" s="64">
        <f t="shared" si="10"/>
        <v>36104.75</v>
      </c>
      <c r="N28" s="64">
        <f t="shared" si="10"/>
        <v>26995.03</v>
      </c>
      <c r="O28" s="64">
        <v>39170.400000000001</v>
      </c>
      <c r="P28" s="64">
        <f>ROUND(P6*0.88%+P6*0.07%,2)</f>
        <v>19284.88</v>
      </c>
      <c r="Q28" s="64">
        <v>44818.15</v>
      </c>
      <c r="R28" s="64">
        <f>ROUND(R6*0.88%+R6*0.07%,2)</f>
        <v>24114.87</v>
      </c>
      <c r="S28" s="64">
        <v>50642.6</v>
      </c>
      <c r="T28" s="64">
        <f>ROUND(T6*0.88%+T6*0.07%,2)</f>
        <v>39496.129999999997</v>
      </c>
      <c r="U28" s="64">
        <v>30927.25</v>
      </c>
      <c r="V28" s="64">
        <f>ROUND(V6*0.88%+V6*0.07%,2)</f>
        <v>23429</v>
      </c>
      <c r="W28" s="64">
        <v>40102.35</v>
      </c>
      <c r="X28" s="64">
        <f>ROUND(X6*0.88%+X6*0.07%,2)</f>
        <v>23776.81</v>
      </c>
      <c r="Y28" s="64">
        <v>59696.1</v>
      </c>
      <c r="Z28" s="64">
        <f>ROUND(Z6*0.88%+Z6*0.07%,2)</f>
        <v>35023.64</v>
      </c>
      <c r="AA28" s="51">
        <f t="shared" ref="AA28:AA91" si="11">C28+E28+G28+I28+K28+M28+O28+Q28+S28+U28+W28+Y28</f>
        <v>436999.99999999994</v>
      </c>
      <c r="AB28" s="51">
        <f t="shared" ref="AB28:AB91" si="12">D28+F28+H28+J28+L28+N28+P28+R28+T28+V28+X28+Z28</f>
        <v>311880.11</v>
      </c>
      <c r="AC28" s="100"/>
      <c r="AD28" s="31">
        <f t="shared" ref="AD28:AD91" si="13">SUMIF($C$5:$Z$5,$AD$5,C28:Z28)</f>
        <v>436999.99999999994</v>
      </c>
      <c r="AE28" s="31">
        <f t="shared" ref="AE28:AE91" si="14">SUMIF($C$5:$Z$5,$AD$5,D28:AA28)</f>
        <v>311880.11</v>
      </c>
      <c r="AF28" s="17">
        <f>AA28-AD28</f>
        <v>0</v>
      </c>
      <c r="AG28" s="17">
        <f>AB28-AE28</f>
        <v>0</v>
      </c>
      <c r="BC28" s="21"/>
    </row>
    <row r="29" spans="1:119" s="21" customFormat="1" ht="18" customHeight="1" x14ac:dyDescent="0.25">
      <c r="A29" s="52" t="s">
        <v>106</v>
      </c>
      <c r="B29" s="45">
        <v>6</v>
      </c>
      <c r="C29" s="65">
        <f t="shared" ref="C29:Z29" si="15">SUM(C30:C101)-C30-C33-C42-C53-C65</f>
        <v>262294.90000000002</v>
      </c>
      <c r="D29" s="65">
        <f t="shared" si="15"/>
        <v>175287.13</v>
      </c>
      <c r="E29" s="65">
        <f t="shared" si="15"/>
        <v>178122.86000000004</v>
      </c>
      <c r="F29" s="65">
        <f t="shared" si="15"/>
        <v>132498.49</v>
      </c>
      <c r="G29" s="65">
        <f t="shared" si="15"/>
        <v>233455.26</v>
      </c>
      <c r="H29" s="65">
        <f t="shared" si="15"/>
        <v>171473.74000000008</v>
      </c>
      <c r="I29" s="65">
        <f t="shared" si="15"/>
        <v>220267.04000000004</v>
      </c>
      <c r="J29" s="65">
        <f t="shared" si="15"/>
        <v>231452.25000000006</v>
      </c>
      <c r="K29" s="65">
        <f t="shared" si="15"/>
        <v>214370.86000000004</v>
      </c>
      <c r="L29" s="65">
        <f t="shared" si="15"/>
        <v>122184.91999999998</v>
      </c>
      <c r="M29" s="65">
        <f t="shared" si="15"/>
        <v>219681.29000000004</v>
      </c>
      <c r="N29" s="65">
        <f t="shared" si="15"/>
        <v>143877.47000000006</v>
      </c>
      <c r="O29" s="65">
        <f t="shared" si="15"/>
        <v>230012.80000000005</v>
      </c>
      <c r="P29" s="65">
        <f t="shared" si="15"/>
        <v>120515.34999999998</v>
      </c>
      <c r="Q29" s="65">
        <f t="shared" si="15"/>
        <v>238218.80000000005</v>
      </c>
      <c r="R29" s="65">
        <f t="shared" si="15"/>
        <v>128087.29999999999</v>
      </c>
      <c r="S29" s="65">
        <f t="shared" si="15"/>
        <v>281384.68999999994</v>
      </c>
      <c r="T29" s="65">
        <f t="shared" si="15"/>
        <v>172433.40999999997</v>
      </c>
      <c r="U29" s="65">
        <f t="shared" si="15"/>
        <v>243860.89</v>
      </c>
      <c r="V29" s="65">
        <f t="shared" si="15"/>
        <v>131148.07</v>
      </c>
      <c r="W29" s="65">
        <f t="shared" si="15"/>
        <v>247060.89</v>
      </c>
      <c r="X29" s="65">
        <f t="shared" si="15"/>
        <v>134228.84</v>
      </c>
      <c r="Y29" s="65">
        <f t="shared" si="15"/>
        <v>293538.33999999997</v>
      </c>
      <c r="Z29" s="65">
        <f t="shared" si="15"/>
        <v>139158.80999999994</v>
      </c>
      <c r="AA29" s="47">
        <f t="shared" si="11"/>
        <v>2862268.62</v>
      </c>
      <c r="AB29" s="47">
        <f t="shared" si="12"/>
        <v>1802345.7800000003</v>
      </c>
      <c r="AC29" s="103"/>
      <c r="AD29" s="31">
        <f t="shared" si="13"/>
        <v>2862268.62</v>
      </c>
      <c r="AE29" s="31">
        <f t="shared" si="14"/>
        <v>1802345.7800000003</v>
      </c>
      <c r="AF29" s="17">
        <f>AD29-(SUM(AA30:AA101)-SUM(AA30,AA33,AA42,AA53,AA65))</f>
        <v>0</v>
      </c>
      <c r="AG29" s="17">
        <f>AE29-(SUM(AB30:AB101)-SUM(AB30,AB33,AB42,AB53,AB65))</f>
        <v>0</v>
      </c>
      <c r="BC29" s="66"/>
    </row>
    <row r="30" spans="1:119" s="17" customFormat="1" ht="18" customHeight="1" outlineLevel="1" x14ac:dyDescent="0.25">
      <c r="A30" s="67" t="s">
        <v>107</v>
      </c>
      <c r="B30" s="45"/>
      <c r="C30" s="65">
        <f t="shared" ref="C30:Z30" si="16">SUM(C31:C32)</f>
        <v>155146.44</v>
      </c>
      <c r="D30" s="65">
        <f t="shared" si="16"/>
        <v>114386.41</v>
      </c>
      <c r="E30" s="65">
        <f t="shared" si="16"/>
        <v>118374.39999999999</v>
      </c>
      <c r="F30" s="65">
        <f t="shared" si="16"/>
        <v>74555.22</v>
      </c>
      <c r="G30" s="65">
        <f t="shared" si="16"/>
        <v>147341.79999999999</v>
      </c>
      <c r="H30" s="65">
        <f t="shared" si="16"/>
        <v>98550.5</v>
      </c>
      <c r="I30" s="65">
        <f t="shared" si="16"/>
        <v>160418.58000000002</v>
      </c>
      <c r="J30" s="65">
        <f t="shared" si="16"/>
        <v>128069.83</v>
      </c>
      <c r="K30" s="65">
        <f t="shared" si="16"/>
        <v>153622.39999999999</v>
      </c>
      <c r="L30" s="65">
        <f t="shared" si="16"/>
        <v>59645</v>
      </c>
      <c r="M30" s="65">
        <f t="shared" si="16"/>
        <v>159822.83000000002</v>
      </c>
      <c r="N30" s="65">
        <f t="shared" si="16"/>
        <v>90938</v>
      </c>
      <c r="O30" s="65">
        <f t="shared" si="16"/>
        <v>166264.34</v>
      </c>
      <c r="P30" s="65">
        <f t="shared" si="16"/>
        <v>63086.5</v>
      </c>
      <c r="Q30" s="65">
        <f t="shared" si="16"/>
        <v>176470.34</v>
      </c>
      <c r="R30" s="65">
        <f t="shared" si="16"/>
        <v>71879.23000000001</v>
      </c>
      <c r="S30" s="65">
        <f t="shared" si="16"/>
        <v>201526.23</v>
      </c>
      <c r="T30" s="65">
        <f t="shared" si="16"/>
        <v>91729</v>
      </c>
      <c r="U30" s="65">
        <f t="shared" si="16"/>
        <v>176712.43</v>
      </c>
      <c r="V30" s="65">
        <f t="shared" si="16"/>
        <v>76736.5</v>
      </c>
      <c r="W30" s="65">
        <f t="shared" si="16"/>
        <v>186312.43</v>
      </c>
      <c r="X30" s="65">
        <f t="shared" si="16"/>
        <v>68345.5</v>
      </c>
      <c r="Y30" s="65">
        <f t="shared" si="16"/>
        <v>232789.8</v>
      </c>
      <c r="Z30" s="65">
        <f t="shared" si="16"/>
        <v>76049.5</v>
      </c>
      <c r="AA30" s="47">
        <f t="shared" si="11"/>
        <v>2034802.02</v>
      </c>
      <c r="AB30" s="47">
        <f t="shared" si="12"/>
        <v>1013971.19</v>
      </c>
      <c r="AC30" s="103"/>
      <c r="AD30" s="31">
        <f t="shared" si="13"/>
        <v>2034802.02</v>
      </c>
      <c r="AE30" s="31">
        <f t="shared" si="14"/>
        <v>1013971.19</v>
      </c>
      <c r="AF30" s="17">
        <f t="shared" ref="AF30:AF93" si="17">AA30-AD30</f>
        <v>0</v>
      </c>
      <c r="AG30" s="17">
        <f t="shared" ref="AG30:AG93" si="18">AB30-AE30</f>
        <v>0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66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</row>
    <row r="31" spans="1:119" s="19" customFormat="1" ht="18" customHeight="1" outlineLevel="2" x14ac:dyDescent="0.25">
      <c r="A31" s="48" t="s">
        <v>108</v>
      </c>
      <c r="B31" s="53"/>
      <c r="C31" s="64">
        <v>64408.5</v>
      </c>
      <c r="D31" s="68">
        <v>63885.91</v>
      </c>
      <c r="E31" s="68">
        <v>64458.5</v>
      </c>
      <c r="F31" s="68">
        <v>60474.22</v>
      </c>
      <c r="G31" s="68">
        <v>64458.5</v>
      </c>
      <c r="H31" s="50">
        <v>64458.5</v>
      </c>
      <c r="I31" s="68">
        <v>64458.5</v>
      </c>
      <c r="J31" s="68">
        <v>64791.83</v>
      </c>
      <c r="K31" s="68">
        <v>64458.5</v>
      </c>
      <c r="L31" s="68">
        <v>60293</v>
      </c>
      <c r="M31" s="68">
        <v>64558.5</v>
      </c>
      <c r="N31" s="68">
        <v>51374</v>
      </c>
      <c r="O31" s="68">
        <v>64558.5</v>
      </c>
      <c r="P31" s="68">
        <v>51277.5</v>
      </c>
      <c r="Q31" s="68">
        <v>64608.5</v>
      </c>
      <c r="R31" s="68">
        <v>50876.23</v>
      </c>
      <c r="S31" s="68">
        <v>64608.5</v>
      </c>
      <c r="T31" s="68">
        <v>42562</v>
      </c>
      <c r="U31" s="68">
        <v>64608.5</v>
      </c>
      <c r="V31" s="68">
        <v>50127.5</v>
      </c>
      <c r="W31" s="68">
        <v>64608.5</v>
      </c>
      <c r="X31" s="68">
        <v>43227.5</v>
      </c>
      <c r="Y31" s="68">
        <v>64608.5</v>
      </c>
      <c r="Z31" s="68">
        <v>42427.5</v>
      </c>
      <c r="AA31" s="51">
        <f t="shared" si="11"/>
        <v>774402</v>
      </c>
      <c r="AB31" s="51">
        <f t="shared" si="12"/>
        <v>645775.68999999994</v>
      </c>
      <c r="AC31" s="104"/>
      <c r="AD31" s="31">
        <f t="shared" si="13"/>
        <v>774402</v>
      </c>
      <c r="AE31" s="31">
        <f t="shared" si="14"/>
        <v>645775.68999999994</v>
      </c>
      <c r="AF31" s="17">
        <f t="shared" si="17"/>
        <v>0</v>
      </c>
      <c r="AG31" s="17">
        <f t="shared" si="18"/>
        <v>0</v>
      </c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61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</row>
    <row r="32" spans="1:119" s="19" customFormat="1" ht="18" customHeight="1" outlineLevel="2" x14ac:dyDescent="0.25">
      <c r="A32" s="48" t="s">
        <v>109</v>
      </c>
      <c r="B32" s="53"/>
      <c r="C32" s="64">
        <v>90737.94</v>
      </c>
      <c r="D32" s="68">
        <v>50500.5</v>
      </c>
      <c r="E32" s="68">
        <v>53915.9</v>
      </c>
      <c r="F32" s="68">
        <f>28405-14324</f>
        <v>14081</v>
      </c>
      <c r="G32" s="68">
        <v>82883.3</v>
      </c>
      <c r="H32" s="50">
        <f>36986-2894</f>
        <v>34092</v>
      </c>
      <c r="I32" s="68">
        <v>95960.08</v>
      </c>
      <c r="J32" s="68">
        <f>72124-8846</f>
        <v>63278</v>
      </c>
      <c r="K32" s="68">
        <v>89163.9</v>
      </c>
      <c r="L32" s="68">
        <v>-648</v>
      </c>
      <c r="M32" s="68">
        <v>95264.33</v>
      </c>
      <c r="N32" s="68">
        <f>25300+14324-8906+8846</f>
        <v>39564</v>
      </c>
      <c r="O32" s="68">
        <v>101705.84</v>
      </c>
      <c r="P32" s="68">
        <f>11809</f>
        <v>11809</v>
      </c>
      <c r="Q32" s="68">
        <v>111861.84</v>
      </c>
      <c r="R32" s="68">
        <v>21003</v>
      </c>
      <c r="S32" s="68">
        <v>136917.73000000001</v>
      </c>
      <c r="T32" s="68">
        <f>82527-33360</f>
        <v>49167</v>
      </c>
      <c r="U32" s="68">
        <v>112103.93</v>
      </c>
      <c r="V32" s="68">
        <f>32358-5749</f>
        <v>26609</v>
      </c>
      <c r="W32" s="68">
        <v>121703.93</v>
      </c>
      <c r="X32" s="68">
        <v>25118</v>
      </c>
      <c r="Y32" s="68">
        <v>168181.3</v>
      </c>
      <c r="Z32" s="68">
        <f>-17287+15273+35636</f>
        <v>33622</v>
      </c>
      <c r="AA32" s="51">
        <f t="shared" si="11"/>
        <v>1260400.02</v>
      </c>
      <c r="AB32" s="51">
        <f t="shared" si="12"/>
        <v>368195.5</v>
      </c>
      <c r="AC32" s="104"/>
      <c r="AD32" s="31">
        <f t="shared" si="13"/>
        <v>1260400.02</v>
      </c>
      <c r="AE32" s="31">
        <f t="shared" si="14"/>
        <v>368195.5</v>
      </c>
      <c r="AF32" s="17">
        <f t="shared" si="17"/>
        <v>0</v>
      </c>
      <c r="AG32" s="17">
        <f t="shared" si="18"/>
        <v>0</v>
      </c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61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</row>
    <row r="33" spans="1:119" s="17" customFormat="1" ht="18" customHeight="1" outlineLevel="1" x14ac:dyDescent="0.25">
      <c r="A33" s="67" t="s">
        <v>110</v>
      </c>
      <c r="B33" s="45"/>
      <c r="C33" s="65">
        <f t="shared" ref="C33:Z33" si="19">SUM(C34:C38)</f>
        <v>8808.7999999999993</v>
      </c>
      <c r="D33" s="65">
        <f t="shared" si="19"/>
        <v>9817.9599999999991</v>
      </c>
      <c r="E33" s="65">
        <f t="shared" si="19"/>
        <v>8808.7999999999993</v>
      </c>
      <c r="F33" s="65">
        <f t="shared" si="19"/>
        <v>7158.7200000000012</v>
      </c>
      <c r="G33" s="65">
        <f t="shared" si="19"/>
        <v>8808.7999999999993</v>
      </c>
      <c r="H33" s="65">
        <f t="shared" si="19"/>
        <v>8488.34</v>
      </c>
      <c r="I33" s="65">
        <f t="shared" si="19"/>
        <v>8808.7999999999993</v>
      </c>
      <c r="J33" s="65">
        <f t="shared" si="19"/>
        <v>8488.34</v>
      </c>
      <c r="K33" s="65">
        <f t="shared" si="19"/>
        <v>8808.7999999999993</v>
      </c>
      <c r="L33" s="65">
        <f t="shared" si="19"/>
        <v>10511.890000000001</v>
      </c>
      <c r="M33" s="65">
        <f t="shared" si="19"/>
        <v>8808.7999999999993</v>
      </c>
      <c r="N33" s="65">
        <f t="shared" si="19"/>
        <v>6464.79</v>
      </c>
      <c r="O33" s="65">
        <f t="shared" si="19"/>
        <v>8808.7999999999993</v>
      </c>
      <c r="P33" s="65">
        <f t="shared" si="19"/>
        <v>7275.72</v>
      </c>
      <c r="Q33" s="65">
        <f t="shared" si="19"/>
        <v>8808.7999999999993</v>
      </c>
      <c r="R33" s="65">
        <f t="shared" si="19"/>
        <v>7275.72</v>
      </c>
      <c r="S33" s="65">
        <f t="shared" si="19"/>
        <v>8808.7999999999993</v>
      </c>
      <c r="T33" s="65">
        <f t="shared" si="19"/>
        <v>6892.09</v>
      </c>
      <c r="U33" s="65">
        <f t="shared" si="19"/>
        <v>8808.7999999999993</v>
      </c>
      <c r="V33" s="65">
        <f t="shared" si="19"/>
        <v>6395.9699999999993</v>
      </c>
      <c r="W33" s="65">
        <f t="shared" si="19"/>
        <v>8808.7999999999993</v>
      </c>
      <c r="X33" s="65">
        <f t="shared" si="19"/>
        <v>6306.58</v>
      </c>
      <c r="Y33" s="65">
        <f t="shared" si="19"/>
        <v>8808.7999999999993</v>
      </c>
      <c r="Z33" s="65">
        <f t="shared" si="19"/>
        <v>6282.35</v>
      </c>
      <c r="AA33" s="47">
        <f t="shared" si="11"/>
        <v>105705.60000000002</v>
      </c>
      <c r="AB33" s="51">
        <f t="shared" si="12"/>
        <v>91358.470000000016</v>
      </c>
      <c r="AC33" s="103"/>
      <c r="AD33" s="31">
        <f t="shared" si="13"/>
        <v>105705.60000000002</v>
      </c>
      <c r="AE33" s="31">
        <f t="shared" si="14"/>
        <v>91358.470000000016</v>
      </c>
      <c r="AF33" s="17">
        <f t="shared" si="17"/>
        <v>0</v>
      </c>
      <c r="AG33" s="17">
        <f t="shared" si="18"/>
        <v>0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66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</row>
    <row r="34" spans="1:119" s="19" customFormat="1" ht="18" customHeight="1" outlineLevel="2" x14ac:dyDescent="0.25">
      <c r="A34" s="48" t="s">
        <v>111</v>
      </c>
      <c r="B34" s="53"/>
      <c r="C34" s="64">
        <v>5460</v>
      </c>
      <c r="D34" s="68">
        <v>6194.88</v>
      </c>
      <c r="E34" s="68">
        <v>5460</v>
      </c>
      <c r="F34" s="68">
        <v>4584</v>
      </c>
      <c r="G34" s="68">
        <v>5460</v>
      </c>
      <c r="H34" s="50">
        <v>5389.44</v>
      </c>
      <c r="I34" s="68">
        <v>5460</v>
      </c>
      <c r="J34" s="68">
        <v>5389.44</v>
      </c>
      <c r="K34" s="68">
        <v>5460</v>
      </c>
      <c r="L34" s="68">
        <v>6606.4</v>
      </c>
      <c r="M34" s="68">
        <v>5460</v>
      </c>
      <c r="N34" s="68">
        <v>4172.4799999999996</v>
      </c>
      <c r="O34" s="68">
        <v>5460</v>
      </c>
      <c r="P34" s="68">
        <v>4619.5200000000004</v>
      </c>
      <c r="Q34" s="68">
        <v>5460</v>
      </c>
      <c r="R34" s="68">
        <v>4619.5200000000004</v>
      </c>
      <c r="S34" s="68">
        <v>5460</v>
      </c>
      <c r="T34" s="68">
        <v>4601.28</v>
      </c>
      <c r="U34" s="68">
        <v>5460</v>
      </c>
      <c r="V34" s="68">
        <v>4058.56</v>
      </c>
      <c r="W34" s="68">
        <v>5460</v>
      </c>
      <c r="X34" s="68">
        <v>4004.48</v>
      </c>
      <c r="Y34" s="68">
        <v>5460</v>
      </c>
      <c r="Z34" s="68">
        <v>3988.8</v>
      </c>
      <c r="AA34" s="51">
        <f t="shared" si="11"/>
        <v>65520</v>
      </c>
      <c r="AB34" s="51">
        <f t="shared" si="12"/>
        <v>58228.799999999996</v>
      </c>
      <c r="AC34" s="104"/>
      <c r="AD34" s="31">
        <f t="shared" si="13"/>
        <v>65520</v>
      </c>
      <c r="AE34" s="31">
        <f t="shared" si="14"/>
        <v>58228.799999999996</v>
      </c>
      <c r="AF34" s="17">
        <f t="shared" si="17"/>
        <v>0</v>
      </c>
      <c r="AG34" s="17">
        <f t="shared" si="18"/>
        <v>0</v>
      </c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61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</row>
    <row r="35" spans="1:119" s="19" customFormat="1" ht="18" customHeight="1" outlineLevel="2" x14ac:dyDescent="0.25">
      <c r="A35" s="48" t="s">
        <v>112</v>
      </c>
      <c r="B35" s="53"/>
      <c r="C35" s="64">
        <v>2912</v>
      </c>
      <c r="D35" s="68">
        <v>3340.26</v>
      </c>
      <c r="E35" s="68">
        <v>2912</v>
      </c>
      <c r="F35" s="68">
        <v>2386.02</v>
      </c>
      <c r="G35" s="68">
        <v>2912</v>
      </c>
      <c r="H35" s="50">
        <v>2863.14</v>
      </c>
      <c r="I35" s="68">
        <v>2912</v>
      </c>
      <c r="J35" s="68">
        <v>2863.14</v>
      </c>
      <c r="K35" s="68">
        <v>2912</v>
      </c>
      <c r="L35" s="68">
        <v>3595.8</v>
      </c>
      <c r="M35" s="68">
        <v>2912</v>
      </c>
      <c r="N35" s="68">
        <v>2130.48</v>
      </c>
      <c r="O35" s="68">
        <v>2912</v>
      </c>
      <c r="P35" s="68">
        <v>2454.12</v>
      </c>
      <c r="Q35" s="68">
        <v>2912</v>
      </c>
      <c r="R35" s="68">
        <v>2454.12</v>
      </c>
      <c r="S35" s="68">
        <v>2912</v>
      </c>
      <c r="T35" s="68">
        <v>2089.4699999999998</v>
      </c>
      <c r="U35" s="68">
        <v>2912</v>
      </c>
      <c r="V35" s="68">
        <v>2159.16</v>
      </c>
      <c r="W35" s="68">
        <v>2912</v>
      </c>
      <c r="X35" s="68">
        <v>2127</v>
      </c>
      <c r="Y35" s="68">
        <v>2912</v>
      </c>
      <c r="Z35" s="68">
        <v>2119.0500000000002</v>
      </c>
      <c r="AA35" s="51">
        <f t="shared" si="11"/>
        <v>34944</v>
      </c>
      <c r="AB35" s="51">
        <f t="shared" si="12"/>
        <v>30581.759999999998</v>
      </c>
      <c r="AC35" s="104"/>
      <c r="AD35" s="31">
        <f t="shared" si="13"/>
        <v>34944</v>
      </c>
      <c r="AE35" s="31">
        <f t="shared" si="14"/>
        <v>30581.759999999998</v>
      </c>
      <c r="AF35" s="17">
        <f t="shared" si="17"/>
        <v>0</v>
      </c>
      <c r="AG35" s="17">
        <f t="shared" si="18"/>
        <v>0</v>
      </c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61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</row>
    <row r="36" spans="1:119" s="19" customFormat="1" ht="18" customHeight="1" outlineLevel="2" x14ac:dyDescent="0.25">
      <c r="A36" s="48" t="s">
        <v>113</v>
      </c>
      <c r="B36" s="53"/>
      <c r="C36" s="64">
        <v>72.8</v>
      </c>
      <c r="D36" s="68">
        <v>89.23</v>
      </c>
      <c r="E36" s="68">
        <v>72.8</v>
      </c>
      <c r="F36" s="68">
        <v>38.89</v>
      </c>
      <c r="G36" s="68">
        <v>72.8</v>
      </c>
      <c r="H36" s="50">
        <v>64.06</v>
      </c>
      <c r="I36" s="68">
        <v>72.8</v>
      </c>
      <c r="J36" s="68">
        <v>64.06</v>
      </c>
      <c r="K36" s="68">
        <v>72.8</v>
      </c>
      <c r="L36" s="68">
        <v>103.24</v>
      </c>
      <c r="M36" s="68">
        <v>72.8</v>
      </c>
      <c r="N36" s="68">
        <v>44.56</v>
      </c>
      <c r="O36" s="68">
        <v>72.8</v>
      </c>
      <c r="P36" s="68">
        <v>57.72</v>
      </c>
      <c r="Q36" s="68">
        <v>72.8</v>
      </c>
      <c r="R36" s="68">
        <v>57.72</v>
      </c>
      <c r="S36" s="68">
        <v>72.8</v>
      </c>
      <c r="T36" s="68">
        <v>57.55</v>
      </c>
      <c r="U36" s="68">
        <v>72.8</v>
      </c>
      <c r="V36" s="68">
        <v>51.42</v>
      </c>
      <c r="W36" s="68">
        <v>72.8</v>
      </c>
      <c r="X36" s="68">
        <v>49.96</v>
      </c>
      <c r="Y36" s="68">
        <v>72.8</v>
      </c>
      <c r="Z36" s="68">
        <v>49.85</v>
      </c>
      <c r="AA36" s="51">
        <f t="shared" si="11"/>
        <v>873.5999999999998</v>
      </c>
      <c r="AB36" s="51">
        <f t="shared" si="12"/>
        <v>728.26</v>
      </c>
      <c r="AC36" s="104"/>
      <c r="AD36" s="31">
        <f t="shared" si="13"/>
        <v>873.5999999999998</v>
      </c>
      <c r="AE36" s="31">
        <f t="shared" si="14"/>
        <v>728.26</v>
      </c>
      <c r="AF36" s="17">
        <f t="shared" si="17"/>
        <v>0</v>
      </c>
      <c r="AG36" s="17">
        <f t="shared" si="18"/>
        <v>0</v>
      </c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61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</row>
    <row r="37" spans="1:119" s="19" customFormat="1" ht="18" customHeight="1" outlineLevel="2" x14ac:dyDescent="0.25">
      <c r="A37" s="48" t="s">
        <v>114</v>
      </c>
      <c r="B37" s="53"/>
      <c r="C37" s="64">
        <v>182</v>
      </c>
      <c r="D37" s="68">
        <v>193.59</v>
      </c>
      <c r="E37" s="68">
        <v>182</v>
      </c>
      <c r="F37" s="68">
        <v>149.81</v>
      </c>
      <c r="G37" s="68">
        <v>182</v>
      </c>
      <c r="H37" s="50">
        <v>171.7</v>
      </c>
      <c r="I37" s="68">
        <v>182</v>
      </c>
      <c r="J37" s="68">
        <v>171.7</v>
      </c>
      <c r="K37" s="68">
        <v>182</v>
      </c>
      <c r="L37" s="68">
        <v>206.45</v>
      </c>
      <c r="M37" s="68">
        <v>182</v>
      </c>
      <c r="N37" s="68">
        <v>117.27</v>
      </c>
      <c r="O37" s="68">
        <v>182</v>
      </c>
      <c r="P37" s="68">
        <v>144.36000000000001</v>
      </c>
      <c r="Q37" s="68">
        <v>182</v>
      </c>
      <c r="R37" s="68">
        <v>144.36000000000001</v>
      </c>
      <c r="S37" s="68">
        <v>182</v>
      </c>
      <c r="T37" s="68">
        <v>143.79</v>
      </c>
      <c r="U37" s="68">
        <v>182</v>
      </c>
      <c r="V37" s="68">
        <v>126.83</v>
      </c>
      <c r="W37" s="68">
        <v>182</v>
      </c>
      <c r="X37" s="68">
        <v>125.14</v>
      </c>
      <c r="Y37" s="68">
        <v>182</v>
      </c>
      <c r="Z37" s="68">
        <v>124.65</v>
      </c>
      <c r="AA37" s="51">
        <f t="shared" si="11"/>
        <v>2184</v>
      </c>
      <c r="AB37" s="51">
        <f t="shared" si="12"/>
        <v>1819.6500000000003</v>
      </c>
      <c r="AC37" s="104"/>
      <c r="AD37" s="31">
        <f t="shared" si="13"/>
        <v>2184</v>
      </c>
      <c r="AE37" s="31">
        <f t="shared" si="14"/>
        <v>1819.6500000000003</v>
      </c>
      <c r="AF37" s="17">
        <f t="shared" si="17"/>
        <v>0</v>
      </c>
      <c r="AG37" s="17">
        <f t="shared" si="18"/>
        <v>0</v>
      </c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61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</row>
    <row r="38" spans="1:119" s="19" customFormat="1" ht="18" customHeight="1" outlineLevel="2" x14ac:dyDescent="0.25">
      <c r="A38" s="48" t="s">
        <v>115</v>
      </c>
      <c r="B38" s="53"/>
      <c r="C38" s="64">
        <v>182</v>
      </c>
      <c r="D38" s="68">
        <v>0</v>
      </c>
      <c r="E38" s="68">
        <v>182</v>
      </c>
      <c r="F38" s="68">
        <v>0</v>
      </c>
      <c r="G38" s="68">
        <v>182</v>
      </c>
      <c r="H38" s="50">
        <v>0</v>
      </c>
      <c r="I38" s="68">
        <v>182</v>
      </c>
      <c r="J38" s="68">
        <v>0</v>
      </c>
      <c r="K38" s="68">
        <v>182</v>
      </c>
      <c r="L38" s="68">
        <v>0</v>
      </c>
      <c r="M38" s="68">
        <v>182</v>
      </c>
      <c r="N38" s="68">
        <v>0</v>
      </c>
      <c r="O38" s="68">
        <v>182</v>
      </c>
      <c r="P38" s="68">
        <v>0</v>
      </c>
      <c r="Q38" s="68">
        <v>182</v>
      </c>
      <c r="R38" s="68">
        <v>0</v>
      </c>
      <c r="S38" s="68">
        <v>182</v>
      </c>
      <c r="T38" s="68">
        <v>0</v>
      </c>
      <c r="U38" s="68">
        <v>182</v>
      </c>
      <c r="V38" s="68">
        <v>0</v>
      </c>
      <c r="W38" s="68">
        <v>182</v>
      </c>
      <c r="X38" s="68">
        <v>0</v>
      </c>
      <c r="Y38" s="68">
        <v>182</v>
      </c>
      <c r="Z38" s="68">
        <v>0</v>
      </c>
      <c r="AA38" s="51">
        <f t="shared" si="11"/>
        <v>2184</v>
      </c>
      <c r="AB38" s="51">
        <f t="shared" si="12"/>
        <v>0</v>
      </c>
      <c r="AC38" s="104"/>
      <c r="AD38" s="31">
        <f t="shared" si="13"/>
        <v>2184</v>
      </c>
      <c r="AE38" s="31">
        <f t="shared" si="14"/>
        <v>0</v>
      </c>
      <c r="AF38" s="17">
        <f t="shared" si="17"/>
        <v>0</v>
      </c>
      <c r="AG38" s="17">
        <f t="shared" si="18"/>
        <v>0</v>
      </c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61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</row>
    <row r="39" spans="1:119" s="19" customFormat="1" ht="18" customHeight="1" outlineLevel="1" x14ac:dyDescent="0.25">
      <c r="A39" s="48" t="s">
        <v>116</v>
      </c>
      <c r="B39" s="53"/>
      <c r="C39" s="64">
        <v>1883</v>
      </c>
      <c r="D39" s="68">
        <v>2032</v>
      </c>
      <c r="E39" s="68">
        <v>1883</v>
      </c>
      <c r="F39" s="68">
        <v>1734</v>
      </c>
      <c r="G39" s="68">
        <v>1883</v>
      </c>
      <c r="H39" s="50">
        <v>1883</v>
      </c>
      <c r="I39" s="68">
        <v>1883</v>
      </c>
      <c r="J39" s="68">
        <v>1883</v>
      </c>
      <c r="K39" s="68">
        <v>1883</v>
      </c>
      <c r="L39" s="68">
        <v>2181</v>
      </c>
      <c r="M39" s="68">
        <v>1883</v>
      </c>
      <c r="N39" s="68">
        <v>1585</v>
      </c>
      <c r="O39" s="68">
        <v>1883</v>
      </c>
      <c r="P39" s="68">
        <v>1614</v>
      </c>
      <c r="Q39" s="68">
        <v>1883</v>
      </c>
      <c r="R39" s="68">
        <v>1614</v>
      </c>
      <c r="S39" s="68">
        <v>1883</v>
      </c>
      <c r="T39" s="68">
        <v>1345</v>
      </c>
      <c r="U39" s="68">
        <v>1883</v>
      </c>
      <c r="V39" s="68">
        <v>1345</v>
      </c>
      <c r="W39" s="68">
        <v>1883</v>
      </c>
      <c r="X39" s="68">
        <v>1345</v>
      </c>
      <c r="Y39" s="68">
        <v>1883</v>
      </c>
      <c r="Z39" s="68">
        <v>1345</v>
      </c>
      <c r="AA39" s="51">
        <f t="shared" si="11"/>
        <v>22596</v>
      </c>
      <c r="AB39" s="51">
        <f t="shared" si="12"/>
        <v>19906</v>
      </c>
      <c r="AC39" s="104"/>
      <c r="AD39" s="31">
        <f t="shared" si="13"/>
        <v>22596</v>
      </c>
      <c r="AE39" s="31">
        <f t="shared" si="14"/>
        <v>19906</v>
      </c>
      <c r="AF39" s="17">
        <f t="shared" si="17"/>
        <v>0</v>
      </c>
      <c r="AG39" s="17">
        <f t="shared" si="18"/>
        <v>0</v>
      </c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61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</row>
    <row r="40" spans="1:119" s="19" customFormat="1" ht="18" customHeight="1" outlineLevel="1" x14ac:dyDescent="0.25">
      <c r="A40" s="48" t="s">
        <v>117</v>
      </c>
      <c r="B40" s="53"/>
      <c r="C40" s="64"/>
      <c r="D40" s="68">
        <v>0</v>
      </c>
      <c r="E40" s="68"/>
      <c r="F40" s="68">
        <v>0</v>
      </c>
      <c r="G40" s="68"/>
      <c r="H40" s="50">
        <v>0</v>
      </c>
      <c r="I40" s="68"/>
      <c r="J40" s="68">
        <v>0</v>
      </c>
      <c r="K40" s="68"/>
      <c r="L40" s="68">
        <v>0</v>
      </c>
      <c r="M40" s="68"/>
      <c r="N40" s="68">
        <v>0</v>
      </c>
      <c r="O40" s="68"/>
      <c r="P40" s="68">
        <v>0</v>
      </c>
      <c r="Q40" s="68"/>
      <c r="R40" s="68">
        <v>0</v>
      </c>
      <c r="S40" s="68"/>
      <c r="T40" s="68">
        <v>0</v>
      </c>
      <c r="U40" s="68"/>
      <c r="V40" s="68">
        <v>0</v>
      </c>
      <c r="W40" s="68"/>
      <c r="X40" s="68">
        <v>0</v>
      </c>
      <c r="Y40" s="68"/>
      <c r="Z40" s="68">
        <v>0</v>
      </c>
      <c r="AA40" s="51">
        <f t="shared" si="11"/>
        <v>0</v>
      </c>
      <c r="AB40" s="51">
        <f t="shared" si="12"/>
        <v>0</v>
      </c>
      <c r="AC40" s="104"/>
      <c r="AD40" s="31">
        <f t="shared" si="13"/>
        <v>0</v>
      </c>
      <c r="AE40" s="31">
        <f t="shared" si="14"/>
        <v>0</v>
      </c>
      <c r="AF40" s="17">
        <f t="shared" si="17"/>
        <v>0</v>
      </c>
      <c r="AG40" s="17">
        <f t="shared" si="18"/>
        <v>0</v>
      </c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61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</row>
    <row r="41" spans="1:119" s="19" customFormat="1" ht="18" customHeight="1" outlineLevel="1" x14ac:dyDescent="0.25">
      <c r="A41" s="48" t="s">
        <v>118</v>
      </c>
      <c r="B41" s="53"/>
      <c r="C41" s="64"/>
      <c r="D41" s="68">
        <v>0</v>
      </c>
      <c r="E41" s="68"/>
      <c r="F41" s="68">
        <v>0</v>
      </c>
      <c r="G41" s="68"/>
      <c r="H41" s="50">
        <v>0</v>
      </c>
      <c r="I41" s="68"/>
      <c r="J41" s="68">
        <v>0</v>
      </c>
      <c r="K41" s="68"/>
      <c r="L41" s="68">
        <v>0</v>
      </c>
      <c r="M41" s="68"/>
      <c r="N41" s="68">
        <v>0</v>
      </c>
      <c r="O41" s="68"/>
      <c r="P41" s="68">
        <v>0</v>
      </c>
      <c r="Q41" s="68"/>
      <c r="R41" s="68">
        <v>0</v>
      </c>
      <c r="S41" s="68"/>
      <c r="T41" s="68">
        <v>0</v>
      </c>
      <c r="U41" s="68"/>
      <c r="V41" s="68">
        <v>0</v>
      </c>
      <c r="W41" s="68"/>
      <c r="X41" s="68">
        <v>0</v>
      </c>
      <c r="Y41" s="68"/>
      <c r="Z41" s="68">
        <v>0</v>
      </c>
      <c r="AA41" s="51">
        <f t="shared" si="11"/>
        <v>0</v>
      </c>
      <c r="AB41" s="51">
        <f t="shared" si="12"/>
        <v>0</v>
      </c>
      <c r="AC41" s="104"/>
      <c r="AD41" s="31">
        <f t="shared" si="13"/>
        <v>0</v>
      </c>
      <c r="AE41" s="31">
        <f t="shared" si="14"/>
        <v>0</v>
      </c>
      <c r="AF41" s="17">
        <f t="shared" si="17"/>
        <v>0</v>
      </c>
      <c r="AG41" s="17">
        <f t="shared" si="18"/>
        <v>0</v>
      </c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61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</row>
    <row r="42" spans="1:119" s="17" customFormat="1" ht="18" customHeight="1" outlineLevel="1" x14ac:dyDescent="0.25">
      <c r="A42" s="67" t="s">
        <v>119</v>
      </c>
      <c r="B42" s="45"/>
      <c r="C42" s="65">
        <f t="shared" ref="C42:Z42" si="20">SUM(C43:C49)</f>
        <v>1900</v>
      </c>
      <c r="D42" s="65">
        <f t="shared" si="20"/>
        <v>2136.9</v>
      </c>
      <c r="E42" s="65">
        <f t="shared" si="20"/>
        <v>500</v>
      </c>
      <c r="F42" s="65">
        <f t="shared" si="20"/>
        <v>3538.7</v>
      </c>
      <c r="G42" s="65">
        <f t="shared" si="20"/>
        <v>665</v>
      </c>
      <c r="H42" s="65">
        <f t="shared" si="20"/>
        <v>0</v>
      </c>
      <c r="I42" s="65">
        <f t="shared" si="20"/>
        <v>500</v>
      </c>
      <c r="J42" s="65">
        <f t="shared" si="20"/>
        <v>1064.9000000000001</v>
      </c>
      <c r="K42" s="65">
        <f t="shared" si="20"/>
        <v>500</v>
      </c>
      <c r="L42" s="65">
        <f t="shared" si="20"/>
        <v>-78.8</v>
      </c>
      <c r="M42" s="65">
        <f t="shared" si="20"/>
        <v>610</v>
      </c>
      <c r="N42" s="65">
        <f t="shared" si="20"/>
        <v>545.20000000000005</v>
      </c>
      <c r="O42" s="65">
        <f t="shared" si="20"/>
        <v>500</v>
      </c>
      <c r="P42" s="65">
        <f t="shared" si="20"/>
        <v>82.35</v>
      </c>
      <c r="Q42" s="65">
        <f t="shared" si="20"/>
        <v>500</v>
      </c>
      <c r="R42" s="65">
        <f t="shared" si="20"/>
        <v>626.42999999999995</v>
      </c>
      <c r="S42" s="65">
        <f t="shared" si="20"/>
        <v>610</v>
      </c>
      <c r="T42" s="65">
        <f t="shared" si="20"/>
        <v>1535.9</v>
      </c>
      <c r="U42" s="65">
        <f t="shared" si="20"/>
        <v>1900</v>
      </c>
      <c r="V42" s="65">
        <f t="shared" si="20"/>
        <v>704.9</v>
      </c>
      <c r="W42" s="65">
        <f t="shared" si="20"/>
        <v>500</v>
      </c>
      <c r="X42" s="65">
        <f t="shared" si="20"/>
        <v>189.4</v>
      </c>
      <c r="Y42" s="65">
        <f t="shared" si="20"/>
        <v>500</v>
      </c>
      <c r="Z42" s="65">
        <f t="shared" si="20"/>
        <v>449</v>
      </c>
      <c r="AA42" s="47">
        <f t="shared" si="11"/>
        <v>9185</v>
      </c>
      <c r="AB42" s="51">
        <f t="shared" si="12"/>
        <v>10794.88</v>
      </c>
      <c r="AC42" s="103"/>
      <c r="AD42" s="31">
        <f t="shared" si="13"/>
        <v>9185</v>
      </c>
      <c r="AE42" s="31">
        <f t="shared" si="14"/>
        <v>10794.88</v>
      </c>
      <c r="AF42" s="17">
        <f t="shared" si="17"/>
        <v>0</v>
      </c>
      <c r="AG42" s="17">
        <f t="shared" si="18"/>
        <v>0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66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</row>
    <row r="43" spans="1:119" s="19" customFormat="1" ht="18" customHeight="1" outlineLevel="2" x14ac:dyDescent="0.25">
      <c r="A43" s="48" t="s">
        <v>120</v>
      </c>
      <c r="B43" s="53"/>
      <c r="C43" s="64"/>
      <c r="D43" s="68">
        <v>0</v>
      </c>
      <c r="E43" s="68"/>
      <c r="F43" s="68">
        <v>0</v>
      </c>
      <c r="G43" s="68"/>
      <c r="H43" s="50">
        <v>0</v>
      </c>
      <c r="I43" s="68"/>
      <c r="J43" s="68">
        <v>0</v>
      </c>
      <c r="K43" s="68"/>
      <c r="L43" s="68">
        <v>0</v>
      </c>
      <c r="M43" s="68"/>
      <c r="N43" s="68">
        <v>0</v>
      </c>
      <c r="O43" s="68"/>
      <c r="P43" s="68">
        <v>0</v>
      </c>
      <c r="Q43" s="68"/>
      <c r="R43" s="68">
        <v>0</v>
      </c>
      <c r="S43" s="68"/>
      <c r="T43" s="68">
        <v>0</v>
      </c>
      <c r="U43" s="68"/>
      <c r="V43" s="68">
        <v>0</v>
      </c>
      <c r="W43" s="68"/>
      <c r="X43" s="68">
        <v>0</v>
      </c>
      <c r="Y43" s="68"/>
      <c r="Z43" s="68">
        <v>0</v>
      </c>
      <c r="AA43" s="51">
        <f t="shared" si="11"/>
        <v>0</v>
      </c>
      <c r="AB43" s="51">
        <f t="shared" si="12"/>
        <v>0</v>
      </c>
      <c r="AC43" s="104"/>
      <c r="AD43" s="31">
        <f t="shared" si="13"/>
        <v>0</v>
      </c>
      <c r="AE43" s="31">
        <f t="shared" si="14"/>
        <v>0</v>
      </c>
      <c r="AF43" s="17">
        <f t="shared" si="17"/>
        <v>0</v>
      </c>
      <c r="AG43" s="17">
        <f t="shared" si="18"/>
        <v>0</v>
      </c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61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</row>
    <row r="44" spans="1:119" s="19" customFormat="1" ht="18" customHeight="1" outlineLevel="2" x14ac:dyDescent="0.25">
      <c r="A44" s="48" t="s">
        <v>121</v>
      </c>
      <c r="B44" s="53"/>
      <c r="C44" s="64">
        <v>500</v>
      </c>
      <c r="D44" s="68">
        <v>736.9</v>
      </c>
      <c r="E44" s="68">
        <v>500</v>
      </c>
      <c r="F44" s="68">
        <v>538.70000000000005</v>
      </c>
      <c r="G44" s="68">
        <v>500</v>
      </c>
      <c r="H44" s="50">
        <v>0</v>
      </c>
      <c r="I44" s="68">
        <v>500</v>
      </c>
      <c r="J44" s="68">
        <v>1064.9000000000001</v>
      </c>
      <c r="K44" s="68">
        <v>500</v>
      </c>
      <c r="L44" s="68">
        <v>-78.8</v>
      </c>
      <c r="M44" s="68">
        <v>500</v>
      </c>
      <c r="N44" s="68">
        <v>545.20000000000005</v>
      </c>
      <c r="O44" s="68">
        <v>500</v>
      </c>
      <c r="P44" s="68">
        <v>82.35</v>
      </c>
      <c r="Q44" s="68">
        <v>500</v>
      </c>
      <c r="R44" s="68">
        <v>626.42999999999995</v>
      </c>
      <c r="S44" s="68">
        <v>500</v>
      </c>
      <c r="T44" s="68">
        <v>535.9</v>
      </c>
      <c r="U44" s="68">
        <v>500</v>
      </c>
      <c r="V44" s="68">
        <v>704.9</v>
      </c>
      <c r="W44" s="68">
        <v>500</v>
      </c>
      <c r="X44" s="68">
        <v>189.4</v>
      </c>
      <c r="Y44" s="68">
        <v>500</v>
      </c>
      <c r="Z44" s="68">
        <v>449</v>
      </c>
      <c r="AA44" s="51">
        <f t="shared" si="11"/>
        <v>6000</v>
      </c>
      <c r="AB44" s="51">
        <f t="shared" si="12"/>
        <v>5394.8799999999992</v>
      </c>
      <c r="AC44" s="104"/>
      <c r="AD44" s="31">
        <f t="shared" si="13"/>
        <v>6000</v>
      </c>
      <c r="AE44" s="31">
        <f t="shared" si="14"/>
        <v>5394.8799999999992</v>
      </c>
      <c r="AF44" s="17">
        <f t="shared" si="17"/>
        <v>0</v>
      </c>
      <c r="AG44" s="17">
        <f t="shared" si="18"/>
        <v>0</v>
      </c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61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</row>
    <row r="45" spans="1:119" s="19" customFormat="1" ht="18" customHeight="1" outlineLevel="2" x14ac:dyDescent="0.25">
      <c r="A45" s="48" t="s">
        <v>122</v>
      </c>
      <c r="B45" s="53"/>
      <c r="C45" s="64"/>
      <c r="D45" s="68">
        <v>0</v>
      </c>
      <c r="E45" s="68"/>
      <c r="F45" s="68">
        <v>0</v>
      </c>
      <c r="G45" s="68"/>
      <c r="H45" s="50">
        <v>0</v>
      </c>
      <c r="I45" s="68"/>
      <c r="J45" s="68">
        <v>0</v>
      </c>
      <c r="K45" s="68"/>
      <c r="L45" s="68">
        <v>0</v>
      </c>
      <c r="M45" s="68"/>
      <c r="N45" s="68">
        <v>0</v>
      </c>
      <c r="O45" s="68"/>
      <c r="P45" s="68">
        <v>0</v>
      </c>
      <c r="Q45" s="68"/>
      <c r="R45" s="68">
        <v>0</v>
      </c>
      <c r="S45" s="68"/>
      <c r="T45" s="68">
        <v>0</v>
      </c>
      <c r="U45" s="68"/>
      <c r="V45" s="68">
        <v>0</v>
      </c>
      <c r="W45" s="68"/>
      <c r="X45" s="68">
        <v>0</v>
      </c>
      <c r="Y45" s="68"/>
      <c r="Z45" s="68">
        <v>0</v>
      </c>
      <c r="AA45" s="51">
        <f t="shared" si="11"/>
        <v>0</v>
      </c>
      <c r="AB45" s="51">
        <f t="shared" si="12"/>
        <v>0</v>
      </c>
      <c r="AC45" s="104"/>
      <c r="AD45" s="31">
        <f t="shared" si="13"/>
        <v>0</v>
      </c>
      <c r="AE45" s="31">
        <f t="shared" si="14"/>
        <v>0</v>
      </c>
      <c r="AF45" s="17">
        <f t="shared" si="17"/>
        <v>0</v>
      </c>
      <c r="AG45" s="17">
        <f t="shared" si="18"/>
        <v>0</v>
      </c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61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</row>
    <row r="46" spans="1:119" s="19" customFormat="1" ht="18" customHeight="1" outlineLevel="2" x14ac:dyDescent="0.25">
      <c r="A46" s="48" t="s">
        <v>123</v>
      </c>
      <c r="B46" s="53"/>
      <c r="C46" s="64">
        <v>1400</v>
      </c>
      <c r="D46" s="68">
        <v>1400</v>
      </c>
      <c r="E46" s="68"/>
      <c r="F46" s="68">
        <v>0</v>
      </c>
      <c r="G46" s="68"/>
      <c r="H46" s="50">
        <v>0</v>
      </c>
      <c r="I46" s="68"/>
      <c r="J46" s="68">
        <v>0</v>
      </c>
      <c r="K46" s="68"/>
      <c r="L46" s="68">
        <v>0</v>
      </c>
      <c r="M46" s="68"/>
      <c r="N46" s="68">
        <v>0</v>
      </c>
      <c r="O46" s="68"/>
      <c r="P46" s="68">
        <v>0</v>
      </c>
      <c r="Q46" s="68"/>
      <c r="R46" s="68">
        <v>0</v>
      </c>
      <c r="S46" s="68"/>
      <c r="T46" s="68">
        <v>1000</v>
      </c>
      <c r="U46" s="68">
        <v>1400</v>
      </c>
      <c r="V46" s="68">
        <v>0</v>
      </c>
      <c r="W46" s="68"/>
      <c r="X46" s="68">
        <v>0</v>
      </c>
      <c r="Y46" s="68"/>
      <c r="Z46" s="68">
        <v>0</v>
      </c>
      <c r="AA46" s="51">
        <f t="shared" si="11"/>
        <v>2800</v>
      </c>
      <c r="AB46" s="51">
        <f t="shared" si="12"/>
        <v>2400</v>
      </c>
      <c r="AC46" s="104"/>
      <c r="AD46" s="31">
        <f t="shared" si="13"/>
        <v>2800</v>
      </c>
      <c r="AE46" s="31">
        <f t="shared" si="14"/>
        <v>2400</v>
      </c>
      <c r="AF46" s="17">
        <f t="shared" si="17"/>
        <v>0</v>
      </c>
      <c r="AG46" s="17">
        <f t="shared" si="18"/>
        <v>0</v>
      </c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61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</row>
    <row r="47" spans="1:119" s="19" customFormat="1" ht="18" customHeight="1" outlineLevel="2" x14ac:dyDescent="0.25">
      <c r="A47" s="48" t="s">
        <v>124</v>
      </c>
      <c r="B47" s="53"/>
      <c r="C47" s="64"/>
      <c r="D47" s="68">
        <v>0</v>
      </c>
      <c r="E47" s="68"/>
      <c r="F47" s="68">
        <v>0</v>
      </c>
      <c r="G47" s="68">
        <v>165</v>
      </c>
      <c r="H47" s="50">
        <v>0</v>
      </c>
      <c r="I47" s="68"/>
      <c r="J47" s="68">
        <v>0</v>
      </c>
      <c r="K47" s="68"/>
      <c r="L47" s="68">
        <v>0</v>
      </c>
      <c r="M47" s="68">
        <v>110</v>
      </c>
      <c r="N47" s="68">
        <v>0</v>
      </c>
      <c r="O47" s="68"/>
      <c r="P47" s="68">
        <v>0</v>
      </c>
      <c r="Q47" s="68"/>
      <c r="R47" s="68">
        <v>0</v>
      </c>
      <c r="S47" s="68">
        <v>110</v>
      </c>
      <c r="T47" s="68">
        <v>0</v>
      </c>
      <c r="U47" s="68"/>
      <c r="V47" s="68">
        <v>0</v>
      </c>
      <c r="W47" s="68"/>
      <c r="X47" s="68">
        <v>0</v>
      </c>
      <c r="Y47" s="68"/>
      <c r="Z47" s="68">
        <v>0</v>
      </c>
      <c r="AA47" s="51">
        <f t="shared" si="11"/>
        <v>385</v>
      </c>
      <c r="AB47" s="51">
        <f t="shared" si="12"/>
        <v>0</v>
      </c>
      <c r="AC47" s="104"/>
      <c r="AD47" s="31">
        <f t="shared" si="13"/>
        <v>385</v>
      </c>
      <c r="AE47" s="31">
        <f t="shared" si="14"/>
        <v>0</v>
      </c>
      <c r="AF47" s="17">
        <f t="shared" si="17"/>
        <v>0</v>
      </c>
      <c r="AG47" s="17">
        <f t="shared" si="18"/>
        <v>0</v>
      </c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61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</row>
    <row r="48" spans="1:119" s="19" customFormat="1" ht="18" customHeight="1" outlineLevel="2" x14ac:dyDescent="0.25">
      <c r="A48" s="48" t="s">
        <v>125</v>
      </c>
      <c r="B48" s="53"/>
      <c r="C48" s="64"/>
      <c r="D48" s="68">
        <v>0</v>
      </c>
      <c r="E48" s="68"/>
      <c r="F48" s="68">
        <v>3000</v>
      </c>
      <c r="G48" s="68"/>
      <c r="H48" s="50">
        <v>0</v>
      </c>
      <c r="I48" s="68"/>
      <c r="J48" s="68">
        <v>0</v>
      </c>
      <c r="K48" s="68"/>
      <c r="L48" s="68">
        <v>0</v>
      </c>
      <c r="M48" s="68"/>
      <c r="N48" s="68">
        <v>0</v>
      </c>
      <c r="O48" s="68"/>
      <c r="P48" s="68">
        <v>0</v>
      </c>
      <c r="Q48" s="68"/>
      <c r="R48" s="68">
        <v>0</v>
      </c>
      <c r="S48" s="68"/>
      <c r="T48" s="68">
        <v>0</v>
      </c>
      <c r="U48" s="68"/>
      <c r="V48" s="68">
        <v>0</v>
      </c>
      <c r="W48" s="68"/>
      <c r="X48" s="68">
        <v>0</v>
      </c>
      <c r="Y48" s="68"/>
      <c r="Z48" s="68">
        <v>0</v>
      </c>
      <c r="AA48" s="51">
        <f t="shared" si="11"/>
        <v>0</v>
      </c>
      <c r="AB48" s="51">
        <f t="shared" si="12"/>
        <v>3000</v>
      </c>
      <c r="AC48" s="104"/>
      <c r="AD48" s="31">
        <f t="shared" si="13"/>
        <v>0</v>
      </c>
      <c r="AE48" s="31">
        <f t="shared" si="14"/>
        <v>3000</v>
      </c>
      <c r="AF48" s="17">
        <f t="shared" si="17"/>
        <v>0</v>
      </c>
      <c r="AG48" s="17">
        <f t="shared" si="18"/>
        <v>0</v>
      </c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61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</row>
    <row r="49" spans="1:119" s="19" customFormat="1" ht="18" customHeight="1" outlineLevel="2" x14ac:dyDescent="0.25">
      <c r="A49" s="48" t="s">
        <v>126</v>
      </c>
      <c r="B49" s="53"/>
      <c r="C49" s="64"/>
      <c r="D49" s="68">
        <v>0</v>
      </c>
      <c r="E49" s="68"/>
      <c r="F49" s="68">
        <v>0</v>
      </c>
      <c r="G49" s="68"/>
      <c r="H49" s="50">
        <v>0</v>
      </c>
      <c r="I49" s="68"/>
      <c r="J49" s="68">
        <v>0</v>
      </c>
      <c r="K49" s="68"/>
      <c r="L49" s="68">
        <v>0</v>
      </c>
      <c r="M49" s="68"/>
      <c r="N49" s="68">
        <v>0</v>
      </c>
      <c r="O49" s="68"/>
      <c r="P49" s="68">
        <v>0</v>
      </c>
      <c r="Q49" s="68"/>
      <c r="R49" s="68">
        <v>0</v>
      </c>
      <c r="S49" s="68"/>
      <c r="T49" s="68">
        <v>0</v>
      </c>
      <c r="U49" s="68"/>
      <c r="V49" s="68">
        <v>0</v>
      </c>
      <c r="W49" s="68"/>
      <c r="X49" s="68">
        <v>0</v>
      </c>
      <c r="Y49" s="68"/>
      <c r="Z49" s="68">
        <v>0</v>
      </c>
      <c r="AA49" s="51">
        <f t="shared" si="11"/>
        <v>0</v>
      </c>
      <c r="AB49" s="51">
        <f t="shared" si="12"/>
        <v>0</v>
      </c>
      <c r="AC49" s="104"/>
      <c r="AD49" s="31">
        <f t="shared" si="13"/>
        <v>0</v>
      </c>
      <c r="AE49" s="31">
        <f t="shared" si="14"/>
        <v>0</v>
      </c>
      <c r="AF49" s="17">
        <f t="shared" si="17"/>
        <v>0</v>
      </c>
      <c r="AG49" s="17">
        <f t="shared" si="18"/>
        <v>0</v>
      </c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61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</row>
    <row r="50" spans="1:119" s="19" customFormat="1" ht="18" customHeight="1" outlineLevel="1" x14ac:dyDescent="0.25">
      <c r="A50" s="48" t="s">
        <v>127</v>
      </c>
      <c r="B50" s="53"/>
      <c r="C50" s="64"/>
      <c r="D50" s="68">
        <v>0</v>
      </c>
      <c r="E50" s="68"/>
      <c r="F50" s="68">
        <v>0</v>
      </c>
      <c r="G50" s="68"/>
      <c r="H50" s="50">
        <v>0</v>
      </c>
      <c r="I50" s="68"/>
      <c r="J50" s="68">
        <v>0</v>
      </c>
      <c r="K50" s="68"/>
      <c r="L50" s="68">
        <v>0</v>
      </c>
      <c r="M50" s="68"/>
      <c r="N50" s="68">
        <v>0</v>
      </c>
      <c r="O50" s="68"/>
      <c r="P50" s="68">
        <v>0</v>
      </c>
      <c r="Q50" s="68"/>
      <c r="R50" s="68">
        <v>0</v>
      </c>
      <c r="S50" s="68"/>
      <c r="T50" s="68">
        <v>0</v>
      </c>
      <c r="U50" s="68"/>
      <c r="V50" s="68">
        <v>0</v>
      </c>
      <c r="W50" s="68"/>
      <c r="X50" s="68">
        <v>0</v>
      </c>
      <c r="Y50" s="68"/>
      <c r="Z50" s="68">
        <v>0</v>
      </c>
      <c r="AA50" s="51">
        <f t="shared" si="11"/>
        <v>0</v>
      </c>
      <c r="AB50" s="51">
        <f t="shared" si="12"/>
        <v>0</v>
      </c>
      <c r="AC50" s="104"/>
      <c r="AD50" s="31">
        <f t="shared" si="13"/>
        <v>0</v>
      </c>
      <c r="AE50" s="31">
        <f t="shared" si="14"/>
        <v>0</v>
      </c>
      <c r="AF50" s="17">
        <f t="shared" si="17"/>
        <v>0</v>
      </c>
      <c r="AG50" s="17">
        <f t="shared" si="18"/>
        <v>0</v>
      </c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61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</row>
    <row r="51" spans="1:119" s="19" customFormat="1" ht="18" customHeight="1" outlineLevel="1" x14ac:dyDescent="0.25">
      <c r="A51" s="48" t="s">
        <v>128</v>
      </c>
      <c r="B51" s="53"/>
      <c r="C51" s="64"/>
      <c r="D51" s="68">
        <v>0</v>
      </c>
      <c r="E51" s="68"/>
      <c r="F51" s="68">
        <v>0</v>
      </c>
      <c r="G51" s="68"/>
      <c r="H51" s="50">
        <v>100</v>
      </c>
      <c r="I51" s="68"/>
      <c r="J51" s="68">
        <v>0</v>
      </c>
      <c r="K51" s="68"/>
      <c r="L51" s="68">
        <v>0</v>
      </c>
      <c r="M51" s="68"/>
      <c r="N51" s="68">
        <v>0</v>
      </c>
      <c r="O51" s="68"/>
      <c r="P51" s="68">
        <v>0</v>
      </c>
      <c r="Q51" s="68"/>
      <c r="R51" s="68">
        <v>0</v>
      </c>
      <c r="S51" s="68"/>
      <c r="T51" s="68">
        <v>100</v>
      </c>
      <c r="U51" s="68"/>
      <c r="V51" s="68">
        <v>100</v>
      </c>
      <c r="W51" s="68"/>
      <c r="X51" s="68">
        <v>100</v>
      </c>
      <c r="Y51" s="68"/>
      <c r="Z51" s="68">
        <v>225</v>
      </c>
      <c r="AA51" s="51">
        <f t="shared" si="11"/>
        <v>0</v>
      </c>
      <c r="AB51" s="51">
        <f t="shared" si="12"/>
        <v>625</v>
      </c>
      <c r="AC51" s="104"/>
      <c r="AD51" s="31">
        <f t="shared" si="13"/>
        <v>0</v>
      </c>
      <c r="AE51" s="31">
        <f t="shared" si="14"/>
        <v>625</v>
      </c>
      <c r="AF51" s="17">
        <f t="shared" si="17"/>
        <v>0</v>
      </c>
      <c r="AG51" s="17">
        <f t="shared" si="18"/>
        <v>0</v>
      </c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61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</row>
    <row r="52" spans="1:119" s="19" customFormat="1" ht="18" customHeight="1" outlineLevel="1" x14ac:dyDescent="0.25">
      <c r="A52" s="48" t="s">
        <v>129</v>
      </c>
      <c r="B52" s="53"/>
      <c r="C52" s="64">
        <v>0</v>
      </c>
      <c r="D52" s="68">
        <v>0</v>
      </c>
      <c r="E52" s="68">
        <v>0</v>
      </c>
      <c r="F52" s="68">
        <v>0</v>
      </c>
      <c r="G52" s="68">
        <v>0</v>
      </c>
      <c r="H52" s="50">
        <v>0</v>
      </c>
      <c r="I52" s="68">
        <v>0</v>
      </c>
      <c r="J52" s="68">
        <v>0</v>
      </c>
      <c r="K52" s="68">
        <v>0</v>
      </c>
      <c r="L52" s="68">
        <v>0</v>
      </c>
      <c r="M52" s="68">
        <v>0</v>
      </c>
      <c r="N52" s="68">
        <v>0</v>
      </c>
      <c r="O52" s="68">
        <v>0</v>
      </c>
      <c r="P52" s="68">
        <v>0</v>
      </c>
      <c r="Q52" s="68">
        <v>0</v>
      </c>
      <c r="R52" s="68">
        <v>0</v>
      </c>
      <c r="S52" s="68">
        <v>0</v>
      </c>
      <c r="T52" s="68">
        <v>0</v>
      </c>
      <c r="U52" s="68">
        <v>0</v>
      </c>
      <c r="V52" s="68">
        <v>0</v>
      </c>
      <c r="W52" s="68">
        <v>0</v>
      </c>
      <c r="X52" s="68">
        <v>0</v>
      </c>
      <c r="Y52" s="68">
        <v>0</v>
      </c>
      <c r="Z52" s="68">
        <v>0</v>
      </c>
      <c r="AA52" s="51">
        <f t="shared" si="11"/>
        <v>0</v>
      </c>
      <c r="AB52" s="51">
        <f t="shared" si="12"/>
        <v>0</v>
      </c>
      <c r="AC52" s="104"/>
      <c r="AD52" s="31">
        <f t="shared" si="13"/>
        <v>0</v>
      </c>
      <c r="AE52" s="31">
        <f t="shared" si="14"/>
        <v>0</v>
      </c>
      <c r="AF52" s="17">
        <f t="shared" si="17"/>
        <v>0</v>
      </c>
      <c r="AG52" s="17">
        <f t="shared" si="18"/>
        <v>0</v>
      </c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61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</row>
    <row r="53" spans="1:119" s="17" customFormat="1" ht="18" customHeight="1" outlineLevel="1" x14ac:dyDescent="0.25">
      <c r="A53" s="67" t="s">
        <v>130</v>
      </c>
      <c r="B53" s="45"/>
      <c r="C53" s="65">
        <f t="shared" ref="C53:Z53" si="21">SUM(C54:C58)</f>
        <v>20373.330000000002</v>
      </c>
      <c r="D53" s="65">
        <f t="shared" si="21"/>
        <v>12709.970000000001</v>
      </c>
      <c r="E53" s="65">
        <f t="shared" si="21"/>
        <v>20373.330000000002</v>
      </c>
      <c r="F53" s="65">
        <f t="shared" si="21"/>
        <v>18154.91</v>
      </c>
      <c r="G53" s="65">
        <f t="shared" si="21"/>
        <v>20373.330000000002</v>
      </c>
      <c r="H53" s="65">
        <f t="shared" si="21"/>
        <v>21285.51</v>
      </c>
      <c r="I53" s="65">
        <f t="shared" si="21"/>
        <v>20373.330000000002</v>
      </c>
      <c r="J53" s="65">
        <f t="shared" si="21"/>
        <v>18629.810000000001</v>
      </c>
      <c r="K53" s="65">
        <f t="shared" si="21"/>
        <v>20373.330000000002</v>
      </c>
      <c r="L53" s="65">
        <f t="shared" si="21"/>
        <v>23236.760000000002</v>
      </c>
      <c r="M53" s="65">
        <f t="shared" si="21"/>
        <v>20373.330000000002</v>
      </c>
      <c r="N53" s="65">
        <f t="shared" si="21"/>
        <v>19449.599999999999</v>
      </c>
      <c r="O53" s="65">
        <f t="shared" si="21"/>
        <v>20373.330000000002</v>
      </c>
      <c r="P53" s="65">
        <f t="shared" si="21"/>
        <v>20486.07</v>
      </c>
      <c r="Q53" s="65">
        <f t="shared" si="21"/>
        <v>20373.330000000002</v>
      </c>
      <c r="R53" s="65">
        <f t="shared" si="21"/>
        <v>21005.87</v>
      </c>
      <c r="S53" s="65">
        <f t="shared" si="21"/>
        <v>20373.330000000002</v>
      </c>
      <c r="T53" s="65">
        <f t="shared" si="21"/>
        <v>23643.379999999997</v>
      </c>
      <c r="U53" s="65">
        <f t="shared" si="21"/>
        <v>20373.330000000002</v>
      </c>
      <c r="V53" s="65">
        <f t="shared" si="21"/>
        <v>13091.19</v>
      </c>
      <c r="W53" s="65">
        <f t="shared" si="21"/>
        <v>20373.330000000002</v>
      </c>
      <c r="X53" s="65">
        <f t="shared" si="21"/>
        <v>24441.25</v>
      </c>
      <c r="Y53" s="65">
        <f t="shared" si="21"/>
        <v>20373.37</v>
      </c>
      <c r="Z53" s="65">
        <f t="shared" si="21"/>
        <v>18796.02</v>
      </c>
      <c r="AA53" s="47">
        <f t="shared" si="11"/>
        <v>244480.00000000006</v>
      </c>
      <c r="AB53" s="51">
        <f t="shared" si="12"/>
        <v>234930.34</v>
      </c>
      <c r="AC53" s="103"/>
      <c r="AD53" s="31">
        <f t="shared" si="13"/>
        <v>244480.00000000006</v>
      </c>
      <c r="AE53" s="31">
        <f t="shared" si="14"/>
        <v>234930.34</v>
      </c>
      <c r="AF53" s="17">
        <f t="shared" si="17"/>
        <v>0</v>
      </c>
      <c r="AG53" s="17">
        <f t="shared" si="18"/>
        <v>0</v>
      </c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66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</row>
    <row r="54" spans="1:119" s="19" customFormat="1" ht="18" customHeight="1" outlineLevel="2" x14ac:dyDescent="0.25">
      <c r="A54" s="48" t="s">
        <v>131</v>
      </c>
      <c r="B54" s="53"/>
      <c r="C54" s="64">
        <v>5400</v>
      </c>
      <c r="D54" s="68">
        <f>2384.15+2460.6</f>
        <v>4844.75</v>
      </c>
      <c r="E54" s="68">
        <v>5400</v>
      </c>
      <c r="F54" s="68">
        <f>5576.95+1804.99</f>
        <v>7381.94</v>
      </c>
      <c r="G54" s="68">
        <v>5400</v>
      </c>
      <c r="H54" s="50">
        <f>4652.27+2950.61</f>
        <v>7602.88</v>
      </c>
      <c r="I54" s="68">
        <v>5400</v>
      </c>
      <c r="J54" s="68">
        <f>3455.01+1956.67</f>
        <v>5411.68</v>
      </c>
      <c r="K54" s="68">
        <v>5400</v>
      </c>
      <c r="L54" s="68">
        <f>3933.37+6342.73</f>
        <v>10276.1</v>
      </c>
      <c r="M54" s="68">
        <v>5400</v>
      </c>
      <c r="N54" s="68">
        <f>5614.33+2769.83</f>
        <v>8384.16</v>
      </c>
      <c r="O54" s="68">
        <v>5400</v>
      </c>
      <c r="P54" s="68">
        <f>6020.42+3128.82</f>
        <v>9149.24</v>
      </c>
      <c r="Q54" s="68">
        <v>5400</v>
      </c>
      <c r="R54" s="68">
        <f>5383.08+4825.73</f>
        <v>10208.81</v>
      </c>
      <c r="S54" s="68">
        <v>5400</v>
      </c>
      <c r="T54" s="68">
        <f>9784.27-820.2+1916.53-257.49+3979.69</f>
        <v>14602.8</v>
      </c>
      <c r="U54" s="68">
        <v>5400</v>
      </c>
      <c r="V54" s="68">
        <f>2755.74+1339.32</f>
        <v>4095.06</v>
      </c>
      <c r="W54" s="68">
        <v>5400</v>
      </c>
      <c r="X54" s="68">
        <f>6480.64+5237.11</f>
        <v>11717.75</v>
      </c>
      <c r="Y54" s="68">
        <v>5400</v>
      </c>
      <c r="Z54" s="68">
        <f>6138.75+2074.09</f>
        <v>8212.84</v>
      </c>
      <c r="AA54" s="51">
        <f t="shared" si="11"/>
        <v>64800</v>
      </c>
      <c r="AB54" s="51">
        <f t="shared" si="12"/>
        <v>101888.00999999998</v>
      </c>
      <c r="AC54" s="104"/>
      <c r="AD54" s="31">
        <f t="shared" si="13"/>
        <v>64800</v>
      </c>
      <c r="AE54" s="31">
        <f t="shared" si="14"/>
        <v>101888.00999999998</v>
      </c>
      <c r="AF54" s="17">
        <f t="shared" si="17"/>
        <v>0</v>
      </c>
      <c r="AG54" s="17">
        <f t="shared" si="18"/>
        <v>0</v>
      </c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61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</row>
    <row r="55" spans="1:119" s="19" customFormat="1" ht="18" customHeight="1" outlineLevel="2" x14ac:dyDescent="0.25">
      <c r="A55" s="48" t="s">
        <v>132</v>
      </c>
      <c r="B55" s="53"/>
      <c r="C55" s="64">
        <v>2583.33</v>
      </c>
      <c r="D55" s="68">
        <v>920.22</v>
      </c>
      <c r="E55" s="68">
        <v>2583.33</v>
      </c>
      <c r="F55" s="68">
        <v>1681.37</v>
      </c>
      <c r="G55" s="68">
        <v>2583.33</v>
      </c>
      <c r="H55" s="50">
        <v>1097.1300000000001</v>
      </c>
      <c r="I55" s="68">
        <v>2583.33</v>
      </c>
      <c r="J55" s="68">
        <v>813.01</v>
      </c>
      <c r="K55" s="68">
        <v>2583.33</v>
      </c>
      <c r="L55" s="68">
        <v>982.87</v>
      </c>
      <c r="M55" s="68">
        <v>2583.33</v>
      </c>
      <c r="N55" s="68">
        <v>470.26</v>
      </c>
      <c r="O55" s="68">
        <v>2583.33</v>
      </c>
      <c r="P55" s="68">
        <v>1045.93</v>
      </c>
      <c r="Q55" s="68">
        <v>2583.33</v>
      </c>
      <c r="R55" s="68">
        <v>1072.96</v>
      </c>
      <c r="S55" s="68">
        <v>2583.33</v>
      </c>
      <c r="T55" s="68">
        <v>980.58</v>
      </c>
      <c r="U55" s="68">
        <v>2583.33</v>
      </c>
      <c r="V55" s="68">
        <v>1063.1300000000001</v>
      </c>
      <c r="W55" s="68">
        <v>2583.33</v>
      </c>
      <c r="X55" s="68">
        <v>1820</v>
      </c>
      <c r="Y55" s="68">
        <v>2583.37</v>
      </c>
      <c r="Z55" s="68">
        <v>539.67999999999995</v>
      </c>
      <c r="AA55" s="51">
        <f t="shared" si="11"/>
        <v>31000.000000000004</v>
      </c>
      <c r="AB55" s="51">
        <f t="shared" si="12"/>
        <v>12487.140000000003</v>
      </c>
      <c r="AC55" s="104"/>
      <c r="AD55" s="31">
        <f t="shared" si="13"/>
        <v>31000.000000000004</v>
      </c>
      <c r="AE55" s="31">
        <f t="shared" si="14"/>
        <v>12487.140000000003</v>
      </c>
      <c r="AF55" s="17">
        <f t="shared" si="17"/>
        <v>0</v>
      </c>
      <c r="AG55" s="17">
        <f t="shared" si="18"/>
        <v>0</v>
      </c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61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</row>
    <row r="56" spans="1:119" s="19" customFormat="1" ht="18" customHeight="1" outlineLevel="2" x14ac:dyDescent="0.25">
      <c r="A56" s="48" t="s">
        <v>180</v>
      </c>
      <c r="B56" s="53"/>
      <c r="C56" s="64">
        <v>8190</v>
      </c>
      <c r="D56" s="68">
        <v>4795</v>
      </c>
      <c r="E56" s="68">
        <v>8190</v>
      </c>
      <c r="F56" s="68">
        <v>4791.8</v>
      </c>
      <c r="G56" s="68">
        <v>8190</v>
      </c>
      <c r="H56" s="50">
        <v>8285.7000000000007</v>
      </c>
      <c r="I56" s="68">
        <v>8190</v>
      </c>
      <c r="J56" s="68">
        <v>8105.32</v>
      </c>
      <c r="K56" s="68">
        <v>8190</v>
      </c>
      <c r="L56" s="68">
        <v>7677.79</v>
      </c>
      <c r="M56" s="68">
        <v>8190</v>
      </c>
      <c r="N56" s="68">
        <v>6795.18</v>
      </c>
      <c r="O56" s="68">
        <v>8190</v>
      </c>
      <c r="P56" s="68">
        <v>6590.9</v>
      </c>
      <c r="Q56" s="68">
        <v>8190</v>
      </c>
      <c r="R56" s="68">
        <v>6365</v>
      </c>
      <c r="S56" s="68">
        <v>8190</v>
      </c>
      <c r="T56" s="68">
        <v>5060</v>
      </c>
      <c r="U56" s="68">
        <v>8190</v>
      </c>
      <c r="V56" s="68">
        <v>4960</v>
      </c>
      <c r="W56" s="68">
        <v>8190</v>
      </c>
      <c r="X56" s="68">
        <v>7160</v>
      </c>
      <c r="Y56" s="68">
        <v>8190</v>
      </c>
      <c r="Z56" s="68">
        <v>6480</v>
      </c>
      <c r="AA56" s="51">
        <f t="shared" si="11"/>
        <v>98280</v>
      </c>
      <c r="AB56" s="51">
        <f t="shared" si="12"/>
        <v>77066.69</v>
      </c>
      <c r="AC56" s="104"/>
      <c r="AD56" s="31">
        <f t="shared" si="13"/>
        <v>98280</v>
      </c>
      <c r="AE56" s="31">
        <f t="shared" si="14"/>
        <v>77066.69</v>
      </c>
      <c r="AF56" s="17">
        <f t="shared" si="17"/>
        <v>0</v>
      </c>
      <c r="AG56" s="17">
        <f t="shared" si="18"/>
        <v>0</v>
      </c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61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</row>
    <row r="57" spans="1:119" s="19" customFormat="1" ht="18" customHeight="1" outlineLevel="2" x14ac:dyDescent="0.25">
      <c r="A57" s="48" t="s">
        <v>134</v>
      </c>
      <c r="B57" s="53"/>
      <c r="C57" s="64">
        <v>3500</v>
      </c>
      <c r="D57" s="68">
        <v>1750</v>
      </c>
      <c r="E57" s="68">
        <v>3500</v>
      </c>
      <c r="F57" s="68">
        <v>3500</v>
      </c>
      <c r="G57" s="68">
        <v>3500</v>
      </c>
      <c r="H57" s="50">
        <v>3500</v>
      </c>
      <c r="I57" s="68">
        <v>3500</v>
      </c>
      <c r="J57" s="68">
        <v>3500</v>
      </c>
      <c r="K57" s="68">
        <v>3500</v>
      </c>
      <c r="L57" s="68">
        <v>3500</v>
      </c>
      <c r="M57" s="68">
        <v>3500</v>
      </c>
      <c r="N57" s="68">
        <v>3100</v>
      </c>
      <c r="O57" s="68">
        <v>3500</v>
      </c>
      <c r="P57" s="68">
        <v>3000</v>
      </c>
      <c r="Q57" s="68">
        <v>3500</v>
      </c>
      <c r="R57" s="68">
        <v>2730</v>
      </c>
      <c r="S57" s="68">
        <v>3500</v>
      </c>
      <c r="T57" s="68">
        <v>2500</v>
      </c>
      <c r="U57" s="68">
        <v>3500</v>
      </c>
      <c r="V57" s="68">
        <v>2500</v>
      </c>
      <c r="W57" s="68">
        <v>3500</v>
      </c>
      <c r="X57" s="68">
        <v>3150</v>
      </c>
      <c r="Y57" s="68">
        <v>3500</v>
      </c>
      <c r="Z57" s="68">
        <v>3000</v>
      </c>
      <c r="AA57" s="51">
        <f t="shared" si="11"/>
        <v>42000</v>
      </c>
      <c r="AB57" s="51">
        <f t="shared" si="12"/>
        <v>35730</v>
      </c>
      <c r="AC57" s="104"/>
      <c r="AD57" s="31">
        <f t="shared" si="13"/>
        <v>42000</v>
      </c>
      <c r="AE57" s="31">
        <f t="shared" si="14"/>
        <v>35730</v>
      </c>
      <c r="AF57" s="17">
        <f t="shared" si="17"/>
        <v>0</v>
      </c>
      <c r="AG57" s="17">
        <f t="shared" si="18"/>
        <v>0</v>
      </c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61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</row>
    <row r="58" spans="1:119" s="19" customFormat="1" ht="18" customHeight="1" outlineLevel="2" x14ac:dyDescent="0.25">
      <c r="A58" s="48" t="s">
        <v>135</v>
      </c>
      <c r="B58" s="53"/>
      <c r="C58" s="64">
        <v>700</v>
      </c>
      <c r="D58" s="68">
        <v>400</v>
      </c>
      <c r="E58" s="68">
        <v>700</v>
      </c>
      <c r="F58" s="68">
        <v>799.8</v>
      </c>
      <c r="G58" s="68">
        <v>700</v>
      </c>
      <c r="H58" s="50">
        <v>799.8</v>
      </c>
      <c r="I58" s="68">
        <v>700</v>
      </c>
      <c r="J58" s="68">
        <v>799.8</v>
      </c>
      <c r="K58" s="68">
        <v>700</v>
      </c>
      <c r="L58" s="68">
        <v>800</v>
      </c>
      <c r="M58" s="68">
        <v>700</v>
      </c>
      <c r="N58" s="68">
        <v>700</v>
      </c>
      <c r="O58" s="68">
        <v>700</v>
      </c>
      <c r="P58" s="68">
        <v>700</v>
      </c>
      <c r="Q58" s="68">
        <v>700</v>
      </c>
      <c r="R58" s="68">
        <v>629.1</v>
      </c>
      <c r="S58" s="68">
        <v>700</v>
      </c>
      <c r="T58" s="68">
        <v>500</v>
      </c>
      <c r="U58" s="68">
        <v>700</v>
      </c>
      <c r="V58" s="68">
        <v>473</v>
      </c>
      <c r="W58" s="68">
        <v>700</v>
      </c>
      <c r="X58" s="68">
        <v>593.5</v>
      </c>
      <c r="Y58" s="68">
        <v>700</v>
      </c>
      <c r="Z58" s="68">
        <v>563.5</v>
      </c>
      <c r="AA58" s="51">
        <f t="shared" si="11"/>
        <v>8400</v>
      </c>
      <c r="AB58" s="51">
        <f t="shared" si="12"/>
        <v>7758.5</v>
      </c>
      <c r="AC58" s="104"/>
      <c r="AD58" s="31">
        <f t="shared" si="13"/>
        <v>8400</v>
      </c>
      <c r="AE58" s="31">
        <f t="shared" si="14"/>
        <v>7758.5</v>
      </c>
      <c r="AF58" s="17">
        <f t="shared" si="17"/>
        <v>0</v>
      </c>
      <c r="AG58" s="17">
        <f t="shared" si="18"/>
        <v>0</v>
      </c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61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</row>
    <row r="59" spans="1:119" s="19" customFormat="1" ht="18" customHeight="1" outlineLevel="1" x14ac:dyDescent="0.25">
      <c r="A59" s="48" t="s">
        <v>136</v>
      </c>
      <c r="B59" s="53"/>
      <c r="C59" s="64">
        <v>50000</v>
      </c>
      <c r="D59" s="68">
        <v>9432.2999999999993</v>
      </c>
      <c r="E59" s="68">
        <v>4000</v>
      </c>
      <c r="F59" s="68">
        <v>6270</v>
      </c>
      <c r="G59" s="68">
        <v>13000</v>
      </c>
      <c r="H59" s="50">
        <v>5455.3</v>
      </c>
      <c r="I59" s="68">
        <v>4000</v>
      </c>
      <c r="J59" s="68">
        <v>6213.6</v>
      </c>
      <c r="K59" s="68">
        <v>5000</v>
      </c>
      <c r="L59" s="68">
        <v>6974.62</v>
      </c>
      <c r="M59" s="68">
        <v>4000</v>
      </c>
      <c r="N59" s="68">
        <v>5600.1</v>
      </c>
      <c r="O59" s="68">
        <v>8000</v>
      </c>
      <c r="P59" s="68">
        <v>3719</v>
      </c>
      <c r="Q59" s="68">
        <v>6000</v>
      </c>
      <c r="R59" s="68">
        <v>4592</v>
      </c>
      <c r="S59" s="68">
        <v>4000</v>
      </c>
      <c r="T59" s="68">
        <v>15594.93</v>
      </c>
      <c r="U59" s="68">
        <v>10000</v>
      </c>
      <c r="V59" s="68">
        <v>7448.2</v>
      </c>
      <c r="W59" s="68">
        <v>5000</v>
      </c>
      <c r="X59" s="68">
        <v>4932.47</v>
      </c>
      <c r="Y59" s="68">
        <v>5000</v>
      </c>
      <c r="Z59" s="68">
        <v>8552.58</v>
      </c>
      <c r="AA59" s="51">
        <f t="shared" si="11"/>
        <v>118000</v>
      </c>
      <c r="AB59" s="51">
        <f t="shared" si="12"/>
        <v>84785.1</v>
      </c>
      <c r="AC59" s="104"/>
      <c r="AD59" s="31">
        <f t="shared" si="13"/>
        <v>118000</v>
      </c>
      <c r="AE59" s="31">
        <f t="shared" si="14"/>
        <v>84785.1</v>
      </c>
      <c r="AF59" s="17">
        <f t="shared" si="17"/>
        <v>0</v>
      </c>
      <c r="AG59" s="17">
        <f t="shared" si="18"/>
        <v>0</v>
      </c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61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</row>
    <row r="60" spans="1:119" s="19" customFormat="1" ht="18" customHeight="1" outlineLevel="1" x14ac:dyDescent="0.25">
      <c r="A60" s="48" t="s">
        <v>137</v>
      </c>
      <c r="B60" s="53"/>
      <c r="C60" s="64"/>
      <c r="D60" s="68">
        <v>0</v>
      </c>
      <c r="E60" s="68"/>
      <c r="F60" s="68">
        <v>0</v>
      </c>
      <c r="G60" s="68"/>
      <c r="H60" s="50">
        <v>0</v>
      </c>
      <c r="I60" s="68"/>
      <c r="J60" s="68">
        <v>0</v>
      </c>
      <c r="K60" s="68"/>
      <c r="L60" s="68">
        <v>0</v>
      </c>
      <c r="M60" s="68"/>
      <c r="N60" s="68">
        <v>0</v>
      </c>
      <c r="O60" s="68"/>
      <c r="P60" s="68">
        <v>0</v>
      </c>
      <c r="Q60" s="68"/>
      <c r="R60" s="68">
        <v>0</v>
      </c>
      <c r="S60" s="68"/>
      <c r="T60" s="68">
        <v>0</v>
      </c>
      <c r="U60" s="68"/>
      <c r="V60" s="68">
        <v>0</v>
      </c>
      <c r="W60" s="68"/>
      <c r="X60" s="68">
        <v>0</v>
      </c>
      <c r="Y60" s="68"/>
      <c r="Z60" s="68">
        <v>0</v>
      </c>
      <c r="AA60" s="51">
        <f t="shared" si="11"/>
        <v>0</v>
      </c>
      <c r="AB60" s="51">
        <f t="shared" si="12"/>
        <v>0</v>
      </c>
      <c r="AC60" s="104"/>
      <c r="AD60" s="31">
        <f t="shared" si="13"/>
        <v>0</v>
      </c>
      <c r="AE60" s="31">
        <f t="shared" si="14"/>
        <v>0</v>
      </c>
      <c r="AF60" s="17">
        <f t="shared" si="17"/>
        <v>0</v>
      </c>
      <c r="AG60" s="17">
        <f t="shared" si="18"/>
        <v>0</v>
      </c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61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</row>
    <row r="61" spans="1:119" s="19" customFormat="1" ht="18" customHeight="1" outlineLevel="1" x14ac:dyDescent="0.25">
      <c r="A61" s="48" t="s">
        <v>138</v>
      </c>
      <c r="B61" s="53"/>
      <c r="C61" s="64">
        <v>50</v>
      </c>
      <c r="D61" s="68">
        <v>0</v>
      </c>
      <c r="E61" s="68">
        <v>50</v>
      </c>
      <c r="F61" s="68">
        <v>0</v>
      </c>
      <c r="G61" s="68">
        <v>50</v>
      </c>
      <c r="H61" s="50">
        <v>0</v>
      </c>
      <c r="I61" s="68">
        <v>50</v>
      </c>
      <c r="J61" s="68">
        <v>0</v>
      </c>
      <c r="K61" s="68">
        <v>50</v>
      </c>
      <c r="L61" s="68">
        <v>0</v>
      </c>
      <c r="M61" s="68">
        <v>50</v>
      </c>
      <c r="N61" s="68">
        <v>0</v>
      </c>
      <c r="O61" s="68">
        <v>50</v>
      </c>
      <c r="P61" s="68">
        <v>0</v>
      </c>
      <c r="Q61" s="68">
        <v>50</v>
      </c>
      <c r="R61" s="68">
        <v>0</v>
      </c>
      <c r="S61" s="68">
        <v>50</v>
      </c>
      <c r="T61" s="68">
        <v>0</v>
      </c>
      <c r="U61" s="68">
        <v>50</v>
      </c>
      <c r="V61" s="68">
        <v>0</v>
      </c>
      <c r="W61" s="68">
        <v>50</v>
      </c>
      <c r="X61" s="68">
        <v>0</v>
      </c>
      <c r="Y61" s="68">
        <v>50</v>
      </c>
      <c r="Z61" s="68">
        <v>0</v>
      </c>
      <c r="AA61" s="51">
        <f t="shared" si="11"/>
        <v>600</v>
      </c>
      <c r="AB61" s="51">
        <f t="shared" si="12"/>
        <v>0</v>
      </c>
      <c r="AC61" s="104"/>
      <c r="AD61" s="31">
        <f t="shared" si="13"/>
        <v>600</v>
      </c>
      <c r="AE61" s="31">
        <f t="shared" si="14"/>
        <v>0</v>
      </c>
      <c r="AF61" s="17">
        <f t="shared" si="17"/>
        <v>0</v>
      </c>
      <c r="AG61" s="17">
        <f t="shared" si="18"/>
        <v>0</v>
      </c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61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</row>
    <row r="62" spans="1:119" s="19" customFormat="1" ht="18" customHeight="1" outlineLevel="1" x14ac:dyDescent="0.25">
      <c r="A62" s="48" t="s">
        <v>139</v>
      </c>
      <c r="B62" s="53"/>
      <c r="C62" s="64"/>
      <c r="D62" s="68">
        <v>0</v>
      </c>
      <c r="E62" s="68"/>
      <c r="F62" s="68">
        <v>0</v>
      </c>
      <c r="G62" s="68"/>
      <c r="H62" s="50">
        <v>0</v>
      </c>
      <c r="I62" s="68"/>
      <c r="J62" s="68">
        <v>0</v>
      </c>
      <c r="K62" s="68"/>
      <c r="L62" s="68">
        <v>0</v>
      </c>
      <c r="M62" s="68"/>
      <c r="N62" s="68">
        <v>0</v>
      </c>
      <c r="O62" s="68"/>
      <c r="P62" s="68">
        <v>0</v>
      </c>
      <c r="Q62" s="68"/>
      <c r="R62" s="68">
        <v>0</v>
      </c>
      <c r="S62" s="68"/>
      <c r="T62" s="68">
        <v>0</v>
      </c>
      <c r="U62" s="68"/>
      <c r="V62" s="68">
        <v>0</v>
      </c>
      <c r="W62" s="68"/>
      <c r="X62" s="68">
        <v>0</v>
      </c>
      <c r="Y62" s="68"/>
      <c r="Z62" s="68">
        <v>0</v>
      </c>
      <c r="AA62" s="51">
        <f t="shared" si="11"/>
        <v>0</v>
      </c>
      <c r="AB62" s="51">
        <f t="shared" si="12"/>
        <v>0</v>
      </c>
      <c r="AC62" s="104"/>
      <c r="AD62" s="31">
        <f t="shared" si="13"/>
        <v>0</v>
      </c>
      <c r="AE62" s="31">
        <f t="shared" si="14"/>
        <v>0</v>
      </c>
      <c r="AF62" s="17">
        <f t="shared" si="17"/>
        <v>0</v>
      </c>
      <c r="AG62" s="17">
        <f t="shared" si="18"/>
        <v>0</v>
      </c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61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</row>
    <row r="63" spans="1:119" s="19" customFormat="1" ht="18" customHeight="1" outlineLevel="1" x14ac:dyDescent="0.25">
      <c r="A63" s="48" t="s">
        <v>140</v>
      </c>
      <c r="B63" s="53"/>
      <c r="C63" s="64"/>
      <c r="D63" s="68">
        <v>0</v>
      </c>
      <c r="E63" s="68"/>
      <c r="F63" s="68">
        <v>0</v>
      </c>
      <c r="G63" s="68"/>
      <c r="H63" s="50">
        <v>0</v>
      </c>
      <c r="I63" s="68"/>
      <c r="J63" s="68">
        <v>0</v>
      </c>
      <c r="K63" s="68"/>
      <c r="L63" s="68">
        <v>0</v>
      </c>
      <c r="M63" s="68"/>
      <c r="N63" s="68">
        <v>0</v>
      </c>
      <c r="O63" s="68"/>
      <c r="P63" s="68">
        <v>0</v>
      </c>
      <c r="Q63" s="68"/>
      <c r="R63" s="68">
        <v>0</v>
      </c>
      <c r="S63" s="68"/>
      <c r="T63" s="68">
        <v>0</v>
      </c>
      <c r="U63" s="68"/>
      <c r="V63" s="68">
        <v>0</v>
      </c>
      <c r="W63" s="68"/>
      <c r="X63" s="68">
        <v>0</v>
      </c>
      <c r="Y63" s="68"/>
      <c r="Z63" s="68">
        <v>0</v>
      </c>
      <c r="AA63" s="51">
        <f t="shared" si="11"/>
        <v>0</v>
      </c>
      <c r="AB63" s="51">
        <f t="shared" si="12"/>
        <v>0</v>
      </c>
      <c r="AC63" s="104"/>
      <c r="AD63" s="31">
        <f t="shared" si="13"/>
        <v>0</v>
      </c>
      <c r="AE63" s="31">
        <f t="shared" si="14"/>
        <v>0</v>
      </c>
      <c r="AF63" s="17">
        <f t="shared" si="17"/>
        <v>0</v>
      </c>
      <c r="AG63" s="17">
        <f t="shared" si="18"/>
        <v>0</v>
      </c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61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</row>
    <row r="64" spans="1:119" s="19" customFormat="1" ht="18" customHeight="1" outlineLevel="1" x14ac:dyDescent="0.25">
      <c r="A64" s="48" t="s">
        <v>141</v>
      </c>
      <c r="B64" s="53"/>
      <c r="C64" s="64">
        <v>10000</v>
      </c>
      <c r="D64" s="68">
        <v>8482</v>
      </c>
      <c r="E64" s="68">
        <v>10000</v>
      </c>
      <c r="F64" s="68">
        <v>8482</v>
      </c>
      <c r="G64" s="68">
        <v>10000</v>
      </c>
      <c r="H64" s="50">
        <v>8482</v>
      </c>
      <c r="I64" s="68">
        <v>10000</v>
      </c>
      <c r="J64" s="68">
        <v>9040.5</v>
      </c>
      <c r="K64" s="68">
        <v>10000</v>
      </c>
      <c r="L64" s="68">
        <v>8447.93</v>
      </c>
      <c r="M64" s="68">
        <v>10000</v>
      </c>
      <c r="N64" s="68">
        <v>9019.5</v>
      </c>
      <c r="O64" s="68">
        <v>10000</v>
      </c>
      <c r="P64" s="68">
        <v>9019.43</v>
      </c>
      <c r="Q64" s="68">
        <v>10000</v>
      </c>
      <c r="R64" s="68">
        <v>8448</v>
      </c>
      <c r="S64" s="68">
        <v>10000</v>
      </c>
      <c r="T64" s="68">
        <v>8448</v>
      </c>
      <c r="U64" s="68">
        <v>10000</v>
      </c>
      <c r="V64" s="68">
        <v>8448</v>
      </c>
      <c r="W64" s="68">
        <v>10000</v>
      </c>
      <c r="X64" s="68">
        <v>8476</v>
      </c>
      <c r="Y64" s="68">
        <v>10000</v>
      </c>
      <c r="Z64" s="68">
        <v>9083.43</v>
      </c>
      <c r="AA64" s="51">
        <f t="shared" si="11"/>
        <v>120000</v>
      </c>
      <c r="AB64" s="51">
        <f t="shared" si="12"/>
        <v>103876.79000000001</v>
      </c>
      <c r="AC64" s="104"/>
      <c r="AD64" s="31">
        <f t="shared" si="13"/>
        <v>120000</v>
      </c>
      <c r="AE64" s="31">
        <f t="shared" si="14"/>
        <v>103876.79000000001</v>
      </c>
      <c r="AF64" s="17">
        <f t="shared" si="17"/>
        <v>0</v>
      </c>
      <c r="AG64" s="17">
        <f t="shared" si="18"/>
        <v>0</v>
      </c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61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</row>
    <row r="65" spans="1:119" s="17" customFormat="1" ht="18" customHeight="1" outlineLevel="1" x14ac:dyDescent="0.25">
      <c r="A65" s="67" t="s">
        <v>142</v>
      </c>
      <c r="B65" s="45"/>
      <c r="C65" s="65">
        <f t="shared" ref="C65:Z65" si="22">SUM(C66:C69)</f>
        <v>0</v>
      </c>
      <c r="D65" s="65">
        <f t="shared" si="22"/>
        <v>0</v>
      </c>
      <c r="E65" s="65">
        <f t="shared" si="22"/>
        <v>0</v>
      </c>
      <c r="F65" s="65">
        <f t="shared" si="22"/>
        <v>0</v>
      </c>
      <c r="G65" s="65">
        <f t="shared" si="22"/>
        <v>0</v>
      </c>
      <c r="H65" s="65">
        <f t="shared" si="22"/>
        <v>0</v>
      </c>
      <c r="I65" s="65">
        <f t="shared" si="22"/>
        <v>0</v>
      </c>
      <c r="J65" s="65">
        <f t="shared" si="22"/>
        <v>0</v>
      </c>
      <c r="K65" s="65">
        <f t="shared" si="22"/>
        <v>0</v>
      </c>
      <c r="L65" s="65">
        <f t="shared" si="22"/>
        <v>0</v>
      </c>
      <c r="M65" s="65">
        <f t="shared" si="22"/>
        <v>0</v>
      </c>
      <c r="N65" s="65">
        <f t="shared" si="22"/>
        <v>0</v>
      </c>
      <c r="O65" s="65">
        <f t="shared" si="22"/>
        <v>0</v>
      </c>
      <c r="P65" s="65">
        <f t="shared" si="22"/>
        <v>0</v>
      </c>
      <c r="Q65" s="65">
        <f t="shared" si="22"/>
        <v>0</v>
      </c>
      <c r="R65" s="65">
        <f t="shared" si="22"/>
        <v>0</v>
      </c>
      <c r="S65" s="65">
        <f t="shared" si="22"/>
        <v>0</v>
      </c>
      <c r="T65" s="65">
        <f t="shared" si="22"/>
        <v>0</v>
      </c>
      <c r="U65" s="65">
        <f t="shared" si="22"/>
        <v>0</v>
      </c>
      <c r="V65" s="65">
        <f t="shared" si="22"/>
        <v>0</v>
      </c>
      <c r="W65" s="65">
        <f t="shared" si="22"/>
        <v>0</v>
      </c>
      <c r="X65" s="65">
        <f t="shared" si="22"/>
        <v>0</v>
      </c>
      <c r="Y65" s="65">
        <f t="shared" si="22"/>
        <v>0</v>
      </c>
      <c r="Z65" s="65">
        <f t="shared" si="22"/>
        <v>0</v>
      </c>
      <c r="AA65" s="47">
        <f t="shared" si="11"/>
        <v>0</v>
      </c>
      <c r="AB65" s="51">
        <f t="shared" si="12"/>
        <v>0</v>
      </c>
      <c r="AC65" s="103"/>
      <c r="AD65" s="31">
        <f t="shared" si="13"/>
        <v>0</v>
      </c>
      <c r="AE65" s="31">
        <f t="shared" si="14"/>
        <v>0</v>
      </c>
      <c r="AF65" s="17">
        <f t="shared" si="17"/>
        <v>0</v>
      </c>
      <c r="AG65" s="17">
        <f t="shared" si="18"/>
        <v>0</v>
      </c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66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</row>
    <row r="66" spans="1:119" s="19" customFormat="1" ht="18" customHeight="1" outlineLevel="2" x14ac:dyDescent="0.25">
      <c r="A66" s="48" t="s">
        <v>143</v>
      </c>
      <c r="B66" s="53"/>
      <c r="C66" s="64"/>
      <c r="D66" s="68">
        <v>0</v>
      </c>
      <c r="E66" s="68"/>
      <c r="F66" s="68">
        <v>0</v>
      </c>
      <c r="G66" s="68"/>
      <c r="H66" s="50">
        <v>0</v>
      </c>
      <c r="I66" s="68"/>
      <c r="J66" s="68">
        <v>0</v>
      </c>
      <c r="K66" s="68"/>
      <c r="L66" s="68">
        <v>0</v>
      </c>
      <c r="M66" s="68"/>
      <c r="N66" s="68">
        <v>0</v>
      </c>
      <c r="O66" s="68"/>
      <c r="P66" s="68">
        <v>0</v>
      </c>
      <c r="Q66" s="68"/>
      <c r="R66" s="68">
        <v>0</v>
      </c>
      <c r="S66" s="68"/>
      <c r="T66" s="68">
        <v>0</v>
      </c>
      <c r="U66" s="68"/>
      <c r="V66" s="68">
        <v>0</v>
      </c>
      <c r="W66" s="68"/>
      <c r="X66" s="68">
        <v>0</v>
      </c>
      <c r="Y66" s="68"/>
      <c r="Z66" s="68">
        <v>0</v>
      </c>
      <c r="AA66" s="51">
        <f t="shared" si="11"/>
        <v>0</v>
      </c>
      <c r="AB66" s="51">
        <f t="shared" si="12"/>
        <v>0</v>
      </c>
      <c r="AC66" s="104"/>
      <c r="AD66" s="31">
        <f t="shared" si="13"/>
        <v>0</v>
      </c>
      <c r="AE66" s="31">
        <f t="shared" si="14"/>
        <v>0</v>
      </c>
      <c r="AF66" s="17">
        <f t="shared" si="17"/>
        <v>0</v>
      </c>
      <c r="AG66" s="17">
        <f t="shared" si="18"/>
        <v>0</v>
      </c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61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</row>
    <row r="67" spans="1:119" s="19" customFormat="1" ht="18" customHeight="1" outlineLevel="2" x14ac:dyDescent="0.25">
      <c r="A67" s="48" t="s">
        <v>144</v>
      </c>
      <c r="B67" s="53"/>
      <c r="C67" s="64"/>
      <c r="D67" s="68">
        <v>0</v>
      </c>
      <c r="E67" s="68"/>
      <c r="F67" s="68">
        <v>0</v>
      </c>
      <c r="G67" s="68"/>
      <c r="H67" s="50">
        <v>0</v>
      </c>
      <c r="I67" s="68"/>
      <c r="J67" s="68">
        <v>0</v>
      </c>
      <c r="K67" s="68"/>
      <c r="L67" s="68">
        <v>0</v>
      </c>
      <c r="M67" s="68"/>
      <c r="N67" s="68">
        <v>0</v>
      </c>
      <c r="O67" s="68"/>
      <c r="P67" s="68">
        <v>0</v>
      </c>
      <c r="Q67" s="68"/>
      <c r="R67" s="68">
        <v>0</v>
      </c>
      <c r="S67" s="68"/>
      <c r="T67" s="68">
        <v>0</v>
      </c>
      <c r="U67" s="68"/>
      <c r="V67" s="68">
        <v>0</v>
      </c>
      <c r="W67" s="68"/>
      <c r="X67" s="68">
        <v>0</v>
      </c>
      <c r="Y67" s="68"/>
      <c r="Z67" s="68">
        <v>0</v>
      </c>
      <c r="AA67" s="51">
        <f t="shared" si="11"/>
        <v>0</v>
      </c>
      <c r="AB67" s="51">
        <f t="shared" si="12"/>
        <v>0</v>
      </c>
      <c r="AC67" s="104"/>
      <c r="AD67" s="31">
        <f t="shared" si="13"/>
        <v>0</v>
      </c>
      <c r="AE67" s="31">
        <f t="shared" si="14"/>
        <v>0</v>
      </c>
      <c r="AF67" s="17">
        <f t="shared" si="17"/>
        <v>0</v>
      </c>
      <c r="AG67" s="17">
        <f t="shared" si="18"/>
        <v>0</v>
      </c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61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</row>
    <row r="68" spans="1:119" s="19" customFormat="1" ht="18" customHeight="1" outlineLevel="2" x14ac:dyDescent="0.25">
      <c r="A68" s="48" t="s">
        <v>145</v>
      </c>
      <c r="B68" s="53"/>
      <c r="C68" s="64"/>
      <c r="D68" s="68">
        <v>0</v>
      </c>
      <c r="E68" s="68"/>
      <c r="F68" s="68">
        <v>0</v>
      </c>
      <c r="G68" s="68"/>
      <c r="H68" s="50">
        <v>0</v>
      </c>
      <c r="I68" s="68"/>
      <c r="J68" s="68">
        <v>0</v>
      </c>
      <c r="K68" s="68"/>
      <c r="L68" s="68">
        <v>0</v>
      </c>
      <c r="M68" s="68"/>
      <c r="N68" s="68">
        <v>0</v>
      </c>
      <c r="O68" s="68"/>
      <c r="P68" s="68">
        <v>0</v>
      </c>
      <c r="Q68" s="68"/>
      <c r="R68" s="68">
        <v>0</v>
      </c>
      <c r="S68" s="68"/>
      <c r="T68" s="68">
        <v>0</v>
      </c>
      <c r="U68" s="68"/>
      <c r="V68" s="68">
        <v>0</v>
      </c>
      <c r="W68" s="68"/>
      <c r="X68" s="68">
        <v>0</v>
      </c>
      <c r="Y68" s="68"/>
      <c r="Z68" s="68">
        <v>0</v>
      </c>
      <c r="AA68" s="51">
        <f t="shared" si="11"/>
        <v>0</v>
      </c>
      <c r="AB68" s="51">
        <f t="shared" si="12"/>
        <v>0</v>
      </c>
      <c r="AC68" s="104"/>
      <c r="AD68" s="31">
        <f t="shared" si="13"/>
        <v>0</v>
      </c>
      <c r="AE68" s="31">
        <f t="shared" si="14"/>
        <v>0</v>
      </c>
      <c r="AF68" s="17">
        <f t="shared" si="17"/>
        <v>0</v>
      </c>
      <c r="AG68" s="17">
        <f t="shared" si="18"/>
        <v>0</v>
      </c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61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</row>
    <row r="69" spans="1:119" s="19" customFormat="1" ht="18" customHeight="1" outlineLevel="2" x14ac:dyDescent="0.25">
      <c r="A69" s="48" t="s">
        <v>146</v>
      </c>
      <c r="B69" s="53"/>
      <c r="C69" s="64"/>
      <c r="D69" s="68">
        <v>0</v>
      </c>
      <c r="E69" s="68"/>
      <c r="F69" s="68">
        <v>0</v>
      </c>
      <c r="G69" s="68"/>
      <c r="H69" s="50">
        <v>0</v>
      </c>
      <c r="I69" s="68"/>
      <c r="J69" s="68">
        <v>0</v>
      </c>
      <c r="K69" s="68"/>
      <c r="L69" s="68">
        <v>0</v>
      </c>
      <c r="M69" s="68"/>
      <c r="N69" s="68">
        <v>0</v>
      </c>
      <c r="O69" s="68"/>
      <c r="P69" s="68">
        <v>0</v>
      </c>
      <c r="Q69" s="68"/>
      <c r="R69" s="68">
        <v>0</v>
      </c>
      <c r="S69" s="68"/>
      <c r="T69" s="68">
        <v>0</v>
      </c>
      <c r="U69" s="68"/>
      <c r="V69" s="68">
        <v>0</v>
      </c>
      <c r="W69" s="68"/>
      <c r="X69" s="68">
        <v>0</v>
      </c>
      <c r="Y69" s="68"/>
      <c r="Z69" s="68">
        <v>0</v>
      </c>
      <c r="AA69" s="51">
        <f t="shared" si="11"/>
        <v>0</v>
      </c>
      <c r="AB69" s="51">
        <f t="shared" si="12"/>
        <v>0</v>
      </c>
      <c r="AC69" s="104"/>
      <c r="AD69" s="31">
        <f t="shared" si="13"/>
        <v>0</v>
      </c>
      <c r="AE69" s="31">
        <f t="shared" si="14"/>
        <v>0</v>
      </c>
      <c r="AF69" s="17">
        <f t="shared" si="17"/>
        <v>0</v>
      </c>
      <c r="AG69" s="17">
        <f t="shared" si="18"/>
        <v>0</v>
      </c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61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</row>
    <row r="70" spans="1:119" s="19" customFormat="1" ht="18" customHeight="1" outlineLevel="1" x14ac:dyDescent="0.25">
      <c r="A70" s="48" t="s">
        <v>147</v>
      </c>
      <c r="B70" s="53"/>
      <c r="C70" s="64"/>
      <c r="D70" s="68">
        <v>0</v>
      </c>
      <c r="E70" s="68"/>
      <c r="F70" s="68">
        <v>0</v>
      </c>
      <c r="G70" s="68"/>
      <c r="H70" s="50">
        <v>0</v>
      </c>
      <c r="I70" s="68"/>
      <c r="J70" s="68">
        <v>0</v>
      </c>
      <c r="K70" s="68"/>
      <c r="L70" s="68">
        <v>0</v>
      </c>
      <c r="M70" s="68"/>
      <c r="N70" s="68">
        <v>0</v>
      </c>
      <c r="O70" s="68"/>
      <c r="P70" s="68">
        <v>0</v>
      </c>
      <c r="Q70" s="68"/>
      <c r="R70" s="68">
        <v>0</v>
      </c>
      <c r="S70" s="68"/>
      <c r="T70" s="68">
        <v>0</v>
      </c>
      <c r="U70" s="68"/>
      <c r="V70" s="68">
        <v>0</v>
      </c>
      <c r="W70" s="68"/>
      <c r="X70" s="68">
        <v>0</v>
      </c>
      <c r="Y70" s="68"/>
      <c r="Z70" s="68">
        <v>0</v>
      </c>
      <c r="AA70" s="51">
        <f t="shared" si="11"/>
        <v>0</v>
      </c>
      <c r="AB70" s="51">
        <f t="shared" si="12"/>
        <v>0</v>
      </c>
      <c r="AC70" s="104"/>
      <c r="AD70" s="31">
        <f t="shared" si="13"/>
        <v>0</v>
      </c>
      <c r="AE70" s="31">
        <f t="shared" si="14"/>
        <v>0</v>
      </c>
      <c r="AF70" s="17">
        <f t="shared" si="17"/>
        <v>0</v>
      </c>
      <c r="AG70" s="17">
        <f t="shared" si="18"/>
        <v>0</v>
      </c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61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</row>
    <row r="71" spans="1:119" s="19" customFormat="1" ht="18" customHeight="1" outlineLevel="1" x14ac:dyDescent="0.25">
      <c r="A71" s="48" t="s">
        <v>148</v>
      </c>
      <c r="B71" s="53"/>
      <c r="C71" s="64"/>
      <c r="D71" s="68">
        <v>0</v>
      </c>
      <c r="E71" s="68"/>
      <c r="F71" s="68">
        <v>0</v>
      </c>
      <c r="G71" s="68">
        <v>2100</v>
      </c>
      <c r="H71" s="50">
        <v>0</v>
      </c>
      <c r="I71" s="68"/>
      <c r="J71" s="68">
        <v>0</v>
      </c>
      <c r="K71" s="68"/>
      <c r="L71" s="68">
        <v>0</v>
      </c>
      <c r="M71" s="68"/>
      <c r="N71" s="68">
        <v>0</v>
      </c>
      <c r="O71" s="68">
        <v>0</v>
      </c>
      <c r="P71" s="68">
        <v>0</v>
      </c>
      <c r="Q71" s="68"/>
      <c r="R71" s="68">
        <v>0</v>
      </c>
      <c r="S71" s="68"/>
      <c r="T71" s="68">
        <v>0</v>
      </c>
      <c r="U71" s="68"/>
      <c r="V71" s="68">
        <v>0</v>
      </c>
      <c r="W71" s="68"/>
      <c r="X71" s="68">
        <v>0</v>
      </c>
      <c r="Y71" s="68"/>
      <c r="Z71" s="68">
        <v>0</v>
      </c>
      <c r="AA71" s="51">
        <f t="shared" si="11"/>
        <v>2100</v>
      </c>
      <c r="AB71" s="51">
        <f t="shared" si="12"/>
        <v>0</v>
      </c>
      <c r="AC71" s="104"/>
      <c r="AD71" s="31">
        <f t="shared" si="13"/>
        <v>2100</v>
      </c>
      <c r="AE71" s="31">
        <f t="shared" si="14"/>
        <v>0</v>
      </c>
      <c r="AF71" s="17">
        <f t="shared" si="17"/>
        <v>0</v>
      </c>
      <c r="AG71" s="17">
        <f t="shared" si="18"/>
        <v>0</v>
      </c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61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</row>
    <row r="72" spans="1:119" s="19" customFormat="1" ht="18" customHeight="1" outlineLevel="1" x14ac:dyDescent="0.25">
      <c r="A72" s="48" t="s">
        <v>149</v>
      </c>
      <c r="B72" s="53"/>
      <c r="C72" s="64"/>
      <c r="D72" s="68">
        <v>0</v>
      </c>
      <c r="E72" s="68"/>
      <c r="F72" s="68">
        <v>0</v>
      </c>
      <c r="G72" s="68"/>
      <c r="H72" s="50">
        <v>0</v>
      </c>
      <c r="I72" s="68"/>
      <c r="J72" s="68">
        <v>0</v>
      </c>
      <c r="K72" s="68"/>
      <c r="L72" s="68">
        <v>0</v>
      </c>
      <c r="M72" s="68"/>
      <c r="N72" s="68">
        <v>0</v>
      </c>
      <c r="O72" s="68"/>
      <c r="P72" s="68">
        <v>0</v>
      </c>
      <c r="Q72" s="68"/>
      <c r="R72" s="68">
        <v>0</v>
      </c>
      <c r="S72" s="68"/>
      <c r="T72" s="68">
        <v>0</v>
      </c>
      <c r="U72" s="68"/>
      <c r="V72" s="68">
        <v>0</v>
      </c>
      <c r="W72" s="68"/>
      <c r="X72" s="68">
        <v>0</v>
      </c>
      <c r="Y72" s="68"/>
      <c r="Z72" s="68">
        <v>0</v>
      </c>
      <c r="AA72" s="51">
        <f t="shared" si="11"/>
        <v>0</v>
      </c>
      <c r="AB72" s="51">
        <f t="shared" si="12"/>
        <v>0</v>
      </c>
      <c r="AC72" s="104"/>
      <c r="AD72" s="31">
        <f t="shared" si="13"/>
        <v>0</v>
      </c>
      <c r="AE72" s="31">
        <f t="shared" si="14"/>
        <v>0</v>
      </c>
      <c r="AF72" s="17">
        <f t="shared" si="17"/>
        <v>0</v>
      </c>
      <c r="AG72" s="17">
        <f t="shared" si="18"/>
        <v>0</v>
      </c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61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</row>
    <row r="73" spans="1:119" s="19" customFormat="1" ht="18" customHeight="1" outlineLevel="1" x14ac:dyDescent="0.25">
      <c r="A73" s="48" t="s">
        <v>150</v>
      </c>
      <c r="B73" s="53"/>
      <c r="C73" s="64">
        <v>1400</v>
      </c>
      <c r="D73" s="68">
        <v>1196.1199999999999</v>
      </c>
      <c r="E73" s="68">
        <v>1400</v>
      </c>
      <c r="F73" s="68">
        <v>815.97</v>
      </c>
      <c r="G73" s="68">
        <v>1400</v>
      </c>
      <c r="H73" s="50">
        <v>2194.81</v>
      </c>
      <c r="I73" s="68">
        <v>1400</v>
      </c>
      <c r="J73" s="68">
        <v>1677.44</v>
      </c>
      <c r="K73" s="68">
        <v>1400</v>
      </c>
      <c r="L73" s="68">
        <v>1106.3699999999999</v>
      </c>
      <c r="M73" s="68">
        <v>1400</v>
      </c>
      <c r="N73" s="68">
        <v>821.6</v>
      </c>
      <c r="O73" s="68">
        <v>1400</v>
      </c>
      <c r="P73" s="68">
        <v>986.82</v>
      </c>
      <c r="Q73" s="68">
        <v>1400</v>
      </c>
      <c r="R73" s="68">
        <v>875.69</v>
      </c>
      <c r="S73" s="68">
        <v>1400</v>
      </c>
      <c r="T73" s="68">
        <v>863.96</v>
      </c>
      <c r="U73" s="68">
        <v>1400</v>
      </c>
      <c r="V73" s="68">
        <v>762.45</v>
      </c>
      <c r="W73" s="68">
        <v>1400</v>
      </c>
      <c r="X73" s="68">
        <v>970.21</v>
      </c>
      <c r="Y73" s="68">
        <v>1400</v>
      </c>
      <c r="Z73" s="68">
        <v>1031.6500000000001</v>
      </c>
      <c r="AA73" s="51">
        <f t="shared" si="11"/>
        <v>16800</v>
      </c>
      <c r="AB73" s="51">
        <f t="shared" si="12"/>
        <v>13303.090000000002</v>
      </c>
      <c r="AC73" s="104"/>
      <c r="AD73" s="31">
        <f t="shared" si="13"/>
        <v>16800</v>
      </c>
      <c r="AE73" s="31">
        <f t="shared" si="14"/>
        <v>13303.090000000002</v>
      </c>
      <c r="AF73" s="17">
        <f t="shared" si="17"/>
        <v>0</v>
      </c>
      <c r="AG73" s="17">
        <f t="shared" si="18"/>
        <v>0</v>
      </c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61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</row>
    <row r="74" spans="1:119" s="19" customFormat="1" ht="18" customHeight="1" outlineLevel="1" x14ac:dyDescent="0.25">
      <c r="A74" s="48" t="s">
        <v>151</v>
      </c>
      <c r="B74" s="53"/>
      <c r="C74" s="64"/>
      <c r="D74" s="68">
        <v>0</v>
      </c>
      <c r="E74" s="68"/>
      <c r="F74" s="68">
        <v>0</v>
      </c>
      <c r="G74" s="68"/>
      <c r="H74" s="50">
        <v>0</v>
      </c>
      <c r="I74" s="68"/>
      <c r="J74" s="68">
        <v>33018.870000000003</v>
      </c>
      <c r="K74" s="68"/>
      <c r="L74" s="68">
        <v>0</v>
      </c>
      <c r="M74" s="68"/>
      <c r="N74" s="68">
        <v>0</v>
      </c>
      <c r="O74" s="68"/>
      <c r="P74" s="68">
        <f>50493-50493</f>
        <v>0</v>
      </c>
      <c r="Q74" s="68"/>
      <c r="R74" s="68">
        <v>0</v>
      </c>
      <c r="S74" s="68"/>
      <c r="T74" s="68">
        <v>0</v>
      </c>
      <c r="U74" s="68"/>
      <c r="V74" s="68">
        <v>0</v>
      </c>
      <c r="W74" s="68"/>
      <c r="X74" s="68">
        <v>0</v>
      </c>
      <c r="Y74" s="68"/>
      <c r="Z74" s="68">
        <v>0</v>
      </c>
      <c r="AA74" s="51">
        <f t="shared" si="11"/>
        <v>0</v>
      </c>
      <c r="AB74" s="51">
        <f t="shared" si="12"/>
        <v>33018.870000000003</v>
      </c>
      <c r="AC74" s="104"/>
      <c r="AD74" s="31">
        <f t="shared" si="13"/>
        <v>0</v>
      </c>
      <c r="AE74" s="31">
        <f t="shared" si="14"/>
        <v>33018.870000000003</v>
      </c>
      <c r="AF74" s="17">
        <f t="shared" si="17"/>
        <v>0</v>
      </c>
      <c r="AG74" s="17">
        <f t="shared" si="18"/>
        <v>0</v>
      </c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61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</row>
    <row r="75" spans="1:119" s="19" customFormat="1" ht="18" customHeight="1" outlineLevel="1" x14ac:dyDescent="0.25">
      <c r="A75" s="48" t="s">
        <v>152</v>
      </c>
      <c r="B75" s="53"/>
      <c r="C75" s="64"/>
      <c r="D75" s="68">
        <v>0</v>
      </c>
      <c r="E75" s="68"/>
      <c r="F75" s="68">
        <v>0</v>
      </c>
      <c r="G75" s="68">
        <v>15000</v>
      </c>
      <c r="H75" s="50">
        <v>0</v>
      </c>
      <c r="I75" s="68"/>
      <c r="J75" s="68">
        <v>0</v>
      </c>
      <c r="K75" s="68"/>
      <c r="L75" s="68">
        <v>0</v>
      </c>
      <c r="M75" s="68"/>
      <c r="N75" s="68">
        <v>0</v>
      </c>
      <c r="O75" s="68"/>
      <c r="P75" s="68"/>
      <c r="Q75" s="68"/>
      <c r="R75" s="68">
        <v>0</v>
      </c>
      <c r="S75" s="68"/>
      <c r="T75" s="68">
        <v>0</v>
      </c>
      <c r="U75" s="68"/>
      <c r="V75" s="68">
        <v>0</v>
      </c>
      <c r="W75" s="68"/>
      <c r="X75" s="68">
        <v>0</v>
      </c>
      <c r="Y75" s="68"/>
      <c r="Z75" s="68">
        <v>0</v>
      </c>
      <c r="AA75" s="51">
        <f t="shared" si="11"/>
        <v>15000</v>
      </c>
      <c r="AB75" s="51">
        <f t="shared" si="12"/>
        <v>0</v>
      </c>
      <c r="AC75" s="104"/>
      <c r="AD75" s="31">
        <f t="shared" si="13"/>
        <v>15000</v>
      </c>
      <c r="AE75" s="31">
        <f t="shared" si="14"/>
        <v>0</v>
      </c>
      <c r="AF75" s="17">
        <f t="shared" si="17"/>
        <v>0</v>
      </c>
      <c r="AG75" s="17">
        <f t="shared" si="18"/>
        <v>0</v>
      </c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61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</row>
    <row r="76" spans="1:119" s="19" customFormat="1" ht="18" customHeight="1" outlineLevel="1" x14ac:dyDescent="0.25">
      <c r="A76" s="48" t="s">
        <v>153</v>
      </c>
      <c r="B76" s="53"/>
      <c r="C76" s="64"/>
      <c r="D76" s="68">
        <v>833.33</v>
      </c>
      <c r="E76" s="68"/>
      <c r="F76" s="68">
        <v>833.33</v>
      </c>
      <c r="G76" s="68"/>
      <c r="H76" s="50">
        <v>833.33</v>
      </c>
      <c r="I76" s="68"/>
      <c r="J76" s="68">
        <v>833.33</v>
      </c>
      <c r="K76" s="68"/>
      <c r="L76" s="68">
        <v>833.33</v>
      </c>
      <c r="M76" s="68"/>
      <c r="N76" s="68">
        <v>833.37</v>
      </c>
      <c r="O76" s="68"/>
      <c r="P76" s="68"/>
      <c r="Q76" s="68"/>
      <c r="R76" s="68">
        <v>0</v>
      </c>
      <c r="S76" s="68"/>
      <c r="T76" s="68">
        <v>150</v>
      </c>
      <c r="U76" s="68"/>
      <c r="V76" s="68">
        <v>0</v>
      </c>
      <c r="W76" s="68"/>
      <c r="X76" s="68">
        <v>0</v>
      </c>
      <c r="Y76" s="68"/>
      <c r="Z76" s="68">
        <v>0</v>
      </c>
      <c r="AA76" s="51">
        <f t="shared" si="11"/>
        <v>0</v>
      </c>
      <c r="AB76" s="51">
        <f t="shared" si="12"/>
        <v>5150.0200000000004</v>
      </c>
      <c r="AC76" s="104"/>
      <c r="AD76" s="31">
        <f t="shared" si="13"/>
        <v>0</v>
      </c>
      <c r="AE76" s="31">
        <f t="shared" si="14"/>
        <v>5150.0200000000004</v>
      </c>
      <c r="AF76" s="17">
        <f t="shared" si="17"/>
        <v>0</v>
      </c>
      <c r="AG76" s="17">
        <f t="shared" si="18"/>
        <v>0</v>
      </c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61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</row>
    <row r="77" spans="1:119" s="19" customFormat="1" ht="18" customHeight="1" outlineLevel="1" x14ac:dyDescent="0.25">
      <c r="A77" s="48" t="s">
        <v>154</v>
      </c>
      <c r="B77" s="53"/>
      <c r="C77" s="64"/>
      <c r="D77" s="68">
        <v>0</v>
      </c>
      <c r="E77" s="68"/>
      <c r="F77" s="68">
        <v>0</v>
      </c>
      <c r="G77" s="68"/>
      <c r="H77" s="50">
        <v>0</v>
      </c>
      <c r="I77" s="68"/>
      <c r="J77" s="68">
        <v>0</v>
      </c>
      <c r="K77" s="68"/>
      <c r="L77" s="68">
        <v>0</v>
      </c>
      <c r="M77" s="68"/>
      <c r="N77" s="68">
        <v>0</v>
      </c>
      <c r="O77" s="68"/>
      <c r="P77" s="68"/>
      <c r="Q77" s="68"/>
      <c r="R77" s="68">
        <v>0</v>
      </c>
      <c r="S77" s="68">
        <v>20000</v>
      </c>
      <c r="T77" s="68">
        <v>7619.87</v>
      </c>
      <c r="U77" s="68"/>
      <c r="V77" s="68">
        <v>-197.02</v>
      </c>
      <c r="W77" s="68"/>
      <c r="X77" s="68">
        <v>0</v>
      </c>
      <c r="Y77" s="68"/>
      <c r="Z77" s="68">
        <v>0</v>
      </c>
      <c r="AA77" s="51">
        <f t="shared" si="11"/>
        <v>20000</v>
      </c>
      <c r="AB77" s="51">
        <f t="shared" si="12"/>
        <v>7422.8499999999995</v>
      </c>
      <c r="AC77" s="104"/>
      <c r="AD77" s="31">
        <f t="shared" si="13"/>
        <v>20000</v>
      </c>
      <c r="AE77" s="31">
        <f t="shared" si="14"/>
        <v>7422.8499999999995</v>
      </c>
      <c r="AF77" s="17">
        <f t="shared" si="17"/>
        <v>0</v>
      </c>
      <c r="AG77" s="17">
        <f t="shared" si="18"/>
        <v>0</v>
      </c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61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</row>
    <row r="78" spans="1:119" s="19" customFormat="1" ht="18" customHeight="1" outlineLevel="1" x14ac:dyDescent="0.25">
      <c r="A78" s="48" t="s">
        <v>155</v>
      </c>
      <c r="B78" s="53"/>
      <c r="C78" s="64"/>
      <c r="D78" s="68">
        <v>0</v>
      </c>
      <c r="E78" s="68"/>
      <c r="F78" s="68">
        <v>0</v>
      </c>
      <c r="G78" s="68"/>
      <c r="H78" s="50">
        <v>0</v>
      </c>
      <c r="I78" s="68"/>
      <c r="J78" s="68">
        <v>0</v>
      </c>
      <c r="K78" s="68"/>
      <c r="L78" s="68">
        <v>0</v>
      </c>
      <c r="M78" s="68"/>
      <c r="N78" s="68">
        <v>0</v>
      </c>
      <c r="O78" s="68"/>
      <c r="P78" s="68"/>
      <c r="Q78" s="68"/>
      <c r="R78" s="68">
        <v>0</v>
      </c>
      <c r="S78" s="68"/>
      <c r="T78" s="68">
        <v>0</v>
      </c>
      <c r="U78" s="68"/>
      <c r="V78" s="68">
        <v>0</v>
      </c>
      <c r="W78" s="68"/>
      <c r="X78" s="68">
        <v>0</v>
      </c>
      <c r="Y78" s="68"/>
      <c r="Z78" s="68">
        <v>0</v>
      </c>
      <c r="AA78" s="51">
        <f t="shared" si="11"/>
        <v>0</v>
      </c>
      <c r="AB78" s="51">
        <f t="shared" si="12"/>
        <v>0</v>
      </c>
      <c r="AC78" s="104"/>
      <c r="AD78" s="31">
        <f t="shared" si="13"/>
        <v>0</v>
      </c>
      <c r="AE78" s="31">
        <f t="shared" si="14"/>
        <v>0</v>
      </c>
      <c r="AF78" s="17">
        <f t="shared" si="17"/>
        <v>0</v>
      </c>
      <c r="AG78" s="17">
        <f t="shared" si="18"/>
        <v>0</v>
      </c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61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</row>
    <row r="79" spans="1:119" s="19" customFormat="1" ht="18" customHeight="1" outlineLevel="1" x14ac:dyDescent="0.25">
      <c r="A79" s="48" t="s">
        <v>156</v>
      </c>
      <c r="B79" s="53"/>
      <c r="C79" s="64">
        <v>833.33</v>
      </c>
      <c r="D79" s="68">
        <v>0</v>
      </c>
      <c r="E79" s="68">
        <v>833.33</v>
      </c>
      <c r="F79" s="68">
        <v>0</v>
      </c>
      <c r="G79" s="68">
        <v>833.33</v>
      </c>
      <c r="H79" s="50">
        <v>0</v>
      </c>
      <c r="I79" s="68">
        <v>833.33</v>
      </c>
      <c r="J79" s="68">
        <v>0</v>
      </c>
      <c r="K79" s="68">
        <v>833.33</v>
      </c>
      <c r="L79" s="68">
        <v>0</v>
      </c>
      <c r="M79" s="68">
        <v>833.33</v>
      </c>
      <c r="N79" s="68">
        <v>0</v>
      </c>
      <c r="O79" s="68">
        <v>833.33</v>
      </c>
      <c r="P79" s="68"/>
      <c r="Q79" s="68">
        <v>833.33</v>
      </c>
      <c r="R79" s="68">
        <v>0</v>
      </c>
      <c r="S79" s="68">
        <v>833.33</v>
      </c>
      <c r="T79" s="68">
        <v>0</v>
      </c>
      <c r="U79" s="68">
        <v>833.33</v>
      </c>
      <c r="V79" s="68">
        <v>0</v>
      </c>
      <c r="W79" s="68">
        <v>833.33</v>
      </c>
      <c r="X79" s="68">
        <v>0</v>
      </c>
      <c r="Y79" s="68">
        <v>833.37</v>
      </c>
      <c r="Z79" s="68">
        <v>0</v>
      </c>
      <c r="AA79" s="51">
        <f t="shared" si="11"/>
        <v>10000.000000000002</v>
      </c>
      <c r="AB79" s="51">
        <f t="shared" si="12"/>
        <v>0</v>
      </c>
      <c r="AC79" s="104"/>
      <c r="AD79" s="31">
        <f t="shared" si="13"/>
        <v>10000.000000000002</v>
      </c>
      <c r="AE79" s="31">
        <f t="shared" si="14"/>
        <v>0</v>
      </c>
      <c r="AF79" s="17">
        <f t="shared" si="17"/>
        <v>0</v>
      </c>
      <c r="AG79" s="17">
        <f t="shared" si="18"/>
        <v>0</v>
      </c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61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</row>
    <row r="80" spans="1:119" s="19" customFormat="1" ht="18" customHeight="1" outlineLevel="1" x14ac:dyDescent="0.25">
      <c r="A80" s="48" t="s">
        <v>157</v>
      </c>
      <c r="B80" s="53"/>
      <c r="C80" s="64"/>
      <c r="D80" s="68">
        <v>0</v>
      </c>
      <c r="E80" s="68"/>
      <c r="F80" s="68">
        <v>0</v>
      </c>
      <c r="G80" s="68"/>
      <c r="H80" s="50">
        <v>1008.84</v>
      </c>
      <c r="I80" s="68"/>
      <c r="J80" s="68">
        <v>0</v>
      </c>
      <c r="K80" s="68"/>
      <c r="L80" s="68">
        <v>0</v>
      </c>
      <c r="M80" s="68"/>
      <c r="N80" s="68">
        <v>0</v>
      </c>
      <c r="O80" s="68"/>
      <c r="P80" s="68"/>
      <c r="Q80" s="68"/>
      <c r="R80" s="68">
        <v>0</v>
      </c>
      <c r="S80" s="68"/>
      <c r="T80" s="68">
        <v>1980.2</v>
      </c>
      <c r="U80" s="68"/>
      <c r="V80" s="68">
        <v>0</v>
      </c>
      <c r="W80" s="68"/>
      <c r="X80" s="68">
        <v>0</v>
      </c>
      <c r="Y80" s="68"/>
      <c r="Z80" s="68">
        <v>0</v>
      </c>
      <c r="AA80" s="51">
        <f t="shared" si="11"/>
        <v>0</v>
      </c>
      <c r="AB80" s="51">
        <f t="shared" si="12"/>
        <v>2989.04</v>
      </c>
      <c r="AC80" s="104"/>
      <c r="AD80" s="31">
        <f t="shared" si="13"/>
        <v>0</v>
      </c>
      <c r="AE80" s="31">
        <f t="shared" si="14"/>
        <v>2989.04</v>
      </c>
      <c r="AF80" s="17">
        <f t="shared" si="17"/>
        <v>0</v>
      </c>
      <c r="AG80" s="17">
        <f t="shared" si="18"/>
        <v>0</v>
      </c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61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</row>
    <row r="81" spans="1:119" s="19" customFormat="1" ht="18" customHeight="1" outlineLevel="1" x14ac:dyDescent="0.25">
      <c r="A81" s="48" t="s">
        <v>158</v>
      </c>
      <c r="B81" s="53"/>
      <c r="C81" s="64"/>
      <c r="D81" s="68">
        <v>0</v>
      </c>
      <c r="E81" s="68"/>
      <c r="F81" s="68">
        <v>0</v>
      </c>
      <c r="G81" s="68"/>
      <c r="H81" s="50">
        <v>0</v>
      </c>
      <c r="I81" s="68"/>
      <c r="J81" s="68">
        <v>0</v>
      </c>
      <c r="K81" s="68"/>
      <c r="L81" s="68">
        <v>0</v>
      </c>
      <c r="M81" s="68"/>
      <c r="N81" s="68">
        <v>0</v>
      </c>
      <c r="O81" s="68"/>
      <c r="P81" s="68"/>
      <c r="Q81" s="68"/>
      <c r="R81" s="68">
        <v>0</v>
      </c>
      <c r="S81" s="68"/>
      <c r="T81" s="68">
        <v>0</v>
      </c>
      <c r="U81" s="68"/>
      <c r="V81" s="68">
        <v>0</v>
      </c>
      <c r="W81" s="68"/>
      <c r="X81" s="68">
        <v>0</v>
      </c>
      <c r="Y81" s="68"/>
      <c r="Z81" s="68">
        <v>0</v>
      </c>
      <c r="AA81" s="51">
        <f t="shared" si="11"/>
        <v>0</v>
      </c>
      <c r="AB81" s="51">
        <f t="shared" si="12"/>
        <v>0</v>
      </c>
      <c r="AC81" s="104"/>
      <c r="AD81" s="31">
        <f t="shared" si="13"/>
        <v>0</v>
      </c>
      <c r="AE81" s="31">
        <f t="shared" si="14"/>
        <v>0</v>
      </c>
      <c r="AF81" s="17">
        <f t="shared" si="17"/>
        <v>0</v>
      </c>
      <c r="AG81" s="17">
        <f t="shared" si="18"/>
        <v>0</v>
      </c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61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</row>
    <row r="82" spans="1:119" s="19" customFormat="1" ht="18" customHeight="1" outlineLevel="1" x14ac:dyDescent="0.25">
      <c r="A82" s="48" t="s">
        <v>159</v>
      </c>
      <c r="B82" s="53"/>
      <c r="C82" s="64"/>
      <c r="D82" s="68">
        <v>0</v>
      </c>
      <c r="E82" s="68"/>
      <c r="F82" s="68">
        <v>0</v>
      </c>
      <c r="G82" s="68"/>
      <c r="H82" s="50">
        <v>0</v>
      </c>
      <c r="I82" s="68"/>
      <c r="J82" s="68">
        <v>0</v>
      </c>
      <c r="K82" s="68"/>
      <c r="L82" s="68">
        <v>0</v>
      </c>
      <c r="M82" s="68"/>
      <c r="N82" s="68">
        <v>0</v>
      </c>
      <c r="O82" s="68"/>
      <c r="P82" s="68">
        <v>0</v>
      </c>
      <c r="Q82" s="68"/>
      <c r="R82" s="68">
        <v>0</v>
      </c>
      <c r="S82" s="68"/>
      <c r="T82" s="68">
        <v>0</v>
      </c>
      <c r="U82" s="68"/>
      <c r="V82" s="68">
        <v>0</v>
      </c>
      <c r="W82" s="68"/>
      <c r="X82" s="68">
        <v>0</v>
      </c>
      <c r="Y82" s="68"/>
      <c r="Z82" s="68">
        <v>0</v>
      </c>
      <c r="AA82" s="51">
        <f t="shared" si="11"/>
        <v>0</v>
      </c>
      <c r="AB82" s="51">
        <f t="shared" si="12"/>
        <v>0</v>
      </c>
      <c r="AC82" s="104"/>
      <c r="AD82" s="31">
        <f t="shared" si="13"/>
        <v>0</v>
      </c>
      <c r="AE82" s="31">
        <f t="shared" si="14"/>
        <v>0</v>
      </c>
      <c r="AF82" s="17">
        <f t="shared" si="17"/>
        <v>0</v>
      </c>
      <c r="AG82" s="17">
        <f t="shared" si="18"/>
        <v>0</v>
      </c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61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</row>
    <row r="83" spans="1:119" s="19" customFormat="1" ht="18" customHeight="1" outlineLevel="1" x14ac:dyDescent="0.25">
      <c r="A83" s="48" t="s">
        <v>160</v>
      </c>
      <c r="B83" s="53"/>
      <c r="C83" s="64"/>
      <c r="D83" s="68">
        <v>0</v>
      </c>
      <c r="E83" s="68"/>
      <c r="F83" s="68">
        <v>0</v>
      </c>
      <c r="G83" s="68"/>
      <c r="H83" s="50">
        <v>0</v>
      </c>
      <c r="I83" s="68"/>
      <c r="J83" s="68">
        <v>0</v>
      </c>
      <c r="K83" s="68"/>
      <c r="L83" s="68">
        <v>0</v>
      </c>
      <c r="M83" s="68"/>
      <c r="N83" s="68">
        <v>0</v>
      </c>
      <c r="O83" s="68"/>
      <c r="P83" s="68">
        <v>0</v>
      </c>
      <c r="Q83" s="68"/>
      <c r="R83" s="68">
        <v>0</v>
      </c>
      <c r="S83" s="68"/>
      <c r="T83" s="68">
        <v>0</v>
      </c>
      <c r="U83" s="68"/>
      <c r="V83" s="68">
        <v>0</v>
      </c>
      <c r="W83" s="68"/>
      <c r="X83" s="68">
        <v>0</v>
      </c>
      <c r="Y83" s="68"/>
      <c r="Z83" s="68">
        <v>0</v>
      </c>
      <c r="AA83" s="51">
        <f t="shared" si="11"/>
        <v>0</v>
      </c>
      <c r="AB83" s="51">
        <f t="shared" si="12"/>
        <v>0</v>
      </c>
      <c r="AC83" s="104"/>
      <c r="AD83" s="31">
        <f t="shared" si="13"/>
        <v>0</v>
      </c>
      <c r="AE83" s="31">
        <f t="shared" si="14"/>
        <v>0</v>
      </c>
      <c r="AF83" s="17">
        <f t="shared" si="17"/>
        <v>0</v>
      </c>
      <c r="AG83" s="17">
        <f t="shared" si="18"/>
        <v>0</v>
      </c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61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</row>
    <row r="84" spans="1:119" s="19" customFormat="1" ht="18" customHeight="1" outlineLevel="1" x14ac:dyDescent="0.25">
      <c r="A84" s="48" t="s">
        <v>161</v>
      </c>
      <c r="B84" s="53"/>
      <c r="C84" s="64">
        <v>11000</v>
      </c>
      <c r="D84" s="68">
        <v>5023.71</v>
      </c>
      <c r="E84" s="68">
        <v>11000</v>
      </c>
      <c r="F84" s="68">
        <v>9172.94</v>
      </c>
      <c r="G84" s="68">
        <v>11000</v>
      </c>
      <c r="H84" s="50">
        <v>15113.19</v>
      </c>
      <c r="I84" s="68">
        <v>11000</v>
      </c>
      <c r="J84" s="68">
        <v>16292.92</v>
      </c>
      <c r="K84" s="68">
        <v>11000</v>
      </c>
      <c r="L84" s="68">
        <v>6856.47</v>
      </c>
      <c r="M84" s="68">
        <v>11000</v>
      </c>
      <c r="N84" s="68">
        <v>6119.69</v>
      </c>
      <c r="O84" s="68">
        <v>11000</v>
      </c>
      <c r="P84" s="68">
        <v>12270.93</v>
      </c>
      <c r="Q84" s="68">
        <v>11000</v>
      </c>
      <c r="R84" s="68">
        <v>9178.18</v>
      </c>
      <c r="S84" s="68">
        <v>11000</v>
      </c>
      <c r="T84" s="68">
        <v>10826.36</v>
      </c>
      <c r="U84" s="68">
        <v>11000</v>
      </c>
      <c r="V84" s="68">
        <v>10836.88</v>
      </c>
      <c r="W84" s="68">
        <v>11000</v>
      </c>
      <c r="X84" s="68">
        <v>11088.74</v>
      </c>
      <c r="Y84" s="68">
        <v>11000</v>
      </c>
      <c r="Z84" s="68">
        <v>8426.52</v>
      </c>
      <c r="AA84" s="51">
        <f t="shared" si="11"/>
        <v>132000</v>
      </c>
      <c r="AB84" s="51">
        <f t="shared" si="12"/>
        <v>121206.53000000001</v>
      </c>
      <c r="AC84" s="104"/>
      <c r="AD84" s="31">
        <f t="shared" si="13"/>
        <v>132000</v>
      </c>
      <c r="AE84" s="31">
        <f t="shared" si="14"/>
        <v>121206.53000000001</v>
      </c>
      <c r="AF84" s="17">
        <f t="shared" si="17"/>
        <v>0</v>
      </c>
      <c r="AG84" s="17">
        <f t="shared" si="18"/>
        <v>0</v>
      </c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61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</row>
    <row r="85" spans="1:119" s="19" customFormat="1" ht="18" customHeight="1" outlineLevel="1" x14ac:dyDescent="0.25">
      <c r="A85" s="48" t="s">
        <v>162</v>
      </c>
      <c r="B85" s="53"/>
      <c r="C85" s="64">
        <v>0</v>
      </c>
      <c r="D85" s="68">
        <v>0</v>
      </c>
      <c r="E85" s="68">
        <v>0</v>
      </c>
      <c r="F85" s="68">
        <v>0</v>
      </c>
      <c r="G85" s="68">
        <v>0</v>
      </c>
      <c r="H85" s="50">
        <v>0</v>
      </c>
      <c r="I85" s="68">
        <v>0</v>
      </c>
      <c r="J85" s="68">
        <v>0</v>
      </c>
      <c r="K85" s="68">
        <v>0</v>
      </c>
      <c r="L85" s="68">
        <v>0</v>
      </c>
      <c r="M85" s="68">
        <v>0</v>
      </c>
      <c r="N85" s="68">
        <v>0</v>
      </c>
      <c r="O85" s="68">
        <v>0</v>
      </c>
      <c r="P85" s="68">
        <v>0</v>
      </c>
      <c r="Q85" s="68">
        <v>0</v>
      </c>
      <c r="R85" s="68">
        <v>0</v>
      </c>
      <c r="S85" s="68">
        <v>0</v>
      </c>
      <c r="T85" s="68">
        <v>0</v>
      </c>
      <c r="U85" s="68">
        <v>0</v>
      </c>
      <c r="V85" s="68">
        <v>1741.93</v>
      </c>
      <c r="W85" s="68">
        <v>0</v>
      </c>
      <c r="X85" s="68">
        <v>6088.35</v>
      </c>
      <c r="Y85" s="68">
        <v>0</v>
      </c>
      <c r="Z85" s="68">
        <v>6117.27</v>
      </c>
      <c r="AA85" s="51">
        <f t="shared" si="11"/>
        <v>0</v>
      </c>
      <c r="AB85" s="51">
        <f t="shared" si="12"/>
        <v>13947.550000000001</v>
      </c>
      <c r="AC85" s="104"/>
      <c r="AD85" s="31">
        <f t="shared" si="13"/>
        <v>0</v>
      </c>
      <c r="AE85" s="31">
        <f t="shared" si="14"/>
        <v>13947.550000000001</v>
      </c>
      <c r="AF85" s="17">
        <f t="shared" si="17"/>
        <v>0</v>
      </c>
      <c r="AG85" s="17">
        <f t="shared" si="18"/>
        <v>0</v>
      </c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61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</row>
    <row r="86" spans="1:119" s="19" customFormat="1" ht="18" customHeight="1" outlineLevel="1" x14ac:dyDescent="0.25">
      <c r="A86" s="48" t="s">
        <v>163</v>
      </c>
      <c r="B86" s="53"/>
      <c r="C86" s="64"/>
      <c r="D86" s="68">
        <v>0</v>
      </c>
      <c r="E86" s="68"/>
      <c r="F86" s="68">
        <v>0</v>
      </c>
      <c r="G86" s="68"/>
      <c r="H86" s="50">
        <v>0</v>
      </c>
      <c r="I86" s="68"/>
      <c r="J86" s="68">
        <v>0</v>
      </c>
      <c r="K86" s="68"/>
      <c r="L86" s="68">
        <v>0</v>
      </c>
      <c r="M86" s="68"/>
      <c r="N86" s="68">
        <v>0</v>
      </c>
      <c r="O86" s="68"/>
      <c r="P86" s="68">
        <v>0</v>
      </c>
      <c r="Q86" s="68"/>
      <c r="R86" s="68">
        <v>0</v>
      </c>
      <c r="S86" s="68"/>
      <c r="T86" s="68">
        <v>0</v>
      </c>
      <c r="U86" s="68"/>
      <c r="V86" s="68">
        <v>0</v>
      </c>
      <c r="W86" s="68"/>
      <c r="X86" s="68">
        <v>0</v>
      </c>
      <c r="Y86" s="68"/>
      <c r="Z86" s="68">
        <v>0</v>
      </c>
      <c r="AA86" s="51">
        <f t="shared" si="11"/>
        <v>0</v>
      </c>
      <c r="AB86" s="51">
        <f t="shared" si="12"/>
        <v>0</v>
      </c>
      <c r="AC86" s="104"/>
      <c r="AD86" s="31">
        <f t="shared" si="13"/>
        <v>0</v>
      </c>
      <c r="AE86" s="31">
        <f t="shared" si="14"/>
        <v>0</v>
      </c>
      <c r="AF86" s="17">
        <f t="shared" si="17"/>
        <v>0</v>
      </c>
      <c r="AG86" s="17">
        <f t="shared" si="18"/>
        <v>0</v>
      </c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61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</row>
    <row r="87" spans="1:119" s="19" customFormat="1" ht="18" customHeight="1" outlineLevel="1" x14ac:dyDescent="0.25">
      <c r="A87" s="48" t="s">
        <v>164</v>
      </c>
      <c r="B87" s="53"/>
      <c r="C87" s="64">
        <v>400</v>
      </c>
      <c r="D87" s="68">
        <v>9020.52</v>
      </c>
      <c r="E87" s="68">
        <v>400</v>
      </c>
      <c r="F87" s="68">
        <v>1242.92</v>
      </c>
      <c r="G87" s="68">
        <v>500</v>
      </c>
      <c r="H87" s="50">
        <v>7706.13</v>
      </c>
      <c r="I87" s="68">
        <v>500</v>
      </c>
      <c r="J87" s="68">
        <v>3584.43</v>
      </c>
      <c r="K87" s="68">
        <v>400</v>
      </c>
      <c r="L87" s="68">
        <v>593.4</v>
      </c>
      <c r="M87" s="68">
        <v>400</v>
      </c>
      <c r="N87" s="68">
        <v>2076.89</v>
      </c>
      <c r="O87" s="68">
        <v>400</v>
      </c>
      <c r="P87" s="68">
        <v>1018.39</v>
      </c>
      <c r="Q87" s="68">
        <v>400</v>
      </c>
      <c r="R87" s="68">
        <v>1892.45</v>
      </c>
      <c r="S87" s="68">
        <v>400</v>
      </c>
      <c r="T87" s="68">
        <v>1034.43</v>
      </c>
      <c r="U87" s="68">
        <v>400</v>
      </c>
      <c r="V87" s="68">
        <v>3283.02</v>
      </c>
      <c r="W87" s="68">
        <v>400</v>
      </c>
      <c r="X87" s="68">
        <v>356.84</v>
      </c>
      <c r="Y87" s="68">
        <v>400</v>
      </c>
      <c r="Z87" s="68">
        <v>1956.6</v>
      </c>
      <c r="AA87" s="51">
        <f t="shared" si="11"/>
        <v>5000</v>
      </c>
      <c r="AB87" s="51">
        <f t="shared" si="12"/>
        <v>33766.020000000004</v>
      </c>
      <c r="AC87" s="104"/>
      <c r="AD87" s="31">
        <f t="shared" si="13"/>
        <v>5000</v>
      </c>
      <c r="AE87" s="31">
        <f t="shared" si="14"/>
        <v>33766.020000000004</v>
      </c>
      <c r="AF87" s="17">
        <f t="shared" si="17"/>
        <v>0</v>
      </c>
      <c r="AG87" s="17">
        <f t="shared" si="18"/>
        <v>0</v>
      </c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61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</row>
    <row r="88" spans="1:119" s="19" customFormat="1" ht="18" customHeight="1" outlineLevel="1" x14ac:dyDescent="0.25">
      <c r="A88" s="48" t="s">
        <v>165</v>
      </c>
      <c r="B88" s="53"/>
      <c r="C88" s="64"/>
      <c r="D88" s="68">
        <v>0</v>
      </c>
      <c r="E88" s="68"/>
      <c r="F88" s="68">
        <v>0</v>
      </c>
      <c r="G88" s="68"/>
      <c r="H88" s="50">
        <v>0</v>
      </c>
      <c r="I88" s="68"/>
      <c r="J88" s="68">
        <v>0</v>
      </c>
      <c r="K88" s="68"/>
      <c r="L88" s="68">
        <v>0</v>
      </c>
      <c r="M88" s="68"/>
      <c r="N88" s="68">
        <v>0</v>
      </c>
      <c r="O88" s="68"/>
      <c r="P88" s="68">
        <v>0</v>
      </c>
      <c r="Q88" s="68"/>
      <c r="R88" s="68">
        <v>0</v>
      </c>
      <c r="S88" s="68"/>
      <c r="T88" s="68">
        <v>0</v>
      </c>
      <c r="U88" s="68"/>
      <c r="V88" s="68">
        <v>0</v>
      </c>
      <c r="W88" s="68"/>
      <c r="X88" s="68">
        <v>0</v>
      </c>
      <c r="Y88" s="68"/>
      <c r="Z88" s="68">
        <v>0</v>
      </c>
      <c r="AA88" s="51">
        <f t="shared" si="11"/>
        <v>0</v>
      </c>
      <c r="AB88" s="51">
        <f t="shared" si="12"/>
        <v>0</v>
      </c>
      <c r="AC88" s="104"/>
      <c r="AD88" s="31">
        <f t="shared" si="13"/>
        <v>0</v>
      </c>
      <c r="AE88" s="31">
        <f t="shared" si="14"/>
        <v>0</v>
      </c>
      <c r="AF88" s="17">
        <f t="shared" si="17"/>
        <v>0</v>
      </c>
      <c r="AG88" s="17">
        <f t="shared" si="18"/>
        <v>0</v>
      </c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61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</row>
    <row r="89" spans="1:119" s="19" customFormat="1" ht="18" customHeight="1" outlineLevel="1" x14ac:dyDescent="0.25">
      <c r="A89" s="48" t="s">
        <v>166</v>
      </c>
      <c r="B89" s="53"/>
      <c r="C89" s="64"/>
      <c r="D89" s="68">
        <v>0</v>
      </c>
      <c r="E89" s="68"/>
      <c r="F89" s="68">
        <v>0</v>
      </c>
      <c r="G89" s="68"/>
      <c r="H89" s="50">
        <v>0</v>
      </c>
      <c r="I89" s="68"/>
      <c r="J89" s="68">
        <v>0</v>
      </c>
      <c r="K89" s="68"/>
      <c r="L89" s="68">
        <v>0</v>
      </c>
      <c r="M89" s="68"/>
      <c r="N89" s="68">
        <v>0</v>
      </c>
      <c r="O89" s="68"/>
      <c r="P89" s="68">
        <v>0</v>
      </c>
      <c r="Q89" s="68"/>
      <c r="R89" s="68">
        <v>0</v>
      </c>
      <c r="S89" s="68"/>
      <c r="T89" s="68">
        <v>0</v>
      </c>
      <c r="U89" s="68"/>
      <c r="V89" s="68">
        <v>0</v>
      </c>
      <c r="W89" s="68"/>
      <c r="X89" s="68">
        <v>0</v>
      </c>
      <c r="Y89" s="68"/>
      <c r="Z89" s="68">
        <v>0</v>
      </c>
      <c r="AA89" s="51">
        <f t="shared" si="11"/>
        <v>0</v>
      </c>
      <c r="AB89" s="51">
        <f t="shared" si="12"/>
        <v>0</v>
      </c>
      <c r="AC89" s="104"/>
      <c r="AD89" s="31">
        <f t="shared" si="13"/>
        <v>0</v>
      </c>
      <c r="AE89" s="31">
        <f t="shared" si="14"/>
        <v>0</v>
      </c>
      <c r="AF89" s="17">
        <f t="shared" si="17"/>
        <v>0</v>
      </c>
      <c r="AG89" s="17">
        <f t="shared" si="18"/>
        <v>0</v>
      </c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61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</row>
    <row r="90" spans="1:119" s="19" customFormat="1" ht="18" customHeight="1" outlineLevel="1" x14ac:dyDescent="0.25">
      <c r="A90" s="48" t="s">
        <v>167</v>
      </c>
      <c r="B90" s="53"/>
      <c r="C90" s="64"/>
      <c r="D90" s="68">
        <v>0</v>
      </c>
      <c r="E90" s="68"/>
      <c r="F90" s="68">
        <v>0</v>
      </c>
      <c r="G90" s="68"/>
      <c r="H90" s="50">
        <v>0</v>
      </c>
      <c r="I90" s="68"/>
      <c r="J90" s="68">
        <v>0</v>
      </c>
      <c r="K90" s="68"/>
      <c r="L90" s="68">
        <v>0</v>
      </c>
      <c r="M90" s="68"/>
      <c r="N90" s="68">
        <v>0</v>
      </c>
      <c r="O90" s="68"/>
      <c r="P90" s="68">
        <v>0</v>
      </c>
      <c r="Q90" s="68"/>
      <c r="R90" s="68">
        <v>0</v>
      </c>
      <c r="S90" s="68"/>
      <c r="T90" s="68">
        <v>0</v>
      </c>
      <c r="U90" s="68"/>
      <c r="V90" s="68">
        <v>0</v>
      </c>
      <c r="W90" s="68"/>
      <c r="X90" s="68">
        <v>0</v>
      </c>
      <c r="Y90" s="68"/>
      <c r="Z90" s="68">
        <v>0</v>
      </c>
      <c r="AA90" s="51">
        <f t="shared" si="11"/>
        <v>0</v>
      </c>
      <c r="AB90" s="51">
        <f t="shared" si="12"/>
        <v>0</v>
      </c>
      <c r="AC90" s="104"/>
      <c r="AD90" s="31">
        <f t="shared" si="13"/>
        <v>0</v>
      </c>
      <c r="AE90" s="31">
        <f t="shared" si="14"/>
        <v>0</v>
      </c>
      <c r="AF90" s="17">
        <f t="shared" si="17"/>
        <v>0</v>
      </c>
      <c r="AG90" s="17">
        <f t="shared" si="18"/>
        <v>0</v>
      </c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61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</row>
    <row r="91" spans="1:119" s="19" customFormat="1" ht="18" customHeight="1" outlineLevel="1" x14ac:dyDescent="0.25">
      <c r="A91" s="48" t="s">
        <v>168</v>
      </c>
      <c r="B91" s="53"/>
      <c r="C91" s="64"/>
      <c r="D91" s="68">
        <v>0</v>
      </c>
      <c r="E91" s="68"/>
      <c r="F91" s="68">
        <v>0</v>
      </c>
      <c r="G91" s="68"/>
      <c r="H91" s="50">
        <v>0</v>
      </c>
      <c r="I91" s="68"/>
      <c r="J91" s="68">
        <v>0</v>
      </c>
      <c r="K91" s="68"/>
      <c r="L91" s="68">
        <v>1362</v>
      </c>
      <c r="M91" s="68"/>
      <c r="N91" s="68">
        <v>0</v>
      </c>
      <c r="O91" s="68"/>
      <c r="P91" s="68">
        <v>0</v>
      </c>
      <c r="Q91" s="68"/>
      <c r="R91" s="68">
        <v>0</v>
      </c>
      <c r="S91" s="68"/>
      <c r="T91" s="68">
        <v>0</v>
      </c>
      <c r="U91" s="68"/>
      <c r="V91" s="68">
        <v>0</v>
      </c>
      <c r="W91" s="68"/>
      <c r="X91" s="68">
        <v>1500</v>
      </c>
      <c r="Y91" s="68"/>
      <c r="Z91" s="68">
        <v>0</v>
      </c>
      <c r="AA91" s="51">
        <f t="shared" si="11"/>
        <v>0</v>
      </c>
      <c r="AB91" s="51">
        <f t="shared" si="12"/>
        <v>2862</v>
      </c>
      <c r="AC91" s="104"/>
      <c r="AD91" s="31">
        <f t="shared" si="13"/>
        <v>0</v>
      </c>
      <c r="AE91" s="31">
        <f t="shared" si="14"/>
        <v>2862</v>
      </c>
      <c r="AF91" s="17">
        <f t="shared" si="17"/>
        <v>0</v>
      </c>
      <c r="AG91" s="17">
        <f t="shared" si="18"/>
        <v>0</v>
      </c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61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</row>
    <row r="92" spans="1:119" s="19" customFormat="1" ht="18" customHeight="1" outlineLevel="1" x14ac:dyDescent="0.25">
      <c r="A92" s="48" t="s">
        <v>169</v>
      </c>
      <c r="B92" s="53"/>
      <c r="C92" s="64"/>
      <c r="D92" s="68">
        <v>215.91</v>
      </c>
      <c r="E92" s="68"/>
      <c r="F92" s="68">
        <v>539.78</v>
      </c>
      <c r="G92" s="68"/>
      <c r="H92" s="50">
        <v>372.79</v>
      </c>
      <c r="I92" s="68"/>
      <c r="J92" s="68">
        <v>2655.28</v>
      </c>
      <c r="K92" s="68"/>
      <c r="L92" s="68">
        <v>514.95000000000005</v>
      </c>
      <c r="M92" s="68"/>
      <c r="N92" s="68">
        <v>423.73</v>
      </c>
      <c r="O92" s="68"/>
      <c r="P92" s="68">
        <v>956.14</v>
      </c>
      <c r="Q92" s="68"/>
      <c r="R92" s="68">
        <v>699.73</v>
      </c>
      <c r="S92" s="68"/>
      <c r="T92" s="68">
        <v>670.29</v>
      </c>
      <c r="U92" s="68"/>
      <c r="V92" s="68">
        <v>451.05</v>
      </c>
      <c r="W92" s="68"/>
      <c r="X92" s="68">
        <v>88.5</v>
      </c>
      <c r="Y92" s="68"/>
      <c r="Z92" s="68">
        <v>843.89</v>
      </c>
      <c r="AA92" s="51">
        <f t="shared" ref="AA92:AA155" si="23">C92+E92+G92+I92+K92+M92+O92+Q92+S92+U92+W92+Y92</f>
        <v>0</v>
      </c>
      <c r="AB92" s="51">
        <f t="shared" ref="AB92:AB101" si="24">D92+F92+H92+J92+L92+N92+P92+R92+T92+V92+X92+Z92</f>
        <v>8432.0400000000009</v>
      </c>
      <c r="AC92" s="104"/>
      <c r="AD92" s="31">
        <f t="shared" ref="AD92:AD155" si="25">SUMIF($C$5:$Z$5,$AD$5,C92:Z92)</f>
        <v>0</v>
      </c>
      <c r="AE92" s="31">
        <f t="shared" ref="AE92:AE155" si="26">SUMIF($C$5:$Z$5,$AD$5,D92:AA92)</f>
        <v>8432.0400000000009</v>
      </c>
      <c r="AF92" s="17">
        <f t="shared" si="17"/>
        <v>0</v>
      </c>
      <c r="AG92" s="17">
        <f t="shared" si="18"/>
        <v>0</v>
      </c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61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</row>
    <row r="93" spans="1:119" s="19" customFormat="1" ht="18" customHeight="1" outlineLevel="1" x14ac:dyDescent="0.25">
      <c r="A93" s="48" t="s">
        <v>170</v>
      </c>
      <c r="B93" s="53"/>
      <c r="C93" s="64"/>
      <c r="D93" s="68">
        <v>0</v>
      </c>
      <c r="E93" s="68"/>
      <c r="F93" s="68">
        <v>0</v>
      </c>
      <c r="G93" s="68"/>
      <c r="H93" s="50">
        <v>0</v>
      </c>
      <c r="I93" s="68"/>
      <c r="J93" s="68">
        <v>0</v>
      </c>
      <c r="K93" s="68"/>
      <c r="L93" s="68">
        <v>0</v>
      </c>
      <c r="M93" s="68"/>
      <c r="N93" s="68">
        <v>0</v>
      </c>
      <c r="O93" s="68"/>
      <c r="P93" s="68">
        <v>0</v>
      </c>
      <c r="Q93" s="68"/>
      <c r="R93" s="68">
        <v>0</v>
      </c>
      <c r="S93" s="68"/>
      <c r="T93" s="68">
        <v>0</v>
      </c>
      <c r="U93" s="68"/>
      <c r="V93" s="68">
        <v>0</v>
      </c>
      <c r="W93" s="68"/>
      <c r="X93" s="68">
        <v>0</v>
      </c>
      <c r="Y93" s="68"/>
      <c r="Z93" s="68">
        <v>0</v>
      </c>
      <c r="AA93" s="51">
        <f t="shared" si="23"/>
        <v>0</v>
      </c>
      <c r="AB93" s="51">
        <f t="shared" si="24"/>
        <v>0</v>
      </c>
      <c r="AC93" s="104"/>
      <c r="AD93" s="31">
        <f t="shared" si="25"/>
        <v>0</v>
      </c>
      <c r="AE93" s="31">
        <f t="shared" si="26"/>
        <v>0</v>
      </c>
      <c r="AF93" s="17">
        <f t="shared" si="17"/>
        <v>0</v>
      </c>
      <c r="AG93" s="17">
        <f t="shared" si="18"/>
        <v>0</v>
      </c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61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</row>
    <row r="94" spans="1:119" s="19" customFormat="1" ht="18" customHeight="1" outlineLevel="1" x14ac:dyDescent="0.25">
      <c r="A94" s="48" t="s">
        <v>171</v>
      </c>
      <c r="B94" s="53"/>
      <c r="C94" s="64"/>
      <c r="D94" s="68">
        <v>0</v>
      </c>
      <c r="E94" s="68"/>
      <c r="F94" s="68">
        <v>0</v>
      </c>
      <c r="G94" s="68"/>
      <c r="H94" s="50">
        <v>0</v>
      </c>
      <c r="I94" s="68"/>
      <c r="J94" s="68">
        <v>0</v>
      </c>
      <c r="K94" s="68"/>
      <c r="L94" s="68">
        <v>0</v>
      </c>
      <c r="M94" s="68"/>
      <c r="N94" s="68">
        <v>0</v>
      </c>
      <c r="O94" s="68"/>
      <c r="P94" s="68">
        <v>0</v>
      </c>
      <c r="Q94" s="68"/>
      <c r="R94" s="68">
        <v>0</v>
      </c>
      <c r="S94" s="68"/>
      <c r="T94" s="68">
        <v>0</v>
      </c>
      <c r="U94" s="68"/>
      <c r="V94" s="68">
        <v>0</v>
      </c>
      <c r="W94" s="68"/>
      <c r="X94" s="68">
        <v>0</v>
      </c>
      <c r="Y94" s="68"/>
      <c r="Z94" s="68">
        <v>0</v>
      </c>
      <c r="AA94" s="51">
        <f t="shared" si="23"/>
        <v>0</v>
      </c>
      <c r="AB94" s="51">
        <f t="shared" si="24"/>
        <v>0</v>
      </c>
      <c r="AC94" s="104"/>
      <c r="AD94" s="31">
        <f t="shared" si="25"/>
        <v>0</v>
      </c>
      <c r="AE94" s="31">
        <f t="shared" si="26"/>
        <v>0</v>
      </c>
      <c r="AF94" s="17">
        <f t="shared" ref="AF94:AF157" si="27">AA94-AD94</f>
        <v>0</v>
      </c>
      <c r="AG94" s="17">
        <f t="shared" ref="AG94:AG157" si="28">AB94-AE94</f>
        <v>0</v>
      </c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61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</row>
    <row r="95" spans="1:119" s="19" customFormat="1" ht="18" customHeight="1" outlineLevel="1" x14ac:dyDescent="0.25">
      <c r="A95" s="48" t="s">
        <v>172</v>
      </c>
      <c r="B95" s="53"/>
      <c r="C95" s="64"/>
      <c r="D95" s="68">
        <v>0</v>
      </c>
      <c r="E95" s="68"/>
      <c r="F95" s="68">
        <v>0</v>
      </c>
      <c r="G95" s="68"/>
      <c r="H95" s="50">
        <v>0</v>
      </c>
      <c r="I95" s="68"/>
      <c r="J95" s="68">
        <v>0</v>
      </c>
      <c r="K95" s="68"/>
      <c r="L95" s="68">
        <v>0</v>
      </c>
      <c r="M95" s="68"/>
      <c r="N95" s="68">
        <v>0</v>
      </c>
      <c r="O95" s="68"/>
      <c r="P95" s="68">
        <v>0</v>
      </c>
      <c r="Q95" s="68"/>
      <c r="R95" s="68">
        <v>0</v>
      </c>
      <c r="S95" s="68"/>
      <c r="T95" s="68">
        <v>0</v>
      </c>
      <c r="U95" s="68"/>
      <c r="V95" s="68">
        <v>0</v>
      </c>
      <c r="W95" s="68"/>
      <c r="X95" s="68">
        <v>0</v>
      </c>
      <c r="Y95" s="68"/>
      <c r="Z95" s="68">
        <v>0</v>
      </c>
      <c r="AA95" s="51">
        <f t="shared" si="23"/>
        <v>0</v>
      </c>
      <c r="AB95" s="51">
        <f t="shared" si="24"/>
        <v>0</v>
      </c>
      <c r="AC95" s="104"/>
      <c r="AD95" s="31">
        <f t="shared" si="25"/>
        <v>0</v>
      </c>
      <c r="AE95" s="31">
        <f t="shared" si="26"/>
        <v>0</v>
      </c>
      <c r="AF95" s="17">
        <f t="shared" si="27"/>
        <v>0</v>
      </c>
      <c r="AG95" s="17">
        <f t="shared" si="28"/>
        <v>0</v>
      </c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61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</row>
    <row r="96" spans="1:119" s="19" customFormat="1" ht="18" customHeight="1" outlineLevel="1" x14ac:dyDescent="0.25">
      <c r="A96" s="48" t="s">
        <v>173</v>
      </c>
      <c r="B96" s="53"/>
      <c r="C96" s="64"/>
      <c r="D96" s="68">
        <v>0</v>
      </c>
      <c r="E96" s="68"/>
      <c r="F96" s="68">
        <v>0</v>
      </c>
      <c r="G96" s="68"/>
      <c r="H96" s="50">
        <v>0</v>
      </c>
      <c r="I96" s="68"/>
      <c r="J96" s="68">
        <v>0</v>
      </c>
      <c r="K96" s="68"/>
      <c r="L96" s="68">
        <v>0</v>
      </c>
      <c r="M96" s="68"/>
      <c r="N96" s="68">
        <v>0</v>
      </c>
      <c r="O96" s="68"/>
      <c r="P96" s="68">
        <v>0</v>
      </c>
      <c r="Q96" s="68"/>
      <c r="R96" s="68">
        <v>0</v>
      </c>
      <c r="S96" s="68"/>
      <c r="T96" s="68">
        <v>0</v>
      </c>
      <c r="U96" s="68"/>
      <c r="V96" s="68">
        <v>0</v>
      </c>
      <c r="W96" s="68"/>
      <c r="X96" s="68">
        <v>0</v>
      </c>
      <c r="Y96" s="68"/>
      <c r="Z96" s="68">
        <v>0</v>
      </c>
      <c r="AA96" s="51">
        <f t="shared" si="23"/>
        <v>0</v>
      </c>
      <c r="AB96" s="51">
        <f t="shared" si="24"/>
        <v>0</v>
      </c>
      <c r="AC96" s="104"/>
      <c r="AD96" s="31">
        <f t="shared" si="25"/>
        <v>0</v>
      </c>
      <c r="AE96" s="31">
        <f t="shared" si="26"/>
        <v>0</v>
      </c>
      <c r="AF96" s="17">
        <f t="shared" si="27"/>
        <v>0</v>
      </c>
      <c r="AG96" s="17">
        <f t="shared" si="28"/>
        <v>0</v>
      </c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61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</row>
    <row r="97" spans="1:119" s="19" customFormat="1" ht="18" customHeight="1" outlineLevel="1" x14ac:dyDescent="0.25">
      <c r="A97" s="48" t="s">
        <v>174</v>
      </c>
      <c r="B97" s="53"/>
      <c r="C97" s="64"/>
      <c r="D97" s="68">
        <v>0</v>
      </c>
      <c r="E97" s="68"/>
      <c r="F97" s="68">
        <v>0</v>
      </c>
      <c r="G97" s="68"/>
      <c r="H97" s="50">
        <v>0</v>
      </c>
      <c r="I97" s="68"/>
      <c r="J97" s="68">
        <v>0</v>
      </c>
      <c r="K97" s="68"/>
      <c r="L97" s="68">
        <v>0</v>
      </c>
      <c r="M97" s="68"/>
      <c r="N97" s="68">
        <v>0</v>
      </c>
      <c r="O97" s="68"/>
      <c r="P97" s="68">
        <v>0</v>
      </c>
      <c r="Q97" s="68"/>
      <c r="R97" s="68">
        <v>0</v>
      </c>
      <c r="S97" s="68"/>
      <c r="T97" s="68">
        <v>0</v>
      </c>
      <c r="U97" s="68"/>
      <c r="V97" s="68">
        <v>0</v>
      </c>
      <c r="W97" s="68"/>
      <c r="X97" s="68">
        <v>0</v>
      </c>
      <c r="Y97" s="68"/>
      <c r="Z97" s="68">
        <v>0</v>
      </c>
      <c r="AA97" s="51">
        <f t="shared" si="23"/>
        <v>0</v>
      </c>
      <c r="AB97" s="51">
        <f t="shared" si="24"/>
        <v>0</v>
      </c>
      <c r="AC97" s="104"/>
      <c r="AD97" s="31">
        <f t="shared" si="25"/>
        <v>0</v>
      </c>
      <c r="AE97" s="31">
        <f t="shared" si="26"/>
        <v>0</v>
      </c>
      <c r="AF97" s="17">
        <f t="shared" si="27"/>
        <v>0</v>
      </c>
      <c r="AG97" s="17">
        <f t="shared" si="28"/>
        <v>0</v>
      </c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61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</row>
    <row r="98" spans="1:119" s="19" customFormat="1" ht="18" customHeight="1" outlineLevel="1" x14ac:dyDescent="0.25">
      <c r="A98" s="48" t="s">
        <v>175</v>
      </c>
      <c r="B98" s="53"/>
      <c r="C98" s="64"/>
      <c r="D98" s="68">
        <v>0</v>
      </c>
      <c r="E98" s="68"/>
      <c r="F98" s="68">
        <v>0</v>
      </c>
      <c r="G98" s="68"/>
      <c r="H98" s="50">
        <v>0</v>
      </c>
      <c r="I98" s="68"/>
      <c r="J98" s="68">
        <v>0</v>
      </c>
      <c r="K98" s="68"/>
      <c r="L98" s="68">
        <v>0</v>
      </c>
      <c r="M98" s="68"/>
      <c r="N98" s="68">
        <v>0</v>
      </c>
      <c r="O98" s="68"/>
      <c r="P98" s="68">
        <v>0</v>
      </c>
      <c r="Q98" s="68"/>
      <c r="R98" s="68">
        <v>0</v>
      </c>
      <c r="S98" s="68"/>
      <c r="T98" s="68">
        <v>0</v>
      </c>
      <c r="U98" s="68"/>
      <c r="V98" s="68">
        <v>0</v>
      </c>
      <c r="W98" s="68"/>
      <c r="X98" s="68">
        <v>0</v>
      </c>
      <c r="Y98" s="68"/>
      <c r="Z98" s="68">
        <v>0</v>
      </c>
      <c r="AA98" s="51">
        <f t="shared" si="23"/>
        <v>0</v>
      </c>
      <c r="AB98" s="51">
        <f t="shared" si="24"/>
        <v>0</v>
      </c>
      <c r="AC98" s="104"/>
      <c r="AD98" s="31">
        <f t="shared" si="25"/>
        <v>0</v>
      </c>
      <c r="AE98" s="31">
        <f t="shared" si="26"/>
        <v>0</v>
      </c>
      <c r="AF98" s="17">
        <f t="shared" si="27"/>
        <v>0</v>
      </c>
      <c r="AG98" s="17">
        <f t="shared" si="28"/>
        <v>0</v>
      </c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61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</row>
    <row r="99" spans="1:119" s="19" customFormat="1" ht="18" customHeight="1" outlineLevel="1" x14ac:dyDescent="0.25">
      <c r="A99" s="48" t="s">
        <v>176</v>
      </c>
      <c r="B99" s="53"/>
      <c r="C99" s="64"/>
      <c r="D99" s="68">
        <v>0</v>
      </c>
      <c r="E99" s="68"/>
      <c r="F99" s="68">
        <v>0</v>
      </c>
      <c r="G99" s="68"/>
      <c r="H99" s="50">
        <v>0</v>
      </c>
      <c r="I99" s="68"/>
      <c r="J99" s="68">
        <v>0</v>
      </c>
      <c r="K99" s="68"/>
      <c r="L99" s="68">
        <v>0</v>
      </c>
      <c r="M99" s="68"/>
      <c r="N99" s="68">
        <v>0</v>
      </c>
      <c r="O99" s="68"/>
      <c r="P99" s="68">
        <v>0</v>
      </c>
      <c r="Q99" s="68"/>
      <c r="R99" s="68">
        <v>0</v>
      </c>
      <c r="S99" s="68"/>
      <c r="T99" s="68">
        <v>0</v>
      </c>
      <c r="U99" s="68"/>
      <c r="V99" s="68">
        <v>0</v>
      </c>
      <c r="W99" s="68"/>
      <c r="X99" s="68">
        <v>0</v>
      </c>
      <c r="Y99" s="68"/>
      <c r="Z99" s="68">
        <v>0</v>
      </c>
      <c r="AA99" s="51">
        <f t="shared" si="23"/>
        <v>0</v>
      </c>
      <c r="AB99" s="51">
        <f t="shared" si="24"/>
        <v>0</v>
      </c>
      <c r="AC99" s="104"/>
      <c r="AD99" s="31">
        <f t="shared" si="25"/>
        <v>0</v>
      </c>
      <c r="AE99" s="31">
        <f t="shared" si="26"/>
        <v>0</v>
      </c>
      <c r="AF99" s="17">
        <f t="shared" si="27"/>
        <v>0</v>
      </c>
      <c r="AG99" s="17">
        <f t="shared" si="28"/>
        <v>0</v>
      </c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61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</row>
    <row r="100" spans="1:119" s="19" customFormat="1" ht="18" customHeight="1" outlineLevel="1" x14ac:dyDescent="0.25">
      <c r="A100" s="48" t="s">
        <v>177</v>
      </c>
      <c r="B100" s="53"/>
      <c r="C100" s="64"/>
      <c r="D100" s="68">
        <v>0</v>
      </c>
      <c r="E100" s="68"/>
      <c r="F100" s="68">
        <v>0</v>
      </c>
      <c r="G100" s="68"/>
      <c r="H100" s="50">
        <v>0</v>
      </c>
      <c r="I100" s="68"/>
      <c r="J100" s="68">
        <v>0</v>
      </c>
      <c r="K100" s="68"/>
      <c r="L100" s="68">
        <v>0</v>
      </c>
      <c r="M100" s="68"/>
      <c r="N100" s="68">
        <v>0</v>
      </c>
      <c r="O100" s="68"/>
      <c r="P100" s="68">
        <v>0</v>
      </c>
      <c r="Q100" s="68"/>
      <c r="R100" s="68">
        <v>0</v>
      </c>
      <c r="S100" s="68"/>
      <c r="T100" s="68">
        <v>0</v>
      </c>
      <c r="U100" s="68"/>
      <c r="V100" s="68">
        <v>0</v>
      </c>
      <c r="W100" s="68"/>
      <c r="X100" s="68">
        <v>0</v>
      </c>
      <c r="Y100" s="68"/>
      <c r="Z100" s="68">
        <v>0</v>
      </c>
      <c r="AA100" s="51">
        <f t="shared" si="23"/>
        <v>0</v>
      </c>
      <c r="AB100" s="51">
        <f t="shared" si="24"/>
        <v>0</v>
      </c>
      <c r="AC100" s="104"/>
      <c r="AD100" s="31">
        <f t="shared" si="25"/>
        <v>0</v>
      </c>
      <c r="AE100" s="31">
        <f t="shared" si="26"/>
        <v>0</v>
      </c>
      <c r="AF100" s="17">
        <f t="shared" si="27"/>
        <v>0</v>
      </c>
      <c r="AG100" s="17">
        <f t="shared" si="28"/>
        <v>0</v>
      </c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61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</row>
    <row r="101" spans="1:119" s="19" customFormat="1" ht="18" customHeight="1" outlineLevel="1" x14ac:dyDescent="0.25">
      <c r="A101" s="48" t="s">
        <v>178</v>
      </c>
      <c r="B101" s="53"/>
      <c r="C101" s="64">
        <v>500</v>
      </c>
      <c r="D101" s="68">
        <v>0</v>
      </c>
      <c r="E101" s="68">
        <v>500</v>
      </c>
      <c r="F101" s="68">
        <v>0</v>
      </c>
      <c r="G101" s="68">
        <v>500</v>
      </c>
      <c r="H101" s="50">
        <v>0</v>
      </c>
      <c r="I101" s="68">
        <v>500</v>
      </c>
      <c r="J101" s="68">
        <v>0</v>
      </c>
      <c r="K101" s="68">
        <v>500</v>
      </c>
      <c r="L101" s="68">
        <v>0</v>
      </c>
      <c r="M101" s="68">
        <v>500</v>
      </c>
      <c r="N101" s="68">
        <v>0</v>
      </c>
      <c r="O101" s="68">
        <v>500</v>
      </c>
      <c r="P101" s="68">
        <v>0</v>
      </c>
      <c r="Q101" s="68">
        <v>500</v>
      </c>
      <c r="R101" s="68">
        <v>0</v>
      </c>
      <c r="S101" s="68">
        <v>500</v>
      </c>
      <c r="T101" s="68">
        <v>0</v>
      </c>
      <c r="U101" s="68">
        <v>500</v>
      </c>
      <c r="V101" s="68">
        <v>0</v>
      </c>
      <c r="W101" s="68">
        <v>500</v>
      </c>
      <c r="X101" s="68">
        <v>0</v>
      </c>
      <c r="Y101" s="68">
        <v>500</v>
      </c>
      <c r="Z101" s="68">
        <v>0</v>
      </c>
      <c r="AA101" s="51">
        <f t="shared" si="23"/>
        <v>6000</v>
      </c>
      <c r="AB101" s="51">
        <f t="shared" si="24"/>
        <v>0</v>
      </c>
      <c r="AC101" s="104"/>
      <c r="AD101" s="31">
        <f t="shared" si="25"/>
        <v>6000</v>
      </c>
      <c r="AE101" s="31">
        <f t="shared" si="26"/>
        <v>0</v>
      </c>
      <c r="AF101" s="17">
        <f t="shared" si="27"/>
        <v>0</v>
      </c>
      <c r="AG101" s="17">
        <f t="shared" si="28"/>
        <v>0</v>
      </c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61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</row>
    <row r="102" spans="1:119" s="17" customFormat="1" ht="18" customHeight="1" x14ac:dyDescent="0.25">
      <c r="A102" s="52" t="s">
        <v>179</v>
      </c>
      <c r="B102" s="45">
        <v>7</v>
      </c>
      <c r="C102" s="33"/>
      <c r="D102" s="65"/>
      <c r="E102" s="65"/>
      <c r="F102" s="65">
        <f>SUM(F103:F175)-F103-F106-F115-F126-F138-F172</f>
        <v>0</v>
      </c>
      <c r="G102" s="65"/>
      <c r="H102" s="65">
        <f>SUM(H103:H175)-H103-H106-H115-H126-H138-H172</f>
        <v>0</v>
      </c>
      <c r="I102" s="65"/>
      <c r="J102" s="65">
        <f>SUM(J103:J175)-J103-J106-J115-J126-J138-J172</f>
        <v>0</v>
      </c>
      <c r="K102" s="65"/>
      <c r="L102" s="65">
        <f>SUM(L103:L175)-L103-L106-L115-L126-L138-L172</f>
        <v>0</v>
      </c>
      <c r="M102" s="65"/>
      <c r="N102" s="65">
        <f>SUM(N103:N175)-N103-N106-N115-N126-N138-N172</f>
        <v>0</v>
      </c>
      <c r="O102" s="65"/>
      <c r="P102" s="65">
        <f>SUM(P103:P175)-P103-P106-P115-P126-P138-P172</f>
        <v>0</v>
      </c>
      <c r="Q102" s="65"/>
      <c r="R102" s="65">
        <f>SUM(R103:R175)-R103-R106-R115-R126-R138-R172</f>
        <v>0</v>
      </c>
      <c r="S102" s="65"/>
      <c r="T102" s="65">
        <f>SUM(T103:T175)-T103-T106-T115-T126-T138-T172</f>
        <v>0</v>
      </c>
      <c r="U102" s="65"/>
      <c r="V102" s="65">
        <f>SUM(V103:V175)-V103-V106-V115-V126-V138-V172</f>
        <v>0</v>
      </c>
      <c r="W102" s="65"/>
      <c r="X102" s="65">
        <f>SUM(X103:X175)-X103-X106-X115-X126-X138-X172</f>
        <v>0</v>
      </c>
      <c r="Y102" s="65"/>
      <c r="Z102" s="65">
        <f>SUM(Z103:Z175)-Z103-Z106-Z115-Z126-Z138-Z172</f>
        <v>0</v>
      </c>
      <c r="AA102" s="51">
        <f t="shared" si="23"/>
        <v>0</v>
      </c>
      <c r="AB102" s="105">
        <f>SUM(D102:Z102)</f>
        <v>0</v>
      </c>
      <c r="AC102" s="103"/>
      <c r="AD102" s="31">
        <f t="shared" si="25"/>
        <v>0</v>
      </c>
      <c r="AE102" s="31">
        <f t="shared" si="26"/>
        <v>0</v>
      </c>
      <c r="AF102" s="17">
        <f t="shared" si="27"/>
        <v>0</v>
      </c>
      <c r="AG102" s="17">
        <f t="shared" si="28"/>
        <v>0</v>
      </c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66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</row>
    <row r="103" spans="1:119" s="17" customFormat="1" ht="18" customHeight="1" outlineLevel="1" x14ac:dyDescent="0.25">
      <c r="A103" s="67" t="s">
        <v>107</v>
      </c>
      <c r="B103" s="45"/>
      <c r="C103" s="33"/>
      <c r="D103" s="65"/>
      <c r="E103" s="65"/>
      <c r="F103" s="65">
        <f>SUM(F104:F105)</f>
        <v>0</v>
      </c>
      <c r="G103" s="65"/>
      <c r="H103" s="65">
        <f>SUM(H104:H105)</f>
        <v>0</v>
      </c>
      <c r="I103" s="65"/>
      <c r="J103" s="65">
        <f>SUM(J104:J105)</f>
        <v>0</v>
      </c>
      <c r="K103" s="65"/>
      <c r="L103" s="65">
        <f>SUM(L104:L105)</f>
        <v>0</v>
      </c>
      <c r="M103" s="65"/>
      <c r="N103" s="65">
        <f>SUM(N104:N105)</f>
        <v>0</v>
      </c>
      <c r="O103" s="65"/>
      <c r="P103" s="65">
        <f>SUM(P104:P105)</f>
        <v>0</v>
      </c>
      <c r="Q103" s="65"/>
      <c r="R103" s="65">
        <f>SUM(R104:R105)</f>
        <v>0</v>
      </c>
      <c r="S103" s="65"/>
      <c r="T103" s="65">
        <f>SUM(T104:T105)</f>
        <v>0</v>
      </c>
      <c r="U103" s="65"/>
      <c r="V103" s="65">
        <f>SUM(V104:V105)</f>
        <v>0</v>
      </c>
      <c r="W103" s="65"/>
      <c r="X103" s="65">
        <f>SUM(X104:X105)</f>
        <v>0</v>
      </c>
      <c r="Y103" s="65"/>
      <c r="Z103" s="65">
        <f>SUM(Z104:Z105)</f>
        <v>0</v>
      </c>
      <c r="AA103" s="51">
        <f t="shared" si="23"/>
        <v>0</v>
      </c>
      <c r="AB103" s="51">
        <f t="shared" ref="AB103:AB166" si="29">D103+F103+H103+J103+L103+N103+P103+R103+T103+V103+X103+Z103</f>
        <v>0</v>
      </c>
      <c r="AC103" s="103"/>
      <c r="AD103" s="31">
        <f t="shared" si="25"/>
        <v>0</v>
      </c>
      <c r="AE103" s="31">
        <f t="shared" si="26"/>
        <v>0</v>
      </c>
      <c r="AF103" s="17">
        <f t="shared" si="27"/>
        <v>0</v>
      </c>
      <c r="AG103" s="17">
        <f t="shared" si="28"/>
        <v>0</v>
      </c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66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</row>
    <row r="104" spans="1:119" s="19" customFormat="1" ht="18" customHeight="1" outlineLevel="2" x14ac:dyDescent="0.25">
      <c r="A104" s="48" t="s">
        <v>108</v>
      </c>
      <c r="B104" s="53"/>
      <c r="C104" s="64"/>
      <c r="D104" s="68"/>
      <c r="E104" s="68"/>
      <c r="F104" s="68">
        <v>0</v>
      </c>
      <c r="G104" s="68"/>
      <c r="H104" s="68">
        <v>0</v>
      </c>
      <c r="I104" s="68"/>
      <c r="J104" s="68">
        <v>0</v>
      </c>
      <c r="K104" s="68"/>
      <c r="L104" s="68">
        <v>0</v>
      </c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51">
        <f t="shared" si="23"/>
        <v>0</v>
      </c>
      <c r="AB104" s="51">
        <f t="shared" si="29"/>
        <v>0</v>
      </c>
      <c r="AC104" s="100"/>
      <c r="AD104" s="31">
        <f t="shared" si="25"/>
        <v>0</v>
      </c>
      <c r="AE104" s="31">
        <f t="shared" si="26"/>
        <v>0</v>
      </c>
      <c r="AF104" s="17">
        <f t="shared" si="27"/>
        <v>0</v>
      </c>
      <c r="AG104" s="17">
        <f t="shared" si="28"/>
        <v>0</v>
      </c>
      <c r="BC104" s="66"/>
    </row>
    <row r="105" spans="1:119" s="19" customFormat="1" ht="18" customHeight="1" outlineLevel="2" x14ac:dyDescent="0.25">
      <c r="A105" s="48" t="s">
        <v>109</v>
      </c>
      <c r="B105" s="53"/>
      <c r="C105" s="64"/>
      <c r="D105" s="68"/>
      <c r="E105" s="68"/>
      <c r="F105" s="68">
        <v>0</v>
      </c>
      <c r="G105" s="68"/>
      <c r="H105" s="68">
        <v>0</v>
      </c>
      <c r="I105" s="68"/>
      <c r="J105" s="68">
        <v>0</v>
      </c>
      <c r="K105" s="68"/>
      <c r="L105" s="68">
        <v>0</v>
      </c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51">
        <f t="shared" si="23"/>
        <v>0</v>
      </c>
      <c r="AB105" s="51">
        <f t="shared" si="29"/>
        <v>0</v>
      </c>
      <c r="AC105" s="100"/>
      <c r="AD105" s="31">
        <f t="shared" si="25"/>
        <v>0</v>
      </c>
      <c r="AE105" s="31">
        <f t="shared" si="26"/>
        <v>0</v>
      </c>
      <c r="AF105" s="17">
        <f t="shared" si="27"/>
        <v>0</v>
      </c>
      <c r="AG105" s="17">
        <f t="shared" si="28"/>
        <v>0</v>
      </c>
      <c r="BC105" s="66"/>
    </row>
    <row r="106" spans="1:119" s="17" customFormat="1" ht="18" customHeight="1" outlineLevel="1" x14ac:dyDescent="0.25">
      <c r="A106" s="67" t="s">
        <v>110</v>
      </c>
      <c r="B106" s="45"/>
      <c r="C106" s="33"/>
      <c r="D106" s="65"/>
      <c r="E106" s="65"/>
      <c r="F106" s="65">
        <f>SUM(F107:F111)</f>
        <v>0</v>
      </c>
      <c r="G106" s="65"/>
      <c r="H106" s="65">
        <f>SUM(H107:H111)</f>
        <v>0</v>
      </c>
      <c r="I106" s="65"/>
      <c r="J106" s="65">
        <f>SUM(J107:J111)</f>
        <v>0</v>
      </c>
      <c r="K106" s="65"/>
      <c r="L106" s="65">
        <f>SUM(L107:L111)</f>
        <v>0</v>
      </c>
      <c r="M106" s="65"/>
      <c r="N106" s="65">
        <f>SUM(N107:N111)</f>
        <v>0</v>
      </c>
      <c r="O106" s="65"/>
      <c r="P106" s="65">
        <f>SUM(P107:P111)</f>
        <v>0</v>
      </c>
      <c r="Q106" s="65"/>
      <c r="R106" s="65">
        <f>SUM(R107:R111)</f>
        <v>0</v>
      </c>
      <c r="S106" s="65"/>
      <c r="T106" s="65">
        <f>SUM(T107:T111)</f>
        <v>0</v>
      </c>
      <c r="U106" s="65"/>
      <c r="V106" s="65">
        <f>SUM(V107:V111)</f>
        <v>0</v>
      </c>
      <c r="W106" s="65"/>
      <c r="X106" s="65">
        <f>SUM(X107:X111)</f>
        <v>0</v>
      </c>
      <c r="Y106" s="65"/>
      <c r="Z106" s="65">
        <f>SUM(Z107:Z111)</f>
        <v>0</v>
      </c>
      <c r="AA106" s="51">
        <f t="shared" si="23"/>
        <v>0</v>
      </c>
      <c r="AB106" s="51">
        <f t="shared" si="29"/>
        <v>0</v>
      </c>
      <c r="AC106" s="103"/>
      <c r="AD106" s="31">
        <f t="shared" si="25"/>
        <v>0</v>
      </c>
      <c r="AE106" s="31">
        <f t="shared" si="26"/>
        <v>0</v>
      </c>
      <c r="AF106" s="17">
        <f t="shared" si="27"/>
        <v>0</v>
      </c>
      <c r="AG106" s="17">
        <f t="shared" si="28"/>
        <v>0</v>
      </c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66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</row>
    <row r="107" spans="1:119" s="19" customFormat="1" ht="18" customHeight="1" outlineLevel="2" x14ac:dyDescent="0.25">
      <c r="A107" s="48" t="s">
        <v>111</v>
      </c>
      <c r="B107" s="53"/>
      <c r="C107" s="64"/>
      <c r="D107" s="68"/>
      <c r="E107" s="68"/>
      <c r="F107" s="68">
        <v>0</v>
      </c>
      <c r="G107" s="68"/>
      <c r="H107" s="68">
        <v>0</v>
      </c>
      <c r="I107" s="68"/>
      <c r="J107" s="68">
        <v>0</v>
      </c>
      <c r="K107" s="68"/>
      <c r="L107" s="68">
        <v>0</v>
      </c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51">
        <f t="shared" si="23"/>
        <v>0</v>
      </c>
      <c r="AB107" s="51">
        <f t="shared" si="29"/>
        <v>0</v>
      </c>
      <c r="AC107" s="100"/>
      <c r="AD107" s="31">
        <f t="shared" si="25"/>
        <v>0</v>
      </c>
      <c r="AE107" s="31">
        <f t="shared" si="26"/>
        <v>0</v>
      </c>
      <c r="AF107" s="17">
        <f t="shared" si="27"/>
        <v>0</v>
      </c>
      <c r="AG107" s="17">
        <f t="shared" si="28"/>
        <v>0</v>
      </c>
      <c r="BC107" s="20"/>
    </row>
    <row r="108" spans="1:119" s="19" customFormat="1" ht="18" customHeight="1" outlineLevel="2" x14ac:dyDescent="0.25">
      <c r="A108" s="48" t="s">
        <v>112</v>
      </c>
      <c r="B108" s="53"/>
      <c r="C108" s="64"/>
      <c r="D108" s="68"/>
      <c r="E108" s="68"/>
      <c r="F108" s="68">
        <v>0</v>
      </c>
      <c r="G108" s="68"/>
      <c r="H108" s="68">
        <v>0</v>
      </c>
      <c r="I108" s="68"/>
      <c r="J108" s="68">
        <v>0</v>
      </c>
      <c r="K108" s="68"/>
      <c r="L108" s="68">
        <v>0</v>
      </c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51">
        <f t="shared" si="23"/>
        <v>0</v>
      </c>
      <c r="AB108" s="51">
        <f t="shared" si="29"/>
        <v>0</v>
      </c>
      <c r="AC108" s="100"/>
      <c r="AD108" s="31">
        <f t="shared" si="25"/>
        <v>0</v>
      </c>
      <c r="AE108" s="31">
        <f t="shared" si="26"/>
        <v>0</v>
      </c>
      <c r="AF108" s="17">
        <f t="shared" si="27"/>
        <v>0</v>
      </c>
      <c r="AG108" s="17">
        <f t="shared" si="28"/>
        <v>0</v>
      </c>
      <c r="BC108" s="20"/>
    </row>
    <row r="109" spans="1:119" s="19" customFormat="1" ht="18" customHeight="1" outlineLevel="2" x14ac:dyDescent="0.25">
      <c r="A109" s="48" t="s">
        <v>113</v>
      </c>
      <c r="B109" s="53"/>
      <c r="C109" s="64"/>
      <c r="D109" s="68"/>
      <c r="E109" s="68"/>
      <c r="F109" s="68">
        <v>0</v>
      </c>
      <c r="G109" s="68"/>
      <c r="H109" s="68">
        <v>0</v>
      </c>
      <c r="I109" s="68"/>
      <c r="J109" s="68">
        <v>0</v>
      </c>
      <c r="K109" s="68"/>
      <c r="L109" s="68">
        <v>0</v>
      </c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51">
        <f t="shared" si="23"/>
        <v>0</v>
      </c>
      <c r="AB109" s="51">
        <f t="shared" si="29"/>
        <v>0</v>
      </c>
      <c r="AC109" s="100"/>
      <c r="AD109" s="31">
        <f t="shared" si="25"/>
        <v>0</v>
      </c>
      <c r="AE109" s="31">
        <f t="shared" si="26"/>
        <v>0</v>
      </c>
      <c r="AF109" s="17">
        <f t="shared" si="27"/>
        <v>0</v>
      </c>
      <c r="AG109" s="17">
        <f t="shared" si="28"/>
        <v>0</v>
      </c>
      <c r="BC109" s="20"/>
    </row>
    <row r="110" spans="1:119" s="19" customFormat="1" ht="18" customHeight="1" outlineLevel="2" x14ac:dyDescent="0.25">
      <c r="A110" s="48" t="s">
        <v>114</v>
      </c>
      <c r="B110" s="53"/>
      <c r="C110" s="64"/>
      <c r="D110" s="68"/>
      <c r="E110" s="68"/>
      <c r="F110" s="68">
        <v>0</v>
      </c>
      <c r="G110" s="68"/>
      <c r="H110" s="68">
        <v>0</v>
      </c>
      <c r="I110" s="68"/>
      <c r="J110" s="68">
        <v>0</v>
      </c>
      <c r="K110" s="68"/>
      <c r="L110" s="68">
        <v>0</v>
      </c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51">
        <f t="shared" si="23"/>
        <v>0</v>
      </c>
      <c r="AB110" s="51">
        <f t="shared" si="29"/>
        <v>0</v>
      </c>
      <c r="AC110" s="100"/>
      <c r="AD110" s="31">
        <f t="shared" si="25"/>
        <v>0</v>
      </c>
      <c r="AE110" s="31">
        <f t="shared" si="26"/>
        <v>0</v>
      </c>
      <c r="AF110" s="17">
        <f t="shared" si="27"/>
        <v>0</v>
      </c>
      <c r="AG110" s="17">
        <f t="shared" si="28"/>
        <v>0</v>
      </c>
      <c r="BC110" s="20"/>
    </row>
    <row r="111" spans="1:119" s="19" customFormat="1" ht="18" customHeight="1" outlineLevel="2" x14ac:dyDescent="0.25">
      <c r="A111" s="48" t="s">
        <v>115</v>
      </c>
      <c r="B111" s="53"/>
      <c r="C111" s="64"/>
      <c r="D111" s="68"/>
      <c r="E111" s="68"/>
      <c r="F111" s="68">
        <v>0</v>
      </c>
      <c r="G111" s="68"/>
      <c r="H111" s="68">
        <v>0</v>
      </c>
      <c r="I111" s="68"/>
      <c r="J111" s="68">
        <v>0</v>
      </c>
      <c r="K111" s="68"/>
      <c r="L111" s="68">
        <v>0</v>
      </c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51">
        <f t="shared" si="23"/>
        <v>0</v>
      </c>
      <c r="AB111" s="51">
        <f t="shared" si="29"/>
        <v>0</v>
      </c>
      <c r="AC111" s="100"/>
      <c r="AD111" s="31">
        <f t="shared" si="25"/>
        <v>0</v>
      </c>
      <c r="AE111" s="31">
        <f t="shared" si="26"/>
        <v>0</v>
      </c>
      <c r="AF111" s="17">
        <f t="shared" si="27"/>
        <v>0</v>
      </c>
      <c r="AG111" s="17">
        <f t="shared" si="28"/>
        <v>0</v>
      </c>
      <c r="BC111" s="20"/>
    </row>
    <row r="112" spans="1:119" s="19" customFormat="1" ht="18" customHeight="1" outlineLevel="1" x14ac:dyDescent="0.25">
      <c r="A112" s="48" t="s">
        <v>116</v>
      </c>
      <c r="B112" s="53"/>
      <c r="C112" s="64"/>
      <c r="D112" s="68"/>
      <c r="E112" s="68"/>
      <c r="F112" s="68">
        <v>0</v>
      </c>
      <c r="G112" s="68"/>
      <c r="H112" s="68">
        <v>0</v>
      </c>
      <c r="I112" s="68"/>
      <c r="J112" s="68">
        <v>0</v>
      </c>
      <c r="K112" s="68"/>
      <c r="L112" s="68">
        <v>0</v>
      </c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51">
        <f t="shared" si="23"/>
        <v>0</v>
      </c>
      <c r="AB112" s="51">
        <f t="shared" si="29"/>
        <v>0</v>
      </c>
      <c r="AC112" s="100"/>
      <c r="AD112" s="31">
        <f t="shared" si="25"/>
        <v>0</v>
      </c>
      <c r="AE112" s="31">
        <f t="shared" si="26"/>
        <v>0</v>
      </c>
      <c r="AF112" s="17">
        <f t="shared" si="27"/>
        <v>0</v>
      </c>
      <c r="AG112" s="17">
        <f t="shared" si="28"/>
        <v>0</v>
      </c>
      <c r="BC112" s="20"/>
    </row>
    <row r="113" spans="1:119" s="19" customFormat="1" ht="18" customHeight="1" outlineLevel="1" x14ac:dyDescent="0.25">
      <c r="A113" s="48" t="s">
        <v>117</v>
      </c>
      <c r="B113" s="53"/>
      <c r="C113" s="64"/>
      <c r="D113" s="68"/>
      <c r="E113" s="68"/>
      <c r="F113" s="68">
        <v>0</v>
      </c>
      <c r="G113" s="68"/>
      <c r="H113" s="68">
        <v>0</v>
      </c>
      <c r="I113" s="68"/>
      <c r="J113" s="68">
        <v>0</v>
      </c>
      <c r="K113" s="68"/>
      <c r="L113" s="68">
        <v>0</v>
      </c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51">
        <f t="shared" si="23"/>
        <v>0</v>
      </c>
      <c r="AB113" s="51">
        <f t="shared" si="29"/>
        <v>0</v>
      </c>
      <c r="AC113" s="100"/>
      <c r="AD113" s="31">
        <f t="shared" si="25"/>
        <v>0</v>
      </c>
      <c r="AE113" s="31">
        <f t="shared" si="26"/>
        <v>0</v>
      </c>
      <c r="AF113" s="17">
        <f t="shared" si="27"/>
        <v>0</v>
      </c>
      <c r="AG113" s="17">
        <f t="shared" si="28"/>
        <v>0</v>
      </c>
      <c r="BC113" s="20"/>
    </row>
    <row r="114" spans="1:119" s="19" customFormat="1" ht="18" customHeight="1" outlineLevel="1" x14ac:dyDescent="0.25">
      <c r="A114" s="48" t="s">
        <v>118</v>
      </c>
      <c r="B114" s="53"/>
      <c r="C114" s="64"/>
      <c r="D114" s="68"/>
      <c r="E114" s="68"/>
      <c r="F114" s="68">
        <v>0</v>
      </c>
      <c r="G114" s="68"/>
      <c r="H114" s="68">
        <v>0</v>
      </c>
      <c r="I114" s="68"/>
      <c r="J114" s="68">
        <v>0</v>
      </c>
      <c r="K114" s="68"/>
      <c r="L114" s="68">
        <v>0</v>
      </c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51">
        <f t="shared" si="23"/>
        <v>0</v>
      </c>
      <c r="AB114" s="51">
        <f t="shared" si="29"/>
        <v>0</v>
      </c>
      <c r="AC114" s="100"/>
      <c r="AD114" s="31">
        <f t="shared" si="25"/>
        <v>0</v>
      </c>
      <c r="AE114" s="31">
        <f t="shared" si="26"/>
        <v>0</v>
      </c>
      <c r="AF114" s="17">
        <f t="shared" si="27"/>
        <v>0</v>
      </c>
      <c r="AG114" s="17">
        <f t="shared" si="28"/>
        <v>0</v>
      </c>
      <c r="BC114" s="20"/>
    </row>
    <row r="115" spans="1:119" s="17" customFormat="1" ht="18" customHeight="1" outlineLevel="1" x14ac:dyDescent="0.25">
      <c r="A115" s="67" t="s">
        <v>119</v>
      </c>
      <c r="B115" s="45"/>
      <c r="C115" s="33"/>
      <c r="D115" s="65"/>
      <c r="E115" s="65"/>
      <c r="F115" s="65">
        <f>SUM(F116:F122)</f>
        <v>0</v>
      </c>
      <c r="G115" s="65"/>
      <c r="H115" s="65">
        <f>SUM(H116:H122)</f>
        <v>0</v>
      </c>
      <c r="I115" s="65"/>
      <c r="J115" s="65">
        <f>SUM(J116:J122)</f>
        <v>0</v>
      </c>
      <c r="K115" s="65"/>
      <c r="L115" s="65">
        <f>SUM(L116:L122)</f>
        <v>0</v>
      </c>
      <c r="M115" s="65"/>
      <c r="N115" s="65">
        <f>SUM(N116:N122)</f>
        <v>0</v>
      </c>
      <c r="O115" s="65"/>
      <c r="P115" s="65">
        <f>SUM(P116:P122)</f>
        <v>0</v>
      </c>
      <c r="Q115" s="65"/>
      <c r="R115" s="65">
        <f>SUM(R116:R122)</f>
        <v>0</v>
      </c>
      <c r="S115" s="65"/>
      <c r="T115" s="65">
        <f>SUM(T116:T122)</f>
        <v>0</v>
      </c>
      <c r="U115" s="65"/>
      <c r="V115" s="65">
        <f>SUM(V116:V122)</f>
        <v>0</v>
      </c>
      <c r="W115" s="65"/>
      <c r="X115" s="65">
        <f>SUM(X116:X122)</f>
        <v>0</v>
      </c>
      <c r="Y115" s="65"/>
      <c r="Z115" s="65">
        <f>SUM(Z116:Z122)</f>
        <v>0</v>
      </c>
      <c r="AA115" s="51">
        <f t="shared" si="23"/>
        <v>0</v>
      </c>
      <c r="AB115" s="51">
        <f t="shared" si="29"/>
        <v>0</v>
      </c>
      <c r="AC115" s="103"/>
      <c r="AD115" s="31">
        <f t="shared" si="25"/>
        <v>0</v>
      </c>
      <c r="AE115" s="31">
        <f t="shared" si="26"/>
        <v>0</v>
      </c>
      <c r="AF115" s="17">
        <f t="shared" si="27"/>
        <v>0</v>
      </c>
      <c r="AG115" s="17">
        <f t="shared" si="28"/>
        <v>0</v>
      </c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66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</row>
    <row r="116" spans="1:119" s="19" customFormat="1" ht="18" customHeight="1" outlineLevel="2" x14ac:dyDescent="0.25">
      <c r="A116" s="48" t="s">
        <v>120</v>
      </c>
      <c r="B116" s="53"/>
      <c r="C116" s="64"/>
      <c r="D116" s="68"/>
      <c r="E116" s="68"/>
      <c r="F116" s="68">
        <v>0</v>
      </c>
      <c r="G116" s="68"/>
      <c r="H116" s="68">
        <v>0</v>
      </c>
      <c r="I116" s="68"/>
      <c r="J116" s="68">
        <v>0</v>
      </c>
      <c r="K116" s="68"/>
      <c r="L116" s="68">
        <v>0</v>
      </c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51">
        <f t="shared" si="23"/>
        <v>0</v>
      </c>
      <c r="AB116" s="51">
        <f t="shared" si="29"/>
        <v>0</v>
      </c>
      <c r="AC116" s="100"/>
      <c r="AD116" s="31">
        <f t="shared" si="25"/>
        <v>0</v>
      </c>
      <c r="AE116" s="31">
        <f t="shared" si="26"/>
        <v>0</v>
      </c>
      <c r="AF116" s="17">
        <f t="shared" si="27"/>
        <v>0</v>
      </c>
      <c r="AG116" s="17">
        <f t="shared" si="28"/>
        <v>0</v>
      </c>
      <c r="BC116" s="20"/>
    </row>
    <row r="117" spans="1:119" s="19" customFormat="1" ht="18" customHeight="1" outlineLevel="2" x14ac:dyDescent="0.25">
      <c r="A117" s="48" t="s">
        <v>121</v>
      </c>
      <c r="B117" s="53"/>
      <c r="C117" s="64"/>
      <c r="D117" s="68"/>
      <c r="E117" s="68"/>
      <c r="F117" s="68">
        <v>0</v>
      </c>
      <c r="G117" s="68"/>
      <c r="H117" s="68">
        <v>0</v>
      </c>
      <c r="I117" s="68"/>
      <c r="J117" s="68">
        <v>0</v>
      </c>
      <c r="K117" s="68"/>
      <c r="L117" s="68">
        <v>0</v>
      </c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51">
        <f t="shared" si="23"/>
        <v>0</v>
      </c>
      <c r="AB117" s="51">
        <f t="shared" si="29"/>
        <v>0</v>
      </c>
      <c r="AC117" s="100"/>
      <c r="AD117" s="31">
        <f t="shared" si="25"/>
        <v>0</v>
      </c>
      <c r="AE117" s="31">
        <f t="shared" si="26"/>
        <v>0</v>
      </c>
      <c r="AF117" s="17">
        <f t="shared" si="27"/>
        <v>0</v>
      </c>
      <c r="AG117" s="17">
        <f t="shared" si="28"/>
        <v>0</v>
      </c>
      <c r="BC117" s="20"/>
    </row>
    <row r="118" spans="1:119" s="19" customFormat="1" ht="18" customHeight="1" outlineLevel="2" x14ac:dyDescent="0.25">
      <c r="A118" s="48" t="s">
        <v>122</v>
      </c>
      <c r="B118" s="53"/>
      <c r="C118" s="64"/>
      <c r="D118" s="68"/>
      <c r="E118" s="68"/>
      <c r="F118" s="68">
        <v>0</v>
      </c>
      <c r="G118" s="68"/>
      <c r="H118" s="68">
        <v>0</v>
      </c>
      <c r="I118" s="68"/>
      <c r="J118" s="68">
        <v>0</v>
      </c>
      <c r="K118" s="68"/>
      <c r="L118" s="68">
        <v>0</v>
      </c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51">
        <f t="shared" si="23"/>
        <v>0</v>
      </c>
      <c r="AB118" s="51">
        <f t="shared" si="29"/>
        <v>0</v>
      </c>
      <c r="AC118" s="100"/>
      <c r="AD118" s="31">
        <f t="shared" si="25"/>
        <v>0</v>
      </c>
      <c r="AE118" s="31">
        <f t="shared" si="26"/>
        <v>0</v>
      </c>
      <c r="AF118" s="17">
        <f t="shared" si="27"/>
        <v>0</v>
      </c>
      <c r="AG118" s="17">
        <f t="shared" si="28"/>
        <v>0</v>
      </c>
      <c r="BC118" s="20"/>
    </row>
    <row r="119" spans="1:119" s="19" customFormat="1" ht="18" customHeight="1" outlineLevel="2" x14ac:dyDescent="0.25">
      <c r="A119" s="48" t="s">
        <v>123</v>
      </c>
      <c r="B119" s="53"/>
      <c r="C119" s="64"/>
      <c r="D119" s="68"/>
      <c r="E119" s="68"/>
      <c r="F119" s="68">
        <v>0</v>
      </c>
      <c r="G119" s="68"/>
      <c r="H119" s="68">
        <v>0</v>
      </c>
      <c r="I119" s="68"/>
      <c r="J119" s="68">
        <v>0</v>
      </c>
      <c r="K119" s="68"/>
      <c r="L119" s="68">
        <v>0</v>
      </c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51">
        <f t="shared" si="23"/>
        <v>0</v>
      </c>
      <c r="AB119" s="51">
        <f t="shared" si="29"/>
        <v>0</v>
      </c>
      <c r="AC119" s="100"/>
      <c r="AD119" s="31">
        <f t="shared" si="25"/>
        <v>0</v>
      </c>
      <c r="AE119" s="31">
        <f t="shared" si="26"/>
        <v>0</v>
      </c>
      <c r="AF119" s="17">
        <f t="shared" si="27"/>
        <v>0</v>
      </c>
      <c r="AG119" s="17">
        <f t="shared" si="28"/>
        <v>0</v>
      </c>
      <c r="BC119" s="20"/>
    </row>
    <row r="120" spans="1:119" s="19" customFormat="1" ht="18" customHeight="1" outlineLevel="2" x14ac:dyDescent="0.25">
      <c r="A120" s="48" t="s">
        <v>124</v>
      </c>
      <c r="B120" s="53"/>
      <c r="C120" s="64"/>
      <c r="D120" s="68"/>
      <c r="E120" s="68"/>
      <c r="F120" s="68">
        <v>0</v>
      </c>
      <c r="G120" s="68"/>
      <c r="H120" s="68">
        <v>0</v>
      </c>
      <c r="I120" s="68"/>
      <c r="J120" s="68">
        <v>0</v>
      </c>
      <c r="K120" s="68"/>
      <c r="L120" s="68">
        <v>0</v>
      </c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51">
        <f t="shared" si="23"/>
        <v>0</v>
      </c>
      <c r="AB120" s="51">
        <f t="shared" si="29"/>
        <v>0</v>
      </c>
      <c r="AC120" s="100"/>
      <c r="AD120" s="31">
        <f t="shared" si="25"/>
        <v>0</v>
      </c>
      <c r="AE120" s="31">
        <f t="shared" si="26"/>
        <v>0</v>
      </c>
      <c r="AF120" s="17">
        <f t="shared" si="27"/>
        <v>0</v>
      </c>
      <c r="AG120" s="17">
        <f t="shared" si="28"/>
        <v>0</v>
      </c>
      <c r="BC120" s="20"/>
    </row>
    <row r="121" spans="1:119" s="19" customFormat="1" ht="18" customHeight="1" outlineLevel="2" x14ac:dyDescent="0.25">
      <c r="A121" s="48" t="s">
        <v>125</v>
      </c>
      <c r="B121" s="53"/>
      <c r="C121" s="64"/>
      <c r="D121" s="68"/>
      <c r="E121" s="68"/>
      <c r="F121" s="68">
        <v>0</v>
      </c>
      <c r="G121" s="68"/>
      <c r="H121" s="68">
        <v>0</v>
      </c>
      <c r="I121" s="68"/>
      <c r="J121" s="68">
        <v>0</v>
      </c>
      <c r="K121" s="68"/>
      <c r="L121" s="68">
        <v>0</v>
      </c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51">
        <f t="shared" si="23"/>
        <v>0</v>
      </c>
      <c r="AB121" s="51">
        <f t="shared" si="29"/>
        <v>0</v>
      </c>
      <c r="AC121" s="100"/>
      <c r="AD121" s="31">
        <f t="shared" si="25"/>
        <v>0</v>
      </c>
      <c r="AE121" s="31">
        <f t="shared" si="26"/>
        <v>0</v>
      </c>
      <c r="AF121" s="17">
        <f t="shared" si="27"/>
        <v>0</v>
      </c>
      <c r="AG121" s="17">
        <f t="shared" si="28"/>
        <v>0</v>
      </c>
      <c r="BC121" s="20"/>
    </row>
    <row r="122" spans="1:119" s="19" customFormat="1" ht="18" customHeight="1" outlineLevel="2" x14ac:dyDescent="0.25">
      <c r="A122" s="48" t="s">
        <v>126</v>
      </c>
      <c r="B122" s="53"/>
      <c r="C122" s="64"/>
      <c r="D122" s="68"/>
      <c r="E122" s="68"/>
      <c r="F122" s="68">
        <v>0</v>
      </c>
      <c r="G122" s="68"/>
      <c r="H122" s="68">
        <v>0</v>
      </c>
      <c r="I122" s="68"/>
      <c r="J122" s="68">
        <v>0</v>
      </c>
      <c r="K122" s="68"/>
      <c r="L122" s="68">
        <v>0</v>
      </c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51">
        <f t="shared" si="23"/>
        <v>0</v>
      </c>
      <c r="AB122" s="51">
        <f t="shared" si="29"/>
        <v>0</v>
      </c>
      <c r="AC122" s="100"/>
      <c r="AD122" s="31">
        <f t="shared" si="25"/>
        <v>0</v>
      </c>
      <c r="AE122" s="31">
        <f t="shared" si="26"/>
        <v>0</v>
      </c>
      <c r="AF122" s="17">
        <f t="shared" si="27"/>
        <v>0</v>
      </c>
      <c r="AG122" s="17">
        <f t="shared" si="28"/>
        <v>0</v>
      </c>
      <c r="BC122" s="20"/>
    </row>
    <row r="123" spans="1:119" s="19" customFormat="1" ht="18" customHeight="1" outlineLevel="1" x14ac:dyDescent="0.25">
      <c r="A123" s="48" t="s">
        <v>127</v>
      </c>
      <c r="B123" s="53"/>
      <c r="C123" s="64"/>
      <c r="D123" s="68"/>
      <c r="E123" s="68"/>
      <c r="F123" s="68">
        <v>0</v>
      </c>
      <c r="G123" s="68"/>
      <c r="H123" s="68">
        <v>0</v>
      </c>
      <c r="I123" s="68"/>
      <c r="J123" s="68">
        <v>0</v>
      </c>
      <c r="K123" s="68"/>
      <c r="L123" s="68">
        <v>0</v>
      </c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51">
        <f t="shared" si="23"/>
        <v>0</v>
      </c>
      <c r="AB123" s="51">
        <f t="shared" si="29"/>
        <v>0</v>
      </c>
      <c r="AC123" s="100"/>
      <c r="AD123" s="31">
        <f t="shared" si="25"/>
        <v>0</v>
      </c>
      <c r="AE123" s="31">
        <f t="shared" si="26"/>
        <v>0</v>
      </c>
      <c r="AF123" s="17">
        <f t="shared" si="27"/>
        <v>0</v>
      </c>
      <c r="AG123" s="17">
        <f t="shared" si="28"/>
        <v>0</v>
      </c>
      <c r="BC123" s="20"/>
    </row>
    <row r="124" spans="1:119" s="19" customFormat="1" ht="18" customHeight="1" outlineLevel="1" x14ac:dyDescent="0.25">
      <c r="A124" s="48" t="s">
        <v>128</v>
      </c>
      <c r="B124" s="53"/>
      <c r="C124" s="64"/>
      <c r="D124" s="68"/>
      <c r="E124" s="68"/>
      <c r="F124" s="68">
        <v>0</v>
      </c>
      <c r="G124" s="68"/>
      <c r="H124" s="68">
        <v>0</v>
      </c>
      <c r="I124" s="68"/>
      <c r="J124" s="68">
        <v>0</v>
      </c>
      <c r="K124" s="68"/>
      <c r="L124" s="68">
        <v>0</v>
      </c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51">
        <f t="shared" si="23"/>
        <v>0</v>
      </c>
      <c r="AB124" s="51">
        <f t="shared" si="29"/>
        <v>0</v>
      </c>
      <c r="AC124" s="100"/>
      <c r="AD124" s="31">
        <f t="shared" si="25"/>
        <v>0</v>
      </c>
      <c r="AE124" s="31">
        <f t="shared" si="26"/>
        <v>0</v>
      </c>
      <c r="AF124" s="17">
        <f t="shared" si="27"/>
        <v>0</v>
      </c>
      <c r="AG124" s="17">
        <f t="shared" si="28"/>
        <v>0</v>
      </c>
      <c r="BC124" s="20"/>
    </row>
    <row r="125" spans="1:119" s="19" customFormat="1" ht="18" customHeight="1" outlineLevel="1" x14ac:dyDescent="0.25">
      <c r="A125" s="48" t="s">
        <v>129</v>
      </c>
      <c r="B125" s="53"/>
      <c r="C125" s="64"/>
      <c r="D125" s="68"/>
      <c r="E125" s="68"/>
      <c r="F125" s="68">
        <v>0</v>
      </c>
      <c r="G125" s="68"/>
      <c r="H125" s="68">
        <v>0</v>
      </c>
      <c r="I125" s="68"/>
      <c r="J125" s="68">
        <v>0</v>
      </c>
      <c r="K125" s="68"/>
      <c r="L125" s="68">
        <v>0</v>
      </c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51">
        <f t="shared" si="23"/>
        <v>0</v>
      </c>
      <c r="AB125" s="51">
        <f t="shared" si="29"/>
        <v>0</v>
      </c>
      <c r="AC125" s="100"/>
      <c r="AD125" s="31">
        <f t="shared" si="25"/>
        <v>0</v>
      </c>
      <c r="AE125" s="31">
        <f t="shared" si="26"/>
        <v>0</v>
      </c>
      <c r="AF125" s="17">
        <f t="shared" si="27"/>
        <v>0</v>
      </c>
      <c r="AG125" s="17">
        <f t="shared" si="28"/>
        <v>0</v>
      </c>
      <c r="BC125" s="20"/>
    </row>
    <row r="126" spans="1:119" s="17" customFormat="1" ht="18" customHeight="1" outlineLevel="1" x14ac:dyDescent="0.25">
      <c r="A126" s="67" t="s">
        <v>130</v>
      </c>
      <c r="B126" s="45"/>
      <c r="C126" s="33"/>
      <c r="D126" s="65"/>
      <c r="E126" s="65"/>
      <c r="F126" s="65">
        <f>SUM(F127:F131)</f>
        <v>0</v>
      </c>
      <c r="G126" s="65"/>
      <c r="H126" s="65">
        <f>SUM(H127:H131)</f>
        <v>0</v>
      </c>
      <c r="I126" s="65"/>
      <c r="J126" s="65">
        <f>SUM(J127:J131)</f>
        <v>0</v>
      </c>
      <c r="K126" s="65"/>
      <c r="L126" s="65">
        <f>SUM(L127:L131)</f>
        <v>0</v>
      </c>
      <c r="M126" s="65"/>
      <c r="N126" s="65">
        <f>SUM(N127:N131)</f>
        <v>0</v>
      </c>
      <c r="O126" s="65"/>
      <c r="P126" s="65">
        <f>SUM(P127:P131)</f>
        <v>0</v>
      </c>
      <c r="Q126" s="65"/>
      <c r="R126" s="65">
        <f>SUM(R127:R131)</f>
        <v>0</v>
      </c>
      <c r="S126" s="65"/>
      <c r="T126" s="65">
        <f>SUM(T127:T131)</f>
        <v>0</v>
      </c>
      <c r="U126" s="65"/>
      <c r="V126" s="65">
        <f>SUM(V127:V131)</f>
        <v>0</v>
      </c>
      <c r="W126" s="65"/>
      <c r="X126" s="65">
        <f>SUM(X127:X131)</f>
        <v>0</v>
      </c>
      <c r="Y126" s="65"/>
      <c r="Z126" s="65">
        <f>SUM(Z127:Z131)</f>
        <v>0</v>
      </c>
      <c r="AA126" s="51">
        <f t="shared" si="23"/>
        <v>0</v>
      </c>
      <c r="AB126" s="51">
        <f t="shared" si="29"/>
        <v>0</v>
      </c>
      <c r="AC126" s="103"/>
      <c r="AD126" s="31">
        <f t="shared" si="25"/>
        <v>0</v>
      </c>
      <c r="AE126" s="31">
        <f t="shared" si="26"/>
        <v>0</v>
      </c>
      <c r="AF126" s="17">
        <f t="shared" si="27"/>
        <v>0</v>
      </c>
      <c r="AG126" s="17">
        <f t="shared" si="28"/>
        <v>0</v>
      </c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66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</row>
    <row r="127" spans="1:119" s="19" customFormat="1" ht="18" customHeight="1" outlineLevel="2" x14ac:dyDescent="0.25">
      <c r="A127" s="48" t="s">
        <v>131</v>
      </c>
      <c r="B127" s="53"/>
      <c r="C127" s="64"/>
      <c r="D127" s="68"/>
      <c r="E127" s="68"/>
      <c r="F127" s="68">
        <v>0</v>
      </c>
      <c r="G127" s="68"/>
      <c r="H127" s="68">
        <v>0</v>
      </c>
      <c r="I127" s="68"/>
      <c r="J127" s="68">
        <v>0</v>
      </c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51">
        <f t="shared" si="23"/>
        <v>0</v>
      </c>
      <c r="AB127" s="51">
        <f t="shared" si="29"/>
        <v>0</v>
      </c>
      <c r="AC127" s="100"/>
      <c r="AD127" s="31">
        <f t="shared" si="25"/>
        <v>0</v>
      </c>
      <c r="AE127" s="31">
        <f t="shared" si="26"/>
        <v>0</v>
      </c>
      <c r="AF127" s="17">
        <f t="shared" si="27"/>
        <v>0</v>
      </c>
      <c r="AG127" s="17">
        <f t="shared" si="28"/>
        <v>0</v>
      </c>
      <c r="BC127" s="20"/>
    </row>
    <row r="128" spans="1:119" s="19" customFormat="1" ht="18" customHeight="1" outlineLevel="2" x14ac:dyDescent="0.25">
      <c r="A128" s="48" t="s">
        <v>132</v>
      </c>
      <c r="B128" s="53"/>
      <c r="C128" s="64"/>
      <c r="D128" s="68"/>
      <c r="E128" s="68"/>
      <c r="F128" s="68">
        <v>0</v>
      </c>
      <c r="G128" s="68"/>
      <c r="H128" s="68">
        <v>0</v>
      </c>
      <c r="I128" s="68"/>
      <c r="J128" s="68">
        <v>0</v>
      </c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51">
        <f t="shared" si="23"/>
        <v>0</v>
      </c>
      <c r="AB128" s="51">
        <f t="shared" si="29"/>
        <v>0</v>
      </c>
      <c r="AC128" s="100"/>
      <c r="AD128" s="31">
        <f t="shared" si="25"/>
        <v>0</v>
      </c>
      <c r="AE128" s="31">
        <f t="shared" si="26"/>
        <v>0</v>
      </c>
      <c r="AF128" s="17">
        <f t="shared" si="27"/>
        <v>0</v>
      </c>
      <c r="AG128" s="17">
        <f t="shared" si="28"/>
        <v>0</v>
      </c>
      <c r="BC128" s="20"/>
    </row>
    <row r="129" spans="1:119" s="19" customFormat="1" ht="18" customHeight="1" outlineLevel="2" x14ac:dyDescent="0.25">
      <c r="A129" s="48" t="s">
        <v>180</v>
      </c>
      <c r="B129" s="53"/>
      <c r="C129" s="64"/>
      <c r="D129" s="68"/>
      <c r="E129" s="68"/>
      <c r="F129" s="68">
        <v>0</v>
      </c>
      <c r="G129" s="68"/>
      <c r="H129" s="68">
        <v>0</v>
      </c>
      <c r="I129" s="68"/>
      <c r="J129" s="68">
        <v>0</v>
      </c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51">
        <f t="shared" si="23"/>
        <v>0</v>
      </c>
      <c r="AB129" s="51">
        <f t="shared" si="29"/>
        <v>0</v>
      </c>
      <c r="AC129" s="100"/>
      <c r="AD129" s="31">
        <f t="shared" si="25"/>
        <v>0</v>
      </c>
      <c r="AE129" s="31">
        <f t="shared" si="26"/>
        <v>0</v>
      </c>
      <c r="AF129" s="17">
        <f t="shared" si="27"/>
        <v>0</v>
      </c>
      <c r="AG129" s="17">
        <f t="shared" si="28"/>
        <v>0</v>
      </c>
      <c r="BC129" s="20"/>
    </row>
    <row r="130" spans="1:119" s="19" customFormat="1" ht="18" customHeight="1" outlineLevel="2" x14ac:dyDescent="0.25">
      <c r="A130" s="48" t="s">
        <v>134</v>
      </c>
      <c r="B130" s="53"/>
      <c r="C130" s="64"/>
      <c r="D130" s="68"/>
      <c r="E130" s="68"/>
      <c r="F130" s="68">
        <v>0</v>
      </c>
      <c r="G130" s="68"/>
      <c r="H130" s="68">
        <v>0</v>
      </c>
      <c r="I130" s="68"/>
      <c r="J130" s="68">
        <v>0</v>
      </c>
      <c r="K130" s="68"/>
      <c r="L130" s="68">
        <v>0</v>
      </c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51">
        <f t="shared" si="23"/>
        <v>0</v>
      </c>
      <c r="AB130" s="51">
        <f t="shared" si="29"/>
        <v>0</v>
      </c>
      <c r="AC130" s="100"/>
      <c r="AD130" s="31">
        <f t="shared" si="25"/>
        <v>0</v>
      </c>
      <c r="AE130" s="31">
        <f t="shared" si="26"/>
        <v>0</v>
      </c>
      <c r="AF130" s="17">
        <f t="shared" si="27"/>
        <v>0</v>
      </c>
      <c r="AG130" s="17">
        <f t="shared" si="28"/>
        <v>0</v>
      </c>
      <c r="BC130" s="20"/>
    </row>
    <row r="131" spans="1:119" s="19" customFormat="1" ht="18" customHeight="1" outlineLevel="2" x14ac:dyDescent="0.25">
      <c r="A131" s="48" t="s">
        <v>135</v>
      </c>
      <c r="B131" s="53"/>
      <c r="C131" s="64"/>
      <c r="D131" s="68"/>
      <c r="E131" s="68"/>
      <c r="F131" s="68">
        <v>0</v>
      </c>
      <c r="G131" s="68"/>
      <c r="H131" s="68">
        <v>0</v>
      </c>
      <c r="I131" s="68"/>
      <c r="J131" s="68">
        <v>0</v>
      </c>
      <c r="K131" s="68"/>
      <c r="L131" s="68">
        <v>0</v>
      </c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51">
        <f t="shared" si="23"/>
        <v>0</v>
      </c>
      <c r="AB131" s="51">
        <f t="shared" si="29"/>
        <v>0</v>
      </c>
      <c r="AC131" s="100"/>
      <c r="AD131" s="31">
        <f t="shared" si="25"/>
        <v>0</v>
      </c>
      <c r="AE131" s="31">
        <f t="shared" si="26"/>
        <v>0</v>
      </c>
      <c r="AF131" s="17">
        <f t="shared" si="27"/>
        <v>0</v>
      </c>
      <c r="AG131" s="17">
        <f t="shared" si="28"/>
        <v>0</v>
      </c>
      <c r="BC131" s="20"/>
    </row>
    <row r="132" spans="1:119" s="19" customFormat="1" ht="18" customHeight="1" outlineLevel="1" x14ac:dyDescent="0.25">
      <c r="A132" s="48" t="s">
        <v>136</v>
      </c>
      <c r="B132" s="53"/>
      <c r="C132" s="64"/>
      <c r="D132" s="68"/>
      <c r="E132" s="68"/>
      <c r="F132" s="68">
        <v>0</v>
      </c>
      <c r="G132" s="68"/>
      <c r="H132" s="68">
        <v>0</v>
      </c>
      <c r="I132" s="68"/>
      <c r="J132" s="68">
        <v>0</v>
      </c>
      <c r="K132" s="68"/>
      <c r="L132" s="68">
        <v>0</v>
      </c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51">
        <f t="shared" si="23"/>
        <v>0</v>
      </c>
      <c r="AB132" s="51">
        <f t="shared" si="29"/>
        <v>0</v>
      </c>
      <c r="AC132" s="100"/>
      <c r="AD132" s="31">
        <f t="shared" si="25"/>
        <v>0</v>
      </c>
      <c r="AE132" s="31">
        <f t="shared" si="26"/>
        <v>0</v>
      </c>
      <c r="AF132" s="17">
        <f t="shared" si="27"/>
        <v>0</v>
      </c>
      <c r="AG132" s="17">
        <f t="shared" si="28"/>
        <v>0</v>
      </c>
      <c r="BC132" s="20"/>
    </row>
    <row r="133" spans="1:119" s="19" customFormat="1" ht="18" customHeight="1" outlineLevel="1" x14ac:dyDescent="0.25">
      <c r="A133" s="48" t="s">
        <v>137</v>
      </c>
      <c r="B133" s="53"/>
      <c r="C133" s="64"/>
      <c r="D133" s="68"/>
      <c r="E133" s="68"/>
      <c r="F133" s="68">
        <v>0</v>
      </c>
      <c r="G133" s="68"/>
      <c r="H133" s="68">
        <v>0</v>
      </c>
      <c r="I133" s="68"/>
      <c r="J133" s="68">
        <v>0</v>
      </c>
      <c r="K133" s="68"/>
      <c r="L133" s="68">
        <v>0</v>
      </c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51">
        <f t="shared" si="23"/>
        <v>0</v>
      </c>
      <c r="AB133" s="51">
        <f t="shared" si="29"/>
        <v>0</v>
      </c>
      <c r="AC133" s="100"/>
      <c r="AD133" s="31">
        <f t="shared" si="25"/>
        <v>0</v>
      </c>
      <c r="AE133" s="31">
        <f t="shared" si="26"/>
        <v>0</v>
      </c>
      <c r="AF133" s="17">
        <f t="shared" si="27"/>
        <v>0</v>
      </c>
      <c r="AG133" s="17">
        <f t="shared" si="28"/>
        <v>0</v>
      </c>
      <c r="BC133" s="20"/>
    </row>
    <row r="134" spans="1:119" s="19" customFormat="1" ht="18" customHeight="1" outlineLevel="1" x14ac:dyDescent="0.25">
      <c r="A134" s="48" t="s">
        <v>138</v>
      </c>
      <c r="B134" s="53"/>
      <c r="C134" s="64"/>
      <c r="D134" s="68"/>
      <c r="E134" s="68"/>
      <c r="F134" s="68">
        <v>0</v>
      </c>
      <c r="G134" s="68"/>
      <c r="H134" s="68">
        <v>0</v>
      </c>
      <c r="I134" s="68"/>
      <c r="J134" s="68">
        <v>0</v>
      </c>
      <c r="K134" s="68"/>
      <c r="L134" s="68">
        <v>0</v>
      </c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51">
        <f t="shared" si="23"/>
        <v>0</v>
      </c>
      <c r="AB134" s="51">
        <f t="shared" si="29"/>
        <v>0</v>
      </c>
      <c r="AC134" s="100"/>
      <c r="AD134" s="31">
        <f t="shared" si="25"/>
        <v>0</v>
      </c>
      <c r="AE134" s="31">
        <f t="shared" si="26"/>
        <v>0</v>
      </c>
      <c r="AF134" s="17">
        <f t="shared" si="27"/>
        <v>0</v>
      </c>
      <c r="AG134" s="17">
        <f t="shared" si="28"/>
        <v>0</v>
      </c>
      <c r="BC134" s="20"/>
    </row>
    <row r="135" spans="1:119" s="19" customFormat="1" ht="18" customHeight="1" outlineLevel="1" x14ac:dyDescent="0.25">
      <c r="A135" s="48" t="s">
        <v>139</v>
      </c>
      <c r="B135" s="53"/>
      <c r="C135" s="64"/>
      <c r="D135" s="68"/>
      <c r="E135" s="68"/>
      <c r="F135" s="68">
        <v>0</v>
      </c>
      <c r="G135" s="68"/>
      <c r="H135" s="68">
        <v>0</v>
      </c>
      <c r="I135" s="68"/>
      <c r="J135" s="68">
        <v>0</v>
      </c>
      <c r="K135" s="68"/>
      <c r="L135" s="68">
        <v>0</v>
      </c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51">
        <f t="shared" si="23"/>
        <v>0</v>
      </c>
      <c r="AB135" s="51">
        <f t="shared" si="29"/>
        <v>0</v>
      </c>
      <c r="AC135" s="100"/>
      <c r="AD135" s="31">
        <f t="shared" si="25"/>
        <v>0</v>
      </c>
      <c r="AE135" s="31">
        <f t="shared" si="26"/>
        <v>0</v>
      </c>
      <c r="AF135" s="17">
        <f t="shared" si="27"/>
        <v>0</v>
      </c>
      <c r="AG135" s="17">
        <f t="shared" si="28"/>
        <v>0</v>
      </c>
      <c r="BC135" s="20"/>
    </row>
    <row r="136" spans="1:119" s="19" customFormat="1" ht="18" customHeight="1" outlineLevel="1" x14ac:dyDescent="0.25">
      <c r="A136" s="48" t="s">
        <v>140</v>
      </c>
      <c r="B136" s="53"/>
      <c r="C136" s="64"/>
      <c r="D136" s="68"/>
      <c r="E136" s="68"/>
      <c r="F136" s="68">
        <v>0</v>
      </c>
      <c r="G136" s="68"/>
      <c r="H136" s="68">
        <v>0</v>
      </c>
      <c r="I136" s="68"/>
      <c r="J136" s="68">
        <v>0</v>
      </c>
      <c r="K136" s="68"/>
      <c r="L136" s="68">
        <v>0</v>
      </c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51">
        <f t="shared" si="23"/>
        <v>0</v>
      </c>
      <c r="AB136" s="51">
        <f t="shared" si="29"/>
        <v>0</v>
      </c>
      <c r="AC136" s="100"/>
      <c r="AD136" s="31">
        <f t="shared" si="25"/>
        <v>0</v>
      </c>
      <c r="AE136" s="31">
        <f t="shared" si="26"/>
        <v>0</v>
      </c>
      <c r="AF136" s="17">
        <f t="shared" si="27"/>
        <v>0</v>
      </c>
      <c r="AG136" s="17">
        <f t="shared" si="28"/>
        <v>0</v>
      </c>
      <c r="BC136" s="20"/>
    </row>
    <row r="137" spans="1:119" s="19" customFormat="1" ht="18" customHeight="1" outlineLevel="1" x14ac:dyDescent="0.25">
      <c r="A137" s="48" t="s">
        <v>141</v>
      </c>
      <c r="B137" s="53"/>
      <c r="C137" s="64"/>
      <c r="D137" s="68"/>
      <c r="E137" s="68"/>
      <c r="F137" s="68">
        <v>0</v>
      </c>
      <c r="G137" s="68"/>
      <c r="H137" s="68">
        <v>0</v>
      </c>
      <c r="I137" s="68"/>
      <c r="J137" s="68">
        <v>0</v>
      </c>
      <c r="K137" s="68"/>
      <c r="L137" s="68">
        <v>0</v>
      </c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51">
        <f t="shared" si="23"/>
        <v>0</v>
      </c>
      <c r="AB137" s="51">
        <f t="shared" si="29"/>
        <v>0</v>
      </c>
      <c r="AC137" s="100"/>
      <c r="AD137" s="31">
        <f t="shared" si="25"/>
        <v>0</v>
      </c>
      <c r="AE137" s="31">
        <f t="shared" si="26"/>
        <v>0</v>
      </c>
      <c r="AF137" s="17">
        <f t="shared" si="27"/>
        <v>0</v>
      </c>
      <c r="AG137" s="17">
        <f t="shared" si="28"/>
        <v>0</v>
      </c>
      <c r="BC137" s="20"/>
    </row>
    <row r="138" spans="1:119" s="17" customFormat="1" ht="18" customHeight="1" outlineLevel="1" x14ac:dyDescent="0.25">
      <c r="A138" s="67" t="s">
        <v>142</v>
      </c>
      <c r="B138" s="45"/>
      <c r="C138" s="33"/>
      <c r="D138" s="65"/>
      <c r="E138" s="65"/>
      <c r="F138" s="65">
        <f>SUM(F139:F142)</f>
        <v>0</v>
      </c>
      <c r="G138" s="65"/>
      <c r="H138" s="65">
        <f>SUM(H139:H142)</f>
        <v>0</v>
      </c>
      <c r="I138" s="65"/>
      <c r="J138" s="65">
        <f>SUM(J139:J142)</f>
        <v>0</v>
      </c>
      <c r="K138" s="65"/>
      <c r="L138" s="65">
        <f>SUM(L139:L142)</f>
        <v>0</v>
      </c>
      <c r="M138" s="65"/>
      <c r="N138" s="65">
        <f>SUM(N139:N142)</f>
        <v>0</v>
      </c>
      <c r="O138" s="65"/>
      <c r="P138" s="65">
        <f>SUM(P139:P142)</f>
        <v>0</v>
      </c>
      <c r="Q138" s="65"/>
      <c r="R138" s="65">
        <f>SUM(R139:R142)</f>
        <v>0</v>
      </c>
      <c r="S138" s="65"/>
      <c r="T138" s="65">
        <f>SUM(T139:T142)</f>
        <v>0</v>
      </c>
      <c r="U138" s="65"/>
      <c r="V138" s="65">
        <f>SUM(V139:V142)</f>
        <v>0</v>
      </c>
      <c r="W138" s="65"/>
      <c r="X138" s="65">
        <f>SUM(X139:X142)</f>
        <v>0</v>
      </c>
      <c r="Y138" s="65"/>
      <c r="Z138" s="65">
        <f>SUM(Z139:Z142)</f>
        <v>0</v>
      </c>
      <c r="AA138" s="51">
        <f t="shared" si="23"/>
        <v>0</v>
      </c>
      <c r="AB138" s="51">
        <f t="shared" si="29"/>
        <v>0</v>
      </c>
      <c r="AC138" s="103"/>
      <c r="AD138" s="31">
        <f t="shared" si="25"/>
        <v>0</v>
      </c>
      <c r="AE138" s="31">
        <f t="shared" si="26"/>
        <v>0</v>
      </c>
      <c r="AF138" s="17">
        <f t="shared" si="27"/>
        <v>0</v>
      </c>
      <c r="AG138" s="17">
        <f t="shared" si="28"/>
        <v>0</v>
      </c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66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</row>
    <row r="139" spans="1:119" s="19" customFormat="1" ht="18" customHeight="1" outlineLevel="2" x14ac:dyDescent="0.25">
      <c r="A139" s="48" t="s">
        <v>143</v>
      </c>
      <c r="B139" s="53"/>
      <c r="C139" s="64"/>
      <c r="D139" s="68"/>
      <c r="E139" s="68"/>
      <c r="F139" s="68">
        <v>0</v>
      </c>
      <c r="G139" s="68"/>
      <c r="H139" s="68">
        <v>0</v>
      </c>
      <c r="I139" s="68"/>
      <c r="J139" s="68">
        <v>0</v>
      </c>
      <c r="K139" s="68"/>
      <c r="L139" s="68">
        <v>0</v>
      </c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51">
        <f t="shared" si="23"/>
        <v>0</v>
      </c>
      <c r="AB139" s="51">
        <f t="shared" si="29"/>
        <v>0</v>
      </c>
      <c r="AC139" s="100"/>
      <c r="AD139" s="31">
        <f t="shared" si="25"/>
        <v>0</v>
      </c>
      <c r="AE139" s="31">
        <f t="shared" si="26"/>
        <v>0</v>
      </c>
      <c r="AF139" s="17">
        <f t="shared" si="27"/>
        <v>0</v>
      </c>
      <c r="AG139" s="17">
        <f t="shared" si="28"/>
        <v>0</v>
      </c>
      <c r="BC139" s="20"/>
    </row>
    <row r="140" spans="1:119" s="19" customFormat="1" ht="18" customHeight="1" outlineLevel="2" x14ac:dyDescent="0.25">
      <c r="A140" s="48" t="s">
        <v>144</v>
      </c>
      <c r="B140" s="53"/>
      <c r="C140" s="64"/>
      <c r="D140" s="68"/>
      <c r="E140" s="68"/>
      <c r="F140" s="68">
        <v>0</v>
      </c>
      <c r="G140" s="68"/>
      <c r="H140" s="68">
        <v>0</v>
      </c>
      <c r="I140" s="68"/>
      <c r="J140" s="68">
        <v>0</v>
      </c>
      <c r="K140" s="68"/>
      <c r="L140" s="68">
        <v>0</v>
      </c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51">
        <f t="shared" si="23"/>
        <v>0</v>
      </c>
      <c r="AB140" s="51">
        <f t="shared" si="29"/>
        <v>0</v>
      </c>
      <c r="AC140" s="100"/>
      <c r="AD140" s="31">
        <f t="shared" si="25"/>
        <v>0</v>
      </c>
      <c r="AE140" s="31">
        <f t="shared" si="26"/>
        <v>0</v>
      </c>
      <c r="AF140" s="17">
        <f t="shared" si="27"/>
        <v>0</v>
      </c>
      <c r="AG140" s="17">
        <f t="shared" si="28"/>
        <v>0</v>
      </c>
      <c r="BC140" s="20"/>
    </row>
    <row r="141" spans="1:119" s="19" customFormat="1" ht="18" customHeight="1" outlineLevel="2" x14ac:dyDescent="0.25">
      <c r="A141" s="48" t="s">
        <v>145</v>
      </c>
      <c r="B141" s="53"/>
      <c r="C141" s="64"/>
      <c r="D141" s="68"/>
      <c r="E141" s="68"/>
      <c r="F141" s="68">
        <v>0</v>
      </c>
      <c r="G141" s="68"/>
      <c r="H141" s="68">
        <v>0</v>
      </c>
      <c r="I141" s="68"/>
      <c r="J141" s="68">
        <v>0</v>
      </c>
      <c r="K141" s="68"/>
      <c r="L141" s="68">
        <v>0</v>
      </c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51">
        <f t="shared" si="23"/>
        <v>0</v>
      </c>
      <c r="AB141" s="51">
        <f t="shared" si="29"/>
        <v>0</v>
      </c>
      <c r="AC141" s="100"/>
      <c r="AD141" s="31">
        <f t="shared" si="25"/>
        <v>0</v>
      </c>
      <c r="AE141" s="31">
        <f t="shared" si="26"/>
        <v>0</v>
      </c>
      <c r="AF141" s="17">
        <f t="shared" si="27"/>
        <v>0</v>
      </c>
      <c r="AG141" s="17">
        <f t="shared" si="28"/>
        <v>0</v>
      </c>
      <c r="BC141" s="20"/>
    </row>
    <row r="142" spans="1:119" s="19" customFormat="1" ht="18" customHeight="1" outlineLevel="2" x14ac:dyDescent="0.25">
      <c r="A142" s="48" t="s">
        <v>146</v>
      </c>
      <c r="B142" s="53"/>
      <c r="C142" s="64"/>
      <c r="D142" s="68"/>
      <c r="E142" s="68"/>
      <c r="F142" s="68">
        <v>0</v>
      </c>
      <c r="G142" s="68"/>
      <c r="H142" s="68">
        <v>0</v>
      </c>
      <c r="I142" s="68"/>
      <c r="J142" s="68">
        <v>0</v>
      </c>
      <c r="K142" s="68"/>
      <c r="L142" s="68">
        <v>0</v>
      </c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51">
        <f t="shared" si="23"/>
        <v>0</v>
      </c>
      <c r="AB142" s="51">
        <f t="shared" si="29"/>
        <v>0</v>
      </c>
      <c r="AC142" s="100"/>
      <c r="AD142" s="31">
        <f t="shared" si="25"/>
        <v>0</v>
      </c>
      <c r="AE142" s="31">
        <f t="shared" si="26"/>
        <v>0</v>
      </c>
      <c r="AF142" s="17">
        <f t="shared" si="27"/>
        <v>0</v>
      </c>
      <c r="AG142" s="17">
        <f t="shared" si="28"/>
        <v>0</v>
      </c>
      <c r="BC142" s="20"/>
    </row>
    <row r="143" spans="1:119" s="19" customFormat="1" ht="18" customHeight="1" outlineLevel="1" x14ac:dyDescent="0.25">
      <c r="A143" s="48" t="s">
        <v>147</v>
      </c>
      <c r="B143" s="53"/>
      <c r="C143" s="64"/>
      <c r="D143" s="68"/>
      <c r="E143" s="68"/>
      <c r="F143" s="68">
        <v>0</v>
      </c>
      <c r="G143" s="68"/>
      <c r="H143" s="68">
        <v>0</v>
      </c>
      <c r="I143" s="68"/>
      <c r="J143" s="68">
        <v>0</v>
      </c>
      <c r="K143" s="68"/>
      <c r="L143" s="68">
        <v>0</v>
      </c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51">
        <f t="shared" si="23"/>
        <v>0</v>
      </c>
      <c r="AB143" s="51">
        <f t="shared" si="29"/>
        <v>0</v>
      </c>
      <c r="AC143" s="100"/>
      <c r="AD143" s="31">
        <f t="shared" si="25"/>
        <v>0</v>
      </c>
      <c r="AE143" s="31">
        <f t="shared" si="26"/>
        <v>0</v>
      </c>
      <c r="AF143" s="17">
        <f t="shared" si="27"/>
        <v>0</v>
      </c>
      <c r="AG143" s="17">
        <f t="shared" si="28"/>
        <v>0</v>
      </c>
      <c r="BC143" s="20"/>
    </row>
    <row r="144" spans="1:119" s="19" customFormat="1" ht="18" customHeight="1" outlineLevel="1" x14ac:dyDescent="0.25">
      <c r="A144" s="48" t="s">
        <v>148</v>
      </c>
      <c r="B144" s="53"/>
      <c r="C144" s="64"/>
      <c r="D144" s="68"/>
      <c r="E144" s="68"/>
      <c r="F144" s="68">
        <v>0</v>
      </c>
      <c r="G144" s="68"/>
      <c r="H144" s="68">
        <v>0</v>
      </c>
      <c r="I144" s="68"/>
      <c r="J144" s="68">
        <v>0</v>
      </c>
      <c r="K144" s="68"/>
      <c r="L144" s="68">
        <v>0</v>
      </c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51">
        <f t="shared" si="23"/>
        <v>0</v>
      </c>
      <c r="AB144" s="51">
        <f t="shared" si="29"/>
        <v>0</v>
      </c>
      <c r="AC144" s="100"/>
      <c r="AD144" s="31">
        <f t="shared" si="25"/>
        <v>0</v>
      </c>
      <c r="AE144" s="31">
        <f t="shared" si="26"/>
        <v>0</v>
      </c>
      <c r="AF144" s="17">
        <f t="shared" si="27"/>
        <v>0</v>
      </c>
      <c r="AG144" s="17">
        <f t="shared" si="28"/>
        <v>0</v>
      </c>
      <c r="BC144" s="20"/>
    </row>
    <row r="145" spans="1:55" s="19" customFormat="1" ht="18" customHeight="1" outlineLevel="1" x14ac:dyDescent="0.25">
      <c r="A145" s="48" t="s">
        <v>149</v>
      </c>
      <c r="B145" s="53"/>
      <c r="C145" s="64"/>
      <c r="D145" s="68"/>
      <c r="E145" s="68"/>
      <c r="F145" s="68">
        <v>0</v>
      </c>
      <c r="G145" s="68"/>
      <c r="H145" s="68">
        <v>0</v>
      </c>
      <c r="I145" s="68"/>
      <c r="J145" s="68">
        <v>0</v>
      </c>
      <c r="K145" s="68"/>
      <c r="L145" s="68">
        <v>0</v>
      </c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51">
        <f t="shared" si="23"/>
        <v>0</v>
      </c>
      <c r="AB145" s="51">
        <f t="shared" si="29"/>
        <v>0</v>
      </c>
      <c r="AC145" s="100"/>
      <c r="AD145" s="31">
        <f t="shared" si="25"/>
        <v>0</v>
      </c>
      <c r="AE145" s="31">
        <f t="shared" si="26"/>
        <v>0</v>
      </c>
      <c r="AF145" s="17">
        <f t="shared" si="27"/>
        <v>0</v>
      </c>
      <c r="AG145" s="17">
        <f t="shared" si="28"/>
        <v>0</v>
      </c>
      <c r="BC145" s="20"/>
    </row>
    <row r="146" spans="1:55" s="19" customFormat="1" ht="18" customHeight="1" outlineLevel="1" x14ac:dyDescent="0.25">
      <c r="A146" s="48" t="s">
        <v>150</v>
      </c>
      <c r="B146" s="53"/>
      <c r="C146" s="64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51">
        <f t="shared" si="23"/>
        <v>0</v>
      </c>
      <c r="AB146" s="51">
        <f t="shared" si="29"/>
        <v>0</v>
      </c>
      <c r="AC146" s="100"/>
      <c r="AD146" s="31">
        <f t="shared" si="25"/>
        <v>0</v>
      </c>
      <c r="AE146" s="31">
        <f t="shared" si="26"/>
        <v>0</v>
      </c>
      <c r="AF146" s="17">
        <f t="shared" si="27"/>
        <v>0</v>
      </c>
      <c r="AG146" s="17">
        <f t="shared" si="28"/>
        <v>0</v>
      </c>
      <c r="BC146" s="20"/>
    </row>
    <row r="147" spans="1:55" s="19" customFormat="1" ht="18" customHeight="1" outlineLevel="1" x14ac:dyDescent="0.25">
      <c r="A147" s="48" t="s">
        <v>151</v>
      </c>
      <c r="B147" s="53"/>
      <c r="C147" s="64"/>
      <c r="D147" s="68"/>
      <c r="E147" s="68"/>
      <c r="F147" s="68">
        <v>0</v>
      </c>
      <c r="G147" s="68"/>
      <c r="H147" s="68">
        <v>0</v>
      </c>
      <c r="I147" s="68"/>
      <c r="J147" s="68">
        <v>0</v>
      </c>
      <c r="K147" s="68"/>
      <c r="L147" s="68">
        <v>0</v>
      </c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51">
        <f t="shared" si="23"/>
        <v>0</v>
      </c>
      <c r="AB147" s="51">
        <f t="shared" si="29"/>
        <v>0</v>
      </c>
      <c r="AC147" s="100"/>
      <c r="AD147" s="31">
        <f t="shared" si="25"/>
        <v>0</v>
      </c>
      <c r="AE147" s="31">
        <f t="shared" si="26"/>
        <v>0</v>
      </c>
      <c r="AF147" s="17">
        <f t="shared" si="27"/>
        <v>0</v>
      </c>
      <c r="AG147" s="17">
        <f t="shared" si="28"/>
        <v>0</v>
      </c>
      <c r="BC147" s="20"/>
    </row>
    <row r="148" spans="1:55" s="19" customFormat="1" ht="18" customHeight="1" outlineLevel="1" x14ac:dyDescent="0.25">
      <c r="A148" s="48" t="s">
        <v>152</v>
      </c>
      <c r="B148" s="53"/>
      <c r="C148" s="64"/>
      <c r="D148" s="68"/>
      <c r="E148" s="68"/>
      <c r="F148" s="68">
        <v>0</v>
      </c>
      <c r="G148" s="68"/>
      <c r="H148" s="68">
        <v>0</v>
      </c>
      <c r="I148" s="68"/>
      <c r="J148" s="68">
        <v>0</v>
      </c>
      <c r="K148" s="68"/>
      <c r="L148" s="68">
        <v>0</v>
      </c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51">
        <f t="shared" si="23"/>
        <v>0</v>
      </c>
      <c r="AB148" s="51">
        <f t="shared" si="29"/>
        <v>0</v>
      </c>
      <c r="AC148" s="100"/>
      <c r="AD148" s="31">
        <f t="shared" si="25"/>
        <v>0</v>
      </c>
      <c r="AE148" s="31">
        <f t="shared" si="26"/>
        <v>0</v>
      </c>
      <c r="AF148" s="17">
        <f t="shared" si="27"/>
        <v>0</v>
      </c>
      <c r="AG148" s="17">
        <f t="shared" si="28"/>
        <v>0</v>
      </c>
      <c r="BC148" s="20"/>
    </row>
    <row r="149" spans="1:55" s="19" customFormat="1" ht="18" customHeight="1" outlineLevel="1" x14ac:dyDescent="0.25">
      <c r="A149" s="48" t="s">
        <v>153</v>
      </c>
      <c r="B149" s="53"/>
      <c r="C149" s="64"/>
      <c r="D149" s="68"/>
      <c r="E149" s="68"/>
      <c r="F149" s="68">
        <v>0</v>
      </c>
      <c r="G149" s="68"/>
      <c r="H149" s="68">
        <v>0</v>
      </c>
      <c r="I149" s="68"/>
      <c r="J149" s="68">
        <v>0</v>
      </c>
      <c r="K149" s="68"/>
      <c r="L149" s="68">
        <v>0</v>
      </c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51">
        <f t="shared" si="23"/>
        <v>0</v>
      </c>
      <c r="AB149" s="51">
        <f t="shared" si="29"/>
        <v>0</v>
      </c>
      <c r="AC149" s="100"/>
      <c r="AD149" s="31">
        <f t="shared" si="25"/>
        <v>0</v>
      </c>
      <c r="AE149" s="31">
        <f t="shared" si="26"/>
        <v>0</v>
      </c>
      <c r="AF149" s="17">
        <f t="shared" si="27"/>
        <v>0</v>
      </c>
      <c r="AG149" s="17">
        <f t="shared" si="28"/>
        <v>0</v>
      </c>
      <c r="BC149" s="20"/>
    </row>
    <row r="150" spans="1:55" s="19" customFormat="1" ht="18" customHeight="1" outlineLevel="1" x14ac:dyDescent="0.25">
      <c r="A150" s="48" t="s">
        <v>154</v>
      </c>
      <c r="B150" s="53"/>
      <c r="C150" s="64"/>
      <c r="D150" s="68"/>
      <c r="E150" s="68"/>
      <c r="F150" s="68">
        <v>0</v>
      </c>
      <c r="G150" s="68"/>
      <c r="H150" s="68">
        <v>0</v>
      </c>
      <c r="I150" s="68"/>
      <c r="J150" s="68">
        <v>0</v>
      </c>
      <c r="K150" s="68"/>
      <c r="L150" s="68">
        <v>0</v>
      </c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51">
        <f t="shared" si="23"/>
        <v>0</v>
      </c>
      <c r="AB150" s="51">
        <f t="shared" si="29"/>
        <v>0</v>
      </c>
      <c r="AC150" s="100"/>
      <c r="AD150" s="31">
        <f t="shared" si="25"/>
        <v>0</v>
      </c>
      <c r="AE150" s="31">
        <f t="shared" si="26"/>
        <v>0</v>
      </c>
      <c r="AF150" s="17">
        <f t="shared" si="27"/>
        <v>0</v>
      </c>
      <c r="AG150" s="17">
        <f t="shared" si="28"/>
        <v>0</v>
      </c>
      <c r="BC150" s="20"/>
    </row>
    <row r="151" spans="1:55" s="19" customFormat="1" ht="18" customHeight="1" outlineLevel="1" x14ac:dyDescent="0.25">
      <c r="A151" s="48" t="s">
        <v>155</v>
      </c>
      <c r="B151" s="53"/>
      <c r="C151" s="64"/>
      <c r="D151" s="68"/>
      <c r="E151" s="68"/>
      <c r="F151" s="68">
        <v>0</v>
      </c>
      <c r="G151" s="68"/>
      <c r="H151" s="68">
        <v>0</v>
      </c>
      <c r="I151" s="68"/>
      <c r="J151" s="68">
        <v>0</v>
      </c>
      <c r="K151" s="68"/>
      <c r="L151" s="68">
        <v>0</v>
      </c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51">
        <f t="shared" si="23"/>
        <v>0</v>
      </c>
      <c r="AB151" s="51">
        <f t="shared" si="29"/>
        <v>0</v>
      </c>
      <c r="AC151" s="100"/>
      <c r="AD151" s="31">
        <f t="shared" si="25"/>
        <v>0</v>
      </c>
      <c r="AE151" s="31">
        <f t="shared" si="26"/>
        <v>0</v>
      </c>
      <c r="AF151" s="17">
        <f t="shared" si="27"/>
        <v>0</v>
      </c>
      <c r="AG151" s="17">
        <f t="shared" si="28"/>
        <v>0</v>
      </c>
      <c r="BC151" s="20"/>
    </row>
    <row r="152" spans="1:55" s="19" customFormat="1" ht="18" customHeight="1" outlineLevel="1" x14ac:dyDescent="0.25">
      <c r="A152" s="48" t="s">
        <v>156</v>
      </c>
      <c r="B152" s="53"/>
      <c r="C152" s="64"/>
      <c r="D152" s="68"/>
      <c r="E152" s="68"/>
      <c r="F152" s="68">
        <v>0</v>
      </c>
      <c r="G152" s="68"/>
      <c r="H152" s="68">
        <v>0</v>
      </c>
      <c r="I152" s="68"/>
      <c r="J152" s="68">
        <v>0</v>
      </c>
      <c r="K152" s="68"/>
      <c r="L152" s="68">
        <v>0</v>
      </c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51">
        <f t="shared" si="23"/>
        <v>0</v>
      </c>
      <c r="AB152" s="51">
        <f t="shared" si="29"/>
        <v>0</v>
      </c>
      <c r="AC152" s="100"/>
      <c r="AD152" s="31">
        <f t="shared" si="25"/>
        <v>0</v>
      </c>
      <c r="AE152" s="31">
        <f t="shared" si="26"/>
        <v>0</v>
      </c>
      <c r="AF152" s="17">
        <f t="shared" si="27"/>
        <v>0</v>
      </c>
      <c r="AG152" s="17">
        <f t="shared" si="28"/>
        <v>0</v>
      </c>
      <c r="BC152" s="20"/>
    </row>
    <row r="153" spans="1:55" s="19" customFormat="1" ht="18" customHeight="1" outlineLevel="1" x14ac:dyDescent="0.25">
      <c r="A153" s="48" t="s">
        <v>157</v>
      </c>
      <c r="B153" s="53"/>
      <c r="C153" s="64"/>
      <c r="D153" s="68"/>
      <c r="E153" s="68"/>
      <c r="F153" s="68">
        <v>0</v>
      </c>
      <c r="G153" s="68"/>
      <c r="H153" s="68">
        <v>0</v>
      </c>
      <c r="I153" s="68"/>
      <c r="J153" s="68">
        <v>0</v>
      </c>
      <c r="K153" s="68"/>
      <c r="L153" s="68">
        <v>0</v>
      </c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51">
        <f t="shared" si="23"/>
        <v>0</v>
      </c>
      <c r="AB153" s="51">
        <f t="shared" si="29"/>
        <v>0</v>
      </c>
      <c r="AC153" s="100"/>
      <c r="AD153" s="31">
        <f t="shared" si="25"/>
        <v>0</v>
      </c>
      <c r="AE153" s="31">
        <f t="shared" si="26"/>
        <v>0</v>
      </c>
      <c r="AF153" s="17">
        <f t="shared" si="27"/>
        <v>0</v>
      </c>
      <c r="AG153" s="17">
        <f t="shared" si="28"/>
        <v>0</v>
      </c>
      <c r="BC153" s="20"/>
    </row>
    <row r="154" spans="1:55" s="19" customFormat="1" ht="18" customHeight="1" outlineLevel="1" x14ac:dyDescent="0.25">
      <c r="A154" s="48" t="s">
        <v>158</v>
      </c>
      <c r="B154" s="53"/>
      <c r="C154" s="64"/>
      <c r="D154" s="68"/>
      <c r="E154" s="68"/>
      <c r="F154" s="68">
        <v>0</v>
      </c>
      <c r="G154" s="68"/>
      <c r="H154" s="68">
        <v>0</v>
      </c>
      <c r="I154" s="68"/>
      <c r="J154" s="68">
        <v>0</v>
      </c>
      <c r="K154" s="68"/>
      <c r="L154" s="68">
        <v>0</v>
      </c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51">
        <f t="shared" si="23"/>
        <v>0</v>
      </c>
      <c r="AB154" s="51">
        <f t="shared" si="29"/>
        <v>0</v>
      </c>
      <c r="AC154" s="100"/>
      <c r="AD154" s="31">
        <f t="shared" si="25"/>
        <v>0</v>
      </c>
      <c r="AE154" s="31">
        <f t="shared" si="26"/>
        <v>0</v>
      </c>
      <c r="AF154" s="17">
        <f t="shared" si="27"/>
        <v>0</v>
      </c>
      <c r="AG154" s="17">
        <f t="shared" si="28"/>
        <v>0</v>
      </c>
      <c r="BC154" s="20"/>
    </row>
    <row r="155" spans="1:55" s="19" customFormat="1" ht="18" customHeight="1" outlineLevel="1" x14ac:dyDescent="0.25">
      <c r="A155" s="48" t="s">
        <v>100</v>
      </c>
      <c r="B155" s="53"/>
      <c r="C155" s="64"/>
      <c r="D155" s="68"/>
      <c r="E155" s="68"/>
      <c r="F155" s="68">
        <v>0</v>
      </c>
      <c r="G155" s="68"/>
      <c r="H155" s="68">
        <v>0</v>
      </c>
      <c r="I155" s="68"/>
      <c r="J155" s="68">
        <v>0</v>
      </c>
      <c r="K155" s="68"/>
      <c r="L155" s="68">
        <v>0</v>
      </c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51">
        <f t="shared" si="23"/>
        <v>0</v>
      </c>
      <c r="AB155" s="51">
        <f t="shared" si="29"/>
        <v>0</v>
      </c>
      <c r="AC155" s="100"/>
      <c r="AD155" s="31">
        <f t="shared" si="25"/>
        <v>0</v>
      </c>
      <c r="AE155" s="31">
        <f t="shared" si="26"/>
        <v>0</v>
      </c>
      <c r="AF155" s="17">
        <f t="shared" si="27"/>
        <v>0</v>
      </c>
      <c r="AG155" s="17">
        <f t="shared" si="28"/>
        <v>0</v>
      </c>
      <c r="BC155" s="20"/>
    </row>
    <row r="156" spans="1:55" s="19" customFormat="1" ht="18" customHeight="1" outlineLevel="1" x14ac:dyDescent="0.25">
      <c r="A156" s="48" t="s">
        <v>159</v>
      </c>
      <c r="B156" s="53"/>
      <c r="C156" s="64"/>
      <c r="D156" s="68"/>
      <c r="E156" s="68"/>
      <c r="F156" s="68">
        <v>0</v>
      </c>
      <c r="G156" s="68"/>
      <c r="H156" s="68">
        <v>0</v>
      </c>
      <c r="I156" s="68"/>
      <c r="J156" s="68">
        <v>0</v>
      </c>
      <c r="K156" s="68"/>
      <c r="L156" s="68">
        <v>0</v>
      </c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51">
        <f t="shared" ref="AA156:AA219" si="30">C156+E156+G156+I156+K156+M156+O156+Q156+S156+U156+W156+Y156</f>
        <v>0</v>
      </c>
      <c r="AB156" s="51">
        <f t="shared" si="29"/>
        <v>0</v>
      </c>
      <c r="AC156" s="100"/>
      <c r="AD156" s="31">
        <f t="shared" ref="AD156:AD219" si="31">SUMIF($C$5:$Z$5,$AD$5,C156:Z156)</f>
        <v>0</v>
      </c>
      <c r="AE156" s="31">
        <f t="shared" ref="AE156:AE219" si="32">SUMIF($C$5:$Z$5,$AD$5,D156:AA156)</f>
        <v>0</v>
      </c>
      <c r="AF156" s="17">
        <f t="shared" si="27"/>
        <v>0</v>
      </c>
      <c r="AG156" s="17">
        <f t="shared" si="28"/>
        <v>0</v>
      </c>
      <c r="BC156" s="20"/>
    </row>
    <row r="157" spans="1:55" s="19" customFormat="1" ht="18" customHeight="1" outlineLevel="1" x14ac:dyDescent="0.25">
      <c r="A157" s="48" t="s">
        <v>160</v>
      </c>
      <c r="B157" s="53"/>
      <c r="C157" s="64"/>
      <c r="D157" s="68"/>
      <c r="E157" s="68"/>
      <c r="F157" s="68">
        <v>0</v>
      </c>
      <c r="G157" s="68"/>
      <c r="H157" s="68">
        <v>0</v>
      </c>
      <c r="I157" s="68"/>
      <c r="J157" s="68">
        <v>0</v>
      </c>
      <c r="K157" s="68"/>
      <c r="L157" s="68">
        <v>0</v>
      </c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51">
        <f t="shared" si="30"/>
        <v>0</v>
      </c>
      <c r="AB157" s="51">
        <f t="shared" si="29"/>
        <v>0</v>
      </c>
      <c r="AC157" s="100"/>
      <c r="AD157" s="31">
        <f t="shared" si="31"/>
        <v>0</v>
      </c>
      <c r="AE157" s="31">
        <f t="shared" si="32"/>
        <v>0</v>
      </c>
      <c r="AF157" s="17">
        <f t="shared" si="27"/>
        <v>0</v>
      </c>
      <c r="AG157" s="17">
        <f t="shared" si="28"/>
        <v>0</v>
      </c>
      <c r="BC157" s="20"/>
    </row>
    <row r="158" spans="1:55" s="19" customFormat="1" ht="18" customHeight="1" outlineLevel="1" x14ac:dyDescent="0.25">
      <c r="A158" s="48" t="s">
        <v>161</v>
      </c>
      <c r="B158" s="53"/>
      <c r="C158" s="64"/>
      <c r="D158" s="68"/>
      <c r="E158" s="68"/>
      <c r="F158" s="68">
        <v>0</v>
      </c>
      <c r="G158" s="68"/>
      <c r="H158" s="68">
        <v>0</v>
      </c>
      <c r="I158" s="68"/>
      <c r="J158" s="68">
        <v>0</v>
      </c>
      <c r="K158" s="68"/>
      <c r="L158" s="68">
        <v>0</v>
      </c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51">
        <f t="shared" si="30"/>
        <v>0</v>
      </c>
      <c r="AB158" s="51">
        <f t="shared" si="29"/>
        <v>0</v>
      </c>
      <c r="AC158" s="100"/>
      <c r="AD158" s="31">
        <f t="shared" si="31"/>
        <v>0</v>
      </c>
      <c r="AE158" s="31">
        <f t="shared" si="32"/>
        <v>0</v>
      </c>
      <c r="AF158" s="17">
        <f t="shared" ref="AF158:AF221" si="33">AA158-AD158</f>
        <v>0</v>
      </c>
      <c r="AG158" s="17">
        <f t="shared" ref="AG158:AG221" si="34">AB158-AE158</f>
        <v>0</v>
      </c>
      <c r="BC158" s="20"/>
    </row>
    <row r="159" spans="1:55" s="19" customFormat="1" ht="18" customHeight="1" outlineLevel="1" x14ac:dyDescent="0.25">
      <c r="A159" s="48" t="s">
        <v>162</v>
      </c>
      <c r="B159" s="53"/>
      <c r="C159" s="64"/>
      <c r="D159" s="68"/>
      <c r="E159" s="68"/>
      <c r="F159" s="68">
        <v>0</v>
      </c>
      <c r="G159" s="68"/>
      <c r="H159" s="68">
        <v>0</v>
      </c>
      <c r="I159" s="68"/>
      <c r="J159" s="68">
        <v>0</v>
      </c>
      <c r="K159" s="68"/>
      <c r="L159" s="68">
        <v>0</v>
      </c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51">
        <f t="shared" si="30"/>
        <v>0</v>
      </c>
      <c r="AB159" s="51">
        <f t="shared" si="29"/>
        <v>0</v>
      </c>
      <c r="AC159" s="100"/>
      <c r="AD159" s="31">
        <f t="shared" si="31"/>
        <v>0</v>
      </c>
      <c r="AE159" s="31">
        <f t="shared" si="32"/>
        <v>0</v>
      </c>
      <c r="AF159" s="17">
        <f t="shared" si="33"/>
        <v>0</v>
      </c>
      <c r="AG159" s="17">
        <f t="shared" si="34"/>
        <v>0</v>
      </c>
      <c r="BC159" s="20"/>
    </row>
    <row r="160" spans="1:55" s="19" customFormat="1" ht="18" customHeight="1" outlineLevel="1" x14ac:dyDescent="0.25">
      <c r="A160" s="48" t="s">
        <v>163</v>
      </c>
      <c r="B160" s="53"/>
      <c r="C160" s="64"/>
      <c r="D160" s="68"/>
      <c r="E160" s="68"/>
      <c r="F160" s="68">
        <v>0</v>
      </c>
      <c r="G160" s="68"/>
      <c r="H160" s="68">
        <v>0</v>
      </c>
      <c r="I160" s="68"/>
      <c r="J160" s="68">
        <v>0</v>
      </c>
      <c r="K160" s="68"/>
      <c r="L160" s="68">
        <v>0</v>
      </c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51">
        <f t="shared" si="30"/>
        <v>0</v>
      </c>
      <c r="AB160" s="51">
        <f t="shared" si="29"/>
        <v>0</v>
      </c>
      <c r="AC160" s="100"/>
      <c r="AD160" s="31">
        <f t="shared" si="31"/>
        <v>0</v>
      </c>
      <c r="AE160" s="31">
        <f t="shared" si="32"/>
        <v>0</v>
      </c>
      <c r="AF160" s="17">
        <f t="shared" si="33"/>
        <v>0</v>
      </c>
      <c r="AG160" s="17">
        <f t="shared" si="34"/>
        <v>0</v>
      </c>
      <c r="BC160" s="20"/>
    </row>
    <row r="161" spans="1:55" s="19" customFormat="1" ht="18" customHeight="1" outlineLevel="1" x14ac:dyDescent="0.25">
      <c r="A161" s="48" t="s">
        <v>164</v>
      </c>
      <c r="B161" s="53"/>
      <c r="C161" s="64"/>
      <c r="D161" s="68"/>
      <c r="E161" s="68"/>
      <c r="F161" s="68">
        <v>0</v>
      </c>
      <c r="G161" s="68"/>
      <c r="H161" s="68">
        <v>0</v>
      </c>
      <c r="I161" s="68"/>
      <c r="J161" s="68">
        <v>0</v>
      </c>
      <c r="K161" s="68"/>
      <c r="L161" s="68">
        <v>0</v>
      </c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51">
        <f t="shared" si="30"/>
        <v>0</v>
      </c>
      <c r="AB161" s="51">
        <f t="shared" si="29"/>
        <v>0</v>
      </c>
      <c r="AC161" s="100"/>
      <c r="AD161" s="31">
        <f t="shared" si="31"/>
        <v>0</v>
      </c>
      <c r="AE161" s="31">
        <f t="shared" si="32"/>
        <v>0</v>
      </c>
      <c r="AF161" s="17">
        <f t="shared" si="33"/>
        <v>0</v>
      </c>
      <c r="AG161" s="17">
        <f t="shared" si="34"/>
        <v>0</v>
      </c>
      <c r="BC161" s="20"/>
    </row>
    <row r="162" spans="1:55" s="19" customFormat="1" ht="18" customHeight="1" outlineLevel="1" x14ac:dyDescent="0.25">
      <c r="A162" s="48" t="s">
        <v>165</v>
      </c>
      <c r="B162" s="53"/>
      <c r="C162" s="64"/>
      <c r="D162" s="68"/>
      <c r="E162" s="68"/>
      <c r="F162" s="68">
        <v>0</v>
      </c>
      <c r="G162" s="68"/>
      <c r="H162" s="68">
        <v>0</v>
      </c>
      <c r="I162" s="68"/>
      <c r="J162" s="68">
        <v>0</v>
      </c>
      <c r="K162" s="68"/>
      <c r="L162" s="68">
        <v>0</v>
      </c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51">
        <f t="shared" si="30"/>
        <v>0</v>
      </c>
      <c r="AB162" s="51">
        <f t="shared" si="29"/>
        <v>0</v>
      </c>
      <c r="AC162" s="100"/>
      <c r="AD162" s="31">
        <f t="shared" si="31"/>
        <v>0</v>
      </c>
      <c r="AE162" s="31">
        <f t="shared" si="32"/>
        <v>0</v>
      </c>
      <c r="AF162" s="17">
        <f t="shared" si="33"/>
        <v>0</v>
      </c>
      <c r="AG162" s="17">
        <f t="shared" si="34"/>
        <v>0</v>
      </c>
      <c r="BC162" s="20"/>
    </row>
    <row r="163" spans="1:55" s="19" customFormat="1" ht="18" customHeight="1" outlineLevel="1" x14ac:dyDescent="0.25">
      <c r="A163" s="48" t="s">
        <v>166</v>
      </c>
      <c r="B163" s="53"/>
      <c r="C163" s="64"/>
      <c r="D163" s="68"/>
      <c r="E163" s="68"/>
      <c r="F163" s="68">
        <v>0</v>
      </c>
      <c r="G163" s="68"/>
      <c r="H163" s="68">
        <v>0</v>
      </c>
      <c r="I163" s="68"/>
      <c r="J163" s="68">
        <v>0</v>
      </c>
      <c r="K163" s="68"/>
      <c r="L163" s="68">
        <v>0</v>
      </c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51">
        <f t="shared" si="30"/>
        <v>0</v>
      </c>
      <c r="AB163" s="51">
        <f t="shared" si="29"/>
        <v>0</v>
      </c>
      <c r="AC163" s="100"/>
      <c r="AD163" s="31">
        <f t="shared" si="31"/>
        <v>0</v>
      </c>
      <c r="AE163" s="31">
        <f t="shared" si="32"/>
        <v>0</v>
      </c>
      <c r="AF163" s="17">
        <f t="shared" si="33"/>
        <v>0</v>
      </c>
      <c r="AG163" s="17">
        <f t="shared" si="34"/>
        <v>0</v>
      </c>
      <c r="BC163" s="20"/>
    </row>
    <row r="164" spans="1:55" s="19" customFormat="1" ht="18" customHeight="1" outlineLevel="1" x14ac:dyDescent="0.25">
      <c r="A164" s="48" t="s">
        <v>167</v>
      </c>
      <c r="B164" s="53"/>
      <c r="C164" s="64"/>
      <c r="D164" s="68"/>
      <c r="E164" s="68"/>
      <c r="F164" s="68">
        <v>0</v>
      </c>
      <c r="G164" s="68"/>
      <c r="H164" s="68">
        <v>0</v>
      </c>
      <c r="I164" s="68"/>
      <c r="J164" s="68">
        <v>0</v>
      </c>
      <c r="K164" s="68"/>
      <c r="L164" s="68">
        <v>0</v>
      </c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51">
        <f t="shared" si="30"/>
        <v>0</v>
      </c>
      <c r="AB164" s="51">
        <f t="shared" si="29"/>
        <v>0</v>
      </c>
      <c r="AC164" s="100"/>
      <c r="AD164" s="31">
        <f t="shared" si="31"/>
        <v>0</v>
      </c>
      <c r="AE164" s="31">
        <f t="shared" si="32"/>
        <v>0</v>
      </c>
      <c r="AF164" s="17">
        <f t="shared" si="33"/>
        <v>0</v>
      </c>
      <c r="AG164" s="17">
        <f t="shared" si="34"/>
        <v>0</v>
      </c>
      <c r="BC164" s="20"/>
    </row>
    <row r="165" spans="1:55" s="19" customFormat="1" ht="18" customHeight="1" outlineLevel="1" x14ac:dyDescent="0.25">
      <c r="A165" s="48" t="s">
        <v>168</v>
      </c>
      <c r="B165" s="53"/>
      <c r="C165" s="64"/>
      <c r="D165" s="68"/>
      <c r="E165" s="68"/>
      <c r="F165" s="68">
        <v>0</v>
      </c>
      <c r="G165" s="68"/>
      <c r="H165" s="68">
        <v>0</v>
      </c>
      <c r="I165" s="68"/>
      <c r="J165" s="68">
        <v>0</v>
      </c>
      <c r="K165" s="68"/>
      <c r="L165" s="68">
        <v>0</v>
      </c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51">
        <f t="shared" si="30"/>
        <v>0</v>
      </c>
      <c r="AB165" s="51">
        <f t="shared" si="29"/>
        <v>0</v>
      </c>
      <c r="AC165" s="100"/>
      <c r="AD165" s="31">
        <f t="shared" si="31"/>
        <v>0</v>
      </c>
      <c r="AE165" s="31">
        <f t="shared" si="32"/>
        <v>0</v>
      </c>
      <c r="AF165" s="17">
        <f t="shared" si="33"/>
        <v>0</v>
      </c>
      <c r="AG165" s="17">
        <f t="shared" si="34"/>
        <v>0</v>
      </c>
      <c r="BC165" s="20"/>
    </row>
    <row r="166" spans="1:55" s="19" customFormat="1" ht="18" customHeight="1" outlineLevel="1" x14ac:dyDescent="0.25">
      <c r="A166" s="48" t="s">
        <v>169</v>
      </c>
      <c r="B166" s="53"/>
      <c r="C166" s="64"/>
      <c r="D166" s="68"/>
      <c r="E166" s="68"/>
      <c r="F166" s="68">
        <v>0</v>
      </c>
      <c r="G166" s="68"/>
      <c r="H166" s="68">
        <v>0</v>
      </c>
      <c r="I166" s="68"/>
      <c r="J166" s="68">
        <v>0</v>
      </c>
      <c r="K166" s="68"/>
      <c r="L166" s="68">
        <v>0</v>
      </c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51">
        <f t="shared" si="30"/>
        <v>0</v>
      </c>
      <c r="AB166" s="51">
        <f t="shared" si="29"/>
        <v>0</v>
      </c>
      <c r="AC166" s="100"/>
      <c r="AD166" s="31">
        <f t="shared" si="31"/>
        <v>0</v>
      </c>
      <c r="AE166" s="31">
        <f t="shared" si="32"/>
        <v>0</v>
      </c>
      <c r="AF166" s="17">
        <f t="shared" si="33"/>
        <v>0</v>
      </c>
      <c r="AG166" s="17">
        <f t="shared" si="34"/>
        <v>0</v>
      </c>
      <c r="BC166" s="20"/>
    </row>
    <row r="167" spans="1:55" s="19" customFormat="1" ht="18" customHeight="1" outlineLevel="1" x14ac:dyDescent="0.25">
      <c r="A167" s="48" t="s">
        <v>170</v>
      </c>
      <c r="B167" s="53"/>
      <c r="C167" s="64"/>
      <c r="D167" s="68"/>
      <c r="E167" s="68"/>
      <c r="F167" s="68">
        <v>0</v>
      </c>
      <c r="G167" s="68"/>
      <c r="H167" s="68">
        <v>0</v>
      </c>
      <c r="I167" s="68"/>
      <c r="J167" s="68">
        <v>0</v>
      </c>
      <c r="K167" s="68"/>
      <c r="L167" s="68">
        <v>0</v>
      </c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51">
        <f t="shared" si="30"/>
        <v>0</v>
      </c>
      <c r="AB167" s="51">
        <f t="shared" ref="AB167:AB175" si="35">D167+F167+H167+J167+L167+N167+P167+R167+T167+V167+X167+Z167</f>
        <v>0</v>
      </c>
      <c r="AC167" s="100"/>
      <c r="AD167" s="31">
        <f t="shared" si="31"/>
        <v>0</v>
      </c>
      <c r="AE167" s="31">
        <f t="shared" si="32"/>
        <v>0</v>
      </c>
      <c r="AF167" s="17">
        <f t="shared" si="33"/>
        <v>0</v>
      </c>
      <c r="AG167" s="17">
        <f t="shared" si="34"/>
        <v>0</v>
      </c>
      <c r="BC167" s="20"/>
    </row>
    <row r="168" spans="1:55" s="19" customFormat="1" ht="18" customHeight="1" outlineLevel="1" x14ac:dyDescent="0.25">
      <c r="A168" s="48" t="s">
        <v>171</v>
      </c>
      <c r="B168" s="53"/>
      <c r="C168" s="64"/>
      <c r="D168" s="68"/>
      <c r="E168" s="68"/>
      <c r="F168" s="68">
        <v>0</v>
      </c>
      <c r="G168" s="68"/>
      <c r="H168" s="68">
        <v>0</v>
      </c>
      <c r="I168" s="68"/>
      <c r="J168" s="68">
        <v>0</v>
      </c>
      <c r="K168" s="68"/>
      <c r="L168" s="68">
        <v>0</v>
      </c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51">
        <f t="shared" si="30"/>
        <v>0</v>
      </c>
      <c r="AB168" s="51">
        <f t="shared" si="35"/>
        <v>0</v>
      </c>
      <c r="AC168" s="100"/>
      <c r="AD168" s="31">
        <f t="shared" si="31"/>
        <v>0</v>
      </c>
      <c r="AE168" s="31">
        <f t="shared" si="32"/>
        <v>0</v>
      </c>
      <c r="AF168" s="17">
        <f t="shared" si="33"/>
        <v>0</v>
      </c>
      <c r="AG168" s="17">
        <f t="shared" si="34"/>
        <v>0</v>
      </c>
      <c r="BC168" s="20"/>
    </row>
    <row r="169" spans="1:55" s="19" customFormat="1" ht="18" customHeight="1" outlineLevel="1" x14ac:dyDescent="0.25">
      <c r="A169" s="48" t="s">
        <v>172</v>
      </c>
      <c r="B169" s="53"/>
      <c r="C169" s="64"/>
      <c r="D169" s="68"/>
      <c r="E169" s="68"/>
      <c r="F169" s="68">
        <v>0</v>
      </c>
      <c r="G169" s="68"/>
      <c r="H169" s="68">
        <v>0</v>
      </c>
      <c r="I169" s="68"/>
      <c r="J169" s="68">
        <v>0</v>
      </c>
      <c r="K169" s="68"/>
      <c r="L169" s="68">
        <v>0</v>
      </c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51">
        <f t="shared" si="30"/>
        <v>0</v>
      </c>
      <c r="AB169" s="51">
        <f t="shared" si="35"/>
        <v>0</v>
      </c>
      <c r="AC169" s="100"/>
      <c r="AD169" s="31">
        <f t="shared" si="31"/>
        <v>0</v>
      </c>
      <c r="AE169" s="31">
        <f t="shared" si="32"/>
        <v>0</v>
      </c>
      <c r="AF169" s="17">
        <f t="shared" si="33"/>
        <v>0</v>
      </c>
      <c r="AG169" s="17">
        <f t="shared" si="34"/>
        <v>0</v>
      </c>
      <c r="BC169" s="20"/>
    </row>
    <row r="170" spans="1:55" s="19" customFormat="1" ht="18" customHeight="1" outlineLevel="1" x14ac:dyDescent="0.25">
      <c r="A170" s="48" t="s">
        <v>173</v>
      </c>
      <c r="B170" s="53"/>
      <c r="C170" s="64"/>
      <c r="D170" s="68"/>
      <c r="E170" s="68"/>
      <c r="F170" s="68">
        <v>0</v>
      </c>
      <c r="G170" s="68"/>
      <c r="H170" s="68">
        <v>0</v>
      </c>
      <c r="I170" s="68"/>
      <c r="J170" s="68">
        <v>0</v>
      </c>
      <c r="K170" s="68"/>
      <c r="L170" s="68">
        <v>0</v>
      </c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51">
        <f t="shared" si="30"/>
        <v>0</v>
      </c>
      <c r="AB170" s="51">
        <f t="shared" si="35"/>
        <v>0</v>
      </c>
      <c r="AC170" s="100"/>
      <c r="AD170" s="31">
        <f t="shared" si="31"/>
        <v>0</v>
      </c>
      <c r="AE170" s="31">
        <f t="shared" si="32"/>
        <v>0</v>
      </c>
      <c r="AF170" s="17">
        <f t="shared" si="33"/>
        <v>0</v>
      </c>
      <c r="AG170" s="17">
        <f t="shared" si="34"/>
        <v>0</v>
      </c>
      <c r="BC170" s="20"/>
    </row>
    <row r="171" spans="1:55" s="19" customFormat="1" ht="18" customHeight="1" outlineLevel="1" x14ac:dyDescent="0.25">
      <c r="A171" s="48" t="s">
        <v>174</v>
      </c>
      <c r="B171" s="53"/>
      <c r="C171" s="64"/>
      <c r="D171" s="68"/>
      <c r="E171" s="68"/>
      <c r="F171" s="68">
        <v>0</v>
      </c>
      <c r="G171" s="68"/>
      <c r="H171" s="68">
        <v>0</v>
      </c>
      <c r="I171" s="68"/>
      <c r="J171" s="68">
        <v>0</v>
      </c>
      <c r="K171" s="68"/>
      <c r="L171" s="68">
        <v>0</v>
      </c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51">
        <f t="shared" si="30"/>
        <v>0</v>
      </c>
      <c r="AB171" s="51">
        <f t="shared" si="35"/>
        <v>0</v>
      </c>
      <c r="AC171" s="100"/>
      <c r="AD171" s="31">
        <f t="shared" si="31"/>
        <v>0</v>
      </c>
      <c r="AE171" s="31">
        <f t="shared" si="32"/>
        <v>0</v>
      </c>
      <c r="AF171" s="17">
        <f t="shared" si="33"/>
        <v>0</v>
      </c>
      <c r="AG171" s="17">
        <f t="shared" si="34"/>
        <v>0</v>
      </c>
      <c r="BC171" s="20"/>
    </row>
    <row r="172" spans="1:55" s="19" customFormat="1" ht="18" customHeight="1" outlineLevel="1" x14ac:dyDescent="0.25">
      <c r="A172" s="48" t="s">
        <v>175</v>
      </c>
      <c r="B172" s="53"/>
      <c r="C172" s="64"/>
      <c r="D172" s="68"/>
      <c r="E172" s="68"/>
      <c r="F172" s="68">
        <v>0</v>
      </c>
      <c r="G172" s="68"/>
      <c r="H172" s="68">
        <v>0</v>
      </c>
      <c r="I172" s="68"/>
      <c r="J172" s="68">
        <v>0</v>
      </c>
      <c r="K172" s="68"/>
      <c r="L172" s="68">
        <v>0</v>
      </c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51">
        <f t="shared" si="30"/>
        <v>0</v>
      </c>
      <c r="AB172" s="51">
        <f t="shared" si="35"/>
        <v>0</v>
      </c>
      <c r="AC172" s="100"/>
      <c r="AD172" s="31">
        <f t="shared" si="31"/>
        <v>0</v>
      </c>
      <c r="AE172" s="31">
        <f t="shared" si="32"/>
        <v>0</v>
      </c>
      <c r="AF172" s="17">
        <f t="shared" si="33"/>
        <v>0</v>
      </c>
      <c r="AG172" s="17">
        <f t="shared" si="34"/>
        <v>0</v>
      </c>
      <c r="BC172" s="20"/>
    </row>
    <row r="173" spans="1:55" s="19" customFormat="1" ht="18" customHeight="1" outlineLevel="1" x14ac:dyDescent="0.25">
      <c r="A173" s="48" t="s">
        <v>176</v>
      </c>
      <c r="B173" s="53"/>
      <c r="C173" s="64"/>
      <c r="D173" s="68"/>
      <c r="E173" s="68"/>
      <c r="F173" s="68">
        <v>0</v>
      </c>
      <c r="G173" s="68"/>
      <c r="H173" s="68">
        <v>0</v>
      </c>
      <c r="I173" s="68"/>
      <c r="J173" s="68">
        <v>0</v>
      </c>
      <c r="K173" s="68"/>
      <c r="L173" s="68">
        <v>0</v>
      </c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51">
        <f t="shared" si="30"/>
        <v>0</v>
      </c>
      <c r="AB173" s="51">
        <f t="shared" si="35"/>
        <v>0</v>
      </c>
      <c r="AC173" s="100"/>
      <c r="AD173" s="31">
        <f t="shared" si="31"/>
        <v>0</v>
      </c>
      <c r="AE173" s="31">
        <f t="shared" si="32"/>
        <v>0</v>
      </c>
      <c r="AF173" s="17">
        <f t="shared" si="33"/>
        <v>0</v>
      </c>
      <c r="AG173" s="17">
        <f t="shared" si="34"/>
        <v>0</v>
      </c>
      <c r="BC173" s="20"/>
    </row>
    <row r="174" spans="1:55" s="19" customFormat="1" ht="18" customHeight="1" outlineLevel="1" x14ac:dyDescent="0.25">
      <c r="A174" s="48" t="s">
        <v>177</v>
      </c>
      <c r="B174" s="53"/>
      <c r="C174" s="64"/>
      <c r="D174" s="68"/>
      <c r="E174" s="68"/>
      <c r="F174" s="68">
        <v>0</v>
      </c>
      <c r="G174" s="68"/>
      <c r="H174" s="68">
        <v>0</v>
      </c>
      <c r="I174" s="68"/>
      <c r="J174" s="68">
        <v>0</v>
      </c>
      <c r="K174" s="68"/>
      <c r="L174" s="68">
        <v>0</v>
      </c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51">
        <f t="shared" si="30"/>
        <v>0</v>
      </c>
      <c r="AB174" s="51">
        <f t="shared" si="35"/>
        <v>0</v>
      </c>
      <c r="AC174" s="100"/>
      <c r="AD174" s="31">
        <f t="shared" si="31"/>
        <v>0</v>
      </c>
      <c r="AE174" s="31">
        <f t="shared" si="32"/>
        <v>0</v>
      </c>
      <c r="AF174" s="17">
        <f t="shared" si="33"/>
        <v>0</v>
      </c>
      <c r="AG174" s="17">
        <f t="shared" si="34"/>
        <v>0</v>
      </c>
      <c r="BC174" s="20"/>
    </row>
    <row r="175" spans="1:55" s="19" customFormat="1" ht="18" customHeight="1" outlineLevel="1" x14ac:dyDescent="0.25">
      <c r="A175" s="48" t="s">
        <v>178</v>
      </c>
      <c r="B175" s="53"/>
      <c r="C175" s="64"/>
      <c r="D175" s="68"/>
      <c r="E175" s="68"/>
      <c r="F175" s="68">
        <v>0</v>
      </c>
      <c r="G175" s="68"/>
      <c r="H175" s="68">
        <v>0</v>
      </c>
      <c r="I175" s="68"/>
      <c r="J175" s="68">
        <v>0</v>
      </c>
      <c r="K175" s="68"/>
      <c r="L175" s="68">
        <v>0</v>
      </c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51">
        <f t="shared" si="30"/>
        <v>0</v>
      </c>
      <c r="AB175" s="51">
        <f t="shared" si="35"/>
        <v>0</v>
      </c>
      <c r="AC175" s="100"/>
      <c r="AD175" s="31">
        <f t="shared" si="31"/>
        <v>0</v>
      </c>
      <c r="AE175" s="31">
        <f t="shared" si="32"/>
        <v>0</v>
      </c>
      <c r="AF175" s="17">
        <f t="shared" si="33"/>
        <v>0</v>
      </c>
      <c r="AG175" s="17">
        <f t="shared" si="34"/>
        <v>0</v>
      </c>
      <c r="BC175" s="20"/>
    </row>
    <row r="176" spans="1:55" s="21" customFormat="1" ht="18" customHeight="1" x14ac:dyDescent="0.25">
      <c r="A176" s="52" t="s">
        <v>181</v>
      </c>
      <c r="B176" s="45">
        <v>8</v>
      </c>
      <c r="C176" s="33"/>
      <c r="D176" s="65"/>
      <c r="E176" s="65"/>
      <c r="F176" s="65">
        <f>SUM(F177:F249)-F177-F180-F189-F200-F212</f>
        <v>0</v>
      </c>
      <c r="G176" s="65"/>
      <c r="H176" s="65">
        <f>SUM(H177:H249)-H177-H180-H189-H200-H212</f>
        <v>0</v>
      </c>
      <c r="I176" s="65"/>
      <c r="J176" s="65">
        <f>SUM(J177:J249)-J177-J180-J189-J200-J212</f>
        <v>0</v>
      </c>
      <c r="K176" s="65"/>
      <c r="L176" s="65">
        <f>SUM(L177:L249)-L177-L180-L189-L200-L212</f>
        <v>0</v>
      </c>
      <c r="M176" s="65"/>
      <c r="N176" s="65">
        <f>SUM(N177:N249)-N177-N180-N189-N200-N212</f>
        <v>0</v>
      </c>
      <c r="O176" s="65"/>
      <c r="P176" s="65">
        <f>SUM(P177:P249)-P177-P180-P189-P200-P212</f>
        <v>0</v>
      </c>
      <c r="Q176" s="65"/>
      <c r="R176" s="65">
        <f>SUM(R177:R249)-R177-R180-R189-R200-R212</f>
        <v>0</v>
      </c>
      <c r="S176" s="65"/>
      <c r="T176" s="65">
        <f>SUM(T177:T249)-T177-T180-T189-T200-T212</f>
        <v>0</v>
      </c>
      <c r="U176" s="65"/>
      <c r="V176" s="65">
        <f>SUM(V177:V249)-V177-V180-V189-V200-V212</f>
        <v>0</v>
      </c>
      <c r="W176" s="65"/>
      <c r="X176" s="65">
        <f>SUM(X177:X249)-X177-X180-X189-X200-X212</f>
        <v>0</v>
      </c>
      <c r="Y176" s="65"/>
      <c r="Z176" s="65">
        <f>SUM(Z177:Z249)-Z177-Z180-Z189-Z200-Z212</f>
        <v>0</v>
      </c>
      <c r="AA176" s="51">
        <f t="shared" si="30"/>
        <v>0</v>
      </c>
      <c r="AB176" s="105">
        <f>SUM(D176:Z176)</f>
        <v>0</v>
      </c>
      <c r="AC176" s="103"/>
      <c r="AD176" s="31">
        <f t="shared" si="31"/>
        <v>0</v>
      </c>
      <c r="AE176" s="31">
        <f t="shared" si="32"/>
        <v>0</v>
      </c>
      <c r="AF176" s="17">
        <f t="shared" si="33"/>
        <v>0</v>
      </c>
      <c r="AG176" s="17">
        <f t="shared" si="34"/>
        <v>0</v>
      </c>
      <c r="BC176" s="66"/>
    </row>
    <row r="177" spans="1:119" s="17" customFormat="1" ht="21" customHeight="1" outlineLevel="1" x14ac:dyDescent="0.25">
      <c r="A177" s="67" t="s">
        <v>107</v>
      </c>
      <c r="B177" s="45"/>
      <c r="C177" s="33"/>
      <c r="D177" s="65"/>
      <c r="E177" s="65"/>
      <c r="F177" s="65">
        <f>SUM(F178:F179)</f>
        <v>0</v>
      </c>
      <c r="G177" s="65"/>
      <c r="H177" s="65">
        <f>SUM(H178:H179)</f>
        <v>0</v>
      </c>
      <c r="I177" s="65"/>
      <c r="J177" s="65">
        <f>SUM(J178:J179)</f>
        <v>0</v>
      </c>
      <c r="K177" s="65"/>
      <c r="L177" s="65">
        <f>SUM(L178:L179)</f>
        <v>0</v>
      </c>
      <c r="M177" s="65"/>
      <c r="N177" s="65">
        <f>SUM(N178:N179)</f>
        <v>0</v>
      </c>
      <c r="O177" s="65"/>
      <c r="P177" s="65">
        <f>SUM(P178:P179)</f>
        <v>0</v>
      </c>
      <c r="Q177" s="65"/>
      <c r="R177" s="65">
        <f>SUM(R178:R179)</f>
        <v>0</v>
      </c>
      <c r="S177" s="65"/>
      <c r="T177" s="65">
        <f>SUM(T178:T179)</f>
        <v>0</v>
      </c>
      <c r="U177" s="65"/>
      <c r="V177" s="65">
        <f>SUM(V178:V179)</f>
        <v>0</v>
      </c>
      <c r="W177" s="65"/>
      <c r="X177" s="65">
        <f>SUM(X178:X179)</f>
        <v>0</v>
      </c>
      <c r="Y177" s="65"/>
      <c r="Z177" s="65">
        <f>SUM(Z178:Z179)</f>
        <v>0</v>
      </c>
      <c r="AA177" s="51">
        <f t="shared" si="30"/>
        <v>0</v>
      </c>
      <c r="AB177" s="51">
        <f t="shared" ref="AB177:AB240" si="36">D177+F177+H177+J177+L177+N177+P177+R177+T177+V177+X177+Z177</f>
        <v>0</v>
      </c>
      <c r="AC177" s="21"/>
      <c r="AD177" s="31">
        <f t="shared" si="31"/>
        <v>0</v>
      </c>
      <c r="AE177" s="31">
        <f t="shared" si="32"/>
        <v>0</v>
      </c>
      <c r="AF177" s="17">
        <f t="shared" si="33"/>
        <v>0</v>
      </c>
      <c r="AG177" s="17">
        <f t="shared" si="34"/>
        <v>0</v>
      </c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</row>
    <row r="178" spans="1:119" s="19" customFormat="1" ht="21" customHeight="1" outlineLevel="2" x14ac:dyDescent="0.25">
      <c r="A178" s="48" t="s">
        <v>108</v>
      </c>
      <c r="B178" s="53"/>
      <c r="C178" s="64"/>
      <c r="D178" s="68"/>
      <c r="E178" s="68"/>
      <c r="F178" s="68">
        <v>0</v>
      </c>
      <c r="G178" s="68"/>
      <c r="H178" s="68">
        <v>0</v>
      </c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51">
        <f t="shared" si="30"/>
        <v>0</v>
      </c>
      <c r="AB178" s="51">
        <f t="shared" si="36"/>
        <v>0</v>
      </c>
      <c r="AD178" s="31">
        <f t="shared" si="31"/>
        <v>0</v>
      </c>
      <c r="AE178" s="31">
        <f t="shared" si="32"/>
        <v>0</v>
      </c>
      <c r="AF178" s="17">
        <f t="shared" si="33"/>
        <v>0</v>
      </c>
      <c r="AG178" s="17">
        <f t="shared" si="34"/>
        <v>0</v>
      </c>
    </row>
    <row r="179" spans="1:119" s="19" customFormat="1" ht="21" customHeight="1" outlineLevel="2" x14ac:dyDescent="0.25">
      <c r="A179" s="48" t="s">
        <v>109</v>
      </c>
      <c r="B179" s="53"/>
      <c r="C179" s="64"/>
      <c r="D179" s="68"/>
      <c r="E179" s="68"/>
      <c r="F179" s="68">
        <v>0</v>
      </c>
      <c r="G179" s="68"/>
      <c r="H179" s="68">
        <v>0</v>
      </c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51">
        <f t="shared" si="30"/>
        <v>0</v>
      </c>
      <c r="AB179" s="51">
        <f t="shared" si="36"/>
        <v>0</v>
      </c>
      <c r="AD179" s="31">
        <f t="shared" si="31"/>
        <v>0</v>
      </c>
      <c r="AE179" s="31">
        <f t="shared" si="32"/>
        <v>0</v>
      </c>
      <c r="AF179" s="17">
        <f t="shared" si="33"/>
        <v>0</v>
      </c>
      <c r="AG179" s="17">
        <f t="shared" si="34"/>
        <v>0</v>
      </c>
    </row>
    <row r="180" spans="1:119" s="17" customFormat="1" ht="21" customHeight="1" outlineLevel="1" x14ac:dyDescent="0.25">
      <c r="A180" s="67" t="s">
        <v>110</v>
      </c>
      <c r="B180" s="45"/>
      <c r="C180" s="33"/>
      <c r="D180" s="65"/>
      <c r="E180" s="65"/>
      <c r="F180" s="65">
        <f>SUM(F181:F185)</f>
        <v>0</v>
      </c>
      <c r="G180" s="65"/>
      <c r="H180" s="65">
        <f>SUM(H181:H185)</f>
        <v>0</v>
      </c>
      <c r="I180" s="65"/>
      <c r="J180" s="65">
        <f>SUM(J181:J185)</f>
        <v>0</v>
      </c>
      <c r="K180" s="65"/>
      <c r="L180" s="65">
        <f>SUM(L181:L185)</f>
        <v>0</v>
      </c>
      <c r="M180" s="65"/>
      <c r="N180" s="65">
        <f>SUM(N181:N185)</f>
        <v>0</v>
      </c>
      <c r="O180" s="65"/>
      <c r="P180" s="65">
        <f>SUM(P181:P185)</f>
        <v>0</v>
      </c>
      <c r="Q180" s="65"/>
      <c r="R180" s="65">
        <f>SUM(R181:R185)</f>
        <v>0</v>
      </c>
      <c r="S180" s="65"/>
      <c r="T180" s="65">
        <f>SUM(T181:T185)</f>
        <v>0</v>
      </c>
      <c r="U180" s="65"/>
      <c r="V180" s="65">
        <f>SUM(V181:V185)</f>
        <v>0</v>
      </c>
      <c r="W180" s="65"/>
      <c r="X180" s="65">
        <f>SUM(X181:X185)</f>
        <v>0</v>
      </c>
      <c r="Y180" s="65"/>
      <c r="Z180" s="65">
        <f>SUM(Z181:Z185)</f>
        <v>0</v>
      </c>
      <c r="AA180" s="51">
        <f t="shared" si="30"/>
        <v>0</v>
      </c>
      <c r="AB180" s="51">
        <f t="shared" si="36"/>
        <v>0</v>
      </c>
      <c r="AC180" s="21"/>
      <c r="AD180" s="31">
        <f t="shared" si="31"/>
        <v>0</v>
      </c>
      <c r="AE180" s="31">
        <f t="shared" si="32"/>
        <v>0</v>
      </c>
      <c r="AF180" s="17">
        <f t="shared" si="33"/>
        <v>0</v>
      </c>
      <c r="AG180" s="17">
        <f t="shared" si="34"/>
        <v>0</v>
      </c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</row>
    <row r="181" spans="1:119" s="19" customFormat="1" ht="21" customHeight="1" outlineLevel="2" x14ac:dyDescent="0.25">
      <c r="A181" s="48" t="s">
        <v>111</v>
      </c>
      <c r="B181" s="53"/>
      <c r="C181" s="64"/>
      <c r="D181" s="68"/>
      <c r="E181" s="68"/>
      <c r="F181" s="68">
        <v>0</v>
      </c>
      <c r="G181" s="68"/>
      <c r="H181" s="68">
        <v>0</v>
      </c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51">
        <f t="shared" si="30"/>
        <v>0</v>
      </c>
      <c r="AB181" s="51">
        <f t="shared" si="36"/>
        <v>0</v>
      </c>
      <c r="AD181" s="31">
        <f t="shared" si="31"/>
        <v>0</v>
      </c>
      <c r="AE181" s="31">
        <f t="shared" si="32"/>
        <v>0</v>
      </c>
      <c r="AF181" s="17">
        <f t="shared" si="33"/>
        <v>0</v>
      </c>
      <c r="AG181" s="17">
        <f t="shared" si="34"/>
        <v>0</v>
      </c>
    </row>
    <row r="182" spans="1:119" s="19" customFormat="1" ht="21" customHeight="1" outlineLevel="2" x14ac:dyDescent="0.25">
      <c r="A182" s="48" t="s">
        <v>112</v>
      </c>
      <c r="B182" s="53"/>
      <c r="C182" s="64"/>
      <c r="D182" s="68"/>
      <c r="E182" s="68"/>
      <c r="F182" s="68">
        <v>0</v>
      </c>
      <c r="G182" s="68"/>
      <c r="H182" s="68">
        <v>0</v>
      </c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51">
        <f t="shared" si="30"/>
        <v>0</v>
      </c>
      <c r="AB182" s="51">
        <f t="shared" si="36"/>
        <v>0</v>
      </c>
      <c r="AD182" s="31">
        <f t="shared" si="31"/>
        <v>0</v>
      </c>
      <c r="AE182" s="31">
        <f t="shared" si="32"/>
        <v>0</v>
      </c>
      <c r="AF182" s="17">
        <f t="shared" si="33"/>
        <v>0</v>
      </c>
      <c r="AG182" s="17">
        <f t="shared" si="34"/>
        <v>0</v>
      </c>
    </row>
    <row r="183" spans="1:119" s="19" customFormat="1" ht="21" customHeight="1" outlineLevel="2" x14ac:dyDescent="0.25">
      <c r="A183" s="48" t="s">
        <v>113</v>
      </c>
      <c r="B183" s="53"/>
      <c r="C183" s="64"/>
      <c r="D183" s="68"/>
      <c r="E183" s="68"/>
      <c r="F183" s="68">
        <v>0</v>
      </c>
      <c r="G183" s="68"/>
      <c r="H183" s="68">
        <v>0</v>
      </c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51">
        <f t="shared" si="30"/>
        <v>0</v>
      </c>
      <c r="AB183" s="51">
        <f t="shared" si="36"/>
        <v>0</v>
      </c>
      <c r="AD183" s="31">
        <f t="shared" si="31"/>
        <v>0</v>
      </c>
      <c r="AE183" s="31">
        <f t="shared" si="32"/>
        <v>0</v>
      </c>
      <c r="AF183" s="17">
        <f t="shared" si="33"/>
        <v>0</v>
      </c>
      <c r="AG183" s="17">
        <f t="shared" si="34"/>
        <v>0</v>
      </c>
    </row>
    <row r="184" spans="1:119" s="19" customFormat="1" ht="21" customHeight="1" outlineLevel="2" x14ac:dyDescent="0.25">
      <c r="A184" s="48" t="s">
        <v>114</v>
      </c>
      <c r="B184" s="53"/>
      <c r="C184" s="64"/>
      <c r="D184" s="68"/>
      <c r="E184" s="68"/>
      <c r="F184" s="68">
        <v>0</v>
      </c>
      <c r="G184" s="68"/>
      <c r="H184" s="68">
        <v>0</v>
      </c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51">
        <f t="shared" si="30"/>
        <v>0</v>
      </c>
      <c r="AB184" s="51">
        <f t="shared" si="36"/>
        <v>0</v>
      </c>
      <c r="AD184" s="31">
        <f t="shared" si="31"/>
        <v>0</v>
      </c>
      <c r="AE184" s="31">
        <f t="shared" si="32"/>
        <v>0</v>
      </c>
      <c r="AF184" s="17">
        <f t="shared" si="33"/>
        <v>0</v>
      </c>
      <c r="AG184" s="17">
        <f t="shared" si="34"/>
        <v>0</v>
      </c>
    </row>
    <row r="185" spans="1:119" s="19" customFormat="1" ht="21" customHeight="1" outlineLevel="2" x14ac:dyDescent="0.25">
      <c r="A185" s="48" t="s">
        <v>115</v>
      </c>
      <c r="B185" s="53"/>
      <c r="C185" s="64"/>
      <c r="D185" s="68"/>
      <c r="E185" s="68"/>
      <c r="F185" s="68">
        <v>0</v>
      </c>
      <c r="G185" s="68"/>
      <c r="H185" s="68">
        <v>0</v>
      </c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51">
        <f t="shared" si="30"/>
        <v>0</v>
      </c>
      <c r="AB185" s="51">
        <f t="shared" si="36"/>
        <v>0</v>
      </c>
      <c r="AD185" s="31">
        <f t="shared" si="31"/>
        <v>0</v>
      </c>
      <c r="AE185" s="31">
        <f t="shared" si="32"/>
        <v>0</v>
      </c>
      <c r="AF185" s="17">
        <f t="shared" si="33"/>
        <v>0</v>
      </c>
      <c r="AG185" s="17">
        <f t="shared" si="34"/>
        <v>0</v>
      </c>
    </row>
    <row r="186" spans="1:119" s="19" customFormat="1" ht="21" customHeight="1" outlineLevel="1" x14ac:dyDescent="0.25">
      <c r="A186" s="48" t="s">
        <v>116</v>
      </c>
      <c r="B186" s="53"/>
      <c r="C186" s="64"/>
      <c r="D186" s="68"/>
      <c r="E186" s="68"/>
      <c r="F186" s="68">
        <v>0</v>
      </c>
      <c r="G186" s="68"/>
      <c r="H186" s="68">
        <v>0</v>
      </c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51">
        <f t="shared" si="30"/>
        <v>0</v>
      </c>
      <c r="AB186" s="51">
        <f t="shared" si="36"/>
        <v>0</v>
      </c>
      <c r="AD186" s="31">
        <f t="shared" si="31"/>
        <v>0</v>
      </c>
      <c r="AE186" s="31">
        <f t="shared" si="32"/>
        <v>0</v>
      </c>
      <c r="AF186" s="17">
        <f t="shared" si="33"/>
        <v>0</v>
      </c>
      <c r="AG186" s="17">
        <f t="shared" si="34"/>
        <v>0</v>
      </c>
    </row>
    <row r="187" spans="1:119" s="19" customFormat="1" ht="21" customHeight="1" outlineLevel="1" x14ac:dyDescent="0.25">
      <c r="A187" s="48" t="s">
        <v>117</v>
      </c>
      <c r="B187" s="53"/>
      <c r="C187" s="64"/>
      <c r="D187" s="68"/>
      <c r="E187" s="68"/>
      <c r="F187" s="68">
        <v>0</v>
      </c>
      <c r="G187" s="68"/>
      <c r="H187" s="68">
        <v>0</v>
      </c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51">
        <f t="shared" si="30"/>
        <v>0</v>
      </c>
      <c r="AB187" s="51">
        <f t="shared" si="36"/>
        <v>0</v>
      </c>
      <c r="AD187" s="31">
        <f t="shared" si="31"/>
        <v>0</v>
      </c>
      <c r="AE187" s="31">
        <f t="shared" si="32"/>
        <v>0</v>
      </c>
      <c r="AF187" s="17">
        <f t="shared" si="33"/>
        <v>0</v>
      </c>
      <c r="AG187" s="17">
        <f t="shared" si="34"/>
        <v>0</v>
      </c>
    </row>
    <row r="188" spans="1:119" s="19" customFormat="1" ht="21" customHeight="1" outlineLevel="1" x14ac:dyDescent="0.25">
      <c r="A188" s="48" t="s">
        <v>118</v>
      </c>
      <c r="B188" s="53"/>
      <c r="C188" s="64"/>
      <c r="D188" s="68"/>
      <c r="E188" s="68"/>
      <c r="F188" s="68">
        <v>0</v>
      </c>
      <c r="G188" s="68"/>
      <c r="H188" s="68">
        <v>0</v>
      </c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51">
        <f t="shared" si="30"/>
        <v>0</v>
      </c>
      <c r="AB188" s="51">
        <f t="shared" si="36"/>
        <v>0</v>
      </c>
      <c r="AD188" s="31">
        <f t="shared" si="31"/>
        <v>0</v>
      </c>
      <c r="AE188" s="31">
        <f t="shared" si="32"/>
        <v>0</v>
      </c>
      <c r="AF188" s="17">
        <f t="shared" si="33"/>
        <v>0</v>
      </c>
      <c r="AG188" s="17">
        <f t="shared" si="34"/>
        <v>0</v>
      </c>
    </row>
    <row r="189" spans="1:119" s="17" customFormat="1" ht="21" customHeight="1" outlineLevel="1" x14ac:dyDescent="0.25">
      <c r="A189" s="67" t="s">
        <v>119</v>
      </c>
      <c r="B189" s="45"/>
      <c r="C189" s="33"/>
      <c r="D189" s="65"/>
      <c r="E189" s="65"/>
      <c r="F189" s="65">
        <f>SUM(F190:F196)</f>
        <v>0</v>
      </c>
      <c r="G189" s="65"/>
      <c r="H189" s="65">
        <f>SUM(H190:H196)</f>
        <v>0</v>
      </c>
      <c r="I189" s="65"/>
      <c r="J189" s="65">
        <f>SUM(J190:J196)</f>
        <v>0</v>
      </c>
      <c r="K189" s="65"/>
      <c r="L189" s="65">
        <f>SUM(L190:L196)</f>
        <v>0</v>
      </c>
      <c r="M189" s="65"/>
      <c r="N189" s="65">
        <f>SUM(N190:N196)</f>
        <v>0</v>
      </c>
      <c r="O189" s="65"/>
      <c r="P189" s="65">
        <f>SUM(P190:P196)</f>
        <v>0</v>
      </c>
      <c r="Q189" s="65"/>
      <c r="R189" s="65">
        <f>SUM(R190:R196)</f>
        <v>0</v>
      </c>
      <c r="S189" s="65"/>
      <c r="T189" s="65">
        <f>SUM(T190:T196)</f>
        <v>0</v>
      </c>
      <c r="U189" s="65"/>
      <c r="V189" s="65">
        <f>SUM(V190:V196)</f>
        <v>0</v>
      </c>
      <c r="W189" s="65"/>
      <c r="X189" s="65">
        <f>SUM(X190:X196)</f>
        <v>0</v>
      </c>
      <c r="Y189" s="65"/>
      <c r="Z189" s="65">
        <f>SUM(Z190:Z196)</f>
        <v>0</v>
      </c>
      <c r="AA189" s="51">
        <f t="shared" si="30"/>
        <v>0</v>
      </c>
      <c r="AB189" s="51">
        <f t="shared" si="36"/>
        <v>0</v>
      </c>
      <c r="AC189" s="21"/>
      <c r="AD189" s="31">
        <f t="shared" si="31"/>
        <v>0</v>
      </c>
      <c r="AE189" s="31">
        <f t="shared" si="32"/>
        <v>0</v>
      </c>
      <c r="AF189" s="17">
        <f t="shared" si="33"/>
        <v>0</v>
      </c>
      <c r="AG189" s="17">
        <f t="shared" si="34"/>
        <v>0</v>
      </c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</row>
    <row r="190" spans="1:119" s="19" customFormat="1" ht="21" customHeight="1" outlineLevel="2" x14ac:dyDescent="0.25">
      <c r="A190" s="48" t="s">
        <v>120</v>
      </c>
      <c r="B190" s="53"/>
      <c r="C190" s="64"/>
      <c r="D190" s="68"/>
      <c r="E190" s="68"/>
      <c r="F190" s="68">
        <v>0</v>
      </c>
      <c r="G190" s="68"/>
      <c r="H190" s="68">
        <v>0</v>
      </c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51">
        <f t="shared" si="30"/>
        <v>0</v>
      </c>
      <c r="AB190" s="51">
        <f t="shared" si="36"/>
        <v>0</v>
      </c>
      <c r="AD190" s="31">
        <f t="shared" si="31"/>
        <v>0</v>
      </c>
      <c r="AE190" s="31">
        <f t="shared" si="32"/>
        <v>0</v>
      </c>
      <c r="AF190" s="17">
        <f t="shared" si="33"/>
        <v>0</v>
      </c>
      <c r="AG190" s="17">
        <f t="shared" si="34"/>
        <v>0</v>
      </c>
    </row>
    <row r="191" spans="1:119" s="19" customFormat="1" ht="21" customHeight="1" outlineLevel="2" x14ac:dyDescent="0.25">
      <c r="A191" s="48" t="s">
        <v>121</v>
      </c>
      <c r="B191" s="53"/>
      <c r="C191" s="64"/>
      <c r="D191" s="68"/>
      <c r="E191" s="68"/>
      <c r="F191" s="68">
        <v>0</v>
      </c>
      <c r="G191" s="68"/>
      <c r="H191" s="68">
        <v>0</v>
      </c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51">
        <f t="shared" si="30"/>
        <v>0</v>
      </c>
      <c r="AB191" s="51">
        <f t="shared" si="36"/>
        <v>0</v>
      </c>
      <c r="AD191" s="31">
        <f t="shared" si="31"/>
        <v>0</v>
      </c>
      <c r="AE191" s="31">
        <f t="shared" si="32"/>
        <v>0</v>
      </c>
      <c r="AF191" s="17">
        <f t="shared" si="33"/>
        <v>0</v>
      </c>
      <c r="AG191" s="17">
        <f t="shared" si="34"/>
        <v>0</v>
      </c>
    </row>
    <row r="192" spans="1:119" s="19" customFormat="1" ht="21" customHeight="1" outlineLevel="2" x14ac:dyDescent="0.25">
      <c r="A192" s="48" t="s">
        <v>122</v>
      </c>
      <c r="B192" s="53"/>
      <c r="C192" s="64"/>
      <c r="D192" s="68"/>
      <c r="E192" s="68"/>
      <c r="F192" s="68">
        <v>0</v>
      </c>
      <c r="G192" s="68"/>
      <c r="H192" s="68">
        <v>0</v>
      </c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51">
        <f t="shared" si="30"/>
        <v>0</v>
      </c>
      <c r="AB192" s="51">
        <f t="shared" si="36"/>
        <v>0</v>
      </c>
      <c r="AD192" s="31">
        <f t="shared" si="31"/>
        <v>0</v>
      </c>
      <c r="AE192" s="31">
        <f t="shared" si="32"/>
        <v>0</v>
      </c>
      <c r="AF192" s="17">
        <f t="shared" si="33"/>
        <v>0</v>
      </c>
      <c r="AG192" s="17">
        <f t="shared" si="34"/>
        <v>0</v>
      </c>
    </row>
    <row r="193" spans="1:119" s="19" customFormat="1" ht="21" customHeight="1" outlineLevel="2" x14ac:dyDescent="0.25">
      <c r="A193" s="48" t="s">
        <v>123</v>
      </c>
      <c r="B193" s="53"/>
      <c r="C193" s="64"/>
      <c r="D193" s="68"/>
      <c r="E193" s="68"/>
      <c r="F193" s="68">
        <v>0</v>
      </c>
      <c r="G193" s="68"/>
      <c r="H193" s="68">
        <v>0</v>
      </c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51">
        <f t="shared" si="30"/>
        <v>0</v>
      </c>
      <c r="AB193" s="51">
        <f t="shared" si="36"/>
        <v>0</v>
      </c>
      <c r="AD193" s="31">
        <f t="shared" si="31"/>
        <v>0</v>
      </c>
      <c r="AE193" s="31">
        <f t="shared" si="32"/>
        <v>0</v>
      </c>
      <c r="AF193" s="17">
        <f t="shared" si="33"/>
        <v>0</v>
      </c>
      <c r="AG193" s="17">
        <f t="shared" si="34"/>
        <v>0</v>
      </c>
    </row>
    <row r="194" spans="1:119" s="19" customFormat="1" ht="21" customHeight="1" outlineLevel="2" x14ac:dyDescent="0.25">
      <c r="A194" s="48" t="s">
        <v>124</v>
      </c>
      <c r="B194" s="53"/>
      <c r="C194" s="64"/>
      <c r="D194" s="68"/>
      <c r="E194" s="68"/>
      <c r="F194" s="68">
        <v>0</v>
      </c>
      <c r="G194" s="68"/>
      <c r="H194" s="68">
        <v>0</v>
      </c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51">
        <f t="shared" si="30"/>
        <v>0</v>
      </c>
      <c r="AB194" s="51">
        <f t="shared" si="36"/>
        <v>0</v>
      </c>
      <c r="AD194" s="31">
        <f t="shared" si="31"/>
        <v>0</v>
      </c>
      <c r="AE194" s="31">
        <f t="shared" si="32"/>
        <v>0</v>
      </c>
      <c r="AF194" s="17">
        <f t="shared" si="33"/>
        <v>0</v>
      </c>
      <c r="AG194" s="17">
        <f t="shared" si="34"/>
        <v>0</v>
      </c>
    </row>
    <row r="195" spans="1:119" s="19" customFormat="1" ht="21" customHeight="1" outlineLevel="2" x14ac:dyDescent="0.25">
      <c r="A195" s="48" t="s">
        <v>125</v>
      </c>
      <c r="B195" s="53"/>
      <c r="C195" s="64"/>
      <c r="D195" s="68"/>
      <c r="E195" s="68"/>
      <c r="F195" s="68">
        <v>0</v>
      </c>
      <c r="G195" s="68"/>
      <c r="H195" s="68">
        <v>0</v>
      </c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51">
        <f t="shared" si="30"/>
        <v>0</v>
      </c>
      <c r="AB195" s="51">
        <f t="shared" si="36"/>
        <v>0</v>
      </c>
      <c r="AD195" s="31">
        <f t="shared" si="31"/>
        <v>0</v>
      </c>
      <c r="AE195" s="31">
        <f t="shared" si="32"/>
        <v>0</v>
      </c>
      <c r="AF195" s="17">
        <f t="shared" si="33"/>
        <v>0</v>
      </c>
      <c r="AG195" s="17">
        <f t="shared" si="34"/>
        <v>0</v>
      </c>
    </row>
    <row r="196" spans="1:119" s="19" customFormat="1" ht="21" customHeight="1" outlineLevel="2" x14ac:dyDescent="0.25">
      <c r="A196" s="48" t="s">
        <v>126</v>
      </c>
      <c r="B196" s="53"/>
      <c r="C196" s="64"/>
      <c r="D196" s="68"/>
      <c r="E196" s="68"/>
      <c r="F196" s="68">
        <v>0</v>
      </c>
      <c r="G196" s="68"/>
      <c r="H196" s="68">
        <v>0</v>
      </c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51">
        <f t="shared" si="30"/>
        <v>0</v>
      </c>
      <c r="AB196" s="51">
        <f t="shared" si="36"/>
        <v>0</v>
      </c>
      <c r="AD196" s="31">
        <f t="shared" si="31"/>
        <v>0</v>
      </c>
      <c r="AE196" s="31">
        <f t="shared" si="32"/>
        <v>0</v>
      </c>
      <c r="AF196" s="17">
        <f t="shared" si="33"/>
        <v>0</v>
      </c>
      <c r="AG196" s="17">
        <f t="shared" si="34"/>
        <v>0</v>
      </c>
    </row>
    <row r="197" spans="1:119" s="19" customFormat="1" ht="21" customHeight="1" outlineLevel="1" x14ac:dyDescent="0.25">
      <c r="A197" s="48" t="s">
        <v>127</v>
      </c>
      <c r="B197" s="53"/>
      <c r="C197" s="64"/>
      <c r="D197" s="68"/>
      <c r="E197" s="68"/>
      <c r="F197" s="68">
        <v>0</v>
      </c>
      <c r="G197" s="68"/>
      <c r="H197" s="68">
        <v>0</v>
      </c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51">
        <f t="shared" si="30"/>
        <v>0</v>
      </c>
      <c r="AB197" s="51">
        <f t="shared" si="36"/>
        <v>0</v>
      </c>
      <c r="AD197" s="31">
        <f t="shared" si="31"/>
        <v>0</v>
      </c>
      <c r="AE197" s="31">
        <f t="shared" si="32"/>
        <v>0</v>
      </c>
      <c r="AF197" s="17">
        <f t="shared" si="33"/>
        <v>0</v>
      </c>
      <c r="AG197" s="17">
        <f t="shared" si="34"/>
        <v>0</v>
      </c>
    </row>
    <row r="198" spans="1:119" s="19" customFormat="1" ht="21" customHeight="1" outlineLevel="1" x14ac:dyDescent="0.25">
      <c r="A198" s="48" t="s">
        <v>128</v>
      </c>
      <c r="B198" s="53"/>
      <c r="C198" s="64"/>
      <c r="D198" s="68"/>
      <c r="E198" s="68"/>
      <c r="F198" s="68">
        <v>0</v>
      </c>
      <c r="G198" s="68"/>
      <c r="H198" s="68">
        <v>0</v>
      </c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51">
        <f t="shared" si="30"/>
        <v>0</v>
      </c>
      <c r="AB198" s="51">
        <f t="shared" si="36"/>
        <v>0</v>
      </c>
      <c r="AD198" s="31">
        <f t="shared" si="31"/>
        <v>0</v>
      </c>
      <c r="AE198" s="31">
        <f t="shared" si="32"/>
        <v>0</v>
      </c>
      <c r="AF198" s="17">
        <f t="shared" si="33"/>
        <v>0</v>
      </c>
      <c r="AG198" s="17">
        <f t="shared" si="34"/>
        <v>0</v>
      </c>
    </row>
    <row r="199" spans="1:119" s="19" customFormat="1" ht="21" customHeight="1" outlineLevel="1" x14ac:dyDescent="0.25">
      <c r="A199" s="48" t="s">
        <v>129</v>
      </c>
      <c r="B199" s="53"/>
      <c r="C199" s="64"/>
      <c r="D199" s="68"/>
      <c r="E199" s="68"/>
      <c r="F199" s="68">
        <v>0</v>
      </c>
      <c r="G199" s="68"/>
      <c r="H199" s="68">
        <v>0</v>
      </c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51">
        <f t="shared" si="30"/>
        <v>0</v>
      </c>
      <c r="AB199" s="51">
        <f t="shared" si="36"/>
        <v>0</v>
      </c>
      <c r="AD199" s="31">
        <f t="shared" si="31"/>
        <v>0</v>
      </c>
      <c r="AE199" s="31">
        <f t="shared" si="32"/>
        <v>0</v>
      </c>
      <c r="AF199" s="17">
        <f t="shared" si="33"/>
        <v>0</v>
      </c>
      <c r="AG199" s="17">
        <f t="shared" si="34"/>
        <v>0</v>
      </c>
    </row>
    <row r="200" spans="1:119" s="17" customFormat="1" ht="21" customHeight="1" outlineLevel="1" x14ac:dyDescent="0.25">
      <c r="A200" s="67" t="s">
        <v>130</v>
      </c>
      <c r="B200" s="45"/>
      <c r="C200" s="33"/>
      <c r="D200" s="65"/>
      <c r="E200" s="65"/>
      <c r="F200" s="65">
        <f>SUM(F201:F205)</f>
        <v>0</v>
      </c>
      <c r="G200" s="65"/>
      <c r="H200" s="65">
        <f>SUM(H201:H205)</f>
        <v>0</v>
      </c>
      <c r="I200" s="65"/>
      <c r="J200" s="65">
        <f>SUM(J201:J205)</f>
        <v>0</v>
      </c>
      <c r="K200" s="65"/>
      <c r="L200" s="65">
        <f>SUM(L201:L205)</f>
        <v>0</v>
      </c>
      <c r="M200" s="65"/>
      <c r="N200" s="65">
        <f>SUM(N201:N205)</f>
        <v>0</v>
      </c>
      <c r="O200" s="65"/>
      <c r="P200" s="65">
        <f>SUM(P201:P205)</f>
        <v>0</v>
      </c>
      <c r="Q200" s="65"/>
      <c r="R200" s="65">
        <f>SUM(R201:R205)</f>
        <v>0</v>
      </c>
      <c r="S200" s="65"/>
      <c r="T200" s="65">
        <f>SUM(T201:T205)</f>
        <v>0</v>
      </c>
      <c r="U200" s="65"/>
      <c r="V200" s="65">
        <f>SUM(V201:V205)</f>
        <v>0</v>
      </c>
      <c r="W200" s="65"/>
      <c r="X200" s="65">
        <f>SUM(X201:X205)</f>
        <v>0</v>
      </c>
      <c r="Y200" s="65"/>
      <c r="Z200" s="65">
        <f>SUM(Z201:Z205)</f>
        <v>0</v>
      </c>
      <c r="AA200" s="51">
        <f t="shared" si="30"/>
        <v>0</v>
      </c>
      <c r="AB200" s="51">
        <f t="shared" si="36"/>
        <v>0</v>
      </c>
      <c r="AC200" s="21"/>
      <c r="AD200" s="31">
        <f t="shared" si="31"/>
        <v>0</v>
      </c>
      <c r="AE200" s="31">
        <f t="shared" si="32"/>
        <v>0</v>
      </c>
      <c r="AF200" s="17">
        <f t="shared" si="33"/>
        <v>0</v>
      </c>
      <c r="AG200" s="17">
        <f t="shared" si="34"/>
        <v>0</v>
      </c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</row>
    <row r="201" spans="1:119" s="19" customFormat="1" ht="21" customHeight="1" outlineLevel="2" x14ac:dyDescent="0.25">
      <c r="A201" s="48" t="s">
        <v>131</v>
      </c>
      <c r="B201" s="53"/>
      <c r="C201" s="64"/>
      <c r="D201" s="68"/>
      <c r="E201" s="68"/>
      <c r="F201" s="68">
        <v>0</v>
      </c>
      <c r="G201" s="68"/>
      <c r="H201" s="68">
        <v>0</v>
      </c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51">
        <f t="shared" si="30"/>
        <v>0</v>
      </c>
      <c r="AB201" s="51">
        <f t="shared" si="36"/>
        <v>0</v>
      </c>
      <c r="AD201" s="31">
        <f t="shared" si="31"/>
        <v>0</v>
      </c>
      <c r="AE201" s="31">
        <f t="shared" si="32"/>
        <v>0</v>
      </c>
      <c r="AF201" s="17">
        <f t="shared" si="33"/>
        <v>0</v>
      </c>
      <c r="AG201" s="17">
        <f t="shared" si="34"/>
        <v>0</v>
      </c>
    </row>
    <row r="202" spans="1:119" s="19" customFormat="1" ht="21" customHeight="1" outlineLevel="2" x14ac:dyDescent="0.25">
      <c r="A202" s="48" t="s">
        <v>132</v>
      </c>
      <c r="B202" s="53"/>
      <c r="C202" s="64"/>
      <c r="D202" s="68"/>
      <c r="E202" s="68"/>
      <c r="F202" s="68">
        <v>0</v>
      </c>
      <c r="G202" s="68"/>
      <c r="H202" s="68">
        <v>0</v>
      </c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51">
        <f t="shared" si="30"/>
        <v>0</v>
      </c>
      <c r="AB202" s="51">
        <f t="shared" si="36"/>
        <v>0</v>
      </c>
      <c r="AD202" s="31">
        <f t="shared" si="31"/>
        <v>0</v>
      </c>
      <c r="AE202" s="31">
        <f t="shared" si="32"/>
        <v>0</v>
      </c>
      <c r="AF202" s="17">
        <f t="shared" si="33"/>
        <v>0</v>
      </c>
      <c r="AG202" s="17">
        <f t="shared" si="34"/>
        <v>0</v>
      </c>
    </row>
    <row r="203" spans="1:119" s="19" customFormat="1" ht="21" customHeight="1" outlineLevel="2" x14ac:dyDescent="0.25">
      <c r="A203" s="48" t="s">
        <v>180</v>
      </c>
      <c r="B203" s="53"/>
      <c r="C203" s="64"/>
      <c r="D203" s="68"/>
      <c r="E203" s="68"/>
      <c r="F203" s="68">
        <v>0</v>
      </c>
      <c r="G203" s="68"/>
      <c r="H203" s="68">
        <v>0</v>
      </c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51">
        <f t="shared" si="30"/>
        <v>0</v>
      </c>
      <c r="AB203" s="51">
        <f t="shared" si="36"/>
        <v>0</v>
      </c>
      <c r="AD203" s="31">
        <f t="shared" si="31"/>
        <v>0</v>
      </c>
      <c r="AE203" s="31">
        <f t="shared" si="32"/>
        <v>0</v>
      </c>
      <c r="AF203" s="17">
        <f t="shared" si="33"/>
        <v>0</v>
      </c>
      <c r="AG203" s="17">
        <f t="shared" si="34"/>
        <v>0</v>
      </c>
    </row>
    <row r="204" spans="1:119" s="19" customFormat="1" ht="21" customHeight="1" outlineLevel="2" x14ac:dyDescent="0.25">
      <c r="A204" s="48" t="s">
        <v>134</v>
      </c>
      <c r="B204" s="53"/>
      <c r="C204" s="64"/>
      <c r="D204" s="68"/>
      <c r="E204" s="68"/>
      <c r="F204" s="68">
        <v>0</v>
      </c>
      <c r="G204" s="68"/>
      <c r="H204" s="68">
        <v>0</v>
      </c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51">
        <f t="shared" si="30"/>
        <v>0</v>
      </c>
      <c r="AB204" s="51">
        <f t="shared" si="36"/>
        <v>0</v>
      </c>
      <c r="AD204" s="31">
        <f t="shared" si="31"/>
        <v>0</v>
      </c>
      <c r="AE204" s="31">
        <f t="shared" si="32"/>
        <v>0</v>
      </c>
      <c r="AF204" s="17">
        <f t="shared" si="33"/>
        <v>0</v>
      </c>
      <c r="AG204" s="17">
        <f t="shared" si="34"/>
        <v>0</v>
      </c>
    </row>
    <row r="205" spans="1:119" s="19" customFormat="1" ht="21" customHeight="1" outlineLevel="2" x14ac:dyDescent="0.25">
      <c r="A205" s="48" t="s">
        <v>135</v>
      </c>
      <c r="B205" s="53"/>
      <c r="C205" s="64"/>
      <c r="D205" s="68"/>
      <c r="E205" s="68"/>
      <c r="F205" s="68">
        <v>0</v>
      </c>
      <c r="G205" s="68"/>
      <c r="H205" s="68">
        <v>0</v>
      </c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51">
        <f t="shared" si="30"/>
        <v>0</v>
      </c>
      <c r="AB205" s="51">
        <f t="shared" si="36"/>
        <v>0</v>
      </c>
      <c r="AD205" s="31">
        <f t="shared" si="31"/>
        <v>0</v>
      </c>
      <c r="AE205" s="31">
        <f t="shared" si="32"/>
        <v>0</v>
      </c>
      <c r="AF205" s="17">
        <f t="shared" si="33"/>
        <v>0</v>
      </c>
      <c r="AG205" s="17">
        <f t="shared" si="34"/>
        <v>0</v>
      </c>
    </row>
    <row r="206" spans="1:119" s="19" customFormat="1" ht="21" customHeight="1" outlineLevel="1" x14ac:dyDescent="0.25">
      <c r="A206" s="48" t="s">
        <v>136</v>
      </c>
      <c r="B206" s="53"/>
      <c r="C206" s="64"/>
      <c r="D206" s="68"/>
      <c r="E206" s="68"/>
      <c r="F206" s="68">
        <v>0</v>
      </c>
      <c r="G206" s="68"/>
      <c r="H206" s="68">
        <v>0</v>
      </c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51">
        <f t="shared" si="30"/>
        <v>0</v>
      </c>
      <c r="AB206" s="51">
        <f t="shared" si="36"/>
        <v>0</v>
      </c>
      <c r="AD206" s="31">
        <f t="shared" si="31"/>
        <v>0</v>
      </c>
      <c r="AE206" s="31">
        <f t="shared" si="32"/>
        <v>0</v>
      </c>
      <c r="AF206" s="17">
        <f t="shared" si="33"/>
        <v>0</v>
      </c>
      <c r="AG206" s="17">
        <f t="shared" si="34"/>
        <v>0</v>
      </c>
    </row>
    <row r="207" spans="1:119" s="19" customFormat="1" ht="21" customHeight="1" outlineLevel="1" x14ac:dyDescent="0.25">
      <c r="A207" s="48" t="s">
        <v>137</v>
      </c>
      <c r="B207" s="53"/>
      <c r="C207" s="64"/>
      <c r="D207" s="68"/>
      <c r="E207" s="68"/>
      <c r="F207" s="68">
        <v>0</v>
      </c>
      <c r="G207" s="68"/>
      <c r="H207" s="68">
        <v>0</v>
      </c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51">
        <f t="shared" si="30"/>
        <v>0</v>
      </c>
      <c r="AB207" s="51">
        <f t="shared" si="36"/>
        <v>0</v>
      </c>
      <c r="AD207" s="31">
        <f t="shared" si="31"/>
        <v>0</v>
      </c>
      <c r="AE207" s="31">
        <f t="shared" si="32"/>
        <v>0</v>
      </c>
      <c r="AF207" s="17">
        <f t="shared" si="33"/>
        <v>0</v>
      </c>
      <c r="AG207" s="17">
        <f t="shared" si="34"/>
        <v>0</v>
      </c>
    </row>
    <row r="208" spans="1:119" s="19" customFormat="1" ht="21" customHeight="1" outlineLevel="1" x14ac:dyDescent="0.25">
      <c r="A208" s="48" t="s">
        <v>138</v>
      </c>
      <c r="B208" s="53"/>
      <c r="C208" s="64"/>
      <c r="D208" s="68"/>
      <c r="E208" s="68"/>
      <c r="F208" s="68">
        <v>0</v>
      </c>
      <c r="G208" s="68"/>
      <c r="H208" s="68">
        <v>0</v>
      </c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51">
        <f t="shared" si="30"/>
        <v>0</v>
      </c>
      <c r="AB208" s="51">
        <f t="shared" si="36"/>
        <v>0</v>
      </c>
      <c r="AD208" s="31">
        <f t="shared" si="31"/>
        <v>0</v>
      </c>
      <c r="AE208" s="31">
        <f t="shared" si="32"/>
        <v>0</v>
      </c>
      <c r="AF208" s="17">
        <f t="shared" si="33"/>
        <v>0</v>
      </c>
      <c r="AG208" s="17">
        <f t="shared" si="34"/>
        <v>0</v>
      </c>
    </row>
    <row r="209" spans="1:119" s="19" customFormat="1" ht="21" customHeight="1" outlineLevel="1" x14ac:dyDescent="0.25">
      <c r="A209" s="48" t="s">
        <v>139</v>
      </c>
      <c r="B209" s="53"/>
      <c r="C209" s="64"/>
      <c r="D209" s="68"/>
      <c r="E209" s="68"/>
      <c r="F209" s="68">
        <v>0</v>
      </c>
      <c r="G209" s="68"/>
      <c r="H209" s="68">
        <v>0</v>
      </c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51">
        <f t="shared" si="30"/>
        <v>0</v>
      </c>
      <c r="AB209" s="51">
        <f t="shared" si="36"/>
        <v>0</v>
      </c>
      <c r="AD209" s="31">
        <f t="shared" si="31"/>
        <v>0</v>
      </c>
      <c r="AE209" s="31">
        <f t="shared" si="32"/>
        <v>0</v>
      </c>
      <c r="AF209" s="17">
        <f t="shared" si="33"/>
        <v>0</v>
      </c>
      <c r="AG209" s="17">
        <f t="shared" si="34"/>
        <v>0</v>
      </c>
    </row>
    <row r="210" spans="1:119" s="19" customFormat="1" ht="21" customHeight="1" outlineLevel="1" x14ac:dyDescent="0.25">
      <c r="A210" s="48" t="s">
        <v>140</v>
      </c>
      <c r="B210" s="53"/>
      <c r="C210" s="64"/>
      <c r="D210" s="68"/>
      <c r="E210" s="68"/>
      <c r="F210" s="68">
        <v>0</v>
      </c>
      <c r="G210" s="68"/>
      <c r="H210" s="68">
        <v>0</v>
      </c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51">
        <f t="shared" si="30"/>
        <v>0</v>
      </c>
      <c r="AB210" s="51">
        <f t="shared" si="36"/>
        <v>0</v>
      </c>
      <c r="AD210" s="31">
        <f t="shared" si="31"/>
        <v>0</v>
      </c>
      <c r="AE210" s="31">
        <f t="shared" si="32"/>
        <v>0</v>
      </c>
      <c r="AF210" s="17">
        <f t="shared" si="33"/>
        <v>0</v>
      </c>
      <c r="AG210" s="17">
        <f t="shared" si="34"/>
        <v>0</v>
      </c>
    </row>
    <row r="211" spans="1:119" s="19" customFormat="1" ht="21" customHeight="1" outlineLevel="1" x14ac:dyDescent="0.25">
      <c r="A211" s="48" t="s">
        <v>141</v>
      </c>
      <c r="B211" s="53"/>
      <c r="C211" s="64"/>
      <c r="D211" s="68"/>
      <c r="E211" s="68"/>
      <c r="F211" s="68">
        <v>0</v>
      </c>
      <c r="G211" s="68"/>
      <c r="H211" s="68">
        <v>0</v>
      </c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51">
        <f t="shared" si="30"/>
        <v>0</v>
      </c>
      <c r="AB211" s="51">
        <f t="shared" si="36"/>
        <v>0</v>
      </c>
      <c r="AD211" s="31">
        <f t="shared" si="31"/>
        <v>0</v>
      </c>
      <c r="AE211" s="31">
        <f t="shared" si="32"/>
        <v>0</v>
      </c>
      <c r="AF211" s="17">
        <f t="shared" si="33"/>
        <v>0</v>
      </c>
      <c r="AG211" s="17">
        <f t="shared" si="34"/>
        <v>0</v>
      </c>
    </row>
    <row r="212" spans="1:119" s="17" customFormat="1" ht="21" customHeight="1" outlineLevel="1" x14ac:dyDescent="0.25">
      <c r="A212" s="67" t="s">
        <v>142</v>
      </c>
      <c r="B212" s="71"/>
      <c r="C212" s="33"/>
      <c r="D212" s="65"/>
      <c r="E212" s="65"/>
      <c r="F212" s="65">
        <f>SUM(F213:F216)</f>
        <v>0</v>
      </c>
      <c r="G212" s="65"/>
      <c r="H212" s="65">
        <f>SUM(H213:H216)</f>
        <v>0</v>
      </c>
      <c r="I212" s="65"/>
      <c r="J212" s="65">
        <f>SUM(J213:J216)</f>
        <v>0</v>
      </c>
      <c r="K212" s="65"/>
      <c r="L212" s="65">
        <f>SUM(L213:L216)</f>
        <v>0</v>
      </c>
      <c r="M212" s="65"/>
      <c r="N212" s="65">
        <f>SUM(N213:N216)</f>
        <v>0</v>
      </c>
      <c r="O212" s="65"/>
      <c r="P212" s="65">
        <f>SUM(P213:P216)</f>
        <v>0</v>
      </c>
      <c r="Q212" s="65"/>
      <c r="R212" s="65">
        <f>SUM(R213:R216)</f>
        <v>0</v>
      </c>
      <c r="S212" s="65"/>
      <c r="T212" s="65">
        <f>SUM(T213:T216)</f>
        <v>0</v>
      </c>
      <c r="U212" s="65"/>
      <c r="V212" s="65">
        <f>SUM(V213:V216)</f>
        <v>0</v>
      </c>
      <c r="W212" s="65"/>
      <c r="X212" s="65">
        <f>SUM(X213:X216)</f>
        <v>0</v>
      </c>
      <c r="Y212" s="65"/>
      <c r="Z212" s="65">
        <f>SUM(Z213:Z216)</f>
        <v>0</v>
      </c>
      <c r="AA212" s="51">
        <f t="shared" si="30"/>
        <v>0</v>
      </c>
      <c r="AB212" s="51">
        <f t="shared" si="36"/>
        <v>0</v>
      </c>
      <c r="AC212" s="21"/>
      <c r="AD212" s="31">
        <f t="shared" si="31"/>
        <v>0</v>
      </c>
      <c r="AE212" s="31">
        <f t="shared" si="32"/>
        <v>0</v>
      </c>
      <c r="AF212" s="17">
        <f t="shared" si="33"/>
        <v>0</v>
      </c>
      <c r="AG212" s="17">
        <f t="shared" si="34"/>
        <v>0</v>
      </c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</row>
    <row r="213" spans="1:119" s="19" customFormat="1" ht="21" customHeight="1" outlineLevel="2" x14ac:dyDescent="0.25">
      <c r="A213" s="48" t="s">
        <v>143</v>
      </c>
      <c r="B213" s="53"/>
      <c r="C213" s="64"/>
      <c r="D213" s="68"/>
      <c r="E213" s="68"/>
      <c r="F213" s="68">
        <v>0</v>
      </c>
      <c r="G213" s="68"/>
      <c r="H213" s="68">
        <v>0</v>
      </c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51">
        <f t="shared" si="30"/>
        <v>0</v>
      </c>
      <c r="AB213" s="51">
        <f t="shared" si="36"/>
        <v>0</v>
      </c>
      <c r="AD213" s="31">
        <f t="shared" si="31"/>
        <v>0</v>
      </c>
      <c r="AE213" s="31">
        <f t="shared" si="32"/>
        <v>0</v>
      </c>
      <c r="AF213" s="17">
        <f t="shared" si="33"/>
        <v>0</v>
      </c>
      <c r="AG213" s="17">
        <f t="shared" si="34"/>
        <v>0</v>
      </c>
    </row>
    <row r="214" spans="1:119" s="19" customFormat="1" ht="21" customHeight="1" outlineLevel="2" x14ac:dyDescent="0.25">
      <c r="A214" s="48" t="s">
        <v>144</v>
      </c>
      <c r="B214" s="53"/>
      <c r="C214" s="64"/>
      <c r="D214" s="68"/>
      <c r="E214" s="68"/>
      <c r="F214" s="68">
        <v>0</v>
      </c>
      <c r="G214" s="68"/>
      <c r="H214" s="68">
        <v>0</v>
      </c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51">
        <f t="shared" si="30"/>
        <v>0</v>
      </c>
      <c r="AB214" s="51">
        <f t="shared" si="36"/>
        <v>0</v>
      </c>
      <c r="AD214" s="31">
        <f t="shared" si="31"/>
        <v>0</v>
      </c>
      <c r="AE214" s="31">
        <f t="shared" si="32"/>
        <v>0</v>
      </c>
      <c r="AF214" s="17">
        <f t="shared" si="33"/>
        <v>0</v>
      </c>
      <c r="AG214" s="17">
        <f t="shared" si="34"/>
        <v>0</v>
      </c>
    </row>
    <row r="215" spans="1:119" s="19" customFormat="1" ht="21" customHeight="1" outlineLevel="2" x14ac:dyDescent="0.25">
      <c r="A215" s="48" t="s">
        <v>145</v>
      </c>
      <c r="B215" s="53"/>
      <c r="C215" s="64"/>
      <c r="D215" s="68"/>
      <c r="E215" s="68"/>
      <c r="F215" s="68">
        <v>0</v>
      </c>
      <c r="G215" s="68"/>
      <c r="H215" s="68">
        <v>0</v>
      </c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51">
        <f t="shared" si="30"/>
        <v>0</v>
      </c>
      <c r="AB215" s="51">
        <f t="shared" si="36"/>
        <v>0</v>
      </c>
      <c r="AD215" s="31">
        <f t="shared" si="31"/>
        <v>0</v>
      </c>
      <c r="AE215" s="31">
        <f t="shared" si="32"/>
        <v>0</v>
      </c>
      <c r="AF215" s="17">
        <f t="shared" si="33"/>
        <v>0</v>
      </c>
      <c r="AG215" s="17">
        <f t="shared" si="34"/>
        <v>0</v>
      </c>
    </row>
    <row r="216" spans="1:119" s="19" customFormat="1" ht="21" customHeight="1" outlineLevel="2" x14ac:dyDescent="0.25">
      <c r="A216" s="48" t="s">
        <v>146</v>
      </c>
      <c r="B216" s="53"/>
      <c r="C216" s="64"/>
      <c r="D216" s="68"/>
      <c r="E216" s="68"/>
      <c r="F216" s="68">
        <v>0</v>
      </c>
      <c r="G216" s="68"/>
      <c r="H216" s="68">
        <v>0</v>
      </c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51">
        <f t="shared" si="30"/>
        <v>0</v>
      </c>
      <c r="AB216" s="51">
        <f t="shared" si="36"/>
        <v>0</v>
      </c>
      <c r="AD216" s="31">
        <f t="shared" si="31"/>
        <v>0</v>
      </c>
      <c r="AE216" s="31">
        <f t="shared" si="32"/>
        <v>0</v>
      </c>
      <c r="AF216" s="17">
        <f t="shared" si="33"/>
        <v>0</v>
      </c>
      <c r="AG216" s="17">
        <f t="shared" si="34"/>
        <v>0</v>
      </c>
    </row>
    <row r="217" spans="1:119" s="19" customFormat="1" ht="21" customHeight="1" outlineLevel="1" x14ac:dyDescent="0.25">
      <c r="A217" s="48" t="s">
        <v>147</v>
      </c>
      <c r="B217" s="53"/>
      <c r="C217" s="64"/>
      <c r="D217" s="68"/>
      <c r="E217" s="68"/>
      <c r="F217" s="68">
        <v>0</v>
      </c>
      <c r="G217" s="68"/>
      <c r="H217" s="68">
        <v>0</v>
      </c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51">
        <f t="shared" si="30"/>
        <v>0</v>
      </c>
      <c r="AB217" s="51">
        <f t="shared" si="36"/>
        <v>0</v>
      </c>
      <c r="AD217" s="31">
        <f t="shared" si="31"/>
        <v>0</v>
      </c>
      <c r="AE217" s="31">
        <f t="shared" si="32"/>
        <v>0</v>
      </c>
      <c r="AF217" s="17">
        <f t="shared" si="33"/>
        <v>0</v>
      </c>
      <c r="AG217" s="17">
        <f t="shared" si="34"/>
        <v>0</v>
      </c>
    </row>
    <row r="218" spans="1:119" s="19" customFormat="1" ht="21" customHeight="1" outlineLevel="1" x14ac:dyDescent="0.25">
      <c r="A218" s="48" t="s">
        <v>148</v>
      </c>
      <c r="B218" s="53"/>
      <c r="C218" s="64"/>
      <c r="D218" s="68"/>
      <c r="E218" s="68"/>
      <c r="F218" s="68">
        <v>0</v>
      </c>
      <c r="G218" s="68"/>
      <c r="H218" s="68">
        <v>0</v>
      </c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51">
        <f t="shared" si="30"/>
        <v>0</v>
      </c>
      <c r="AB218" s="51">
        <f t="shared" si="36"/>
        <v>0</v>
      </c>
      <c r="AD218" s="31">
        <f t="shared" si="31"/>
        <v>0</v>
      </c>
      <c r="AE218" s="31">
        <f t="shared" si="32"/>
        <v>0</v>
      </c>
      <c r="AF218" s="17">
        <f t="shared" si="33"/>
        <v>0</v>
      </c>
      <c r="AG218" s="17">
        <f t="shared" si="34"/>
        <v>0</v>
      </c>
    </row>
    <row r="219" spans="1:119" s="19" customFormat="1" ht="21" customHeight="1" outlineLevel="1" x14ac:dyDescent="0.25">
      <c r="A219" s="48" t="s">
        <v>149</v>
      </c>
      <c r="B219" s="53"/>
      <c r="C219" s="64"/>
      <c r="D219" s="68"/>
      <c r="E219" s="68"/>
      <c r="F219" s="68">
        <v>0</v>
      </c>
      <c r="G219" s="68"/>
      <c r="H219" s="68">
        <v>0</v>
      </c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51">
        <f t="shared" si="30"/>
        <v>0</v>
      </c>
      <c r="AB219" s="51">
        <f t="shared" si="36"/>
        <v>0</v>
      </c>
      <c r="AD219" s="31">
        <f t="shared" si="31"/>
        <v>0</v>
      </c>
      <c r="AE219" s="31">
        <f t="shared" si="32"/>
        <v>0</v>
      </c>
      <c r="AF219" s="17">
        <f t="shared" si="33"/>
        <v>0</v>
      </c>
      <c r="AG219" s="17">
        <f t="shared" si="34"/>
        <v>0</v>
      </c>
    </row>
    <row r="220" spans="1:119" s="19" customFormat="1" ht="21" customHeight="1" outlineLevel="1" x14ac:dyDescent="0.25">
      <c r="A220" s="48" t="s">
        <v>150</v>
      </c>
      <c r="B220" s="53"/>
      <c r="C220" s="64"/>
      <c r="D220" s="68"/>
      <c r="E220" s="68"/>
      <c r="F220" s="68">
        <v>0</v>
      </c>
      <c r="G220" s="68"/>
      <c r="H220" s="68">
        <v>0</v>
      </c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51">
        <f t="shared" ref="AA220:AA257" si="37">C220+E220+G220+I220+K220+M220+O220+Q220+S220+U220+W220+Y220</f>
        <v>0</v>
      </c>
      <c r="AB220" s="51">
        <f t="shared" si="36"/>
        <v>0</v>
      </c>
      <c r="AD220" s="31">
        <f t="shared" ref="AD220:AD265" si="38">SUMIF($C$5:$Z$5,$AD$5,C220:Z220)</f>
        <v>0</v>
      </c>
      <c r="AE220" s="31">
        <f t="shared" ref="AE220:AE263" si="39">SUMIF($C$5:$Z$5,$AD$5,D220:AA220)</f>
        <v>0</v>
      </c>
      <c r="AF220" s="17">
        <f t="shared" si="33"/>
        <v>0</v>
      </c>
      <c r="AG220" s="17">
        <f t="shared" si="34"/>
        <v>0</v>
      </c>
    </row>
    <row r="221" spans="1:119" s="19" customFormat="1" ht="21" customHeight="1" outlineLevel="1" x14ac:dyDescent="0.25">
      <c r="A221" s="48" t="s">
        <v>151</v>
      </c>
      <c r="B221" s="53"/>
      <c r="C221" s="64"/>
      <c r="D221" s="68"/>
      <c r="E221" s="68"/>
      <c r="F221" s="68">
        <v>0</v>
      </c>
      <c r="G221" s="68"/>
      <c r="H221" s="68">
        <v>0</v>
      </c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51">
        <f t="shared" si="37"/>
        <v>0</v>
      </c>
      <c r="AB221" s="51">
        <f t="shared" si="36"/>
        <v>0</v>
      </c>
      <c r="AD221" s="31">
        <f t="shared" si="38"/>
        <v>0</v>
      </c>
      <c r="AE221" s="31">
        <f t="shared" si="39"/>
        <v>0</v>
      </c>
      <c r="AF221" s="17">
        <f t="shared" si="33"/>
        <v>0</v>
      </c>
      <c r="AG221" s="17">
        <f t="shared" si="34"/>
        <v>0</v>
      </c>
    </row>
    <row r="222" spans="1:119" s="19" customFormat="1" ht="21" customHeight="1" outlineLevel="1" x14ac:dyDescent="0.25">
      <c r="A222" s="48" t="s">
        <v>152</v>
      </c>
      <c r="B222" s="53"/>
      <c r="C222" s="64"/>
      <c r="D222" s="68"/>
      <c r="E222" s="68"/>
      <c r="F222" s="68">
        <v>0</v>
      </c>
      <c r="G222" s="68"/>
      <c r="H222" s="68">
        <v>0</v>
      </c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51">
        <f t="shared" si="37"/>
        <v>0</v>
      </c>
      <c r="AB222" s="51">
        <f t="shared" si="36"/>
        <v>0</v>
      </c>
      <c r="AD222" s="31">
        <f t="shared" si="38"/>
        <v>0</v>
      </c>
      <c r="AE222" s="31">
        <f t="shared" si="39"/>
        <v>0</v>
      </c>
      <c r="AF222" s="17">
        <f t="shared" ref="AF222:AF260" si="40">AA222-AD222</f>
        <v>0</v>
      </c>
      <c r="AG222" s="17">
        <f t="shared" ref="AG222:AG260" si="41">AB222-AE222</f>
        <v>0</v>
      </c>
    </row>
    <row r="223" spans="1:119" s="19" customFormat="1" ht="21" customHeight="1" outlineLevel="1" x14ac:dyDescent="0.25">
      <c r="A223" s="48" t="s">
        <v>153</v>
      </c>
      <c r="B223" s="53"/>
      <c r="C223" s="64"/>
      <c r="D223" s="68"/>
      <c r="E223" s="68"/>
      <c r="F223" s="68">
        <v>0</v>
      </c>
      <c r="G223" s="68"/>
      <c r="H223" s="68">
        <v>0</v>
      </c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51">
        <f t="shared" si="37"/>
        <v>0</v>
      </c>
      <c r="AB223" s="51">
        <f t="shared" si="36"/>
        <v>0</v>
      </c>
      <c r="AD223" s="31">
        <f t="shared" si="38"/>
        <v>0</v>
      </c>
      <c r="AE223" s="31">
        <f t="shared" si="39"/>
        <v>0</v>
      </c>
      <c r="AF223" s="17">
        <f t="shared" si="40"/>
        <v>0</v>
      </c>
      <c r="AG223" s="17">
        <f t="shared" si="41"/>
        <v>0</v>
      </c>
    </row>
    <row r="224" spans="1:119" s="19" customFormat="1" ht="21" customHeight="1" outlineLevel="1" x14ac:dyDescent="0.25">
      <c r="A224" s="48" t="s">
        <v>154</v>
      </c>
      <c r="B224" s="53"/>
      <c r="C224" s="64"/>
      <c r="D224" s="68"/>
      <c r="E224" s="68"/>
      <c r="F224" s="68">
        <v>0</v>
      </c>
      <c r="G224" s="68"/>
      <c r="H224" s="68">
        <v>0</v>
      </c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51">
        <f t="shared" si="37"/>
        <v>0</v>
      </c>
      <c r="AB224" s="51">
        <f t="shared" si="36"/>
        <v>0</v>
      </c>
      <c r="AD224" s="31">
        <f t="shared" si="38"/>
        <v>0</v>
      </c>
      <c r="AE224" s="31">
        <f t="shared" si="39"/>
        <v>0</v>
      </c>
      <c r="AF224" s="17">
        <f t="shared" si="40"/>
        <v>0</v>
      </c>
      <c r="AG224" s="17">
        <f t="shared" si="41"/>
        <v>0</v>
      </c>
    </row>
    <row r="225" spans="1:33" s="19" customFormat="1" ht="21" customHeight="1" outlineLevel="1" x14ac:dyDescent="0.25">
      <c r="A225" s="48" t="s">
        <v>155</v>
      </c>
      <c r="B225" s="53"/>
      <c r="C225" s="64"/>
      <c r="D225" s="68"/>
      <c r="E225" s="68"/>
      <c r="F225" s="68">
        <v>0</v>
      </c>
      <c r="G225" s="68"/>
      <c r="H225" s="68">
        <v>0</v>
      </c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51">
        <f t="shared" si="37"/>
        <v>0</v>
      </c>
      <c r="AB225" s="51">
        <f t="shared" si="36"/>
        <v>0</v>
      </c>
      <c r="AD225" s="31">
        <f t="shared" si="38"/>
        <v>0</v>
      </c>
      <c r="AE225" s="31">
        <f t="shared" si="39"/>
        <v>0</v>
      </c>
      <c r="AF225" s="17">
        <f t="shared" si="40"/>
        <v>0</v>
      </c>
      <c r="AG225" s="17">
        <f t="shared" si="41"/>
        <v>0</v>
      </c>
    </row>
    <row r="226" spans="1:33" s="19" customFormat="1" ht="21" customHeight="1" outlineLevel="1" x14ac:dyDescent="0.25">
      <c r="A226" s="48" t="s">
        <v>156</v>
      </c>
      <c r="B226" s="53"/>
      <c r="C226" s="64"/>
      <c r="D226" s="68"/>
      <c r="E226" s="68"/>
      <c r="F226" s="68">
        <v>0</v>
      </c>
      <c r="G226" s="68"/>
      <c r="H226" s="68">
        <v>0</v>
      </c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51">
        <f t="shared" si="37"/>
        <v>0</v>
      </c>
      <c r="AB226" s="51">
        <f t="shared" si="36"/>
        <v>0</v>
      </c>
      <c r="AD226" s="31">
        <f t="shared" si="38"/>
        <v>0</v>
      </c>
      <c r="AE226" s="31">
        <f t="shared" si="39"/>
        <v>0</v>
      </c>
      <c r="AF226" s="17">
        <f t="shared" si="40"/>
        <v>0</v>
      </c>
      <c r="AG226" s="17">
        <f t="shared" si="41"/>
        <v>0</v>
      </c>
    </row>
    <row r="227" spans="1:33" s="19" customFormat="1" ht="21" customHeight="1" outlineLevel="1" x14ac:dyDescent="0.25">
      <c r="A227" s="48" t="s">
        <v>157</v>
      </c>
      <c r="B227" s="53"/>
      <c r="C227" s="64"/>
      <c r="D227" s="68"/>
      <c r="E227" s="68"/>
      <c r="F227" s="68">
        <v>0</v>
      </c>
      <c r="G227" s="68"/>
      <c r="H227" s="68">
        <v>0</v>
      </c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51">
        <f t="shared" si="37"/>
        <v>0</v>
      </c>
      <c r="AB227" s="51">
        <f t="shared" si="36"/>
        <v>0</v>
      </c>
      <c r="AD227" s="31">
        <f t="shared" si="38"/>
        <v>0</v>
      </c>
      <c r="AE227" s="31">
        <f t="shared" si="39"/>
        <v>0</v>
      </c>
      <c r="AF227" s="17">
        <f t="shared" si="40"/>
        <v>0</v>
      </c>
      <c r="AG227" s="17">
        <f t="shared" si="41"/>
        <v>0</v>
      </c>
    </row>
    <row r="228" spans="1:33" s="19" customFormat="1" ht="21" customHeight="1" outlineLevel="1" x14ac:dyDescent="0.25">
      <c r="A228" s="48" t="s">
        <v>158</v>
      </c>
      <c r="B228" s="53"/>
      <c r="C228" s="64"/>
      <c r="D228" s="68"/>
      <c r="E228" s="68"/>
      <c r="F228" s="68">
        <v>0</v>
      </c>
      <c r="G228" s="68"/>
      <c r="H228" s="68">
        <v>0</v>
      </c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51">
        <f t="shared" si="37"/>
        <v>0</v>
      </c>
      <c r="AB228" s="51">
        <f t="shared" si="36"/>
        <v>0</v>
      </c>
      <c r="AD228" s="31">
        <f t="shared" si="38"/>
        <v>0</v>
      </c>
      <c r="AE228" s="31">
        <f t="shared" si="39"/>
        <v>0</v>
      </c>
      <c r="AF228" s="17">
        <f t="shared" si="40"/>
        <v>0</v>
      </c>
      <c r="AG228" s="17">
        <f t="shared" si="41"/>
        <v>0</v>
      </c>
    </row>
    <row r="229" spans="1:33" s="19" customFormat="1" ht="21" customHeight="1" outlineLevel="1" x14ac:dyDescent="0.25">
      <c r="A229" s="48" t="s">
        <v>100</v>
      </c>
      <c r="B229" s="53"/>
      <c r="C229" s="64"/>
      <c r="D229" s="68"/>
      <c r="E229" s="68"/>
      <c r="F229" s="68">
        <v>0</v>
      </c>
      <c r="G229" s="68"/>
      <c r="H229" s="68">
        <v>0</v>
      </c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51">
        <f t="shared" si="37"/>
        <v>0</v>
      </c>
      <c r="AB229" s="51">
        <f t="shared" si="36"/>
        <v>0</v>
      </c>
      <c r="AD229" s="31">
        <f t="shared" si="38"/>
        <v>0</v>
      </c>
      <c r="AE229" s="31">
        <f t="shared" si="39"/>
        <v>0</v>
      </c>
      <c r="AF229" s="17">
        <f t="shared" si="40"/>
        <v>0</v>
      </c>
      <c r="AG229" s="17">
        <f t="shared" si="41"/>
        <v>0</v>
      </c>
    </row>
    <row r="230" spans="1:33" s="19" customFormat="1" ht="21" customHeight="1" outlineLevel="1" x14ac:dyDescent="0.25">
      <c r="A230" s="48" t="s">
        <v>159</v>
      </c>
      <c r="B230" s="53"/>
      <c r="C230" s="64"/>
      <c r="D230" s="68"/>
      <c r="E230" s="68"/>
      <c r="F230" s="68">
        <v>0</v>
      </c>
      <c r="G230" s="68"/>
      <c r="H230" s="68">
        <v>0</v>
      </c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51">
        <f t="shared" si="37"/>
        <v>0</v>
      </c>
      <c r="AB230" s="51">
        <f t="shared" si="36"/>
        <v>0</v>
      </c>
      <c r="AD230" s="31">
        <f t="shared" si="38"/>
        <v>0</v>
      </c>
      <c r="AE230" s="31">
        <f t="shared" si="39"/>
        <v>0</v>
      </c>
      <c r="AF230" s="17">
        <f t="shared" si="40"/>
        <v>0</v>
      </c>
      <c r="AG230" s="17">
        <f t="shared" si="41"/>
        <v>0</v>
      </c>
    </row>
    <row r="231" spans="1:33" s="19" customFormat="1" ht="21" customHeight="1" outlineLevel="1" x14ac:dyDescent="0.25">
      <c r="A231" s="48" t="s">
        <v>160</v>
      </c>
      <c r="B231" s="53"/>
      <c r="C231" s="64"/>
      <c r="D231" s="68"/>
      <c r="E231" s="68"/>
      <c r="F231" s="68">
        <v>0</v>
      </c>
      <c r="G231" s="68"/>
      <c r="H231" s="68">
        <v>0</v>
      </c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51">
        <f t="shared" si="37"/>
        <v>0</v>
      </c>
      <c r="AB231" s="51">
        <f t="shared" si="36"/>
        <v>0</v>
      </c>
      <c r="AD231" s="31">
        <f t="shared" si="38"/>
        <v>0</v>
      </c>
      <c r="AE231" s="31">
        <f t="shared" si="39"/>
        <v>0</v>
      </c>
      <c r="AF231" s="17">
        <f t="shared" si="40"/>
        <v>0</v>
      </c>
      <c r="AG231" s="17">
        <f t="shared" si="41"/>
        <v>0</v>
      </c>
    </row>
    <row r="232" spans="1:33" s="19" customFormat="1" ht="21" customHeight="1" outlineLevel="1" x14ac:dyDescent="0.25">
      <c r="A232" s="48" t="s">
        <v>161</v>
      </c>
      <c r="B232" s="53"/>
      <c r="C232" s="64"/>
      <c r="D232" s="68"/>
      <c r="E232" s="68"/>
      <c r="F232" s="68">
        <v>0</v>
      </c>
      <c r="G232" s="68"/>
      <c r="H232" s="68">
        <v>0</v>
      </c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51">
        <f t="shared" si="37"/>
        <v>0</v>
      </c>
      <c r="AB232" s="51">
        <f t="shared" si="36"/>
        <v>0</v>
      </c>
      <c r="AD232" s="31">
        <f t="shared" si="38"/>
        <v>0</v>
      </c>
      <c r="AE232" s="31">
        <f t="shared" si="39"/>
        <v>0</v>
      </c>
      <c r="AF232" s="17">
        <f t="shared" si="40"/>
        <v>0</v>
      </c>
      <c r="AG232" s="17">
        <f t="shared" si="41"/>
        <v>0</v>
      </c>
    </row>
    <row r="233" spans="1:33" s="19" customFormat="1" ht="21" customHeight="1" outlineLevel="1" x14ac:dyDescent="0.25">
      <c r="A233" s="48" t="s">
        <v>162</v>
      </c>
      <c r="B233" s="53"/>
      <c r="C233" s="64"/>
      <c r="D233" s="68"/>
      <c r="E233" s="68"/>
      <c r="F233" s="68">
        <v>0</v>
      </c>
      <c r="G233" s="68"/>
      <c r="H233" s="68">
        <v>0</v>
      </c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51">
        <f t="shared" si="37"/>
        <v>0</v>
      </c>
      <c r="AB233" s="51">
        <f t="shared" si="36"/>
        <v>0</v>
      </c>
      <c r="AD233" s="31">
        <f t="shared" si="38"/>
        <v>0</v>
      </c>
      <c r="AE233" s="31">
        <f t="shared" si="39"/>
        <v>0</v>
      </c>
      <c r="AF233" s="17">
        <f t="shared" si="40"/>
        <v>0</v>
      </c>
      <c r="AG233" s="17">
        <f t="shared" si="41"/>
        <v>0</v>
      </c>
    </row>
    <row r="234" spans="1:33" s="19" customFormat="1" ht="21" customHeight="1" outlineLevel="1" x14ac:dyDescent="0.25">
      <c r="A234" s="48" t="s">
        <v>163</v>
      </c>
      <c r="B234" s="53"/>
      <c r="C234" s="64"/>
      <c r="D234" s="68"/>
      <c r="E234" s="68"/>
      <c r="F234" s="68">
        <v>0</v>
      </c>
      <c r="G234" s="68"/>
      <c r="H234" s="68">
        <v>0</v>
      </c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51">
        <f t="shared" si="37"/>
        <v>0</v>
      </c>
      <c r="AB234" s="51">
        <f t="shared" si="36"/>
        <v>0</v>
      </c>
      <c r="AD234" s="31">
        <f t="shared" si="38"/>
        <v>0</v>
      </c>
      <c r="AE234" s="31">
        <f t="shared" si="39"/>
        <v>0</v>
      </c>
      <c r="AF234" s="17">
        <f t="shared" si="40"/>
        <v>0</v>
      </c>
      <c r="AG234" s="17">
        <f t="shared" si="41"/>
        <v>0</v>
      </c>
    </row>
    <row r="235" spans="1:33" s="19" customFormat="1" ht="21" customHeight="1" outlineLevel="1" x14ac:dyDescent="0.25">
      <c r="A235" s="48" t="s">
        <v>164</v>
      </c>
      <c r="B235" s="53"/>
      <c r="C235" s="64"/>
      <c r="D235" s="68"/>
      <c r="E235" s="68"/>
      <c r="F235" s="68">
        <v>0</v>
      </c>
      <c r="G235" s="68"/>
      <c r="H235" s="68">
        <v>0</v>
      </c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51">
        <f t="shared" si="37"/>
        <v>0</v>
      </c>
      <c r="AB235" s="51">
        <f t="shared" si="36"/>
        <v>0</v>
      </c>
      <c r="AD235" s="31">
        <f t="shared" si="38"/>
        <v>0</v>
      </c>
      <c r="AE235" s="31">
        <f t="shared" si="39"/>
        <v>0</v>
      </c>
      <c r="AF235" s="17">
        <f t="shared" si="40"/>
        <v>0</v>
      </c>
      <c r="AG235" s="17">
        <f t="shared" si="41"/>
        <v>0</v>
      </c>
    </row>
    <row r="236" spans="1:33" s="19" customFormat="1" ht="21" customHeight="1" outlineLevel="1" x14ac:dyDescent="0.25">
      <c r="A236" s="48" t="s">
        <v>165</v>
      </c>
      <c r="B236" s="53"/>
      <c r="C236" s="64"/>
      <c r="D236" s="68"/>
      <c r="E236" s="68"/>
      <c r="F236" s="68">
        <v>0</v>
      </c>
      <c r="G236" s="68"/>
      <c r="H236" s="68">
        <v>0</v>
      </c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51">
        <f t="shared" si="37"/>
        <v>0</v>
      </c>
      <c r="AB236" s="51">
        <f t="shared" si="36"/>
        <v>0</v>
      </c>
      <c r="AD236" s="31">
        <f t="shared" si="38"/>
        <v>0</v>
      </c>
      <c r="AE236" s="31">
        <f t="shared" si="39"/>
        <v>0</v>
      </c>
      <c r="AF236" s="17">
        <f t="shared" si="40"/>
        <v>0</v>
      </c>
      <c r="AG236" s="17">
        <f t="shared" si="41"/>
        <v>0</v>
      </c>
    </row>
    <row r="237" spans="1:33" s="19" customFormat="1" ht="21" customHeight="1" outlineLevel="1" x14ac:dyDescent="0.25">
      <c r="A237" s="48" t="s">
        <v>166</v>
      </c>
      <c r="B237" s="53"/>
      <c r="C237" s="64"/>
      <c r="D237" s="68"/>
      <c r="E237" s="68"/>
      <c r="F237" s="68">
        <v>0</v>
      </c>
      <c r="G237" s="68"/>
      <c r="H237" s="68">
        <v>0</v>
      </c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51">
        <f t="shared" si="37"/>
        <v>0</v>
      </c>
      <c r="AB237" s="51">
        <f t="shared" si="36"/>
        <v>0</v>
      </c>
      <c r="AD237" s="31">
        <f t="shared" si="38"/>
        <v>0</v>
      </c>
      <c r="AE237" s="31">
        <f t="shared" si="39"/>
        <v>0</v>
      </c>
      <c r="AF237" s="17">
        <f t="shared" si="40"/>
        <v>0</v>
      </c>
      <c r="AG237" s="17">
        <f t="shared" si="41"/>
        <v>0</v>
      </c>
    </row>
    <row r="238" spans="1:33" s="19" customFormat="1" ht="21" customHeight="1" outlineLevel="1" x14ac:dyDescent="0.25">
      <c r="A238" s="48" t="s">
        <v>167</v>
      </c>
      <c r="B238" s="53"/>
      <c r="C238" s="64"/>
      <c r="D238" s="68"/>
      <c r="E238" s="68"/>
      <c r="F238" s="68">
        <v>0</v>
      </c>
      <c r="G238" s="68"/>
      <c r="H238" s="68">
        <v>0</v>
      </c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51">
        <f t="shared" si="37"/>
        <v>0</v>
      </c>
      <c r="AB238" s="51">
        <f t="shared" si="36"/>
        <v>0</v>
      </c>
      <c r="AD238" s="31">
        <f t="shared" si="38"/>
        <v>0</v>
      </c>
      <c r="AE238" s="31">
        <f t="shared" si="39"/>
        <v>0</v>
      </c>
      <c r="AF238" s="17">
        <f t="shared" si="40"/>
        <v>0</v>
      </c>
      <c r="AG238" s="17">
        <f t="shared" si="41"/>
        <v>0</v>
      </c>
    </row>
    <row r="239" spans="1:33" s="19" customFormat="1" ht="21" customHeight="1" outlineLevel="1" x14ac:dyDescent="0.25">
      <c r="A239" s="48" t="s">
        <v>168</v>
      </c>
      <c r="B239" s="53"/>
      <c r="C239" s="64"/>
      <c r="D239" s="68"/>
      <c r="E239" s="68"/>
      <c r="F239" s="68">
        <v>0</v>
      </c>
      <c r="G239" s="68"/>
      <c r="H239" s="68">
        <v>0</v>
      </c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51">
        <f t="shared" si="37"/>
        <v>0</v>
      </c>
      <c r="AB239" s="51">
        <f t="shared" si="36"/>
        <v>0</v>
      </c>
      <c r="AD239" s="31">
        <f t="shared" si="38"/>
        <v>0</v>
      </c>
      <c r="AE239" s="31">
        <f t="shared" si="39"/>
        <v>0</v>
      </c>
      <c r="AF239" s="17">
        <f t="shared" si="40"/>
        <v>0</v>
      </c>
      <c r="AG239" s="17">
        <f t="shared" si="41"/>
        <v>0</v>
      </c>
    </row>
    <row r="240" spans="1:33" s="19" customFormat="1" ht="21" customHeight="1" outlineLevel="1" x14ac:dyDescent="0.25">
      <c r="A240" s="48" t="s">
        <v>169</v>
      </c>
      <c r="B240" s="53"/>
      <c r="C240" s="64"/>
      <c r="D240" s="68"/>
      <c r="E240" s="68"/>
      <c r="F240" s="68">
        <v>0</v>
      </c>
      <c r="G240" s="68"/>
      <c r="H240" s="68">
        <v>0</v>
      </c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51">
        <f t="shared" si="37"/>
        <v>0</v>
      </c>
      <c r="AB240" s="51">
        <f t="shared" si="36"/>
        <v>0</v>
      </c>
      <c r="AD240" s="31">
        <f t="shared" si="38"/>
        <v>0</v>
      </c>
      <c r="AE240" s="31">
        <f t="shared" si="39"/>
        <v>0</v>
      </c>
      <c r="AF240" s="17">
        <f t="shared" si="40"/>
        <v>0</v>
      </c>
      <c r="AG240" s="17">
        <f t="shared" si="41"/>
        <v>0</v>
      </c>
    </row>
    <row r="241" spans="1:55" s="19" customFormat="1" ht="21" customHeight="1" outlineLevel="1" x14ac:dyDescent="0.25">
      <c r="A241" s="48" t="s">
        <v>170</v>
      </c>
      <c r="B241" s="53"/>
      <c r="C241" s="64"/>
      <c r="D241" s="68"/>
      <c r="E241" s="68"/>
      <c r="F241" s="68">
        <v>0</v>
      </c>
      <c r="G241" s="68"/>
      <c r="H241" s="68">
        <v>0</v>
      </c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51">
        <f t="shared" si="37"/>
        <v>0</v>
      </c>
      <c r="AB241" s="51">
        <f t="shared" ref="AB241:AB258" si="42">D241+F241+H241+J241+L241+N241+P241+R241+T241+V241+X241+Z241</f>
        <v>0</v>
      </c>
      <c r="AD241" s="31">
        <f t="shared" si="38"/>
        <v>0</v>
      </c>
      <c r="AE241" s="31">
        <f t="shared" si="39"/>
        <v>0</v>
      </c>
      <c r="AF241" s="17">
        <f t="shared" si="40"/>
        <v>0</v>
      </c>
      <c r="AG241" s="17">
        <f t="shared" si="41"/>
        <v>0</v>
      </c>
    </row>
    <row r="242" spans="1:55" s="19" customFormat="1" ht="21" customHeight="1" outlineLevel="1" x14ac:dyDescent="0.25">
      <c r="A242" s="48" t="s">
        <v>171</v>
      </c>
      <c r="B242" s="53"/>
      <c r="C242" s="64"/>
      <c r="D242" s="68"/>
      <c r="E242" s="68"/>
      <c r="F242" s="68">
        <v>0</v>
      </c>
      <c r="G242" s="68"/>
      <c r="H242" s="68">
        <v>0</v>
      </c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51">
        <f t="shared" si="37"/>
        <v>0</v>
      </c>
      <c r="AB242" s="51">
        <f t="shared" si="42"/>
        <v>0</v>
      </c>
      <c r="AD242" s="31">
        <f t="shared" si="38"/>
        <v>0</v>
      </c>
      <c r="AE242" s="31">
        <f t="shared" si="39"/>
        <v>0</v>
      </c>
      <c r="AF242" s="17">
        <f t="shared" si="40"/>
        <v>0</v>
      </c>
      <c r="AG242" s="17">
        <f t="shared" si="41"/>
        <v>0</v>
      </c>
    </row>
    <row r="243" spans="1:55" s="19" customFormat="1" ht="21" customHeight="1" outlineLevel="1" x14ac:dyDescent="0.25">
      <c r="A243" s="48" t="s">
        <v>172</v>
      </c>
      <c r="B243" s="53"/>
      <c r="C243" s="64"/>
      <c r="D243" s="68"/>
      <c r="E243" s="68"/>
      <c r="F243" s="68">
        <v>0</v>
      </c>
      <c r="G243" s="68"/>
      <c r="H243" s="68">
        <v>0</v>
      </c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51">
        <f t="shared" si="37"/>
        <v>0</v>
      </c>
      <c r="AB243" s="51">
        <f t="shared" si="42"/>
        <v>0</v>
      </c>
      <c r="AD243" s="31">
        <f t="shared" si="38"/>
        <v>0</v>
      </c>
      <c r="AE243" s="31">
        <f t="shared" si="39"/>
        <v>0</v>
      </c>
      <c r="AF243" s="17">
        <f t="shared" si="40"/>
        <v>0</v>
      </c>
      <c r="AG243" s="17">
        <f t="shared" si="41"/>
        <v>0</v>
      </c>
    </row>
    <row r="244" spans="1:55" s="19" customFormat="1" ht="21" customHeight="1" outlineLevel="1" x14ac:dyDescent="0.25">
      <c r="A244" s="48" t="s">
        <v>173</v>
      </c>
      <c r="B244" s="53"/>
      <c r="C244" s="64"/>
      <c r="D244" s="68"/>
      <c r="E244" s="68"/>
      <c r="F244" s="68">
        <v>0</v>
      </c>
      <c r="G244" s="68"/>
      <c r="H244" s="68">
        <v>0</v>
      </c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51">
        <f t="shared" si="37"/>
        <v>0</v>
      </c>
      <c r="AB244" s="51">
        <f t="shared" si="42"/>
        <v>0</v>
      </c>
      <c r="AD244" s="31">
        <f t="shared" si="38"/>
        <v>0</v>
      </c>
      <c r="AE244" s="31">
        <f t="shared" si="39"/>
        <v>0</v>
      </c>
      <c r="AF244" s="17">
        <f t="shared" si="40"/>
        <v>0</v>
      </c>
      <c r="AG244" s="17">
        <f t="shared" si="41"/>
        <v>0</v>
      </c>
    </row>
    <row r="245" spans="1:55" s="19" customFormat="1" ht="21" customHeight="1" outlineLevel="1" x14ac:dyDescent="0.25">
      <c r="A245" s="48" t="s">
        <v>174</v>
      </c>
      <c r="B245" s="53"/>
      <c r="C245" s="64"/>
      <c r="D245" s="68"/>
      <c r="E245" s="68"/>
      <c r="F245" s="68">
        <v>0</v>
      </c>
      <c r="G245" s="68"/>
      <c r="H245" s="68">
        <v>0</v>
      </c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51">
        <f t="shared" si="37"/>
        <v>0</v>
      </c>
      <c r="AB245" s="51">
        <f t="shared" si="42"/>
        <v>0</v>
      </c>
      <c r="AD245" s="31">
        <f t="shared" si="38"/>
        <v>0</v>
      </c>
      <c r="AE245" s="31">
        <f t="shared" si="39"/>
        <v>0</v>
      </c>
      <c r="AF245" s="17">
        <f t="shared" si="40"/>
        <v>0</v>
      </c>
      <c r="AG245" s="17">
        <f t="shared" si="41"/>
        <v>0</v>
      </c>
    </row>
    <row r="246" spans="1:55" s="19" customFormat="1" ht="21" customHeight="1" outlineLevel="1" x14ac:dyDescent="0.25">
      <c r="A246" s="48" t="s">
        <v>175</v>
      </c>
      <c r="B246" s="53"/>
      <c r="C246" s="64"/>
      <c r="D246" s="68"/>
      <c r="E246" s="68"/>
      <c r="F246" s="68">
        <v>0</v>
      </c>
      <c r="G246" s="68"/>
      <c r="H246" s="68">
        <v>0</v>
      </c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51">
        <f t="shared" si="37"/>
        <v>0</v>
      </c>
      <c r="AB246" s="51">
        <f t="shared" si="42"/>
        <v>0</v>
      </c>
      <c r="AD246" s="31">
        <f t="shared" si="38"/>
        <v>0</v>
      </c>
      <c r="AE246" s="31">
        <f t="shared" si="39"/>
        <v>0</v>
      </c>
      <c r="AF246" s="17">
        <f t="shared" si="40"/>
        <v>0</v>
      </c>
      <c r="AG246" s="17">
        <f t="shared" si="41"/>
        <v>0</v>
      </c>
    </row>
    <row r="247" spans="1:55" s="19" customFormat="1" ht="21" customHeight="1" outlineLevel="1" x14ac:dyDescent="0.25">
      <c r="A247" s="48" t="s">
        <v>176</v>
      </c>
      <c r="B247" s="53"/>
      <c r="C247" s="64"/>
      <c r="D247" s="68"/>
      <c r="E247" s="68"/>
      <c r="F247" s="68">
        <v>0</v>
      </c>
      <c r="G247" s="68"/>
      <c r="H247" s="68">
        <v>0</v>
      </c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51">
        <f t="shared" si="37"/>
        <v>0</v>
      </c>
      <c r="AB247" s="51">
        <f t="shared" si="42"/>
        <v>0</v>
      </c>
      <c r="AD247" s="31">
        <f t="shared" si="38"/>
        <v>0</v>
      </c>
      <c r="AE247" s="31">
        <f t="shared" si="39"/>
        <v>0</v>
      </c>
      <c r="AF247" s="17">
        <f t="shared" si="40"/>
        <v>0</v>
      </c>
      <c r="AG247" s="17">
        <f t="shared" si="41"/>
        <v>0</v>
      </c>
    </row>
    <row r="248" spans="1:55" s="19" customFormat="1" ht="21" customHeight="1" outlineLevel="1" x14ac:dyDescent="0.25">
      <c r="A248" s="48" t="s">
        <v>177</v>
      </c>
      <c r="B248" s="53"/>
      <c r="C248" s="64"/>
      <c r="D248" s="68"/>
      <c r="E248" s="68"/>
      <c r="F248" s="68">
        <v>0</v>
      </c>
      <c r="G248" s="68"/>
      <c r="H248" s="68">
        <v>0</v>
      </c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51">
        <f t="shared" si="37"/>
        <v>0</v>
      </c>
      <c r="AB248" s="51">
        <f t="shared" si="42"/>
        <v>0</v>
      </c>
      <c r="AD248" s="31">
        <f t="shared" si="38"/>
        <v>0</v>
      </c>
      <c r="AE248" s="31">
        <f t="shared" si="39"/>
        <v>0</v>
      </c>
      <c r="AF248" s="17">
        <f t="shared" si="40"/>
        <v>0</v>
      </c>
      <c r="AG248" s="17">
        <f t="shared" si="41"/>
        <v>0</v>
      </c>
    </row>
    <row r="249" spans="1:55" s="19" customFormat="1" ht="21" customHeight="1" outlineLevel="1" x14ac:dyDescent="0.25">
      <c r="A249" s="48" t="s">
        <v>178</v>
      </c>
      <c r="B249" s="53"/>
      <c r="C249" s="64"/>
      <c r="D249" s="68"/>
      <c r="E249" s="68"/>
      <c r="F249" s="68">
        <v>0</v>
      </c>
      <c r="G249" s="68"/>
      <c r="H249" s="68">
        <v>0</v>
      </c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51">
        <f t="shared" si="37"/>
        <v>0</v>
      </c>
      <c r="AB249" s="51">
        <f t="shared" si="42"/>
        <v>0</v>
      </c>
      <c r="AD249" s="31">
        <f t="shared" si="38"/>
        <v>0</v>
      </c>
      <c r="AE249" s="31">
        <f t="shared" si="39"/>
        <v>0</v>
      </c>
      <c r="AF249" s="17">
        <f t="shared" si="40"/>
        <v>0</v>
      </c>
      <c r="AG249" s="17">
        <f t="shared" si="41"/>
        <v>0</v>
      </c>
    </row>
    <row r="250" spans="1:55" s="19" customFormat="1" ht="21" customHeight="1" x14ac:dyDescent="0.25">
      <c r="A250" s="63" t="s">
        <v>182</v>
      </c>
      <c r="B250" s="53">
        <v>9</v>
      </c>
      <c r="C250" s="64"/>
      <c r="D250" s="68"/>
      <c r="E250" s="68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1">
        <f t="shared" si="37"/>
        <v>0</v>
      </c>
      <c r="AB250" s="51">
        <f t="shared" si="42"/>
        <v>0</v>
      </c>
      <c r="AD250" s="31">
        <f t="shared" si="38"/>
        <v>0</v>
      </c>
      <c r="AE250" s="31">
        <f t="shared" si="39"/>
        <v>0</v>
      </c>
      <c r="AF250" s="17">
        <f t="shared" si="40"/>
        <v>0</v>
      </c>
      <c r="AG250" s="17">
        <f t="shared" si="41"/>
        <v>0</v>
      </c>
      <c r="BC250" s="21"/>
    </row>
    <row r="251" spans="1:55" s="19" customFormat="1" ht="21" customHeight="1" x14ac:dyDescent="0.25">
      <c r="A251" s="63" t="s">
        <v>183</v>
      </c>
      <c r="B251" s="53">
        <v>10</v>
      </c>
      <c r="C251" s="64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1">
        <f t="shared" si="37"/>
        <v>0</v>
      </c>
      <c r="AB251" s="51">
        <f t="shared" si="42"/>
        <v>0</v>
      </c>
      <c r="AD251" s="31">
        <f t="shared" si="38"/>
        <v>0</v>
      </c>
      <c r="AE251" s="31">
        <f t="shared" si="39"/>
        <v>0</v>
      </c>
      <c r="AF251" s="17">
        <f t="shared" si="40"/>
        <v>0</v>
      </c>
      <c r="AG251" s="17">
        <f t="shared" si="41"/>
        <v>0</v>
      </c>
      <c r="BC251" s="21"/>
    </row>
    <row r="252" spans="1:55" s="19" customFormat="1" ht="21" customHeight="1" x14ac:dyDescent="0.25">
      <c r="A252" s="63" t="s">
        <v>184</v>
      </c>
      <c r="B252" s="53">
        <v>11</v>
      </c>
      <c r="C252" s="64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1">
        <f t="shared" si="37"/>
        <v>0</v>
      </c>
      <c r="AB252" s="51">
        <f t="shared" si="42"/>
        <v>0</v>
      </c>
      <c r="AD252" s="31">
        <f t="shared" si="38"/>
        <v>0</v>
      </c>
      <c r="AE252" s="31">
        <f t="shared" si="39"/>
        <v>0</v>
      </c>
      <c r="AF252" s="17">
        <f t="shared" si="40"/>
        <v>0</v>
      </c>
      <c r="AG252" s="17">
        <f t="shared" si="41"/>
        <v>0</v>
      </c>
      <c r="BC252" s="21"/>
    </row>
    <row r="253" spans="1:55" s="19" customFormat="1" ht="22" customHeight="1" outlineLevel="1" x14ac:dyDescent="0.25">
      <c r="A253" s="63" t="s">
        <v>185</v>
      </c>
      <c r="B253" s="53">
        <v>12</v>
      </c>
      <c r="C253" s="64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1">
        <f t="shared" si="37"/>
        <v>0</v>
      </c>
      <c r="AB253" s="51">
        <f t="shared" si="42"/>
        <v>0</v>
      </c>
      <c r="AD253" s="31">
        <f t="shared" si="38"/>
        <v>0</v>
      </c>
      <c r="AE253" s="31">
        <f t="shared" si="39"/>
        <v>0</v>
      </c>
      <c r="AF253" s="17">
        <f t="shared" si="40"/>
        <v>0</v>
      </c>
      <c r="AG253" s="17">
        <f t="shared" si="41"/>
        <v>0</v>
      </c>
      <c r="BC253" s="21"/>
    </row>
    <row r="254" spans="1:55" s="19" customFormat="1" ht="22" customHeight="1" outlineLevel="1" x14ac:dyDescent="0.25">
      <c r="A254" s="63" t="s">
        <v>186</v>
      </c>
      <c r="B254" s="53">
        <v>13</v>
      </c>
      <c r="C254" s="64"/>
      <c r="D254" s="73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51">
        <f t="shared" si="37"/>
        <v>0</v>
      </c>
      <c r="AB254" s="51">
        <f t="shared" si="42"/>
        <v>0</v>
      </c>
      <c r="AD254" s="31">
        <f t="shared" si="38"/>
        <v>0</v>
      </c>
      <c r="AE254" s="31">
        <f t="shared" si="39"/>
        <v>0</v>
      </c>
      <c r="AF254" s="17">
        <f t="shared" si="40"/>
        <v>0</v>
      </c>
      <c r="AG254" s="17">
        <f t="shared" si="41"/>
        <v>0</v>
      </c>
      <c r="BC254" s="21"/>
    </row>
    <row r="255" spans="1:55" s="19" customFormat="1" ht="22" customHeight="1" outlineLevel="1" x14ac:dyDescent="0.25">
      <c r="A255" s="63" t="s">
        <v>187</v>
      </c>
      <c r="B255" s="53">
        <v>14</v>
      </c>
      <c r="C255" s="64"/>
      <c r="D255" s="75"/>
      <c r="E255" s="75"/>
      <c r="F255" s="75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51">
        <f t="shared" si="37"/>
        <v>0</v>
      </c>
      <c r="AB255" s="51">
        <f t="shared" si="42"/>
        <v>0</v>
      </c>
      <c r="AD255" s="31">
        <f t="shared" si="38"/>
        <v>0</v>
      </c>
      <c r="AE255" s="31">
        <f t="shared" si="39"/>
        <v>0</v>
      </c>
      <c r="AF255" s="17">
        <f t="shared" si="40"/>
        <v>0</v>
      </c>
      <c r="AG255" s="17">
        <f t="shared" si="41"/>
        <v>0</v>
      </c>
    </row>
    <row r="256" spans="1:55" s="19" customFormat="1" ht="22" customHeight="1" outlineLevel="1" x14ac:dyDescent="0.25">
      <c r="A256" s="63" t="s">
        <v>188</v>
      </c>
      <c r="B256" s="53">
        <v>15</v>
      </c>
      <c r="C256" s="64"/>
      <c r="D256" s="75"/>
      <c r="E256" s="75"/>
      <c r="F256" s="75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51">
        <f t="shared" si="37"/>
        <v>0</v>
      </c>
      <c r="AB256" s="51">
        <f t="shared" si="42"/>
        <v>0</v>
      </c>
      <c r="AD256" s="31">
        <f t="shared" si="38"/>
        <v>0</v>
      </c>
      <c r="AE256" s="31">
        <f t="shared" si="39"/>
        <v>0</v>
      </c>
      <c r="AF256" s="17">
        <f t="shared" si="40"/>
        <v>0</v>
      </c>
      <c r="AG256" s="17">
        <f t="shared" si="41"/>
        <v>0</v>
      </c>
    </row>
    <row r="257" spans="1:119" s="19" customFormat="1" ht="22" customHeight="1" x14ac:dyDescent="0.25">
      <c r="A257" s="63" t="s">
        <v>189</v>
      </c>
      <c r="B257" s="53">
        <v>16</v>
      </c>
      <c r="C257" s="64"/>
      <c r="D257" s="75"/>
      <c r="E257" s="75"/>
      <c r="F257" s="75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51">
        <f t="shared" si="37"/>
        <v>0</v>
      </c>
      <c r="AB257" s="51">
        <f t="shared" si="42"/>
        <v>0</v>
      </c>
      <c r="AD257" s="31">
        <f t="shared" si="38"/>
        <v>0</v>
      </c>
      <c r="AE257" s="31">
        <f t="shared" si="39"/>
        <v>0</v>
      </c>
      <c r="AF257" s="17">
        <f t="shared" si="40"/>
        <v>0</v>
      </c>
      <c r="AG257" s="17">
        <f t="shared" si="41"/>
        <v>0</v>
      </c>
      <c r="BC257" s="21"/>
    </row>
    <row r="258" spans="1:119" s="17" customFormat="1" ht="22" customHeight="1" x14ac:dyDescent="0.25">
      <c r="A258" s="44" t="s">
        <v>190</v>
      </c>
      <c r="B258" s="45">
        <v>17</v>
      </c>
      <c r="C258" s="77">
        <f t="shared" ref="C258:AA258" si="43">C6-C16-C28-C29-C102-C176-C250-C251-C252+C253+C254+C256+C257</f>
        <v>-107697.31440000003</v>
      </c>
      <c r="D258" s="77">
        <f t="shared" si="43"/>
        <v>263950.01440000115</v>
      </c>
      <c r="E258" s="77">
        <f t="shared" si="43"/>
        <v>91344.94</v>
      </c>
      <c r="F258" s="77">
        <f t="shared" si="43"/>
        <v>224899.54280000011</v>
      </c>
      <c r="G258" s="77">
        <f t="shared" si="43"/>
        <v>303097.25919999985</v>
      </c>
      <c r="H258" s="77">
        <f t="shared" si="43"/>
        <v>441132.29440000013</v>
      </c>
      <c r="I258" s="77">
        <f t="shared" si="43"/>
        <v>535327.62560000026</v>
      </c>
      <c r="J258" s="77">
        <f t="shared" si="43"/>
        <v>483311.6220000012</v>
      </c>
      <c r="K258" s="77">
        <f t="shared" si="43"/>
        <v>421341.41999999987</v>
      </c>
      <c r="L258" s="77">
        <f t="shared" si="43"/>
        <v>249248.7972000002</v>
      </c>
      <c r="M258" s="77">
        <f t="shared" si="43"/>
        <v>408990.50479999976</v>
      </c>
      <c r="N258" s="77">
        <f t="shared" si="43"/>
        <v>438192.76199999999</v>
      </c>
      <c r="O258" s="77">
        <f t="shared" si="43"/>
        <v>348494.98560000036</v>
      </c>
      <c r="P258" s="77">
        <f t="shared" si="43"/>
        <v>325454.57680000062</v>
      </c>
      <c r="Q258" s="77">
        <f t="shared" si="43"/>
        <v>516629.54919999989</v>
      </c>
      <c r="R258" s="77">
        <f t="shared" si="43"/>
        <v>488285.28080000024</v>
      </c>
      <c r="S258" s="77">
        <f t="shared" si="43"/>
        <v>638725.56439999968</v>
      </c>
      <c r="T258" s="77">
        <f t="shared" si="43"/>
        <v>740815.07959999982</v>
      </c>
      <c r="U258" s="77">
        <f t="shared" si="43"/>
        <v>248544.02800000005</v>
      </c>
      <c r="V258" s="77">
        <f t="shared" si="43"/>
        <v>387192.83801415941</v>
      </c>
      <c r="W258" s="77">
        <f t="shared" si="43"/>
        <v>469821.22799999989</v>
      </c>
      <c r="X258" s="77">
        <f t="shared" si="43"/>
        <v>314474.27959999989</v>
      </c>
      <c r="Y258" s="77">
        <f t="shared" si="43"/>
        <v>880922.77920000011</v>
      </c>
      <c r="Z258" s="77">
        <f t="shared" si="43"/>
        <v>620728.41167099983</v>
      </c>
      <c r="AA258" s="106">
        <f t="shared" si="43"/>
        <v>4755542.5695999982</v>
      </c>
      <c r="AB258" s="47">
        <f t="shared" si="42"/>
        <v>4977685.4992851615</v>
      </c>
      <c r="AD258" s="31">
        <f t="shared" si="38"/>
        <v>4755542.5695999991</v>
      </c>
      <c r="AE258" s="31">
        <f t="shared" si="39"/>
        <v>4977685.4992851615</v>
      </c>
      <c r="AF258" s="17">
        <f t="shared" si="40"/>
        <v>0</v>
      </c>
      <c r="AG258" s="17">
        <f t="shared" si="41"/>
        <v>0</v>
      </c>
      <c r="BC258" s="21"/>
    </row>
    <row r="259" spans="1:119" s="19" customFormat="1" ht="22" customHeight="1" x14ac:dyDescent="0.25">
      <c r="A259" s="63" t="s">
        <v>191</v>
      </c>
      <c r="B259" s="53">
        <v>18</v>
      </c>
      <c r="C259" s="64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1">
        <f>C259+E259+G259+I259+K259+M259+O259+Q259+S259+U259+W259+Y259</f>
        <v>0</v>
      </c>
      <c r="AB259" s="105">
        <f>SUM(D259:Z259)</f>
        <v>0</v>
      </c>
      <c r="AD259" s="31">
        <f t="shared" si="38"/>
        <v>0</v>
      </c>
      <c r="AE259" s="31">
        <f t="shared" si="39"/>
        <v>0</v>
      </c>
      <c r="AF259" s="17">
        <f t="shared" si="40"/>
        <v>0</v>
      </c>
      <c r="AG259" s="17">
        <f t="shared" si="41"/>
        <v>0</v>
      </c>
      <c r="BC259" s="21"/>
    </row>
    <row r="260" spans="1:119" s="19" customFormat="1" ht="22" customHeight="1" x14ac:dyDescent="0.25">
      <c r="A260" s="63" t="s">
        <v>192</v>
      </c>
      <c r="B260" s="53">
        <v>19</v>
      </c>
      <c r="C260" s="64"/>
      <c r="D260" s="68"/>
      <c r="E260" s="68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1">
        <f>C260+E260+G260+I260+K260+M260+O260+Q260+S260+U260+W260+Y260</f>
        <v>0</v>
      </c>
      <c r="AB260" s="105">
        <f>SUM(D260:Z260)</f>
        <v>0</v>
      </c>
      <c r="AD260" s="31">
        <f t="shared" si="38"/>
        <v>0</v>
      </c>
      <c r="AE260" s="31">
        <f t="shared" si="39"/>
        <v>0</v>
      </c>
      <c r="AF260" s="17">
        <f t="shared" si="40"/>
        <v>0</v>
      </c>
      <c r="AG260" s="17">
        <f t="shared" si="41"/>
        <v>0</v>
      </c>
      <c r="BC260" s="21"/>
    </row>
    <row r="261" spans="1:119" s="17" customFormat="1" ht="22" customHeight="1" x14ac:dyDescent="0.25">
      <c r="A261" s="44" t="s">
        <v>193</v>
      </c>
      <c r="B261" s="45">
        <v>20</v>
      </c>
      <c r="C261" s="77">
        <f t="shared" ref="C261:AB261" si="44">C258+C259-C260</f>
        <v>-107697.31440000003</v>
      </c>
      <c r="D261" s="77">
        <f t="shared" si="44"/>
        <v>263950.01440000115</v>
      </c>
      <c r="E261" s="77">
        <f t="shared" si="44"/>
        <v>91344.94</v>
      </c>
      <c r="F261" s="77">
        <f t="shared" si="44"/>
        <v>224899.54280000011</v>
      </c>
      <c r="G261" s="77">
        <f t="shared" si="44"/>
        <v>303097.25919999985</v>
      </c>
      <c r="H261" s="77">
        <f t="shared" si="44"/>
        <v>441132.29440000013</v>
      </c>
      <c r="I261" s="77">
        <f t="shared" si="44"/>
        <v>535327.62560000026</v>
      </c>
      <c r="J261" s="77">
        <f t="shared" si="44"/>
        <v>483311.6220000012</v>
      </c>
      <c r="K261" s="77">
        <f t="shared" si="44"/>
        <v>421341.41999999987</v>
      </c>
      <c r="L261" s="77">
        <f t="shared" si="44"/>
        <v>249248.7972000002</v>
      </c>
      <c r="M261" s="77">
        <f t="shared" si="44"/>
        <v>408990.50479999976</v>
      </c>
      <c r="N261" s="77">
        <f t="shared" si="44"/>
        <v>438192.76199999999</v>
      </c>
      <c r="O261" s="77">
        <f t="shared" si="44"/>
        <v>348494.98560000036</v>
      </c>
      <c r="P261" s="77">
        <f t="shared" si="44"/>
        <v>325454.57680000062</v>
      </c>
      <c r="Q261" s="77">
        <f t="shared" si="44"/>
        <v>516629.54919999989</v>
      </c>
      <c r="R261" s="77">
        <f t="shared" si="44"/>
        <v>488285.28080000024</v>
      </c>
      <c r="S261" s="77">
        <f t="shared" si="44"/>
        <v>638725.56439999968</v>
      </c>
      <c r="T261" s="77">
        <f t="shared" si="44"/>
        <v>740815.07959999982</v>
      </c>
      <c r="U261" s="77">
        <f t="shared" si="44"/>
        <v>248544.02800000005</v>
      </c>
      <c r="V261" s="77">
        <f t="shared" si="44"/>
        <v>387192.83801415941</v>
      </c>
      <c r="W261" s="77">
        <f t="shared" si="44"/>
        <v>469821.22799999989</v>
      </c>
      <c r="X261" s="77">
        <f t="shared" si="44"/>
        <v>314474.27959999989</v>
      </c>
      <c r="Y261" s="77">
        <f t="shared" si="44"/>
        <v>880922.77920000011</v>
      </c>
      <c r="Z261" s="77">
        <f t="shared" si="44"/>
        <v>620728.41167099983</v>
      </c>
      <c r="AA261" s="106">
        <f t="shared" si="44"/>
        <v>4755542.5695999982</v>
      </c>
      <c r="AB261" s="106">
        <f t="shared" si="44"/>
        <v>4977685.4992851615</v>
      </c>
      <c r="AD261" s="31">
        <f t="shared" si="38"/>
        <v>4755542.5695999991</v>
      </c>
      <c r="AE261" s="31">
        <f t="shared" si="39"/>
        <v>4977685.4992851615</v>
      </c>
      <c r="AF261" s="55">
        <f>AD26-AD28-AD29-AD102-AD176-AD250-AD251-AD252+AD257+AD259-AD260-AA261</f>
        <v>0</v>
      </c>
      <c r="AG261" s="55">
        <f>AE26-AE28-AE29-AE102-AE176-AE250-AE251-AE252+AE257+AE259-AE260-AB261</f>
        <v>0</v>
      </c>
      <c r="BC261" s="21"/>
    </row>
    <row r="262" spans="1:119" s="19" customFormat="1" ht="22" customHeight="1" x14ac:dyDescent="0.25">
      <c r="A262" s="63" t="s">
        <v>194</v>
      </c>
      <c r="B262" s="53">
        <v>21</v>
      </c>
      <c r="C262" s="64"/>
      <c r="D262" s="68"/>
      <c r="E262" s="68">
        <v>13180.45</v>
      </c>
      <c r="F262" s="75"/>
      <c r="G262" s="75">
        <v>35815.760000000002</v>
      </c>
      <c r="H262" s="75"/>
      <c r="I262" s="75">
        <v>58577.65</v>
      </c>
      <c r="J262" s="75"/>
      <c r="K262" s="75">
        <v>47606.79</v>
      </c>
      <c r="L262" s="75"/>
      <c r="M262" s="75">
        <v>46491.56</v>
      </c>
      <c r="N262" s="75"/>
      <c r="O262" s="75">
        <v>41935.08</v>
      </c>
      <c r="P262" s="75"/>
      <c r="Q262" s="75">
        <v>58104.09</v>
      </c>
      <c r="R262" s="75"/>
      <c r="S262" s="75">
        <v>70466.27</v>
      </c>
      <c r="T262" s="75"/>
      <c r="U262" s="75">
        <v>30893.94</v>
      </c>
      <c r="V262" s="75"/>
      <c r="W262" s="75">
        <v>52801.279999999999</v>
      </c>
      <c r="X262" s="75"/>
      <c r="Y262" s="75">
        <v>94229.16</v>
      </c>
      <c r="Z262" s="75"/>
      <c r="AA262" s="51">
        <f>C262+E262+G262+I262+K262+M262+O262+Q262+S262+U262+W262+Y262</f>
        <v>550102.03</v>
      </c>
      <c r="AB262" s="51">
        <f>D262+F262+H262+J262+L262+N262+P262+R262+T262+V262+X262+Z262</f>
        <v>0</v>
      </c>
      <c r="AD262" s="31">
        <f t="shared" si="38"/>
        <v>550102.03</v>
      </c>
      <c r="AE262" s="31">
        <f t="shared" si="39"/>
        <v>0</v>
      </c>
      <c r="AF262" s="17">
        <f>AA262-AD262</f>
        <v>0</v>
      </c>
      <c r="AG262" s="17" t="e">
        <f>IF(AB262-AE262=AB262-#REF!,0,AE262-#REF!)</f>
        <v>#REF!</v>
      </c>
      <c r="BC262" s="21"/>
    </row>
    <row r="263" spans="1:119" s="17" customFormat="1" ht="22" customHeight="1" x14ac:dyDescent="0.25">
      <c r="A263" s="44" t="s">
        <v>196</v>
      </c>
      <c r="B263" s="45">
        <v>22</v>
      </c>
      <c r="C263" s="77">
        <f t="shared" ref="C263:AB263" si="45">C261-C262</f>
        <v>-107697.31440000003</v>
      </c>
      <c r="D263" s="77">
        <f t="shared" si="45"/>
        <v>263950.01440000115</v>
      </c>
      <c r="E263" s="77">
        <f t="shared" si="45"/>
        <v>78164.490000000005</v>
      </c>
      <c r="F263" s="77">
        <f t="shared" si="45"/>
        <v>224899.54280000011</v>
      </c>
      <c r="G263" s="77">
        <f t="shared" si="45"/>
        <v>267281.49919999985</v>
      </c>
      <c r="H263" s="77">
        <f t="shared" si="45"/>
        <v>441132.29440000013</v>
      </c>
      <c r="I263" s="77">
        <f t="shared" si="45"/>
        <v>476749.97560000024</v>
      </c>
      <c r="J263" s="77">
        <f t="shared" si="45"/>
        <v>483311.6220000012</v>
      </c>
      <c r="K263" s="77">
        <f t="shared" si="45"/>
        <v>373734.62999999989</v>
      </c>
      <c r="L263" s="77">
        <f t="shared" si="45"/>
        <v>249248.7972000002</v>
      </c>
      <c r="M263" s="77">
        <f t="shared" si="45"/>
        <v>362498.94479999976</v>
      </c>
      <c r="N263" s="77">
        <f t="shared" si="45"/>
        <v>438192.76199999999</v>
      </c>
      <c r="O263" s="77">
        <f t="shared" si="45"/>
        <v>306559.90560000035</v>
      </c>
      <c r="P263" s="77">
        <f t="shared" si="45"/>
        <v>325454.57680000062</v>
      </c>
      <c r="Q263" s="77">
        <f t="shared" si="45"/>
        <v>458525.45919999992</v>
      </c>
      <c r="R263" s="77">
        <f t="shared" si="45"/>
        <v>488285.28080000024</v>
      </c>
      <c r="S263" s="77">
        <f t="shared" si="45"/>
        <v>568259.29439999966</v>
      </c>
      <c r="T263" s="77">
        <f t="shared" si="45"/>
        <v>740815.07959999982</v>
      </c>
      <c r="U263" s="77">
        <f t="shared" si="45"/>
        <v>217650.08800000005</v>
      </c>
      <c r="V263" s="77">
        <f t="shared" si="45"/>
        <v>387192.83801415941</v>
      </c>
      <c r="W263" s="77">
        <f t="shared" si="45"/>
        <v>417019.94799999986</v>
      </c>
      <c r="X263" s="77">
        <f t="shared" si="45"/>
        <v>314474.27959999989</v>
      </c>
      <c r="Y263" s="77">
        <f t="shared" si="45"/>
        <v>786693.61920000007</v>
      </c>
      <c r="Z263" s="77">
        <f t="shared" si="45"/>
        <v>620728.41167099983</v>
      </c>
      <c r="AA263" s="106">
        <f t="shared" si="45"/>
        <v>4205440.5395999979</v>
      </c>
      <c r="AB263" s="106">
        <f t="shared" si="45"/>
        <v>4977685.4992851615</v>
      </c>
      <c r="AD263" s="31">
        <f t="shared" si="38"/>
        <v>4205440.5395999998</v>
      </c>
      <c r="AE263" s="31">
        <f t="shared" si="39"/>
        <v>4977685.4992851615</v>
      </c>
      <c r="AF263" s="17">
        <f>AA263-AD263</f>
        <v>0</v>
      </c>
      <c r="AG263" s="17">
        <f>AB263-AE263</f>
        <v>0</v>
      </c>
      <c r="BC263" s="21"/>
    </row>
    <row r="264" spans="1:119" s="17" customFormat="1" ht="22" customHeight="1" x14ac:dyDescent="0.25">
      <c r="A264" s="79" t="s">
        <v>197</v>
      </c>
      <c r="B264" s="45">
        <v>23</v>
      </c>
      <c r="C264" s="77"/>
      <c r="D264" s="77"/>
      <c r="E264" s="77"/>
      <c r="F264" s="77">
        <v>14324</v>
      </c>
      <c r="G264" s="77"/>
      <c r="H264" s="77">
        <v>2894</v>
      </c>
      <c r="I264" s="77"/>
      <c r="J264" s="77">
        <v>8846</v>
      </c>
      <c r="K264" s="77"/>
      <c r="L264" s="77"/>
      <c r="M264" s="77"/>
      <c r="N264" s="77">
        <f>-14324+8906-8846</f>
        <v>-14264</v>
      </c>
      <c r="O264" s="77"/>
      <c r="P264" s="77"/>
      <c r="Q264" s="77"/>
      <c r="R264" s="77"/>
      <c r="S264" s="77"/>
      <c r="T264" s="77">
        <v>33360</v>
      </c>
      <c r="U264" s="77"/>
      <c r="V264" s="77">
        <f>5749</f>
        <v>5749</v>
      </c>
      <c r="W264" s="77"/>
      <c r="X264" s="77"/>
      <c r="Y264" s="77"/>
      <c r="Z264" s="77">
        <f>-15273-35636</f>
        <v>-50909</v>
      </c>
      <c r="AA264" s="51">
        <f>C264+E264+G264+I264+K264+M264+O264+Q264+S264+U264+W264+Y264</f>
        <v>0</v>
      </c>
      <c r="AB264" s="51">
        <f>D264+F264+H264+J264+L264+N264+P264+R264+T264+V264+X264+Z264</f>
        <v>0</v>
      </c>
      <c r="AD264" s="31">
        <f t="shared" si="38"/>
        <v>0</v>
      </c>
      <c r="AE264" s="80">
        <f>SUMIF($C$5:$Z$263,$AE$5,$C264:Z523)</f>
        <v>0</v>
      </c>
      <c r="AF264" s="17">
        <f>AA264-AD264</f>
        <v>0</v>
      </c>
      <c r="AG264" s="17">
        <f>AB264-AE264</f>
        <v>0</v>
      </c>
      <c r="BC264" s="21"/>
    </row>
    <row r="265" spans="1:119" s="17" customFormat="1" ht="22" customHeight="1" x14ac:dyDescent="0.25">
      <c r="A265" s="81" t="s">
        <v>198</v>
      </c>
      <c r="B265" s="45">
        <v>24</v>
      </c>
      <c r="C265" s="77">
        <f t="shared" ref="C265:Z265" si="46">C263-C264</f>
        <v>-107697.31440000003</v>
      </c>
      <c r="D265" s="77">
        <f t="shared" si="46"/>
        <v>263950.01440000115</v>
      </c>
      <c r="E265" s="77">
        <f t="shared" si="46"/>
        <v>78164.490000000005</v>
      </c>
      <c r="F265" s="77">
        <f t="shared" si="46"/>
        <v>210575.54280000011</v>
      </c>
      <c r="G265" s="77">
        <f t="shared" si="46"/>
        <v>267281.49919999985</v>
      </c>
      <c r="H265" s="77">
        <f t="shared" si="46"/>
        <v>438238.29440000013</v>
      </c>
      <c r="I265" s="77">
        <f t="shared" si="46"/>
        <v>476749.97560000024</v>
      </c>
      <c r="J265" s="77">
        <f t="shared" si="46"/>
        <v>474465.6220000012</v>
      </c>
      <c r="K265" s="77">
        <f t="shared" si="46"/>
        <v>373734.62999999989</v>
      </c>
      <c r="L265" s="77">
        <f t="shared" si="46"/>
        <v>249248.7972000002</v>
      </c>
      <c r="M265" s="77">
        <f t="shared" si="46"/>
        <v>362498.94479999976</v>
      </c>
      <c r="N265" s="77">
        <f t="shared" si="46"/>
        <v>452456.76199999999</v>
      </c>
      <c r="O265" s="77">
        <f t="shared" si="46"/>
        <v>306559.90560000035</v>
      </c>
      <c r="P265" s="77">
        <f t="shared" si="46"/>
        <v>325454.57680000062</v>
      </c>
      <c r="Q265" s="77">
        <f t="shared" si="46"/>
        <v>458525.45919999992</v>
      </c>
      <c r="R265" s="77">
        <f t="shared" si="46"/>
        <v>488285.28080000024</v>
      </c>
      <c r="S265" s="77">
        <f t="shared" si="46"/>
        <v>568259.29439999966</v>
      </c>
      <c r="T265" s="77">
        <f t="shared" si="46"/>
        <v>707455.07959999982</v>
      </c>
      <c r="U265" s="77">
        <f t="shared" si="46"/>
        <v>217650.08800000005</v>
      </c>
      <c r="V265" s="77">
        <f t="shared" si="46"/>
        <v>381443.83801415941</v>
      </c>
      <c r="W265" s="77">
        <f t="shared" si="46"/>
        <v>417019.94799999986</v>
      </c>
      <c r="X265" s="77">
        <f t="shared" si="46"/>
        <v>314474.27959999989</v>
      </c>
      <c r="Y265" s="77">
        <f t="shared" si="46"/>
        <v>786693.61920000007</v>
      </c>
      <c r="Z265" s="77">
        <f t="shared" si="46"/>
        <v>671637.41167099983</v>
      </c>
      <c r="AA265" s="47">
        <f>C265+E265+G265+I265+K265+M265+O265+Q265+S265+U265+W265+Y265</f>
        <v>4205440.5395999998</v>
      </c>
      <c r="AB265" s="47">
        <f>D265+F265+H265+J265+L265+N265+P265+R265+T265+V265+X265+Z265</f>
        <v>4977685.4992851615</v>
      </c>
      <c r="AD265" s="31">
        <f t="shared" si="38"/>
        <v>4205440.5395999998</v>
      </c>
      <c r="AE265" s="80">
        <f>SUMIF($C$5:$Z$263,$AE$5,$C265:Z524)</f>
        <v>4977685.4992851615</v>
      </c>
      <c r="AF265" s="17">
        <f>AA265-AD265</f>
        <v>0</v>
      </c>
      <c r="AG265" s="17">
        <f>AB265-AE265</f>
        <v>0</v>
      </c>
      <c r="BC265" s="21"/>
    </row>
    <row r="266" spans="1:119" s="20" customFormat="1" ht="22" customHeight="1" x14ac:dyDescent="0.25">
      <c r="A266" s="82" t="s">
        <v>211</v>
      </c>
      <c r="B266" s="83"/>
      <c r="C266" s="84">
        <f t="shared" ref="C266:AB266" si="47">C263/C6</f>
        <v>-9.728754688346887E-2</v>
      </c>
      <c r="D266" s="84">
        <f t="shared" si="47"/>
        <v>0.12033629238340843</v>
      </c>
      <c r="E266" s="84">
        <f t="shared" si="47"/>
        <v>4.2806401971522454E-2</v>
      </c>
      <c r="F266" s="84">
        <f t="shared" si="47"/>
        <v>0.14758554513158773</v>
      </c>
      <c r="G266" s="84">
        <f t="shared" si="47"/>
        <v>8.0989485243318546E-2</v>
      </c>
      <c r="H266" s="84">
        <f t="shared" si="47"/>
        <v>0.13676639217439537</v>
      </c>
      <c r="I266" s="84">
        <f t="shared" si="47"/>
        <v>0.11302213636148126</v>
      </c>
      <c r="J266" s="84">
        <f t="shared" si="47"/>
        <v>0.12551544456656585</v>
      </c>
      <c r="K266" s="84">
        <f t="shared" si="47"/>
        <v>9.7943977671785698E-2</v>
      </c>
      <c r="L266" s="84">
        <f t="shared" si="47"/>
        <v>0.13748352361646782</v>
      </c>
      <c r="M266" s="84">
        <f t="shared" si="47"/>
        <v>9.538190890672274E-2</v>
      </c>
      <c r="N266" s="84">
        <f t="shared" si="47"/>
        <v>0.15420730572022973</v>
      </c>
      <c r="O266" s="84">
        <f t="shared" si="47"/>
        <v>7.6899126456157332E-2</v>
      </c>
      <c r="P266" s="84">
        <f t="shared" si="47"/>
        <v>0.16032341871543221</v>
      </c>
      <c r="Q266" s="84">
        <f t="shared" si="47"/>
        <v>0.10021039281210765</v>
      </c>
      <c r="R266" s="84">
        <f t="shared" si="47"/>
        <v>0.19235893226701734</v>
      </c>
      <c r="S266" s="84">
        <f t="shared" si="47"/>
        <v>0.1086958041255795</v>
      </c>
      <c r="T266" s="84">
        <f t="shared" si="47"/>
        <v>0.17818817024316741</v>
      </c>
      <c r="U266" s="84">
        <f t="shared" si="47"/>
        <v>6.7565644195394875E-2</v>
      </c>
      <c r="V266" s="84">
        <f t="shared" si="47"/>
        <v>0.15699912752476305</v>
      </c>
      <c r="W266" s="84">
        <f t="shared" si="47"/>
        <v>9.980039631067307E-2</v>
      </c>
      <c r="X266" s="84">
        <f t="shared" si="47"/>
        <v>0.12564789948901917</v>
      </c>
      <c r="Y266" s="84">
        <f t="shared" si="47"/>
        <v>0.12651273261999751</v>
      </c>
      <c r="Z266" s="84">
        <f t="shared" si="47"/>
        <v>0.16836970028339288</v>
      </c>
      <c r="AA266" s="107">
        <f t="shared" si="47"/>
        <v>9.2476094016675794E-2</v>
      </c>
      <c r="AB266" s="107">
        <f t="shared" si="47"/>
        <v>0.15162240583053077</v>
      </c>
      <c r="AC266" s="61"/>
      <c r="AD266" s="61">
        <f>SUM(AD6,-AD16,-AD28,-AD29,-AD102,-AD176,-AD250,-AD251,-AD252,AD257,AD259,-AD260,-AD262)/AD6</f>
        <v>9.2476094016675794E-2</v>
      </c>
      <c r="AE266" s="61">
        <f>SUM(AE6,-AE16,-AE28,-AE29,-AE102,-AE176,-AE250,-AE251,-AE252,AE257,AE259,-AE260,-AE262)/AE6</f>
        <v>0.15162240583053088</v>
      </c>
      <c r="AF266" s="17">
        <f>AA266-AD266</f>
        <v>0</v>
      </c>
      <c r="AG266" s="17">
        <f>AB266-AE266</f>
        <v>0</v>
      </c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61"/>
      <c r="AX266" s="61"/>
      <c r="AY266" s="61"/>
      <c r="AZ266" s="61"/>
      <c r="BA266" s="61"/>
      <c r="BB266" s="61"/>
      <c r="BC266" s="61"/>
      <c r="BD266" s="61"/>
      <c r="BE266" s="61"/>
      <c r="BF266" s="61"/>
      <c r="BG266" s="61"/>
      <c r="BH266" s="61"/>
      <c r="BI266" s="6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  <c r="BV266" s="61"/>
      <c r="BW266" s="61"/>
      <c r="BX266" s="61"/>
      <c r="BY266" s="61"/>
      <c r="BZ266" s="61"/>
      <c r="CA266" s="61"/>
      <c r="CB266" s="61"/>
      <c r="CC266" s="61"/>
      <c r="CD266" s="61"/>
      <c r="CE266" s="61"/>
      <c r="CF266" s="61"/>
      <c r="CG266" s="61"/>
      <c r="CH266" s="61"/>
      <c r="CI266" s="61"/>
      <c r="CJ266" s="61"/>
      <c r="CK266" s="61"/>
      <c r="CL266" s="61"/>
      <c r="CM266" s="61"/>
      <c r="CN266" s="61"/>
      <c r="CO266" s="61"/>
      <c r="CP266" s="61"/>
      <c r="CQ266" s="61"/>
      <c r="CR266" s="61"/>
      <c r="CS266" s="61"/>
      <c r="CT266" s="61"/>
      <c r="CU266" s="61"/>
      <c r="CV266" s="61"/>
      <c r="CW266" s="61"/>
      <c r="CX266" s="61"/>
      <c r="CY266" s="61"/>
      <c r="CZ266" s="61"/>
      <c r="DA266" s="61"/>
      <c r="DB266" s="61"/>
      <c r="DC266" s="61"/>
      <c r="DD266" s="61"/>
      <c r="DE266" s="61"/>
      <c r="DF266" s="61"/>
      <c r="DG266" s="61"/>
      <c r="DH266" s="61"/>
      <c r="DI266" s="61"/>
      <c r="DJ266" s="61"/>
      <c r="DK266" s="61"/>
      <c r="DL266" s="61"/>
      <c r="DM266" s="61"/>
      <c r="DN266" s="61"/>
      <c r="DO266" s="61"/>
    </row>
    <row r="267" spans="1:119" s="19" customFormat="1" ht="21" customHeight="1" x14ac:dyDescent="0.25">
      <c r="A267" s="82" t="s">
        <v>212</v>
      </c>
      <c r="B267" s="83"/>
      <c r="C267" s="84"/>
      <c r="D267" s="84">
        <f>D6/C6</f>
        <v>1.9814241073170744</v>
      </c>
      <c r="E267" s="84"/>
      <c r="F267" s="84">
        <f>F6/E6</f>
        <v>0.83453388565169762</v>
      </c>
      <c r="G267" s="84"/>
      <c r="H267" s="84">
        <f>H6/G6</f>
        <v>0.97734794060966013</v>
      </c>
      <c r="I267" s="84"/>
      <c r="J267" s="84">
        <f>J6/I6</f>
        <v>0.91285732027879207</v>
      </c>
      <c r="K267" s="84"/>
      <c r="L267" s="84">
        <f>L6/K6</f>
        <v>0.47511289008857915</v>
      </c>
      <c r="M267" s="84"/>
      <c r="N267" s="84">
        <f>N6/M6</f>
        <v>0.74768645567688463</v>
      </c>
      <c r="O267" s="84"/>
      <c r="P267" s="84">
        <f>P6/O6</f>
        <v>0.50921298646438506</v>
      </c>
      <c r="Q267" s="84"/>
      <c r="R267" s="84">
        <f>R6/Q6</f>
        <v>0.55476695617593719</v>
      </c>
      <c r="S267" s="84"/>
      <c r="T267" s="84">
        <f>T6/S6</f>
        <v>0.79523809781762289</v>
      </c>
      <c r="U267" s="84"/>
      <c r="V267" s="84">
        <f>V6/U6</f>
        <v>0.76559158505061753</v>
      </c>
      <c r="W267" s="84"/>
      <c r="X267" s="84">
        <f>X6/W6</f>
        <v>0.5989703633326473</v>
      </c>
      <c r="Y267" s="84"/>
      <c r="Z267" s="84">
        <f>Z6/Y6</f>
        <v>0.59287930900539321</v>
      </c>
      <c r="AA267" s="107"/>
      <c r="AB267" s="108">
        <f>AB6/AA6</f>
        <v>0.72190832652373393</v>
      </c>
      <c r="AD267" s="61"/>
      <c r="AE267" s="61">
        <f>AE6/AD6</f>
        <v>0.72190832652373393</v>
      </c>
      <c r="AF267" s="17"/>
      <c r="AG267" s="87">
        <f>AB267-AE267</f>
        <v>0</v>
      </c>
    </row>
    <row r="268" spans="1:119" s="19" customFormat="1" ht="21" customHeight="1" x14ac:dyDescent="0.25">
      <c r="A268" s="88" t="s">
        <v>201</v>
      </c>
      <c r="B268" s="89"/>
      <c r="C268" s="90"/>
      <c r="D268" s="90">
        <f>2-(D263/C263)</f>
        <v>4.4508504772891637</v>
      </c>
      <c r="E268" s="90"/>
      <c r="F268" s="90">
        <f>F263/E263</f>
        <v>2.8772597735877263</v>
      </c>
      <c r="G268" s="90"/>
      <c r="H268" s="90">
        <f>H263/G263</f>
        <v>1.6504408113556421</v>
      </c>
      <c r="I268" s="90"/>
      <c r="J268" s="90">
        <f>J263/I263</f>
        <v>1.0137632862838493</v>
      </c>
      <c r="K268" s="90"/>
      <c r="L268" s="90">
        <f>L263/K263</f>
        <v>0.66691383990828002</v>
      </c>
      <c r="M268" s="90"/>
      <c r="N268" s="90">
        <f>N263/M263</f>
        <v>1.208811138034519</v>
      </c>
      <c r="O268" s="90"/>
      <c r="P268" s="90">
        <f>P263/O263</f>
        <v>1.0616345153258693</v>
      </c>
      <c r="Q268" s="90"/>
      <c r="R268" s="90">
        <f>R263/Q263</f>
        <v>1.0649033134428849</v>
      </c>
      <c r="S268" s="90"/>
      <c r="T268" s="90">
        <f>T263/S263</f>
        <v>1.3036567758776287</v>
      </c>
      <c r="U268" s="90"/>
      <c r="V268" s="90">
        <f>V263/U263</f>
        <v>1.7789693611985093</v>
      </c>
      <c r="W268" s="90"/>
      <c r="X268" s="90">
        <f>X263/W263</f>
        <v>0.75409888929342062</v>
      </c>
      <c r="Y268" s="90"/>
      <c r="Z268" s="90">
        <f>Z263/Y263</f>
        <v>0.78903450660020269</v>
      </c>
      <c r="AA268" s="109"/>
      <c r="AB268" s="110">
        <f>AB263/AA263</f>
        <v>1.1836299794072505</v>
      </c>
      <c r="AD268" s="61"/>
      <c r="AE268" s="66">
        <f>ROUND(AE263/AD263,4)</f>
        <v>1.1836</v>
      </c>
      <c r="AF268" s="17"/>
      <c r="AG268" s="87"/>
    </row>
    <row r="269" spans="1:119" s="19" customFormat="1" ht="27" customHeight="1" x14ac:dyDescent="0.25">
      <c r="A269" s="206"/>
      <c r="B269" s="207"/>
      <c r="C269" s="207"/>
      <c r="D269" s="207"/>
      <c r="E269" s="207"/>
      <c r="F269" s="207"/>
      <c r="G269" s="207"/>
      <c r="H269" s="207"/>
      <c r="I269" s="207"/>
      <c r="J269" s="207"/>
      <c r="K269" s="207"/>
      <c r="L269" s="207"/>
      <c r="M269" s="207"/>
      <c r="N269" s="207"/>
      <c r="O269" s="207"/>
      <c r="P269" s="207"/>
      <c r="Q269" s="207"/>
      <c r="R269" s="207"/>
      <c r="S269" s="207"/>
      <c r="T269" s="207"/>
      <c r="U269" s="207"/>
      <c r="V269" s="207"/>
      <c r="W269" s="207"/>
      <c r="X269" s="207"/>
      <c r="Y269" s="207"/>
      <c r="Z269" s="207"/>
      <c r="AA269" s="207"/>
      <c r="AB269" s="207"/>
      <c r="AD269" s="22"/>
      <c r="AE269" s="22"/>
      <c r="AF269" s="22"/>
      <c r="AG269" s="22"/>
    </row>
    <row r="270" spans="1:119" s="19" customFormat="1" ht="86" customHeight="1" x14ac:dyDescent="0.25">
      <c r="A270" s="93" t="s">
        <v>72</v>
      </c>
      <c r="B270" s="204" t="str">
        <f>索引!C7</f>
        <v>1、营业收入的取数来源为2025年1-12月销售明细表中的金额-2025年1-12月客户计提返利的金额；
2、营业成本的取数来源为2025年1-12月销售明细表中销售结算成本+运费核对表中的运费+销售的原材料的成本；
3、税金及附加核算的是城建税、教育费附加、印花税，城建和教育费附加为当月收入的0.85%，印花税为收入的0.03%；
4、销售费用为分部人员的费用及后台职能协助挂到分部的费用（如有）；
5、所得税与所得税分摊表中数据一致。</v>
      </c>
      <c r="C270" s="204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  <c r="AA270" s="204"/>
      <c r="AB270" s="204"/>
      <c r="AD270" s="22"/>
      <c r="AE270" s="22"/>
      <c r="AF270" s="22"/>
      <c r="AG270" s="22"/>
    </row>
    <row r="271" spans="1:119" s="19" customFormat="1" ht="21" customHeight="1" x14ac:dyDescent="0.25">
      <c r="B271" s="94"/>
      <c r="C271" s="94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  <c r="AA271" s="111"/>
      <c r="AD271" s="22"/>
      <c r="AE271" s="22"/>
      <c r="AF271" s="22"/>
      <c r="AG271" s="22"/>
    </row>
    <row r="272" spans="1:119" s="19" customFormat="1" ht="21" customHeight="1" x14ac:dyDescent="0.25">
      <c r="B272" s="94"/>
      <c r="C272" s="94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  <c r="AA272" s="111"/>
      <c r="AD272" s="22"/>
      <c r="AE272" s="22"/>
      <c r="AF272" s="22"/>
      <c r="AG272" s="22"/>
    </row>
    <row r="273" spans="2:33" s="19" customFormat="1" ht="21" customHeight="1" x14ac:dyDescent="0.25">
      <c r="B273" s="94"/>
      <c r="C273" s="94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  <c r="AA273" s="111"/>
      <c r="AD273" s="22"/>
      <c r="AE273" s="22"/>
      <c r="AF273" s="22"/>
      <c r="AG273" s="22"/>
    </row>
    <row r="274" spans="2:33" s="19" customFormat="1" ht="21" customHeight="1" x14ac:dyDescent="0.25">
      <c r="B274" s="94"/>
      <c r="C274" s="94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  <c r="AA274" s="111"/>
      <c r="AD274" s="22"/>
      <c r="AE274" s="22"/>
      <c r="AF274" s="22"/>
      <c r="AG274" s="22"/>
    </row>
    <row r="275" spans="2:33" s="19" customFormat="1" ht="21" customHeight="1" x14ac:dyDescent="0.25">
      <c r="B275" s="94"/>
      <c r="C275" s="94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  <c r="AA275" s="111"/>
      <c r="AD275" s="22"/>
      <c r="AE275" s="22"/>
      <c r="AF275" s="22"/>
      <c r="AG275" s="22"/>
    </row>
    <row r="276" spans="2:33" s="19" customFormat="1" ht="21" customHeight="1" x14ac:dyDescent="0.25">
      <c r="B276" s="94"/>
      <c r="C276" s="94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  <c r="AA276" s="111"/>
      <c r="AD276" s="22"/>
      <c r="AE276" s="22"/>
      <c r="AF276" s="22"/>
      <c r="AG276" s="22"/>
    </row>
    <row r="277" spans="2:33" s="19" customFormat="1" ht="21" customHeight="1" x14ac:dyDescent="0.25">
      <c r="B277" s="94"/>
      <c r="C277" s="94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  <c r="AA277" s="111"/>
      <c r="AD277" s="22"/>
      <c r="AE277" s="22"/>
      <c r="AF277" s="22"/>
      <c r="AG277" s="22"/>
    </row>
    <row r="278" spans="2:33" s="19" customFormat="1" ht="21" customHeight="1" x14ac:dyDescent="0.25">
      <c r="B278" s="94"/>
      <c r="C278" s="94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  <c r="AA278" s="111"/>
      <c r="AD278" s="22"/>
      <c r="AE278" s="22"/>
      <c r="AF278" s="22"/>
      <c r="AG278" s="22"/>
    </row>
    <row r="279" spans="2:33" s="19" customFormat="1" ht="21" customHeight="1" x14ac:dyDescent="0.25">
      <c r="B279" s="94"/>
      <c r="C279" s="94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  <c r="AA279" s="111"/>
      <c r="AD279" s="22"/>
      <c r="AE279" s="22"/>
      <c r="AF279" s="22"/>
      <c r="AG279" s="22"/>
    </row>
    <row r="280" spans="2:33" s="19" customFormat="1" ht="21" customHeight="1" x14ac:dyDescent="0.25">
      <c r="B280" s="94"/>
      <c r="C280" s="94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  <c r="AA280" s="111"/>
      <c r="AD280" s="22"/>
      <c r="AE280" s="22"/>
      <c r="AF280" s="22"/>
      <c r="AG280" s="22"/>
    </row>
    <row r="281" spans="2:33" s="19" customFormat="1" ht="21" customHeight="1" x14ac:dyDescent="0.25">
      <c r="B281" s="94"/>
      <c r="C281" s="94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  <c r="AA281" s="111"/>
      <c r="AD281" s="22"/>
      <c r="AE281" s="22"/>
      <c r="AF281" s="22"/>
      <c r="AG281" s="22"/>
    </row>
    <row r="282" spans="2:33" s="19" customFormat="1" ht="21" customHeight="1" x14ac:dyDescent="0.25">
      <c r="B282" s="94"/>
      <c r="C282" s="94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  <c r="AA282" s="111"/>
      <c r="AD282" s="22"/>
      <c r="AE282" s="22"/>
      <c r="AF282" s="22"/>
      <c r="AG282" s="22"/>
    </row>
    <row r="283" spans="2:33" s="19" customFormat="1" ht="21" customHeight="1" x14ac:dyDescent="0.25">
      <c r="B283" s="94"/>
      <c r="C283" s="94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  <c r="AA283" s="111"/>
      <c r="AD283" s="22"/>
      <c r="AE283" s="22"/>
      <c r="AF283" s="22"/>
      <c r="AG283" s="22"/>
    </row>
    <row r="284" spans="2:33" s="19" customFormat="1" ht="21" customHeight="1" x14ac:dyDescent="0.25">
      <c r="B284" s="94"/>
      <c r="C284" s="94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  <c r="AA284" s="111"/>
      <c r="AD284" s="22"/>
      <c r="AE284" s="22"/>
      <c r="AF284" s="22"/>
      <c r="AG284" s="22"/>
    </row>
    <row r="285" spans="2:33" s="19" customFormat="1" ht="21" customHeight="1" x14ac:dyDescent="0.25">
      <c r="B285" s="94"/>
      <c r="C285" s="94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  <c r="AA285" s="111"/>
      <c r="AD285" s="22"/>
      <c r="AE285" s="22"/>
      <c r="AF285" s="22"/>
      <c r="AG285" s="22"/>
    </row>
    <row r="286" spans="2:33" s="19" customFormat="1" ht="21" customHeight="1" x14ac:dyDescent="0.25">
      <c r="B286" s="94"/>
      <c r="C286" s="94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  <c r="AA286" s="111"/>
      <c r="AD286" s="22"/>
      <c r="AE286" s="22"/>
      <c r="AF286" s="22"/>
      <c r="AG286" s="22"/>
    </row>
  </sheetData>
  <autoFilter ref="C5:AB270" xr:uid="{00000000-0009-0000-0000-000007000000}"/>
  <mergeCells count="20">
    <mergeCell ref="AD4:AE4"/>
    <mergeCell ref="AF4:AG4"/>
    <mergeCell ref="A269:AB269"/>
    <mergeCell ref="B270:AB270"/>
    <mergeCell ref="A4:A5"/>
    <mergeCell ref="B4:B5"/>
    <mergeCell ref="A1:AB1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</mergeCells>
  <phoneticPr fontId="40" type="noConversion"/>
  <hyperlinks>
    <hyperlink ref="A1" location="'索引'!A1" tooltip="返回索引" display="上海分部利润表 " xr:uid="{00000000-0004-0000-0700-000000000000}"/>
  </hyperlinks>
  <pageMargins left="0.27916666666666701" right="0.156944444444444" top="0.27916666666666701" bottom="0.31458333333333299" header="0.23958333333333301" footer="0.118055555555556"/>
  <pageSetup paperSize="9" scale="37" orientation="landscape" r:id="rId1"/>
  <headerFooter>
    <oddFooter>&amp;C第 &amp;P 页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S287"/>
  <sheetViews>
    <sheetView showZeros="0" view="pageBreakPreview" zoomScale="85" zoomScaleNormal="100" workbookViewId="0">
      <pane xSplit="2" ySplit="5" topLeftCell="R263" activePane="bottomRight" state="frozen"/>
      <selection activeCell="A269" sqref="A269:AB269"/>
      <selection pane="topRight" activeCell="A269" sqref="A269:AB269"/>
      <selection pane="bottomLeft" activeCell="A269" sqref="A269:AB269"/>
      <selection pane="bottomRight" activeCell="U275" sqref="U275"/>
    </sheetView>
  </sheetViews>
  <sheetFormatPr defaultColWidth="8.6640625" defaultRowHeight="21" customHeight="1" outlineLevelRow="2" outlineLevelCol="1" x14ac:dyDescent="0.25"/>
  <cols>
    <col min="1" max="1" width="20.08203125" style="22" customWidth="1"/>
    <col min="2" max="2" width="5.58203125" style="23" customWidth="1"/>
    <col min="3" max="3" width="13.1640625" style="24" customWidth="1"/>
    <col min="4" max="5" width="12.83203125" style="25" customWidth="1"/>
    <col min="6" max="10" width="13.25" style="25" customWidth="1"/>
    <col min="11" max="11" width="13.33203125" style="25" customWidth="1"/>
    <col min="12" max="12" width="13.5" style="25" customWidth="1"/>
    <col min="13" max="26" width="12.83203125" style="25" customWidth="1"/>
    <col min="27" max="27" width="13.08203125" style="25" customWidth="1"/>
    <col min="28" max="28" width="14.58203125" style="24" customWidth="1"/>
    <col min="29" max="29" width="16.33203125" style="22" customWidth="1"/>
    <col min="30" max="30" width="22.33203125" style="22" hidden="1" customWidth="1" outlineLevel="1"/>
    <col min="31" max="31" width="15.75" style="22" hidden="1" customWidth="1" outlineLevel="1"/>
    <col min="32" max="32" width="15" style="22" hidden="1" customWidth="1" outlineLevel="1"/>
    <col min="33" max="33" width="13.08203125" style="22" hidden="1" customWidth="1" outlineLevel="1"/>
    <col min="34" max="34" width="8.6640625" style="22" customWidth="1" collapsed="1"/>
    <col min="35" max="58" width="8.6640625" style="22" customWidth="1"/>
    <col min="59" max="59" width="15.25" style="22" customWidth="1"/>
    <col min="60" max="60" width="8.6640625" style="22"/>
    <col min="61" max="61" width="14.33203125" style="22"/>
    <col min="62" max="16384" width="8.6640625" style="22"/>
  </cols>
  <sheetData>
    <row r="1" spans="1:123" s="16" customFormat="1" ht="28" customHeight="1" x14ac:dyDescent="0.25">
      <c r="A1" s="189" t="s">
        <v>216</v>
      </c>
      <c r="B1" s="20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</row>
    <row r="2" spans="1:123" s="16" customFormat="1" ht="21" customHeight="1" x14ac:dyDescent="0.25">
      <c r="A2" s="26">
        <v>46021</v>
      </c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9" t="s">
        <v>203</v>
      </c>
    </row>
    <row r="3" spans="1:123" s="17" customFormat="1" ht="22" customHeight="1" x14ac:dyDescent="0.25">
      <c r="A3" s="30" t="s">
        <v>204</v>
      </c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29" t="s">
        <v>205</v>
      </c>
      <c r="AC3" s="27"/>
    </row>
    <row r="4" spans="1:123" s="17" customFormat="1" ht="24" customHeight="1" x14ac:dyDescent="0.25">
      <c r="A4" s="200" t="s">
        <v>206</v>
      </c>
      <c r="B4" s="200" t="s">
        <v>207</v>
      </c>
      <c r="C4" s="193">
        <v>45658</v>
      </c>
      <c r="D4" s="193"/>
      <c r="E4" s="193">
        <v>45689</v>
      </c>
      <c r="F4" s="193"/>
      <c r="G4" s="193">
        <v>45717</v>
      </c>
      <c r="H4" s="193"/>
      <c r="I4" s="193">
        <v>45748</v>
      </c>
      <c r="J4" s="193"/>
      <c r="K4" s="193">
        <v>45778</v>
      </c>
      <c r="L4" s="193"/>
      <c r="M4" s="193">
        <v>45809</v>
      </c>
      <c r="N4" s="193"/>
      <c r="O4" s="193">
        <v>45839</v>
      </c>
      <c r="P4" s="193"/>
      <c r="Q4" s="193">
        <v>45870</v>
      </c>
      <c r="R4" s="193"/>
      <c r="S4" s="193">
        <v>45901</v>
      </c>
      <c r="T4" s="193"/>
      <c r="U4" s="193">
        <v>45931</v>
      </c>
      <c r="V4" s="193"/>
      <c r="W4" s="193">
        <v>45962</v>
      </c>
      <c r="X4" s="193"/>
      <c r="Y4" s="193">
        <v>45992</v>
      </c>
      <c r="Z4" s="193"/>
      <c r="AA4" s="194" t="s">
        <v>79</v>
      </c>
      <c r="AB4" s="194"/>
      <c r="AD4" s="195" t="s">
        <v>80</v>
      </c>
      <c r="AE4" s="195"/>
      <c r="AF4" s="196" t="s">
        <v>81</v>
      </c>
      <c r="AG4" s="195"/>
    </row>
    <row r="5" spans="1:123" s="18" customFormat="1" ht="24" customHeight="1" x14ac:dyDescent="0.25">
      <c r="A5" s="201"/>
      <c r="B5" s="201"/>
      <c r="C5" s="37" t="s">
        <v>84</v>
      </c>
      <c r="D5" s="38" t="s">
        <v>85</v>
      </c>
      <c r="E5" s="37" t="s">
        <v>84</v>
      </c>
      <c r="F5" s="38" t="s">
        <v>85</v>
      </c>
      <c r="G5" s="37" t="s">
        <v>84</v>
      </c>
      <c r="H5" s="38" t="s">
        <v>85</v>
      </c>
      <c r="I5" s="37" t="s">
        <v>84</v>
      </c>
      <c r="J5" s="38" t="s">
        <v>85</v>
      </c>
      <c r="K5" s="37" t="s">
        <v>84</v>
      </c>
      <c r="L5" s="38" t="s">
        <v>85</v>
      </c>
      <c r="M5" s="37" t="s">
        <v>84</v>
      </c>
      <c r="N5" s="38" t="s">
        <v>85</v>
      </c>
      <c r="O5" s="37" t="s">
        <v>84</v>
      </c>
      <c r="P5" s="38" t="s">
        <v>85</v>
      </c>
      <c r="Q5" s="37" t="s">
        <v>84</v>
      </c>
      <c r="R5" s="38" t="s">
        <v>85</v>
      </c>
      <c r="S5" s="37" t="s">
        <v>84</v>
      </c>
      <c r="T5" s="38" t="s">
        <v>85</v>
      </c>
      <c r="U5" s="37" t="s">
        <v>84</v>
      </c>
      <c r="V5" s="38" t="s">
        <v>85</v>
      </c>
      <c r="W5" s="37" t="s">
        <v>84</v>
      </c>
      <c r="X5" s="38" t="s">
        <v>85</v>
      </c>
      <c r="Y5" s="37" t="s">
        <v>84</v>
      </c>
      <c r="Z5" s="38" t="s">
        <v>85</v>
      </c>
      <c r="AA5" s="39" t="s">
        <v>84</v>
      </c>
      <c r="AB5" s="40" t="s">
        <v>208</v>
      </c>
      <c r="AD5" s="41" t="s">
        <v>84</v>
      </c>
      <c r="AE5" s="42" t="s">
        <v>85</v>
      </c>
      <c r="AF5" s="41" t="s">
        <v>84</v>
      </c>
      <c r="AG5" s="42" t="s">
        <v>85</v>
      </c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</row>
    <row r="6" spans="1:123" s="17" customFormat="1" ht="18" customHeight="1" x14ac:dyDescent="0.25">
      <c r="A6" s="44" t="s">
        <v>209</v>
      </c>
      <c r="B6" s="45" t="s">
        <v>88</v>
      </c>
      <c r="C6" s="46">
        <f t="shared" ref="C6:Z6" si="0">SUM(C7:C13,C15,-C14)</f>
        <v>844206.84000000008</v>
      </c>
      <c r="D6" s="46">
        <f t="shared" si="0"/>
        <v>1347836.9112000002</v>
      </c>
      <c r="E6" s="46">
        <f t="shared" si="0"/>
        <v>862515</v>
      </c>
      <c r="F6" s="46">
        <f t="shared" si="0"/>
        <v>709642.25280000002</v>
      </c>
      <c r="G6" s="46">
        <f t="shared" si="0"/>
        <v>1375789.3200000003</v>
      </c>
      <c r="H6" s="46">
        <f t="shared" si="0"/>
        <v>748312.8624000001</v>
      </c>
      <c r="I6" s="46">
        <f t="shared" si="0"/>
        <v>1738544.04</v>
      </c>
      <c r="J6" s="46">
        <f t="shared" si="0"/>
        <v>1364551.0343999998</v>
      </c>
      <c r="K6" s="46">
        <f t="shared" si="0"/>
        <v>1499640.48</v>
      </c>
      <c r="L6" s="46">
        <f t="shared" si="0"/>
        <v>741495.7816000001</v>
      </c>
      <c r="M6" s="46">
        <f t="shared" si="0"/>
        <v>1695080.52</v>
      </c>
      <c r="N6" s="46">
        <f t="shared" si="0"/>
        <v>1166717.5628000002</v>
      </c>
      <c r="O6" s="46">
        <f t="shared" si="0"/>
        <v>1733322.96</v>
      </c>
      <c r="P6" s="46">
        <f t="shared" si="0"/>
        <v>949145.45720000018</v>
      </c>
      <c r="Q6" s="46">
        <f t="shared" si="0"/>
        <v>1740369.4800000002</v>
      </c>
      <c r="R6" s="46">
        <f t="shared" si="0"/>
        <v>1278690.5144000002</v>
      </c>
      <c r="S6" s="46">
        <f t="shared" si="0"/>
        <v>2498710.1000000006</v>
      </c>
      <c r="T6" s="46">
        <f t="shared" si="0"/>
        <v>1409395.0288000002</v>
      </c>
      <c r="U6" s="46">
        <f t="shared" si="0"/>
        <v>1691063.6300000001</v>
      </c>
      <c r="V6" s="46">
        <f t="shared" si="0"/>
        <v>1190690.2784000002</v>
      </c>
      <c r="W6" s="46">
        <f t="shared" si="0"/>
        <v>2064346.27</v>
      </c>
      <c r="X6" s="46">
        <f t="shared" si="0"/>
        <v>1012299.0508000001</v>
      </c>
      <c r="Y6" s="46">
        <f t="shared" si="0"/>
        <v>3005004.3200000003</v>
      </c>
      <c r="Z6" s="46">
        <f t="shared" si="0"/>
        <v>1575318.8563999999</v>
      </c>
      <c r="AA6" s="47">
        <f t="shared" ref="AA6:AA26" si="1">C6+E6+G6+I6+K6+M6+O6+Q6+S6+U6+W6+Y6</f>
        <v>20748592.960000005</v>
      </c>
      <c r="AB6" s="47">
        <f t="shared" ref="AB6:AB26" si="2">D6+F6+H6+J6+L6+N6+P6+R6+T6+V6+X6+Z6</f>
        <v>13494095.5912</v>
      </c>
      <c r="AD6" s="31">
        <f t="shared" ref="AD6:AD26" si="3">SUMIF($C$5:$Z$5,$AD$5,C6:Z6)</f>
        <v>20748592.960000005</v>
      </c>
      <c r="AE6" s="31">
        <f t="shared" ref="AE6:AE26" si="4">SUMIF($C$5:$Z$5,$AD$5,D6:AA6)</f>
        <v>13494095.5912</v>
      </c>
      <c r="AF6" s="17">
        <f t="shared" ref="AF6:AF13" si="5">AA6-AD6</f>
        <v>0</v>
      </c>
      <c r="AG6" s="17">
        <f t="shared" ref="AG6:AG13" si="6">AB6-AE6</f>
        <v>0</v>
      </c>
      <c r="BG6" s="21"/>
    </row>
    <row r="7" spans="1:123" s="17" customFormat="1" ht="18" customHeight="1" outlineLevel="1" x14ac:dyDescent="0.25">
      <c r="A7" s="48" t="s">
        <v>89</v>
      </c>
      <c r="B7" s="45"/>
      <c r="C7" s="49">
        <f>'2025年安徽省区利润表'!C7+'2025年江西省区利润表'!C7</f>
        <v>0</v>
      </c>
      <c r="D7" s="49">
        <f>'2025年安徽省区利润表'!D7+'2025年江西省区利润表'!D7</f>
        <v>295409.18160000001</v>
      </c>
      <c r="E7" s="49">
        <f>'2025年安徽省区利润表'!E7+'2025年江西省区利润表'!E7</f>
        <v>0</v>
      </c>
      <c r="F7" s="49">
        <f>'2025年安徽省区利润表'!F7+'2025年江西省区利润表'!F7</f>
        <v>196029.43920000002</v>
      </c>
      <c r="G7" s="49">
        <f>'2025年安徽省区利润表'!G7+'2025年江西省区利润表'!G7</f>
        <v>0</v>
      </c>
      <c r="H7" s="49">
        <f>'2025年安徽省区利润表'!H7+'2025年江西省区利润表'!H7</f>
        <v>139240.5552</v>
      </c>
      <c r="I7" s="49">
        <f>'2025年安徽省区利润表'!I7+'2025年江西省区利润表'!I7</f>
        <v>0</v>
      </c>
      <c r="J7" s="49">
        <f>'2025年安徽省区利润表'!J7+'2025年江西省区利润表'!J7</f>
        <v>354964.69079999998</v>
      </c>
      <c r="K7" s="49">
        <f>'2025年安徽省区利润表'!K7+'2025年江西省区利润表'!K7</f>
        <v>0</v>
      </c>
      <c r="L7" s="49">
        <f>'2025年安徽省区利润表'!L7+'2025年江西省区利润表'!L7</f>
        <v>152273.44440000004</v>
      </c>
      <c r="M7" s="49">
        <f>'2025年安徽省区利润表'!M7+'2025年江西省区利润表'!M7</f>
        <v>0</v>
      </c>
      <c r="N7" s="49">
        <f>'2025年安徽省区利润表'!N7+'2025年江西省区利润表'!N7</f>
        <v>269895.25079999998</v>
      </c>
      <c r="O7" s="49">
        <f>'2025年安徽省区利润表'!O7+'2025年江西省区利润表'!O7</f>
        <v>0</v>
      </c>
      <c r="P7" s="49">
        <f>'2025年安徽省区利润表'!P7+'2025年江西省区利润表'!P7</f>
        <v>274129.72560000001</v>
      </c>
      <c r="Q7" s="49">
        <f>'2025年安徽省区利润表'!Q7+'2025年江西省区利润表'!Q7</f>
        <v>0</v>
      </c>
      <c r="R7" s="49">
        <f>'2025年安徽省区利润表'!R7+'2025年江西省区利润表'!R7</f>
        <v>269356.7844</v>
      </c>
      <c r="S7" s="49">
        <f>'2025年安徽省区利润表'!S7+'2025年江西省区利润表'!S7</f>
        <v>0</v>
      </c>
      <c r="T7" s="49">
        <f>'2025年安徽省区利润表'!T7+'2025年江西省区利润表'!T7</f>
        <v>414301.05720000004</v>
      </c>
      <c r="U7" s="49">
        <f>'2025年安徽省区利润表'!U7+'2025年江西省区利润表'!U7</f>
        <v>0</v>
      </c>
      <c r="V7" s="49">
        <f>'2025年安徽省区利润表'!V7+'2025年江西省区利润表'!V7</f>
        <v>297740.97720000002</v>
      </c>
      <c r="W7" s="49">
        <f>'2025年安徽省区利润表'!W7+'2025年江西省区利润表'!W7</f>
        <v>0</v>
      </c>
      <c r="X7" s="49">
        <f>'2025年安徽省区利润表'!X7+'2025年江西省区利润表'!X7</f>
        <v>270899.52120000002</v>
      </c>
      <c r="Y7" s="49">
        <f>'2025年安徽省区利润表'!Y7+'2025年江西省区利润表'!Y7</f>
        <v>0</v>
      </c>
      <c r="Z7" s="49">
        <f>'2025年安徽省区利润表'!Z7+'2025年江西省区利润表'!Z7</f>
        <v>283839.44400000002</v>
      </c>
      <c r="AA7" s="51">
        <f t="shared" si="1"/>
        <v>0</v>
      </c>
      <c r="AB7" s="51">
        <f t="shared" si="2"/>
        <v>3218080.0715999999</v>
      </c>
      <c r="AD7" s="31">
        <f t="shared" si="3"/>
        <v>0</v>
      </c>
      <c r="AE7" s="31">
        <f t="shared" si="4"/>
        <v>3218080.0715999999</v>
      </c>
      <c r="AF7" s="17">
        <f t="shared" si="5"/>
        <v>0</v>
      </c>
      <c r="AG7" s="17">
        <f t="shared" si="6"/>
        <v>0</v>
      </c>
      <c r="BG7" s="21"/>
    </row>
    <row r="8" spans="1:123" s="17" customFormat="1" ht="18" customHeight="1" outlineLevel="1" x14ac:dyDescent="0.25">
      <c r="A8" s="48" t="s">
        <v>90</v>
      </c>
      <c r="B8" s="45"/>
      <c r="C8" s="49">
        <f>'2025年安徽省区利润表'!C8+'2025年江西省区利润表'!C8</f>
        <v>0</v>
      </c>
      <c r="D8" s="49">
        <f>'2025年安徽省区利润表'!D8+'2025年江西省区利润表'!D8</f>
        <v>741253.93920000002</v>
      </c>
      <c r="E8" s="49">
        <f>'2025年安徽省区利润表'!E8+'2025年江西省区利润表'!E8</f>
        <v>0</v>
      </c>
      <c r="F8" s="49">
        <f>'2025年安徽省区利润表'!F8+'2025年江西省区利润表'!F8</f>
        <v>444888.45</v>
      </c>
      <c r="G8" s="49">
        <f>'2025年安徽省区利润表'!G8+'2025年江西省区利润表'!G8</f>
        <v>0</v>
      </c>
      <c r="H8" s="49">
        <f>'2025年安徽省区利润表'!H8+'2025年江西省区利润表'!H8</f>
        <v>484458.50520000001</v>
      </c>
      <c r="I8" s="49">
        <f>'2025年安徽省区利润表'!I8+'2025年江西省区利润表'!I8</f>
        <v>0</v>
      </c>
      <c r="J8" s="49">
        <f>'2025年安徽省区利润表'!J8+'2025年江西省区利润表'!J8</f>
        <v>725089.48200000008</v>
      </c>
      <c r="K8" s="49">
        <f>'2025年安徽省区利润表'!K8+'2025年江西省区利润表'!K8</f>
        <v>0</v>
      </c>
      <c r="L8" s="49">
        <f>'2025年安徽省区利润表'!L8+'2025年江西省区利润表'!L8</f>
        <v>418596.13080000004</v>
      </c>
      <c r="M8" s="49">
        <f>'2025年安徽省区利润表'!M8+'2025年江西省区利润表'!M8</f>
        <v>0</v>
      </c>
      <c r="N8" s="49">
        <f>'2025年安徽省区利润表'!N8+'2025年江西省区利润表'!N8</f>
        <v>687328.62120000005</v>
      </c>
      <c r="O8" s="49">
        <f>'2025年安徽省区利润表'!O8+'2025年江西省区利润表'!O8</f>
        <v>0</v>
      </c>
      <c r="P8" s="49">
        <f>'2025年安徽省区利润表'!P8+'2025年江西省区利润表'!P8</f>
        <v>445395.73680000001</v>
      </c>
      <c r="Q8" s="49">
        <f>'2025年安徽省区利润表'!Q8+'2025年江西省区利润表'!Q8</f>
        <v>0</v>
      </c>
      <c r="R8" s="49">
        <f>'2025年安徽省区利润表'!R8+'2025年江西省区利润表'!R8</f>
        <v>711877.56120000011</v>
      </c>
      <c r="S8" s="49">
        <f>'2025年安徽省区利润表'!S8+'2025年江西省区利润表'!S8</f>
        <v>0</v>
      </c>
      <c r="T8" s="49">
        <f>'2025年安徽省区利润表'!T8+'2025年江西省区利润表'!T8</f>
        <v>703016.69039999996</v>
      </c>
      <c r="U8" s="49">
        <f>'2025年安徽省区利润表'!U8+'2025年江西省区利润表'!U8</f>
        <v>0</v>
      </c>
      <c r="V8" s="49">
        <f>'2025年安徽省区利润表'!V8+'2025年江西省区利润表'!V8</f>
        <v>711621.54719999991</v>
      </c>
      <c r="W8" s="49">
        <f>'2025年安徽省区利润表'!W8+'2025年江西省区利润表'!W8</f>
        <v>0</v>
      </c>
      <c r="X8" s="49">
        <f>'2025年安徽省区利润表'!X8+'2025年江西省区利润表'!X8</f>
        <v>544426.66080000007</v>
      </c>
      <c r="Y8" s="49">
        <f>'2025年安徽省区利润表'!Y8+'2025年江西省区利润表'!Y8</f>
        <v>0</v>
      </c>
      <c r="Z8" s="49">
        <f>'2025年安徽省区利润表'!Z8+'2025年江西省区利润表'!Z8</f>
        <v>997165.25280000013</v>
      </c>
      <c r="AA8" s="51">
        <f t="shared" si="1"/>
        <v>0</v>
      </c>
      <c r="AB8" s="51">
        <f t="shared" si="2"/>
        <v>7615118.5775999995</v>
      </c>
      <c r="AD8" s="31">
        <f t="shared" si="3"/>
        <v>0</v>
      </c>
      <c r="AE8" s="31">
        <f t="shared" si="4"/>
        <v>7615118.5775999995</v>
      </c>
      <c r="AF8" s="17">
        <f t="shared" si="5"/>
        <v>0</v>
      </c>
      <c r="AG8" s="17">
        <f t="shared" si="6"/>
        <v>0</v>
      </c>
      <c r="BG8" s="21"/>
    </row>
    <row r="9" spans="1:123" s="17" customFormat="1" ht="18" customHeight="1" outlineLevel="1" x14ac:dyDescent="0.25">
      <c r="A9" s="48" t="s">
        <v>91</v>
      </c>
      <c r="B9" s="45"/>
      <c r="C9" s="49">
        <f>'2025年安徽省区利润表'!C9+'2025年江西省区利润表'!C9</f>
        <v>0</v>
      </c>
      <c r="D9" s="49">
        <f>'2025年安徽省区利润表'!D9+'2025年江西省区利润表'!D9</f>
        <v>214635.1716</v>
      </c>
      <c r="E9" s="49">
        <f>'2025年安徽省区利润表'!E9+'2025年江西省区利润表'!E9</f>
        <v>0</v>
      </c>
      <c r="F9" s="49">
        <f>'2025年安徽省区利润表'!F9+'2025年江西省区利润表'!F9</f>
        <v>67133.987999999998</v>
      </c>
      <c r="G9" s="49">
        <f>'2025年安徽省区利润表'!G9+'2025年江西省区利润表'!G9</f>
        <v>0</v>
      </c>
      <c r="H9" s="49">
        <f>'2025年安徽省区利润表'!H9+'2025年江西省区利润表'!H9</f>
        <v>106414.3656</v>
      </c>
      <c r="I9" s="49">
        <f>'2025年安徽省区利润表'!I9+'2025年江西省区利润表'!I9</f>
        <v>0</v>
      </c>
      <c r="J9" s="49">
        <f>'2025年安徽省区利润表'!J9+'2025年江西省区利润表'!J9</f>
        <v>209716.9056</v>
      </c>
      <c r="K9" s="49">
        <f>'2025年安徽省区利润表'!K9+'2025年江西省区利润表'!K9</f>
        <v>0</v>
      </c>
      <c r="L9" s="49">
        <f>'2025年安徽省区利润表'!L9+'2025年江西省区利润表'!L9</f>
        <v>180775.15200000003</v>
      </c>
      <c r="M9" s="49">
        <f>'2025年安徽省区利润表'!M9+'2025年江西省区利润表'!M9</f>
        <v>0</v>
      </c>
      <c r="N9" s="49">
        <f>'2025年安徽省区利润表'!N9+'2025年江西省区利润表'!N9</f>
        <v>199319.74560000002</v>
      </c>
      <c r="O9" s="49">
        <f>'2025年安徽省区利润表'!O9+'2025年江西省区利润表'!O9</f>
        <v>0</v>
      </c>
      <c r="P9" s="49">
        <f>'2025年安徽省区利润表'!P9+'2025年江西省区利润表'!P9</f>
        <v>170210.49480000001</v>
      </c>
      <c r="Q9" s="49">
        <f>'2025年安徽省区利润表'!Q9+'2025年江西省区利润表'!Q9</f>
        <v>0</v>
      </c>
      <c r="R9" s="49">
        <f>'2025年安徽省区利润表'!R9+'2025年江西省区利润表'!R9</f>
        <v>277277.11560000002</v>
      </c>
      <c r="S9" s="49">
        <f>'2025年安徽省区利润表'!S9+'2025年江西省区利润表'!S9</f>
        <v>0</v>
      </c>
      <c r="T9" s="49">
        <f>'2025年安徽省区利润表'!T9+'2025年江西省区利润表'!T9</f>
        <v>215387.40240000002</v>
      </c>
      <c r="U9" s="49">
        <f>'2025年安徽省区利润表'!U9+'2025年江西省区利润表'!U9</f>
        <v>0</v>
      </c>
      <c r="V9" s="49">
        <f>'2025年安徽省区利润表'!V9+'2025年江西省区利润表'!V9</f>
        <v>175153.11480000001</v>
      </c>
      <c r="W9" s="49">
        <f>'2025年安徽省区利润表'!W9+'2025年江西省区利润表'!W9</f>
        <v>0</v>
      </c>
      <c r="X9" s="49">
        <f>'2025年安徽省区利润表'!X9+'2025年江西省区利润表'!X9</f>
        <v>151359.6348</v>
      </c>
      <c r="Y9" s="49">
        <f>'2025年安徽省区利润表'!Y9+'2025年江西省区利润表'!Y9</f>
        <v>0</v>
      </c>
      <c r="Z9" s="49">
        <f>'2025年安徽省区利润表'!Z9+'2025年江西省区利润表'!Z9</f>
        <v>272895.56640000001</v>
      </c>
      <c r="AA9" s="51">
        <f t="shared" si="1"/>
        <v>0</v>
      </c>
      <c r="AB9" s="51">
        <f t="shared" si="2"/>
        <v>2240278.6572000002</v>
      </c>
      <c r="AD9" s="31">
        <f t="shared" si="3"/>
        <v>0</v>
      </c>
      <c r="AE9" s="31">
        <f t="shared" si="4"/>
        <v>2240278.6572000002</v>
      </c>
      <c r="AF9" s="17">
        <f t="shared" si="5"/>
        <v>0</v>
      </c>
      <c r="AG9" s="17">
        <f t="shared" si="6"/>
        <v>0</v>
      </c>
      <c r="BG9" s="21"/>
    </row>
    <row r="10" spans="1:123" s="17" customFormat="1" ht="18" customHeight="1" outlineLevel="1" x14ac:dyDescent="0.25">
      <c r="A10" s="48" t="s">
        <v>92</v>
      </c>
      <c r="B10" s="45"/>
      <c r="C10" s="49">
        <f>'2025年安徽省区利润表'!C10+'2025年江西省区利润表'!C10</f>
        <v>0</v>
      </c>
      <c r="D10" s="49">
        <f>'2025年安徽省区利润表'!D10+'2025年江西省区利润表'!D10</f>
        <v>7317.2268000000004</v>
      </c>
      <c r="E10" s="49">
        <f>'2025年安徽省区利润表'!E10+'2025年江西省区利润表'!E10</f>
        <v>0</v>
      </c>
      <c r="F10" s="49">
        <f>'2025年安徽省区利润表'!F10+'2025年江西省区利润表'!F10</f>
        <v>227.46960000000001</v>
      </c>
      <c r="G10" s="49">
        <f>'2025年安徽省区利润表'!G10+'2025年江西省区利润表'!G10</f>
        <v>0</v>
      </c>
      <c r="H10" s="49">
        <f>'2025年安徽省区利润表'!H10+'2025年江西省区利润表'!H10</f>
        <v>4643.0388000000003</v>
      </c>
      <c r="I10" s="49">
        <f>'2025年安徽省区利润表'!I10+'2025年江西省区利润表'!I10</f>
        <v>0</v>
      </c>
      <c r="J10" s="49">
        <f>'2025年安徽省区利润表'!J10+'2025年江西省区利润表'!J10</f>
        <v>5325.4583999999995</v>
      </c>
      <c r="K10" s="49">
        <f>'2025年安徽省区利润表'!K10+'2025年江西省区利润表'!K10</f>
        <v>0</v>
      </c>
      <c r="L10" s="49">
        <f>'2025年安徽省区利润表'!L10+'2025年江西省区利润表'!L10</f>
        <v>1364.8176000000001</v>
      </c>
      <c r="M10" s="49">
        <f>'2025年安徽省区利润表'!M10+'2025年江西省区利润表'!M10</f>
        <v>0</v>
      </c>
      <c r="N10" s="49">
        <f>'2025年安徽省区利润表'!N10+'2025年江西省区利润表'!N10</f>
        <v>6680.7072000000007</v>
      </c>
      <c r="O10" s="49">
        <f>'2025年安徽省区利润表'!O10+'2025年江西省区利润表'!O10</f>
        <v>0</v>
      </c>
      <c r="P10" s="49">
        <f>'2025年安徽省区利润表'!P10+'2025年江西省区利润表'!P10</f>
        <v>4723.3368</v>
      </c>
      <c r="Q10" s="49">
        <f>'2025年安徽省区利润表'!Q10+'2025年江西省区利润表'!Q10</f>
        <v>0</v>
      </c>
      <c r="R10" s="49">
        <f>'2025年安徽省区利润表'!R10+'2025年江西省区利润表'!R10</f>
        <v>6007.8672000000006</v>
      </c>
      <c r="S10" s="49">
        <f>'2025年安徽省区利润表'!S10+'2025年江西省区利润表'!S10</f>
        <v>0</v>
      </c>
      <c r="T10" s="49">
        <f>'2025年安徽省区利润表'!T10+'2025年江西省区利润表'!T10</f>
        <v>5004.3204000000005</v>
      </c>
      <c r="U10" s="49">
        <f>'2025年安徽省区利润表'!U10+'2025年江西省区利润表'!U10</f>
        <v>0</v>
      </c>
      <c r="V10" s="49">
        <f>'2025年安徽省区利润表'!V10+'2025年江西省区利润表'!V10</f>
        <v>3251.4695999999999</v>
      </c>
      <c r="W10" s="49">
        <f>'2025年安徽省区利润表'!W10+'2025年江西省区利润表'!W10</f>
        <v>0</v>
      </c>
      <c r="X10" s="49">
        <f>'2025年安徽省区利润表'!X10+'2025年江西省区利润表'!X10</f>
        <v>2047.2264</v>
      </c>
      <c r="Y10" s="49">
        <f>'2025年安徽省区利润表'!Y10+'2025年江西省区利润表'!Y10</f>
        <v>0</v>
      </c>
      <c r="Z10" s="49">
        <f>'2025年安徽省区利润表'!Z10+'2025年江西省区利润表'!Z10</f>
        <v>17186.331600000001</v>
      </c>
      <c r="AA10" s="51">
        <f t="shared" si="1"/>
        <v>0</v>
      </c>
      <c r="AB10" s="51">
        <f t="shared" si="2"/>
        <v>63779.270399999994</v>
      </c>
      <c r="AD10" s="31">
        <f t="shared" si="3"/>
        <v>0</v>
      </c>
      <c r="AE10" s="31">
        <f t="shared" si="4"/>
        <v>63779.270399999994</v>
      </c>
      <c r="AF10" s="17">
        <f t="shared" si="5"/>
        <v>0</v>
      </c>
      <c r="AG10" s="17">
        <f t="shared" si="6"/>
        <v>0</v>
      </c>
      <c r="BG10" s="21"/>
    </row>
    <row r="11" spans="1:123" s="17" customFormat="1" ht="18" customHeight="1" outlineLevel="1" x14ac:dyDescent="0.25">
      <c r="A11" s="48" t="s">
        <v>93</v>
      </c>
      <c r="B11" s="45"/>
      <c r="C11" s="49">
        <f>'2025年安徽省区利润表'!C11+'2025年江西省区利润表'!C11</f>
        <v>0</v>
      </c>
      <c r="D11" s="49">
        <f>'2025年安徽省区利润表'!D11+'2025年江西省区利润表'!D11</f>
        <v>85474.839600000007</v>
      </c>
      <c r="E11" s="49">
        <f>'2025年安徽省区利润表'!E11+'2025年江西省区利润表'!E11</f>
        <v>0</v>
      </c>
      <c r="F11" s="49">
        <f>'2025年安徽省区利润表'!F11+'2025年江西省区利润表'!F11</f>
        <v>1362.9060000000002</v>
      </c>
      <c r="G11" s="49">
        <f>'2025年安徽省区利润表'!G11+'2025年江西省区利润表'!G11</f>
        <v>0</v>
      </c>
      <c r="H11" s="49">
        <f>'2025年安徽省区利润表'!H11+'2025年江西省区利润表'!H11</f>
        <v>4564.6848</v>
      </c>
      <c r="I11" s="49">
        <f>'2025年安徽省区利润表'!I11+'2025年江西省区利润表'!I11</f>
        <v>0</v>
      </c>
      <c r="J11" s="49">
        <f>'2025年安徽省区利润表'!J11+'2025年江西省区利润表'!J11</f>
        <v>69454.497600000002</v>
      </c>
      <c r="K11" s="49">
        <f>'2025年安徽省区利润表'!K11+'2025年江西省区利润表'!K11</f>
        <v>0</v>
      </c>
      <c r="L11" s="49">
        <f>'2025年安徽省区利润表'!L11+'2025年江西省区利润表'!L11</f>
        <v>7747.3368000000009</v>
      </c>
      <c r="M11" s="49">
        <f>'2025年安徽省区利润表'!M11+'2025年江西省区利润表'!M11</f>
        <v>0</v>
      </c>
      <c r="N11" s="49">
        <f>'2025年安徽省区利润表'!N11+'2025年江西省区利润表'!N11</f>
        <v>11098.188000000002</v>
      </c>
      <c r="O11" s="49">
        <f>'2025年安徽省区利润表'!O11+'2025年江西省区利润表'!O11</f>
        <v>0</v>
      </c>
      <c r="P11" s="49">
        <f>'2025年安徽省区利润表'!P11+'2025年江西省区利润表'!P11</f>
        <v>57650.983200000002</v>
      </c>
      <c r="Q11" s="49">
        <f>'2025年安徽省区利润表'!Q11+'2025年江西省区利润表'!Q11</f>
        <v>0</v>
      </c>
      <c r="R11" s="49">
        <f>'2025年安徽省区利润表'!R11+'2025年江西省区利润表'!R11</f>
        <v>18595.116000000002</v>
      </c>
      <c r="S11" s="49">
        <f>'2025年安徽省区利润表'!S11+'2025年江西省区利润表'!S11</f>
        <v>0</v>
      </c>
      <c r="T11" s="49">
        <f>'2025年安徽省区利润表'!T11+'2025年江西省区利润表'!T11</f>
        <v>76858.718400000012</v>
      </c>
      <c r="U11" s="49">
        <f>'2025年安徽省区利润表'!U11+'2025年江西省区利润表'!U11</f>
        <v>0</v>
      </c>
      <c r="V11" s="49">
        <f>'2025年安徽省区利润表'!V11+'2025年江西省区利润表'!V11</f>
        <v>28488.099600000001</v>
      </c>
      <c r="W11" s="49">
        <f>'2025年安徽省区利润表'!W11+'2025年江西省区利润表'!W11</f>
        <v>0</v>
      </c>
      <c r="X11" s="49">
        <f>'2025年安徽省区利润表'!X11+'2025年江西省区利润表'!X11</f>
        <v>63489.657600000006</v>
      </c>
      <c r="Y11" s="49">
        <f>'2025年安徽省区利润表'!Y11+'2025年江西省区利润表'!Y11</f>
        <v>0</v>
      </c>
      <c r="Z11" s="49">
        <f>'2025年安徽省区利润表'!Z11+'2025年江西省区利润表'!Z11</f>
        <v>20684.721600000004</v>
      </c>
      <c r="AA11" s="51">
        <f t="shared" si="1"/>
        <v>0</v>
      </c>
      <c r="AB11" s="51">
        <f t="shared" si="2"/>
        <v>445469.74920000002</v>
      </c>
      <c r="AD11" s="31">
        <f t="shared" si="3"/>
        <v>0</v>
      </c>
      <c r="AE11" s="31">
        <f t="shared" si="4"/>
        <v>445469.74920000002</v>
      </c>
      <c r="AF11" s="17">
        <f t="shared" si="5"/>
        <v>0</v>
      </c>
      <c r="AG11" s="17">
        <f t="shared" si="6"/>
        <v>0</v>
      </c>
      <c r="BG11" s="21"/>
    </row>
    <row r="12" spans="1:123" s="17" customFormat="1" ht="18" customHeight="1" outlineLevel="1" x14ac:dyDescent="0.25">
      <c r="A12" s="48" t="s">
        <v>94</v>
      </c>
      <c r="B12" s="45"/>
      <c r="C12" s="49">
        <f>'2025年安徽省区利润表'!C12+'2025年江西省区利润表'!C12</f>
        <v>0</v>
      </c>
      <c r="D12" s="49">
        <f>'2025年安徽省区利润表'!D12+'2025年江西省区利润表'!D12</f>
        <v>3746.5524000000005</v>
      </c>
      <c r="E12" s="49">
        <f>'2025年安徽省区利润表'!E12+'2025年江西省区利润表'!E12</f>
        <v>0</v>
      </c>
      <c r="F12" s="49">
        <f>'2025年安徽省区利润表'!F12+'2025年江西省区利润表'!F12</f>
        <v>0</v>
      </c>
      <c r="G12" s="49">
        <f>'2025年安徽省区利润表'!G12+'2025年江西省区利润表'!G12</f>
        <v>0</v>
      </c>
      <c r="H12" s="49">
        <f>'2025年安徽省区利润表'!H12+'2025年江西省区利润表'!H12</f>
        <v>8991.7128000000012</v>
      </c>
      <c r="I12" s="49">
        <f>'2025年安徽省区利润表'!I12+'2025年江西省区利润表'!I12</f>
        <v>0</v>
      </c>
      <c r="J12" s="49">
        <f>'2025年安徽省区利润表'!J12+'2025年江西省区利润表'!J12</f>
        <v>0</v>
      </c>
      <c r="K12" s="49">
        <f>'2025年安徽省区利润表'!K12+'2025年江西省区利润表'!K12</f>
        <v>0</v>
      </c>
      <c r="L12" s="49">
        <f>'2025年安徽省区利润表'!L12+'2025年江西省区利润表'!L12</f>
        <v>0</v>
      </c>
      <c r="M12" s="49">
        <f>'2025年安徽省区利润表'!M12+'2025年江西省区利润表'!M12</f>
        <v>0</v>
      </c>
      <c r="N12" s="49">
        <f>'2025年安徽省区利润表'!N12+'2025年江西省区利润表'!N12</f>
        <v>0</v>
      </c>
      <c r="O12" s="49">
        <f>'2025年安徽省区利润表'!O12+'2025年江西省区利润表'!O12</f>
        <v>0</v>
      </c>
      <c r="P12" s="49">
        <f>'2025年安徽省区利润表'!P12+'2025年江西省区利润表'!P12</f>
        <v>0</v>
      </c>
      <c r="Q12" s="49">
        <f>'2025年安徽省区利润表'!Q12+'2025年江西省区利润表'!Q12</f>
        <v>0</v>
      </c>
      <c r="R12" s="49">
        <f>'2025年安徽省区利润表'!R12+'2025年江西省区利润表'!R12</f>
        <v>0</v>
      </c>
      <c r="S12" s="49">
        <f>'2025年安徽省区利润表'!S12+'2025年江西省区利润表'!S12</f>
        <v>0</v>
      </c>
      <c r="T12" s="49">
        <f>'2025年安徽省区利润表'!T12+'2025年江西省区利润表'!T12</f>
        <v>0</v>
      </c>
      <c r="U12" s="49">
        <f>'2025年安徽省区利润表'!U12+'2025年江西省区利润表'!U12</f>
        <v>0</v>
      </c>
      <c r="V12" s="49">
        <f>'2025年安徽省区利润表'!V12+'2025年江西省区利润表'!V12</f>
        <v>0</v>
      </c>
      <c r="W12" s="49">
        <f>'2025年安徽省区利润表'!W12+'2025年江西省区利润表'!W12</f>
        <v>0</v>
      </c>
      <c r="X12" s="49">
        <f>'2025年安徽省区利润表'!X12+'2025年江西省区利润表'!X12</f>
        <v>0</v>
      </c>
      <c r="Y12" s="49">
        <f>'2025年安徽省区利润表'!Y12+'2025年江西省区利润表'!Y12</f>
        <v>0</v>
      </c>
      <c r="Z12" s="49">
        <f>'2025年安徽省区利润表'!Z12+'2025年江西省区利润表'!Z12</f>
        <v>0</v>
      </c>
      <c r="AA12" s="51">
        <f t="shared" si="1"/>
        <v>0</v>
      </c>
      <c r="AB12" s="51">
        <f t="shared" si="2"/>
        <v>12738.265200000002</v>
      </c>
      <c r="AD12" s="31">
        <f t="shared" si="3"/>
        <v>0</v>
      </c>
      <c r="AE12" s="31">
        <f t="shared" si="4"/>
        <v>12738.265200000002</v>
      </c>
      <c r="AF12" s="17">
        <f t="shared" si="5"/>
        <v>0</v>
      </c>
      <c r="AG12" s="17">
        <f t="shared" si="6"/>
        <v>0</v>
      </c>
      <c r="BG12" s="21"/>
    </row>
    <row r="13" spans="1:123" s="17" customFormat="1" ht="18" customHeight="1" outlineLevel="1" x14ac:dyDescent="0.25">
      <c r="A13" s="48" t="s">
        <v>95</v>
      </c>
      <c r="B13" s="45"/>
      <c r="C13" s="49">
        <f>'2025年安徽省区利润表'!C13+'2025年江西省区利润表'!C13</f>
        <v>0</v>
      </c>
      <c r="D13" s="49">
        <f>'2025年安徽省区利润表'!D13+'2025年江西省区利润表'!D13</f>
        <v>0</v>
      </c>
      <c r="E13" s="49">
        <f>'2025年安徽省区利润表'!E13+'2025年江西省区利润表'!E13</f>
        <v>0</v>
      </c>
      <c r="F13" s="49">
        <f>'2025年安徽省区利润表'!F13+'2025年江西省区利润表'!F13</f>
        <v>0</v>
      </c>
      <c r="G13" s="49">
        <f>'2025年安徽省区利润表'!G13+'2025年江西省区利润表'!G13</f>
        <v>0</v>
      </c>
      <c r="H13" s="49">
        <f>'2025年安徽省区利润表'!H13+'2025年江西省区利润表'!H13</f>
        <v>0</v>
      </c>
      <c r="I13" s="49">
        <f>'2025年安徽省区利润表'!I13+'2025年江西省区利润表'!I13</f>
        <v>0</v>
      </c>
      <c r="J13" s="49">
        <f>'2025年安徽省区利润表'!J13+'2025年江西省区利润表'!J13</f>
        <v>0</v>
      </c>
      <c r="K13" s="49">
        <f>'2025年安徽省区利润表'!K13+'2025年江西省区利润表'!K13</f>
        <v>0</v>
      </c>
      <c r="L13" s="49">
        <f>'2025年安徽省区利润表'!L13+'2025年江西省区利润表'!L13</f>
        <v>0</v>
      </c>
      <c r="M13" s="49">
        <f>'2025年安徽省区利润表'!M13+'2025年江西省区利润表'!M13</f>
        <v>0</v>
      </c>
      <c r="N13" s="49">
        <f>'2025年安徽省区利润表'!N13+'2025年江西省区利润表'!N13</f>
        <v>0</v>
      </c>
      <c r="O13" s="49">
        <f>'2025年安徽省区利润表'!O13+'2025年江西省区利润表'!O13</f>
        <v>0</v>
      </c>
      <c r="P13" s="49">
        <f>'2025年安徽省区利润表'!P13+'2025年江西省区利润表'!P13</f>
        <v>0</v>
      </c>
      <c r="Q13" s="49">
        <f>'2025年安徽省区利润表'!Q13+'2025年江西省区利润表'!Q13</f>
        <v>0</v>
      </c>
      <c r="R13" s="49">
        <f>'2025年安徽省区利润表'!R13+'2025年江西省区利润表'!R13</f>
        <v>0</v>
      </c>
      <c r="S13" s="49">
        <f>'2025年安徽省区利润表'!S13+'2025年江西省区利润表'!S13</f>
        <v>0</v>
      </c>
      <c r="T13" s="49">
        <f>'2025年安徽省区利润表'!T13+'2025年江西省区利润表'!T13</f>
        <v>0</v>
      </c>
      <c r="U13" s="49">
        <f>'2025年安徽省区利润表'!U13+'2025年江西省区利润表'!U13</f>
        <v>0</v>
      </c>
      <c r="V13" s="49">
        <f>'2025年安徽省区利润表'!V13+'2025年江西省区利润表'!V13</f>
        <v>0</v>
      </c>
      <c r="W13" s="49">
        <f>'2025年安徽省区利润表'!W13+'2025年江西省区利润表'!W13</f>
        <v>0</v>
      </c>
      <c r="X13" s="49">
        <f>'2025年安徽省区利润表'!X13+'2025年江西省区利润表'!X13</f>
        <v>0</v>
      </c>
      <c r="Y13" s="49">
        <f>'2025年安徽省区利润表'!Y13+'2025年江西省区利润表'!Y13</f>
        <v>0</v>
      </c>
      <c r="Z13" s="49">
        <f>'2025年安徽省区利润表'!Z13+'2025年江西省区利润表'!Z13</f>
        <v>0</v>
      </c>
      <c r="AA13" s="51">
        <f t="shared" si="1"/>
        <v>0</v>
      </c>
      <c r="AB13" s="51">
        <f t="shared" si="2"/>
        <v>0</v>
      </c>
      <c r="AD13" s="31">
        <f t="shared" si="3"/>
        <v>0</v>
      </c>
      <c r="AE13" s="31">
        <f t="shared" si="4"/>
        <v>0</v>
      </c>
      <c r="AF13" s="17">
        <f t="shared" si="5"/>
        <v>0</v>
      </c>
      <c r="AG13" s="17">
        <f t="shared" si="6"/>
        <v>0</v>
      </c>
      <c r="BG13" s="21"/>
    </row>
    <row r="14" spans="1:123" s="17" customFormat="1" ht="18" customHeight="1" outlineLevel="1" x14ac:dyDescent="0.25">
      <c r="A14" s="48" t="s">
        <v>96</v>
      </c>
      <c r="B14" s="45"/>
      <c r="C14" s="49">
        <f>'2025年安徽省区利润表'!C14+'2025年江西省区利润表'!C14</f>
        <v>0</v>
      </c>
      <c r="D14" s="49">
        <f>'2025年安徽省区利润表'!D14+'2025年江西省区利润表'!D14</f>
        <v>0</v>
      </c>
      <c r="E14" s="49">
        <f>'2025年安徽省区利润表'!E14+'2025年江西省区利润表'!E14</f>
        <v>0</v>
      </c>
      <c r="F14" s="49">
        <f>'2025年安徽省区利润表'!F14+'2025年江西省区利润表'!F14</f>
        <v>0</v>
      </c>
      <c r="G14" s="49">
        <f>'2025年安徽省区利润表'!G14+'2025年江西省区利润表'!G14</f>
        <v>0</v>
      </c>
      <c r="H14" s="49">
        <f>'2025年安徽省区利润表'!H14+'2025年江西省区利润表'!H14</f>
        <v>0</v>
      </c>
      <c r="I14" s="49">
        <f>'2025年安徽省区利润表'!I14+'2025年江西省区利润表'!I14</f>
        <v>0</v>
      </c>
      <c r="J14" s="49">
        <f>'2025年安徽省区利润表'!J14+'2025年江西省区利润表'!J14</f>
        <v>0</v>
      </c>
      <c r="K14" s="49">
        <f>'2025年安徽省区利润表'!K14+'2025年江西省区利润表'!K14</f>
        <v>0</v>
      </c>
      <c r="L14" s="49">
        <f>'2025年安徽省区利润表'!L14+'2025年江西省区利润表'!L14</f>
        <v>19261.099999999999</v>
      </c>
      <c r="M14" s="49">
        <f>'2025年安徽省区利润表'!M14+'2025年江西省区利润表'!M14</f>
        <v>0</v>
      </c>
      <c r="N14" s="49">
        <f>'2025年安徽省区利润表'!N14+'2025年江西省区利润表'!N14</f>
        <v>7604.95</v>
      </c>
      <c r="O14" s="49">
        <f>'2025年安徽省区利润表'!O14+'2025年江西省区利润表'!O14</f>
        <v>2250</v>
      </c>
      <c r="P14" s="49">
        <f>'2025年安徽省区利润表'!P14+'2025年江西省区利润表'!P14</f>
        <v>2964.82</v>
      </c>
      <c r="Q14" s="49">
        <f>'2025年安徽省区利润表'!Q14+'2025年江西省区利润表'!Q14</f>
        <v>5629.8</v>
      </c>
      <c r="R14" s="49">
        <f>'2025年安徽省区利润表'!R14+'2025年江西省区利润表'!R14</f>
        <v>4423.93</v>
      </c>
      <c r="S14" s="49">
        <f>'2025年安徽省区利润表'!S14+'2025年江西省区利润表'!S14</f>
        <v>52364.38</v>
      </c>
      <c r="T14" s="49">
        <f>'2025年安徽省区利润表'!T14+'2025年江西省区利润表'!T14</f>
        <v>5173.1599999999899</v>
      </c>
      <c r="U14" s="49">
        <f>'2025年安徽省区利润表'!U14+'2025年江西省区利润表'!U14</f>
        <v>7882.21</v>
      </c>
      <c r="V14" s="49">
        <f>'2025年安徽省区利润表'!V14+'2025年江西省区利润表'!V14</f>
        <v>25564.93</v>
      </c>
      <c r="W14" s="49">
        <f>'2025年安徽省区利润表'!W14+'2025年江西省区利润表'!W14</f>
        <v>10305.65</v>
      </c>
      <c r="X14" s="49">
        <f>'2025年安徽省区利润表'!X14+'2025年江西省区利润表'!X14</f>
        <v>19923.650000000001</v>
      </c>
      <c r="Y14" s="49">
        <f>'2025年安徽省区利润表'!Y14+'2025年江西省区利润表'!Y14</f>
        <v>16975</v>
      </c>
      <c r="Z14" s="49">
        <f>'2025年安徽省区利润表'!Z14+'2025年江西省区利润表'!Z14</f>
        <v>16452.46</v>
      </c>
      <c r="AA14" s="51">
        <f t="shared" si="1"/>
        <v>95407.039999999994</v>
      </c>
      <c r="AB14" s="51">
        <f t="shared" si="2"/>
        <v>101369</v>
      </c>
      <c r="AD14" s="31">
        <f t="shared" si="3"/>
        <v>95407.039999999994</v>
      </c>
      <c r="AE14" s="31">
        <f t="shared" si="4"/>
        <v>101369</v>
      </c>
      <c r="BG14" s="21"/>
    </row>
    <row r="15" spans="1:123" s="17" customFormat="1" ht="18" customHeight="1" outlineLevel="1" x14ac:dyDescent="0.25">
      <c r="A15" s="48" t="s">
        <v>97</v>
      </c>
      <c r="B15" s="45"/>
      <c r="C15" s="49">
        <f>'2025年安徽省区利润表'!C15+'2025年江西省区利润表'!C15</f>
        <v>844206.84000000008</v>
      </c>
      <c r="D15" s="49">
        <f>'2025年安徽省区利润表'!D15+'2025年江西省区利润表'!D15</f>
        <v>0</v>
      </c>
      <c r="E15" s="49">
        <f>'2025年安徽省区利润表'!E15+'2025年江西省区利润表'!E15</f>
        <v>862515</v>
      </c>
      <c r="F15" s="49">
        <f>'2025年安徽省区利润表'!F15+'2025年江西省区利润表'!F15</f>
        <v>0</v>
      </c>
      <c r="G15" s="49">
        <f>'2025年安徽省区利润表'!G15+'2025年江西省区利润表'!G15</f>
        <v>1375789.3200000003</v>
      </c>
      <c r="H15" s="49">
        <f>'2025年安徽省区利润表'!H15+'2025年江西省区利润表'!H15</f>
        <v>0</v>
      </c>
      <c r="I15" s="49">
        <f>'2025年安徽省区利润表'!I15+'2025年江西省区利润表'!I15</f>
        <v>1738544.04</v>
      </c>
      <c r="J15" s="49">
        <f>'2025年安徽省区利润表'!J15+'2025年江西省区利润表'!J15</f>
        <v>0</v>
      </c>
      <c r="K15" s="49">
        <f>'2025年安徽省区利润表'!K15+'2025年江西省区利润表'!K15</f>
        <v>1499640.48</v>
      </c>
      <c r="L15" s="49">
        <f>'2025年安徽省区利润表'!L15+'2025年江西省区利润表'!L15</f>
        <v>0</v>
      </c>
      <c r="M15" s="49">
        <f>'2025年安徽省区利润表'!M15+'2025年江西省区利润表'!M15</f>
        <v>1695080.52</v>
      </c>
      <c r="N15" s="49">
        <f>'2025年安徽省区利润表'!N15+'2025年江西省区利润表'!N15</f>
        <v>0</v>
      </c>
      <c r="O15" s="49">
        <f>'2025年安徽省区利润表'!O15+'2025年江西省区利润表'!O15</f>
        <v>1735572.96</v>
      </c>
      <c r="P15" s="49">
        <f>'2025年安徽省区利润表'!P15+'2025年江西省区利润表'!P15</f>
        <v>0</v>
      </c>
      <c r="Q15" s="49">
        <f>'2025年安徽省区利润表'!Q15+'2025年江西省区利润表'!Q15</f>
        <v>1745999.2800000003</v>
      </c>
      <c r="R15" s="49">
        <f>'2025年安徽省区利润表'!R15+'2025年江西省区利润表'!R15</f>
        <v>0</v>
      </c>
      <c r="S15" s="49">
        <f>'2025年安徽省区利润表'!S15+'2025年江西省区利润表'!S15</f>
        <v>2551074.4800000004</v>
      </c>
      <c r="T15" s="49">
        <f>'2025年安徽省区利润表'!T15+'2025年江西省区利润表'!T15</f>
        <v>0</v>
      </c>
      <c r="U15" s="49">
        <f>'2025年安徽省区利润表'!U15+'2025年江西省区利润表'!U15</f>
        <v>1698945.84</v>
      </c>
      <c r="V15" s="49">
        <f>'2025年安徽省区利润表'!V15+'2025年江西省区利润表'!V15</f>
        <v>0</v>
      </c>
      <c r="W15" s="49">
        <f>'2025年安徽省区利润表'!W15+'2025年江西省区利润表'!W15</f>
        <v>2074651.92</v>
      </c>
      <c r="X15" s="49">
        <f>'2025年安徽省区利润表'!X15+'2025年江西省区利润表'!X15</f>
        <v>0</v>
      </c>
      <c r="Y15" s="49">
        <f>'2025年安徽省区利润表'!Y15+'2025年江西省区利润表'!Y15</f>
        <v>3021979.3200000003</v>
      </c>
      <c r="Z15" s="49">
        <f>'2025年安徽省区利润表'!Z15+'2025年江西省区利润表'!Z15</f>
        <v>0</v>
      </c>
      <c r="AA15" s="51">
        <f t="shared" si="1"/>
        <v>20844000</v>
      </c>
      <c r="AB15" s="51">
        <f t="shared" si="2"/>
        <v>0</v>
      </c>
      <c r="AD15" s="31">
        <f t="shared" si="3"/>
        <v>20844000</v>
      </c>
      <c r="AE15" s="31">
        <f t="shared" si="4"/>
        <v>0</v>
      </c>
      <c r="AF15" s="17">
        <f t="shared" ref="AF15:AF25" si="7">AA15-AD15</f>
        <v>0</v>
      </c>
      <c r="AG15" s="17">
        <f t="shared" ref="AG15:AG25" si="8">AB15-AE15</f>
        <v>0</v>
      </c>
      <c r="BG15" s="21"/>
    </row>
    <row r="16" spans="1:123" s="17" customFormat="1" ht="18" customHeight="1" x14ac:dyDescent="0.25">
      <c r="A16" s="52" t="s">
        <v>98</v>
      </c>
      <c r="B16" s="45" t="s">
        <v>99</v>
      </c>
      <c r="C16" s="46">
        <f t="shared" ref="C16:Z16" si="9">SUM(C17:C25)</f>
        <v>694597.62040000013</v>
      </c>
      <c r="D16" s="46">
        <f t="shared" si="9"/>
        <v>1048488.3976000001</v>
      </c>
      <c r="E16" s="46">
        <f t="shared" si="9"/>
        <v>739876.25439999998</v>
      </c>
      <c r="F16" s="46">
        <f t="shared" si="9"/>
        <v>573680.14139999996</v>
      </c>
      <c r="G16" s="46">
        <f t="shared" si="9"/>
        <v>1152006.3698000002</v>
      </c>
      <c r="H16" s="46">
        <f t="shared" si="9"/>
        <v>655445.53819999995</v>
      </c>
      <c r="I16" s="46">
        <f t="shared" si="9"/>
        <v>1430740.3805999998</v>
      </c>
      <c r="J16" s="46">
        <f t="shared" si="9"/>
        <v>1078245.7178</v>
      </c>
      <c r="K16" s="46">
        <f t="shared" si="9"/>
        <v>1245006.5144</v>
      </c>
      <c r="L16" s="46">
        <f t="shared" si="9"/>
        <v>599711.30479999993</v>
      </c>
      <c r="M16" s="46">
        <f t="shared" si="9"/>
        <v>1391946.5740000003</v>
      </c>
      <c r="N16" s="46">
        <f t="shared" si="9"/>
        <v>926970.29500000016</v>
      </c>
      <c r="O16" s="46">
        <f t="shared" si="9"/>
        <v>1416094.3414</v>
      </c>
      <c r="P16" s="46">
        <f t="shared" si="9"/>
        <v>712527.45519999985</v>
      </c>
      <c r="Q16" s="46">
        <f t="shared" si="9"/>
        <v>1427330.9675999999</v>
      </c>
      <c r="R16" s="46">
        <f t="shared" si="9"/>
        <v>992232.37540000002</v>
      </c>
      <c r="S16" s="46">
        <f t="shared" si="9"/>
        <v>2027086.2335999999</v>
      </c>
      <c r="T16" s="46">
        <f t="shared" si="9"/>
        <v>1080861.2697999999</v>
      </c>
      <c r="U16" s="46">
        <f t="shared" si="9"/>
        <v>1400246.8202000002</v>
      </c>
      <c r="V16" s="46">
        <f t="shared" si="9"/>
        <v>886847.0392</v>
      </c>
      <c r="W16" s="46">
        <f t="shared" si="9"/>
        <v>1662857.8046000001</v>
      </c>
      <c r="X16" s="46">
        <f t="shared" si="9"/>
        <v>775034.7916</v>
      </c>
      <c r="Y16" s="46">
        <f t="shared" si="9"/>
        <v>2374698.8073999998</v>
      </c>
      <c r="Z16" s="46">
        <f t="shared" si="9"/>
        <v>1217523.3772</v>
      </c>
      <c r="AA16" s="47">
        <f t="shared" si="1"/>
        <v>16962488.6884</v>
      </c>
      <c r="AB16" s="47">
        <f t="shared" si="2"/>
        <v>10547567.703199999</v>
      </c>
      <c r="AC16" s="87"/>
      <c r="AD16" s="31">
        <f t="shared" si="3"/>
        <v>16962488.6884</v>
      </c>
      <c r="AE16" s="31">
        <f t="shared" si="4"/>
        <v>10547567.703199999</v>
      </c>
      <c r="AF16" s="17">
        <f t="shared" si="7"/>
        <v>0</v>
      </c>
      <c r="AG16" s="17">
        <f t="shared" si="8"/>
        <v>0</v>
      </c>
      <c r="BG16" s="21"/>
    </row>
    <row r="17" spans="1:123" s="19" customFormat="1" ht="18" customHeight="1" outlineLevel="1" x14ac:dyDescent="0.25">
      <c r="A17" s="48" t="s">
        <v>89</v>
      </c>
      <c r="B17" s="53"/>
      <c r="C17" s="49">
        <f>'2025年安徽省区利润表'!C17+'2025年江西省区利润表'!C17</f>
        <v>0</v>
      </c>
      <c r="D17" s="49">
        <f>'2025年安徽省区利润表'!D17+'2025年江西省区利润表'!D17</f>
        <v>178274.1618</v>
      </c>
      <c r="E17" s="49">
        <f>'2025年安徽省区利润表'!E17+'2025年江西省区利润表'!E17</f>
        <v>0</v>
      </c>
      <c r="F17" s="49">
        <f>'2025年安徽省区利润表'!F17+'2025年江西省区利润表'!F17</f>
        <v>118341.35880000002</v>
      </c>
      <c r="G17" s="49">
        <f>'2025年安徽省区利润表'!G17+'2025年江西省区利润表'!G17</f>
        <v>0</v>
      </c>
      <c r="H17" s="49">
        <f>'2025年安徽省区利润表'!H17+'2025年江西省区利润表'!H17</f>
        <v>91353.474600000001</v>
      </c>
      <c r="I17" s="49">
        <f>'2025年安徽省区利润表'!I17+'2025年江西省区利润表'!I17</f>
        <v>0</v>
      </c>
      <c r="J17" s="49">
        <f>'2025年安徽省区利润表'!J17+'2025年江西省区利润表'!J17</f>
        <v>210581.97840000002</v>
      </c>
      <c r="K17" s="49">
        <f>'2025年安徽省区利润表'!K17+'2025年江西省区利润表'!K17</f>
        <v>0</v>
      </c>
      <c r="L17" s="49">
        <f>'2025年安徽省区利润表'!L17+'2025年江西省区利润表'!L17</f>
        <v>97719.406799999997</v>
      </c>
      <c r="M17" s="49">
        <f>'2025年安徽省区利润表'!M17+'2025年江西省区利润表'!M17</f>
        <v>0</v>
      </c>
      <c r="N17" s="49">
        <f>'2025年安徽省区利润表'!N17+'2025年江西省区利润表'!N17</f>
        <v>179445.8052</v>
      </c>
      <c r="O17" s="49">
        <f>'2025年安徽省区利润表'!O17+'2025年江西省区利润表'!O17</f>
        <v>0</v>
      </c>
      <c r="P17" s="49">
        <f>'2025年安徽省区利润表'!P17+'2025年江西省区利润表'!P17</f>
        <v>171148.51320000002</v>
      </c>
      <c r="Q17" s="49">
        <f>'2025年安徽省区利润表'!Q17+'2025年江西省区利润表'!Q17</f>
        <v>0</v>
      </c>
      <c r="R17" s="49">
        <f>'2025年安徽省区利润表'!R17+'2025年江西省区利润表'!R17</f>
        <v>175351.7598</v>
      </c>
      <c r="S17" s="49">
        <f>'2025年安徽省区利润表'!S17+'2025年江西省区利润表'!S17</f>
        <v>0</v>
      </c>
      <c r="T17" s="49">
        <f>'2025年安徽省区利润表'!T17+'2025年江西省区利润表'!T17</f>
        <v>251500.78800000003</v>
      </c>
      <c r="U17" s="49">
        <f>'2025年安徽省区利润表'!U17+'2025年江西省区利润表'!U17</f>
        <v>0</v>
      </c>
      <c r="V17" s="49">
        <f>'2025年安徽省区利润表'!V17+'2025年江西省区利润表'!V17</f>
        <v>175035.723</v>
      </c>
      <c r="W17" s="49">
        <f>'2025年安徽省区利润表'!W17+'2025年江西省区利润表'!W17</f>
        <v>0</v>
      </c>
      <c r="X17" s="49">
        <f>'2025年安徽省区利润表'!X17+'2025年江西省区利润表'!X17</f>
        <v>169247.78400000001</v>
      </c>
      <c r="Y17" s="49">
        <f>'2025年安徽省区利润表'!Y17+'2025年江西省区利润表'!Y17</f>
        <v>0</v>
      </c>
      <c r="Z17" s="49">
        <f>'2025年安徽省区利润表'!Z17+'2025年江西省区利润表'!Z17</f>
        <v>179356.18799999999</v>
      </c>
      <c r="AA17" s="51">
        <f t="shared" si="1"/>
        <v>0</v>
      </c>
      <c r="AB17" s="51">
        <f t="shared" si="2"/>
        <v>1997356.9416000003</v>
      </c>
      <c r="AD17" s="31">
        <f t="shared" si="3"/>
        <v>0</v>
      </c>
      <c r="AE17" s="31">
        <f t="shared" si="4"/>
        <v>1997356.9416000003</v>
      </c>
      <c r="AF17" s="17">
        <f t="shared" si="7"/>
        <v>0</v>
      </c>
      <c r="AG17" s="17">
        <f t="shared" si="8"/>
        <v>0</v>
      </c>
      <c r="BG17" s="21"/>
    </row>
    <row r="18" spans="1:123" s="19" customFormat="1" ht="18" customHeight="1" outlineLevel="1" x14ac:dyDescent="0.25">
      <c r="A18" s="48" t="s">
        <v>90</v>
      </c>
      <c r="B18" s="53"/>
      <c r="C18" s="49">
        <f>'2025年安徽省区利润表'!C18+'2025年江西省区利润表'!C18</f>
        <v>0</v>
      </c>
      <c r="D18" s="49">
        <f>'2025年安徽省区利润表'!D18+'2025年江西省区利润表'!D18</f>
        <v>616365.65100000007</v>
      </c>
      <c r="E18" s="49">
        <f>'2025年安徽省区利润表'!E18+'2025年江西省区利润表'!E18</f>
        <v>0</v>
      </c>
      <c r="F18" s="49">
        <f>'2025年安徽省区利润表'!F18+'2025年江西省区利润表'!F18</f>
        <v>396472.60259999998</v>
      </c>
      <c r="G18" s="49">
        <f>'2025年安徽省区利润表'!G18+'2025年江西省区利润表'!G18</f>
        <v>0</v>
      </c>
      <c r="H18" s="49">
        <f>'2025年安徽省区利润表'!H18+'2025年江西省区利润表'!H18</f>
        <v>452648.5416</v>
      </c>
      <c r="I18" s="49">
        <f>'2025年安徽省区利润表'!I18+'2025年江西省区利润表'!I18</f>
        <v>0</v>
      </c>
      <c r="J18" s="49">
        <f>'2025年安徽省区利润表'!J18+'2025年江西省区利润表'!J18</f>
        <v>636715.1202</v>
      </c>
      <c r="K18" s="49">
        <f>'2025年安徽省区利润表'!K18+'2025年江西省区利润表'!K18</f>
        <v>0</v>
      </c>
      <c r="L18" s="49">
        <f>'2025年安徽省区利润表'!L18+'2025年江西省区利润表'!L18</f>
        <v>359389.54379999998</v>
      </c>
      <c r="M18" s="49">
        <f>'2025年安徽省区利润表'!M18+'2025年江西省区利润表'!M18</f>
        <v>0</v>
      </c>
      <c r="N18" s="49">
        <f>'2025年安徽省区利润表'!N18+'2025年江西省区利润表'!N18</f>
        <v>588881.84279999998</v>
      </c>
      <c r="O18" s="49">
        <f>'2025年安徽省区利润表'!O18+'2025年江西省区利润表'!O18</f>
        <v>0</v>
      </c>
      <c r="P18" s="49">
        <f>'2025年安徽省区利润表'!P18+'2025年江西省区利润表'!P18</f>
        <v>354192.17459999997</v>
      </c>
      <c r="Q18" s="49">
        <f>'2025年安徽省区利润表'!Q18+'2025年江西省区利润表'!Q18</f>
        <v>0</v>
      </c>
      <c r="R18" s="49">
        <f>'2025年安徽省区利润表'!R18+'2025年江西省区利润表'!R18</f>
        <v>565242.62879999995</v>
      </c>
      <c r="S18" s="49">
        <f>'2025年安徽省区利润表'!S18+'2025年江西省区利润表'!S18</f>
        <v>0</v>
      </c>
      <c r="T18" s="49">
        <f>'2025年安徽省区利润表'!T18+'2025年江西省区利润表'!T18</f>
        <v>573660.99479999999</v>
      </c>
      <c r="U18" s="49">
        <f>'2025年安徽省区利润表'!U18+'2025年江西省区利润表'!U18</f>
        <v>0</v>
      </c>
      <c r="V18" s="49">
        <f>'2025年安徽省区利润表'!V18+'2025年江西省区利润表'!V18</f>
        <v>535962.92699999991</v>
      </c>
      <c r="W18" s="49">
        <f>'2025年安徽省区利润表'!W18+'2025年江西省区利润表'!W18</f>
        <v>0</v>
      </c>
      <c r="X18" s="49">
        <f>'2025年安徽省区利润表'!X18+'2025年江西省区利润表'!X18</f>
        <v>425943.21779999998</v>
      </c>
      <c r="Y18" s="49">
        <f>'2025年安徽省区利润表'!Y18+'2025年江西省区利润表'!Y18</f>
        <v>0</v>
      </c>
      <c r="Z18" s="49">
        <f>'2025年安徽省区利润表'!Z18+'2025年江西省区利润表'!Z18</f>
        <v>769187.23259999999</v>
      </c>
      <c r="AA18" s="51">
        <f t="shared" si="1"/>
        <v>0</v>
      </c>
      <c r="AB18" s="51">
        <f t="shared" si="2"/>
        <v>6274662.4775999999</v>
      </c>
      <c r="AD18" s="31">
        <f t="shared" si="3"/>
        <v>0</v>
      </c>
      <c r="AE18" s="31">
        <f t="shared" si="4"/>
        <v>6274662.4775999999</v>
      </c>
      <c r="AF18" s="17">
        <f t="shared" si="7"/>
        <v>0</v>
      </c>
      <c r="AG18" s="17">
        <f t="shared" si="8"/>
        <v>0</v>
      </c>
      <c r="BG18" s="21"/>
    </row>
    <row r="19" spans="1:123" s="19" customFormat="1" ht="18" customHeight="1" outlineLevel="1" x14ac:dyDescent="0.25">
      <c r="A19" s="48" t="s">
        <v>91</v>
      </c>
      <c r="B19" s="53"/>
      <c r="C19" s="49">
        <f>'2025年安徽省区利润表'!C19+'2025年江西省区利润表'!C19</f>
        <v>0</v>
      </c>
      <c r="D19" s="49">
        <f>'2025年安徽省区利润表'!D19+'2025年江西省区利润表'!D19</f>
        <v>163831.8186</v>
      </c>
      <c r="E19" s="49">
        <f>'2025年安徽省区利润表'!E19+'2025年江西省区利润表'!E19</f>
        <v>0</v>
      </c>
      <c r="F19" s="49">
        <f>'2025年安徽省区利润表'!F19+'2025年江西省区利润表'!F19</f>
        <v>46518.997199999998</v>
      </c>
      <c r="G19" s="49">
        <f>'2025年安徽省区利润表'!G19+'2025年江西省区利润表'!G19</f>
        <v>0</v>
      </c>
      <c r="H19" s="49">
        <f>'2025年安徽省区利润表'!H19+'2025年江西省区利润表'!H19</f>
        <v>86143.743000000002</v>
      </c>
      <c r="I19" s="49">
        <f>'2025年安徽省区利润表'!I19+'2025年江西省区利润表'!I19</f>
        <v>0</v>
      </c>
      <c r="J19" s="49">
        <f>'2025年安徽省区利润表'!J19+'2025年江西省区利润表'!J19</f>
        <v>152646.5496</v>
      </c>
      <c r="K19" s="49">
        <f>'2025年安徽省区利润表'!K19+'2025年江西省区利润表'!K19</f>
        <v>0</v>
      </c>
      <c r="L19" s="49">
        <f>'2025年安徽省区利润表'!L19+'2025年江西省区利润表'!L19</f>
        <v>135627.45180000001</v>
      </c>
      <c r="M19" s="49">
        <f>'2025年安徽省区利润表'!M19+'2025年江西省区利润表'!M19</f>
        <v>0</v>
      </c>
      <c r="N19" s="49">
        <f>'2025年安徽省区利润表'!N19+'2025年江西省区利润表'!N19</f>
        <v>148247.2182</v>
      </c>
      <c r="O19" s="49">
        <f>'2025年安徽省区利润表'!O19+'2025年江西省区利润表'!O19</f>
        <v>0</v>
      </c>
      <c r="P19" s="49">
        <f>'2025年安徽省区利润表'!P19+'2025年江西省区利润表'!P19</f>
        <v>133006.83720000001</v>
      </c>
      <c r="Q19" s="49">
        <f>'2025年安徽省区利润表'!Q19+'2025年江西省区利润表'!Q19</f>
        <v>0</v>
      </c>
      <c r="R19" s="49">
        <f>'2025年安徽省区利润表'!R19+'2025年江西省区利润表'!R19</f>
        <v>202156.59480000002</v>
      </c>
      <c r="S19" s="49">
        <f>'2025年安徽省区利润表'!S19+'2025年江西省区利润表'!S19</f>
        <v>0</v>
      </c>
      <c r="T19" s="49">
        <f>'2025年安徽省区利润表'!T19+'2025年江西省区利润表'!T19</f>
        <v>168776.0748</v>
      </c>
      <c r="U19" s="49">
        <f>'2025年安徽省区利润表'!U19+'2025年江西省区利润表'!U19</f>
        <v>0</v>
      </c>
      <c r="V19" s="49">
        <f>'2025年安徽省区利润表'!V19+'2025年江西省区利润表'!V19</f>
        <v>136273.3566</v>
      </c>
      <c r="W19" s="49">
        <f>'2025年安徽省区利润表'!W19+'2025年江西省区利润表'!W19</f>
        <v>0</v>
      </c>
      <c r="X19" s="49">
        <f>'2025年安徽省区利润表'!X19+'2025年江西省区利润表'!X19</f>
        <v>123330.84179999999</v>
      </c>
      <c r="Y19" s="49">
        <f>'2025年安徽省区利润表'!Y19+'2025年江西省区利润表'!Y19</f>
        <v>0</v>
      </c>
      <c r="Z19" s="49">
        <f>'2025年安徽省区利润表'!Z19+'2025年江西省区利润表'!Z19</f>
        <v>227457.53159999999</v>
      </c>
      <c r="AA19" s="51">
        <f t="shared" si="1"/>
        <v>0</v>
      </c>
      <c r="AB19" s="51">
        <f t="shared" si="2"/>
        <v>1724017.0152000003</v>
      </c>
      <c r="AD19" s="31">
        <f t="shared" si="3"/>
        <v>0</v>
      </c>
      <c r="AE19" s="31">
        <f t="shared" si="4"/>
        <v>1724017.0152000003</v>
      </c>
      <c r="AF19" s="17">
        <f t="shared" si="7"/>
        <v>0</v>
      </c>
      <c r="AG19" s="17">
        <f t="shared" si="8"/>
        <v>0</v>
      </c>
      <c r="BG19" s="21"/>
    </row>
    <row r="20" spans="1:123" s="19" customFormat="1" ht="18" customHeight="1" outlineLevel="1" x14ac:dyDescent="0.25">
      <c r="A20" s="48" t="s">
        <v>92</v>
      </c>
      <c r="B20" s="53"/>
      <c r="C20" s="49">
        <f>'2025年安徽省区利润表'!C20+'2025年江西省区利润表'!C20</f>
        <v>0</v>
      </c>
      <c r="D20" s="49">
        <f>'2025年安徽省区利润表'!D20+'2025年江西省区利润表'!D20</f>
        <v>5348.3292000000001</v>
      </c>
      <c r="E20" s="49">
        <f>'2025年安徽省区利润表'!E20+'2025年江西省区利润表'!E20</f>
        <v>0</v>
      </c>
      <c r="F20" s="49">
        <f>'2025年安徽省区利润表'!F20+'2025年江西省区利润表'!F20</f>
        <v>201.19499999999999</v>
      </c>
      <c r="G20" s="49">
        <f>'2025年安徽省区利润表'!G20+'2025年江西省区利润表'!G20</f>
        <v>0</v>
      </c>
      <c r="H20" s="49">
        <f>'2025年安徽省区利润表'!H20+'2025年江西省区利润表'!H20</f>
        <v>3327.0360000000001</v>
      </c>
      <c r="I20" s="49">
        <f>'2025年安徽省区利润表'!I20+'2025年江西省区利润表'!I20</f>
        <v>0</v>
      </c>
      <c r="J20" s="49">
        <f>'2025年安徽省区利润表'!J20+'2025年江西省区利润表'!J20</f>
        <v>4575.3629999999994</v>
      </c>
      <c r="K20" s="49">
        <f>'2025年安徽省区利润表'!K20+'2025年江西省区利润表'!K20</f>
        <v>0</v>
      </c>
      <c r="L20" s="49">
        <f>'2025年安徽省区利润表'!L20+'2025年江西省区利润表'!L20</f>
        <v>1177.1004</v>
      </c>
      <c r="M20" s="49">
        <f>'2025年安徽省区利润表'!M20+'2025年江西省区利润表'!M20</f>
        <v>0</v>
      </c>
      <c r="N20" s="49">
        <f>'2025年安徽省区利润表'!N20+'2025年江西省区利润表'!N20</f>
        <v>3719.6850000000004</v>
      </c>
      <c r="O20" s="49">
        <f>'2025年安徽省区利润表'!O20+'2025年江西省区利润表'!O20</f>
        <v>0</v>
      </c>
      <c r="P20" s="49">
        <f>'2025年安徽省区利润表'!P20+'2025年江西省区利润表'!P20</f>
        <v>3705.7008000000001</v>
      </c>
      <c r="Q20" s="49">
        <f>'2025年安徽省区利润表'!Q20+'2025年江西省区利润表'!Q20</f>
        <v>0</v>
      </c>
      <c r="R20" s="49">
        <f>'2025年安徽省区利润表'!R20+'2025年江西省区利润表'!R20</f>
        <v>3660.6168000000002</v>
      </c>
      <c r="S20" s="49">
        <f>'2025年安徽省区利润表'!S20+'2025年江西省区利润表'!S20</f>
        <v>0</v>
      </c>
      <c r="T20" s="49">
        <f>'2025年安徽省区利润表'!T20+'2025年江西省区利润表'!T20</f>
        <v>4091.2200000000003</v>
      </c>
      <c r="U20" s="49">
        <f>'2025年安徽省区利润表'!U20+'2025年江西省区利润表'!U20</f>
        <v>0</v>
      </c>
      <c r="V20" s="49">
        <f>'2025年安徽省区利润表'!V20+'2025年江西省区利润表'!V20</f>
        <v>2839.9043999999999</v>
      </c>
      <c r="W20" s="49">
        <f>'2025年安徽省区利润表'!W20+'2025年江西省区利润表'!W20</f>
        <v>0</v>
      </c>
      <c r="X20" s="49">
        <f>'2025年安徽省区利润表'!X20+'2025年江西省区利润表'!X20</f>
        <v>1743.5574000000001</v>
      </c>
      <c r="Y20" s="49">
        <f>'2025年安徽省区利润表'!Y20+'2025年江西省区利润表'!Y20</f>
        <v>0</v>
      </c>
      <c r="Z20" s="49">
        <f>'2025年安徽省区利润表'!Z20+'2025年江西省区利润表'!Z20</f>
        <v>12794.278200000001</v>
      </c>
      <c r="AA20" s="51">
        <f t="shared" si="1"/>
        <v>0</v>
      </c>
      <c r="AB20" s="51">
        <f t="shared" si="2"/>
        <v>47183.986199999999</v>
      </c>
      <c r="AD20" s="31">
        <f t="shared" si="3"/>
        <v>0</v>
      </c>
      <c r="AE20" s="31">
        <f t="shared" si="4"/>
        <v>47183.986199999999</v>
      </c>
      <c r="AF20" s="17">
        <f t="shared" si="7"/>
        <v>0</v>
      </c>
      <c r="AG20" s="17">
        <f t="shared" si="8"/>
        <v>0</v>
      </c>
      <c r="BG20" s="21"/>
    </row>
    <row r="21" spans="1:123" s="19" customFormat="1" ht="18" customHeight="1" outlineLevel="1" x14ac:dyDescent="0.25">
      <c r="A21" s="48" t="s">
        <v>93</v>
      </c>
      <c r="B21" s="53"/>
      <c r="C21" s="49">
        <f>'2025年安徽省区利润表'!C21+'2025年江西省区利润表'!C21</f>
        <v>0</v>
      </c>
      <c r="D21" s="49">
        <f>'2025年安徽省区利润表'!D21+'2025年江西省区利润表'!D21</f>
        <v>56810.807400000005</v>
      </c>
      <c r="E21" s="49">
        <f>'2025年安徽省区利润表'!E21+'2025年江西省区利润表'!E21</f>
        <v>0</v>
      </c>
      <c r="F21" s="49">
        <f>'2025年安徽省区利润表'!F21+'2025年江西省区利润表'!F21</f>
        <v>852.09780000000001</v>
      </c>
      <c r="G21" s="49">
        <f>'2025年安徽省区利润表'!G21+'2025年江西省区利润表'!G21</f>
        <v>0</v>
      </c>
      <c r="H21" s="49">
        <f>'2025年安徽省区利润表'!H21+'2025年江西省区利润表'!H21</f>
        <v>3053.2374</v>
      </c>
      <c r="I21" s="49">
        <f>'2025年安徽省区利润表'!I21+'2025年江西省区利润表'!I21</f>
        <v>0</v>
      </c>
      <c r="J21" s="49">
        <f>'2025年安徽省区利润表'!J21+'2025年江西省区利润表'!J21</f>
        <v>46251.726599999995</v>
      </c>
      <c r="K21" s="49">
        <f>'2025年安徽省区利润表'!K21+'2025年江西省区利润表'!K21</f>
        <v>0</v>
      </c>
      <c r="L21" s="49">
        <f>'2025年安徽省区利润表'!L21+'2025年江西省区利润表'!L21</f>
        <v>4969.4094000000005</v>
      </c>
      <c r="M21" s="49">
        <f>'2025年安徽省区利润表'!M21+'2025年江西省区利润表'!M21</f>
        <v>0</v>
      </c>
      <c r="N21" s="49">
        <f>'2025年安徽省区利润表'!N21+'2025年江西省区利润表'!N21</f>
        <v>6829.6038000000008</v>
      </c>
      <c r="O21" s="49">
        <f>'2025年安徽省区利润表'!O21+'2025年江西省区利润表'!O21</f>
        <v>0</v>
      </c>
      <c r="P21" s="49">
        <f>'2025年安徽省区利润表'!P21+'2025年江西省区利润表'!P21</f>
        <v>36865.972199999997</v>
      </c>
      <c r="Q21" s="49">
        <f>'2025年安徽省区利润表'!Q21+'2025年江西省区利润表'!Q21</f>
        <v>0</v>
      </c>
      <c r="R21" s="49">
        <f>'2025年安徽省区利润表'!R21+'2025年江西省区利润表'!R21</f>
        <v>12606.220799999999</v>
      </c>
      <c r="S21" s="49">
        <f>'2025年安徽省区利润表'!S21+'2025年江西省区利润表'!S21</f>
        <v>0</v>
      </c>
      <c r="T21" s="49">
        <f>'2025年安徽省区利润表'!T21+'2025年江西省区利润表'!T21</f>
        <v>51585.755400000009</v>
      </c>
      <c r="U21" s="49">
        <f>'2025年安徽省区利润表'!U21+'2025年江西省区利润表'!U21</f>
        <v>0</v>
      </c>
      <c r="V21" s="49">
        <f>'2025年安徽省区利润表'!V21+'2025年江西省区利润表'!V21</f>
        <v>19814.928</v>
      </c>
      <c r="W21" s="49">
        <f>'2025年安徽省区利润表'!W21+'2025年江西省区利润表'!W21</f>
        <v>0</v>
      </c>
      <c r="X21" s="49">
        <f>'2025年安徽省区利润表'!X21+'2025年江西省区利润表'!X21</f>
        <v>40894.360199999996</v>
      </c>
      <c r="Y21" s="49">
        <f>'2025年安徽省区利润表'!Y21+'2025年江西省区利润表'!Y21</f>
        <v>0</v>
      </c>
      <c r="Z21" s="49">
        <f>'2025年安徽省区利润表'!Z21+'2025年江西省区利润表'!Z21</f>
        <v>14256.448200000001</v>
      </c>
      <c r="AA21" s="51">
        <f t="shared" si="1"/>
        <v>0</v>
      </c>
      <c r="AB21" s="51">
        <f t="shared" si="2"/>
        <v>294790.56719999999</v>
      </c>
      <c r="AD21" s="31">
        <f t="shared" si="3"/>
        <v>0</v>
      </c>
      <c r="AE21" s="31">
        <f t="shared" si="4"/>
        <v>294790.56719999999</v>
      </c>
      <c r="AF21" s="17">
        <f t="shared" si="7"/>
        <v>0</v>
      </c>
      <c r="AG21" s="17">
        <f t="shared" si="8"/>
        <v>0</v>
      </c>
      <c r="BG21" s="21"/>
    </row>
    <row r="22" spans="1:123" s="19" customFormat="1" ht="18" customHeight="1" outlineLevel="1" x14ac:dyDescent="0.25">
      <c r="A22" s="48" t="s">
        <v>94</v>
      </c>
      <c r="B22" s="53"/>
      <c r="C22" s="49">
        <f>'2025年安徽省区利润表'!C22+'2025年江西省区利润表'!C22</f>
        <v>0</v>
      </c>
      <c r="D22" s="49">
        <f>'2025年安徽省区利润表'!D22+'2025年江西省区利润表'!D22</f>
        <v>2322.0095999999999</v>
      </c>
      <c r="E22" s="49">
        <f>'2025年安徽省区利润表'!E22+'2025年江西省区利润表'!E22</f>
        <v>0</v>
      </c>
      <c r="F22" s="49">
        <f>'2025年安徽省区利润表'!F22+'2025年江西省区利润表'!F22</f>
        <v>0</v>
      </c>
      <c r="G22" s="49">
        <f>'2025年安徽省区利润表'!G22+'2025年江西省区利润表'!G22</f>
        <v>0</v>
      </c>
      <c r="H22" s="49">
        <f>'2025年安徽省区利润表'!H22+'2025年江西省区利润表'!H22</f>
        <v>5633.7456000000002</v>
      </c>
      <c r="I22" s="49">
        <f>'2025年安徽省区利润表'!I22+'2025年江西省区利润表'!I22</f>
        <v>0</v>
      </c>
      <c r="J22" s="49">
        <f>'2025年安徽省区利润表'!J22+'2025年江西省区利润表'!J22</f>
        <v>0</v>
      </c>
      <c r="K22" s="49">
        <f>'2025年安徽省区利润表'!K22+'2025年江西省区利润表'!K22</f>
        <v>0</v>
      </c>
      <c r="L22" s="49">
        <f>'2025年安徽省区利润表'!L22+'2025年江西省区利润表'!L22</f>
        <v>0</v>
      </c>
      <c r="M22" s="49">
        <f>'2025年安徽省区利润表'!M22+'2025年江西省区利润表'!M22</f>
        <v>0</v>
      </c>
      <c r="N22" s="49">
        <f>'2025年安徽省区利润表'!N22+'2025年江西省区利润表'!N22</f>
        <v>0</v>
      </c>
      <c r="O22" s="49">
        <f>'2025年安徽省区利润表'!O22+'2025年江西省区利润表'!O22</f>
        <v>0</v>
      </c>
      <c r="P22" s="49">
        <f>'2025年安徽省区利润表'!P22+'2025年江西省区利润表'!P22</f>
        <v>0</v>
      </c>
      <c r="Q22" s="49">
        <f>'2025年安徽省区利润表'!Q22+'2025年江西省区利润表'!Q22</f>
        <v>0</v>
      </c>
      <c r="R22" s="49">
        <f>'2025年安徽省区利润表'!R22+'2025年江西省区利润表'!R22</f>
        <v>0</v>
      </c>
      <c r="S22" s="49">
        <f>'2025年安徽省区利润表'!S22+'2025年江西省区利润表'!S22</f>
        <v>0</v>
      </c>
      <c r="T22" s="49">
        <f>'2025年安徽省区利润表'!T22+'2025年江西省区利润表'!T22</f>
        <v>0</v>
      </c>
      <c r="U22" s="49">
        <f>'2025年安徽省区利润表'!U22+'2025年江西省区利润表'!U22</f>
        <v>0</v>
      </c>
      <c r="V22" s="49">
        <f>'2025年安徽省区利润表'!V22+'2025年江西省区利润表'!V22</f>
        <v>0</v>
      </c>
      <c r="W22" s="49">
        <f>'2025年安徽省区利润表'!W22+'2025年江西省区利润表'!W22</f>
        <v>0</v>
      </c>
      <c r="X22" s="49">
        <f>'2025年安徽省区利润表'!X22+'2025年江西省区利润表'!X22</f>
        <v>0</v>
      </c>
      <c r="Y22" s="49">
        <f>'2025年安徽省区利润表'!Y22+'2025年江西省区利润表'!Y22</f>
        <v>0</v>
      </c>
      <c r="Z22" s="49">
        <f>'2025年安徽省区利润表'!Z22+'2025年江西省区利润表'!Z22</f>
        <v>0</v>
      </c>
      <c r="AA22" s="51">
        <f t="shared" si="1"/>
        <v>0</v>
      </c>
      <c r="AB22" s="51">
        <f t="shared" si="2"/>
        <v>7955.7551999999996</v>
      </c>
      <c r="AD22" s="31">
        <f t="shared" si="3"/>
        <v>0</v>
      </c>
      <c r="AE22" s="31">
        <f t="shared" si="4"/>
        <v>7955.7551999999996</v>
      </c>
      <c r="AF22" s="17">
        <f t="shared" si="7"/>
        <v>0</v>
      </c>
      <c r="AG22" s="17">
        <f t="shared" si="8"/>
        <v>0</v>
      </c>
      <c r="BG22" s="21"/>
    </row>
    <row r="23" spans="1:123" s="19" customFormat="1" ht="18" customHeight="1" outlineLevel="1" x14ac:dyDescent="0.25">
      <c r="A23" s="48" t="s">
        <v>95</v>
      </c>
      <c r="B23" s="53"/>
      <c r="C23" s="49">
        <f>'2025年安徽省区利润表'!C23+'2025年江西省区利润表'!C23</f>
        <v>0</v>
      </c>
      <c r="D23" s="49">
        <f>'2025年安徽省区利润表'!D23+'2025年江西省区利润表'!D23</f>
        <v>0</v>
      </c>
      <c r="E23" s="49">
        <f>'2025年安徽省区利润表'!E23+'2025年江西省区利润表'!E23</f>
        <v>0</v>
      </c>
      <c r="F23" s="49">
        <f>'2025年安徽省区利润表'!F23+'2025年江西省区利润表'!F23</f>
        <v>0</v>
      </c>
      <c r="G23" s="49">
        <f>'2025年安徽省区利润表'!G23+'2025年江西省区利润表'!G23</f>
        <v>0</v>
      </c>
      <c r="H23" s="49">
        <f>'2025年安徽省区利润表'!H23+'2025年江西省区利润表'!H23</f>
        <v>0</v>
      </c>
      <c r="I23" s="49">
        <f>'2025年安徽省区利润表'!I23+'2025年江西省区利润表'!I23</f>
        <v>0</v>
      </c>
      <c r="J23" s="49">
        <f>'2025年安徽省区利润表'!J23+'2025年江西省区利润表'!J23</f>
        <v>0</v>
      </c>
      <c r="K23" s="49">
        <f>'2025年安徽省区利润表'!K23+'2025年江西省区利润表'!K23</f>
        <v>0</v>
      </c>
      <c r="L23" s="49">
        <f>'2025年安徽省区利润表'!L23+'2025年江西省区利润表'!L23</f>
        <v>0</v>
      </c>
      <c r="M23" s="49">
        <f>'2025年安徽省区利润表'!M23+'2025年江西省区利润表'!M23</f>
        <v>0</v>
      </c>
      <c r="N23" s="49">
        <f>'2025年安徽省区利润表'!N23+'2025年江西省区利润表'!N23</f>
        <v>0</v>
      </c>
      <c r="O23" s="49">
        <f>'2025年安徽省区利润表'!O23+'2025年江西省区利润表'!O23</f>
        <v>0</v>
      </c>
      <c r="P23" s="49">
        <f>'2025年安徽省区利润表'!P23+'2025年江西省区利润表'!P23</f>
        <v>0</v>
      </c>
      <c r="Q23" s="49">
        <f>'2025年安徽省区利润表'!Q23+'2025年江西省区利润表'!Q23</f>
        <v>0</v>
      </c>
      <c r="R23" s="49">
        <f>'2025年安徽省区利润表'!R23+'2025年江西省区利润表'!R23</f>
        <v>0</v>
      </c>
      <c r="S23" s="49">
        <f>'2025年安徽省区利润表'!S23+'2025年江西省区利润表'!S23</f>
        <v>0</v>
      </c>
      <c r="T23" s="49">
        <f>'2025年安徽省区利润表'!T23+'2025年江西省区利润表'!T23</f>
        <v>0</v>
      </c>
      <c r="U23" s="49">
        <f>'2025年安徽省区利润表'!U23+'2025年江西省区利润表'!U23</f>
        <v>0</v>
      </c>
      <c r="V23" s="49">
        <f>'2025年安徽省区利润表'!V23+'2025年江西省区利润表'!V23</f>
        <v>0</v>
      </c>
      <c r="W23" s="49">
        <f>'2025年安徽省区利润表'!W23+'2025年江西省区利润表'!W23</f>
        <v>0</v>
      </c>
      <c r="X23" s="49">
        <f>'2025年安徽省区利润表'!X23+'2025年江西省区利润表'!X23</f>
        <v>0</v>
      </c>
      <c r="Y23" s="49">
        <f>'2025年安徽省区利润表'!Y23+'2025年江西省区利润表'!Y23</f>
        <v>0</v>
      </c>
      <c r="Z23" s="49">
        <f>'2025年安徽省区利润表'!Z23+'2025年江西省区利润表'!Z23</f>
        <v>0</v>
      </c>
      <c r="AA23" s="51">
        <f t="shared" si="1"/>
        <v>0</v>
      </c>
      <c r="AB23" s="51">
        <f t="shared" si="2"/>
        <v>0</v>
      </c>
      <c r="AD23" s="31">
        <f t="shared" si="3"/>
        <v>0</v>
      </c>
      <c r="AE23" s="31">
        <f t="shared" si="4"/>
        <v>0</v>
      </c>
      <c r="AF23" s="17">
        <f t="shared" si="7"/>
        <v>0</v>
      </c>
      <c r="AG23" s="17">
        <f t="shared" si="8"/>
        <v>0</v>
      </c>
      <c r="BG23" s="21"/>
    </row>
    <row r="24" spans="1:123" s="19" customFormat="1" ht="18" customHeight="1" outlineLevel="1" x14ac:dyDescent="0.25">
      <c r="A24" s="48" t="s">
        <v>97</v>
      </c>
      <c r="B24" s="53"/>
      <c r="C24" s="49">
        <f>'2025年安徽省区利润表'!C24+'2025年江西省区利润表'!C24</f>
        <v>685658.81040000007</v>
      </c>
      <c r="D24" s="49">
        <f>'2025年安徽省区利润表'!D24+'2025年江西省区利润表'!D24</f>
        <v>0</v>
      </c>
      <c r="E24" s="49">
        <f>'2025年安徽省区利润表'!E24+'2025年江西省区利润表'!E24</f>
        <v>725746.0344</v>
      </c>
      <c r="F24" s="49">
        <f>'2025年安徽省区利润表'!F24+'2025年江西省区利润表'!F24</f>
        <v>0</v>
      </c>
      <c r="G24" s="49">
        <f>'2025年安徽省区利润表'!G24+'2025年江西省区利润表'!G24</f>
        <v>1128568.2798000001</v>
      </c>
      <c r="H24" s="49">
        <f>'2025年安徽省区利润表'!H24+'2025年江西省区利润表'!H24</f>
        <v>0</v>
      </c>
      <c r="I24" s="49">
        <f>'2025年安徽省区利润表'!I24+'2025年江西省区利润表'!I24</f>
        <v>1399360.4705999999</v>
      </c>
      <c r="J24" s="49">
        <f>'2025年安徽省区利润表'!J24+'2025年江西省区利润表'!J24</f>
        <v>0</v>
      </c>
      <c r="K24" s="49">
        <f>'2025年安徽省区利润表'!K24+'2025年江西省区利润表'!K24</f>
        <v>1217538.0144</v>
      </c>
      <c r="L24" s="49">
        <f>'2025年安徽省区利润表'!L24+'2025年江西省区利润表'!L24</f>
        <v>-15111.6774</v>
      </c>
      <c r="M24" s="49">
        <f>'2025年安徽省区利润表'!M24+'2025年江西省区利润表'!M24</f>
        <v>1361700.7140000002</v>
      </c>
      <c r="N24" s="49">
        <f>'2025年安徽省区利润表'!N24+'2025年江西省区利润表'!N24</f>
        <v>-21347.07</v>
      </c>
      <c r="O24" s="49">
        <f>'2025年安徽省区利润表'!O24+'2025年江西省区利润表'!O24</f>
        <v>1385886.8214</v>
      </c>
      <c r="P24" s="49">
        <f>'2025年安徽省区利润表'!P24+'2025年江西省区利润表'!P24</f>
        <v>-9364.7628000000004</v>
      </c>
      <c r="Q24" s="49">
        <f>'2025年安徽省区利润表'!Q24+'2025年江西省区利润表'!Q24</f>
        <v>1397421.2975999999</v>
      </c>
      <c r="R24" s="49">
        <f>'2025年安徽省区利润表'!R24+'2025年江西省区利润表'!R24</f>
        <v>2431.3944000000001</v>
      </c>
      <c r="S24" s="49">
        <f>'2025年安徽省区利润表'!S24+'2025年江西省区利润表'!S24</f>
        <v>1982764.4135999999</v>
      </c>
      <c r="T24" s="49">
        <f>'2025年安徽省区利润表'!T24+'2025年江西省区利润表'!T24</f>
        <v>2142.8567999999977</v>
      </c>
      <c r="U24" s="49">
        <f>'2025年安徽省区利润表'!U24+'2025年江西省区利润表'!U24</f>
        <v>1371185.5002000001</v>
      </c>
      <c r="V24" s="49">
        <f>'2025年安徽省区利润表'!V24+'2025年江西省区利润表'!V24</f>
        <v>-4092.7398000000012</v>
      </c>
      <c r="W24" s="49">
        <f>'2025年安徽省区利润表'!W24+'2025年江西省区利润表'!W24</f>
        <v>1626787.0146000001</v>
      </c>
      <c r="X24" s="49">
        <f>'2025年安徽省区利润表'!X24+'2025年江西省区利润表'!X24</f>
        <v>-7136.9196000000011</v>
      </c>
      <c r="Y24" s="49">
        <f>'2025年安徽省区利润表'!Y24+'2025年江西省区利润表'!Y24</f>
        <v>2322689.2974</v>
      </c>
      <c r="Z24" s="49">
        <f>'2025年安徽省区利润表'!Z24+'2025年江西省区利润表'!Z24</f>
        <v>-8195.2613999999994</v>
      </c>
      <c r="AA24" s="51">
        <f t="shared" si="1"/>
        <v>16605306.668399997</v>
      </c>
      <c r="AB24" s="51">
        <f t="shared" si="2"/>
        <v>-60674.179800000013</v>
      </c>
      <c r="AD24" s="31">
        <f t="shared" si="3"/>
        <v>16605306.668399997</v>
      </c>
      <c r="AE24" s="31">
        <f t="shared" si="4"/>
        <v>-60674.179800000013</v>
      </c>
      <c r="AF24" s="17">
        <f t="shared" si="7"/>
        <v>0</v>
      </c>
      <c r="AG24" s="17">
        <f t="shared" si="8"/>
        <v>0</v>
      </c>
      <c r="BG24" s="21"/>
    </row>
    <row r="25" spans="1:123" s="19" customFormat="1" ht="18" customHeight="1" outlineLevel="1" x14ac:dyDescent="0.25">
      <c r="A25" s="48" t="s">
        <v>100</v>
      </c>
      <c r="B25" s="53"/>
      <c r="C25" s="49">
        <f>'2025年安徽省区利润表'!C25+'2025年江西省区利润表'!C25</f>
        <v>8938.81</v>
      </c>
      <c r="D25" s="49">
        <f>'2025年安徽省区利润表'!D25+'2025年江西省区利润表'!D25</f>
        <v>25535.620000000003</v>
      </c>
      <c r="E25" s="49">
        <f>'2025年安徽省区利润表'!E25+'2025年江西省区利润表'!E25</f>
        <v>14130.220000000001</v>
      </c>
      <c r="F25" s="49">
        <f>'2025年安徽省区利润表'!F25+'2025年江西省区利润表'!F25</f>
        <v>11293.89</v>
      </c>
      <c r="G25" s="49">
        <f>'2025年安徽省区利润表'!G25+'2025年江西省区利润表'!G25</f>
        <v>23438.09</v>
      </c>
      <c r="H25" s="49">
        <f>'2025年安徽省区利润表'!H25+'2025年江西省区利润表'!H25</f>
        <v>13285.76</v>
      </c>
      <c r="I25" s="49">
        <f>'2025年安徽省区利润表'!I25+'2025年江西省区利润表'!I25</f>
        <v>31379.91</v>
      </c>
      <c r="J25" s="49">
        <f>'2025年安徽省区利润表'!J25+'2025年江西省区利润表'!J25</f>
        <v>27474.980000000003</v>
      </c>
      <c r="K25" s="49">
        <f>'2025年安徽省区利润表'!K25+'2025年江西省区利润表'!K25</f>
        <v>27468.5</v>
      </c>
      <c r="L25" s="49">
        <f>'2025年安徽省区利润表'!L25+'2025年江西省区利润表'!L25</f>
        <v>15940.07</v>
      </c>
      <c r="M25" s="49">
        <f>'2025年安徽省区利润表'!M25+'2025年江西省区利润表'!M25</f>
        <v>30245.86</v>
      </c>
      <c r="N25" s="49">
        <f>'2025年安徽省区利润表'!N25+'2025年江西省区利润表'!N25</f>
        <v>21193.21</v>
      </c>
      <c r="O25" s="49">
        <f>'2025年安徽省区利润表'!O25+'2025年江西省区利润表'!O25</f>
        <v>30207.52</v>
      </c>
      <c r="P25" s="49">
        <f>'2025年安徽省区利润表'!P25+'2025年江西省区利润表'!P25</f>
        <v>22973.02</v>
      </c>
      <c r="Q25" s="49">
        <f>'2025年安徽省区利润表'!Q25+'2025年江西省区利润表'!Q25</f>
        <v>29909.67</v>
      </c>
      <c r="R25" s="49">
        <f>'2025年安徽省区利润表'!R25+'2025年江西省区利润表'!R25</f>
        <v>30783.16</v>
      </c>
      <c r="S25" s="49">
        <f>'2025年安徽省区利润表'!S25+'2025年江西省区利润表'!S25</f>
        <v>44321.82</v>
      </c>
      <c r="T25" s="49">
        <f>'2025年安徽省区利润表'!T25+'2025年江西省区利润表'!T25</f>
        <v>29103.58</v>
      </c>
      <c r="U25" s="49">
        <f>'2025年安徽省区利润表'!U25+'2025年江西省区利润表'!U25</f>
        <v>29061.32</v>
      </c>
      <c r="V25" s="49">
        <f>'2025年安徽省区利润表'!V25+'2025年江西省区利润表'!V25</f>
        <v>21012.940000000002</v>
      </c>
      <c r="W25" s="49">
        <f>'2025年安徽省区利润表'!W25+'2025年江西省区利润表'!W25</f>
        <v>36070.79</v>
      </c>
      <c r="X25" s="49">
        <f>'2025年安徽省区利润表'!X25+'2025年江西省区利润表'!X25</f>
        <v>21011.95</v>
      </c>
      <c r="Y25" s="49">
        <f>'2025年安徽省区利润表'!Y25+'2025年江西省区利润表'!Y25</f>
        <v>52009.509999999995</v>
      </c>
      <c r="Z25" s="49">
        <f>'2025年安徽省区利润表'!Z25+'2025年江西省区利润表'!Z25</f>
        <v>22666.959999999999</v>
      </c>
      <c r="AA25" s="51">
        <f t="shared" si="1"/>
        <v>357182.02</v>
      </c>
      <c r="AB25" s="51">
        <f t="shared" si="2"/>
        <v>262275.14</v>
      </c>
      <c r="AC25" s="20"/>
      <c r="AD25" s="31">
        <f t="shared" si="3"/>
        <v>357182.02</v>
      </c>
      <c r="AE25" s="31">
        <f t="shared" si="4"/>
        <v>262275.14</v>
      </c>
      <c r="AF25" s="17">
        <f t="shared" si="7"/>
        <v>0</v>
      </c>
      <c r="AG25" s="17">
        <f t="shared" si="8"/>
        <v>0</v>
      </c>
      <c r="BG25" s="21"/>
    </row>
    <row r="26" spans="1:123" s="19" customFormat="1" ht="18" customHeight="1" x14ac:dyDescent="0.25">
      <c r="A26" s="52" t="s">
        <v>101</v>
      </c>
      <c r="B26" s="45" t="s">
        <v>102</v>
      </c>
      <c r="C26" s="46">
        <f t="shared" ref="C26:Z26" si="10">C6-C16</f>
        <v>149609.21959999995</v>
      </c>
      <c r="D26" s="46">
        <f t="shared" si="10"/>
        <v>299348.51360000006</v>
      </c>
      <c r="E26" s="46">
        <f t="shared" si="10"/>
        <v>122638.74560000002</v>
      </c>
      <c r="F26" s="46">
        <f t="shared" si="10"/>
        <v>135962.11140000005</v>
      </c>
      <c r="G26" s="46">
        <f t="shared" si="10"/>
        <v>223782.95020000008</v>
      </c>
      <c r="H26" s="46">
        <f t="shared" si="10"/>
        <v>92867.324200000148</v>
      </c>
      <c r="I26" s="46">
        <f t="shared" si="10"/>
        <v>307803.65940000024</v>
      </c>
      <c r="J26" s="46">
        <f t="shared" si="10"/>
        <v>286305.31659999979</v>
      </c>
      <c r="K26" s="46">
        <f t="shared" si="10"/>
        <v>254633.9656</v>
      </c>
      <c r="L26" s="46">
        <f t="shared" si="10"/>
        <v>141784.47680000018</v>
      </c>
      <c r="M26" s="46">
        <f t="shared" si="10"/>
        <v>303133.94599999976</v>
      </c>
      <c r="N26" s="46">
        <f t="shared" si="10"/>
        <v>239747.26780000003</v>
      </c>
      <c r="O26" s="46">
        <f t="shared" si="10"/>
        <v>317228.61859999993</v>
      </c>
      <c r="P26" s="46">
        <f t="shared" si="10"/>
        <v>236618.00200000033</v>
      </c>
      <c r="Q26" s="46">
        <f t="shared" si="10"/>
        <v>313038.51240000036</v>
      </c>
      <c r="R26" s="46">
        <f t="shared" si="10"/>
        <v>286458.1390000002</v>
      </c>
      <c r="S26" s="46">
        <f t="shared" si="10"/>
        <v>471623.86640000064</v>
      </c>
      <c r="T26" s="46">
        <f t="shared" si="10"/>
        <v>328533.75900000031</v>
      </c>
      <c r="U26" s="46">
        <f t="shared" si="10"/>
        <v>290816.80979999993</v>
      </c>
      <c r="V26" s="46">
        <f t="shared" si="10"/>
        <v>303843.23920000019</v>
      </c>
      <c r="W26" s="54">
        <f t="shared" si="10"/>
        <v>401488.46539999987</v>
      </c>
      <c r="X26" s="46">
        <f t="shared" si="10"/>
        <v>237264.25920000009</v>
      </c>
      <c r="Y26" s="46">
        <f t="shared" si="10"/>
        <v>630305.51260000048</v>
      </c>
      <c r="Z26" s="46">
        <f t="shared" si="10"/>
        <v>357795.47919999994</v>
      </c>
      <c r="AA26" s="47">
        <f t="shared" si="1"/>
        <v>3786104.271600001</v>
      </c>
      <c r="AB26" s="47">
        <f t="shared" si="2"/>
        <v>2946527.8880000012</v>
      </c>
      <c r="AC26" s="20"/>
      <c r="AD26" s="31">
        <f t="shared" si="3"/>
        <v>3786104.271600001</v>
      </c>
      <c r="AE26" s="31">
        <f t="shared" si="4"/>
        <v>2946527.8880000012</v>
      </c>
      <c r="AF26" s="55">
        <f>AD6-AD16-AA26</f>
        <v>0</v>
      </c>
      <c r="AG26" s="55">
        <f>AE6-AE16-AB26</f>
        <v>0</v>
      </c>
      <c r="BG26" s="21"/>
    </row>
    <row r="27" spans="1:123" s="20" customFormat="1" ht="18" customHeight="1" x14ac:dyDescent="0.25">
      <c r="A27" s="56" t="s">
        <v>210</v>
      </c>
      <c r="B27" s="57" t="s">
        <v>104</v>
      </c>
      <c r="C27" s="58">
        <f t="shared" ref="C27:AB27" si="11">C26/C6</f>
        <v>0.17721867735636912</v>
      </c>
      <c r="D27" s="58">
        <f t="shared" si="11"/>
        <v>0.22209550065926406</v>
      </c>
      <c r="E27" s="58">
        <f t="shared" si="11"/>
        <v>0.14218737714706414</v>
      </c>
      <c r="F27" s="58">
        <f t="shared" si="11"/>
        <v>0.19159246911178293</v>
      </c>
      <c r="G27" s="58">
        <f t="shared" si="11"/>
        <v>0.16265786261518589</v>
      </c>
      <c r="H27" s="58">
        <f t="shared" si="11"/>
        <v>0.12410226907253029</v>
      </c>
      <c r="I27" s="58">
        <f t="shared" si="11"/>
        <v>0.17704680026397274</v>
      </c>
      <c r="J27" s="58">
        <f t="shared" si="11"/>
        <v>0.20981649596263707</v>
      </c>
      <c r="K27" s="58">
        <f t="shared" si="11"/>
        <v>0.16979667393347503</v>
      </c>
      <c r="L27" s="58">
        <f t="shared" si="11"/>
        <v>0.19121413812234717</v>
      </c>
      <c r="M27" s="58">
        <f t="shared" si="11"/>
        <v>0.17883159084383776</v>
      </c>
      <c r="N27" s="58">
        <f t="shared" si="11"/>
        <v>0.20548869361718672</v>
      </c>
      <c r="O27" s="58">
        <f t="shared" si="11"/>
        <v>0.18301760602074985</v>
      </c>
      <c r="P27" s="58">
        <f t="shared" si="11"/>
        <v>0.24929582732032307</v>
      </c>
      <c r="Q27" s="58">
        <f t="shared" si="11"/>
        <v>0.17986899678337287</v>
      </c>
      <c r="R27" s="58">
        <f t="shared" si="11"/>
        <v>0.22402460624681722</v>
      </c>
      <c r="S27" s="58">
        <f t="shared" si="11"/>
        <v>0.18874693242725538</v>
      </c>
      <c r="T27" s="58">
        <f t="shared" si="11"/>
        <v>0.23310268043142132</v>
      </c>
      <c r="U27" s="58">
        <f t="shared" si="11"/>
        <v>0.17197271861378741</v>
      </c>
      <c r="V27" s="58">
        <f t="shared" si="11"/>
        <v>0.25518243048754208</v>
      </c>
      <c r="W27" s="59">
        <f t="shared" si="11"/>
        <v>0.19448697693531805</v>
      </c>
      <c r="X27" s="58">
        <f t="shared" si="11"/>
        <v>0.23438158814087082</v>
      </c>
      <c r="Y27" s="58">
        <f t="shared" si="11"/>
        <v>0.20975194890901203</v>
      </c>
      <c r="Z27" s="58">
        <f t="shared" si="11"/>
        <v>0.22712575155588036</v>
      </c>
      <c r="AA27" s="60">
        <f t="shared" si="11"/>
        <v>0.18247522995409904</v>
      </c>
      <c r="AB27" s="60">
        <f t="shared" si="11"/>
        <v>0.21835682636793691</v>
      </c>
      <c r="AC27" s="61"/>
      <c r="AD27" s="62">
        <f>AD26/AD6</f>
        <v>0.18247522995409904</v>
      </c>
      <c r="AE27" s="62">
        <f>AE26/AE6</f>
        <v>0.21835682636793691</v>
      </c>
      <c r="AF27" s="17">
        <f>AA27-AD27</f>
        <v>0</v>
      </c>
      <c r="AG27" s="17">
        <f>AB27-AE27</f>
        <v>0</v>
      </c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</row>
    <row r="28" spans="1:123" s="19" customFormat="1" ht="18" customHeight="1" x14ac:dyDescent="0.25">
      <c r="A28" s="63" t="s">
        <v>105</v>
      </c>
      <c r="B28" s="53">
        <v>5</v>
      </c>
      <c r="C28" s="49">
        <f>'2025年安徽省区利润表'!C28+'2025年江西省区利润表'!C28</f>
        <v>5263.3899999999994</v>
      </c>
      <c r="D28" s="49">
        <f>'2025年安徽省区利润表'!D28+'2025年江西省区利润表'!D28</f>
        <v>12804.45</v>
      </c>
      <c r="E28" s="49">
        <f>'2025年安徽省区利润表'!E28+'2025年江西省区利润表'!E28</f>
        <v>8193.9000000000015</v>
      </c>
      <c r="F28" s="49">
        <f>'2025年安徽省区利润表'!F28+'2025年江西省区利润表'!F28</f>
        <v>6741.6</v>
      </c>
      <c r="G28" s="49">
        <f>'2025年安徽省区利润表'!G28+'2025年江西省区利润表'!G28</f>
        <v>12766.59</v>
      </c>
      <c r="H28" s="49">
        <f>'2025年安徽省区利润表'!H28+'2025年江西省区利润表'!H28</f>
        <v>7108.97</v>
      </c>
      <c r="I28" s="49">
        <f>'2025年安徽省区利润表'!I28+'2025年江西省区利润表'!I28</f>
        <v>17023.189999999999</v>
      </c>
      <c r="J28" s="49">
        <f>'2025年安徽省区利润表'!J28+'2025年江西省区利润表'!J28</f>
        <v>12963.24</v>
      </c>
      <c r="K28" s="49">
        <f>'2025年安徽省区利润表'!K28+'2025年江西省区利润表'!K28</f>
        <v>14585.68</v>
      </c>
      <c r="L28" s="49">
        <f>'2025年安徽省区利润表'!L28+'2025年江西省区利润表'!L28</f>
        <v>7044.21</v>
      </c>
      <c r="M28" s="49">
        <f>'2025年安徽省区利润表'!M28+'2025年江西省区利润表'!M28</f>
        <v>16312.99</v>
      </c>
      <c r="N28" s="49">
        <f>'2025年安徽省区利润表'!N28+'2025年江西省区利润表'!N28</f>
        <v>11083.82</v>
      </c>
      <c r="O28" s="49">
        <f>'2025年安徽省区利润表'!O28+'2025年江西省区利润表'!O28</f>
        <v>15950.41</v>
      </c>
      <c r="P28" s="49">
        <f>'2025年安徽省区利润表'!P28+'2025年江西省区利润表'!P28</f>
        <v>9016.8799999999992</v>
      </c>
      <c r="Q28" s="49">
        <f>'2025年安徽省区利润表'!Q28+'2025年江西省区利润表'!Q28</f>
        <v>15358.33</v>
      </c>
      <c r="R28" s="49">
        <f>'2025年安徽省区利润表'!R28+'2025年江西省区利润表'!R28</f>
        <v>12147.560000000001</v>
      </c>
      <c r="S28" s="49">
        <f>'2025年安徽省区利润表'!S28+'2025年江西省区利润表'!S28</f>
        <v>22440.010000000002</v>
      </c>
      <c r="T28" s="49">
        <f>'2025年安徽省区利润表'!T28+'2025年江西省区利润表'!T28</f>
        <v>13389.25</v>
      </c>
      <c r="U28" s="49">
        <f>'2025年安徽省区利润表'!U28+'2025年江西省区利润表'!U28</f>
        <v>14944.43</v>
      </c>
      <c r="V28" s="49">
        <f>'2025年安徽省区利润表'!V28+'2025年江西省区利润表'!V28</f>
        <v>11311.560000000001</v>
      </c>
      <c r="W28" s="49">
        <f>'2025年安徽省区利润表'!W28+'2025年江西省区利润表'!W28</f>
        <v>18249.25</v>
      </c>
      <c r="X28" s="49">
        <f>'2025年安徽省区利润表'!X28+'2025年江西省区利润表'!X28</f>
        <v>9616.84</v>
      </c>
      <c r="Y28" s="49">
        <f>'2025年安徽省区利润表'!Y28+'2025年江西省区利润表'!Y28</f>
        <v>26582.23</v>
      </c>
      <c r="Z28" s="49">
        <f>'2025年安徽省区利润表'!Z28+'2025年江西省区利润表'!Z28</f>
        <v>14965.53</v>
      </c>
      <c r="AA28" s="51">
        <f t="shared" ref="AA28:AA91" si="12">C28+E28+G28+I28+K28+M28+O28+Q28+S28+U28+W28+Y28</f>
        <v>187670.40000000002</v>
      </c>
      <c r="AB28" s="51">
        <f t="shared" ref="AB28:AB91" si="13">D28+F28+H28+J28+L28+N28+P28+R28+T28+V28+X28+Z28</f>
        <v>128193.90999999999</v>
      </c>
      <c r="AD28" s="31">
        <f t="shared" ref="AD28:AD91" si="14">SUMIF($C$5:$Z$5,$AD$5,C28:Z28)</f>
        <v>187670.40000000002</v>
      </c>
      <c r="AE28" s="31">
        <f t="shared" ref="AE28:AE91" si="15">SUMIF($C$5:$Z$5,$AD$5,D28:AA28)</f>
        <v>128193.90999999999</v>
      </c>
      <c r="AF28" s="17">
        <f>AA28-AD28</f>
        <v>0</v>
      </c>
      <c r="AG28" s="17">
        <f>AB28-AE28</f>
        <v>0</v>
      </c>
      <c r="BG28" s="21"/>
    </row>
    <row r="29" spans="1:123" s="21" customFormat="1" ht="18" customHeight="1" x14ac:dyDescent="0.25">
      <c r="A29" s="52" t="s">
        <v>106</v>
      </c>
      <c r="B29" s="45">
        <v>6</v>
      </c>
      <c r="C29" s="65">
        <f t="shared" ref="C29:Z29" si="16">SUM(C30:C101)-C30-C33-C42-C53-C65</f>
        <v>115960.81</v>
      </c>
      <c r="D29" s="65">
        <f t="shared" si="16"/>
        <v>82597.31</v>
      </c>
      <c r="E29" s="65">
        <f t="shared" si="16"/>
        <v>99511.559999999983</v>
      </c>
      <c r="F29" s="65">
        <f t="shared" si="16"/>
        <v>62923.749999999971</v>
      </c>
      <c r="G29" s="65">
        <f t="shared" si="16"/>
        <v>133440.27999999997</v>
      </c>
      <c r="H29" s="65">
        <f t="shared" si="16"/>
        <v>79238.809999999969</v>
      </c>
      <c r="I29" s="65">
        <f t="shared" si="16"/>
        <v>117073.83999999997</v>
      </c>
      <c r="J29" s="65">
        <f t="shared" si="16"/>
        <v>85063.189999999973</v>
      </c>
      <c r="K29" s="65">
        <f t="shared" si="16"/>
        <v>114222.39999999999</v>
      </c>
      <c r="L29" s="65">
        <f t="shared" si="16"/>
        <v>96438.350000000035</v>
      </c>
      <c r="M29" s="65">
        <f t="shared" si="16"/>
        <v>116781.93</v>
      </c>
      <c r="N29" s="65">
        <f t="shared" si="16"/>
        <v>52857.290000000023</v>
      </c>
      <c r="O29" s="65">
        <f t="shared" si="16"/>
        <v>119484.56</v>
      </c>
      <c r="P29" s="65">
        <f t="shared" si="16"/>
        <v>76977.76999999999</v>
      </c>
      <c r="Q29" s="65">
        <f t="shared" si="16"/>
        <v>123745.66999999998</v>
      </c>
      <c r="R29" s="65">
        <f t="shared" si="16"/>
        <v>78329.909999999974</v>
      </c>
      <c r="S29" s="65">
        <f t="shared" si="16"/>
        <v>154258.25</v>
      </c>
      <c r="T29" s="65">
        <f t="shared" si="16"/>
        <v>108345.93</v>
      </c>
      <c r="U29" s="65">
        <f t="shared" si="16"/>
        <v>124947.23999999999</v>
      </c>
      <c r="V29" s="65">
        <f t="shared" si="16"/>
        <v>78497.429999999993</v>
      </c>
      <c r="W29" s="65">
        <f t="shared" si="16"/>
        <v>128025.06</v>
      </c>
      <c r="X29" s="65">
        <f t="shared" si="16"/>
        <v>75482.220000000016</v>
      </c>
      <c r="Y29" s="65">
        <f t="shared" si="16"/>
        <v>147575.38999999998</v>
      </c>
      <c r="Z29" s="65">
        <f t="shared" si="16"/>
        <v>42703.18</v>
      </c>
      <c r="AA29" s="47">
        <f t="shared" si="12"/>
        <v>1495026.9899999998</v>
      </c>
      <c r="AB29" s="47">
        <f t="shared" si="13"/>
        <v>919455.13999999978</v>
      </c>
      <c r="AD29" s="31">
        <f t="shared" si="14"/>
        <v>1495026.9899999998</v>
      </c>
      <c r="AE29" s="31">
        <f t="shared" si="15"/>
        <v>919455.13999999978</v>
      </c>
      <c r="AF29" s="17">
        <f>AD29-(SUM(AA30:AA101)-SUM(AA30,AA33,AA42,AA53,AA65))</f>
        <v>0</v>
      </c>
      <c r="AG29" s="17">
        <f>AE29-(SUM(AB30:AB101)-SUM(AB30,AB33,AB42,AB53,AB65))</f>
        <v>0</v>
      </c>
      <c r="BG29" s="66"/>
    </row>
    <row r="30" spans="1:123" s="17" customFormat="1" ht="18" customHeight="1" outlineLevel="1" x14ac:dyDescent="0.25">
      <c r="A30" s="67" t="s">
        <v>107</v>
      </c>
      <c r="B30" s="45"/>
      <c r="C30" s="65">
        <f t="shared" ref="C30:Z30" si="17">SUM(C31:C32)</f>
        <v>67332.479999999996</v>
      </c>
      <c r="D30" s="65">
        <f t="shared" si="17"/>
        <v>50181.13</v>
      </c>
      <c r="E30" s="65">
        <f t="shared" si="17"/>
        <v>51883.229999999996</v>
      </c>
      <c r="F30" s="65">
        <f t="shared" si="17"/>
        <v>30976</v>
      </c>
      <c r="G30" s="65">
        <f t="shared" si="17"/>
        <v>64036.95</v>
      </c>
      <c r="H30" s="65">
        <f t="shared" si="17"/>
        <v>35298.5</v>
      </c>
      <c r="I30" s="65">
        <f t="shared" si="17"/>
        <v>75163.509999999995</v>
      </c>
      <c r="J30" s="65">
        <f t="shared" si="17"/>
        <v>35840.5</v>
      </c>
      <c r="K30" s="65">
        <f t="shared" si="17"/>
        <v>72312.070000000007</v>
      </c>
      <c r="L30" s="65">
        <f t="shared" si="17"/>
        <v>57331.5</v>
      </c>
      <c r="M30" s="65">
        <f t="shared" si="17"/>
        <v>74871.600000000006</v>
      </c>
      <c r="N30" s="65">
        <f t="shared" si="17"/>
        <v>12719.5</v>
      </c>
      <c r="O30" s="65">
        <f t="shared" si="17"/>
        <v>77574.23</v>
      </c>
      <c r="P30" s="65">
        <f t="shared" si="17"/>
        <v>33104.5</v>
      </c>
      <c r="Q30" s="65">
        <f t="shared" si="17"/>
        <v>81835.34</v>
      </c>
      <c r="R30" s="65">
        <f t="shared" si="17"/>
        <v>36501.5</v>
      </c>
      <c r="S30" s="65">
        <f t="shared" si="17"/>
        <v>92347.92</v>
      </c>
      <c r="T30" s="65">
        <f t="shared" si="17"/>
        <v>38011.5</v>
      </c>
      <c r="U30" s="65">
        <f t="shared" si="17"/>
        <v>82036.91</v>
      </c>
      <c r="V30" s="65">
        <f t="shared" si="17"/>
        <v>38589.5</v>
      </c>
      <c r="W30" s="65">
        <f t="shared" si="17"/>
        <v>86114.73</v>
      </c>
      <c r="X30" s="65">
        <f t="shared" si="17"/>
        <v>30427.5</v>
      </c>
      <c r="Y30" s="65">
        <f t="shared" si="17"/>
        <v>105665.01999999999</v>
      </c>
      <c r="Z30" s="65">
        <f t="shared" si="17"/>
        <v>979.5</v>
      </c>
      <c r="AA30" s="47">
        <f t="shared" si="12"/>
        <v>931173.99</v>
      </c>
      <c r="AB30" s="47">
        <f t="shared" si="13"/>
        <v>399961.13</v>
      </c>
      <c r="AC30" s="21"/>
      <c r="AD30" s="31">
        <f t="shared" si="14"/>
        <v>931173.99</v>
      </c>
      <c r="AE30" s="31">
        <f t="shared" si="15"/>
        <v>399961.13</v>
      </c>
      <c r="AF30" s="17">
        <f t="shared" ref="AF30:AF93" si="18">AA30-AD30</f>
        <v>0</v>
      </c>
      <c r="AG30" s="17">
        <f t="shared" ref="AG30:AG93" si="19">AB30-AE30</f>
        <v>0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66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</row>
    <row r="31" spans="1:123" s="19" customFormat="1" ht="18" customHeight="1" outlineLevel="2" x14ac:dyDescent="0.25">
      <c r="A31" s="48" t="s">
        <v>108</v>
      </c>
      <c r="B31" s="53"/>
      <c r="C31" s="49">
        <f>'2025年安徽省区利润表'!C31+'2025年江西省区利润表'!C31</f>
        <v>29262</v>
      </c>
      <c r="D31" s="49">
        <f>'2025年安徽省区利润表'!D31+'2025年江西省区利润表'!D31</f>
        <v>25378.129999999997</v>
      </c>
      <c r="E31" s="49">
        <f>'2025年安徽省区利润表'!E31+'2025年江西省区利润表'!E31</f>
        <v>29262</v>
      </c>
      <c r="F31" s="49">
        <f>'2025年安徽省区利润表'!F31+'2025年江西省区利润表'!F31</f>
        <v>23231</v>
      </c>
      <c r="G31" s="49">
        <f>'2025年安徽省区利润表'!G31+'2025年江西省区利润表'!G31</f>
        <v>29262</v>
      </c>
      <c r="H31" s="49">
        <f>'2025年安徽省区利润表'!H31+'2025年江西省区利润表'!H31</f>
        <v>23096.5</v>
      </c>
      <c r="I31" s="49">
        <f>'2025年安徽省区利润表'!I31+'2025年江西省区利润表'!I31</f>
        <v>34902</v>
      </c>
      <c r="J31" s="49">
        <f>'2025年安徽省区利润表'!J31+'2025年江西省区利润表'!J31</f>
        <v>21096.5</v>
      </c>
      <c r="K31" s="49">
        <f>'2025年安徽省区利润表'!K31+'2025年江西省区利润表'!K31</f>
        <v>34902</v>
      </c>
      <c r="L31" s="49">
        <f>'2025年安徽省区利润表'!L31+'2025年江西省区利润表'!L31</f>
        <v>28427.5</v>
      </c>
      <c r="M31" s="49">
        <f>'2025年安徽省区利润表'!M31+'2025年江西省区利润表'!M31</f>
        <v>34902</v>
      </c>
      <c r="N31" s="49">
        <f>'2025年安徽省区利润表'!N31+'2025年江西省区利润表'!N31</f>
        <v>27096.5</v>
      </c>
      <c r="O31" s="49">
        <f>'2025年安徽省区利润表'!O31+'2025年江西省区利润表'!O31</f>
        <v>34902</v>
      </c>
      <c r="P31" s="49">
        <f>'2025年安徽省区利润表'!P31+'2025年江西省区利润表'!P31</f>
        <v>26896.5</v>
      </c>
      <c r="Q31" s="49">
        <f>'2025年安徽省区利润表'!Q31+'2025年江西省区利润表'!Q31</f>
        <v>34902</v>
      </c>
      <c r="R31" s="49">
        <f>'2025年安徽省区利润表'!R31+'2025年江西省区利润表'!R31</f>
        <v>27696.5</v>
      </c>
      <c r="S31" s="49">
        <f>'2025年安徽省区利润表'!S31+'2025年江西省区利润表'!S31</f>
        <v>34902</v>
      </c>
      <c r="T31" s="49">
        <f>'2025年安徽省区利润表'!T31+'2025年江西省区利润表'!T31</f>
        <v>26096.5</v>
      </c>
      <c r="U31" s="49">
        <f>'2025年安徽省区利润表'!U31+'2025年江西省区利润表'!U31</f>
        <v>35002</v>
      </c>
      <c r="V31" s="49">
        <f>'2025年安徽省区利润表'!V31+'2025年江西省区利润表'!V31</f>
        <v>26996.5</v>
      </c>
      <c r="W31" s="49">
        <f>'2025年安徽省区利润表'!W31+'2025年江西省区利润表'!W31</f>
        <v>35052</v>
      </c>
      <c r="X31" s="49">
        <f>'2025年安徽省区利润表'!X31+'2025年江西省区利润表'!X31</f>
        <v>26246.5</v>
      </c>
      <c r="Y31" s="49">
        <f>'2025年安徽省区利润表'!Y31+'2025年江西省区利润表'!Y31</f>
        <v>35102</v>
      </c>
      <c r="Z31" s="49">
        <f>'2025年安徽省区利润表'!Z31+'2025年江西省区利润表'!Z31</f>
        <v>27096.5</v>
      </c>
      <c r="AA31" s="51">
        <f t="shared" si="12"/>
        <v>402354</v>
      </c>
      <c r="AB31" s="51">
        <f t="shared" si="13"/>
        <v>309355.13</v>
      </c>
      <c r="AC31" s="22"/>
      <c r="AD31" s="31">
        <f t="shared" si="14"/>
        <v>402354</v>
      </c>
      <c r="AE31" s="31">
        <f t="shared" si="15"/>
        <v>309355.13</v>
      </c>
      <c r="AF31" s="17">
        <f t="shared" si="18"/>
        <v>0</v>
      </c>
      <c r="AG31" s="17">
        <f t="shared" si="19"/>
        <v>0</v>
      </c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61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</row>
    <row r="32" spans="1:123" s="19" customFormat="1" ht="18" customHeight="1" outlineLevel="2" x14ac:dyDescent="0.25">
      <c r="A32" s="48" t="s">
        <v>109</v>
      </c>
      <c r="B32" s="53"/>
      <c r="C32" s="49">
        <f>'2025年安徽省区利润表'!C32+'2025年江西省区利润表'!C32</f>
        <v>38070.479999999996</v>
      </c>
      <c r="D32" s="49">
        <f>'2025年安徽省区利润表'!D32+'2025年江西省区利润表'!D32</f>
        <v>24803</v>
      </c>
      <c r="E32" s="49">
        <f>'2025年安徽省区利润表'!E32+'2025年江西省区利润表'!E32</f>
        <v>22621.23</v>
      </c>
      <c r="F32" s="49">
        <f>'2025年安徽省区利润表'!F32+'2025年江西省区利润表'!F32</f>
        <v>7745</v>
      </c>
      <c r="G32" s="49">
        <f>'2025年安徽省区利润表'!G32+'2025年江西省区利润表'!G32</f>
        <v>34774.949999999997</v>
      </c>
      <c r="H32" s="49">
        <f>'2025年安徽省区利润表'!H32+'2025年江西省区利润表'!H32</f>
        <v>12202</v>
      </c>
      <c r="I32" s="49">
        <f>'2025年安徽省区利润表'!I32+'2025年江西省区利润表'!I32</f>
        <v>40261.509999999995</v>
      </c>
      <c r="J32" s="49">
        <f>'2025年安徽省区利润表'!J32+'2025年江西省区利润表'!J32</f>
        <v>14744</v>
      </c>
      <c r="K32" s="49">
        <f>'2025年安徽省区利润表'!K32+'2025年江西省区利润表'!K32</f>
        <v>37410.07</v>
      </c>
      <c r="L32" s="49">
        <f>'2025年安徽省区利润表'!L32+'2025年江西省区利润表'!L32</f>
        <v>28904</v>
      </c>
      <c r="M32" s="49">
        <f>'2025年安徽省区利润表'!M32+'2025年江西省区利润表'!M32</f>
        <v>39969.599999999999</v>
      </c>
      <c r="N32" s="49">
        <f>'2025年安徽省区利润表'!N32+'2025年江西省区利润表'!N32</f>
        <v>-14377</v>
      </c>
      <c r="O32" s="49">
        <f>'2025年安徽省区利润表'!O32+'2025年江西省区利润表'!O32</f>
        <v>42672.229999999996</v>
      </c>
      <c r="P32" s="49">
        <f>'2025年安徽省区利润表'!P32+'2025年江西省区利润表'!P32</f>
        <v>6208</v>
      </c>
      <c r="Q32" s="49">
        <f>'2025年安徽省区利润表'!Q32+'2025年江西省区利润表'!Q32</f>
        <v>46933.34</v>
      </c>
      <c r="R32" s="49">
        <f>'2025年安徽省区利润表'!R32+'2025年江西省区利润表'!R32</f>
        <v>8805</v>
      </c>
      <c r="S32" s="49">
        <f>'2025年安徽省区利润表'!S32+'2025年江西省区利润表'!S32</f>
        <v>57445.919999999998</v>
      </c>
      <c r="T32" s="49">
        <f>'2025年安徽省区利润表'!T32+'2025年江西省区利润表'!T32</f>
        <v>11915</v>
      </c>
      <c r="U32" s="49">
        <f>'2025年安徽省区利润表'!U32+'2025年江西省区利润表'!U32</f>
        <v>47034.91</v>
      </c>
      <c r="V32" s="49">
        <f>'2025年安徽省区利润表'!V32+'2025年江西省区利润表'!V32</f>
        <v>11593</v>
      </c>
      <c r="W32" s="49">
        <f>'2025年安徽省区利润表'!W32+'2025年江西省区利润表'!W32</f>
        <v>51062.729999999996</v>
      </c>
      <c r="X32" s="49">
        <f>'2025年安徽省区利润表'!X32+'2025年江西省区利润表'!X32</f>
        <v>4181</v>
      </c>
      <c r="Y32" s="49">
        <f>'2025年安徽省区利润表'!Y32+'2025年江西省区利润表'!Y32</f>
        <v>70563.01999999999</v>
      </c>
      <c r="Z32" s="49">
        <f>'2025年安徽省区利润表'!Z32+'2025年江西省区利润表'!Z32</f>
        <v>-26117</v>
      </c>
      <c r="AA32" s="51">
        <f t="shared" si="12"/>
        <v>528819.99</v>
      </c>
      <c r="AB32" s="51">
        <f t="shared" si="13"/>
        <v>90606</v>
      </c>
      <c r="AC32" s="22"/>
      <c r="AD32" s="31">
        <f t="shared" si="14"/>
        <v>528819.99</v>
      </c>
      <c r="AE32" s="31">
        <f t="shared" si="15"/>
        <v>90606</v>
      </c>
      <c r="AF32" s="17">
        <f t="shared" si="18"/>
        <v>0</v>
      </c>
      <c r="AG32" s="17">
        <f t="shared" si="19"/>
        <v>0</v>
      </c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61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</row>
    <row r="33" spans="1:123" s="17" customFormat="1" ht="18" customHeight="1" outlineLevel="1" x14ac:dyDescent="0.25">
      <c r="A33" s="67" t="s">
        <v>110</v>
      </c>
      <c r="B33" s="45"/>
      <c r="C33" s="65">
        <f t="shared" ref="C33:Z33" si="20">SUM(C34:C38)</f>
        <v>6292</v>
      </c>
      <c r="D33" s="65">
        <f t="shared" si="20"/>
        <v>4850.4799999999996</v>
      </c>
      <c r="E33" s="65">
        <f t="shared" si="20"/>
        <v>6292</v>
      </c>
      <c r="F33" s="65">
        <f t="shared" si="20"/>
        <v>3637.8599999999997</v>
      </c>
      <c r="G33" s="65">
        <f t="shared" si="20"/>
        <v>6292</v>
      </c>
      <c r="H33" s="65">
        <f t="shared" si="20"/>
        <v>3637.8599999999997</v>
      </c>
      <c r="I33" s="65">
        <f t="shared" si="20"/>
        <v>6292</v>
      </c>
      <c r="J33" s="65">
        <f t="shared" si="20"/>
        <v>3637.8599999999997</v>
      </c>
      <c r="K33" s="65">
        <f t="shared" si="20"/>
        <v>6292</v>
      </c>
      <c r="L33" s="65">
        <f t="shared" si="20"/>
        <v>4850.4799999999996</v>
      </c>
      <c r="M33" s="65">
        <f t="shared" si="20"/>
        <v>6292</v>
      </c>
      <c r="N33" s="65">
        <f t="shared" si="20"/>
        <v>4850.4799999999996</v>
      </c>
      <c r="O33" s="65">
        <f t="shared" si="20"/>
        <v>6292</v>
      </c>
      <c r="P33" s="65">
        <f t="shared" si="20"/>
        <v>4850.4799999999996</v>
      </c>
      <c r="Q33" s="65">
        <f t="shared" si="20"/>
        <v>6292</v>
      </c>
      <c r="R33" s="65">
        <f t="shared" si="20"/>
        <v>4850.4799999999996</v>
      </c>
      <c r="S33" s="65">
        <f t="shared" si="20"/>
        <v>6292</v>
      </c>
      <c r="T33" s="65">
        <f t="shared" si="20"/>
        <v>5839.56</v>
      </c>
      <c r="U33" s="65">
        <f t="shared" si="20"/>
        <v>6292</v>
      </c>
      <c r="V33" s="65">
        <f t="shared" si="20"/>
        <v>5025.88</v>
      </c>
      <c r="W33" s="65">
        <f t="shared" si="20"/>
        <v>6292</v>
      </c>
      <c r="X33" s="65">
        <f t="shared" si="20"/>
        <v>5025.88</v>
      </c>
      <c r="Y33" s="65">
        <f t="shared" si="20"/>
        <v>6292</v>
      </c>
      <c r="Z33" s="65">
        <f t="shared" si="20"/>
        <v>5025.88</v>
      </c>
      <c r="AA33" s="47">
        <f t="shared" si="12"/>
        <v>75504</v>
      </c>
      <c r="AB33" s="51">
        <f t="shared" si="13"/>
        <v>56083.179999999986</v>
      </c>
      <c r="AC33" s="21"/>
      <c r="AD33" s="31">
        <f t="shared" si="14"/>
        <v>75504</v>
      </c>
      <c r="AE33" s="31">
        <f t="shared" si="15"/>
        <v>56083.179999999986</v>
      </c>
      <c r="AF33" s="17">
        <f t="shared" si="18"/>
        <v>0</v>
      </c>
      <c r="AG33" s="17">
        <f t="shared" si="19"/>
        <v>0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66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</row>
    <row r="34" spans="1:123" s="19" customFormat="1" ht="18" customHeight="1" outlineLevel="2" x14ac:dyDescent="0.25">
      <c r="A34" s="48" t="s">
        <v>111</v>
      </c>
      <c r="B34" s="53"/>
      <c r="C34" s="49">
        <f>'2025年安徽省区利润表'!C34+'2025年江西省区利润表'!C34</f>
        <v>3900</v>
      </c>
      <c r="D34" s="49">
        <f>'2025年安徽省区利润表'!D34+'2025年江西省区利润表'!D34</f>
        <v>3079.68</v>
      </c>
      <c r="E34" s="49">
        <f>'2025年安徽省区利润表'!E34+'2025年江西省区利润表'!E34</f>
        <v>3900</v>
      </c>
      <c r="F34" s="49">
        <f>'2025年安徽省区利润表'!F34+'2025年江西省区利润表'!F34</f>
        <v>2309.7599999999998</v>
      </c>
      <c r="G34" s="49">
        <f>'2025年安徽省区利润表'!G34+'2025年江西省区利润表'!G34</f>
        <v>3900</v>
      </c>
      <c r="H34" s="49">
        <f>'2025年安徽省区利润表'!H34+'2025年江西省区利润表'!H34</f>
        <v>2309.7599999999998</v>
      </c>
      <c r="I34" s="49">
        <f>'2025年安徽省区利润表'!I34+'2025年江西省区利润表'!I34</f>
        <v>3900</v>
      </c>
      <c r="J34" s="49">
        <f>'2025年安徽省区利润表'!J34+'2025年江西省区利润表'!J34</f>
        <v>2309.7599999999998</v>
      </c>
      <c r="K34" s="49">
        <f>'2025年安徽省区利润表'!K34+'2025年江西省区利润表'!K34</f>
        <v>3900</v>
      </c>
      <c r="L34" s="49">
        <f>'2025年安徽省区利润表'!L34+'2025年江西省区利润表'!L34</f>
        <v>3079.6800000000003</v>
      </c>
      <c r="M34" s="49">
        <f>'2025年安徽省区利润表'!M34+'2025年江西省区利润表'!M34</f>
        <v>3900</v>
      </c>
      <c r="N34" s="49">
        <f>'2025年安徽省区利润表'!N34+'2025年江西省区利润表'!N34</f>
        <v>3079.6800000000003</v>
      </c>
      <c r="O34" s="49">
        <f>'2025年安徽省区利润表'!O34+'2025年江西省区利润表'!O34</f>
        <v>3900</v>
      </c>
      <c r="P34" s="49">
        <f>'2025年安徽省区利润表'!P34+'2025年江西省区利润表'!P34</f>
        <v>3079.6800000000003</v>
      </c>
      <c r="Q34" s="49">
        <f>'2025年安徽省区利润表'!Q34+'2025年江西省区利润表'!Q34</f>
        <v>3900</v>
      </c>
      <c r="R34" s="49">
        <f>'2025年安徽省区利润表'!R34+'2025年江西省区利润表'!R34</f>
        <v>3079.6800000000003</v>
      </c>
      <c r="S34" s="49">
        <f>'2025年安徽省区利润表'!S34+'2025年江西省区利润表'!S34</f>
        <v>3900</v>
      </c>
      <c r="T34" s="49">
        <f>'2025年安徽省区利润表'!T34+'2025年江西省区利润表'!T34</f>
        <v>3970.56</v>
      </c>
      <c r="U34" s="49">
        <f>'2025年安徽省区利润表'!U34+'2025年江西省区利润表'!U34</f>
        <v>3900</v>
      </c>
      <c r="V34" s="49">
        <f>'2025年安徽省区利润表'!V34+'2025年江西省区利润表'!V34</f>
        <v>3191.04</v>
      </c>
      <c r="W34" s="49">
        <f>'2025年安徽省区利润表'!W34+'2025年江西省区利润表'!W34</f>
        <v>3900</v>
      </c>
      <c r="X34" s="49">
        <f>'2025年安徽省区利润表'!X34+'2025年江西省区利润表'!X34</f>
        <v>3191.04</v>
      </c>
      <c r="Y34" s="49">
        <f>'2025年安徽省区利润表'!Y34+'2025年江西省区利润表'!Y34</f>
        <v>3900</v>
      </c>
      <c r="Z34" s="49">
        <f>'2025年安徽省区利润表'!Z34+'2025年江西省区利润表'!Z34</f>
        <v>3191.04</v>
      </c>
      <c r="AA34" s="51">
        <f t="shared" si="12"/>
        <v>46800</v>
      </c>
      <c r="AB34" s="51">
        <f t="shared" si="13"/>
        <v>35871.360000000001</v>
      </c>
      <c r="AC34" s="22"/>
      <c r="AD34" s="31">
        <f t="shared" si="14"/>
        <v>46800</v>
      </c>
      <c r="AE34" s="31">
        <f t="shared" si="15"/>
        <v>35871.360000000001</v>
      </c>
      <c r="AF34" s="17">
        <f t="shared" si="18"/>
        <v>0</v>
      </c>
      <c r="AG34" s="17">
        <f t="shared" si="19"/>
        <v>0</v>
      </c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61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</row>
    <row r="35" spans="1:123" s="19" customFormat="1" ht="18" customHeight="1" outlineLevel="2" x14ac:dyDescent="0.25">
      <c r="A35" s="48" t="s">
        <v>112</v>
      </c>
      <c r="B35" s="53"/>
      <c r="C35" s="49">
        <f>'2025年安徽省区利润表'!C35+'2025年江西省区利润表'!C35</f>
        <v>2080</v>
      </c>
      <c r="D35" s="49">
        <f>'2025年安徽省区利润表'!D35+'2025年江西省区利润表'!D35</f>
        <v>1636.08</v>
      </c>
      <c r="E35" s="49">
        <f>'2025年安徽省区利润表'!E35+'2025年江西省区利润表'!E35</f>
        <v>2080</v>
      </c>
      <c r="F35" s="49">
        <f>'2025年安徽省区利润表'!F35+'2025年江西省区利润表'!F35</f>
        <v>1227.06</v>
      </c>
      <c r="G35" s="49">
        <f>'2025年安徽省区利润表'!G35+'2025年江西省区利润表'!G35</f>
        <v>2080</v>
      </c>
      <c r="H35" s="49">
        <f>'2025年安徽省区利润表'!H35+'2025年江西省区利润表'!H35</f>
        <v>1227.06</v>
      </c>
      <c r="I35" s="49">
        <f>'2025年安徽省区利润表'!I35+'2025年江西省区利润表'!I35</f>
        <v>2080</v>
      </c>
      <c r="J35" s="49">
        <f>'2025年安徽省区利润表'!J35+'2025年江西省区利润表'!J35</f>
        <v>1227.06</v>
      </c>
      <c r="K35" s="49">
        <f>'2025年安徽省区利润表'!K35+'2025年江西省区利润表'!K35</f>
        <v>2080</v>
      </c>
      <c r="L35" s="49">
        <f>'2025年安徽省区利润表'!L35+'2025年江西省区利润表'!L35</f>
        <v>1636.08</v>
      </c>
      <c r="M35" s="49">
        <f>'2025年安徽省区利润表'!M35+'2025年江西省区利润表'!M35</f>
        <v>2080</v>
      </c>
      <c r="N35" s="49">
        <f>'2025年安徽省区利润表'!N35+'2025年江西省区利润表'!N35</f>
        <v>1636.08</v>
      </c>
      <c r="O35" s="49">
        <f>'2025年安徽省区利润表'!O35+'2025年江西省区利润表'!O35</f>
        <v>2080</v>
      </c>
      <c r="P35" s="49">
        <f>'2025年安徽省区利润表'!P35+'2025年江西省区利润表'!P35</f>
        <v>1636.08</v>
      </c>
      <c r="Q35" s="49">
        <f>'2025年安徽省区利润表'!Q35+'2025年江西省区利润表'!Q35</f>
        <v>2080</v>
      </c>
      <c r="R35" s="49">
        <f>'2025年安徽省区利润表'!R35+'2025年江西省区利润表'!R35</f>
        <v>1636.08</v>
      </c>
      <c r="S35" s="49">
        <f>'2025年安徽省区利润表'!S35+'2025年江西省区利润表'!S35</f>
        <v>2080</v>
      </c>
      <c r="T35" s="49">
        <f>'2025年安徽省区利润表'!T35+'2025年江西省区利润表'!T35</f>
        <v>1695.24</v>
      </c>
      <c r="U35" s="49">
        <f>'2025年安徽省区利润表'!U35+'2025年江西省区利润表'!U35</f>
        <v>2080</v>
      </c>
      <c r="V35" s="49">
        <f>'2025年安徽省区利润表'!V35+'2025年江西省区利润表'!V35</f>
        <v>1695.24</v>
      </c>
      <c r="W35" s="49">
        <f>'2025年安徽省区利润表'!W35+'2025年江西省区利润表'!W35</f>
        <v>2080</v>
      </c>
      <c r="X35" s="49">
        <f>'2025年安徽省区利润表'!X35+'2025年江西省区利润表'!X35</f>
        <v>1695.24</v>
      </c>
      <c r="Y35" s="49">
        <f>'2025年安徽省区利润表'!Y35+'2025年江西省区利润表'!Y35</f>
        <v>2080</v>
      </c>
      <c r="Z35" s="49">
        <f>'2025年安徽省区利润表'!Z35+'2025年江西省区利润表'!Z35</f>
        <v>1695.24</v>
      </c>
      <c r="AA35" s="51">
        <f t="shared" si="12"/>
        <v>24960</v>
      </c>
      <c r="AB35" s="51">
        <f t="shared" si="13"/>
        <v>18642.54</v>
      </c>
      <c r="AC35" s="22"/>
      <c r="AD35" s="31">
        <f t="shared" si="14"/>
        <v>24960</v>
      </c>
      <c r="AE35" s="31">
        <f t="shared" si="15"/>
        <v>18642.54</v>
      </c>
      <c r="AF35" s="17">
        <f t="shared" si="18"/>
        <v>0</v>
      </c>
      <c r="AG35" s="17">
        <f t="shared" si="19"/>
        <v>0</v>
      </c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61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</row>
    <row r="36" spans="1:123" s="19" customFormat="1" ht="18" customHeight="1" outlineLevel="2" x14ac:dyDescent="0.25">
      <c r="A36" s="48" t="s">
        <v>113</v>
      </c>
      <c r="B36" s="53"/>
      <c r="C36" s="49">
        <f>'2025年安徽省区利润表'!C36+'2025年江西省区利润表'!C36</f>
        <v>52</v>
      </c>
      <c r="D36" s="49">
        <f>'2025年安徽省区利润表'!D36+'2025年江西省区利润表'!D36</f>
        <v>38.479999999999997</v>
      </c>
      <c r="E36" s="49">
        <f>'2025年安徽省区利润表'!E36+'2025年江西省区利润表'!E36</f>
        <v>52</v>
      </c>
      <c r="F36" s="49">
        <f>'2025年安徽省区利润表'!F36+'2025年江西省区利润表'!F36</f>
        <v>28.86</v>
      </c>
      <c r="G36" s="49">
        <f>'2025年安徽省区利润表'!G36+'2025年江西省区利润表'!G36</f>
        <v>52</v>
      </c>
      <c r="H36" s="49">
        <f>'2025年安徽省区利润表'!H36+'2025年江西省区利润表'!H36</f>
        <v>28.86</v>
      </c>
      <c r="I36" s="49">
        <f>'2025年安徽省区利润表'!I36+'2025年江西省区利润表'!I36</f>
        <v>52</v>
      </c>
      <c r="J36" s="49">
        <f>'2025年安徽省区利润表'!J36+'2025年江西省区利润表'!J36</f>
        <v>28.86</v>
      </c>
      <c r="K36" s="49">
        <f>'2025年安徽省区利润表'!K36+'2025年江西省区利润表'!K36</f>
        <v>52</v>
      </c>
      <c r="L36" s="49">
        <f>'2025年安徽省区利润表'!L36+'2025年江西省区利润表'!L36</f>
        <v>38.479999999999997</v>
      </c>
      <c r="M36" s="49">
        <f>'2025年安徽省区利润表'!M36+'2025年江西省区利润表'!M36</f>
        <v>52</v>
      </c>
      <c r="N36" s="49">
        <f>'2025年安徽省区利润表'!N36+'2025年江西省区利润表'!N36</f>
        <v>38.479999999999997</v>
      </c>
      <c r="O36" s="49">
        <f>'2025年安徽省区利润表'!O36+'2025年江西省区利润表'!O36</f>
        <v>52</v>
      </c>
      <c r="P36" s="49">
        <f>'2025年安徽省区利润表'!P36+'2025年江西省区利润表'!P36</f>
        <v>38.479999999999997</v>
      </c>
      <c r="Q36" s="49">
        <f>'2025年安徽省区利润表'!Q36+'2025年江西省区利润表'!Q36</f>
        <v>52</v>
      </c>
      <c r="R36" s="49">
        <f>'2025年安徽省区利润表'!R36+'2025年江西省区利润表'!R36</f>
        <v>38.479999999999997</v>
      </c>
      <c r="S36" s="49">
        <f>'2025年安徽省区利润表'!S36+'2025年江西省区利润表'!S36</f>
        <v>52</v>
      </c>
      <c r="T36" s="49">
        <f>'2025年安徽省区利润表'!T36+'2025年江西省区利润表'!T36</f>
        <v>51.760000000000005</v>
      </c>
      <c r="U36" s="49">
        <f>'2025年安徽省区利润表'!U36+'2025年江西省区利润表'!U36</f>
        <v>52</v>
      </c>
      <c r="V36" s="49">
        <f>'2025年安徽省区利润表'!V36+'2025年江西省区利润表'!V36</f>
        <v>39.880000000000003</v>
      </c>
      <c r="W36" s="49">
        <f>'2025年安徽省区利润表'!W36+'2025年江西省区利润表'!W36</f>
        <v>52</v>
      </c>
      <c r="X36" s="49">
        <f>'2025年安徽省区利润表'!X36+'2025年江西省区利润表'!X36</f>
        <v>39.880000000000003</v>
      </c>
      <c r="Y36" s="49">
        <f>'2025年安徽省区利润表'!Y36+'2025年江西省区利润表'!Y36</f>
        <v>52</v>
      </c>
      <c r="Z36" s="49">
        <f>'2025年安徽省区利润表'!Z36+'2025年江西省区利润表'!Z36</f>
        <v>39.880000000000003</v>
      </c>
      <c r="AA36" s="51">
        <f t="shared" si="12"/>
        <v>624</v>
      </c>
      <c r="AB36" s="51">
        <f t="shared" si="13"/>
        <v>450.37999999999994</v>
      </c>
      <c r="AC36" s="22"/>
      <c r="AD36" s="31">
        <f t="shared" si="14"/>
        <v>624</v>
      </c>
      <c r="AE36" s="31">
        <f t="shared" si="15"/>
        <v>450.37999999999994</v>
      </c>
      <c r="AF36" s="17">
        <f t="shared" si="18"/>
        <v>0</v>
      </c>
      <c r="AG36" s="17">
        <f t="shared" si="19"/>
        <v>0</v>
      </c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61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</row>
    <row r="37" spans="1:123" s="19" customFormat="1" ht="18" customHeight="1" outlineLevel="2" x14ac:dyDescent="0.25">
      <c r="A37" s="48" t="s">
        <v>114</v>
      </c>
      <c r="B37" s="53"/>
      <c r="C37" s="49">
        <f>'2025年安徽省区利润表'!C37+'2025年江西省区利润表'!C37</f>
        <v>130</v>
      </c>
      <c r="D37" s="49">
        <f>'2025年安徽省区利润表'!D37+'2025年江西省区利润表'!D37</f>
        <v>96.24</v>
      </c>
      <c r="E37" s="49">
        <f>'2025年安徽省区利润表'!E37+'2025年江西省区利润表'!E37</f>
        <v>130</v>
      </c>
      <c r="F37" s="49">
        <f>'2025年安徽省区利润表'!F37+'2025年江西省区利润表'!F37</f>
        <v>72.179999999999993</v>
      </c>
      <c r="G37" s="49">
        <f>'2025年安徽省区利润表'!G37+'2025年江西省区利润表'!G37</f>
        <v>130</v>
      </c>
      <c r="H37" s="49">
        <f>'2025年安徽省区利润表'!H37+'2025年江西省区利润表'!H37</f>
        <v>72.179999999999993</v>
      </c>
      <c r="I37" s="49">
        <f>'2025年安徽省区利润表'!I37+'2025年江西省区利润表'!I37</f>
        <v>130</v>
      </c>
      <c r="J37" s="49">
        <f>'2025年安徽省区利润表'!J37+'2025年江西省区利润表'!J37</f>
        <v>72.179999999999993</v>
      </c>
      <c r="K37" s="49">
        <f>'2025年安徽省区利润表'!K37+'2025年江西省区利润表'!K37</f>
        <v>130</v>
      </c>
      <c r="L37" s="49">
        <f>'2025年安徽省区利润表'!L37+'2025年江西省区利润表'!L37</f>
        <v>96.240000000000009</v>
      </c>
      <c r="M37" s="49">
        <f>'2025年安徽省区利润表'!M37+'2025年江西省区利润表'!M37</f>
        <v>130</v>
      </c>
      <c r="N37" s="49">
        <f>'2025年安徽省区利润表'!N37+'2025年江西省区利润表'!N37</f>
        <v>96.240000000000009</v>
      </c>
      <c r="O37" s="49">
        <f>'2025年安徽省区利润表'!O37+'2025年江西省区利润表'!O37</f>
        <v>130</v>
      </c>
      <c r="P37" s="49">
        <f>'2025年安徽省区利润表'!P37+'2025年江西省区利润表'!P37</f>
        <v>96.240000000000009</v>
      </c>
      <c r="Q37" s="49">
        <f>'2025年安徽省区利润表'!Q37+'2025年江西省区利润表'!Q37</f>
        <v>130</v>
      </c>
      <c r="R37" s="49">
        <f>'2025年安徽省区利润表'!R37+'2025年江西省区利润表'!R37</f>
        <v>96.240000000000009</v>
      </c>
      <c r="S37" s="49">
        <f>'2025年安徽省区利润表'!S37+'2025年江西省区利润表'!S37</f>
        <v>130</v>
      </c>
      <c r="T37" s="49">
        <f>'2025年安徽省区利润表'!T37+'2025年江西省区利润表'!T37</f>
        <v>122</v>
      </c>
      <c r="U37" s="49">
        <f>'2025年安徽省区利润表'!U37+'2025年江西省区利润表'!U37</f>
        <v>130</v>
      </c>
      <c r="V37" s="49">
        <f>'2025年安徽省区利润表'!V37+'2025年江西省区利润表'!V37</f>
        <v>99.72</v>
      </c>
      <c r="W37" s="49">
        <f>'2025年安徽省区利润表'!W37+'2025年江西省区利润表'!W37</f>
        <v>130</v>
      </c>
      <c r="X37" s="49">
        <f>'2025年安徽省区利润表'!X37+'2025年江西省区利润表'!X37</f>
        <v>99.72</v>
      </c>
      <c r="Y37" s="49">
        <f>'2025年安徽省区利润表'!Y37+'2025年江西省区利润表'!Y37</f>
        <v>130</v>
      </c>
      <c r="Z37" s="49">
        <f>'2025年安徽省区利润表'!Z37+'2025年江西省区利润表'!Z37</f>
        <v>99.72</v>
      </c>
      <c r="AA37" s="51">
        <f t="shared" si="12"/>
        <v>1560</v>
      </c>
      <c r="AB37" s="51">
        <f t="shared" si="13"/>
        <v>1118.9000000000001</v>
      </c>
      <c r="AC37" s="22"/>
      <c r="AD37" s="31">
        <f t="shared" si="14"/>
        <v>1560</v>
      </c>
      <c r="AE37" s="31">
        <f t="shared" si="15"/>
        <v>1118.9000000000001</v>
      </c>
      <c r="AF37" s="17">
        <f t="shared" si="18"/>
        <v>0</v>
      </c>
      <c r="AG37" s="17">
        <f t="shared" si="19"/>
        <v>0</v>
      </c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61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</row>
    <row r="38" spans="1:123" s="19" customFormat="1" ht="18" customHeight="1" outlineLevel="2" x14ac:dyDescent="0.25">
      <c r="A38" s="48" t="s">
        <v>115</v>
      </c>
      <c r="B38" s="53"/>
      <c r="C38" s="49">
        <f>'2025年安徽省区利润表'!C38+'2025年江西省区利润表'!C38</f>
        <v>130</v>
      </c>
      <c r="D38" s="49">
        <f>'2025年安徽省区利润表'!D38+'2025年江西省区利润表'!D38</f>
        <v>0</v>
      </c>
      <c r="E38" s="49">
        <f>'2025年安徽省区利润表'!E38+'2025年江西省区利润表'!E38</f>
        <v>130</v>
      </c>
      <c r="F38" s="49">
        <f>'2025年安徽省区利润表'!F38+'2025年江西省区利润表'!F38</f>
        <v>0</v>
      </c>
      <c r="G38" s="49">
        <f>'2025年安徽省区利润表'!G38+'2025年江西省区利润表'!G38</f>
        <v>130</v>
      </c>
      <c r="H38" s="49">
        <f>'2025年安徽省区利润表'!H38+'2025年江西省区利润表'!H38</f>
        <v>0</v>
      </c>
      <c r="I38" s="49">
        <f>'2025年安徽省区利润表'!I38+'2025年江西省区利润表'!I38</f>
        <v>130</v>
      </c>
      <c r="J38" s="49">
        <f>'2025年安徽省区利润表'!J38+'2025年江西省区利润表'!J38</f>
        <v>0</v>
      </c>
      <c r="K38" s="49">
        <f>'2025年安徽省区利润表'!K38+'2025年江西省区利润表'!K38</f>
        <v>130</v>
      </c>
      <c r="L38" s="49">
        <f>'2025年安徽省区利润表'!L38+'2025年江西省区利润表'!L38</f>
        <v>0</v>
      </c>
      <c r="M38" s="49">
        <f>'2025年安徽省区利润表'!M38+'2025年江西省区利润表'!M38</f>
        <v>130</v>
      </c>
      <c r="N38" s="49">
        <f>'2025年安徽省区利润表'!N38+'2025年江西省区利润表'!N38</f>
        <v>0</v>
      </c>
      <c r="O38" s="49">
        <f>'2025年安徽省区利润表'!O38+'2025年江西省区利润表'!O38</f>
        <v>130</v>
      </c>
      <c r="P38" s="49">
        <f>'2025年安徽省区利润表'!P38+'2025年江西省区利润表'!P38</f>
        <v>0</v>
      </c>
      <c r="Q38" s="49">
        <f>'2025年安徽省区利润表'!Q38+'2025年江西省区利润表'!Q38</f>
        <v>130</v>
      </c>
      <c r="R38" s="49">
        <f>'2025年安徽省区利润表'!R38+'2025年江西省区利润表'!R38</f>
        <v>0</v>
      </c>
      <c r="S38" s="49">
        <f>'2025年安徽省区利润表'!S38+'2025年江西省区利润表'!S38</f>
        <v>130</v>
      </c>
      <c r="T38" s="49">
        <f>'2025年安徽省区利润表'!T38+'2025年江西省区利润表'!T38</f>
        <v>0</v>
      </c>
      <c r="U38" s="49">
        <f>'2025年安徽省区利润表'!U38+'2025年江西省区利润表'!U38</f>
        <v>130</v>
      </c>
      <c r="V38" s="49">
        <f>'2025年安徽省区利润表'!V38+'2025年江西省区利润表'!V38</f>
        <v>0</v>
      </c>
      <c r="W38" s="49">
        <f>'2025年安徽省区利润表'!W38+'2025年江西省区利润表'!W38</f>
        <v>130</v>
      </c>
      <c r="X38" s="49">
        <f>'2025年安徽省区利润表'!X38+'2025年江西省区利润表'!X38</f>
        <v>0</v>
      </c>
      <c r="Y38" s="49">
        <f>'2025年安徽省区利润表'!Y38+'2025年江西省区利润表'!Y38</f>
        <v>130</v>
      </c>
      <c r="Z38" s="49">
        <f>'2025年安徽省区利润表'!Z38+'2025年江西省区利润表'!Z38</f>
        <v>0</v>
      </c>
      <c r="AA38" s="51">
        <f t="shared" si="12"/>
        <v>1560</v>
      </c>
      <c r="AB38" s="51">
        <f t="shared" si="13"/>
        <v>0</v>
      </c>
      <c r="AC38" s="22"/>
      <c r="AD38" s="31">
        <f t="shared" si="14"/>
        <v>1560</v>
      </c>
      <c r="AE38" s="31">
        <f t="shared" si="15"/>
        <v>0</v>
      </c>
      <c r="AF38" s="17">
        <f t="shared" si="18"/>
        <v>0</v>
      </c>
      <c r="AG38" s="17">
        <f t="shared" si="19"/>
        <v>0</v>
      </c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61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</row>
    <row r="39" spans="1:123" s="19" customFormat="1" ht="18" customHeight="1" outlineLevel="1" x14ac:dyDescent="0.25">
      <c r="A39" s="48" t="s">
        <v>116</v>
      </c>
      <c r="B39" s="53"/>
      <c r="C39" s="49">
        <f>'2025年安徽省区利润表'!C39+'2025年江西省区利润表'!C39</f>
        <v>1345</v>
      </c>
      <c r="D39" s="49">
        <f>'2025年安徽省区利润表'!D39+'2025年江西省区利润表'!D39</f>
        <v>1076</v>
      </c>
      <c r="E39" s="49">
        <f>'2025年安徽省区利润表'!E39+'2025年江西省区利润表'!E39</f>
        <v>1345</v>
      </c>
      <c r="F39" s="49">
        <f>'2025年安徽省区利润表'!F39+'2025年江西省区利润表'!F39</f>
        <v>807</v>
      </c>
      <c r="G39" s="49">
        <f>'2025年安徽省区利润表'!G39+'2025年江西省区利润表'!G39</f>
        <v>1345</v>
      </c>
      <c r="H39" s="49">
        <f>'2025年安徽省区利润表'!H39+'2025年江西省区利润表'!H39</f>
        <v>807</v>
      </c>
      <c r="I39" s="49">
        <f>'2025年安徽省区利润表'!I39+'2025年江西省区利润表'!I39</f>
        <v>1345</v>
      </c>
      <c r="J39" s="49">
        <f>'2025年安徽省区利润表'!J39+'2025年江西省区利润表'!J39</f>
        <v>807</v>
      </c>
      <c r="K39" s="49">
        <f>'2025年安徽省区利润表'!K39+'2025年江西省区利润表'!K39</f>
        <v>1345</v>
      </c>
      <c r="L39" s="49">
        <f>'2025年安徽省区利润表'!L39+'2025年江西省区利润表'!L39</f>
        <v>1076</v>
      </c>
      <c r="M39" s="49">
        <f>'2025年安徽省区利润表'!M39+'2025年江西省区利润表'!M39</f>
        <v>1345</v>
      </c>
      <c r="N39" s="49">
        <f>'2025年安徽省区利润表'!N39+'2025年江西省区利润表'!N39</f>
        <v>807</v>
      </c>
      <c r="O39" s="49">
        <f>'2025年安徽省区利润表'!O39+'2025年江西省区利润表'!O39</f>
        <v>1345</v>
      </c>
      <c r="P39" s="49">
        <f>'2025年安徽省区利润表'!P39+'2025年江西省区利润表'!P39</f>
        <v>807</v>
      </c>
      <c r="Q39" s="49">
        <f>'2025年安徽省区利润表'!Q39+'2025年江西省区利润表'!Q39</f>
        <v>1345</v>
      </c>
      <c r="R39" s="49">
        <f>'2025年安徽省区利润表'!R39+'2025年江西省区利润表'!R39</f>
        <v>807</v>
      </c>
      <c r="S39" s="49">
        <f>'2025年安徽省区利润表'!S39+'2025年江西省区利润表'!S39</f>
        <v>1345</v>
      </c>
      <c r="T39" s="49">
        <f>'2025年安徽省区利润表'!T39+'2025年江西省区利润表'!T39</f>
        <v>807</v>
      </c>
      <c r="U39" s="49">
        <f>'2025年安徽省区利润表'!U39+'2025年江西省区利润表'!U39</f>
        <v>1345</v>
      </c>
      <c r="V39" s="49">
        <f>'2025年安徽省区利润表'!V39+'2025年江西省区利润表'!V39</f>
        <v>807</v>
      </c>
      <c r="W39" s="49">
        <f>'2025年安徽省区利润表'!W39+'2025年江西省区利润表'!W39</f>
        <v>1345</v>
      </c>
      <c r="X39" s="49">
        <f>'2025年安徽省区利润表'!X39+'2025年江西省区利润表'!X39</f>
        <v>807</v>
      </c>
      <c r="Y39" s="49">
        <f>'2025年安徽省区利润表'!Y39+'2025年江西省区利润表'!Y39</f>
        <v>1345</v>
      </c>
      <c r="Z39" s="49">
        <f>'2025年安徽省区利润表'!Z39+'2025年江西省区利润表'!Z39</f>
        <v>807</v>
      </c>
      <c r="AA39" s="51">
        <f t="shared" si="12"/>
        <v>16140</v>
      </c>
      <c r="AB39" s="51">
        <f t="shared" si="13"/>
        <v>10222</v>
      </c>
      <c r="AC39" s="22"/>
      <c r="AD39" s="31">
        <f t="shared" si="14"/>
        <v>16140</v>
      </c>
      <c r="AE39" s="31">
        <f t="shared" si="15"/>
        <v>10222</v>
      </c>
      <c r="AF39" s="17">
        <f t="shared" si="18"/>
        <v>0</v>
      </c>
      <c r="AG39" s="17">
        <f t="shared" si="19"/>
        <v>0</v>
      </c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61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</row>
    <row r="40" spans="1:123" s="19" customFormat="1" ht="18" customHeight="1" outlineLevel="1" x14ac:dyDescent="0.25">
      <c r="A40" s="48" t="s">
        <v>117</v>
      </c>
      <c r="B40" s="53"/>
      <c r="C40" s="49">
        <f>'2025年安徽省区利润表'!C40+'2025年江西省区利润表'!C40</f>
        <v>0</v>
      </c>
      <c r="D40" s="49">
        <f>'2025年安徽省区利润表'!D40+'2025年江西省区利润表'!D40</f>
        <v>0</v>
      </c>
      <c r="E40" s="49">
        <f>'2025年安徽省区利润表'!E40+'2025年江西省区利润表'!E40</f>
        <v>0</v>
      </c>
      <c r="F40" s="49">
        <f>'2025年安徽省区利润表'!F40+'2025年江西省区利润表'!F40</f>
        <v>0</v>
      </c>
      <c r="G40" s="49">
        <f>'2025年安徽省区利润表'!G40+'2025年江西省区利润表'!G40</f>
        <v>0</v>
      </c>
      <c r="H40" s="49">
        <f>'2025年安徽省区利润表'!H40+'2025年江西省区利润表'!H40</f>
        <v>0</v>
      </c>
      <c r="I40" s="49">
        <f>'2025年安徽省区利润表'!I40+'2025年江西省区利润表'!I40</f>
        <v>0</v>
      </c>
      <c r="J40" s="49">
        <f>'2025年安徽省区利润表'!J40+'2025年江西省区利润表'!J40</f>
        <v>0</v>
      </c>
      <c r="K40" s="49">
        <f>'2025年安徽省区利润表'!K40+'2025年江西省区利润表'!K40</f>
        <v>0</v>
      </c>
      <c r="L40" s="49">
        <f>'2025年安徽省区利润表'!L40+'2025年江西省区利润表'!L40</f>
        <v>0</v>
      </c>
      <c r="M40" s="49">
        <f>'2025年安徽省区利润表'!M40+'2025年江西省区利润表'!M40</f>
        <v>0</v>
      </c>
      <c r="N40" s="49">
        <f>'2025年安徽省区利润表'!N40+'2025年江西省区利润表'!N40</f>
        <v>0</v>
      </c>
      <c r="O40" s="49">
        <f>'2025年安徽省区利润表'!O40+'2025年江西省区利润表'!O40</f>
        <v>0</v>
      </c>
      <c r="P40" s="49">
        <f>'2025年安徽省区利润表'!P40+'2025年江西省区利润表'!P40</f>
        <v>0</v>
      </c>
      <c r="Q40" s="49">
        <f>'2025年安徽省区利润表'!Q40+'2025年江西省区利润表'!Q40</f>
        <v>0</v>
      </c>
      <c r="R40" s="49">
        <f>'2025年安徽省区利润表'!R40+'2025年江西省区利润表'!R40</f>
        <v>0</v>
      </c>
      <c r="S40" s="49">
        <f>'2025年安徽省区利润表'!S40+'2025年江西省区利润表'!S40</f>
        <v>0</v>
      </c>
      <c r="T40" s="49">
        <f>'2025年安徽省区利润表'!T40+'2025年江西省区利润表'!T40</f>
        <v>0</v>
      </c>
      <c r="U40" s="49">
        <f>'2025年安徽省区利润表'!U40+'2025年江西省区利润表'!U40</f>
        <v>0</v>
      </c>
      <c r="V40" s="49">
        <f>'2025年安徽省区利润表'!V40+'2025年江西省区利润表'!V40</f>
        <v>0</v>
      </c>
      <c r="W40" s="49">
        <f>'2025年安徽省区利润表'!W40+'2025年江西省区利润表'!W40</f>
        <v>0</v>
      </c>
      <c r="X40" s="49">
        <f>'2025年安徽省区利润表'!X40+'2025年江西省区利润表'!X40</f>
        <v>0</v>
      </c>
      <c r="Y40" s="49">
        <f>'2025年安徽省区利润表'!Y40+'2025年江西省区利润表'!Y40</f>
        <v>0</v>
      </c>
      <c r="Z40" s="49">
        <f>'2025年安徽省区利润表'!Z40+'2025年江西省区利润表'!Z40</f>
        <v>0</v>
      </c>
      <c r="AA40" s="51">
        <f t="shared" si="12"/>
        <v>0</v>
      </c>
      <c r="AB40" s="51">
        <f t="shared" si="13"/>
        <v>0</v>
      </c>
      <c r="AC40" s="22"/>
      <c r="AD40" s="31">
        <f t="shared" si="14"/>
        <v>0</v>
      </c>
      <c r="AE40" s="31">
        <f t="shared" si="15"/>
        <v>0</v>
      </c>
      <c r="AF40" s="17">
        <f t="shared" si="18"/>
        <v>0</v>
      </c>
      <c r="AG40" s="17">
        <f t="shared" si="19"/>
        <v>0</v>
      </c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61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</row>
    <row r="41" spans="1:123" s="19" customFormat="1" ht="18" customHeight="1" outlineLevel="1" x14ac:dyDescent="0.25">
      <c r="A41" s="48" t="s">
        <v>118</v>
      </c>
      <c r="B41" s="53"/>
      <c r="C41" s="49">
        <f>'2025年安徽省区利润表'!C41+'2025年江西省区利润表'!C41</f>
        <v>0</v>
      </c>
      <c r="D41" s="49">
        <f>'2025年安徽省区利润表'!D41+'2025年江西省区利润表'!D41</f>
        <v>0</v>
      </c>
      <c r="E41" s="49">
        <f>'2025年安徽省区利润表'!E41+'2025年江西省区利润表'!E41</f>
        <v>0</v>
      </c>
      <c r="F41" s="49">
        <f>'2025年安徽省区利润表'!F41+'2025年江西省区利润表'!F41</f>
        <v>0</v>
      </c>
      <c r="G41" s="49">
        <f>'2025年安徽省区利润表'!G41+'2025年江西省区利润表'!G41</f>
        <v>0</v>
      </c>
      <c r="H41" s="49">
        <f>'2025年安徽省区利润表'!H41+'2025年江西省区利润表'!H41</f>
        <v>0</v>
      </c>
      <c r="I41" s="49">
        <f>'2025年安徽省区利润表'!I41+'2025年江西省区利润表'!I41</f>
        <v>0</v>
      </c>
      <c r="J41" s="49">
        <f>'2025年安徽省区利润表'!J41+'2025年江西省区利润表'!J41</f>
        <v>0</v>
      </c>
      <c r="K41" s="49">
        <f>'2025年安徽省区利润表'!K41+'2025年江西省区利润表'!K41</f>
        <v>0</v>
      </c>
      <c r="L41" s="49">
        <f>'2025年安徽省区利润表'!L41+'2025年江西省区利润表'!L41</f>
        <v>0</v>
      </c>
      <c r="M41" s="49">
        <f>'2025年安徽省区利润表'!M41+'2025年江西省区利润表'!M41</f>
        <v>0</v>
      </c>
      <c r="N41" s="49">
        <f>'2025年安徽省区利润表'!N41+'2025年江西省区利润表'!N41</f>
        <v>0</v>
      </c>
      <c r="O41" s="49">
        <f>'2025年安徽省区利润表'!O41+'2025年江西省区利润表'!O41</f>
        <v>0</v>
      </c>
      <c r="P41" s="49">
        <f>'2025年安徽省区利润表'!P41+'2025年江西省区利润表'!P41</f>
        <v>0</v>
      </c>
      <c r="Q41" s="49">
        <f>'2025年安徽省区利润表'!Q41+'2025年江西省区利润表'!Q41</f>
        <v>0</v>
      </c>
      <c r="R41" s="49">
        <f>'2025年安徽省区利润表'!R41+'2025年江西省区利润表'!R41</f>
        <v>0</v>
      </c>
      <c r="S41" s="49">
        <f>'2025年安徽省区利润表'!S41+'2025年江西省区利润表'!S41</f>
        <v>0</v>
      </c>
      <c r="T41" s="49">
        <f>'2025年安徽省区利润表'!T41+'2025年江西省区利润表'!T41</f>
        <v>0</v>
      </c>
      <c r="U41" s="49">
        <f>'2025年安徽省区利润表'!U41+'2025年江西省区利润表'!U41</f>
        <v>0</v>
      </c>
      <c r="V41" s="49">
        <f>'2025年安徽省区利润表'!V41+'2025年江西省区利润表'!V41</f>
        <v>0</v>
      </c>
      <c r="W41" s="49">
        <f>'2025年安徽省区利润表'!W41+'2025年江西省区利润表'!W41</f>
        <v>0</v>
      </c>
      <c r="X41" s="49">
        <f>'2025年安徽省区利润表'!X41+'2025年江西省区利润表'!X41</f>
        <v>0</v>
      </c>
      <c r="Y41" s="49">
        <f>'2025年安徽省区利润表'!Y41+'2025年江西省区利润表'!Y41</f>
        <v>0</v>
      </c>
      <c r="Z41" s="49">
        <f>'2025年安徽省区利润表'!Z41+'2025年江西省区利润表'!Z41</f>
        <v>0</v>
      </c>
      <c r="AA41" s="51">
        <f t="shared" si="12"/>
        <v>0</v>
      </c>
      <c r="AB41" s="51">
        <f t="shared" si="13"/>
        <v>0</v>
      </c>
      <c r="AC41" s="22"/>
      <c r="AD41" s="31">
        <f t="shared" si="14"/>
        <v>0</v>
      </c>
      <c r="AE41" s="31">
        <f t="shared" si="15"/>
        <v>0</v>
      </c>
      <c r="AF41" s="17">
        <f t="shared" si="18"/>
        <v>0</v>
      </c>
      <c r="AG41" s="17">
        <f t="shared" si="19"/>
        <v>0</v>
      </c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61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</row>
    <row r="42" spans="1:123" s="17" customFormat="1" ht="18" customHeight="1" outlineLevel="1" x14ac:dyDescent="0.25">
      <c r="A42" s="67" t="s">
        <v>119</v>
      </c>
      <c r="B42" s="45"/>
      <c r="C42" s="65">
        <f t="shared" ref="C42:Z42" si="21">SUM(C43:C49)</f>
        <v>1200</v>
      </c>
      <c r="D42" s="65">
        <f t="shared" si="21"/>
        <v>1100</v>
      </c>
      <c r="E42" s="65">
        <f t="shared" si="21"/>
        <v>200</v>
      </c>
      <c r="F42" s="65">
        <f t="shared" si="21"/>
        <v>1100</v>
      </c>
      <c r="G42" s="65">
        <f t="shared" si="21"/>
        <v>475</v>
      </c>
      <c r="H42" s="65">
        <f t="shared" si="21"/>
        <v>0</v>
      </c>
      <c r="I42" s="65">
        <f t="shared" si="21"/>
        <v>200</v>
      </c>
      <c r="J42" s="65">
        <f t="shared" si="21"/>
        <v>145</v>
      </c>
      <c r="K42" s="65">
        <f t="shared" si="21"/>
        <v>200</v>
      </c>
      <c r="L42" s="65">
        <f t="shared" si="21"/>
        <v>0</v>
      </c>
      <c r="M42" s="65">
        <f t="shared" si="21"/>
        <v>200</v>
      </c>
      <c r="N42" s="65">
        <f t="shared" si="21"/>
        <v>133</v>
      </c>
      <c r="O42" s="65">
        <f t="shared" si="21"/>
        <v>200</v>
      </c>
      <c r="P42" s="65">
        <f t="shared" si="21"/>
        <v>100</v>
      </c>
      <c r="Q42" s="65">
        <f t="shared" si="21"/>
        <v>200</v>
      </c>
      <c r="R42" s="65">
        <f t="shared" si="21"/>
        <v>124</v>
      </c>
      <c r="S42" s="65">
        <f t="shared" si="21"/>
        <v>200</v>
      </c>
      <c r="T42" s="65">
        <f t="shared" si="21"/>
        <v>1000</v>
      </c>
      <c r="U42" s="65">
        <f t="shared" si="21"/>
        <v>1200</v>
      </c>
      <c r="V42" s="65">
        <f t="shared" si="21"/>
        <v>306</v>
      </c>
      <c r="W42" s="65">
        <f t="shared" si="21"/>
        <v>200</v>
      </c>
      <c r="X42" s="65">
        <f t="shared" si="21"/>
        <v>0</v>
      </c>
      <c r="Y42" s="65">
        <f t="shared" si="21"/>
        <v>200</v>
      </c>
      <c r="Z42" s="65">
        <f t="shared" si="21"/>
        <v>50</v>
      </c>
      <c r="AA42" s="47">
        <f t="shared" si="12"/>
        <v>4675</v>
      </c>
      <c r="AB42" s="51">
        <f t="shared" si="13"/>
        <v>4058</v>
      </c>
      <c r="AC42" s="21"/>
      <c r="AD42" s="31">
        <f t="shared" si="14"/>
        <v>4675</v>
      </c>
      <c r="AE42" s="31">
        <f t="shared" si="15"/>
        <v>4058</v>
      </c>
      <c r="AF42" s="17">
        <f t="shared" si="18"/>
        <v>0</v>
      </c>
      <c r="AG42" s="17">
        <f t="shared" si="19"/>
        <v>0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66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</row>
    <row r="43" spans="1:123" s="19" customFormat="1" ht="18" customHeight="1" outlineLevel="2" x14ac:dyDescent="0.25">
      <c r="A43" s="48" t="s">
        <v>120</v>
      </c>
      <c r="B43" s="53"/>
      <c r="C43" s="49">
        <f>'2025年安徽省区利润表'!C43+'2025年江西省区利润表'!C43</f>
        <v>0</v>
      </c>
      <c r="D43" s="49">
        <f>'2025年安徽省区利润表'!D43+'2025年江西省区利润表'!D43</f>
        <v>0</v>
      </c>
      <c r="E43" s="49">
        <f>'2025年安徽省区利润表'!E43+'2025年江西省区利润表'!E43</f>
        <v>0</v>
      </c>
      <c r="F43" s="49">
        <f>'2025年安徽省区利润表'!F43+'2025年江西省区利润表'!F43</f>
        <v>0</v>
      </c>
      <c r="G43" s="49">
        <f>'2025年安徽省区利润表'!G43+'2025年江西省区利润表'!G43</f>
        <v>0</v>
      </c>
      <c r="H43" s="49">
        <f>'2025年安徽省区利润表'!H43+'2025年江西省区利润表'!H43</f>
        <v>0</v>
      </c>
      <c r="I43" s="49">
        <f>'2025年安徽省区利润表'!I43+'2025年江西省区利润表'!I43</f>
        <v>0</v>
      </c>
      <c r="J43" s="49">
        <f>'2025年安徽省区利润表'!J43+'2025年江西省区利润表'!J43</f>
        <v>0</v>
      </c>
      <c r="K43" s="49">
        <f>'2025年安徽省区利润表'!K43+'2025年江西省区利润表'!K43</f>
        <v>0</v>
      </c>
      <c r="L43" s="49">
        <f>'2025年安徽省区利润表'!L43+'2025年江西省区利润表'!L43</f>
        <v>0</v>
      </c>
      <c r="M43" s="49">
        <f>'2025年安徽省区利润表'!M43+'2025年江西省区利润表'!M43</f>
        <v>0</v>
      </c>
      <c r="N43" s="49">
        <f>'2025年安徽省区利润表'!N43+'2025年江西省区利润表'!N43</f>
        <v>0</v>
      </c>
      <c r="O43" s="49">
        <f>'2025年安徽省区利润表'!O43+'2025年江西省区利润表'!O43</f>
        <v>0</v>
      </c>
      <c r="P43" s="49">
        <f>'2025年安徽省区利润表'!P43+'2025年江西省区利润表'!P43</f>
        <v>0</v>
      </c>
      <c r="Q43" s="49">
        <f>'2025年安徽省区利润表'!Q43+'2025年江西省区利润表'!Q43</f>
        <v>0</v>
      </c>
      <c r="R43" s="49">
        <f>'2025年安徽省区利润表'!R43+'2025年江西省区利润表'!R43</f>
        <v>0</v>
      </c>
      <c r="S43" s="49">
        <f>'2025年安徽省区利润表'!S43+'2025年江西省区利润表'!S43</f>
        <v>0</v>
      </c>
      <c r="T43" s="49">
        <f>'2025年安徽省区利润表'!T43+'2025年江西省区利润表'!T43</f>
        <v>0</v>
      </c>
      <c r="U43" s="49">
        <f>'2025年安徽省区利润表'!U43+'2025年江西省区利润表'!U43</f>
        <v>0</v>
      </c>
      <c r="V43" s="49">
        <f>'2025年安徽省区利润表'!V43+'2025年江西省区利润表'!V43</f>
        <v>97</v>
      </c>
      <c r="W43" s="49">
        <f>'2025年安徽省区利润表'!W43+'2025年江西省区利润表'!W43</f>
        <v>0</v>
      </c>
      <c r="X43" s="49">
        <f>'2025年安徽省区利润表'!X43+'2025年江西省区利润表'!X43</f>
        <v>0</v>
      </c>
      <c r="Y43" s="49">
        <f>'2025年安徽省区利润表'!Y43+'2025年江西省区利润表'!Y43</f>
        <v>0</v>
      </c>
      <c r="Z43" s="49">
        <f>'2025年安徽省区利润表'!Z43+'2025年江西省区利润表'!Z43</f>
        <v>0</v>
      </c>
      <c r="AA43" s="51">
        <f t="shared" si="12"/>
        <v>0</v>
      </c>
      <c r="AB43" s="51">
        <f t="shared" si="13"/>
        <v>97</v>
      </c>
      <c r="AC43" s="22"/>
      <c r="AD43" s="31">
        <f t="shared" si="14"/>
        <v>0</v>
      </c>
      <c r="AE43" s="31">
        <f t="shared" si="15"/>
        <v>97</v>
      </c>
      <c r="AF43" s="17">
        <f t="shared" si="18"/>
        <v>0</v>
      </c>
      <c r="AG43" s="17">
        <f t="shared" si="19"/>
        <v>0</v>
      </c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61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</row>
    <row r="44" spans="1:123" s="19" customFormat="1" ht="18" customHeight="1" outlineLevel="2" x14ac:dyDescent="0.25">
      <c r="A44" s="48" t="s">
        <v>121</v>
      </c>
      <c r="B44" s="53"/>
      <c r="C44" s="49">
        <f>'2025年安徽省区利润表'!C44+'2025年江西省区利润表'!C44</f>
        <v>200</v>
      </c>
      <c r="D44" s="49">
        <f>'2025年安徽省区利润表'!D44+'2025年江西省区利润表'!D44</f>
        <v>100</v>
      </c>
      <c r="E44" s="49">
        <f>'2025年安徽省区利润表'!E44+'2025年江西省区利润表'!E44</f>
        <v>200</v>
      </c>
      <c r="F44" s="49">
        <f>'2025年安徽省区利润表'!F44+'2025年江西省区利润表'!F44</f>
        <v>100</v>
      </c>
      <c r="G44" s="49">
        <f>'2025年安徽省区利润表'!G44+'2025年江西省区利润表'!G44</f>
        <v>200</v>
      </c>
      <c r="H44" s="49">
        <f>'2025年安徽省区利润表'!H44+'2025年江西省区利润表'!H44</f>
        <v>0</v>
      </c>
      <c r="I44" s="49">
        <f>'2025年安徽省区利润表'!I44+'2025年江西省区利润表'!I44</f>
        <v>200</v>
      </c>
      <c r="J44" s="49">
        <f>'2025年安徽省区利润表'!J44+'2025年江西省区利润表'!J44</f>
        <v>145</v>
      </c>
      <c r="K44" s="49">
        <f>'2025年安徽省区利润表'!K44+'2025年江西省区利润表'!K44</f>
        <v>200</v>
      </c>
      <c r="L44" s="49">
        <f>'2025年安徽省区利润表'!L44+'2025年江西省区利润表'!L44</f>
        <v>0</v>
      </c>
      <c r="M44" s="49">
        <f>'2025年安徽省区利润表'!M44+'2025年江西省区利润表'!M44</f>
        <v>200</v>
      </c>
      <c r="N44" s="49">
        <f>'2025年安徽省区利润表'!N44+'2025年江西省区利润表'!N44</f>
        <v>133</v>
      </c>
      <c r="O44" s="49">
        <f>'2025年安徽省区利润表'!O44+'2025年江西省区利润表'!O44</f>
        <v>200</v>
      </c>
      <c r="P44" s="49">
        <f>'2025年安徽省区利润表'!P44+'2025年江西省区利润表'!P44</f>
        <v>100</v>
      </c>
      <c r="Q44" s="49">
        <f>'2025年安徽省区利润表'!Q44+'2025年江西省区利润表'!Q44</f>
        <v>200</v>
      </c>
      <c r="R44" s="49">
        <f>'2025年安徽省区利润表'!R44+'2025年江西省区利润表'!R44</f>
        <v>124</v>
      </c>
      <c r="S44" s="49">
        <f>'2025年安徽省区利润表'!S44+'2025年江西省区利润表'!S44</f>
        <v>200</v>
      </c>
      <c r="T44" s="49">
        <f>'2025年安徽省区利润表'!T44+'2025年江西省区利润表'!T44</f>
        <v>0</v>
      </c>
      <c r="U44" s="49">
        <f>'2025年安徽省区利润表'!U44+'2025年江西省区利润表'!U44</f>
        <v>200</v>
      </c>
      <c r="V44" s="49">
        <f>'2025年安徽省区利润表'!V44+'2025年江西省区利润表'!V44</f>
        <v>209</v>
      </c>
      <c r="W44" s="49">
        <f>'2025年安徽省区利润表'!W44+'2025年江西省区利润表'!W44</f>
        <v>200</v>
      </c>
      <c r="X44" s="49">
        <f>'2025年安徽省区利润表'!X44+'2025年江西省区利润表'!X44</f>
        <v>0</v>
      </c>
      <c r="Y44" s="49">
        <f>'2025年安徽省区利润表'!Y44+'2025年江西省区利润表'!Y44</f>
        <v>200</v>
      </c>
      <c r="Z44" s="49">
        <f>'2025年安徽省区利润表'!Z44+'2025年江西省区利润表'!Z44</f>
        <v>50</v>
      </c>
      <c r="AA44" s="51">
        <f t="shared" si="12"/>
        <v>2400</v>
      </c>
      <c r="AB44" s="51">
        <f t="shared" si="13"/>
        <v>961</v>
      </c>
      <c r="AC44" s="22"/>
      <c r="AD44" s="31">
        <f t="shared" si="14"/>
        <v>2400</v>
      </c>
      <c r="AE44" s="31">
        <f t="shared" si="15"/>
        <v>961</v>
      </c>
      <c r="AF44" s="17">
        <f t="shared" si="18"/>
        <v>0</v>
      </c>
      <c r="AG44" s="17">
        <f t="shared" si="19"/>
        <v>0</v>
      </c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61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</row>
    <row r="45" spans="1:123" s="19" customFormat="1" ht="18" customHeight="1" outlineLevel="2" x14ac:dyDescent="0.25">
      <c r="A45" s="48" t="s">
        <v>122</v>
      </c>
      <c r="B45" s="53"/>
      <c r="C45" s="49">
        <f>'2025年安徽省区利润表'!C45+'2025年江西省区利润表'!C45</f>
        <v>0</v>
      </c>
      <c r="D45" s="49">
        <f>'2025年安徽省区利润表'!D45+'2025年江西省区利润表'!D45</f>
        <v>0</v>
      </c>
      <c r="E45" s="49">
        <f>'2025年安徽省区利润表'!E45+'2025年江西省区利润表'!E45</f>
        <v>0</v>
      </c>
      <c r="F45" s="49">
        <f>'2025年安徽省区利润表'!F45+'2025年江西省区利润表'!F45</f>
        <v>0</v>
      </c>
      <c r="G45" s="49">
        <f>'2025年安徽省区利润表'!G45+'2025年江西省区利润表'!G45</f>
        <v>0</v>
      </c>
      <c r="H45" s="49">
        <f>'2025年安徽省区利润表'!H45+'2025年江西省区利润表'!H45</f>
        <v>0</v>
      </c>
      <c r="I45" s="49">
        <f>'2025年安徽省区利润表'!I45+'2025年江西省区利润表'!I45</f>
        <v>0</v>
      </c>
      <c r="J45" s="49">
        <f>'2025年安徽省区利润表'!J45+'2025年江西省区利润表'!J45</f>
        <v>0</v>
      </c>
      <c r="K45" s="49">
        <f>'2025年安徽省区利润表'!K45+'2025年江西省区利润表'!K45</f>
        <v>0</v>
      </c>
      <c r="L45" s="49">
        <f>'2025年安徽省区利润表'!L45+'2025年江西省区利润表'!L45</f>
        <v>0</v>
      </c>
      <c r="M45" s="49">
        <f>'2025年安徽省区利润表'!M45+'2025年江西省区利润表'!M45</f>
        <v>0</v>
      </c>
      <c r="N45" s="49">
        <f>'2025年安徽省区利润表'!N45+'2025年江西省区利润表'!N45</f>
        <v>0</v>
      </c>
      <c r="O45" s="49">
        <f>'2025年安徽省区利润表'!O45+'2025年江西省区利润表'!O45</f>
        <v>0</v>
      </c>
      <c r="P45" s="49">
        <f>'2025年安徽省区利润表'!P45+'2025年江西省区利润表'!P45</f>
        <v>0</v>
      </c>
      <c r="Q45" s="49">
        <f>'2025年安徽省区利润表'!Q45+'2025年江西省区利润表'!Q45</f>
        <v>0</v>
      </c>
      <c r="R45" s="49">
        <f>'2025年安徽省区利润表'!R45+'2025年江西省区利润表'!R45</f>
        <v>0</v>
      </c>
      <c r="S45" s="49">
        <f>'2025年安徽省区利润表'!S45+'2025年江西省区利润表'!S45</f>
        <v>0</v>
      </c>
      <c r="T45" s="49">
        <f>'2025年安徽省区利润表'!T45+'2025年江西省区利润表'!T45</f>
        <v>0</v>
      </c>
      <c r="U45" s="49">
        <f>'2025年安徽省区利润表'!U45+'2025年江西省区利润表'!U45</f>
        <v>0</v>
      </c>
      <c r="V45" s="49">
        <f>'2025年安徽省区利润表'!V45+'2025年江西省区利润表'!V45</f>
        <v>0</v>
      </c>
      <c r="W45" s="49">
        <f>'2025年安徽省区利润表'!W45+'2025年江西省区利润表'!W45</f>
        <v>0</v>
      </c>
      <c r="X45" s="49">
        <f>'2025年安徽省区利润表'!X45+'2025年江西省区利润表'!X45</f>
        <v>0</v>
      </c>
      <c r="Y45" s="49">
        <f>'2025年安徽省区利润表'!Y45+'2025年江西省区利润表'!Y45</f>
        <v>0</v>
      </c>
      <c r="Z45" s="49">
        <f>'2025年安徽省区利润表'!Z45+'2025年江西省区利润表'!Z45</f>
        <v>0</v>
      </c>
      <c r="AA45" s="51">
        <f t="shared" si="12"/>
        <v>0</v>
      </c>
      <c r="AB45" s="51">
        <f t="shared" si="13"/>
        <v>0</v>
      </c>
      <c r="AC45" s="22"/>
      <c r="AD45" s="31">
        <f t="shared" si="14"/>
        <v>0</v>
      </c>
      <c r="AE45" s="31">
        <f t="shared" si="15"/>
        <v>0</v>
      </c>
      <c r="AF45" s="17">
        <f t="shared" si="18"/>
        <v>0</v>
      </c>
      <c r="AG45" s="17">
        <f t="shared" si="19"/>
        <v>0</v>
      </c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61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</row>
    <row r="46" spans="1:123" s="19" customFormat="1" ht="18" customHeight="1" outlineLevel="2" x14ac:dyDescent="0.25">
      <c r="A46" s="48" t="s">
        <v>123</v>
      </c>
      <c r="B46" s="53"/>
      <c r="C46" s="49">
        <f>'2025年安徽省区利润表'!C46+'2025年江西省区利润表'!C46</f>
        <v>1000</v>
      </c>
      <c r="D46" s="49">
        <f>'2025年安徽省区利润表'!D46+'2025年江西省区利润表'!D46</f>
        <v>1000</v>
      </c>
      <c r="E46" s="49">
        <f>'2025年安徽省区利润表'!E46+'2025年江西省区利润表'!E46</f>
        <v>0</v>
      </c>
      <c r="F46" s="49">
        <f>'2025年安徽省区利润表'!F46+'2025年江西省区利润表'!F46</f>
        <v>0</v>
      </c>
      <c r="G46" s="49">
        <f>'2025年安徽省区利润表'!G46+'2025年江西省区利润表'!G46</f>
        <v>0</v>
      </c>
      <c r="H46" s="49">
        <f>'2025年安徽省区利润表'!H46+'2025年江西省区利润表'!H46</f>
        <v>0</v>
      </c>
      <c r="I46" s="49">
        <f>'2025年安徽省区利润表'!I46+'2025年江西省区利润表'!I46</f>
        <v>0</v>
      </c>
      <c r="J46" s="49">
        <f>'2025年安徽省区利润表'!J46+'2025年江西省区利润表'!J46</f>
        <v>0</v>
      </c>
      <c r="K46" s="49">
        <f>'2025年安徽省区利润表'!K46+'2025年江西省区利润表'!K46</f>
        <v>0</v>
      </c>
      <c r="L46" s="49">
        <f>'2025年安徽省区利润表'!L46+'2025年江西省区利润表'!L46</f>
        <v>0</v>
      </c>
      <c r="M46" s="49">
        <f>'2025年安徽省区利润表'!M46+'2025年江西省区利润表'!M46</f>
        <v>0</v>
      </c>
      <c r="N46" s="49">
        <f>'2025年安徽省区利润表'!N46+'2025年江西省区利润表'!N46</f>
        <v>0</v>
      </c>
      <c r="O46" s="49">
        <f>'2025年安徽省区利润表'!O46+'2025年江西省区利润表'!O46</f>
        <v>0</v>
      </c>
      <c r="P46" s="49">
        <f>'2025年安徽省区利润表'!P46+'2025年江西省区利润表'!P46</f>
        <v>0</v>
      </c>
      <c r="Q46" s="49">
        <f>'2025年安徽省区利润表'!Q46+'2025年江西省区利润表'!Q46</f>
        <v>0</v>
      </c>
      <c r="R46" s="49">
        <f>'2025年安徽省区利润表'!R46+'2025年江西省区利润表'!R46</f>
        <v>0</v>
      </c>
      <c r="S46" s="49">
        <f>'2025年安徽省区利润表'!S46+'2025年江西省区利润表'!S46</f>
        <v>0</v>
      </c>
      <c r="T46" s="49">
        <f>'2025年安徽省区利润表'!T46+'2025年江西省区利润表'!T46</f>
        <v>1000</v>
      </c>
      <c r="U46" s="49">
        <f>'2025年安徽省区利润表'!U46+'2025年江西省区利润表'!U46</f>
        <v>1000</v>
      </c>
      <c r="V46" s="49">
        <f>'2025年安徽省区利润表'!V46+'2025年江西省区利润表'!V46</f>
        <v>0</v>
      </c>
      <c r="W46" s="49">
        <f>'2025年安徽省区利润表'!W46+'2025年江西省区利润表'!W46</f>
        <v>0</v>
      </c>
      <c r="X46" s="49">
        <f>'2025年安徽省区利润表'!X46+'2025年江西省区利润表'!X46</f>
        <v>0</v>
      </c>
      <c r="Y46" s="49">
        <f>'2025年安徽省区利润表'!Y46+'2025年江西省区利润表'!Y46</f>
        <v>0</v>
      </c>
      <c r="Z46" s="49">
        <f>'2025年安徽省区利润表'!Z46+'2025年江西省区利润表'!Z46</f>
        <v>0</v>
      </c>
      <c r="AA46" s="51">
        <f t="shared" si="12"/>
        <v>2000</v>
      </c>
      <c r="AB46" s="51">
        <f t="shared" si="13"/>
        <v>2000</v>
      </c>
      <c r="AC46" s="22"/>
      <c r="AD46" s="31">
        <f t="shared" si="14"/>
        <v>2000</v>
      </c>
      <c r="AE46" s="31">
        <f t="shared" si="15"/>
        <v>2000</v>
      </c>
      <c r="AF46" s="17">
        <f t="shared" si="18"/>
        <v>0</v>
      </c>
      <c r="AG46" s="17">
        <f t="shared" si="19"/>
        <v>0</v>
      </c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61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</row>
    <row r="47" spans="1:123" s="19" customFormat="1" ht="18" customHeight="1" outlineLevel="2" x14ac:dyDescent="0.25">
      <c r="A47" s="48" t="s">
        <v>124</v>
      </c>
      <c r="B47" s="53"/>
      <c r="C47" s="49">
        <f>'2025年安徽省区利润表'!C47+'2025年江西省区利润表'!C47</f>
        <v>0</v>
      </c>
      <c r="D47" s="49">
        <f>'2025年安徽省区利润表'!D47+'2025年江西省区利润表'!D47</f>
        <v>0</v>
      </c>
      <c r="E47" s="49">
        <f>'2025年安徽省区利润表'!E47+'2025年江西省区利润表'!E47</f>
        <v>0</v>
      </c>
      <c r="F47" s="49">
        <f>'2025年安徽省区利润表'!F47+'2025年江西省区利润表'!F47</f>
        <v>0</v>
      </c>
      <c r="G47" s="49">
        <f>'2025年安徽省区利润表'!G47+'2025年江西省区利润表'!G47</f>
        <v>275</v>
      </c>
      <c r="H47" s="49">
        <f>'2025年安徽省区利润表'!H47+'2025年江西省区利润表'!H47</f>
        <v>0</v>
      </c>
      <c r="I47" s="49">
        <f>'2025年安徽省区利润表'!I47+'2025年江西省区利润表'!I47</f>
        <v>0</v>
      </c>
      <c r="J47" s="49">
        <f>'2025年安徽省区利润表'!J47+'2025年江西省区利润表'!J47</f>
        <v>0</v>
      </c>
      <c r="K47" s="49">
        <f>'2025年安徽省区利润表'!K47+'2025年江西省区利润表'!K47</f>
        <v>0</v>
      </c>
      <c r="L47" s="49">
        <f>'2025年安徽省区利润表'!L47+'2025年江西省区利润表'!L47</f>
        <v>0</v>
      </c>
      <c r="M47" s="49">
        <f>'2025年安徽省区利润表'!M47+'2025年江西省区利润表'!M47</f>
        <v>0</v>
      </c>
      <c r="N47" s="49">
        <f>'2025年安徽省区利润表'!N47+'2025年江西省区利润表'!N47</f>
        <v>0</v>
      </c>
      <c r="O47" s="49">
        <f>'2025年安徽省区利润表'!O47+'2025年江西省区利润表'!O47</f>
        <v>0</v>
      </c>
      <c r="P47" s="49">
        <f>'2025年安徽省区利润表'!P47+'2025年江西省区利润表'!P47</f>
        <v>0</v>
      </c>
      <c r="Q47" s="49">
        <f>'2025年安徽省区利润表'!Q47+'2025年江西省区利润表'!Q47</f>
        <v>0</v>
      </c>
      <c r="R47" s="49">
        <f>'2025年安徽省区利润表'!R47+'2025年江西省区利润表'!R47</f>
        <v>0</v>
      </c>
      <c r="S47" s="49">
        <f>'2025年安徽省区利润表'!S47+'2025年江西省区利润表'!S47</f>
        <v>0</v>
      </c>
      <c r="T47" s="49">
        <f>'2025年安徽省区利润表'!T47+'2025年江西省区利润表'!T47</f>
        <v>0</v>
      </c>
      <c r="U47" s="49">
        <f>'2025年安徽省区利润表'!U47+'2025年江西省区利润表'!U47</f>
        <v>0</v>
      </c>
      <c r="V47" s="49">
        <f>'2025年安徽省区利润表'!V47+'2025年江西省区利润表'!V47</f>
        <v>0</v>
      </c>
      <c r="W47" s="49">
        <f>'2025年安徽省区利润表'!W47+'2025年江西省区利润表'!W47</f>
        <v>0</v>
      </c>
      <c r="X47" s="49">
        <f>'2025年安徽省区利润表'!X47+'2025年江西省区利润表'!X47</f>
        <v>0</v>
      </c>
      <c r="Y47" s="49">
        <f>'2025年安徽省区利润表'!Y47+'2025年江西省区利润表'!Y47</f>
        <v>0</v>
      </c>
      <c r="Z47" s="49">
        <f>'2025年安徽省区利润表'!Z47+'2025年江西省区利润表'!Z47</f>
        <v>0</v>
      </c>
      <c r="AA47" s="51">
        <f t="shared" si="12"/>
        <v>275</v>
      </c>
      <c r="AB47" s="51">
        <f t="shared" si="13"/>
        <v>0</v>
      </c>
      <c r="AC47" s="22"/>
      <c r="AD47" s="31">
        <f t="shared" si="14"/>
        <v>275</v>
      </c>
      <c r="AE47" s="31">
        <f t="shared" si="15"/>
        <v>0</v>
      </c>
      <c r="AF47" s="17">
        <f t="shared" si="18"/>
        <v>0</v>
      </c>
      <c r="AG47" s="17">
        <f t="shared" si="19"/>
        <v>0</v>
      </c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61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</row>
    <row r="48" spans="1:123" s="19" customFormat="1" ht="18" customHeight="1" outlineLevel="2" x14ac:dyDescent="0.25">
      <c r="A48" s="48" t="s">
        <v>125</v>
      </c>
      <c r="B48" s="53"/>
      <c r="C48" s="49">
        <f>'2025年安徽省区利润表'!C48+'2025年江西省区利润表'!C48</f>
        <v>0</v>
      </c>
      <c r="D48" s="49">
        <f>'2025年安徽省区利润表'!D48+'2025年江西省区利润表'!D48</f>
        <v>0</v>
      </c>
      <c r="E48" s="49">
        <f>'2025年安徽省区利润表'!E48+'2025年江西省区利润表'!E48</f>
        <v>0</v>
      </c>
      <c r="F48" s="49">
        <f>'2025年安徽省区利润表'!F48+'2025年江西省区利润表'!F48</f>
        <v>1000</v>
      </c>
      <c r="G48" s="49">
        <f>'2025年安徽省区利润表'!G48+'2025年江西省区利润表'!G48</f>
        <v>0</v>
      </c>
      <c r="H48" s="49">
        <f>'2025年安徽省区利润表'!H48+'2025年江西省区利润表'!H48</f>
        <v>0</v>
      </c>
      <c r="I48" s="49">
        <f>'2025年安徽省区利润表'!I48+'2025年江西省区利润表'!I48</f>
        <v>0</v>
      </c>
      <c r="J48" s="49">
        <f>'2025年安徽省区利润表'!J48+'2025年江西省区利润表'!J48</f>
        <v>0</v>
      </c>
      <c r="K48" s="49">
        <f>'2025年安徽省区利润表'!K48+'2025年江西省区利润表'!K48</f>
        <v>0</v>
      </c>
      <c r="L48" s="49">
        <f>'2025年安徽省区利润表'!L48+'2025年江西省区利润表'!L48</f>
        <v>0</v>
      </c>
      <c r="M48" s="49">
        <f>'2025年安徽省区利润表'!M48+'2025年江西省区利润表'!M48</f>
        <v>0</v>
      </c>
      <c r="N48" s="49">
        <f>'2025年安徽省区利润表'!N48+'2025年江西省区利润表'!N48</f>
        <v>0</v>
      </c>
      <c r="O48" s="49">
        <f>'2025年安徽省区利润表'!O48+'2025年江西省区利润表'!O48</f>
        <v>0</v>
      </c>
      <c r="P48" s="49">
        <f>'2025年安徽省区利润表'!P48+'2025年江西省区利润表'!P48</f>
        <v>0</v>
      </c>
      <c r="Q48" s="49">
        <f>'2025年安徽省区利润表'!Q48+'2025年江西省区利润表'!Q48</f>
        <v>0</v>
      </c>
      <c r="R48" s="49">
        <f>'2025年安徽省区利润表'!R48+'2025年江西省区利润表'!R48</f>
        <v>0</v>
      </c>
      <c r="S48" s="49">
        <f>'2025年安徽省区利润表'!S48+'2025年江西省区利润表'!S48</f>
        <v>0</v>
      </c>
      <c r="T48" s="49">
        <f>'2025年安徽省区利润表'!T48+'2025年江西省区利润表'!T48</f>
        <v>0</v>
      </c>
      <c r="U48" s="49">
        <f>'2025年安徽省区利润表'!U48+'2025年江西省区利润表'!U48</f>
        <v>0</v>
      </c>
      <c r="V48" s="49">
        <f>'2025年安徽省区利润表'!V48+'2025年江西省区利润表'!V48</f>
        <v>0</v>
      </c>
      <c r="W48" s="49">
        <f>'2025年安徽省区利润表'!W48+'2025年江西省区利润表'!W48</f>
        <v>0</v>
      </c>
      <c r="X48" s="49">
        <f>'2025年安徽省区利润表'!X48+'2025年江西省区利润表'!X48</f>
        <v>0</v>
      </c>
      <c r="Y48" s="49">
        <f>'2025年安徽省区利润表'!Y48+'2025年江西省区利润表'!Y48</f>
        <v>0</v>
      </c>
      <c r="Z48" s="49">
        <f>'2025年安徽省区利润表'!Z48+'2025年江西省区利润表'!Z48</f>
        <v>0</v>
      </c>
      <c r="AA48" s="51">
        <f t="shared" si="12"/>
        <v>0</v>
      </c>
      <c r="AB48" s="51">
        <f t="shared" si="13"/>
        <v>1000</v>
      </c>
      <c r="AC48" s="22"/>
      <c r="AD48" s="31">
        <f t="shared" si="14"/>
        <v>0</v>
      </c>
      <c r="AE48" s="31">
        <f t="shared" si="15"/>
        <v>1000</v>
      </c>
      <c r="AF48" s="17">
        <f t="shared" si="18"/>
        <v>0</v>
      </c>
      <c r="AG48" s="17">
        <f t="shared" si="19"/>
        <v>0</v>
      </c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61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</row>
    <row r="49" spans="1:123" s="19" customFormat="1" ht="18" customHeight="1" outlineLevel="2" x14ac:dyDescent="0.25">
      <c r="A49" s="48" t="s">
        <v>126</v>
      </c>
      <c r="B49" s="53"/>
      <c r="C49" s="49">
        <f>'2025年安徽省区利润表'!C49+'2025年江西省区利润表'!C49</f>
        <v>0</v>
      </c>
      <c r="D49" s="49">
        <f>'2025年安徽省区利润表'!D49+'2025年江西省区利润表'!D49</f>
        <v>0</v>
      </c>
      <c r="E49" s="49">
        <f>'2025年安徽省区利润表'!E49+'2025年江西省区利润表'!E49</f>
        <v>0</v>
      </c>
      <c r="F49" s="49">
        <f>'2025年安徽省区利润表'!F49+'2025年江西省区利润表'!F49</f>
        <v>0</v>
      </c>
      <c r="G49" s="49">
        <f>'2025年安徽省区利润表'!G49+'2025年江西省区利润表'!G49</f>
        <v>0</v>
      </c>
      <c r="H49" s="49">
        <f>'2025年安徽省区利润表'!H49+'2025年江西省区利润表'!H49</f>
        <v>0</v>
      </c>
      <c r="I49" s="49">
        <f>'2025年安徽省区利润表'!I49+'2025年江西省区利润表'!I49</f>
        <v>0</v>
      </c>
      <c r="J49" s="49">
        <f>'2025年安徽省区利润表'!J49+'2025年江西省区利润表'!J49</f>
        <v>0</v>
      </c>
      <c r="K49" s="49">
        <f>'2025年安徽省区利润表'!K49+'2025年江西省区利润表'!K49</f>
        <v>0</v>
      </c>
      <c r="L49" s="49">
        <f>'2025年安徽省区利润表'!L49+'2025年江西省区利润表'!L49</f>
        <v>0</v>
      </c>
      <c r="M49" s="49">
        <f>'2025年安徽省区利润表'!M49+'2025年江西省区利润表'!M49</f>
        <v>0</v>
      </c>
      <c r="N49" s="49">
        <f>'2025年安徽省区利润表'!N49+'2025年江西省区利润表'!N49</f>
        <v>0</v>
      </c>
      <c r="O49" s="49">
        <f>'2025年安徽省区利润表'!O49+'2025年江西省区利润表'!O49</f>
        <v>0</v>
      </c>
      <c r="P49" s="49">
        <f>'2025年安徽省区利润表'!P49+'2025年江西省区利润表'!P49</f>
        <v>0</v>
      </c>
      <c r="Q49" s="49">
        <f>'2025年安徽省区利润表'!Q49+'2025年江西省区利润表'!Q49</f>
        <v>0</v>
      </c>
      <c r="R49" s="49">
        <f>'2025年安徽省区利润表'!R49+'2025年江西省区利润表'!R49</f>
        <v>0</v>
      </c>
      <c r="S49" s="49">
        <f>'2025年安徽省区利润表'!S49+'2025年江西省区利润表'!S49</f>
        <v>0</v>
      </c>
      <c r="T49" s="49">
        <f>'2025年安徽省区利润表'!T49+'2025年江西省区利润表'!T49</f>
        <v>0</v>
      </c>
      <c r="U49" s="49">
        <f>'2025年安徽省区利润表'!U49+'2025年江西省区利润表'!U49</f>
        <v>0</v>
      </c>
      <c r="V49" s="49">
        <f>'2025年安徽省区利润表'!V49+'2025年江西省区利润表'!V49</f>
        <v>0</v>
      </c>
      <c r="W49" s="49">
        <f>'2025年安徽省区利润表'!W49+'2025年江西省区利润表'!W49</f>
        <v>0</v>
      </c>
      <c r="X49" s="49">
        <f>'2025年安徽省区利润表'!X49+'2025年江西省区利润表'!X49</f>
        <v>0</v>
      </c>
      <c r="Y49" s="49">
        <f>'2025年安徽省区利润表'!Y49+'2025年江西省区利润表'!Y49</f>
        <v>0</v>
      </c>
      <c r="Z49" s="49">
        <f>'2025年安徽省区利润表'!Z49+'2025年江西省区利润表'!Z49</f>
        <v>0</v>
      </c>
      <c r="AA49" s="51">
        <f t="shared" si="12"/>
        <v>0</v>
      </c>
      <c r="AB49" s="51">
        <f t="shared" si="13"/>
        <v>0</v>
      </c>
      <c r="AC49" s="22"/>
      <c r="AD49" s="31">
        <f t="shared" si="14"/>
        <v>0</v>
      </c>
      <c r="AE49" s="31">
        <f t="shared" si="15"/>
        <v>0</v>
      </c>
      <c r="AF49" s="17">
        <f t="shared" si="18"/>
        <v>0</v>
      </c>
      <c r="AG49" s="17">
        <f t="shared" si="19"/>
        <v>0</v>
      </c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61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</row>
    <row r="50" spans="1:123" s="19" customFormat="1" ht="18" customHeight="1" outlineLevel="1" x14ac:dyDescent="0.25">
      <c r="A50" s="48" t="s">
        <v>127</v>
      </c>
      <c r="B50" s="53"/>
      <c r="C50" s="49">
        <f>'2025年安徽省区利润表'!C50+'2025年江西省区利润表'!C50</f>
        <v>0</v>
      </c>
      <c r="D50" s="49">
        <f>'2025年安徽省区利润表'!D50+'2025年江西省区利润表'!D50</f>
        <v>0</v>
      </c>
      <c r="E50" s="49">
        <f>'2025年安徽省区利润表'!E50+'2025年江西省区利润表'!E50</f>
        <v>0</v>
      </c>
      <c r="F50" s="49">
        <f>'2025年安徽省区利润表'!F50+'2025年江西省区利润表'!F50</f>
        <v>0</v>
      </c>
      <c r="G50" s="49">
        <f>'2025年安徽省区利润表'!G50+'2025年江西省区利润表'!G50</f>
        <v>0</v>
      </c>
      <c r="H50" s="49">
        <f>'2025年安徽省区利润表'!H50+'2025年江西省区利润表'!H50</f>
        <v>0</v>
      </c>
      <c r="I50" s="49">
        <f>'2025年安徽省区利润表'!I50+'2025年江西省区利润表'!I50</f>
        <v>0</v>
      </c>
      <c r="J50" s="49">
        <f>'2025年安徽省区利润表'!J50+'2025年江西省区利润表'!J50</f>
        <v>0</v>
      </c>
      <c r="K50" s="49">
        <f>'2025年安徽省区利润表'!K50+'2025年江西省区利润表'!K50</f>
        <v>0</v>
      </c>
      <c r="L50" s="49">
        <f>'2025年安徽省区利润表'!L50+'2025年江西省区利润表'!L50</f>
        <v>0</v>
      </c>
      <c r="M50" s="49">
        <f>'2025年安徽省区利润表'!M50+'2025年江西省区利润表'!M50</f>
        <v>0</v>
      </c>
      <c r="N50" s="49">
        <f>'2025年安徽省区利润表'!N50+'2025年江西省区利润表'!N50</f>
        <v>0</v>
      </c>
      <c r="O50" s="49">
        <f>'2025年安徽省区利润表'!O50+'2025年江西省区利润表'!O50</f>
        <v>0</v>
      </c>
      <c r="P50" s="49">
        <f>'2025年安徽省区利润表'!P50+'2025年江西省区利润表'!P50</f>
        <v>0</v>
      </c>
      <c r="Q50" s="49">
        <f>'2025年安徽省区利润表'!Q50+'2025年江西省区利润表'!Q50</f>
        <v>0</v>
      </c>
      <c r="R50" s="49">
        <f>'2025年安徽省区利润表'!R50+'2025年江西省区利润表'!R50</f>
        <v>0</v>
      </c>
      <c r="S50" s="49">
        <f>'2025年安徽省区利润表'!S50+'2025年江西省区利润表'!S50</f>
        <v>0</v>
      </c>
      <c r="T50" s="49">
        <f>'2025年安徽省区利润表'!T50+'2025年江西省区利润表'!T50</f>
        <v>0</v>
      </c>
      <c r="U50" s="49">
        <f>'2025年安徽省区利润表'!U50+'2025年江西省区利润表'!U50</f>
        <v>0</v>
      </c>
      <c r="V50" s="49">
        <f>'2025年安徽省区利润表'!V50+'2025年江西省区利润表'!V50</f>
        <v>0</v>
      </c>
      <c r="W50" s="49">
        <f>'2025年安徽省区利润表'!W50+'2025年江西省区利润表'!W50</f>
        <v>0</v>
      </c>
      <c r="X50" s="49">
        <f>'2025年安徽省区利润表'!X50+'2025年江西省区利润表'!X50</f>
        <v>0</v>
      </c>
      <c r="Y50" s="49">
        <f>'2025年安徽省区利润表'!Y50+'2025年江西省区利润表'!Y50</f>
        <v>0</v>
      </c>
      <c r="Z50" s="49">
        <f>'2025年安徽省区利润表'!Z50+'2025年江西省区利润表'!Z50</f>
        <v>0</v>
      </c>
      <c r="AA50" s="51">
        <f t="shared" si="12"/>
        <v>0</v>
      </c>
      <c r="AB50" s="51">
        <f t="shared" si="13"/>
        <v>0</v>
      </c>
      <c r="AC50" s="22"/>
      <c r="AD50" s="31">
        <f t="shared" si="14"/>
        <v>0</v>
      </c>
      <c r="AE50" s="31">
        <f t="shared" si="15"/>
        <v>0</v>
      </c>
      <c r="AF50" s="17">
        <f t="shared" si="18"/>
        <v>0</v>
      </c>
      <c r="AG50" s="17">
        <f t="shared" si="19"/>
        <v>0</v>
      </c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61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</row>
    <row r="51" spans="1:123" s="19" customFormat="1" ht="18" customHeight="1" outlineLevel="1" x14ac:dyDescent="0.25">
      <c r="A51" s="48" t="s">
        <v>128</v>
      </c>
      <c r="B51" s="53"/>
      <c r="C51" s="49">
        <f>'2025年安徽省区利润表'!C51+'2025年江西省区利润表'!C51</f>
        <v>0</v>
      </c>
      <c r="D51" s="49">
        <f>'2025年安徽省区利润表'!D51+'2025年江西省区利润表'!D51</f>
        <v>0</v>
      </c>
      <c r="E51" s="49">
        <f>'2025年安徽省区利润表'!E51+'2025年江西省区利润表'!E51</f>
        <v>0</v>
      </c>
      <c r="F51" s="49">
        <f>'2025年安徽省区利润表'!F51+'2025年江西省区利润表'!F51</f>
        <v>0</v>
      </c>
      <c r="G51" s="49">
        <f>'2025年安徽省区利润表'!G51+'2025年江西省区利润表'!G51</f>
        <v>0</v>
      </c>
      <c r="H51" s="49">
        <f>'2025年安徽省区利润表'!H51+'2025年江西省区利润表'!H51</f>
        <v>0</v>
      </c>
      <c r="I51" s="49">
        <f>'2025年安徽省区利润表'!I51+'2025年江西省区利润表'!I51</f>
        <v>0</v>
      </c>
      <c r="J51" s="49">
        <f>'2025年安徽省区利润表'!J51+'2025年江西省区利润表'!J51</f>
        <v>0</v>
      </c>
      <c r="K51" s="49">
        <f>'2025年安徽省区利润表'!K51+'2025年江西省区利润表'!K51</f>
        <v>0</v>
      </c>
      <c r="L51" s="49">
        <f>'2025年安徽省区利润表'!L51+'2025年江西省区利润表'!L51</f>
        <v>0</v>
      </c>
      <c r="M51" s="49">
        <f>'2025年安徽省区利润表'!M51+'2025年江西省区利润表'!M51</f>
        <v>0</v>
      </c>
      <c r="N51" s="49">
        <f>'2025年安徽省区利润表'!N51+'2025年江西省区利润表'!N51</f>
        <v>0</v>
      </c>
      <c r="O51" s="49">
        <f>'2025年安徽省区利润表'!O51+'2025年江西省区利润表'!O51</f>
        <v>0</v>
      </c>
      <c r="P51" s="49">
        <f>'2025年安徽省区利润表'!P51+'2025年江西省区利润表'!P51</f>
        <v>0</v>
      </c>
      <c r="Q51" s="49">
        <f>'2025年安徽省区利润表'!Q51+'2025年江西省区利润表'!Q51</f>
        <v>0</v>
      </c>
      <c r="R51" s="49">
        <f>'2025年安徽省区利润表'!R51+'2025年江西省区利润表'!R51</f>
        <v>0</v>
      </c>
      <c r="S51" s="49">
        <f>'2025年安徽省区利润表'!S51+'2025年江西省区利润表'!S51</f>
        <v>0</v>
      </c>
      <c r="T51" s="49">
        <f>'2025年安徽省区利润表'!T51+'2025年江西省区利润表'!T51</f>
        <v>0</v>
      </c>
      <c r="U51" s="49">
        <f>'2025年安徽省区利润表'!U51+'2025年江西省区利润表'!U51</f>
        <v>0</v>
      </c>
      <c r="V51" s="49">
        <f>'2025年安徽省区利润表'!V51+'2025年江西省区利润表'!V51</f>
        <v>0</v>
      </c>
      <c r="W51" s="49">
        <f>'2025年安徽省区利润表'!W51+'2025年江西省区利润表'!W51</f>
        <v>0</v>
      </c>
      <c r="X51" s="49">
        <f>'2025年安徽省区利润表'!X51+'2025年江西省区利润表'!X51</f>
        <v>0</v>
      </c>
      <c r="Y51" s="49">
        <f>'2025年安徽省区利润表'!Y51+'2025年江西省区利润表'!Y51</f>
        <v>0</v>
      </c>
      <c r="Z51" s="49">
        <f>'2025年安徽省区利润表'!Z51+'2025年江西省区利润表'!Z51</f>
        <v>0</v>
      </c>
      <c r="AA51" s="51">
        <f t="shared" si="12"/>
        <v>0</v>
      </c>
      <c r="AB51" s="51">
        <f t="shared" si="13"/>
        <v>0</v>
      </c>
      <c r="AC51" s="22"/>
      <c r="AD51" s="31">
        <f t="shared" si="14"/>
        <v>0</v>
      </c>
      <c r="AE51" s="31">
        <f t="shared" si="15"/>
        <v>0</v>
      </c>
      <c r="AF51" s="17">
        <f t="shared" si="18"/>
        <v>0</v>
      </c>
      <c r="AG51" s="17">
        <f t="shared" si="19"/>
        <v>0</v>
      </c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61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</row>
    <row r="52" spans="1:123" s="19" customFormat="1" ht="18" customHeight="1" outlineLevel="1" x14ac:dyDescent="0.25">
      <c r="A52" s="48" t="s">
        <v>129</v>
      </c>
      <c r="B52" s="53"/>
      <c r="C52" s="49">
        <f>'2025年安徽省区利润表'!C52+'2025年江西省区利润表'!C52</f>
        <v>0</v>
      </c>
      <c r="D52" s="49">
        <f>'2025年安徽省区利润表'!D52+'2025年江西省区利润表'!D52</f>
        <v>0</v>
      </c>
      <c r="E52" s="49">
        <f>'2025年安徽省区利润表'!E52+'2025年江西省区利润表'!E52</f>
        <v>0</v>
      </c>
      <c r="F52" s="49">
        <f>'2025年安徽省区利润表'!F52+'2025年江西省区利润表'!F52</f>
        <v>0</v>
      </c>
      <c r="G52" s="49">
        <f>'2025年安徽省区利润表'!G52+'2025年江西省区利润表'!G52</f>
        <v>0</v>
      </c>
      <c r="H52" s="49">
        <f>'2025年安徽省区利润表'!H52+'2025年江西省区利润表'!H52</f>
        <v>0</v>
      </c>
      <c r="I52" s="49">
        <f>'2025年安徽省区利润表'!I52+'2025年江西省区利润表'!I52</f>
        <v>0</v>
      </c>
      <c r="J52" s="49">
        <f>'2025年安徽省区利润表'!J52+'2025年江西省区利润表'!J52</f>
        <v>0</v>
      </c>
      <c r="K52" s="49">
        <f>'2025年安徽省区利润表'!K52+'2025年江西省区利润表'!K52</f>
        <v>0</v>
      </c>
      <c r="L52" s="49">
        <f>'2025年安徽省区利润表'!L52+'2025年江西省区利润表'!L52</f>
        <v>0</v>
      </c>
      <c r="M52" s="49">
        <f>'2025年安徽省区利润表'!M52+'2025年江西省区利润表'!M52</f>
        <v>0</v>
      </c>
      <c r="N52" s="49">
        <f>'2025年安徽省区利润表'!N52+'2025年江西省区利润表'!N52</f>
        <v>0</v>
      </c>
      <c r="O52" s="49">
        <f>'2025年安徽省区利润表'!O52+'2025年江西省区利润表'!O52</f>
        <v>0</v>
      </c>
      <c r="P52" s="49">
        <f>'2025年安徽省区利润表'!P52+'2025年江西省区利润表'!P52</f>
        <v>0</v>
      </c>
      <c r="Q52" s="49">
        <f>'2025年安徽省区利润表'!Q52+'2025年江西省区利润表'!Q52</f>
        <v>0</v>
      </c>
      <c r="R52" s="49">
        <f>'2025年安徽省区利润表'!R52+'2025年江西省区利润表'!R52</f>
        <v>0</v>
      </c>
      <c r="S52" s="49">
        <f>'2025年安徽省区利润表'!S52+'2025年江西省区利润表'!S52</f>
        <v>0</v>
      </c>
      <c r="T52" s="49">
        <f>'2025年安徽省区利润表'!T52+'2025年江西省区利润表'!T52</f>
        <v>0</v>
      </c>
      <c r="U52" s="49">
        <f>'2025年安徽省区利润表'!U52+'2025年江西省区利润表'!U52</f>
        <v>0</v>
      </c>
      <c r="V52" s="49">
        <f>'2025年安徽省区利润表'!V52+'2025年江西省区利润表'!V52</f>
        <v>0</v>
      </c>
      <c r="W52" s="49">
        <f>'2025年安徽省区利润表'!W52+'2025年江西省区利润表'!W52</f>
        <v>0</v>
      </c>
      <c r="X52" s="49">
        <f>'2025年安徽省区利润表'!X52+'2025年江西省区利润表'!X52</f>
        <v>0</v>
      </c>
      <c r="Y52" s="49">
        <f>'2025年安徽省区利润表'!Y52+'2025年江西省区利润表'!Y52</f>
        <v>0</v>
      </c>
      <c r="Z52" s="49">
        <f>'2025年安徽省区利润表'!Z52+'2025年江西省区利润表'!Z52</f>
        <v>0</v>
      </c>
      <c r="AA52" s="51">
        <f t="shared" si="12"/>
        <v>0</v>
      </c>
      <c r="AB52" s="51">
        <f t="shared" si="13"/>
        <v>0</v>
      </c>
      <c r="AC52" s="22"/>
      <c r="AD52" s="31">
        <f t="shared" si="14"/>
        <v>0</v>
      </c>
      <c r="AE52" s="31">
        <f t="shared" si="15"/>
        <v>0</v>
      </c>
      <c r="AF52" s="17">
        <f t="shared" si="18"/>
        <v>0</v>
      </c>
      <c r="AG52" s="17">
        <f t="shared" si="19"/>
        <v>0</v>
      </c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61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</row>
    <row r="53" spans="1:123" s="17" customFormat="1" ht="18" customHeight="1" outlineLevel="1" x14ac:dyDescent="0.25">
      <c r="A53" s="67" t="s">
        <v>130</v>
      </c>
      <c r="B53" s="45"/>
      <c r="C53" s="65">
        <f t="shared" ref="C53:Z53" si="22">SUM(C54:C58)</f>
        <v>20890</v>
      </c>
      <c r="D53" s="65">
        <f t="shared" si="22"/>
        <v>8609.36</v>
      </c>
      <c r="E53" s="65">
        <f t="shared" si="22"/>
        <v>20890</v>
      </c>
      <c r="F53" s="65">
        <f t="shared" si="22"/>
        <v>11271.119999999999</v>
      </c>
      <c r="G53" s="65">
        <f t="shared" si="22"/>
        <v>20890</v>
      </c>
      <c r="H53" s="65">
        <f t="shared" si="22"/>
        <v>21578.92</v>
      </c>
      <c r="I53" s="65">
        <f t="shared" si="22"/>
        <v>20890</v>
      </c>
      <c r="J53" s="65">
        <f t="shared" si="22"/>
        <v>24019.510000000002</v>
      </c>
      <c r="K53" s="65">
        <f t="shared" si="22"/>
        <v>20890</v>
      </c>
      <c r="L53" s="65">
        <f t="shared" si="22"/>
        <v>20267.64</v>
      </c>
      <c r="M53" s="65">
        <f t="shared" si="22"/>
        <v>20890</v>
      </c>
      <c r="N53" s="65">
        <f t="shared" si="22"/>
        <v>21315.5</v>
      </c>
      <c r="O53" s="65">
        <f t="shared" si="22"/>
        <v>20890</v>
      </c>
      <c r="P53" s="65">
        <f t="shared" si="22"/>
        <v>23492.080000000002</v>
      </c>
      <c r="Q53" s="65">
        <f t="shared" si="22"/>
        <v>20890</v>
      </c>
      <c r="R53" s="65">
        <f t="shared" si="22"/>
        <v>20005.509999999998</v>
      </c>
      <c r="S53" s="65">
        <f t="shared" si="22"/>
        <v>20890</v>
      </c>
      <c r="T53" s="65">
        <f t="shared" si="22"/>
        <v>25483.82</v>
      </c>
      <c r="U53" s="65">
        <f t="shared" si="22"/>
        <v>20890</v>
      </c>
      <c r="V53" s="65">
        <f t="shared" si="22"/>
        <v>15591.41</v>
      </c>
      <c r="W53" s="65">
        <f t="shared" si="22"/>
        <v>20890</v>
      </c>
      <c r="X53" s="65">
        <f t="shared" si="22"/>
        <v>23002.42</v>
      </c>
      <c r="Y53" s="65">
        <f t="shared" si="22"/>
        <v>20890</v>
      </c>
      <c r="Z53" s="65">
        <f t="shared" si="22"/>
        <v>23261.15</v>
      </c>
      <c r="AA53" s="47">
        <f t="shared" si="12"/>
        <v>250680</v>
      </c>
      <c r="AB53" s="51">
        <f t="shared" si="13"/>
        <v>237898.43999999997</v>
      </c>
      <c r="AC53" s="21"/>
      <c r="AD53" s="31">
        <f t="shared" si="14"/>
        <v>250680</v>
      </c>
      <c r="AE53" s="31">
        <f t="shared" si="15"/>
        <v>237898.43999999997</v>
      </c>
      <c r="AF53" s="17">
        <f t="shared" si="18"/>
        <v>0</v>
      </c>
      <c r="AG53" s="17">
        <f t="shared" si="19"/>
        <v>0</v>
      </c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66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</row>
    <row r="54" spans="1:123" s="19" customFormat="1" ht="18" customHeight="1" outlineLevel="2" x14ac:dyDescent="0.25">
      <c r="A54" s="48" t="s">
        <v>131</v>
      </c>
      <c r="B54" s="53"/>
      <c r="C54" s="49">
        <f>'2025年安徽省区利润表'!C54+'2025年江西省区利润表'!C54</f>
        <v>5400</v>
      </c>
      <c r="D54" s="49">
        <f>'2025年安徽省区利润表'!D54+'2025年江西省区利润表'!D54</f>
        <v>3553.5</v>
      </c>
      <c r="E54" s="49">
        <f>'2025年安徽省区利润表'!E54+'2025年江西省区利润表'!E54</f>
        <v>5400</v>
      </c>
      <c r="F54" s="49">
        <f>'2025年安徽省区利润表'!F54+'2025年江西省区利润表'!F54</f>
        <v>2952.9700000000003</v>
      </c>
      <c r="G54" s="49">
        <f>'2025年安徽省区利润表'!G54+'2025年江西省区利润表'!G54</f>
        <v>5400</v>
      </c>
      <c r="H54" s="49">
        <f>'2025年安徽省区利润表'!H54+'2025年江西省区利润表'!H54</f>
        <v>6956.0599999999995</v>
      </c>
      <c r="I54" s="49">
        <f>'2025年安徽省区利润表'!I54+'2025年江西省区利润表'!I54</f>
        <v>5400</v>
      </c>
      <c r="J54" s="49">
        <f>'2025年安徽省区利润表'!J54+'2025年江西省区利润表'!J54</f>
        <v>11085.650000000001</v>
      </c>
      <c r="K54" s="49">
        <f>'2025年安徽省区利润表'!K54+'2025年江西省区利润表'!K54</f>
        <v>5400</v>
      </c>
      <c r="L54" s="49">
        <f>'2025年安徽省区利润表'!L54+'2025年江西省区利润表'!L54</f>
        <v>7582.54</v>
      </c>
      <c r="M54" s="49">
        <f>'2025年安徽省区利润表'!M54+'2025年江西省区利润表'!M54</f>
        <v>5400</v>
      </c>
      <c r="N54" s="49">
        <f>'2025年安徽省区利润表'!N54+'2025年江西省区利润表'!N54</f>
        <v>6991.26</v>
      </c>
      <c r="O54" s="49">
        <f>'2025年安徽省区利润表'!O54+'2025年江西省区利润表'!O54</f>
        <v>5400</v>
      </c>
      <c r="P54" s="49">
        <f>'2025年安徽省区利润表'!P54+'2025年江西省区利润表'!P54</f>
        <v>6864.53</v>
      </c>
      <c r="Q54" s="49">
        <f>'2025年安徽省区利润表'!Q54+'2025年江西省区利润表'!Q54</f>
        <v>5400</v>
      </c>
      <c r="R54" s="49">
        <f>'2025年安徽省区利润表'!R54+'2025年江西省区利润表'!R54</f>
        <v>5156.6099999999997</v>
      </c>
      <c r="S54" s="49">
        <f>'2025年安徽省区利润表'!S54+'2025年江西省区利润表'!S54</f>
        <v>5400</v>
      </c>
      <c r="T54" s="49">
        <f>'2025年安徽省区利润表'!T54+'2025年江西省区利润表'!T54</f>
        <v>9595.6200000000008</v>
      </c>
      <c r="U54" s="49">
        <f>'2025年安徽省区利润表'!U54+'2025年江西省区利润表'!U54</f>
        <v>5400</v>
      </c>
      <c r="V54" s="49">
        <f>'2025年安徽省区利润表'!V54+'2025年江西省区利润表'!V54</f>
        <v>356.30999999999983</v>
      </c>
      <c r="W54" s="49">
        <f>'2025年安徽省区利润表'!W54+'2025年江西省区利润表'!W54</f>
        <v>5400</v>
      </c>
      <c r="X54" s="49">
        <f>'2025年安徽省区利润表'!X54+'2025年江西省区利润表'!X54</f>
        <v>5581.15</v>
      </c>
      <c r="Y54" s="49">
        <f>'2025年安徽省区利润表'!Y54+'2025年江西省区利润表'!Y54</f>
        <v>5400</v>
      </c>
      <c r="Z54" s="49">
        <f>'2025年安徽省区利润表'!Z54+'2025年江西省区利润表'!Z54</f>
        <v>5561.64</v>
      </c>
      <c r="AA54" s="51">
        <f t="shared" si="12"/>
        <v>64800</v>
      </c>
      <c r="AB54" s="51">
        <f t="shared" si="13"/>
        <v>72237.84</v>
      </c>
      <c r="AC54" s="22"/>
      <c r="AD54" s="31">
        <f t="shared" si="14"/>
        <v>64800</v>
      </c>
      <c r="AE54" s="31">
        <f t="shared" si="15"/>
        <v>72237.84</v>
      </c>
      <c r="AF54" s="17">
        <f t="shared" si="18"/>
        <v>0</v>
      </c>
      <c r="AG54" s="17">
        <f t="shared" si="19"/>
        <v>0</v>
      </c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61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</row>
    <row r="55" spans="1:123" s="19" customFormat="1" ht="18" customHeight="1" outlineLevel="2" x14ac:dyDescent="0.25">
      <c r="A55" s="48" t="s">
        <v>132</v>
      </c>
      <c r="B55" s="53"/>
      <c r="C55" s="49">
        <f>'2025年安徽省区利润表'!C55+'2025年江西省区利润表'!C55</f>
        <v>7640</v>
      </c>
      <c r="D55" s="49">
        <f>'2025年安徽省区利润表'!D55+'2025年江西省区利润表'!D55</f>
        <v>1972.8600000000001</v>
      </c>
      <c r="E55" s="49">
        <f>'2025年安徽省区利润表'!E55+'2025年江西省区利润表'!E55</f>
        <v>7640</v>
      </c>
      <c r="F55" s="49">
        <f>'2025年安徽省区利润表'!F55+'2025年江西省区利润表'!F55</f>
        <v>4148.1499999999996</v>
      </c>
      <c r="G55" s="49">
        <f>'2025年安徽省区利润表'!G55+'2025年江西省区利润表'!G55</f>
        <v>7640</v>
      </c>
      <c r="H55" s="49">
        <f>'2025年安徽省区利润表'!H55+'2025年江西省区利润表'!H55</f>
        <v>6912.33</v>
      </c>
      <c r="I55" s="49">
        <f>'2025年安徽省区利润表'!I55+'2025年江西省区利润表'!I55</f>
        <v>7640</v>
      </c>
      <c r="J55" s="49">
        <f>'2025年安徽省区利润表'!J55+'2025年江西省区利润表'!J55</f>
        <v>5281.58</v>
      </c>
      <c r="K55" s="49">
        <f>'2025年安徽省区利润表'!K55+'2025年江西省区利润表'!K55</f>
        <v>7640</v>
      </c>
      <c r="L55" s="49">
        <f>'2025年安徽省区利润表'!L55+'2025年江西省区利润表'!L55</f>
        <v>5449.7</v>
      </c>
      <c r="M55" s="49">
        <f>'2025年安徽省区利润表'!M55+'2025年江西省区利润表'!M55</f>
        <v>7640</v>
      </c>
      <c r="N55" s="49">
        <f>'2025年安徽省区利润表'!N55+'2025年江西省区利润表'!N55</f>
        <v>6598.8799999999992</v>
      </c>
      <c r="O55" s="49">
        <f>'2025年安徽省区利润表'!O55+'2025年江西省区利润表'!O55</f>
        <v>7640</v>
      </c>
      <c r="P55" s="49">
        <f>'2025年安徽省区利润表'!P55+'2025年江西省区利润表'!P55</f>
        <v>8955.15</v>
      </c>
      <c r="Q55" s="49">
        <f>'2025年安徽省区利润表'!Q55+'2025年江西省区利润表'!Q55</f>
        <v>7640</v>
      </c>
      <c r="R55" s="49">
        <f>'2025年安徽省区利润表'!R55+'2025年江西省区利润表'!R55</f>
        <v>7210.13</v>
      </c>
      <c r="S55" s="49">
        <f>'2025年安徽省区利润表'!S55+'2025年江西省区利润表'!S55</f>
        <v>7640</v>
      </c>
      <c r="T55" s="49">
        <f>'2025年安徽省区利润表'!T55+'2025年江西省区利润表'!T55</f>
        <v>8033.2</v>
      </c>
      <c r="U55" s="49">
        <f>'2025年安徽省区利润表'!U55+'2025年江西省区利润表'!U55</f>
        <v>7640</v>
      </c>
      <c r="V55" s="49">
        <f>'2025年安徽省区利润表'!V55+'2025年江西省区利润表'!V55</f>
        <v>7990.1</v>
      </c>
      <c r="W55" s="49">
        <f>'2025年安徽省区利润表'!W55+'2025年江西省区利润表'!W55</f>
        <v>7640</v>
      </c>
      <c r="X55" s="49">
        <f>'2025年安徽省区利润表'!X55+'2025年江西省区利润表'!X55</f>
        <v>9494.27</v>
      </c>
      <c r="Y55" s="49">
        <f>'2025年安徽省区利润表'!Y55+'2025年江西省区利润表'!Y55</f>
        <v>7640</v>
      </c>
      <c r="Z55" s="49">
        <f>'2025年安徽省区利润表'!Z55+'2025年江西省区利润表'!Z55</f>
        <v>9537.51</v>
      </c>
      <c r="AA55" s="51">
        <f t="shared" si="12"/>
        <v>91680</v>
      </c>
      <c r="AB55" s="51">
        <f t="shared" si="13"/>
        <v>81583.859999999986</v>
      </c>
      <c r="AC55" s="22"/>
      <c r="AD55" s="31">
        <f t="shared" si="14"/>
        <v>91680</v>
      </c>
      <c r="AE55" s="31">
        <f t="shared" si="15"/>
        <v>81583.859999999986</v>
      </c>
      <c r="AF55" s="17">
        <f t="shared" si="18"/>
        <v>0</v>
      </c>
      <c r="AG55" s="17">
        <f t="shared" si="19"/>
        <v>0</v>
      </c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61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</row>
    <row r="56" spans="1:123" s="19" customFormat="1" ht="18" customHeight="1" outlineLevel="2" x14ac:dyDescent="0.25">
      <c r="A56" s="48" t="s">
        <v>180</v>
      </c>
      <c r="B56" s="53"/>
      <c r="C56" s="49">
        <f>'2025年安徽省区利润表'!C56+'2025年江西省区利润表'!C56</f>
        <v>5850</v>
      </c>
      <c r="D56" s="49">
        <f>'2025年安徽省区利润表'!D56+'2025年江西省区利润表'!D56</f>
        <v>1890</v>
      </c>
      <c r="E56" s="49">
        <f>'2025年安徽省区利润表'!E56+'2025年江西省区利润表'!E56</f>
        <v>5850</v>
      </c>
      <c r="F56" s="49">
        <f>'2025年安徽省区利润表'!F56+'2025年江西省区利润表'!F56</f>
        <v>2970</v>
      </c>
      <c r="G56" s="49">
        <f>'2025年安徽省区利润表'!G56+'2025年江西省区利润表'!G56</f>
        <v>5850</v>
      </c>
      <c r="H56" s="49">
        <f>'2025年安徽省区利润表'!H56+'2025年江西省区利润表'!H56</f>
        <v>5800.5300000000007</v>
      </c>
      <c r="I56" s="49">
        <f>'2025年安徽省区利润表'!I56+'2025年江西省区利润表'!I56</f>
        <v>5850</v>
      </c>
      <c r="J56" s="49">
        <f>'2025年安徽省区利润表'!J56+'2025年江西省区利润表'!J56</f>
        <v>5652.2800000000007</v>
      </c>
      <c r="K56" s="49">
        <f>'2025年安徽省区利润表'!K56+'2025年江西省区利润表'!K56</f>
        <v>5850</v>
      </c>
      <c r="L56" s="49">
        <f>'2025年安徽省区利润表'!L56+'2025年江西省区利润表'!L56</f>
        <v>5245</v>
      </c>
      <c r="M56" s="49">
        <f>'2025年安徽省区利润表'!M56+'2025年江西省区利润表'!M56</f>
        <v>5850</v>
      </c>
      <c r="N56" s="49">
        <f>'2025年安徽省区利润表'!N56+'2025年江西省区利润表'!N56</f>
        <v>5720</v>
      </c>
      <c r="O56" s="49">
        <f>'2025年安徽省区利润表'!O56+'2025年江西省区利润表'!O56</f>
        <v>5850</v>
      </c>
      <c r="P56" s="49">
        <f>'2025年安徽省区利润表'!P56+'2025年江西省区利润表'!P56</f>
        <v>5672.4</v>
      </c>
      <c r="Q56" s="49">
        <f>'2025年安徽省区利润表'!Q56+'2025年江西省区利润表'!Q56</f>
        <v>5850</v>
      </c>
      <c r="R56" s="49">
        <f>'2025年安徽省区利润表'!R56+'2025年江西省区利润表'!R56</f>
        <v>5640.57</v>
      </c>
      <c r="S56" s="49">
        <f>'2025年安徽省区利润表'!S56+'2025年江西省区利润表'!S56</f>
        <v>5850</v>
      </c>
      <c r="T56" s="49">
        <f>'2025年安徽省区利润表'!T56+'2025年江西省区利润表'!T56</f>
        <v>5855</v>
      </c>
      <c r="U56" s="49">
        <f>'2025年安徽省区利润表'!U56+'2025年江西省区利润表'!U56</f>
        <v>5850</v>
      </c>
      <c r="V56" s="49">
        <f>'2025年安徽省区利润表'!V56+'2025年江西省区利润表'!V56</f>
        <v>5245</v>
      </c>
      <c r="W56" s="49">
        <f>'2025年安徽省区利润表'!W56+'2025年江西省区利润表'!W56</f>
        <v>5850</v>
      </c>
      <c r="X56" s="49">
        <f>'2025年安徽省区利润表'!X56+'2025年江西省区利润表'!X56</f>
        <v>5930</v>
      </c>
      <c r="Y56" s="49">
        <f>'2025年安徽省区利润表'!Y56+'2025年江西省区利润表'!Y56</f>
        <v>5850</v>
      </c>
      <c r="Z56" s="49">
        <f>'2025年安徽省区利润表'!Z56+'2025年江西省区利润表'!Z56</f>
        <v>6165</v>
      </c>
      <c r="AA56" s="51">
        <f t="shared" si="12"/>
        <v>70200</v>
      </c>
      <c r="AB56" s="51">
        <f t="shared" si="13"/>
        <v>61785.78</v>
      </c>
      <c r="AC56" s="22"/>
      <c r="AD56" s="31">
        <f t="shared" si="14"/>
        <v>70200</v>
      </c>
      <c r="AE56" s="31">
        <f t="shared" si="15"/>
        <v>61785.78</v>
      </c>
      <c r="AF56" s="17">
        <f t="shared" si="18"/>
        <v>0</v>
      </c>
      <c r="AG56" s="17">
        <f t="shared" si="19"/>
        <v>0</v>
      </c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61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</row>
    <row r="57" spans="1:123" s="19" customFormat="1" ht="18" customHeight="1" outlineLevel="2" x14ac:dyDescent="0.25">
      <c r="A57" s="48" t="s">
        <v>134</v>
      </c>
      <c r="B57" s="53"/>
      <c r="C57" s="49">
        <f>'2025年安徽省区利润表'!C57+'2025年江西省区利润表'!C57</f>
        <v>1500</v>
      </c>
      <c r="D57" s="49">
        <f>'2025年安徽省区利润表'!D57+'2025年江西省区利润表'!D57</f>
        <v>895</v>
      </c>
      <c r="E57" s="49">
        <f>'2025年安徽省区利润表'!E57+'2025年江西省区利润表'!E57</f>
        <v>1500</v>
      </c>
      <c r="F57" s="49">
        <f>'2025年安徽省区利润表'!F57+'2025年江西省区利润表'!F57</f>
        <v>900</v>
      </c>
      <c r="G57" s="49">
        <f>'2025年安徽省区利润表'!G57+'2025年江西省区利润表'!G57</f>
        <v>1500</v>
      </c>
      <c r="H57" s="49">
        <f>'2025年安徽省区利润表'!H57+'2025年江西省区利润表'!H57</f>
        <v>1410</v>
      </c>
      <c r="I57" s="49">
        <f>'2025年安徽省区利润表'!I57+'2025年江西省区利润表'!I57</f>
        <v>1500</v>
      </c>
      <c r="J57" s="49">
        <f>'2025年安徽省区利润表'!J57+'2025年江西省区利润表'!J57</f>
        <v>1500</v>
      </c>
      <c r="K57" s="49">
        <f>'2025年安徽省区利润表'!K57+'2025年江西省区利润表'!K57</f>
        <v>1500</v>
      </c>
      <c r="L57" s="49">
        <f>'2025年安徽省区利润表'!L57+'2025年江西省区利润表'!L57</f>
        <v>1492</v>
      </c>
      <c r="M57" s="49">
        <f>'2025年安徽省区利润表'!M57+'2025年江西省区利润表'!M57</f>
        <v>1500</v>
      </c>
      <c r="N57" s="49">
        <f>'2025年安徽省区利润表'!N57+'2025年江西省区利润表'!N57</f>
        <v>1505.3600000000001</v>
      </c>
      <c r="O57" s="49">
        <f>'2025年安徽省区利润表'!O57+'2025年江西省区利润表'!O57</f>
        <v>1500</v>
      </c>
      <c r="P57" s="49">
        <f>'2025年安徽省区利润表'!P57+'2025年江西省区利润表'!P57</f>
        <v>1500</v>
      </c>
      <c r="Q57" s="49">
        <f>'2025年安徽省区利润表'!Q57+'2025年江西省区利润表'!Q57</f>
        <v>1500</v>
      </c>
      <c r="R57" s="49">
        <f>'2025年安徽省区利润表'!R57+'2025年江西省区利润表'!R57</f>
        <v>1500</v>
      </c>
      <c r="S57" s="49">
        <f>'2025年安徽省区利润表'!S57+'2025年江西省区利润表'!S57</f>
        <v>1500</v>
      </c>
      <c r="T57" s="49">
        <f>'2025年安徽省区利润表'!T57+'2025年江西省区利润表'!T57</f>
        <v>1500</v>
      </c>
      <c r="U57" s="49">
        <f>'2025年安徽省区利润表'!U57+'2025年江西省区利润表'!U57</f>
        <v>1500</v>
      </c>
      <c r="V57" s="49">
        <f>'2025年安徽省区利润表'!V57+'2025年江西省区利润表'!V57</f>
        <v>1500</v>
      </c>
      <c r="W57" s="49">
        <f>'2025年安徽省区利润表'!W57+'2025年江西省区利润表'!W57</f>
        <v>1500</v>
      </c>
      <c r="X57" s="49">
        <f>'2025年安徽省区利润表'!X57+'2025年江西省区利润表'!X57</f>
        <v>1500</v>
      </c>
      <c r="Y57" s="49">
        <f>'2025年安徽省区利润表'!Y57+'2025年江西省区利润表'!Y57</f>
        <v>1500</v>
      </c>
      <c r="Z57" s="49">
        <f>'2025年安徽省区利润表'!Z57+'2025年江西省区利润表'!Z57</f>
        <v>1500</v>
      </c>
      <c r="AA57" s="51">
        <f t="shared" si="12"/>
        <v>18000</v>
      </c>
      <c r="AB57" s="51">
        <f t="shared" si="13"/>
        <v>16702.36</v>
      </c>
      <c r="AC57" s="22"/>
      <c r="AD57" s="31">
        <f t="shared" si="14"/>
        <v>18000</v>
      </c>
      <c r="AE57" s="31">
        <f t="shared" si="15"/>
        <v>16702.36</v>
      </c>
      <c r="AF57" s="17">
        <f t="shared" si="18"/>
        <v>0</v>
      </c>
      <c r="AG57" s="17">
        <f t="shared" si="19"/>
        <v>0</v>
      </c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61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</row>
    <row r="58" spans="1:123" s="19" customFormat="1" ht="18" customHeight="1" outlineLevel="2" x14ac:dyDescent="0.25">
      <c r="A58" s="48" t="s">
        <v>135</v>
      </c>
      <c r="B58" s="53"/>
      <c r="C58" s="49">
        <f>'2025年安徽省区利润表'!C58+'2025年江西省区利润表'!C58</f>
        <v>500</v>
      </c>
      <c r="D58" s="49">
        <f>'2025年安徽省区利润表'!D58+'2025年江西省区利润表'!D58</f>
        <v>298</v>
      </c>
      <c r="E58" s="49">
        <f>'2025年安徽省区利润表'!E58+'2025年江西省区利润表'!E58</f>
        <v>500</v>
      </c>
      <c r="F58" s="49">
        <f>'2025年安徽省区利润表'!F58+'2025年江西省区利润表'!F58</f>
        <v>300</v>
      </c>
      <c r="G58" s="49">
        <f>'2025年安徽省区利润表'!G58+'2025年江西省区利润表'!G58</f>
        <v>500</v>
      </c>
      <c r="H58" s="49">
        <f>'2025年安徽省区利润表'!H58+'2025年江西省区利润表'!H58</f>
        <v>500</v>
      </c>
      <c r="I58" s="49">
        <f>'2025年安徽省区利润表'!I58+'2025年江西省区利润表'!I58</f>
        <v>500</v>
      </c>
      <c r="J58" s="49">
        <f>'2025年安徽省区利润表'!J58+'2025年江西省区利润表'!J58</f>
        <v>500</v>
      </c>
      <c r="K58" s="49">
        <f>'2025年安徽省区利润表'!K58+'2025年江西省区利润表'!K58</f>
        <v>500</v>
      </c>
      <c r="L58" s="49">
        <f>'2025年安徽省区利润表'!L58+'2025年江西省区利润表'!L58</f>
        <v>498.4</v>
      </c>
      <c r="M58" s="49">
        <f>'2025年安徽省区利润表'!M58+'2025年江西省区利润表'!M58</f>
        <v>500</v>
      </c>
      <c r="N58" s="49">
        <f>'2025年安徽省区利润表'!N58+'2025年江西省区利润表'!N58</f>
        <v>500</v>
      </c>
      <c r="O58" s="49">
        <f>'2025年安徽省区利润表'!O58+'2025年江西省区利润表'!O58</f>
        <v>500</v>
      </c>
      <c r="P58" s="49">
        <f>'2025年安徽省区利润表'!P58+'2025年江西省区利润表'!P58</f>
        <v>500</v>
      </c>
      <c r="Q58" s="49">
        <f>'2025年安徽省区利润表'!Q58+'2025年江西省区利润表'!Q58</f>
        <v>500</v>
      </c>
      <c r="R58" s="49">
        <f>'2025年安徽省区利润表'!R58+'2025年江西省区利润表'!R58</f>
        <v>498.2</v>
      </c>
      <c r="S58" s="49">
        <f>'2025年安徽省区利润表'!S58+'2025年江西省区利润表'!S58</f>
        <v>500</v>
      </c>
      <c r="T58" s="49">
        <f>'2025年安徽省区利润表'!T58+'2025年江西省区利润表'!T58</f>
        <v>500</v>
      </c>
      <c r="U58" s="49">
        <f>'2025年安徽省区利润表'!U58+'2025年江西省区利润表'!U58</f>
        <v>500</v>
      </c>
      <c r="V58" s="49">
        <f>'2025年安徽省区利润表'!V58+'2025年江西省区利润表'!V58</f>
        <v>500</v>
      </c>
      <c r="W58" s="49">
        <f>'2025年安徽省区利润表'!W58+'2025年江西省区利润表'!W58</f>
        <v>500</v>
      </c>
      <c r="X58" s="49">
        <f>'2025年安徽省区利润表'!X58+'2025年江西省区利润表'!X58</f>
        <v>497</v>
      </c>
      <c r="Y58" s="49">
        <f>'2025年安徽省区利润表'!Y58+'2025年江西省区利润表'!Y58</f>
        <v>500</v>
      </c>
      <c r="Z58" s="49">
        <f>'2025年安徽省区利润表'!Z58+'2025年江西省区利润表'!Z58</f>
        <v>497</v>
      </c>
      <c r="AA58" s="51">
        <f t="shared" si="12"/>
        <v>6000</v>
      </c>
      <c r="AB58" s="51">
        <f t="shared" si="13"/>
        <v>5588.6</v>
      </c>
      <c r="AC58" s="22"/>
      <c r="AD58" s="31">
        <f t="shared" si="14"/>
        <v>6000</v>
      </c>
      <c r="AE58" s="31">
        <f t="shared" si="15"/>
        <v>5588.6</v>
      </c>
      <c r="AF58" s="17">
        <f t="shared" si="18"/>
        <v>0</v>
      </c>
      <c r="AG58" s="17">
        <f t="shared" si="19"/>
        <v>0</v>
      </c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61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</row>
    <row r="59" spans="1:123" s="19" customFormat="1" ht="18" customHeight="1" outlineLevel="1" x14ac:dyDescent="0.25">
      <c r="A59" s="48" t="s">
        <v>136</v>
      </c>
      <c r="B59" s="53"/>
      <c r="C59" s="49">
        <f>'2025年安徽省区利润表'!C59+'2025年江西省区利润表'!C59</f>
        <v>2833.33</v>
      </c>
      <c r="D59" s="49">
        <f>'2025年安徽省区利润表'!D59+'2025年江西省区利润表'!D59</f>
        <v>5028.8</v>
      </c>
      <c r="E59" s="49">
        <f>'2025年安徽省区利润表'!E59+'2025年江西省区利润表'!E59</f>
        <v>2833.33</v>
      </c>
      <c r="F59" s="49">
        <f>'2025年安徽省区利润表'!F59+'2025年江西省区利润表'!F59</f>
        <v>0</v>
      </c>
      <c r="G59" s="49">
        <f>'2025年安徽省区利润表'!G59+'2025年江西省区利润表'!G59</f>
        <v>18833.330000000002</v>
      </c>
      <c r="H59" s="49">
        <f>'2025年安徽省区利润表'!H59+'2025年江西省区利润表'!H59</f>
        <v>0</v>
      </c>
      <c r="I59" s="49">
        <f>'2025年安徽省区利润表'!I59+'2025年江西省区利润表'!I59</f>
        <v>2833.33</v>
      </c>
      <c r="J59" s="49">
        <f>'2025年安徽省区利润表'!J59+'2025年江西省区利润表'!J59</f>
        <v>-2231.8000000000002</v>
      </c>
      <c r="K59" s="49">
        <f>'2025年安徽省区利润表'!K59+'2025年江西省区利润表'!K59</f>
        <v>2833.33</v>
      </c>
      <c r="L59" s="49">
        <f>'2025年安徽省区利润表'!L59+'2025年江西省区利润表'!L59</f>
        <v>0</v>
      </c>
      <c r="M59" s="49">
        <f>'2025年安徽省区利润表'!M59+'2025年江西省区利润表'!M59</f>
        <v>2833.33</v>
      </c>
      <c r="N59" s="49">
        <f>'2025年安徽省区利润表'!N59+'2025年江西省区利润表'!N59</f>
        <v>0</v>
      </c>
      <c r="O59" s="49">
        <f>'2025年安徽省区利润表'!O59+'2025年江西省区利润表'!O59</f>
        <v>2833.33</v>
      </c>
      <c r="P59" s="49">
        <f>'2025年安徽省区利润表'!P59+'2025年江西省区利润表'!P59</f>
        <v>1154</v>
      </c>
      <c r="Q59" s="49">
        <f>'2025年安徽省区利润表'!Q59+'2025年江西省区利润表'!Q59</f>
        <v>2833.33</v>
      </c>
      <c r="R59" s="49">
        <f>'2025年安徽省区利润表'!R59+'2025年江西省区利润表'!R59</f>
        <v>827</v>
      </c>
      <c r="S59" s="49">
        <f>'2025年安徽省区利润表'!S59+'2025年江西省区利润表'!S59</f>
        <v>2833.33</v>
      </c>
      <c r="T59" s="49">
        <f>'2025年安徽省区利润表'!T59+'2025年江西省区利润表'!T59</f>
        <v>10731.27</v>
      </c>
      <c r="U59" s="49">
        <f>'2025年安徽省区利润表'!U59+'2025年江西省区利润表'!U59</f>
        <v>2833.33</v>
      </c>
      <c r="V59" s="49">
        <f>'2025年安徽省区利润表'!V59+'2025年江西省区利润表'!V59</f>
        <v>4065.7</v>
      </c>
      <c r="W59" s="49">
        <f>'2025年安徽省区利润表'!W59+'2025年江西省区利润表'!W59</f>
        <v>2833.33</v>
      </c>
      <c r="X59" s="49">
        <f>'2025年安徽省区利润表'!X59+'2025年江西省区利润表'!X59</f>
        <v>931.46</v>
      </c>
      <c r="Y59" s="49">
        <f>'2025年安徽省区利润表'!Y59+'2025年江西省区利润表'!Y59</f>
        <v>2833.37</v>
      </c>
      <c r="Z59" s="49">
        <f>'2025年安徽省区利润表'!Z59+'2025年江西省区利润表'!Z59</f>
        <v>904.8</v>
      </c>
      <c r="AA59" s="51">
        <f t="shared" si="12"/>
        <v>50000.000000000015</v>
      </c>
      <c r="AB59" s="51">
        <f t="shared" si="13"/>
        <v>21411.23</v>
      </c>
      <c r="AC59" s="22"/>
      <c r="AD59" s="31">
        <f t="shared" si="14"/>
        <v>50000.000000000015</v>
      </c>
      <c r="AE59" s="31">
        <f t="shared" si="15"/>
        <v>21411.23</v>
      </c>
      <c r="AF59" s="17">
        <f t="shared" si="18"/>
        <v>0</v>
      </c>
      <c r="AG59" s="17">
        <f t="shared" si="19"/>
        <v>0</v>
      </c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61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</row>
    <row r="60" spans="1:123" s="19" customFormat="1" ht="18" customHeight="1" outlineLevel="1" x14ac:dyDescent="0.25">
      <c r="A60" s="48" t="s">
        <v>137</v>
      </c>
      <c r="B60" s="53"/>
      <c r="C60" s="49">
        <f>'2025年安徽省区利润表'!C60+'2025年江西省区利润表'!C60</f>
        <v>0</v>
      </c>
      <c r="D60" s="49">
        <f>'2025年安徽省区利润表'!D60+'2025年江西省区利润表'!D60</f>
        <v>0</v>
      </c>
      <c r="E60" s="49">
        <f>'2025年安徽省区利润表'!E60+'2025年江西省区利润表'!E60</f>
        <v>0</v>
      </c>
      <c r="F60" s="49">
        <f>'2025年安徽省区利润表'!F60+'2025年江西省区利润表'!F60</f>
        <v>0</v>
      </c>
      <c r="G60" s="49">
        <f>'2025年安徽省区利润表'!G60+'2025年江西省区利润表'!G60</f>
        <v>0</v>
      </c>
      <c r="H60" s="49">
        <f>'2025年安徽省区利润表'!H60+'2025年江西省区利润表'!H60</f>
        <v>0</v>
      </c>
      <c r="I60" s="49">
        <f>'2025年安徽省区利润表'!I60+'2025年江西省区利润表'!I60</f>
        <v>0</v>
      </c>
      <c r="J60" s="49">
        <f>'2025年安徽省区利润表'!J60+'2025年江西省区利润表'!J60</f>
        <v>0</v>
      </c>
      <c r="K60" s="49">
        <f>'2025年安徽省区利润表'!K60+'2025年江西省区利润表'!K60</f>
        <v>0</v>
      </c>
      <c r="L60" s="49">
        <f>'2025年安徽省区利润表'!L60+'2025年江西省区利润表'!L60</f>
        <v>0</v>
      </c>
      <c r="M60" s="49">
        <f>'2025年安徽省区利润表'!M60+'2025年江西省区利润表'!M60</f>
        <v>0</v>
      </c>
      <c r="N60" s="49">
        <f>'2025年安徽省区利润表'!N60+'2025年江西省区利润表'!N60</f>
        <v>0</v>
      </c>
      <c r="O60" s="49">
        <f>'2025年安徽省区利润表'!O60+'2025年江西省区利润表'!O60</f>
        <v>0</v>
      </c>
      <c r="P60" s="49">
        <f>'2025年安徽省区利润表'!P60+'2025年江西省区利润表'!P60</f>
        <v>0</v>
      </c>
      <c r="Q60" s="49">
        <f>'2025年安徽省区利润表'!Q60+'2025年江西省区利润表'!Q60</f>
        <v>0</v>
      </c>
      <c r="R60" s="49">
        <f>'2025年安徽省区利润表'!R60+'2025年江西省区利润表'!R60</f>
        <v>0</v>
      </c>
      <c r="S60" s="49">
        <f>'2025年安徽省区利润表'!S60+'2025年江西省区利润表'!S60</f>
        <v>0</v>
      </c>
      <c r="T60" s="49">
        <f>'2025年安徽省区利润表'!T60+'2025年江西省区利润表'!T60</f>
        <v>0</v>
      </c>
      <c r="U60" s="49">
        <f>'2025年安徽省区利润表'!U60+'2025年江西省区利润表'!U60</f>
        <v>0</v>
      </c>
      <c r="V60" s="49">
        <f>'2025年安徽省区利润表'!V60+'2025年江西省区利润表'!V60</f>
        <v>0</v>
      </c>
      <c r="W60" s="49">
        <f>'2025年安徽省区利润表'!W60+'2025年江西省区利润表'!W60</f>
        <v>0</v>
      </c>
      <c r="X60" s="49">
        <f>'2025年安徽省区利润表'!X60+'2025年江西省区利润表'!X60</f>
        <v>0</v>
      </c>
      <c r="Y60" s="49">
        <f>'2025年安徽省区利润表'!Y60+'2025年江西省区利润表'!Y60</f>
        <v>0</v>
      </c>
      <c r="Z60" s="49">
        <f>'2025年安徽省区利润表'!Z60+'2025年江西省区利润表'!Z60</f>
        <v>0</v>
      </c>
      <c r="AA60" s="51">
        <f t="shared" si="12"/>
        <v>0</v>
      </c>
      <c r="AB60" s="51">
        <f t="shared" si="13"/>
        <v>0</v>
      </c>
      <c r="AC60" s="22"/>
      <c r="AD60" s="31">
        <f t="shared" si="14"/>
        <v>0</v>
      </c>
      <c r="AE60" s="31">
        <f t="shared" si="15"/>
        <v>0</v>
      </c>
      <c r="AF60" s="17">
        <f t="shared" si="18"/>
        <v>0</v>
      </c>
      <c r="AG60" s="17">
        <f t="shared" si="19"/>
        <v>0</v>
      </c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61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</row>
    <row r="61" spans="1:123" s="19" customFormat="1" ht="18" customHeight="1" outlineLevel="1" x14ac:dyDescent="0.25">
      <c r="A61" s="48" t="s">
        <v>138</v>
      </c>
      <c r="B61" s="53"/>
      <c r="C61" s="49">
        <f>'2025年安徽省区利润表'!C61+'2025年江西省区利润表'!C61</f>
        <v>0</v>
      </c>
      <c r="D61" s="49">
        <f>'2025年安徽省区利润表'!D61+'2025年江西省区利润表'!D61</f>
        <v>0</v>
      </c>
      <c r="E61" s="49">
        <f>'2025年安徽省区利润表'!E61+'2025年江西省区利润表'!E61</f>
        <v>0</v>
      </c>
      <c r="F61" s="49">
        <f>'2025年安徽省区利润表'!F61+'2025年江西省区利润表'!F61</f>
        <v>0</v>
      </c>
      <c r="G61" s="49">
        <f>'2025年安徽省区利润表'!G61+'2025年江西省区利润表'!G61</f>
        <v>0</v>
      </c>
      <c r="H61" s="49">
        <f>'2025年安徽省区利润表'!H61+'2025年江西省区利润表'!H61</f>
        <v>0</v>
      </c>
      <c r="I61" s="49">
        <f>'2025年安徽省区利润表'!I61+'2025年江西省区利润表'!I61</f>
        <v>0</v>
      </c>
      <c r="J61" s="49">
        <f>'2025年安徽省区利润表'!J61+'2025年江西省区利润表'!J61</f>
        <v>0</v>
      </c>
      <c r="K61" s="49">
        <f>'2025年安徽省区利润表'!K61+'2025年江西省区利润表'!K61</f>
        <v>0</v>
      </c>
      <c r="L61" s="49">
        <f>'2025年安徽省区利润表'!L61+'2025年江西省区利润表'!L61</f>
        <v>0</v>
      </c>
      <c r="M61" s="49">
        <f>'2025年安徽省区利润表'!M61+'2025年江西省区利润表'!M61</f>
        <v>0</v>
      </c>
      <c r="N61" s="49">
        <f>'2025年安徽省区利润表'!N61+'2025年江西省区利润表'!N61</f>
        <v>0</v>
      </c>
      <c r="O61" s="49">
        <f>'2025年安徽省区利润表'!O61+'2025年江西省区利润表'!O61</f>
        <v>0</v>
      </c>
      <c r="P61" s="49">
        <f>'2025年安徽省区利润表'!P61+'2025年江西省区利润表'!P61</f>
        <v>0</v>
      </c>
      <c r="Q61" s="49">
        <f>'2025年安徽省区利润表'!Q61+'2025年江西省区利润表'!Q61</f>
        <v>0</v>
      </c>
      <c r="R61" s="49">
        <f>'2025年安徽省区利润表'!R61+'2025年江西省区利润表'!R61</f>
        <v>0</v>
      </c>
      <c r="S61" s="49">
        <f>'2025年安徽省区利润表'!S61+'2025年江西省区利润表'!S61</f>
        <v>0</v>
      </c>
      <c r="T61" s="49">
        <f>'2025年安徽省区利润表'!T61+'2025年江西省区利润表'!T61</f>
        <v>0</v>
      </c>
      <c r="U61" s="49">
        <f>'2025年安徽省区利润表'!U61+'2025年江西省区利润表'!U61</f>
        <v>0</v>
      </c>
      <c r="V61" s="49">
        <f>'2025年安徽省区利润表'!V61+'2025年江西省区利润表'!V61</f>
        <v>0</v>
      </c>
      <c r="W61" s="49">
        <f>'2025年安徽省区利润表'!W61+'2025年江西省区利润表'!W61</f>
        <v>0</v>
      </c>
      <c r="X61" s="49">
        <f>'2025年安徽省区利润表'!X61+'2025年江西省区利润表'!X61</f>
        <v>0</v>
      </c>
      <c r="Y61" s="49">
        <f>'2025年安徽省区利润表'!Y61+'2025年江西省区利润表'!Y61</f>
        <v>0</v>
      </c>
      <c r="Z61" s="49">
        <f>'2025年安徽省区利润表'!Z61+'2025年江西省区利润表'!Z61</f>
        <v>0</v>
      </c>
      <c r="AA61" s="51">
        <f t="shared" si="12"/>
        <v>0</v>
      </c>
      <c r="AB61" s="51">
        <f t="shared" si="13"/>
        <v>0</v>
      </c>
      <c r="AC61" s="22"/>
      <c r="AD61" s="31">
        <f t="shared" si="14"/>
        <v>0</v>
      </c>
      <c r="AE61" s="31">
        <f t="shared" si="15"/>
        <v>0</v>
      </c>
      <c r="AF61" s="17">
        <f t="shared" si="18"/>
        <v>0</v>
      </c>
      <c r="AG61" s="17">
        <f t="shared" si="19"/>
        <v>0</v>
      </c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61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</row>
    <row r="62" spans="1:123" s="19" customFormat="1" ht="18" customHeight="1" outlineLevel="1" x14ac:dyDescent="0.25">
      <c r="A62" s="48" t="s">
        <v>139</v>
      </c>
      <c r="B62" s="53"/>
      <c r="C62" s="49">
        <f>'2025年安徽省区利润表'!C62+'2025年江西省区利润表'!C62</f>
        <v>0</v>
      </c>
      <c r="D62" s="49">
        <f>'2025年安徽省区利润表'!D62+'2025年江西省区利润表'!D62</f>
        <v>0</v>
      </c>
      <c r="E62" s="49">
        <f>'2025年安徽省区利润表'!E62+'2025年江西省区利润表'!E62</f>
        <v>0</v>
      </c>
      <c r="F62" s="49">
        <f>'2025年安徽省区利润表'!F62+'2025年江西省区利润表'!F62</f>
        <v>0</v>
      </c>
      <c r="G62" s="49">
        <f>'2025年安徽省区利润表'!G62+'2025年江西省区利润表'!G62</f>
        <v>0</v>
      </c>
      <c r="H62" s="49">
        <f>'2025年安徽省区利润表'!H62+'2025年江西省区利润表'!H62</f>
        <v>0</v>
      </c>
      <c r="I62" s="49">
        <f>'2025年安徽省区利润表'!I62+'2025年江西省区利润表'!I62</f>
        <v>0</v>
      </c>
      <c r="J62" s="49">
        <f>'2025年安徽省区利润表'!J62+'2025年江西省区利润表'!J62</f>
        <v>0</v>
      </c>
      <c r="K62" s="49">
        <f>'2025年安徽省区利润表'!K62+'2025年江西省区利润表'!K62</f>
        <v>0</v>
      </c>
      <c r="L62" s="49">
        <f>'2025年安徽省区利润表'!L62+'2025年江西省区利润表'!L62</f>
        <v>0</v>
      </c>
      <c r="M62" s="49">
        <f>'2025年安徽省区利润表'!M62+'2025年江西省区利润表'!M62</f>
        <v>0</v>
      </c>
      <c r="N62" s="49">
        <f>'2025年安徽省区利润表'!N62+'2025年江西省区利润表'!N62</f>
        <v>0</v>
      </c>
      <c r="O62" s="49">
        <f>'2025年安徽省区利润表'!O62+'2025年江西省区利润表'!O62</f>
        <v>0</v>
      </c>
      <c r="P62" s="49">
        <f>'2025年安徽省区利润表'!P62+'2025年江西省区利润表'!P62</f>
        <v>0</v>
      </c>
      <c r="Q62" s="49">
        <f>'2025年安徽省区利润表'!Q62+'2025年江西省区利润表'!Q62</f>
        <v>0</v>
      </c>
      <c r="R62" s="49">
        <f>'2025年安徽省区利润表'!R62+'2025年江西省区利润表'!R62</f>
        <v>0</v>
      </c>
      <c r="S62" s="49">
        <f>'2025年安徽省区利润表'!S62+'2025年江西省区利润表'!S62</f>
        <v>0</v>
      </c>
      <c r="T62" s="49">
        <f>'2025年安徽省区利润表'!T62+'2025年江西省区利润表'!T62</f>
        <v>0</v>
      </c>
      <c r="U62" s="49">
        <f>'2025年安徽省区利润表'!U62+'2025年江西省区利润表'!U62</f>
        <v>0</v>
      </c>
      <c r="V62" s="49">
        <f>'2025年安徽省区利润表'!V62+'2025年江西省区利润表'!V62</f>
        <v>0</v>
      </c>
      <c r="W62" s="49">
        <f>'2025年安徽省区利润表'!W62+'2025年江西省区利润表'!W62</f>
        <v>0</v>
      </c>
      <c r="X62" s="49">
        <f>'2025年安徽省区利润表'!X62+'2025年江西省区利润表'!X62</f>
        <v>0</v>
      </c>
      <c r="Y62" s="49">
        <f>'2025年安徽省区利润表'!Y62+'2025年江西省区利润表'!Y62</f>
        <v>0</v>
      </c>
      <c r="Z62" s="49">
        <f>'2025年安徽省区利润表'!Z62+'2025年江西省区利润表'!Z62</f>
        <v>0</v>
      </c>
      <c r="AA62" s="51">
        <f t="shared" si="12"/>
        <v>0</v>
      </c>
      <c r="AB62" s="51">
        <f t="shared" si="13"/>
        <v>0</v>
      </c>
      <c r="AC62" s="22"/>
      <c r="AD62" s="31">
        <f t="shared" si="14"/>
        <v>0</v>
      </c>
      <c r="AE62" s="31">
        <f t="shared" si="15"/>
        <v>0</v>
      </c>
      <c r="AF62" s="17">
        <f t="shared" si="18"/>
        <v>0</v>
      </c>
      <c r="AG62" s="17">
        <f t="shared" si="19"/>
        <v>0</v>
      </c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61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</row>
    <row r="63" spans="1:123" s="19" customFormat="1" ht="18" customHeight="1" outlineLevel="1" x14ac:dyDescent="0.25">
      <c r="A63" s="48" t="s">
        <v>140</v>
      </c>
      <c r="B63" s="53"/>
      <c r="C63" s="49">
        <f>'2025年安徽省区利润表'!C63+'2025年江西省区利润表'!C63</f>
        <v>0</v>
      </c>
      <c r="D63" s="49">
        <f>'2025年安徽省区利润表'!D63+'2025年江西省区利润表'!D63</f>
        <v>0</v>
      </c>
      <c r="E63" s="49">
        <f>'2025年安徽省区利润表'!E63+'2025年江西省区利润表'!E63</f>
        <v>0</v>
      </c>
      <c r="F63" s="49">
        <f>'2025年安徽省区利润表'!F63+'2025年江西省区利润表'!F63</f>
        <v>0</v>
      </c>
      <c r="G63" s="49">
        <f>'2025年安徽省区利润表'!G63+'2025年江西省区利润表'!G63</f>
        <v>0</v>
      </c>
      <c r="H63" s="49">
        <f>'2025年安徽省区利润表'!H63+'2025年江西省区利润表'!H63</f>
        <v>0</v>
      </c>
      <c r="I63" s="49">
        <f>'2025年安徽省区利润表'!I63+'2025年江西省区利润表'!I63</f>
        <v>0</v>
      </c>
      <c r="J63" s="49">
        <f>'2025年安徽省区利润表'!J63+'2025年江西省区利润表'!J63</f>
        <v>0</v>
      </c>
      <c r="K63" s="49">
        <f>'2025年安徽省区利润表'!K63+'2025年江西省区利润表'!K63</f>
        <v>0</v>
      </c>
      <c r="L63" s="49">
        <f>'2025年安徽省区利润表'!L63+'2025年江西省区利润表'!L63</f>
        <v>0</v>
      </c>
      <c r="M63" s="49">
        <f>'2025年安徽省区利润表'!M63+'2025年江西省区利润表'!M63</f>
        <v>0</v>
      </c>
      <c r="N63" s="49">
        <f>'2025年安徽省区利润表'!N63+'2025年江西省区利润表'!N63</f>
        <v>0</v>
      </c>
      <c r="O63" s="49">
        <f>'2025年安徽省区利润表'!O63+'2025年江西省区利润表'!O63</f>
        <v>0</v>
      </c>
      <c r="P63" s="49">
        <f>'2025年安徽省区利润表'!P63+'2025年江西省区利润表'!P63</f>
        <v>0</v>
      </c>
      <c r="Q63" s="49">
        <f>'2025年安徽省区利润表'!Q63+'2025年江西省区利润表'!Q63</f>
        <v>0</v>
      </c>
      <c r="R63" s="49">
        <f>'2025年安徽省区利润表'!R63+'2025年江西省区利润表'!R63</f>
        <v>0</v>
      </c>
      <c r="S63" s="49">
        <f>'2025年安徽省区利润表'!S63+'2025年江西省区利润表'!S63</f>
        <v>0</v>
      </c>
      <c r="T63" s="49">
        <f>'2025年安徽省区利润表'!T63+'2025年江西省区利润表'!T63</f>
        <v>0</v>
      </c>
      <c r="U63" s="49">
        <f>'2025年安徽省区利润表'!U63+'2025年江西省区利润表'!U63</f>
        <v>0</v>
      </c>
      <c r="V63" s="49">
        <f>'2025年安徽省区利润表'!V63+'2025年江西省区利润表'!V63</f>
        <v>0</v>
      </c>
      <c r="W63" s="49">
        <f>'2025年安徽省区利润表'!W63+'2025年江西省区利润表'!W63</f>
        <v>0</v>
      </c>
      <c r="X63" s="49">
        <f>'2025年安徽省区利润表'!X63+'2025年江西省区利润表'!X63</f>
        <v>0</v>
      </c>
      <c r="Y63" s="49">
        <f>'2025年安徽省区利润表'!Y63+'2025年江西省区利润表'!Y63</f>
        <v>0</v>
      </c>
      <c r="Z63" s="49">
        <f>'2025年安徽省区利润表'!Z63+'2025年江西省区利润表'!Z63</f>
        <v>0</v>
      </c>
      <c r="AA63" s="51">
        <f t="shared" si="12"/>
        <v>0</v>
      </c>
      <c r="AB63" s="51">
        <f t="shared" si="13"/>
        <v>0</v>
      </c>
      <c r="AC63" s="22"/>
      <c r="AD63" s="31">
        <f t="shared" si="14"/>
        <v>0</v>
      </c>
      <c r="AE63" s="31">
        <f t="shared" si="15"/>
        <v>0</v>
      </c>
      <c r="AF63" s="17">
        <f t="shared" si="18"/>
        <v>0</v>
      </c>
      <c r="AG63" s="17">
        <f t="shared" si="19"/>
        <v>0</v>
      </c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61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</row>
    <row r="64" spans="1:123" s="19" customFormat="1" ht="18" customHeight="1" outlineLevel="1" x14ac:dyDescent="0.25">
      <c r="A64" s="48" t="s">
        <v>141</v>
      </c>
      <c r="B64" s="53"/>
      <c r="C64" s="49">
        <f>'2025年安徽省区利润表'!C64+'2025年江西省区利润表'!C64</f>
        <v>2000</v>
      </c>
      <c r="D64" s="49">
        <f>'2025年安徽省区利润表'!D64+'2025年江西省区利润表'!D64</f>
        <v>1597</v>
      </c>
      <c r="E64" s="49">
        <f>'2025年安徽省区利润表'!E64+'2025年江西省区利润表'!E64</f>
        <v>2000</v>
      </c>
      <c r="F64" s="49">
        <f>'2025年安徽省区利润表'!F64+'2025年江西省区利润表'!F64</f>
        <v>1597</v>
      </c>
      <c r="G64" s="49">
        <f>'2025年安徽省区利润表'!G64+'2025年江西省区利润表'!G64</f>
        <v>2000</v>
      </c>
      <c r="H64" s="49">
        <f>'2025年安徽省区利润表'!H64+'2025年江西省区利润表'!H64</f>
        <v>1597</v>
      </c>
      <c r="I64" s="49">
        <f>'2025年安徽省区利润表'!I64+'2025年江西省区利润表'!I64</f>
        <v>2000</v>
      </c>
      <c r="J64" s="49">
        <f>'2025年安徽省区利润表'!J64+'2025年江西省区利润表'!J64</f>
        <v>1597</v>
      </c>
      <c r="K64" s="49">
        <f>'2025年安徽省区利润表'!K64+'2025年江西省区利润表'!K64</f>
        <v>2000</v>
      </c>
      <c r="L64" s="49">
        <f>'2025年安徽省区利润表'!L64+'2025年江西省区利润表'!L64</f>
        <v>1597</v>
      </c>
      <c r="M64" s="49">
        <f>'2025年安徽省区利润表'!M64+'2025年江西省区利润表'!M64</f>
        <v>2000</v>
      </c>
      <c r="N64" s="49">
        <f>'2025年安徽省区利润表'!N64+'2025年江西省区利润表'!N64</f>
        <v>1627</v>
      </c>
      <c r="O64" s="49">
        <f>'2025年安徽省区利润表'!O64+'2025年江西省区利润表'!O64</f>
        <v>2000</v>
      </c>
      <c r="P64" s="49">
        <f>'2025年安徽省区利润表'!P64+'2025年江西省区利润表'!P64</f>
        <v>1597</v>
      </c>
      <c r="Q64" s="49">
        <f>'2025年安徽省区利润表'!Q64+'2025年江西省区利润表'!Q64</f>
        <v>2000</v>
      </c>
      <c r="R64" s="49">
        <f>'2025年安徽省区利润表'!R64+'2025年江西省区利润表'!R64</f>
        <v>1597</v>
      </c>
      <c r="S64" s="49">
        <f>'2025年安徽省区利润表'!S64+'2025年江西省区利润表'!S64</f>
        <v>2000</v>
      </c>
      <c r="T64" s="49">
        <f>'2025年安徽省区利润表'!T64+'2025年江西省区利润表'!T64</f>
        <v>1500</v>
      </c>
      <c r="U64" s="49">
        <f>'2025年安徽省区利润表'!U64+'2025年江西省区利润表'!U64</f>
        <v>2000</v>
      </c>
      <c r="V64" s="49">
        <f>'2025年安徽省区利润表'!V64+'2025年江西省区利润表'!V64</f>
        <v>1597</v>
      </c>
      <c r="W64" s="49">
        <f>'2025年安徽省区利润表'!W64+'2025年江西省区利润表'!W64</f>
        <v>2000</v>
      </c>
      <c r="X64" s="49">
        <f>'2025年安徽省区利润表'!X64+'2025年江西省区利润表'!X64</f>
        <v>1597</v>
      </c>
      <c r="Y64" s="49">
        <f>'2025年安徽省区利润表'!Y64+'2025年江西省区利润表'!Y64</f>
        <v>2000</v>
      </c>
      <c r="Z64" s="49">
        <f>'2025年安徽省区利润表'!Z64+'2025年江西省区利润表'!Z64</f>
        <v>1597</v>
      </c>
      <c r="AA64" s="51">
        <f t="shared" si="12"/>
        <v>24000</v>
      </c>
      <c r="AB64" s="51">
        <f t="shared" si="13"/>
        <v>19097</v>
      </c>
      <c r="AC64" s="22"/>
      <c r="AD64" s="31">
        <f t="shared" si="14"/>
        <v>24000</v>
      </c>
      <c r="AE64" s="31">
        <f t="shared" si="15"/>
        <v>19097</v>
      </c>
      <c r="AF64" s="17">
        <f t="shared" si="18"/>
        <v>0</v>
      </c>
      <c r="AG64" s="17">
        <f t="shared" si="19"/>
        <v>0</v>
      </c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61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</row>
    <row r="65" spans="1:123" s="17" customFormat="1" ht="18" customHeight="1" outlineLevel="1" x14ac:dyDescent="0.25">
      <c r="A65" s="67" t="s">
        <v>142</v>
      </c>
      <c r="B65" s="45"/>
      <c r="C65" s="65">
        <f t="shared" ref="C65:Z65" si="23">SUM(C66:C69)</f>
        <v>0</v>
      </c>
      <c r="D65" s="65">
        <f t="shared" si="23"/>
        <v>0</v>
      </c>
      <c r="E65" s="65">
        <f t="shared" si="23"/>
        <v>0</v>
      </c>
      <c r="F65" s="65">
        <f t="shared" si="23"/>
        <v>0</v>
      </c>
      <c r="G65" s="65">
        <f t="shared" si="23"/>
        <v>0</v>
      </c>
      <c r="H65" s="65">
        <f t="shared" si="23"/>
        <v>0</v>
      </c>
      <c r="I65" s="65">
        <f t="shared" si="23"/>
        <v>0</v>
      </c>
      <c r="J65" s="65">
        <f t="shared" si="23"/>
        <v>0</v>
      </c>
      <c r="K65" s="65">
        <f t="shared" si="23"/>
        <v>0</v>
      </c>
      <c r="L65" s="65">
        <f t="shared" si="23"/>
        <v>0</v>
      </c>
      <c r="M65" s="65">
        <f t="shared" si="23"/>
        <v>0</v>
      </c>
      <c r="N65" s="65">
        <f t="shared" si="23"/>
        <v>0</v>
      </c>
      <c r="O65" s="65">
        <f t="shared" si="23"/>
        <v>0</v>
      </c>
      <c r="P65" s="65">
        <f t="shared" si="23"/>
        <v>0</v>
      </c>
      <c r="Q65" s="65">
        <f t="shared" si="23"/>
        <v>0</v>
      </c>
      <c r="R65" s="65">
        <f t="shared" si="23"/>
        <v>0</v>
      </c>
      <c r="S65" s="65">
        <f t="shared" si="23"/>
        <v>0</v>
      </c>
      <c r="T65" s="65">
        <f t="shared" si="23"/>
        <v>0</v>
      </c>
      <c r="U65" s="65">
        <f t="shared" si="23"/>
        <v>0</v>
      </c>
      <c r="V65" s="65">
        <f t="shared" si="23"/>
        <v>0</v>
      </c>
      <c r="W65" s="65">
        <f t="shared" si="23"/>
        <v>0</v>
      </c>
      <c r="X65" s="65">
        <f t="shared" si="23"/>
        <v>0</v>
      </c>
      <c r="Y65" s="65">
        <f t="shared" si="23"/>
        <v>0</v>
      </c>
      <c r="Z65" s="65">
        <f t="shared" si="23"/>
        <v>0</v>
      </c>
      <c r="AA65" s="47">
        <f t="shared" si="12"/>
        <v>0</v>
      </c>
      <c r="AB65" s="51">
        <f t="shared" si="13"/>
        <v>0</v>
      </c>
      <c r="AC65" s="21"/>
      <c r="AD65" s="31">
        <f t="shared" si="14"/>
        <v>0</v>
      </c>
      <c r="AE65" s="31">
        <f t="shared" si="15"/>
        <v>0</v>
      </c>
      <c r="AF65" s="17">
        <f t="shared" si="18"/>
        <v>0</v>
      </c>
      <c r="AG65" s="17">
        <f t="shared" si="19"/>
        <v>0</v>
      </c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66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</row>
    <row r="66" spans="1:123" s="19" customFormat="1" ht="18" customHeight="1" outlineLevel="2" x14ac:dyDescent="0.25">
      <c r="A66" s="48" t="s">
        <v>143</v>
      </c>
      <c r="B66" s="53"/>
      <c r="C66" s="49">
        <f>'2025年安徽省区利润表'!C66+'2025年江西省区利润表'!C66</f>
        <v>0</v>
      </c>
      <c r="D66" s="49">
        <f>'2025年安徽省区利润表'!D66+'2025年江西省区利润表'!D66</f>
        <v>0</v>
      </c>
      <c r="E66" s="49">
        <f>'2025年安徽省区利润表'!E66+'2025年江西省区利润表'!E66</f>
        <v>0</v>
      </c>
      <c r="F66" s="49">
        <f>'2025年安徽省区利润表'!F66+'2025年江西省区利润表'!F66</f>
        <v>0</v>
      </c>
      <c r="G66" s="49">
        <f>'2025年安徽省区利润表'!G66+'2025年江西省区利润表'!G66</f>
        <v>0</v>
      </c>
      <c r="H66" s="49">
        <f>'2025年安徽省区利润表'!H66+'2025年江西省区利润表'!H66</f>
        <v>0</v>
      </c>
      <c r="I66" s="49">
        <f>'2025年安徽省区利润表'!I66+'2025年江西省区利润表'!I66</f>
        <v>0</v>
      </c>
      <c r="J66" s="49">
        <f>'2025年安徽省区利润表'!J66+'2025年江西省区利润表'!J66</f>
        <v>0</v>
      </c>
      <c r="K66" s="49">
        <f>'2025年安徽省区利润表'!K66+'2025年江西省区利润表'!K66</f>
        <v>0</v>
      </c>
      <c r="L66" s="49">
        <f>'2025年安徽省区利润表'!L66+'2025年江西省区利润表'!L66</f>
        <v>0</v>
      </c>
      <c r="M66" s="49">
        <f>'2025年安徽省区利润表'!M66+'2025年江西省区利润表'!M66</f>
        <v>0</v>
      </c>
      <c r="N66" s="49">
        <f>'2025年安徽省区利润表'!N66+'2025年江西省区利润表'!N66</f>
        <v>0</v>
      </c>
      <c r="O66" s="49">
        <f>'2025年安徽省区利润表'!O66+'2025年江西省区利润表'!O66</f>
        <v>0</v>
      </c>
      <c r="P66" s="49">
        <f>'2025年安徽省区利润表'!P66+'2025年江西省区利润表'!P66</f>
        <v>0</v>
      </c>
      <c r="Q66" s="49">
        <f>'2025年安徽省区利润表'!Q66+'2025年江西省区利润表'!Q66</f>
        <v>0</v>
      </c>
      <c r="R66" s="49">
        <f>'2025年安徽省区利润表'!R66+'2025年江西省区利润表'!R66</f>
        <v>0</v>
      </c>
      <c r="S66" s="49">
        <f>'2025年安徽省区利润表'!S66+'2025年江西省区利润表'!S66</f>
        <v>0</v>
      </c>
      <c r="T66" s="49">
        <f>'2025年安徽省区利润表'!T66+'2025年江西省区利润表'!T66</f>
        <v>0</v>
      </c>
      <c r="U66" s="49">
        <f>'2025年安徽省区利润表'!U66+'2025年江西省区利润表'!U66</f>
        <v>0</v>
      </c>
      <c r="V66" s="49">
        <f>'2025年安徽省区利润表'!V66+'2025年江西省区利润表'!V66</f>
        <v>0</v>
      </c>
      <c r="W66" s="49">
        <f>'2025年安徽省区利润表'!W66+'2025年江西省区利润表'!W66</f>
        <v>0</v>
      </c>
      <c r="X66" s="49">
        <f>'2025年安徽省区利润表'!X66+'2025年江西省区利润表'!X66</f>
        <v>0</v>
      </c>
      <c r="Y66" s="49">
        <f>'2025年安徽省区利润表'!Y66+'2025年江西省区利润表'!Y66</f>
        <v>0</v>
      </c>
      <c r="Z66" s="49">
        <f>'2025年安徽省区利润表'!Z66+'2025年江西省区利润表'!Z66</f>
        <v>0</v>
      </c>
      <c r="AA66" s="51">
        <f t="shared" si="12"/>
        <v>0</v>
      </c>
      <c r="AB66" s="51">
        <f t="shared" si="13"/>
        <v>0</v>
      </c>
      <c r="AC66" s="22"/>
      <c r="AD66" s="31">
        <f t="shared" si="14"/>
        <v>0</v>
      </c>
      <c r="AE66" s="31">
        <f t="shared" si="15"/>
        <v>0</v>
      </c>
      <c r="AF66" s="17">
        <f t="shared" si="18"/>
        <v>0</v>
      </c>
      <c r="AG66" s="17">
        <f t="shared" si="19"/>
        <v>0</v>
      </c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61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</row>
    <row r="67" spans="1:123" s="19" customFormat="1" ht="18" customHeight="1" outlineLevel="2" x14ac:dyDescent="0.25">
      <c r="A67" s="48" t="s">
        <v>144</v>
      </c>
      <c r="B67" s="53"/>
      <c r="C67" s="49">
        <f>'2025年安徽省区利润表'!C67+'2025年江西省区利润表'!C67</f>
        <v>0</v>
      </c>
      <c r="D67" s="49">
        <f>'2025年安徽省区利润表'!D67+'2025年江西省区利润表'!D67</f>
        <v>0</v>
      </c>
      <c r="E67" s="49">
        <f>'2025年安徽省区利润表'!E67+'2025年江西省区利润表'!E67</f>
        <v>0</v>
      </c>
      <c r="F67" s="49">
        <f>'2025年安徽省区利润表'!F67+'2025年江西省区利润表'!F67</f>
        <v>0</v>
      </c>
      <c r="G67" s="49">
        <f>'2025年安徽省区利润表'!G67+'2025年江西省区利润表'!G67</f>
        <v>0</v>
      </c>
      <c r="H67" s="49">
        <f>'2025年安徽省区利润表'!H67+'2025年江西省区利润表'!H67</f>
        <v>0</v>
      </c>
      <c r="I67" s="49">
        <f>'2025年安徽省区利润表'!I67+'2025年江西省区利润表'!I67</f>
        <v>0</v>
      </c>
      <c r="J67" s="49">
        <f>'2025年安徽省区利润表'!J67+'2025年江西省区利润表'!J67</f>
        <v>0</v>
      </c>
      <c r="K67" s="49">
        <f>'2025年安徽省区利润表'!K67+'2025年江西省区利润表'!K67</f>
        <v>0</v>
      </c>
      <c r="L67" s="49">
        <f>'2025年安徽省区利润表'!L67+'2025年江西省区利润表'!L67</f>
        <v>0</v>
      </c>
      <c r="M67" s="49">
        <f>'2025年安徽省区利润表'!M67+'2025年江西省区利润表'!M67</f>
        <v>0</v>
      </c>
      <c r="N67" s="49">
        <f>'2025年安徽省区利润表'!N67+'2025年江西省区利润表'!N67</f>
        <v>0</v>
      </c>
      <c r="O67" s="49">
        <f>'2025年安徽省区利润表'!O67+'2025年江西省区利润表'!O67</f>
        <v>0</v>
      </c>
      <c r="P67" s="49">
        <f>'2025年安徽省区利润表'!P67+'2025年江西省区利润表'!P67</f>
        <v>0</v>
      </c>
      <c r="Q67" s="49">
        <f>'2025年安徽省区利润表'!Q67+'2025年江西省区利润表'!Q67</f>
        <v>0</v>
      </c>
      <c r="R67" s="49">
        <f>'2025年安徽省区利润表'!R67+'2025年江西省区利润表'!R67</f>
        <v>0</v>
      </c>
      <c r="S67" s="49">
        <f>'2025年安徽省区利润表'!S67+'2025年江西省区利润表'!S67</f>
        <v>0</v>
      </c>
      <c r="T67" s="49">
        <f>'2025年安徽省区利润表'!T67+'2025年江西省区利润表'!T67</f>
        <v>0</v>
      </c>
      <c r="U67" s="49">
        <f>'2025年安徽省区利润表'!U67+'2025年江西省区利润表'!U67</f>
        <v>0</v>
      </c>
      <c r="V67" s="49">
        <f>'2025年安徽省区利润表'!V67+'2025年江西省区利润表'!V67</f>
        <v>0</v>
      </c>
      <c r="W67" s="49">
        <f>'2025年安徽省区利润表'!W67+'2025年江西省区利润表'!W67</f>
        <v>0</v>
      </c>
      <c r="X67" s="49">
        <f>'2025年安徽省区利润表'!X67+'2025年江西省区利润表'!X67</f>
        <v>0</v>
      </c>
      <c r="Y67" s="49">
        <f>'2025年安徽省区利润表'!Y67+'2025年江西省区利润表'!Y67</f>
        <v>0</v>
      </c>
      <c r="Z67" s="49">
        <f>'2025年安徽省区利润表'!Z67+'2025年江西省区利润表'!Z67</f>
        <v>0</v>
      </c>
      <c r="AA67" s="51">
        <f t="shared" si="12"/>
        <v>0</v>
      </c>
      <c r="AB67" s="51">
        <f t="shared" si="13"/>
        <v>0</v>
      </c>
      <c r="AC67" s="22"/>
      <c r="AD67" s="31">
        <f t="shared" si="14"/>
        <v>0</v>
      </c>
      <c r="AE67" s="31">
        <f t="shared" si="15"/>
        <v>0</v>
      </c>
      <c r="AF67" s="17">
        <f t="shared" si="18"/>
        <v>0</v>
      </c>
      <c r="AG67" s="17">
        <f t="shared" si="19"/>
        <v>0</v>
      </c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61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</row>
    <row r="68" spans="1:123" s="19" customFormat="1" ht="18" customHeight="1" outlineLevel="2" x14ac:dyDescent="0.25">
      <c r="A68" s="48" t="s">
        <v>145</v>
      </c>
      <c r="B68" s="53"/>
      <c r="C68" s="49">
        <f>'2025年安徽省区利润表'!C68+'2025年江西省区利润表'!C68</f>
        <v>0</v>
      </c>
      <c r="D68" s="49">
        <f>'2025年安徽省区利润表'!D68+'2025年江西省区利润表'!D68</f>
        <v>0</v>
      </c>
      <c r="E68" s="49">
        <f>'2025年安徽省区利润表'!E68+'2025年江西省区利润表'!E68</f>
        <v>0</v>
      </c>
      <c r="F68" s="49">
        <f>'2025年安徽省区利润表'!F68+'2025年江西省区利润表'!F68</f>
        <v>0</v>
      </c>
      <c r="G68" s="49">
        <f>'2025年安徽省区利润表'!G68+'2025年江西省区利润表'!G68</f>
        <v>0</v>
      </c>
      <c r="H68" s="49">
        <f>'2025年安徽省区利润表'!H68+'2025年江西省区利润表'!H68</f>
        <v>0</v>
      </c>
      <c r="I68" s="49">
        <f>'2025年安徽省区利润表'!I68+'2025年江西省区利润表'!I68</f>
        <v>0</v>
      </c>
      <c r="J68" s="49">
        <f>'2025年安徽省区利润表'!J68+'2025年江西省区利润表'!J68</f>
        <v>0</v>
      </c>
      <c r="K68" s="49">
        <f>'2025年安徽省区利润表'!K68+'2025年江西省区利润表'!K68</f>
        <v>0</v>
      </c>
      <c r="L68" s="49">
        <f>'2025年安徽省区利润表'!L68+'2025年江西省区利润表'!L68</f>
        <v>0</v>
      </c>
      <c r="M68" s="49">
        <f>'2025年安徽省区利润表'!M68+'2025年江西省区利润表'!M68</f>
        <v>0</v>
      </c>
      <c r="N68" s="49">
        <f>'2025年安徽省区利润表'!N68+'2025年江西省区利润表'!N68</f>
        <v>0</v>
      </c>
      <c r="O68" s="49">
        <f>'2025年安徽省区利润表'!O68+'2025年江西省区利润表'!O68</f>
        <v>0</v>
      </c>
      <c r="P68" s="49">
        <f>'2025年安徽省区利润表'!P68+'2025年江西省区利润表'!P68</f>
        <v>0</v>
      </c>
      <c r="Q68" s="49">
        <f>'2025年安徽省区利润表'!Q68+'2025年江西省区利润表'!Q68</f>
        <v>0</v>
      </c>
      <c r="R68" s="49">
        <f>'2025年安徽省区利润表'!R68+'2025年江西省区利润表'!R68</f>
        <v>0</v>
      </c>
      <c r="S68" s="49">
        <f>'2025年安徽省区利润表'!S68+'2025年江西省区利润表'!S68</f>
        <v>0</v>
      </c>
      <c r="T68" s="49">
        <f>'2025年安徽省区利润表'!T68+'2025年江西省区利润表'!T68</f>
        <v>0</v>
      </c>
      <c r="U68" s="49">
        <f>'2025年安徽省区利润表'!U68+'2025年江西省区利润表'!U68</f>
        <v>0</v>
      </c>
      <c r="V68" s="49">
        <f>'2025年安徽省区利润表'!V68+'2025年江西省区利润表'!V68</f>
        <v>0</v>
      </c>
      <c r="W68" s="49">
        <f>'2025年安徽省区利润表'!W68+'2025年江西省区利润表'!W68</f>
        <v>0</v>
      </c>
      <c r="X68" s="49">
        <f>'2025年安徽省区利润表'!X68+'2025年江西省区利润表'!X68</f>
        <v>0</v>
      </c>
      <c r="Y68" s="49">
        <f>'2025年安徽省区利润表'!Y68+'2025年江西省区利润表'!Y68</f>
        <v>0</v>
      </c>
      <c r="Z68" s="49">
        <f>'2025年安徽省区利润表'!Z68+'2025年江西省区利润表'!Z68</f>
        <v>0</v>
      </c>
      <c r="AA68" s="51">
        <f t="shared" si="12"/>
        <v>0</v>
      </c>
      <c r="AB68" s="51">
        <f t="shared" si="13"/>
        <v>0</v>
      </c>
      <c r="AC68" s="22"/>
      <c r="AD68" s="31">
        <f t="shared" si="14"/>
        <v>0</v>
      </c>
      <c r="AE68" s="31">
        <f t="shared" si="15"/>
        <v>0</v>
      </c>
      <c r="AF68" s="17">
        <f t="shared" si="18"/>
        <v>0</v>
      </c>
      <c r="AG68" s="17">
        <f t="shared" si="19"/>
        <v>0</v>
      </c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61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</row>
    <row r="69" spans="1:123" s="19" customFormat="1" ht="18" customHeight="1" outlineLevel="2" x14ac:dyDescent="0.25">
      <c r="A69" s="48" t="s">
        <v>146</v>
      </c>
      <c r="B69" s="53"/>
      <c r="C69" s="49">
        <f>'2025年安徽省区利润表'!C69+'2025年江西省区利润表'!C69</f>
        <v>0</v>
      </c>
      <c r="D69" s="49">
        <f>'2025年安徽省区利润表'!D69+'2025年江西省区利润表'!D69</f>
        <v>0</v>
      </c>
      <c r="E69" s="49">
        <f>'2025年安徽省区利润表'!E69+'2025年江西省区利润表'!E69</f>
        <v>0</v>
      </c>
      <c r="F69" s="49">
        <f>'2025年安徽省区利润表'!F69+'2025年江西省区利润表'!F69</f>
        <v>0</v>
      </c>
      <c r="G69" s="49">
        <f>'2025年安徽省区利润表'!G69+'2025年江西省区利润表'!G69</f>
        <v>0</v>
      </c>
      <c r="H69" s="49">
        <f>'2025年安徽省区利润表'!H69+'2025年江西省区利润表'!H69</f>
        <v>0</v>
      </c>
      <c r="I69" s="49">
        <f>'2025年安徽省区利润表'!I69+'2025年江西省区利润表'!I69</f>
        <v>0</v>
      </c>
      <c r="J69" s="49">
        <f>'2025年安徽省区利润表'!J69+'2025年江西省区利润表'!J69</f>
        <v>0</v>
      </c>
      <c r="K69" s="49">
        <f>'2025年安徽省区利润表'!K69+'2025年江西省区利润表'!K69</f>
        <v>0</v>
      </c>
      <c r="L69" s="49">
        <f>'2025年安徽省区利润表'!L69+'2025年江西省区利润表'!L69</f>
        <v>0</v>
      </c>
      <c r="M69" s="49">
        <f>'2025年安徽省区利润表'!M69+'2025年江西省区利润表'!M69</f>
        <v>0</v>
      </c>
      <c r="N69" s="49">
        <f>'2025年安徽省区利润表'!N69+'2025年江西省区利润表'!N69</f>
        <v>0</v>
      </c>
      <c r="O69" s="49">
        <f>'2025年安徽省区利润表'!O69+'2025年江西省区利润表'!O69</f>
        <v>0</v>
      </c>
      <c r="P69" s="49">
        <f>'2025年安徽省区利润表'!P69+'2025年江西省区利润表'!P69</f>
        <v>0</v>
      </c>
      <c r="Q69" s="49">
        <f>'2025年安徽省区利润表'!Q69+'2025年江西省区利润表'!Q69</f>
        <v>0</v>
      </c>
      <c r="R69" s="49">
        <f>'2025年安徽省区利润表'!R69+'2025年江西省区利润表'!R69</f>
        <v>0</v>
      </c>
      <c r="S69" s="49">
        <f>'2025年安徽省区利润表'!S69+'2025年江西省区利润表'!S69</f>
        <v>0</v>
      </c>
      <c r="T69" s="49">
        <f>'2025年安徽省区利润表'!T69+'2025年江西省区利润表'!T69</f>
        <v>0</v>
      </c>
      <c r="U69" s="49">
        <f>'2025年安徽省区利润表'!U69+'2025年江西省区利润表'!U69</f>
        <v>0</v>
      </c>
      <c r="V69" s="49">
        <f>'2025年安徽省区利润表'!V69+'2025年江西省区利润表'!V69</f>
        <v>0</v>
      </c>
      <c r="W69" s="49">
        <f>'2025年安徽省区利润表'!W69+'2025年江西省区利润表'!W69</f>
        <v>0</v>
      </c>
      <c r="X69" s="49">
        <f>'2025年安徽省区利润表'!X69+'2025年江西省区利润表'!X69</f>
        <v>0</v>
      </c>
      <c r="Y69" s="49">
        <f>'2025年安徽省区利润表'!Y69+'2025年江西省区利润表'!Y69</f>
        <v>0</v>
      </c>
      <c r="Z69" s="49">
        <f>'2025年安徽省区利润表'!Z69+'2025年江西省区利润表'!Z69</f>
        <v>0</v>
      </c>
      <c r="AA69" s="51">
        <f t="shared" si="12"/>
        <v>0</v>
      </c>
      <c r="AB69" s="51">
        <f t="shared" si="13"/>
        <v>0</v>
      </c>
      <c r="AC69" s="22"/>
      <c r="AD69" s="31">
        <f t="shared" si="14"/>
        <v>0</v>
      </c>
      <c r="AE69" s="31">
        <f t="shared" si="15"/>
        <v>0</v>
      </c>
      <c r="AF69" s="17">
        <f t="shared" si="18"/>
        <v>0</v>
      </c>
      <c r="AG69" s="17">
        <f t="shared" si="19"/>
        <v>0</v>
      </c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61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</row>
    <row r="70" spans="1:123" s="19" customFormat="1" ht="18" customHeight="1" outlineLevel="1" x14ac:dyDescent="0.25">
      <c r="A70" s="48" t="s">
        <v>147</v>
      </c>
      <c r="B70" s="53"/>
      <c r="C70" s="49">
        <f>'2025年安徽省区利润表'!C70+'2025年江西省区利润表'!C70</f>
        <v>0</v>
      </c>
      <c r="D70" s="49">
        <f>'2025年安徽省区利润表'!D70+'2025年江西省区利润表'!D70</f>
        <v>0</v>
      </c>
      <c r="E70" s="49">
        <f>'2025年安徽省区利润表'!E70+'2025年江西省区利润表'!E70</f>
        <v>0</v>
      </c>
      <c r="F70" s="49">
        <f>'2025年安徽省区利润表'!F70+'2025年江西省区利润表'!F70</f>
        <v>0</v>
      </c>
      <c r="G70" s="49">
        <f>'2025年安徽省区利润表'!G70+'2025年江西省区利润表'!G70</f>
        <v>0</v>
      </c>
      <c r="H70" s="49">
        <f>'2025年安徽省区利润表'!H70+'2025年江西省区利润表'!H70</f>
        <v>0</v>
      </c>
      <c r="I70" s="49">
        <f>'2025年安徽省区利润表'!I70+'2025年江西省区利润表'!I70</f>
        <v>0</v>
      </c>
      <c r="J70" s="49">
        <f>'2025年安徽省区利润表'!J70+'2025年江西省区利润表'!J70</f>
        <v>0</v>
      </c>
      <c r="K70" s="49">
        <f>'2025年安徽省区利润表'!K70+'2025年江西省区利润表'!K70</f>
        <v>0</v>
      </c>
      <c r="L70" s="49">
        <f>'2025年安徽省区利润表'!L70+'2025年江西省区利润表'!L70</f>
        <v>0</v>
      </c>
      <c r="M70" s="49">
        <f>'2025年安徽省区利润表'!M70+'2025年江西省区利润表'!M70</f>
        <v>0</v>
      </c>
      <c r="N70" s="49">
        <f>'2025年安徽省区利润表'!N70+'2025年江西省区利润表'!N70</f>
        <v>0</v>
      </c>
      <c r="O70" s="49">
        <f>'2025年安徽省区利润表'!O70+'2025年江西省区利润表'!O70</f>
        <v>0</v>
      </c>
      <c r="P70" s="49">
        <f>'2025年安徽省区利润表'!P70+'2025年江西省区利润表'!P70</f>
        <v>0</v>
      </c>
      <c r="Q70" s="49">
        <f>'2025年安徽省区利润表'!Q70+'2025年江西省区利润表'!Q70</f>
        <v>0</v>
      </c>
      <c r="R70" s="49">
        <f>'2025年安徽省区利润表'!R70+'2025年江西省区利润表'!R70</f>
        <v>0</v>
      </c>
      <c r="S70" s="49">
        <f>'2025年安徽省区利润表'!S70+'2025年江西省区利润表'!S70</f>
        <v>0</v>
      </c>
      <c r="T70" s="49">
        <f>'2025年安徽省区利润表'!T70+'2025年江西省区利润表'!T70</f>
        <v>0</v>
      </c>
      <c r="U70" s="49">
        <f>'2025年安徽省区利润表'!U70+'2025年江西省区利润表'!U70</f>
        <v>0</v>
      </c>
      <c r="V70" s="49">
        <f>'2025年安徽省区利润表'!V70+'2025年江西省区利润表'!V70</f>
        <v>0</v>
      </c>
      <c r="W70" s="49">
        <f>'2025年安徽省区利润表'!W70+'2025年江西省区利润表'!W70</f>
        <v>0</v>
      </c>
      <c r="X70" s="49">
        <f>'2025年安徽省区利润表'!X70+'2025年江西省区利润表'!X70</f>
        <v>0</v>
      </c>
      <c r="Y70" s="49">
        <f>'2025年安徽省区利润表'!Y70+'2025年江西省区利润表'!Y70</f>
        <v>0</v>
      </c>
      <c r="Z70" s="49">
        <f>'2025年安徽省区利润表'!Z70+'2025年江西省区利润表'!Z70</f>
        <v>0</v>
      </c>
      <c r="AA70" s="51">
        <f t="shared" si="12"/>
        <v>0</v>
      </c>
      <c r="AB70" s="51">
        <f t="shared" si="13"/>
        <v>0</v>
      </c>
      <c r="AC70" s="22"/>
      <c r="AD70" s="31">
        <f t="shared" si="14"/>
        <v>0</v>
      </c>
      <c r="AE70" s="31">
        <f t="shared" si="15"/>
        <v>0</v>
      </c>
      <c r="AF70" s="17">
        <f t="shared" si="18"/>
        <v>0</v>
      </c>
      <c r="AG70" s="17">
        <f t="shared" si="19"/>
        <v>0</v>
      </c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61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</row>
    <row r="71" spans="1:123" s="19" customFormat="1" ht="18" customHeight="1" outlineLevel="1" x14ac:dyDescent="0.25">
      <c r="A71" s="48" t="s">
        <v>148</v>
      </c>
      <c r="B71" s="53"/>
      <c r="C71" s="49">
        <f>'2025年安徽省区利润表'!C71+'2025年江西省区利润表'!C71</f>
        <v>0</v>
      </c>
      <c r="D71" s="49">
        <f>'2025年安徽省区利润表'!D71+'2025年江西省区利润表'!D71</f>
        <v>0</v>
      </c>
      <c r="E71" s="49">
        <f>'2025年安徽省区利润表'!E71+'2025年江西省区利润表'!E71</f>
        <v>0</v>
      </c>
      <c r="F71" s="49">
        <f>'2025年安徽省区利润表'!F71+'2025年江西省区利润表'!F71</f>
        <v>0</v>
      </c>
      <c r="G71" s="49">
        <f>'2025年安徽省区利润表'!G71+'2025年江西省区利润表'!G71</f>
        <v>1500</v>
      </c>
      <c r="H71" s="49">
        <f>'2025年安徽省区利润表'!H71+'2025年江西省区利润表'!H71</f>
        <v>0</v>
      </c>
      <c r="I71" s="49">
        <f>'2025年安徽省区利润表'!I71+'2025年江西省区利润表'!I71</f>
        <v>0</v>
      </c>
      <c r="J71" s="49">
        <f>'2025年安徽省区利润表'!J71+'2025年江西省区利润表'!J71</f>
        <v>0</v>
      </c>
      <c r="K71" s="49">
        <f>'2025年安徽省区利润表'!K71+'2025年江西省区利润表'!K71</f>
        <v>0</v>
      </c>
      <c r="L71" s="49">
        <f>'2025年安徽省区利润表'!L71+'2025年江西省区利润表'!L71</f>
        <v>0</v>
      </c>
      <c r="M71" s="49">
        <f>'2025年安徽省区利润表'!M71+'2025年江西省区利润表'!M71</f>
        <v>0</v>
      </c>
      <c r="N71" s="49">
        <f>'2025年安徽省区利润表'!N71+'2025年江西省区利润表'!N71</f>
        <v>0</v>
      </c>
      <c r="O71" s="49">
        <f>'2025年安徽省区利润表'!O71+'2025年江西省区利润表'!O71</f>
        <v>0</v>
      </c>
      <c r="P71" s="49">
        <f>'2025年安徽省区利润表'!P71+'2025年江西省区利润表'!P71</f>
        <v>0</v>
      </c>
      <c r="Q71" s="49">
        <f>'2025年安徽省区利润表'!Q71+'2025年江西省区利润表'!Q71</f>
        <v>0</v>
      </c>
      <c r="R71" s="49">
        <f>'2025年安徽省区利润表'!R71+'2025年江西省区利润表'!R71</f>
        <v>0</v>
      </c>
      <c r="S71" s="49">
        <f>'2025年安徽省区利润表'!S71+'2025年江西省区利润表'!S71</f>
        <v>0</v>
      </c>
      <c r="T71" s="49">
        <f>'2025年安徽省区利润表'!T71+'2025年江西省区利润表'!T71</f>
        <v>0</v>
      </c>
      <c r="U71" s="49">
        <f>'2025年安徽省区利润表'!U71+'2025年江西省区利润表'!U71</f>
        <v>0</v>
      </c>
      <c r="V71" s="49">
        <f>'2025年安徽省区利润表'!V71+'2025年江西省区利润表'!V71</f>
        <v>0</v>
      </c>
      <c r="W71" s="49">
        <f>'2025年安徽省区利润表'!W71+'2025年江西省区利润表'!W71</f>
        <v>0</v>
      </c>
      <c r="X71" s="49">
        <f>'2025年安徽省区利润表'!X71+'2025年江西省区利润表'!X71</f>
        <v>0</v>
      </c>
      <c r="Y71" s="49">
        <f>'2025年安徽省区利润表'!Y71+'2025年江西省区利润表'!Y71</f>
        <v>0</v>
      </c>
      <c r="Z71" s="49">
        <f>'2025年安徽省区利润表'!Z71+'2025年江西省区利润表'!Z71</f>
        <v>0</v>
      </c>
      <c r="AA71" s="51">
        <f t="shared" si="12"/>
        <v>1500</v>
      </c>
      <c r="AB71" s="51">
        <f t="shared" si="13"/>
        <v>0</v>
      </c>
      <c r="AC71" s="22"/>
      <c r="AD71" s="31">
        <f t="shared" si="14"/>
        <v>1500</v>
      </c>
      <c r="AE71" s="31">
        <f t="shared" si="15"/>
        <v>0</v>
      </c>
      <c r="AF71" s="17">
        <f t="shared" si="18"/>
        <v>0</v>
      </c>
      <c r="AG71" s="17">
        <f t="shared" si="19"/>
        <v>0</v>
      </c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61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</row>
    <row r="72" spans="1:123" s="19" customFormat="1" ht="18" customHeight="1" outlineLevel="1" x14ac:dyDescent="0.25">
      <c r="A72" s="48" t="s">
        <v>149</v>
      </c>
      <c r="B72" s="53"/>
      <c r="C72" s="49">
        <f>'2025年安徽省区利润表'!C72+'2025年江西省区利润表'!C72</f>
        <v>0</v>
      </c>
      <c r="D72" s="49">
        <f>'2025年安徽省区利润表'!D72+'2025年江西省区利润表'!D72</f>
        <v>0</v>
      </c>
      <c r="E72" s="49">
        <f>'2025年安徽省区利润表'!E72+'2025年江西省区利润表'!E72</f>
        <v>0</v>
      </c>
      <c r="F72" s="49">
        <f>'2025年安徽省区利润表'!F72+'2025年江西省区利润表'!F72</f>
        <v>0</v>
      </c>
      <c r="G72" s="49">
        <f>'2025年安徽省区利润表'!G72+'2025年江西省区利润表'!G72</f>
        <v>0</v>
      </c>
      <c r="H72" s="49">
        <f>'2025年安徽省区利润表'!H72+'2025年江西省区利润表'!H72</f>
        <v>0</v>
      </c>
      <c r="I72" s="49">
        <f>'2025年安徽省区利润表'!I72+'2025年江西省区利润表'!I72</f>
        <v>0</v>
      </c>
      <c r="J72" s="49">
        <f>'2025年安徽省区利润表'!J72+'2025年江西省区利润表'!J72</f>
        <v>0</v>
      </c>
      <c r="K72" s="49">
        <f>'2025年安徽省区利润表'!K72+'2025年江西省区利润表'!K72</f>
        <v>0</v>
      </c>
      <c r="L72" s="49">
        <f>'2025年安徽省区利润表'!L72+'2025年江西省区利润表'!L72</f>
        <v>0</v>
      </c>
      <c r="M72" s="49">
        <f>'2025年安徽省区利润表'!M72+'2025年江西省区利润表'!M72</f>
        <v>0</v>
      </c>
      <c r="N72" s="49">
        <f>'2025年安徽省区利润表'!N72+'2025年江西省区利润表'!N72</f>
        <v>0</v>
      </c>
      <c r="O72" s="49">
        <f>'2025年安徽省区利润表'!O72+'2025年江西省区利润表'!O72</f>
        <v>0</v>
      </c>
      <c r="P72" s="49">
        <f>'2025年安徽省区利润表'!P72+'2025年江西省区利润表'!P72</f>
        <v>0</v>
      </c>
      <c r="Q72" s="49">
        <f>'2025年安徽省区利润表'!Q72+'2025年江西省区利润表'!Q72</f>
        <v>0</v>
      </c>
      <c r="R72" s="49">
        <f>'2025年安徽省区利润表'!R72+'2025年江西省区利润表'!R72</f>
        <v>0</v>
      </c>
      <c r="S72" s="49">
        <f>'2025年安徽省区利润表'!S72+'2025年江西省区利润表'!S72</f>
        <v>0</v>
      </c>
      <c r="T72" s="49">
        <f>'2025年安徽省区利润表'!T72+'2025年江西省区利润表'!T72</f>
        <v>0</v>
      </c>
      <c r="U72" s="49">
        <f>'2025年安徽省区利润表'!U72+'2025年江西省区利润表'!U72</f>
        <v>0</v>
      </c>
      <c r="V72" s="49">
        <f>'2025年安徽省区利润表'!V72+'2025年江西省区利润表'!V72</f>
        <v>0</v>
      </c>
      <c r="W72" s="49">
        <f>'2025年安徽省区利润表'!W72+'2025年江西省区利润表'!W72</f>
        <v>0</v>
      </c>
      <c r="X72" s="49">
        <f>'2025年安徽省区利润表'!X72+'2025年江西省区利润表'!X72</f>
        <v>0</v>
      </c>
      <c r="Y72" s="49">
        <f>'2025年安徽省区利润表'!Y72+'2025年江西省区利润表'!Y72</f>
        <v>0</v>
      </c>
      <c r="Z72" s="49">
        <f>'2025年安徽省区利润表'!Z72+'2025年江西省区利润表'!Z72</f>
        <v>0</v>
      </c>
      <c r="AA72" s="51">
        <f t="shared" si="12"/>
        <v>0</v>
      </c>
      <c r="AB72" s="51">
        <f t="shared" si="13"/>
        <v>0</v>
      </c>
      <c r="AC72" s="22"/>
      <c r="AD72" s="31">
        <f t="shared" si="14"/>
        <v>0</v>
      </c>
      <c r="AE72" s="31">
        <f t="shared" si="15"/>
        <v>0</v>
      </c>
      <c r="AF72" s="17">
        <f t="shared" si="18"/>
        <v>0</v>
      </c>
      <c r="AG72" s="17">
        <f t="shared" si="19"/>
        <v>0</v>
      </c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61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</row>
    <row r="73" spans="1:123" s="19" customFormat="1" ht="18" customHeight="1" outlineLevel="1" x14ac:dyDescent="0.25">
      <c r="A73" s="48" t="s">
        <v>150</v>
      </c>
      <c r="B73" s="53"/>
      <c r="C73" s="49">
        <f>'2025年安徽省区利润表'!C73+'2025年江西省区利润表'!C73</f>
        <v>1000</v>
      </c>
      <c r="D73" s="49">
        <f>'2025年安徽省区利润表'!D73+'2025年江西省区利润表'!D73</f>
        <v>347.38</v>
      </c>
      <c r="E73" s="49">
        <f>'2025年安徽省区利润表'!E73+'2025年江西省区利润表'!E73</f>
        <v>1000</v>
      </c>
      <c r="F73" s="49">
        <f>'2025年安徽省区利润表'!F73+'2025年江西省区利润表'!F73</f>
        <v>771.62000000000012</v>
      </c>
      <c r="G73" s="49">
        <f>'2025年安徽省区利润表'!G73+'2025年江西省区利润表'!G73</f>
        <v>1000</v>
      </c>
      <c r="H73" s="49">
        <f>'2025年安徽省区利润表'!H73+'2025年江西省区利润表'!H73</f>
        <v>1300.52</v>
      </c>
      <c r="I73" s="49">
        <f>'2025年安徽省区利润表'!I73+'2025年江西省区利润表'!I73</f>
        <v>1000</v>
      </c>
      <c r="J73" s="49">
        <f>'2025年安徽省区利润表'!J73+'2025年江西省区利润表'!J73</f>
        <v>1886.6100000000001</v>
      </c>
      <c r="K73" s="49">
        <f>'2025年安徽省区利润表'!K73+'2025年江西省区利润表'!K73</f>
        <v>1000</v>
      </c>
      <c r="L73" s="49">
        <f>'2025年安徽省区利润表'!L73+'2025年江西省区利润表'!L73</f>
        <v>933.26</v>
      </c>
      <c r="M73" s="49">
        <f>'2025年安徽省区利润表'!M73+'2025年江西省区利润表'!M73</f>
        <v>1000</v>
      </c>
      <c r="N73" s="49">
        <f>'2025年安徽省区利润表'!N73+'2025年江西省区利润表'!N73</f>
        <v>699.14</v>
      </c>
      <c r="O73" s="49">
        <f>'2025年安徽省区利润表'!O73+'2025年江西省区利润表'!O73</f>
        <v>1000</v>
      </c>
      <c r="P73" s="49">
        <f>'2025年安徽省区利润表'!P73+'2025年江西省区利润表'!P73</f>
        <v>1351.48</v>
      </c>
      <c r="Q73" s="49">
        <f>'2025年安徽省区利润表'!Q73+'2025年江西省区利润表'!Q73</f>
        <v>1000</v>
      </c>
      <c r="R73" s="49">
        <f>'2025年安徽省区利润表'!R73+'2025年江西省区利润表'!R73</f>
        <v>950.88</v>
      </c>
      <c r="S73" s="49">
        <f>'2025年安徽省区利润表'!S73+'2025年江西省区利润表'!S73</f>
        <v>1000</v>
      </c>
      <c r="T73" s="49">
        <f>'2025年安徽省区利润表'!T73+'2025年江西省区利润表'!T73</f>
        <v>618.01</v>
      </c>
      <c r="U73" s="49">
        <f>'2025年安徽省区利润表'!U73+'2025年江西省区利润表'!U73</f>
        <v>1000</v>
      </c>
      <c r="V73" s="49">
        <f>'2025年安徽省区利润表'!V73+'2025年江西省区利润表'!V73</f>
        <v>836.02</v>
      </c>
      <c r="W73" s="49">
        <f>'2025年安徽省区利润表'!W73+'2025年江西省区利润表'!W73</f>
        <v>1000</v>
      </c>
      <c r="X73" s="49">
        <f>'2025年安徽省区利润表'!X73+'2025年江西省区利润表'!X73</f>
        <v>758.17000000000007</v>
      </c>
      <c r="Y73" s="49">
        <f>'2025年安徽省区利润表'!Y73+'2025年江西省区利润表'!Y73</f>
        <v>1000</v>
      </c>
      <c r="Z73" s="49">
        <f>'2025年安徽省区利润表'!Z73+'2025年江西省区利润表'!Z73</f>
        <v>720.23</v>
      </c>
      <c r="AA73" s="51">
        <f t="shared" si="12"/>
        <v>12000</v>
      </c>
      <c r="AB73" s="51">
        <f t="shared" si="13"/>
        <v>11173.32</v>
      </c>
      <c r="AC73" s="22"/>
      <c r="AD73" s="31">
        <f t="shared" si="14"/>
        <v>12000</v>
      </c>
      <c r="AE73" s="31">
        <f t="shared" si="15"/>
        <v>11173.32</v>
      </c>
      <c r="AF73" s="17">
        <f t="shared" si="18"/>
        <v>0</v>
      </c>
      <c r="AG73" s="17">
        <f t="shared" si="19"/>
        <v>0</v>
      </c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61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</row>
    <row r="74" spans="1:123" s="19" customFormat="1" ht="18" customHeight="1" outlineLevel="1" x14ac:dyDescent="0.25">
      <c r="A74" s="48" t="s">
        <v>151</v>
      </c>
      <c r="B74" s="53"/>
      <c r="C74" s="49">
        <f>'2025年安徽省区利润表'!C74+'2025年江西省区利润表'!C74</f>
        <v>0</v>
      </c>
      <c r="D74" s="49">
        <f>'2025年安徽省区利润表'!D74+'2025年江西省区利润表'!D74</f>
        <v>0</v>
      </c>
      <c r="E74" s="49">
        <f>'2025年安徽省区利润表'!E74+'2025年江西省区利润表'!E74</f>
        <v>0</v>
      </c>
      <c r="F74" s="49">
        <f>'2025年安徽省区利润表'!F74+'2025年江西省区利润表'!F74</f>
        <v>0</v>
      </c>
      <c r="G74" s="49">
        <f>'2025年安徽省区利润表'!G74+'2025年江西省区利润表'!G74</f>
        <v>0</v>
      </c>
      <c r="H74" s="49">
        <f>'2025年安徽省区利润表'!H74+'2025年江西省区利润表'!H74</f>
        <v>0</v>
      </c>
      <c r="I74" s="49">
        <f>'2025年安徽省区利润表'!I74+'2025年江西省区利润表'!I74</f>
        <v>0</v>
      </c>
      <c r="J74" s="49">
        <f>'2025年安徽省区利润表'!J74+'2025年江西省区利润表'!J74</f>
        <v>0</v>
      </c>
      <c r="K74" s="49">
        <f>'2025年安徽省区利润表'!K74+'2025年江西省区利润表'!K74</f>
        <v>0</v>
      </c>
      <c r="L74" s="49">
        <f>'2025年安徽省区利润表'!L74+'2025年江西省区利润表'!L74</f>
        <v>0</v>
      </c>
      <c r="M74" s="49">
        <f>'2025年安徽省区利润表'!M74+'2025年江西省区利润表'!M74</f>
        <v>0</v>
      </c>
      <c r="N74" s="49">
        <f>'2025年安徽省区利润表'!N74+'2025年江西省区利润表'!N74</f>
        <v>0</v>
      </c>
      <c r="O74" s="49">
        <f>'2025年安徽省区利润表'!O74+'2025年江西省区利润表'!O74</f>
        <v>0</v>
      </c>
      <c r="P74" s="49">
        <f>'2025年安徽省区利润表'!P74+'2025年江西省区利润表'!P74</f>
        <v>0</v>
      </c>
      <c r="Q74" s="49">
        <f>'2025年安徽省区利润表'!Q74+'2025年江西省区利润表'!Q74</f>
        <v>0</v>
      </c>
      <c r="R74" s="49">
        <f>'2025年安徽省区利润表'!R74+'2025年江西省区利润表'!R74</f>
        <v>0</v>
      </c>
      <c r="S74" s="49">
        <f>'2025年安徽省区利润表'!S74+'2025年江西省区利润表'!S74</f>
        <v>0</v>
      </c>
      <c r="T74" s="49">
        <f>'2025年安徽省区利润表'!T74+'2025年江西省区利润表'!T74</f>
        <v>0</v>
      </c>
      <c r="U74" s="49">
        <f>'2025年安徽省区利润表'!U74+'2025年江西省区利润表'!U74</f>
        <v>0</v>
      </c>
      <c r="V74" s="49">
        <f>'2025年安徽省区利润表'!V74+'2025年江西省区利润表'!V74</f>
        <v>0</v>
      </c>
      <c r="W74" s="49">
        <f>'2025年安徽省区利润表'!W74+'2025年江西省区利润表'!W74</f>
        <v>0</v>
      </c>
      <c r="X74" s="49">
        <f>'2025年安徽省区利润表'!X74+'2025年江西省区利润表'!X74</f>
        <v>0</v>
      </c>
      <c r="Y74" s="49">
        <f>'2025年安徽省区利润表'!Y74+'2025年江西省区利润表'!Y74</f>
        <v>0</v>
      </c>
      <c r="Z74" s="49">
        <f>'2025年安徽省区利润表'!Z74+'2025年江西省区利润表'!Z74</f>
        <v>0</v>
      </c>
      <c r="AA74" s="51">
        <f t="shared" si="12"/>
        <v>0</v>
      </c>
      <c r="AB74" s="51">
        <f t="shared" si="13"/>
        <v>0</v>
      </c>
      <c r="AC74" s="22"/>
      <c r="AD74" s="31">
        <f t="shared" si="14"/>
        <v>0</v>
      </c>
      <c r="AE74" s="31">
        <f t="shared" si="15"/>
        <v>0</v>
      </c>
      <c r="AF74" s="17">
        <f t="shared" si="18"/>
        <v>0</v>
      </c>
      <c r="AG74" s="17">
        <f t="shared" si="19"/>
        <v>0</v>
      </c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61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</row>
    <row r="75" spans="1:123" s="19" customFormat="1" ht="18" customHeight="1" outlineLevel="1" x14ac:dyDescent="0.25">
      <c r="A75" s="48" t="s">
        <v>152</v>
      </c>
      <c r="B75" s="53"/>
      <c r="C75" s="49">
        <f>'2025年安徽省区利润表'!C75+'2025年江西省区利润表'!C75</f>
        <v>0</v>
      </c>
      <c r="D75" s="49">
        <f>'2025年安徽省区利润表'!D75+'2025年江西省区利润表'!D75</f>
        <v>0</v>
      </c>
      <c r="E75" s="49">
        <f>'2025年安徽省区利润表'!E75+'2025年江西省区利润表'!E75</f>
        <v>0</v>
      </c>
      <c r="F75" s="49">
        <f>'2025年安徽省区利润表'!F75+'2025年江西省区利润表'!F75</f>
        <v>0</v>
      </c>
      <c r="G75" s="49">
        <f>'2025年安徽省区利润表'!G75+'2025年江西省区利润表'!G75</f>
        <v>0</v>
      </c>
      <c r="H75" s="49">
        <f>'2025年安徽省区利润表'!H75+'2025年江西省区利润表'!H75</f>
        <v>0</v>
      </c>
      <c r="I75" s="49">
        <f>'2025年安徽省区利润表'!I75+'2025年江西省区利润表'!I75</f>
        <v>0</v>
      </c>
      <c r="J75" s="49">
        <f>'2025年安徽省区利润表'!J75+'2025年江西省区利润表'!J75</f>
        <v>0</v>
      </c>
      <c r="K75" s="49">
        <f>'2025年安徽省区利润表'!K75+'2025年江西省区利润表'!K75</f>
        <v>0</v>
      </c>
      <c r="L75" s="49">
        <f>'2025年安徽省区利润表'!L75+'2025年江西省区利润表'!L75</f>
        <v>0</v>
      </c>
      <c r="M75" s="49">
        <f>'2025年安徽省区利润表'!M75+'2025年江西省区利润表'!M75</f>
        <v>0</v>
      </c>
      <c r="N75" s="49">
        <f>'2025年安徽省区利润表'!N75+'2025年江西省区利润表'!N75</f>
        <v>0</v>
      </c>
      <c r="O75" s="49">
        <f>'2025年安徽省区利润表'!O75+'2025年江西省区利润表'!O75</f>
        <v>0</v>
      </c>
      <c r="P75" s="49">
        <f>'2025年安徽省区利润表'!P75+'2025年江西省区利润表'!P75</f>
        <v>0</v>
      </c>
      <c r="Q75" s="49">
        <f>'2025年安徽省区利润表'!Q75+'2025年江西省区利润表'!Q75</f>
        <v>0</v>
      </c>
      <c r="R75" s="49">
        <f>'2025年安徽省区利润表'!R75+'2025年江西省区利润表'!R75</f>
        <v>0</v>
      </c>
      <c r="S75" s="49">
        <f>'2025年安徽省区利润表'!S75+'2025年江西省区利润表'!S75</f>
        <v>0</v>
      </c>
      <c r="T75" s="49">
        <f>'2025年安徽省区利润表'!T75+'2025年江西省区利润表'!T75</f>
        <v>0</v>
      </c>
      <c r="U75" s="49">
        <f>'2025年安徽省区利润表'!U75+'2025年江西省区利润表'!U75</f>
        <v>0</v>
      </c>
      <c r="V75" s="49">
        <f>'2025年安徽省区利润表'!V75+'2025年江西省区利润表'!V75</f>
        <v>0</v>
      </c>
      <c r="W75" s="49">
        <f>'2025年安徽省区利润表'!W75+'2025年江西省区利润表'!W75</f>
        <v>0</v>
      </c>
      <c r="X75" s="49">
        <f>'2025年安徽省区利润表'!X75+'2025年江西省区利润表'!X75</f>
        <v>0</v>
      </c>
      <c r="Y75" s="49">
        <f>'2025年安徽省区利润表'!Y75+'2025年江西省区利润表'!Y75</f>
        <v>0</v>
      </c>
      <c r="Z75" s="49">
        <f>'2025年安徽省区利润表'!Z75+'2025年江西省区利润表'!Z75</f>
        <v>0</v>
      </c>
      <c r="AA75" s="51">
        <f t="shared" si="12"/>
        <v>0</v>
      </c>
      <c r="AB75" s="51">
        <f t="shared" si="13"/>
        <v>0</v>
      </c>
      <c r="AC75" s="22"/>
      <c r="AD75" s="31">
        <f t="shared" si="14"/>
        <v>0</v>
      </c>
      <c r="AE75" s="31">
        <f t="shared" si="15"/>
        <v>0</v>
      </c>
      <c r="AF75" s="17">
        <f t="shared" si="18"/>
        <v>0</v>
      </c>
      <c r="AG75" s="17">
        <f t="shared" si="19"/>
        <v>0</v>
      </c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61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</row>
    <row r="76" spans="1:123" s="19" customFormat="1" ht="18" customHeight="1" outlineLevel="1" x14ac:dyDescent="0.25">
      <c r="A76" s="48" t="s">
        <v>153</v>
      </c>
      <c r="B76" s="53"/>
      <c r="C76" s="49">
        <f>'2025年安徽省区利润表'!C76+'2025年江西省区利润表'!C76</f>
        <v>0</v>
      </c>
      <c r="D76" s="49">
        <f>'2025年安徽省区利润表'!D76+'2025年江西省区利润表'!D76</f>
        <v>0</v>
      </c>
      <c r="E76" s="49">
        <f>'2025年安徽省区利润表'!E76+'2025年江西省区利润表'!E76</f>
        <v>0</v>
      </c>
      <c r="F76" s="49">
        <f>'2025年安徽省区利润表'!F76+'2025年江西省区利润表'!F76</f>
        <v>1450</v>
      </c>
      <c r="G76" s="49">
        <f>'2025年安徽省区利润表'!G76+'2025年江西省区利润表'!G76</f>
        <v>0</v>
      </c>
      <c r="H76" s="49">
        <f>'2025年安徽省区利润表'!H76+'2025年江西省区利润表'!H76</f>
        <v>0</v>
      </c>
      <c r="I76" s="49">
        <f>'2025年安徽省区利润表'!I76+'2025年江西省区利润表'!I76</f>
        <v>0</v>
      </c>
      <c r="J76" s="49">
        <f>'2025年安徽省区利润表'!J76+'2025年江西省区利润表'!J76</f>
        <v>248</v>
      </c>
      <c r="K76" s="49">
        <f>'2025年安徽省区利润表'!K76+'2025年江西省区利润表'!K76</f>
        <v>0</v>
      </c>
      <c r="L76" s="49">
        <f>'2025年安徽省区利润表'!L76+'2025年江西省区利润表'!L76</f>
        <v>0</v>
      </c>
      <c r="M76" s="49">
        <f>'2025年安徽省区利润表'!M76+'2025年江西省区利润表'!M76</f>
        <v>0</v>
      </c>
      <c r="N76" s="49">
        <f>'2025年安徽省区利润表'!N76+'2025年江西省区利润表'!N76</f>
        <v>0</v>
      </c>
      <c r="O76" s="49">
        <f>'2025年安徽省区利润表'!O76+'2025年江西省区利润表'!O76</f>
        <v>0</v>
      </c>
      <c r="P76" s="49">
        <f>'2025年安徽省区利润表'!P76+'2025年江西省区利润表'!P76</f>
        <v>0</v>
      </c>
      <c r="Q76" s="49">
        <f>'2025年安徽省区利润表'!Q76+'2025年江西省区利润表'!Q76</f>
        <v>0</v>
      </c>
      <c r="R76" s="49">
        <f>'2025年安徽省区利润表'!R76+'2025年江西省区利润表'!R76</f>
        <v>0</v>
      </c>
      <c r="S76" s="49">
        <f>'2025年安徽省区利润表'!S76+'2025年江西省区利润表'!S76</f>
        <v>0</v>
      </c>
      <c r="T76" s="49">
        <f>'2025年安徽省区利润表'!T76+'2025年江西省区利润表'!T76</f>
        <v>0</v>
      </c>
      <c r="U76" s="49">
        <f>'2025年安徽省区利润表'!U76+'2025年江西省区利润表'!U76</f>
        <v>0</v>
      </c>
      <c r="V76" s="49">
        <f>'2025年安徽省区利润表'!V76+'2025年江西省区利润表'!V76</f>
        <v>80</v>
      </c>
      <c r="W76" s="49">
        <f>'2025年安徽省区利润表'!W76+'2025年江西省区利润表'!W76</f>
        <v>0</v>
      </c>
      <c r="X76" s="49">
        <f>'2025年安徽省区利润表'!X76+'2025年江西省区利润表'!X76</f>
        <v>0</v>
      </c>
      <c r="Y76" s="49">
        <f>'2025年安徽省区利润表'!Y76+'2025年江西省区利润表'!Y76</f>
        <v>0</v>
      </c>
      <c r="Z76" s="49">
        <f>'2025年安徽省区利润表'!Z76+'2025年江西省区利润表'!Z76</f>
        <v>0</v>
      </c>
      <c r="AA76" s="51">
        <f t="shared" si="12"/>
        <v>0</v>
      </c>
      <c r="AB76" s="51">
        <f t="shared" si="13"/>
        <v>1778</v>
      </c>
      <c r="AC76" s="22"/>
      <c r="AD76" s="31">
        <f t="shared" si="14"/>
        <v>0</v>
      </c>
      <c r="AE76" s="31">
        <f t="shared" si="15"/>
        <v>1778</v>
      </c>
      <c r="AF76" s="17">
        <f t="shared" si="18"/>
        <v>0</v>
      </c>
      <c r="AG76" s="17">
        <f t="shared" si="19"/>
        <v>0</v>
      </c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61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</row>
    <row r="77" spans="1:123" s="19" customFormat="1" ht="18" customHeight="1" outlineLevel="1" x14ac:dyDescent="0.25">
      <c r="A77" s="48" t="s">
        <v>154</v>
      </c>
      <c r="B77" s="53"/>
      <c r="C77" s="49">
        <f>'2025年安徽省区利润表'!C77+'2025年江西省区利润表'!C77</f>
        <v>0</v>
      </c>
      <c r="D77" s="49">
        <f>'2025年安徽省区利润表'!D77+'2025年江西省区利润表'!D77</f>
        <v>0</v>
      </c>
      <c r="E77" s="49">
        <f>'2025年安徽省区利润表'!E77+'2025年江西省区利润表'!E77</f>
        <v>0</v>
      </c>
      <c r="F77" s="49">
        <f>'2025年安徽省区利润表'!F77+'2025年江西省区利润表'!F77</f>
        <v>0</v>
      </c>
      <c r="G77" s="49">
        <f>'2025年安徽省区利润表'!G77+'2025年江西省区利润表'!G77</f>
        <v>0</v>
      </c>
      <c r="H77" s="49">
        <f>'2025年安徽省区利润表'!H77+'2025年江西省区利润表'!H77</f>
        <v>0</v>
      </c>
      <c r="I77" s="49">
        <f>'2025年安徽省区利润表'!I77+'2025年江西省区利润表'!I77</f>
        <v>0</v>
      </c>
      <c r="J77" s="49">
        <f>'2025年安徽省区利润表'!J77+'2025年江西省区利润表'!J77</f>
        <v>0</v>
      </c>
      <c r="K77" s="49">
        <f>'2025年安徽省区利润表'!K77+'2025年江西省区利润表'!K77</f>
        <v>0</v>
      </c>
      <c r="L77" s="49">
        <f>'2025年安徽省区利润表'!L77+'2025年江西省区利润表'!L77</f>
        <v>0</v>
      </c>
      <c r="M77" s="49">
        <f>'2025年安徽省区利润表'!M77+'2025年江西省区利润表'!M77</f>
        <v>0</v>
      </c>
      <c r="N77" s="49">
        <f>'2025年安徽省区利润表'!N77+'2025年江西省区利润表'!N77</f>
        <v>0</v>
      </c>
      <c r="O77" s="49">
        <f>'2025年安徽省区利润表'!O77+'2025年江西省区利润表'!O77</f>
        <v>0</v>
      </c>
      <c r="P77" s="49">
        <f>'2025年安徽省区利润表'!P77+'2025年江西省区利润表'!P77</f>
        <v>0</v>
      </c>
      <c r="Q77" s="49">
        <f>'2025年安徽省区利润表'!Q77+'2025年江西省区利润表'!Q77</f>
        <v>0</v>
      </c>
      <c r="R77" s="49">
        <f>'2025年安徽省区利润表'!R77+'2025年江西省区利润表'!R77</f>
        <v>0</v>
      </c>
      <c r="S77" s="49">
        <f>'2025年安徽省区利润表'!S77+'2025年江西省区利润表'!S77</f>
        <v>20000</v>
      </c>
      <c r="T77" s="49">
        <f>'2025年安徽省区利润表'!T77+'2025年江西省区利润表'!T77</f>
        <v>7619.85</v>
      </c>
      <c r="U77" s="49">
        <f>'2025年安徽省区利润表'!U77+'2025年江西省区利润表'!U77</f>
        <v>0</v>
      </c>
      <c r="V77" s="49">
        <f>'2025年安徽省区利润表'!V77+'2025年江西省区利润表'!V77</f>
        <v>-197</v>
      </c>
      <c r="W77" s="49">
        <f>'2025年安徽省区利润表'!W77+'2025年江西省区利润表'!W77</f>
        <v>0</v>
      </c>
      <c r="X77" s="49">
        <f>'2025年安徽省区利润表'!X77+'2025年江西省区利润表'!X77</f>
        <v>0</v>
      </c>
      <c r="Y77" s="49">
        <f>'2025年安徽省区利润表'!Y77+'2025年江西省区利润表'!Y77</f>
        <v>0</v>
      </c>
      <c r="Z77" s="49">
        <f>'2025年安徽省区利润表'!Z77+'2025年江西省区利润表'!Z77</f>
        <v>0</v>
      </c>
      <c r="AA77" s="51">
        <f t="shared" si="12"/>
        <v>20000</v>
      </c>
      <c r="AB77" s="51">
        <f t="shared" si="13"/>
        <v>7422.85</v>
      </c>
      <c r="AC77" s="22"/>
      <c r="AD77" s="31">
        <f t="shared" si="14"/>
        <v>20000</v>
      </c>
      <c r="AE77" s="31">
        <f t="shared" si="15"/>
        <v>7422.85</v>
      </c>
      <c r="AF77" s="17">
        <f t="shared" si="18"/>
        <v>0</v>
      </c>
      <c r="AG77" s="17">
        <f t="shared" si="19"/>
        <v>0</v>
      </c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61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</row>
    <row r="78" spans="1:123" s="19" customFormat="1" ht="18" customHeight="1" outlineLevel="1" x14ac:dyDescent="0.25">
      <c r="A78" s="48" t="s">
        <v>155</v>
      </c>
      <c r="B78" s="53"/>
      <c r="C78" s="49">
        <f>'2025年安徽省区利润表'!C78+'2025年江西省区利润表'!C78</f>
        <v>0</v>
      </c>
      <c r="D78" s="49">
        <f>'2025年安徽省区利润表'!D78+'2025年江西省区利润表'!D78</f>
        <v>0</v>
      </c>
      <c r="E78" s="49">
        <f>'2025年安徽省区利润表'!E78+'2025年江西省区利润表'!E78</f>
        <v>0</v>
      </c>
      <c r="F78" s="49">
        <f>'2025年安徽省区利润表'!F78+'2025年江西省区利润表'!F78</f>
        <v>0</v>
      </c>
      <c r="G78" s="49">
        <f>'2025年安徽省区利润表'!G78+'2025年江西省区利润表'!G78</f>
        <v>0</v>
      </c>
      <c r="H78" s="49">
        <f>'2025年安徽省区利润表'!H78+'2025年江西省区利润表'!H78</f>
        <v>0</v>
      </c>
      <c r="I78" s="49">
        <f>'2025年安徽省区利润表'!I78+'2025年江西省区利润表'!I78</f>
        <v>0</v>
      </c>
      <c r="J78" s="49">
        <f>'2025年安徽省区利润表'!J78+'2025年江西省区利润表'!J78</f>
        <v>0</v>
      </c>
      <c r="K78" s="49">
        <f>'2025年安徽省区利润表'!K78+'2025年江西省区利润表'!K78</f>
        <v>0</v>
      </c>
      <c r="L78" s="49">
        <f>'2025年安徽省区利润表'!L78+'2025年江西省区利润表'!L78</f>
        <v>0</v>
      </c>
      <c r="M78" s="49">
        <f>'2025年安徽省区利润表'!M78+'2025年江西省区利润表'!M78</f>
        <v>0</v>
      </c>
      <c r="N78" s="49">
        <f>'2025年安徽省区利润表'!N78+'2025年江西省区利润表'!N78</f>
        <v>0</v>
      </c>
      <c r="O78" s="49">
        <f>'2025年安徽省区利润表'!O78+'2025年江西省区利润表'!O78</f>
        <v>0</v>
      </c>
      <c r="P78" s="49">
        <f>'2025年安徽省区利润表'!P78+'2025年江西省区利润表'!P78</f>
        <v>0</v>
      </c>
      <c r="Q78" s="49">
        <f>'2025年安徽省区利润表'!Q78+'2025年江西省区利润表'!Q78</f>
        <v>0</v>
      </c>
      <c r="R78" s="49">
        <f>'2025年安徽省区利润表'!R78+'2025年江西省区利润表'!R78</f>
        <v>0</v>
      </c>
      <c r="S78" s="49">
        <f>'2025年安徽省区利润表'!S78+'2025年江西省区利润表'!S78</f>
        <v>0</v>
      </c>
      <c r="T78" s="49">
        <f>'2025年安徽省区利润表'!T78+'2025年江西省区利润表'!T78</f>
        <v>0</v>
      </c>
      <c r="U78" s="49">
        <f>'2025年安徽省区利润表'!U78+'2025年江西省区利润表'!U78</f>
        <v>0</v>
      </c>
      <c r="V78" s="49">
        <f>'2025年安徽省区利润表'!V78+'2025年江西省区利润表'!V78</f>
        <v>0</v>
      </c>
      <c r="W78" s="49">
        <f>'2025年安徽省区利润表'!W78+'2025年江西省区利润表'!W78</f>
        <v>0</v>
      </c>
      <c r="X78" s="49">
        <f>'2025年安徽省区利润表'!X78+'2025年江西省区利润表'!X78</f>
        <v>0</v>
      </c>
      <c r="Y78" s="49">
        <f>'2025年安徽省区利润表'!Y78+'2025年江西省区利润表'!Y78</f>
        <v>0</v>
      </c>
      <c r="Z78" s="49">
        <f>'2025年安徽省区利润表'!Z78+'2025年江西省区利润表'!Z78</f>
        <v>0</v>
      </c>
      <c r="AA78" s="51">
        <f t="shared" si="12"/>
        <v>0</v>
      </c>
      <c r="AB78" s="51">
        <f t="shared" si="13"/>
        <v>0</v>
      </c>
      <c r="AC78" s="22"/>
      <c r="AD78" s="31">
        <f t="shared" si="14"/>
        <v>0</v>
      </c>
      <c r="AE78" s="31">
        <f t="shared" si="15"/>
        <v>0</v>
      </c>
      <c r="AF78" s="17">
        <f t="shared" si="18"/>
        <v>0</v>
      </c>
      <c r="AG78" s="17">
        <f t="shared" si="19"/>
        <v>0</v>
      </c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61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</row>
    <row r="79" spans="1:123" s="19" customFormat="1" ht="18" customHeight="1" outlineLevel="1" x14ac:dyDescent="0.25">
      <c r="A79" s="48" t="s">
        <v>156</v>
      </c>
      <c r="B79" s="53"/>
      <c r="C79" s="49">
        <f>'2025年安徽省区利润表'!C79+'2025年江西省区利润表'!C79</f>
        <v>1250</v>
      </c>
      <c r="D79" s="49">
        <f>'2025年安徽省区利润表'!D79+'2025年江西省区利润表'!D79</f>
        <v>0</v>
      </c>
      <c r="E79" s="49">
        <f>'2025年安徽省区利润表'!E79+'2025年江西省区利润表'!E79</f>
        <v>1250</v>
      </c>
      <c r="F79" s="49">
        <f>'2025年安徽省区利润表'!F79+'2025年江西省区利润表'!F79</f>
        <v>0</v>
      </c>
      <c r="G79" s="49">
        <f>'2025年安徽省区利润表'!G79+'2025年江西省区利润表'!G79</f>
        <v>1250</v>
      </c>
      <c r="H79" s="49">
        <f>'2025年安徽省区利润表'!H79+'2025年江西省区利润表'!H79</f>
        <v>0</v>
      </c>
      <c r="I79" s="49">
        <f>'2025年安徽省区利润表'!I79+'2025年江西省区利润表'!I79</f>
        <v>1250</v>
      </c>
      <c r="J79" s="49">
        <f>'2025年安徽省区利润表'!J79+'2025年江西省区利润表'!J79</f>
        <v>0</v>
      </c>
      <c r="K79" s="49">
        <f>'2025年安徽省区利润表'!K79+'2025年江西省区利润表'!K79</f>
        <v>1250</v>
      </c>
      <c r="L79" s="49">
        <f>'2025年安徽省区利润表'!L79+'2025年江西省区利润表'!L79</f>
        <v>0</v>
      </c>
      <c r="M79" s="49">
        <f>'2025年安徽省区利润表'!M79+'2025年江西省区利润表'!M79</f>
        <v>1250</v>
      </c>
      <c r="N79" s="49">
        <f>'2025年安徽省区利润表'!N79+'2025年江西省区利润表'!N79</f>
        <v>0</v>
      </c>
      <c r="O79" s="49">
        <f>'2025年安徽省区利润表'!O79+'2025年江西省区利润表'!O79</f>
        <v>1250</v>
      </c>
      <c r="P79" s="49">
        <f>'2025年安徽省区利润表'!P79+'2025年江西省区利润表'!P79</f>
        <v>0</v>
      </c>
      <c r="Q79" s="49">
        <f>'2025年安徽省区利润表'!Q79+'2025年江西省区利润表'!Q79</f>
        <v>1250</v>
      </c>
      <c r="R79" s="49">
        <f>'2025年安徽省区利润表'!R79+'2025年江西省区利润表'!R79</f>
        <v>0</v>
      </c>
      <c r="S79" s="49">
        <f>'2025年安徽省区利润表'!S79+'2025年江西省区利润表'!S79</f>
        <v>1250</v>
      </c>
      <c r="T79" s="49">
        <f>'2025年安徽省区利润表'!T79+'2025年江西省区利润表'!T79</f>
        <v>0</v>
      </c>
      <c r="U79" s="49">
        <f>'2025年安徽省区利润表'!U79+'2025年江西省区利润表'!U79</f>
        <v>1250</v>
      </c>
      <c r="V79" s="49">
        <f>'2025年安徽省区利润表'!V79+'2025年江西省区利润表'!V79</f>
        <v>0</v>
      </c>
      <c r="W79" s="49">
        <f>'2025年安徽省区利润表'!W79+'2025年江西省区利润表'!W79</f>
        <v>1250</v>
      </c>
      <c r="X79" s="49">
        <f>'2025年安徽省区利润表'!X79+'2025年江西省区利润表'!X79</f>
        <v>0</v>
      </c>
      <c r="Y79" s="49">
        <f>'2025年安徽省区利润表'!Y79+'2025年江西省区利润表'!Y79</f>
        <v>1250</v>
      </c>
      <c r="Z79" s="49">
        <f>'2025年安徽省区利润表'!Z79+'2025年江西省区利润表'!Z79</f>
        <v>0</v>
      </c>
      <c r="AA79" s="51">
        <f t="shared" si="12"/>
        <v>15000</v>
      </c>
      <c r="AB79" s="51">
        <f t="shared" si="13"/>
        <v>0</v>
      </c>
      <c r="AC79" s="22"/>
      <c r="AD79" s="31">
        <f t="shared" si="14"/>
        <v>15000</v>
      </c>
      <c r="AE79" s="31">
        <f t="shared" si="15"/>
        <v>0</v>
      </c>
      <c r="AF79" s="17">
        <f t="shared" si="18"/>
        <v>0</v>
      </c>
      <c r="AG79" s="17">
        <f t="shared" si="19"/>
        <v>0</v>
      </c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61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</row>
    <row r="80" spans="1:123" s="19" customFormat="1" ht="18" customHeight="1" outlineLevel="1" x14ac:dyDescent="0.25">
      <c r="A80" s="48" t="s">
        <v>157</v>
      </c>
      <c r="B80" s="53"/>
      <c r="C80" s="49">
        <f>'2025年安徽省区利润表'!C80+'2025年江西省区利润表'!C80</f>
        <v>0</v>
      </c>
      <c r="D80" s="49">
        <f>'2025年安徽省区利润表'!D80+'2025年江西省区利润表'!D80</f>
        <v>0</v>
      </c>
      <c r="E80" s="49">
        <f>'2025年安徽省区利润表'!E80+'2025年江西省区利润表'!E80</f>
        <v>0</v>
      </c>
      <c r="F80" s="49">
        <f>'2025年安徽省区利润表'!F80+'2025年江西省区利润表'!F80</f>
        <v>0</v>
      </c>
      <c r="G80" s="49">
        <f>'2025年安徽省区利润表'!G80+'2025年江西省区利润表'!G80</f>
        <v>0</v>
      </c>
      <c r="H80" s="49">
        <f>'2025年安徽省区利润表'!H80+'2025年江西省区利润表'!H80</f>
        <v>672.56</v>
      </c>
      <c r="I80" s="49">
        <f>'2025年安徽省区利润表'!I80+'2025年江西省区利润表'!I80</f>
        <v>0</v>
      </c>
      <c r="J80" s="49">
        <f>'2025年安徽省区利润表'!J80+'2025年江西省区利润表'!J80</f>
        <v>0</v>
      </c>
      <c r="K80" s="49">
        <f>'2025年安徽省区利润表'!K80+'2025年江西省区利润表'!K80</f>
        <v>0</v>
      </c>
      <c r="L80" s="49">
        <f>'2025年安徽省区利润表'!L80+'2025年江西省区利润表'!L80</f>
        <v>0</v>
      </c>
      <c r="M80" s="49">
        <f>'2025年安徽省区利润表'!M80+'2025年江西省区利润表'!M80</f>
        <v>0</v>
      </c>
      <c r="N80" s="49">
        <f>'2025年安徽省区利润表'!N80+'2025年江西省区利润表'!N80</f>
        <v>0</v>
      </c>
      <c r="O80" s="49">
        <f>'2025年安徽省区利润表'!O80+'2025年江西省区利润表'!O80</f>
        <v>0</v>
      </c>
      <c r="P80" s="49">
        <f>'2025年安徽省区利润表'!P80+'2025年江西省区利润表'!P80</f>
        <v>0</v>
      </c>
      <c r="Q80" s="49">
        <f>'2025年安徽省区利润表'!Q80+'2025年江西省区利润表'!Q80</f>
        <v>0</v>
      </c>
      <c r="R80" s="49">
        <f>'2025年安徽省区利润表'!R80+'2025年江西省区利润表'!R80</f>
        <v>0</v>
      </c>
      <c r="S80" s="49">
        <f>'2025年安徽省区利润表'!S80+'2025年江西省区利润表'!S80</f>
        <v>0</v>
      </c>
      <c r="T80" s="49">
        <f>'2025年安徽省区利润表'!T80+'2025年江西省区利润表'!T80</f>
        <v>1980.19</v>
      </c>
      <c r="U80" s="49">
        <f>'2025年安徽省区利润表'!U80+'2025年江西省区利润表'!U80</f>
        <v>0</v>
      </c>
      <c r="V80" s="49">
        <f>'2025年安徽省区利润表'!V80+'2025年江西省区利润表'!V80</f>
        <v>0</v>
      </c>
      <c r="W80" s="49">
        <f>'2025年安徽省区利润表'!W80+'2025年江西省区利润表'!W80</f>
        <v>0</v>
      </c>
      <c r="X80" s="49">
        <f>'2025年安徽省区利润表'!X80+'2025年江西省区利润表'!X80</f>
        <v>0</v>
      </c>
      <c r="Y80" s="49">
        <f>'2025年安徽省区利润表'!Y80+'2025年江西省区利润表'!Y80</f>
        <v>0</v>
      </c>
      <c r="Z80" s="49">
        <f>'2025年安徽省区利润表'!Z80+'2025年江西省区利润表'!Z80</f>
        <v>0</v>
      </c>
      <c r="AA80" s="51">
        <f t="shared" si="12"/>
        <v>0</v>
      </c>
      <c r="AB80" s="51">
        <f t="shared" si="13"/>
        <v>2652.75</v>
      </c>
      <c r="AC80" s="22"/>
      <c r="AD80" s="31">
        <f t="shared" si="14"/>
        <v>0</v>
      </c>
      <c r="AE80" s="31">
        <f t="shared" si="15"/>
        <v>2652.75</v>
      </c>
      <c r="AF80" s="17">
        <f t="shared" si="18"/>
        <v>0</v>
      </c>
      <c r="AG80" s="17">
        <f t="shared" si="19"/>
        <v>0</v>
      </c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61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</row>
    <row r="81" spans="1:123" s="19" customFormat="1" ht="18" customHeight="1" outlineLevel="1" x14ac:dyDescent="0.25">
      <c r="A81" s="48" t="s">
        <v>158</v>
      </c>
      <c r="B81" s="53"/>
      <c r="C81" s="49">
        <f>'2025年安徽省区利润表'!C81+'2025年江西省区利润表'!C81</f>
        <v>0</v>
      </c>
      <c r="D81" s="49">
        <f>'2025年安徽省区利润表'!D81+'2025年江西省区利润表'!D81</f>
        <v>0</v>
      </c>
      <c r="E81" s="49">
        <f>'2025年安徽省区利润表'!E81+'2025年江西省区利润表'!E81</f>
        <v>0</v>
      </c>
      <c r="F81" s="49">
        <f>'2025年安徽省区利润表'!F81+'2025年江西省区利润表'!F81</f>
        <v>0</v>
      </c>
      <c r="G81" s="49">
        <f>'2025年安徽省区利润表'!G81+'2025年江西省区利润表'!G81</f>
        <v>0</v>
      </c>
      <c r="H81" s="49">
        <f>'2025年安徽省区利润表'!H81+'2025年江西省区利润表'!H81</f>
        <v>0</v>
      </c>
      <c r="I81" s="49">
        <f>'2025年安徽省区利润表'!I81+'2025年江西省区利润表'!I81</f>
        <v>0</v>
      </c>
      <c r="J81" s="49">
        <f>'2025年安徽省区利润表'!J81+'2025年江西省区利润表'!J81</f>
        <v>0</v>
      </c>
      <c r="K81" s="49">
        <f>'2025年安徽省区利润表'!K81+'2025年江西省区利润表'!K81</f>
        <v>0</v>
      </c>
      <c r="L81" s="49">
        <f>'2025年安徽省区利润表'!L81+'2025年江西省区利润表'!L81</f>
        <v>0</v>
      </c>
      <c r="M81" s="49">
        <f>'2025年安徽省区利润表'!M81+'2025年江西省区利润表'!M81</f>
        <v>0</v>
      </c>
      <c r="N81" s="49">
        <f>'2025年安徽省区利润表'!N81+'2025年江西省区利润表'!N81</f>
        <v>0</v>
      </c>
      <c r="O81" s="49">
        <f>'2025年安徽省区利润表'!O81+'2025年江西省区利润表'!O81</f>
        <v>0</v>
      </c>
      <c r="P81" s="49">
        <f>'2025年安徽省区利润表'!P81+'2025年江西省区利润表'!P81</f>
        <v>0</v>
      </c>
      <c r="Q81" s="49">
        <f>'2025年安徽省区利润表'!Q81+'2025年江西省区利润表'!Q81</f>
        <v>0</v>
      </c>
      <c r="R81" s="49">
        <f>'2025年安徽省区利润表'!R81+'2025年江西省区利润表'!R81</f>
        <v>0</v>
      </c>
      <c r="S81" s="49">
        <f>'2025年安徽省区利润表'!S81+'2025年江西省区利润表'!S81</f>
        <v>0</v>
      </c>
      <c r="T81" s="49">
        <f>'2025年安徽省区利润表'!T81+'2025年江西省区利润表'!T81</f>
        <v>0</v>
      </c>
      <c r="U81" s="49">
        <f>'2025年安徽省区利润表'!U81+'2025年江西省区利润表'!U81</f>
        <v>0</v>
      </c>
      <c r="V81" s="49">
        <f>'2025年安徽省区利润表'!V81+'2025年江西省区利润表'!V81</f>
        <v>0</v>
      </c>
      <c r="W81" s="49">
        <f>'2025年安徽省区利润表'!W81+'2025年江西省区利润表'!W81</f>
        <v>0</v>
      </c>
      <c r="X81" s="49">
        <f>'2025年安徽省区利润表'!X81+'2025年江西省区利润表'!X81</f>
        <v>0</v>
      </c>
      <c r="Y81" s="49">
        <f>'2025年安徽省区利润表'!Y81+'2025年江西省区利润表'!Y81</f>
        <v>0</v>
      </c>
      <c r="Z81" s="49">
        <f>'2025年安徽省区利润表'!Z81+'2025年江西省区利润表'!Z81</f>
        <v>0</v>
      </c>
      <c r="AA81" s="51">
        <f t="shared" si="12"/>
        <v>0</v>
      </c>
      <c r="AB81" s="51">
        <f t="shared" si="13"/>
        <v>0</v>
      </c>
      <c r="AC81" s="22"/>
      <c r="AD81" s="31">
        <f t="shared" si="14"/>
        <v>0</v>
      </c>
      <c r="AE81" s="31">
        <f t="shared" si="15"/>
        <v>0</v>
      </c>
      <c r="AF81" s="17">
        <f t="shared" si="18"/>
        <v>0</v>
      </c>
      <c r="AG81" s="17">
        <f t="shared" si="19"/>
        <v>0</v>
      </c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61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</row>
    <row r="82" spans="1:123" s="19" customFormat="1" ht="18" customHeight="1" outlineLevel="1" x14ac:dyDescent="0.25">
      <c r="A82" s="48" t="s">
        <v>159</v>
      </c>
      <c r="B82" s="53"/>
      <c r="C82" s="49">
        <f>'2025年安徽省区利润表'!C82+'2025年江西省区利润表'!C82</f>
        <v>0</v>
      </c>
      <c r="D82" s="49">
        <f>'2025年安徽省区利润表'!D82+'2025年江西省区利润表'!D82</f>
        <v>0</v>
      </c>
      <c r="E82" s="49">
        <f>'2025年安徽省区利润表'!E82+'2025年江西省区利润表'!E82</f>
        <v>0</v>
      </c>
      <c r="F82" s="49">
        <f>'2025年安徽省区利润表'!F82+'2025年江西省区利润表'!F82</f>
        <v>0</v>
      </c>
      <c r="G82" s="49">
        <f>'2025年安徽省区利润表'!G82+'2025年江西省区利润表'!G82</f>
        <v>0</v>
      </c>
      <c r="H82" s="49">
        <f>'2025年安徽省区利润表'!H82+'2025年江西省区利润表'!H82</f>
        <v>0</v>
      </c>
      <c r="I82" s="49">
        <f>'2025年安徽省区利润表'!I82+'2025年江西省区利润表'!I82</f>
        <v>0</v>
      </c>
      <c r="J82" s="49">
        <f>'2025年安徽省区利润表'!J82+'2025年江西省区利润表'!J82</f>
        <v>0</v>
      </c>
      <c r="K82" s="49">
        <f>'2025年安徽省区利润表'!K82+'2025年江西省区利润表'!K82</f>
        <v>0</v>
      </c>
      <c r="L82" s="49">
        <f>'2025年安徽省区利润表'!L82+'2025年江西省区利润表'!L82</f>
        <v>0</v>
      </c>
      <c r="M82" s="49">
        <f>'2025年安徽省区利润表'!M82+'2025年江西省区利润表'!M82</f>
        <v>0</v>
      </c>
      <c r="N82" s="49">
        <f>'2025年安徽省区利润表'!N82+'2025年江西省区利润表'!N82</f>
        <v>0</v>
      </c>
      <c r="O82" s="49">
        <f>'2025年安徽省区利润表'!O82+'2025年江西省区利润表'!O82</f>
        <v>0</v>
      </c>
      <c r="P82" s="49">
        <f>'2025年安徽省区利润表'!P82+'2025年江西省区利润表'!P82</f>
        <v>0</v>
      </c>
      <c r="Q82" s="49">
        <f>'2025年安徽省区利润表'!Q82+'2025年江西省区利润表'!Q82</f>
        <v>0</v>
      </c>
      <c r="R82" s="49">
        <f>'2025年安徽省区利润表'!R82+'2025年江西省区利润表'!R82</f>
        <v>0</v>
      </c>
      <c r="S82" s="49">
        <f>'2025年安徽省区利润表'!S82+'2025年江西省区利润表'!S82</f>
        <v>0</v>
      </c>
      <c r="T82" s="49">
        <f>'2025年安徽省区利润表'!T82+'2025年江西省区利润表'!T82</f>
        <v>0</v>
      </c>
      <c r="U82" s="49">
        <f>'2025年安徽省区利润表'!U82+'2025年江西省区利润表'!U82</f>
        <v>0</v>
      </c>
      <c r="V82" s="49">
        <f>'2025年安徽省区利润表'!V82+'2025年江西省区利润表'!V82</f>
        <v>0</v>
      </c>
      <c r="W82" s="49">
        <f>'2025年安徽省区利润表'!W82+'2025年江西省区利润表'!W82</f>
        <v>0</v>
      </c>
      <c r="X82" s="49">
        <f>'2025年安徽省区利润表'!X82+'2025年江西省区利润表'!X82</f>
        <v>0</v>
      </c>
      <c r="Y82" s="49">
        <f>'2025年安徽省区利润表'!Y82+'2025年江西省区利润表'!Y82</f>
        <v>0</v>
      </c>
      <c r="Z82" s="49">
        <f>'2025年安徽省区利润表'!Z82+'2025年江西省区利润表'!Z82</f>
        <v>0</v>
      </c>
      <c r="AA82" s="51">
        <f t="shared" si="12"/>
        <v>0</v>
      </c>
      <c r="AB82" s="51">
        <f t="shared" si="13"/>
        <v>0</v>
      </c>
      <c r="AC82" s="22"/>
      <c r="AD82" s="31">
        <f t="shared" si="14"/>
        <v>0</v>
      </c>
      <c r="AE82" s="31">
        <f t="shared" si="15"/>
        <v>0</v>
      </c>
      <c r="AF82" s="17">
        <f t="shared" si="18"/>
        <v>0</v>
      </c>
      <c r="AG82" s="17">
        <f t="shared" si="19"/>
        <v>0</v>
      </c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61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</row>
    <row r="83" spans="1:123" s="19" customFormat="1" ht="18" customHeight="1" outlineLevel="1" x14ac:dyDescent="0.25">
      <c r="A83" s="48" t="s">
        <v>160</v>
      </c>
      <c r="B83" s="53"/>
      <c r="C83" s="49">
        <f>'2025年安徽省区利润表'!C83+'2025年江西省区利润表'!C83</f>
        <v>0</v>
      </c>
      <c r="D83" s="49">
        <f>'2025年安徽省区利润表'!D83+'2025年江西省区利润表'!D83</f>
        <v>0</v>
      </c>
      <c r="E83" s="49">
        <f>'2025年安徽省区利润表'!E83+'2025年江西省区利润表'!E83</f>
        <v>0</v>
      </c>
      <c r="F83" s="49">
        <f>'2025年安徽省区利润表'!F83+'2025年江西省区利润表'!F83</f>
        <v>0</v>
      </c>
      <c r="G83" s="49">
        <f>'2025年安徽省区利润表'!G83+'2025年江西省区利润表'!G83</f>
        <v>0</v>
      </c>
      <c r="H83" s="49">
        <f>'2025年安徽省区利润表'!H83+'2025年江西省区利润表'!H83</f>
        <v>0</v>
      </c>
      <c r="I83" s="49">
        <f>'2025年安徽省区利润表'!I83+'2025年江西省区利润表'!I83</f>
        <v>0</v>
      </c>
      <c r="J83" s="49">
        <f>'2025年安徽省区利润表'!J83+'2025年江西省区利润表'!J83</f>
        <v>0</v>
      </c>
      <c r="K83" s="49">
        <f>'2025年安徽省区利润表'!K83+'2025年江西省区利润表'!K83</f>
        <v>0</v>
      </c>
      <c r="L83" s="49">
        <f>'2025年安徽省区利润表'!L83+'2025年江西省区利润表'!L83</f>
        <v>0</v>
      </c>
      <c r="M83" s="49">
        <f>'2025年安徽省区利润表'!M83+'2025年江西省区利润表'!M83</f>
        <v>0</v>
      </c>
      <c r="N83" s="49">
        <f>'2025年安徽省区利润表'!N83+'2025年江西省区利润表'!N83</f>
        <v>0</v>
      </c>
      <c r="O83" s="49">
        <f>'2025年安徽省区利润表'!O83+'2025年江西省区利润表'!O83</f>
        <v>0</v>
      </c>
      <c r="P83" s="49">
        <f>'2025年安徽省区利润表'!P83+'2025年江西省区利润表'!P83</f>
        <v>0</v>
      </c>
      <c r="Q83" s="49">
        <f>'2025年安徽省区利润表'!Q83+'2025年江西省区利润表'!Q83</f>
        <v>0</v>
      </c>
      <c r="R83" s="49">
        <f>'2025年安徽省区利润表'!R83+'2025年江西省区利润表'!R83</f>
        <v>0</v>
      </c>
      <c r="S83" s="49">
        <f>'2025年安徽省区利润表'!S83+'2025年江西省区利润表'!S83</f>
        <v>0</v>
      </c>
      <c r="T83" s="49">
        <f>'2025年安徽省区利润表'!T83+'2025年江西省区利润表'!T83</f>
        <v>0</v>
      </c>
      <c r="U83" s="49">
        <f>'2025年安徽省区利润表'!U83+'2025年江西省区利润表'!U83</f>
        <v>0</v>
      </c>
      <c r="V83" s="49">
        <f>'2025年安徽省区利润表'!V83+'2025年江西省区利润表'!V83</f>
        <v>0</v>
      </c>
      <c r="W83" s="49">
        <f>'2025年安徽省区利润表'!W83+'2025年江西省区利润表'!W83</f>
        <v>0</v>
      </c>
      <c r="X83" s="49">
        <f>'2025年安徽省区利润表'!X83+'2025年江西省区利润表'!X83</f>
        <v>0</v>
      </c>
      <c r="Y83" s="49">
        <f>'2025年安徽省区利润表'!Y83+'2025年江西省区利润表'!Y83</f>
        <v>0</v>
      </c>
      <c r="Z83" s="49">
        <f>'2025年安徽省区利润表'!Z83+'2025年江西省区利润表'!Z83</f>
        <v>0</v>
      </c>
      <c r="AA83" s="51">
        <f t="shared" si="12"/>
        <v>0</v>
      </c>
      <c r="AB83" s="51">
        <f t="shared" si="13"/>
        <v>0</v>
      </c>
      <c r="AC83" s="22"/>
      <c r="AD83" s="31">
        <f t="shared" si="14"/>
        <v>0</v>
      </c>
      <c r="AE83" s="31">
        <f t="shared" si="15"/>
        <v>0</v>
      </c>
      <c r="AF83" s="17">
        <f t="shared" si="18"/>
        <v>0</v>
      </c>
      <c r="AG83" s="17">
        <f t="shared" si="19"/>
        <v>0</v>
      </c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61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</row>
    <row r="84" spans="1:123" s="19" customFormat="1" ht="18" customHeight="1" outlineLevel="1" x14ac:dyDescent="0.25">
      <c r="A84" s="48" t="s">
        <v>161</v>
      </c>
      <c r="B84" s="53"/>
      <c r="C84" s="49">
        <f>'2025年安徽省区利润表'!C84+'2025年江西省区利润表'!C84</f>
        <v>5600</v>
      </c>
      <c r="D84" s="49">
        <f>'2025年安徽省区利润表'!D84+'2025年江西省区利润表'!D84</f>
        <v>2668.9</v>
      </c>
      <c r="E84" s="49">
        <f>'2025年安徽省区利润表'!E84+'2025年江西省区利润表'!E84</f>
        <v>5600</v>
      </c>
      <c r="F84" s="49">
        <f>'2025年安徽省区利润表'!F84+'2025年江西省区利润表'!F84</f>
        <v>5215.87</v>
      </c>
      <c r="G84" s="49">
        <f>'2025年安徽省区利润表'!G84+'2025年江西省区利润表'!G84</f>
        <v>5600</v>
      </c>
      <c r="H84" s="49">
        <f>'2025年安徽省区利润表'!H84+'2025年江西省区利润表'!H84</f>
        <v>4502.12</v>
      </c>
      <c r="I84" s="49">
        <f>'2025年安徽省区利润表'!I84+'2025年江西省区利润表'!I84</f>
        <v>5600</v>
      </c>
      <c r="J84" s="49">
        <f>'2025年安徽省区利润表'!J84+'2025年江西省区利润表'!J84</f>
        <v>7760.55</v>
      </c>
      <c r="K84" s="49">
        <f>'2025年安徽省区利润表'!K84+'2025年江西省区利润表'!K84</f>
        <v>5600</v>
      </c>
      <c r="L84" s="49">
        <f>'2025年安徽省区利润表'!L84+'2025年江西省区利润表'!L84</f>
        <v>4169.57</v>
      </c>
      <c r="M84" s="49">
        <f>'2025年安徽省区利润表'!M84+'2025年江西省区利润表'!M84</f>
        <v>5600</v>
      </c>
      <c r="N84" s="49">
        <f>'2025年安徽省区利润表'!N84+'2025年江西省区利润表'!N84</f>
        <v>4089.1000000000004</v>
      </c>
      <c r="O84" s="49">
        <f>'2025年安徽省区利润表'!O84+'2025年江西省区利润表'!O84</f>
        <v>5600</v>
      </c>
      <c r="P84" s="49">
        <f>'2025年安徽省区利润表'!P84+'2025年江西省区利润表'!P84</f>
        <v>4347.99</v>
      </c>
      <c r="Q84" s="49">
        <f>'2025年安徽省区利润表'!Q84+'2025年江西省区利润表'!Q84</f>
        <v>5600</v>
      </c>
      <c r="R84" s="49">
        <f>'2025年安徽省区利润表'!R84+'2025年江西省区利润表'!R84</f>
        <v>5013.66</v>
      </c>
      <c r="S84" s="49">
        <f>'2025年安徽省区利润表'!S84+'2025年江西省区利润表'!S84</f>
        <v>5600</v>
      </c>
      <c r="T84" s="49">
        <f>'2025年安徽省区利润表'!T84+'2025年江西省区利润表'!T84</f>
        <v>6269.44</v>
      </c>
      <c r="U84" s="49">
        <f>'2025年安徽省区利润表'!U84+'2025年江西省区利润表'!U84</f>
        <v>5600</v>
      </c>
      <c r="V84" s="49">
        <f>'2025年安徽省区利润表'!V84+'2025年江西省区利润表'!V84</f>
        <v>4583.25</v>
      </c>
      <c r="W84" s="49">
        <f>'2025年安徽省区利润表'!W84+'2025年江西省区利润表'!W84</f>
        <v>5600</v>
      </c>
      <c r="X84" s="49">
        <f>'2025年安徽省区利润表'!X84+'2025年江西省区利润表'!X84</f>
        <v>6739.5199999999995</v>
      </c>
      <c r="Y84" s="49">
        <f>'2025年安徽省区利润表'!Y84+'2025年江西省区利润表'!Y84</f>
        <v>5600</v>
      </c>
      <c r="Z84" s="49">
        <f>'2025年安徽省区利润表'!Z84+'2025年江西省区利润表'!Z84</f>
        <v>3244.65</v>
      </c>
      <c r="AA84" s="51">
        <f t="shared" si="12"/>
        <v>67200</v>
      </c>
      <c r="AB84" s="51">
        <f t="shared" si="13"/>
        <v>58604.619999999995</v>
      </c>
      <c r="AC84" s="22"/>
      <c r="AD84" s="31">
        <f t="shared" si="14"/>
        <v>67200</v>
      </c>
      <c r="AE84" s="31">
        <f t="shared" si="15"/>
        <v>58604.619999999995</v>
      </c>
      <c r="AF84" s="17">
        <f t="shared" si="18"/>
        <v>0</v>
      </c>
      <c r="AG84" s="17">
        <f t="shared" si="19"/>
        <v>0</v>
      </c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61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</row>
    <row r="85" spans="1:123" s="19" customFormat="1" ht="18" customHeight="1" outlineLevel="1" x14ac:dyDescent="0.25">
      <c r="A85" s="48" t="s">
        <v>162</v>
      </c>
      <c r="B85" s="53"/>
      <c r="C85" s="49">
        <f>'2025年安徽省区利润表'!C85+'2025年江西省区利润表'!C85</f>
        <v>5718</v>
      </c>
      <c r="D85" s="49">
        <f>'2025年安徽省区利润表'!D85+'2025年江西省区利润表'!D85</f>
        <v>6126.42</v>
      </c>
      <c r="E85" s="49">
        <f>'2025年安徽省区利润表'!E85+'2025年江西省区利润表'!E85</f>
        <v>5718</v>
      </c>
      <c r="F85" s="49">
        <f>'2025年安徽省区利润表'!F85+'2025年江西省区利润表'!F85</f>
        <v>6139.45</v>
      </c>
      <c r="G85" s="49">
        <f>'2025年安徽省区利润表'!G85+'2025年江西省区利润表'!G85</f>
        <v>5718</v>
      </c>
      <c r="H85" s="49">
        <f>'2025年安徽省区利润表'!H85+'2025年江西省区利润表'!H85</f>
        <v>9809.02</v>
      </c>
      <c r="I85" s="49">
        <f>'2025年安徽省区利润表'!I85+'2025年江西省区利润表'!I85</f>
        <v>0</v>
      </c>
      <c r="J85" s="49">
        <f>'2025年安徽省区利润表'!J85+'2025年江西省区利润表'!J85</f>
        <v>11018.769999999999</v>
      </c>
      <c r="K85" s="49">
        <f>'2025年安徽省区利润表'!K85+'2025年江西省区利润表'!K85</f>
        <v>0</v>
      </c>
      <c r="L85" s="49">
        <f>'2025年安徽省区利润表'!L85+'2025年江西省区利润表'!L85</f>
        <v>6212.9</v>
      </c>
      <c r="M85" s="49">
        <f>'2025年安徽省区利润表'!M85+'2025年江西省区利润表'!M85</f>
        <v>0</v>
      </c>
      <c r="N85" s="49">
        <f>'2025年安徽省区利润表'!N85+'2025年江西省区利润表'!N85</f>
        <v>6111.38</v>
      </c>
      <c r="O85" s="49">
        <f>'2025年安徽省区利润表'!O85+'2025年江西省区利润表'!O85</f>
        <v>0</v>
      </c>
      <c r="P85" s="49">
        <f>'2025年安徽省区利润表'!P85+'2025年江西省区利润表'!P85</f>
        <v>6117.27</v>
      </c>
      <c r="Q85" s="49">
        <f>'2025年安徽省区利润表'!Q85+'2025年江西省区利润表'!Q85</f>
        <v>0</v>
      </c>
      <c r="R85" s="49">
        <f>'2025年安徽省区利润表'!R85+'2025年江西省区利润表'!R85</f>
        <v>6117.27</v>
      </c>
      <c r="S85" s="49">
        <f>'2025年安徽省区利润表'!S85+'2025年江西省区利润表'!S85</f>
        <v>0</v>
      </c>
      <c r="T85" s="49">
        <f>'2025年安徽省区利润表'!T85+'2025年江西省区利润表'!T85</f>
        <v>8114.69</v>
      </c>
      <c r="U85" s="49">
        <f>'2025年安徽省区利润表'!U85+'2025年江西省区利润表'!U85</f>
        <v>0</v>
      </c>
      <c r="V85" s="49">
        <f>'2025年安徽省区利润表'!V85+'2025年江西省区利润表'!V85</f>
        <v>6117.27</v>
      </c>
      <c r="W85" s="49">
        <f>'2025年安徽省区利润表'!W85+'2025年江西省区利润表'!W85</f>
        <v>0</v>
      </c>
      <c r="X85" s="49">
        <f>'2025年安徽省区利润表'!X85+'2025年江西省区利润表'!X85</f>
        <v>6193.27</v>
      </c>
      <c r="Y85" s="49">
        <f>'2025年安徽省区利润表'!Y85+'2025年江西省区利润表'!Y85</f>
        <v>0</v>
      </c>
      <c r="Z85" s="49">
        <f>'2025年安徽省区利润表'!Z85+'2025年江西省区利润表'!Z85</f>
        <v>6112.9699999999993</v>
      </c>
      <c r="AA85" s="51">
        <f t="shared" si="12"/>
        <v>17154</v>
      </c>
      <c r="AB85" s="51">
        <f t="shared" si="13"/>
        <v>84190.680000000008</v>
      </c>
      <c r="AC85" s="22"/>
      <c r="AD85" s="31">
        <f t="shared" si="14"/>
        <v>17154</v>
      </c>
      <c r="AE85" s="31">
        <f t="shared" si="15"/>
        <v>84190.680000000008</v>
      </c>
      <c r="AF85" s="17">
        <f t="shared" si="18"/>
        <v>0</v>
      </c>
      <c r="AG85" s="17">
        <f t="shared" si="19"/>
        <v>0</v>
      </c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61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</row>
    <row r="86" spans="1:123" s="19" customFormat="1" ht="18" customHeight="1" outlineLevel="1" x14ac:dyDescent="0.25">
      <c r="A86" s="48" t="s">
        <v>163</v>
      </c>
      <c r="B86" s="53"/>
      <c r="C86" s="49">
        <f>'2025年安徽省区利润表'!C86+'2025年江西省区利润表'!C86</f>
        <v>0</v>
      </c>
      <c r="D86" s="49">
        <f>'2025年安徽省区利润表'!D86+'2025年江西省区利润表'!D86</f>
        <v>0</v>
      </c>
      <c r="E86" s="49">
        <f>'2025年安徽省区利润表'!E86+'2025年江西省区利润表'!E86</f>
        <v>0</v>
      </c>
      <c r="F86" s="49">
        <f>'2025年安徽省区利润表'!F86+'2025年江西省区利润表'!F86</f>
        <v>0</v>
      </c>
      <c r="G86" s="49">
        <f>'2025年安徽省区利润表'!G86+'2025年江西省区利润表'!G86</f>
        <v>0</v>
      </c>
      <c r="H86" s="49">
        <f>'2025年安徽省区利润表'!H86+'2025年江西省区利润表'!H86</f>
        <v>0</v>
      </c>
      <c r="I86" s="49">
        <f>'2025年安徽省区利润表'!I86+'2025年江西省区利润表'!I86</f>
        <v>0</v>
      </c>
      <c r="J86" s="49">
        <f>'2025年安徽省区利润表'!J86+'2025年江西省区利润表'!J86</f>
        <v>0</v>
      </c>
      <c r="K86" s="49">
        <f>'2025年安徽省区利润表'!K86+'2025年江西省区利润表'!K86</f>
        <v>0</v>
      </c>
      <c r="L86" s="49">
        <f>'2025年安徽省区利润表'!L86+'2025年江西省区利润表'!L86</f>
        <v>0</v>
      </c>
      <c r="M86" s="49">
        <f>'2025年安徽省区利润表'!M86+'2025年江西省区利润表'!M86</f>
        <v>0</v>
      </c>
      <c r="N86" s="49">
        <f>'2025年安徽省区利润表'!N86+'2025年江西省区利润表'!N86</f>
        <v>0</v>
      </c>
      <c r="O86" s="49">
        <f>'2025年安徽省区利润表'!O86+'2025年江西省区利润表'!O86</f>
        <v>0</v>
      </c>
      <c r="P86" s="49">
        <f>'2025年安徽省区利润表'!P86+'2025年江西省区利润表'!P86</f>
        <v>0</v>
      </c>
      <c r="Q86" s="49">
        <f>'2025年安徽省区利润表'!Q86+'2025年江西省区利润表'!Q86</f>
        <v>0</v>
      </c>
      <c r="R86" s="49">
        <f>'2025年安徽省区利润表'!R86+'2025年江西省区利润表'!R86</f>
        <v>0</v>
      </c>
      <c r="S86" s="49">
        <f>'2025年安徽省区利润表'!S86+'2025年江西省区利润表'!S86</f>
        <v>0</v>
      </c>
      <c r="T86" s="49">
        <f>'2025年安徽省区利润表'!T86+'2025年江西省区利润表'!T86</f>
        <v>0</v>
      </c>
      <c r="U86" s="49">
        <f>'2025年安徽省区利润表'!U86+'2025年江西省区利润表'!U86</f>
        <v>0</v>
      </c>
      <c r="V86" s="49">
        <f>'2025年安徽省区利润表'!V86+'2025年江西省区利润表'!V86</f>
        <v>0</v>
      </c>
      <c r="W86" s="49">
        <f>'2025年安徽省区利润表'!W86+'2025年江西省区利润表'!W86</f>
        <v>0</v>
      </c>
      <c r="X86" s="49">
        <f>'2025年安徽省区利润表'!X86+'2025年江西省区利润表'!X86</f>
        <v>0</v>
      </c>
      <c r="Y86" s="49">
        <f>'2025年安徽省区利润表'!Y86+'2025年江西省区利润表'!Y86</f>
        <v>0</v>
      </c>
      <c r="Z86" s="49">
        <f>'2025年安徽省区利润表'!Z86+'2025年江西省区利润表'!Z86</f>
        <v>0</v>
      </c>
      <c r="AA86" s="51">
        <f t="shared" si="12"/>
        <v>0</v>
      </c>
      <c r="AB86" s="51">
        <f t="shared" si="13"/>
        <v>0</v>
      </c>
      <c r="AC86" s="22"/>
      <c r="AD86" s="31">
        <f t="shared" si="14"/>
        <v>0</v>
      </c>
      <c r="AE86" s="31">
        <f t="shared" si="15"/>
        <v>0</v>
      </c>
      <c r="AF86" s="17">
        <f t="shared" si="18"/>
        <v>0</v>
      </c>
      <c r="AG86" s="17">
        <f t="shared" si="19"/>
        <v>0</v>
      </c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61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</row>
    <row r="87" spans="1:123" s="19" customFormat="1" ht="18" customHeight="1" outlineLevel="1" x14ac:dyDescent="0.25">
      <c r="A87" s="48" t="s">
        <v>164</v>
      </c>
      <c r="B87" s="53"/>
      <c r="C87" s="49">
        <f>'2025年安徽省区利润表'!C87+'2025年江西省区利润表'!C87</f>
        <v>0</v>
      </c>
      <c r="D87" s="49">
        <f>'2025年安徽省区利润表'!D87+'2025年江西省区利润表'!D87</f>
        <v>985.56999999999994</v>
      </c>
      <c r="E87" s="49">
        <f>'2025年安徽省区利润表'!E87+'2025年江西省区利润表'!E87</f>
        <v>0</v>
      </c>
      <c r="F87" s="49">
        <f>'2025年安徽省区利润表'!F87+'2025年江西省区利润表'!F87</f>
        <v>-42.17</v>
      </c>
      <c r="G87" s="49">
        <f>'2025年安徽省区利润表'!G87+'2025年江西省区利润表'!G87</f>
        <v>4000</v>
      </c>
      <c r="H87" s="49">
        <f>'2025年安徽省区利润表'!H87+'2025年江西省区利润表'!H87</f>
        <v>0</v>
      </c>
      <c r="I87" s="49">
        <f>'2025年安徽省区利润表'!I87+'2025年江西省区利润表'!I87</f>
        <v>0</v>
      </c>
      <c r="J87" s="49">
        <f>'2025年安徽省区利润表'!J87+'2025年江西省区利润表'!J87</f>
        <v>304.72000000000003</v>
      </c>
      <c r="K87" s="49">
        <f>'2025年安徽省区利润表'!K87+'2025年江西省区利润表'!K87</f>
        <v>0</v>
      </c>
      <c r="L87" s="49">
        <f>'2025年安徽省区利润表'!L87+'2025年江西省区利润表'!L87</f>
        <v>0</v>
      </c>
      <c r="M87" s="49">
        <f>'2025年安徽省区利润表'!M87+'2025年江西省区利润表'!M87</f>
        <v>0</v>
      </c>
      <c r="N87" s="49">
        <f>'2025年安徽省区利润表'!N87+'2025年江西省区利润表'!N87</f>
        <v>505.19</v>
      </c>
      <c r="O87" s="49">
        <f>'2025年安徽省区利润表'!O87+'2025年江西省区利润表'!O87</f>
        <v>0</v>
      </c>
      <c r="P87" s="49">
        <f>'2025年安徽省区利润表'!P87+'2025年江西省区利润表'!P87</f>
        <v>0</v>
      </c>
      <c r="Q87" s="49">
        <f>'2025年安徽省区利润表'!Q87+'2025年江西省区利润表'!Q87</f>
        <v>0</v>
      </c>
      <c r="R87" s="49">
        <f>'2025年安徽省区利润表'!R87+'2025年江西省区利润表'!R87</f>
        <v>1535.61</v>
      </c>
      <c r="S87" s="49">
        <f>'2025年安徽省区利润表'!S87+'2025年江西省区利润表'!S87</f>
        <v>0</v>
      </c>
      <c r="T87" s="49">
        <f>'2025年安徽省区利润表'!T87+'2025年江西省区利润表'!T87</f>
        <v>0.05</v>
      </c>
      <c r="U87" s="49">
        <f>'2025年安徽省区利润表'!U87+'2025年江西省区利润表'!U87</f>
        <v>0</v>
      </c>
      <c r="V87" s="49">
        <f>'2025年安徽省区利润表'!V87+'2025年江西省区利润表'!V87</f>
        <v>1094.3399999999999</v>
      </c>
      <c r="W87" s="49">
        <f>'2025年安徽省区利润表'!W87+'2025年江西省区利润表'!W87</f>
        <v>0</v>
      </c>
      <c r="X87" s="49">
        <f>'2025年安徽省区利润表'!X87+'2025年江西省区利润表'!X87</f>
        <v>0</v>
      </c>
      <c r="Y87" s="49">
        <f>'2025年安徽省区利润表'!Y87+'2025年江西省区利润表'!Y87</f>
        <v>0</v>
      </c>
      <c r="Z87" s="49">
        <f>'2025年安徽省区利润表'!Z87+'2025年江西省区利润表'!Z87</f>
        <v>0</v>
      </c>
      <c r="AA87" s="51">
        <f t="shared" si="12"/>
        <v>4000</v>
      </c>
      <c r="AB87" s="51">
        <f t="shared" si="13"/>
        <v>4383.3100000000004</v>
      </c>
      <c r="AC87" s="22"/>
      <c r="AD87" s="31">
        <f t="shared" si="14"/>
        <v>4000</v>
      </c>
      <c r="AE87" s="31">
        <f t="shared" si="15"/>
        <v>4383.3100000000004</v>
      </c>
      <c r="AF87" s="17">
        <f t="shared" si="18"/>
        <v>0</v>
      </c>
      <c r="AG87" s="17">
        <f t="shared" si="19"/>
        <v>0</v>
      </c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61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</row>
    <row r="88" spans="1:123" s="19" customFormat="1" ht="18" customHeight="1" outlineLevel="1" x14ac:dyDescent="0.25">
      <c r="A88" s="48" t="s">
        <v>165</v>
      </c>
      <c r="B88" s="53"/>
      <c r="C88" s="49">
        <f>'2025年安徽省区利润表'!C88+'2025年江西省区利润表'!C88</f>
        <v>0</v>
      </c>
      <c r="D88" s="49">
        <f>'2025年安徽省区利润表'!D88+'2025年江西省区利润表'!D88</f>
        <v>0</v>
      </c>
      <c r="E88" s="49">
        <f>'2025年安徽省区利润表'!E88+'2025年江西省区利润表'!E88</f>
        <v>0</v>
      </c>
      <c r="F88" s="49">
        <f>'2025年安徽省区利润表'!F88+'2025年江西省区利润表'!F88</f>
        <v>0</v>
      </c>
      <c r="G88" s="49">
        <f>'2025年安徽省区利润表'!G88+'2025年江西省区利润表'!G88</f>
        <v>0</v>
      </c>
      <c r="H88" s="49">
        <f>'2025年安徽省区利润表'!H88+'2025年江西省区利润表'!H88</f>
        <v>0</v>
      </c>
      <c r="I88" s="49">
        <f>'2025年安徽省区利润表'!I88+'2025年江西省区利润表'!I88</f>
        <v>0</v>
      </c>
      <c r="J88" s="49">
        <f>'2025年安徽省区利润表'!J88+'2025年江西省区利润表'!J88</f>
        <v>0</v>
      </c>
      <c r="K88" s="49">
        <f>'2025年安徽省区利润表'!K88+'2025年江西省区利润表'!K88</f>
        <v>0</v>
      </c>
      <c r="L88" s="49">
        <f>'2025年安徽省区利润表'!L88+'2025年江西省区利润表'!L88</f>
        <v>0</v>
      </c>
      <c r="M88" s="49">
        <f>'2025年安徽省区利润表'!M88+'2025年江西省区利润表'!M88</f>
        <v>0</v>
      </c>
      <c r="N88" s="49">
        <f>'2025年安徽省区利润表'!N88+'2025年江西省区利润表'!N88</f>
        <v>0</v>
      </c>
      <c r="O88" s="49">
        <f>'2025年安徽省区利润表'!O88+'2025年江西省区利润表'!O88</f>
        <v>0</v>
      </c>
      <c r="P88" s="49">
        <f>'2025年安徽省区利润表'!P88+'2025年江西省区利润表'!P88</f>
        <v>0</v>
      </c>
      <c r="Q88" s="49">
        <f>'2025年安徽省区利润表'!Q88+'2025年江西省区利润表'!Q88</f>
        <v>0</v>
      </c>
      <c r="R88" s="49">
        <f>'2025年安徽省区利润表'!R88+'2025年江西省区利润表'!R88</f>
        <v>0</v>
      </c>
      <c r="S88" s="49">
        <f>'2025年安徽省区利润表'!S88+'2025年江西省区利润表'!S88</f>
        <v>0</v>
      </c>
      <c r="T88" s="49">
        <f>'2025年安徽省区利润表'!T88+'2025年江西省区利润表'!T88</f>
        <v>0</v>
      </c>
      <c r="U88" s="49">
        <f>'2025年安徽省区利润表'!U88+'2025年江西省区利润表'!U88</f>
        <v>0</v>
      </c>
      <c r="V88" s="49">
        <f>'2025年安徽省区利润表'!V88+'2025年江西省区利润表'!V88</f>
        <v>0</v>
      </c>
      <c r="W88" s="49">
        <f>'2025年安徽省区利润表'!W88+'2025年江西省区利润表'!W88</f>
        <v>0</v>
      </c>
      <c r="X88" s="49">
        <f>'2025年安徽省区利润表'!X88+'2025年江西省区利润表'!X88</f>
        <v>0</v>
      </c>
      <c r="Y88" s="49">
        <f>'2025年安徽省区利润表'!Y88+'2025年江西省区利润表'!Y88</f>
        <v>0</v>
      </c>
      <c r="Z88" s="49">
        <f>'2025年安徽省区利润表'!Z88+'2025年江西省区利润表'!Z88</f>
        <v>0</v>
      </c>
      <c r="AA88" s="51">
        <f t="shared" si="12"/>
        <v>0</v>
      </c>
      <c r="AB88" s="51">
        <f t="shared" si="13"/>
        <v>0</v>
      </c>
      <c r="AC88" s="22"/>
      <c r="AD88" s="31">
        <f t="shared" si="14"/>
        <v>0</v>
      </c>
      <c r="AE88" s="31">
        <f t="shared" si="15"/>
        <v>0</v>
      </c>
      <c r="AF88" s="17">
        <f t="shared" si="18"/>
        <v>0</v>
      </c>
      <c r="AG88" s="17">
        <f t="shared" si="19"/>
        <v>0</v>
      </c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61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</row>
    <row r="89" spans="1:123" s="19" customFormat="1" ht="18" customHeight="1" outlineLevel="1" x14ac:dyDescent="0.25">
      <c r="A89" s="48" t="s">
        <v>166</v>
      </c>
      <c r="B89" s="53"/>
      <c r="C89" s="49">
        <f>'2025年安徽省区利润表'!C89+'2025年江西省区利润表'!C89</f>
        <v>0</v>
      </c>
      <c r="D89" s="49">
        <f>'2025年安徽省区利润表'!D89+'2025年江西省区利润表'!D89</f>
        <v>0</v>
      </c>
      <c r="E89" s="49">
        <f>'2025年安徽省区利润表'!E89+'2025年江西省区利润表'!E89</f>
        <v>0</v>
      </c>
      <c r="F89" s="49">
        <f>'2025年安徽省区利润表'!F89+'2025年江西省区利润表'!F89</f>
        <v>0</v>
      </c>
      <c r="G89" s="49">
        <f>'2025年安徽省区利润表'!G89+'2025年江西省区利润表'!G89</f>
        <v>0</v>
      </c>
      <c r="H89" s="49">
        <f>'2025年安徽省区利润表'!H89+'2025年江西省区利润表'!H89</f>
        <v>0</v>
      </c>
      <c r="I89" s="49">
        <f>'2025年安徽省区利润表'!I89+'2025年江西省区利润表'!I89</f>
        <v>0</v>
      </c>
      <c r="J89" s="49">
        <f>'2025年安徽省区利润表'!J89+'2025年江西省区利润表'!J89</f>
        <v>0</v>
      </c>
      <c r="K89" s="49">
        <f>'2025年安徽省区利润表'!K89+'2025年江西省区利润表'!K89</f>
        <v>0</v>
      </c>
      <c r="L89" s="49">
        <f>'2025年安徽省区利润表'!L89+'2025年江西省区利润表'!L89</f>
        <v>0</v>
      </c>
      <c r="M89" s="49">
        <f>'2025年安徽省区利润表'!M89+'2025年江西省区利润表'!M89</f>
        <v>0</v>
      </c>
      <c r="N89" s="49">
        <f>'2025年安徽省区利润表'!N89+'2025年江西省区利润表'!N89</f>
        <v>0</v>
      </c>
      <c r="O89" s="49">
        <f>'2025年安徽省区利润表'!O89+'2025年江西省区利润表'!O89</f>
        <v>0</v>
      </c>
      <c r="P89" s="49">
        <f>'2025年安徽省区利润表'!P89+'2025年江西省区利润表'!P89</f>
        <v>0</v>
      </c>
      <c r="Q89" s="49">
        <f>'2025年安徽省区利润表'!Q89+'2025年江西省区利润表'!Q89</f>
        <v>0</v>
      </c>
      <c r="R89" s="49">
        <f>'2025年安徽省区利润表'!R89+'2025年江西省区利润表'!R89</f>
        <v>0</v>
      </c>
      <c r="S89" s="49">
        <f>'2025年安徽省区利润表'!S89+'2025年江西省区利润表'!S89</f>
        <v>0</v>
      </c>
      <c r="T89" s="49">
        <f>'2025年安徽省区利润表'!T89+'2025年江西省区利润表'!T89</f>
        <v>0</v>
      </c>
      <c r="U89" s="49">
        <f>'2025年安徽省区利润表'!U89+'2025年江西省区利润表'!U89</f>
        <v>0</v>
      </c>
      <c r="V89" s="49">
        <f>'2025年安徽省区利润表'!V89+'2025年江西省区利润表'!V89</f>
        <v>0</v>
      </c>
      <c r="W89" s="49">
        <f>'2025年安徽省区利润表'!W89+'2025年江西省区利润表'!W89</f>
        <v>0</v>
      </c>
      <c r="X89" s="49">
        <f>'2025年安徽省区利润表'!X89+'2025年江西省区利润表'!X89</f>
        <v>0</v>
      </c>
      <c r="Y89" s="49">
        <f>'2025年安徽省区利润表'!Y89+'2025年江西省区利润表'!Y89</f>
        <v>0</v>
      </c>
      <c r="Z89" s="49">
        <f>'2025年安徽省区利润表'!Z89+'2025年江西省区利润表'!Z89</f>
        <v>0</v>
      </c>
      <c r="AA89" s="51">
        <f t="shared" si="12"/>
        <v>0</v>
      </c>
      <c r="AB89" s="51">
        <f t="shared" si="13"/>
        <v>0</v>
      </c>
      <c r="AC89" s="22"/>
      <c r="AD89" s="31">
        <f t="shared" si="14"/>
        <v>0</v>
      </c>
      <c r="AE89" s="31">
        <f t="shared" si="15"/>
        <v>0</v>
      </c>
      <c r="AF89" s="17">
        <f t="shared" si="18"/>
        <v>0</v>
      </c>
      <c r="AG89" s="17">
        <f t="shared" si="19"/>
        <v>0</v>
      </c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61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</row>
    <row r="90" spans="1:123" s="19" customFormat="1" ht="18" customHeight="1" outlineLevel="1" x14ac:dyDescent="0.25">
      <c r="A90" s="48" t="s">
        <v>167</v>
      </c>
      <c r="B90" s="53"/>
      <c r="C90" s="49">
        <f>'2025年安徽省区利润表'!C90+'2025年江西省区利润表'!C90</f>
        <v>0</v>
      </c>
      <c r="D90" s="49">
        <f>'2025年安徽省区利润表'!D90+'2025年江西省区利润表'!D90</f>
        <v>0</v>
      </c>
      <c r="E90" s="49">
        <f>'2025年安徽省区利润表'!E90+'2025年江西省区利润表'!E90</f>
        <v>0</v>
      </c>
      <c r="F90" s="49">
        <f>'2025年安徽省区利润表'!F90+'2025年江西省区利润表'!F90</f>
        <v>0</v>
      </c>
      <c r="G90" s="49">
        <f>'2025年安徽省区利润表'!G90+'2025年江西省区利润表'!G90</f>
        <v>0</v>
      </c>
      <c r="H90" s="49">
        <f>'2025年安徽省区利润表'!H90+'2025年江西省区利润表'!H90</f>
        <v>0</v>
      </c>
      <c r="I90" s="49">
        <f>'2025年安徽省区利润表'!I90+'2025年江西省区利润表'!I90</f>
        <v>0</v>
      </c>
      <c r="J90" s="49">
        <f>'2025年安徽省区利润表'!J90+'2025年江西省区利润表'!J90</f>
        <v>0</v>
      </c>
      <c r="K90" s="49">
        <f>'2025年安徽省区利润表'!K90+'2025年江西省区利润表'!K90</f>
        <v>0</v>
      </c>
      <c r="L90" s="49">
        <f>'2025年安徽省区利润表'!L90+'2025年江西省区利润表'!L90</f>
        <v>0</v>
      </c>
      <c r="M90" s="49">
        <f>'2025年安徽省区利润表'!M90+'2025年江西省区利润表'!M90</f>
        <v>0</v>
      </c>
      <c r="N90" s="49">
        <f>'2025年安徽省区利润表'!N90+'2025年江西省区利润表'!N90</f>
        <v>0</v>
      </c>
      <c r="O90" s="49">
        <f>'2025年安徽省区利润表'!O90+'2025年江西省区利润表'!O90</f>
        <v>0</v>
      </c>
      <c r="P90" s="49">
        <f>'2025年安徽省区利润表'!P90+'2025年江西省区利润表'!P90</f>
        <v>0</v>
      </c>
      <c r="Q90" s="49">
        <f>'2025年安徽省区利润表'!Q90+'2025年江西省区利润表'!Q90</f>
        <v>0</v>
      </c>
      <c r="R90" s="49">
        <f>'2025年安徽省区利润表'!R90+'2025年江西省区利润表'!R90</f>
        <v>0</v>
      </c>
      <c r="S90" s="49">
        <f>'2025年安徽省区利润表'!S90+'2025年江西省区利润表'!S90</f>
        <v>0</v>
      </c>
      <c r="T90" s="49">
        <f>'2025年安徽省区利润表'!T90+'2025年江西省区利润表'!T90</f>
        <v>0</v>
      </c>
      <c r="U90" s="49">
        <f>'2025年安徽省区利润表'!U90+'2025年江西省区利润表'!U90</f>
        <v>0</v>
      </c>
      <c r="V90" s="49">
        <f>'2025年安徽省区利润表'!V90+'2025年江西省区利润表'!V90</f>
        <v>0</v>
      </c>
      <c r="W90" s="49">
        <f>'2025年安徽省区利润表'!W90+'2025年江西省区利润表'!W90</f>
        <v>0</v>
      </c>
      <c r="X90" s="49">
        <f>'2025年安徽省区利润表'!X90+'2025年江西省区利润表'!X90</f>
        <v>0</v>
      </c>
      <c r="Y90" s="49">
        <f>'2025年安徽省区利润表'!Y90+'2025年江西省区利润表'!Y90</f>
        <v>0</v>
      </c>
      <c r="Z90" s="49">
        <f>'2025年安徽省区利润表'!Z90+'2025年江西省区利润表'!Z90</f>
        <v>0</v>
      </c>
      <c r="AA90" s="51">
        <f t="shared" si="12"/>
        <v>0</v>
      </c>
      <c r="AB90" s="51">
        <f t="shared" si="13"/>
        <v>0</v>
      </c>
      <c r="AC90" s="22"/>
      <c r="AD90" s="31">
        <f t="shared" si="14"/>
        <v>0</v>
      </c>
      <c r="AE90" s="31">
        <f t="shared" si="15"/>
        <v>0</v>
      </c>
      <c r="AF90" s="17">
        <f t="shared" si="18"/>
        <v>0</v>
      </c>
      <c r="AG90" s="17">
        <f t="shared" si="19"/>
        <v>0</v>
      </c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61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</row>
    <row r="91" spans="1:123" s="19" customFormat="1" ht="18" customHeight="1" outlineLevel="1" x14ac:dyDescent="0.25">
      <c r="A91" s="48" t="s">
        <v>168</v>
      </c>
      <c r="B91" s="53"/>
      <c r="C91" s="49">
        <f>'2025年安徽省区利润表'!C91+'2025年江西省区利润表'!C91</f>
        <v>0</v>
      </c>
      <c r="D91" s="49">
        <f>'2025年安徽省区利润表'!D91+'2025年江西省区利润表'!D91</f>
        <v>0</v>
      </c>
      <c r="E91" s="49">
        <f>'2025年安徽省区利润表'!E91+'2025年江西省区利润表'!E91</f>
        <v>0</v>
      </c>
      <c r="F91" s="49">
        <f>'2025年安徽省区利润表'!F91+'2025年江西省区利润表'!F91</f>
        <v>0</v>
      </c>
      <c r="G91" s="49">
        <f>'2025年安徽省区利润表'!G91+'2025年江西省区利润表'!G91</f>
        <v>0</v>
      </c>
      <c r="H91" s="49">
        <f>'2025年安徽省区利润表'!H91+'2025年江西省区利润表'!H91</f>
        <v>0</v>
      </c>
      <c r="I91" s="49">
        <f>'2025年安徽省区利润表'!I91+'2025年江西省区利润表'!I91</f>
        <v>0</v>
      </c>
      <c r="J91" s="49">
        <f>'2025年安徽省区利润表'!J91+'2025年江西省区利润表'!J91</f>
        <v>0</v>
      </c>
      <c r="K91" s="49">
        <f>'2025年安徽省区利润表'!K91+'2025年江西省区利润表'!K91</f>
        <v>0</v>
      </c>
      <c r="L91" s="49">
        <f>'2025年安徽省区利润表'!L91+'2025年江西省区利润表'!L91</f>
        <v>0</v>
      </c>
      <c r="M91" s="49">
        <f>'2025年安徽省区利润表'!M91+'2025年江西省区利润表'!M91</f>
        <v>0</v>
      </c>
      <c r="N91" s="49">
        <f>'2025年安徽省区利润表'!N91+'2025年江西省区利润表'!N91</f>
        <v>0</v>
      </c>
      <c r="O91" s="49">
        <f>'2025年安徽省区利润表'!O91+'2025年江西省区利润表'!O91</f>
        <v>0</v>
      </c>
      <c r="P91" s="49">
        <f>'2025年安徽省区利润表'!P91+'2025年江西省区利润表'!P91</f>
        <v>0</v>
      </c>
      <c r="Q91" s="49">
        <f>'2025年安徽省区利润表'!Q91+'2025年江西省区利润表'!Q91</f>
        <v>0</v>
      </c>
      <c r="R91" s="49">
        <f>'2025年安徽省区利润表'!R91+'2025年江西省区利润表'!R91</f>
        <v>0</v>
      </c>
      <c r="S91" s="49">
        <f>'2025年安徽省区利润表'!S91+'2025年江西省区利润表'!S91</f>
        <v>0</v>
      </c>
      <c r="T91" s="49">
        <f>'2025年安徽省区利润表'!T91+'2025年江西省区利润表'!T91</f>
        <v>0</v>
      </c>
      <c r="U91" s="49">
        <f>'2025年安徽省区利润表'!U91+'2025年江西省区利润表'!U91</f>
        <v>0</v>
      </c>
      <c r="V91" s="49">
        <f>'2025年安徽省区利润表'!V91+'2025年江西省区利润表'!V91</f>
        <v>0</v>
      </c>
      <c r="W91" s="49">
        <f>'2025年安徽省区利润表'!W91+'2025年江西省区利润表'!W91</f>
        <v>0</v>
      </c>
      <c r="X91" s="49">
        <f>'2025年安徽省区利润表'!X91+'2025年江西省区利润表'!X91</f>
        <v>0</v>
      </c>
      <c r="Y91" s="49">
        <f>'2025年安徽省区利润表'!Y91+'2025年江西省区利润表'!Y91</f>
        <v>0</v>
      </c>
      <c r="Z91" s="49">
        <f>'2025年安徽省区利润表'!Z91+'2025年江西省区利润表'!Z91</f>
        <v>0</v>
      </c>
      <c r="AA91" s="51">
        <f t="shared" si="12"/>
        <v>0</v>
      </c>
      <c r="AB91" s="51">
        <f t="shared" si="13"/>
        <v>0</v>
      </c>
      <c r="AC91" s="22"/>
      <c r="AD91" s="31">
        <f t="shared" si="14"/>
        <v>0</v>
      </c>
      <c r="AE91" s="31">
        <f t="shared" si="15"/>
        <v>0</v>
      </c>
      <c r="AF91" s="17">
        <f t="shared" si="18"/>
        <v>0</v>
      </c>
      <c r="AG91" s="17">
        <f t="shared" si="19"/>
        <v>0</v>
      </c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61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</row>
    <row r="92" spans="1:123" s="19" customFormat="1" ht="18" customHeight="1" outlineLevel="1" x14ac:dyDescent="0.25">
      <c r="A92" s="48" t="s">
        <v>169</v>
      </c>
      <c r="B92" s="53"/>
      <c r="C92" s="49">
        <f>'2025年安徽省区利润表'!C92+'2025年江西省区利润表'!C92</f>
        <v>0</v>
      </c>
      <c r="D92" s="49">
        <f>'2025年安徽省区利润表'!D92+'2025年江西省区利润表'!D92</f>
        <v>26.27</v>
      </c>
      <c r="E92" s="49">
        <f>'2025年安徽省区利润表'!E92+'2025年江西省区利润表'!E92</f>
        <v>0</v>
      </c>
      <c r="F92" s="49">
        <f>'2025年安徽省区利润表'!F92+'2025年江西省区利润表'!F92</f>
        <v>0</v>
      </c>
      <c r="G92" s="49">
        <f>'2025年安徽省区利润表'!G92+'2025年江西省区利润表'!G92</f>
        <v>0</v>
      </c>
      <c r="H92" s="49">
        <f>'2025年安徽省区利润表'!H92+'2025年江西省区利润表'!H92</f>
        <v>35.31</v>
      </c>
      <c r="I92" s="49">
        <f>'2025年安徽省区利润表'!I92+'2025年江西省区利润表'!I92</f>
        <v>0</v>
      </c>
      <c r="J92" s="49">
        <f>'2025年安徽省区利润表'!J92+'2025年江西省区利润表'!J92</f>
        <v>29.47</v>
      </c>
      <c r="K92" s="49">
        <f>'2025年安徽省区利润表'!K92+'2025年江西省区利润表'!K92</f>
        <v>0</v>
      </c>
      <c r="L92" s="49">
        <f>'2025年安徽省区利润表'!L92+'2025年江西省区利润表'!L92</f>
        <v>0</v>
      </c>
      <c r="M92" s="49">
        <f>'2025年安徽省区利润表'!M92+'2025年江西省区利润表'!M92</f>
        <v>0</v>
      </c>
      <c r="N92" s="49">
        <f>'2025年安徽省区利润表'!N92+'2025年江西省区利润表'!N92</f>
        <v>0</v>
      </c>
      <c r="O92" s="49">
        <f>'2025年安徽省区利润表'!O92+'2025年江西省区利润表'!O92</f>
        <v>0</v>
      </c>
      <c r="P92" s="49">
        <f>'2025年安徽省区利润表'!P92+'2025年江西省区利润表'!P92</f>
        <v>55.97</v>
      </c>
      <c r="Q92" s="49">
        <f>'2025年安徽省区利润表'!Q92+'2025年江西省区利润表'!Q92</f>
        <v>0</v>
      </c>
      <c r="R92" s="49">
        <f>'2025年安徽省区利润表'!R92+'2025年江西省区利润表'!R92</f>
        <v>0</v>
      </c>
      <c r="S92" s="49">
        <f>'2025年安徽省区利润表'!S92+'2025年江西省区利润表'!S92</f>
        <v>0</v>
      </c>
      <c r="T92" s="49">
        <f>'2025年安徽省区利润表'!T92+'2025年江西省区利润表'!T92</f>
        <v>370.55</v>
      </c>
      <c r="U92" s="49">
        <f>'2025年安徽省区利润表'!U92+'2025年江西省区利润表'!U92</f>
        <v>0</v>
      </c>
      <c r="V92" s="49">
        <f>'2025年安徽省区利润表'!V92+'2025年江西省区利润表'!V92</f>
        <v>1.06</v>
      </c>
      <c r="W92" s="49">
        <f>'2025年安徽省区利润表'!W92+'2025年江西省区利润表'!W92</f>
        <v>0</v>
      </c>
      <c r="X92" s="49">
        <f>'2025年安徽省区利润表'!X92+'2025年江西省区利润表'!X92</f>
        <v>0</v>
      </c>
      <c r="Y92" s="49">
        <f>'2025年安徽省区利润表'!Y92+'2025年江西省区利润表'!Y92</f>
        <v>0</v>
      </c>
      <c r="Z92" s="49">
        <f>'2025年安徽省区利润表'!Z92+'2025年江西省区利润表'!Z92</f>
        <v>0</v>
      </c>
      <c r="AA92" s="51">
        <f t="shared" ref="AA92:AA155" si="24">C92+E92+G92+I92+K92+M92+O92+Q92+S92+U92+W92+Y92</f>
        <v>0</v>
      </c>
      <c r="AB92" s="51">
        <f t="shared" ref="AB92:AB101" si="25">D92+F92+H92+J92+L92+N92+P92+R92+T92+V92+X92+Z92</f>
        <v>518.62999999999988</v>
      </c>
      <c r="AC92" s="22"/>
      <c r="AD92" s="31">
        <f t="shared" ref="AD92:AD155" si="26">SUMIF($C$5:$Z$5,$AD$5,C92:Z92)</f>
        <v>0</v>
      </c>
      <c r="AE92" s="31">
        <f t="shared" ref="AE92:AE155" si="27">SUMIF($C$5:$Z$5,$AD$5,D92:AA92)</f>
        <v>518.62999999999988</v>
      </c>
      <c r="AF92" s="17">
        <f t="shared" si="18"/>
        <v>0</v>
      </c>
      <c r="AG92" s="17">
        <f t="shared" si="19"/>
        <v>0</v>
      </c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61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</row>
    <row r="93" spans="1:123" s="19" customFormat="1" ht="18" customHeight="1" outlineLevel="1" x14ac:dyDescent="0.25">
      <c r="A93" s="48" t="s">
        <v>170</v>
      </c>
      <c r="B93" s="53"/>
      <c r="C93" s="49">
        <f>'2025年安徽省区利润表'!C93+'2025年江西省区利润表'!C93</f>
        <v>0</v>
      </c>
      <c r="D93" s="49">
        <f>'2025年安徽省区利润表'!D93+'2025年江西省区利润表'!D93</f>
        <v>0</v>
      </c>
      <c r="E93" s="49">
        <f>'2025年安徽省区利润表'!E93+'2025年江西省区利润表'!E93</f>
        <v>0</v>
      </c>
      <c r="F93" s="49">
        <f>'2025年安徽省区利润表'!F93+'2025年江西省区利润表'!F93</f>
        <v>0</v>
      </c>
      <c r="G93" s="49">
        <f>'2025年安徽省区利润表'!G93+'2025年江西省区利润表'!G93</f>
        <v>0</v>
      </c>
      <c r="H93" s="49">
        <f>'2025年安徽省区利润表'!H93+'2025年江西省区利润表'!H93</f>
        <v>0</v>
      </c>
      <c r="I93" s="49">
        <f>'2025年安徽省区利润表'!I93+'2025年江西省区利润表'!I93</f>
        <v>0</v>
      </c>
      <c r="J93" s="49">
        <f>'2025年安徽省区利润表'!J93+'2025年江西省区利润表'!J93</f>
        <v>0</v>
      </c>
      <c r="K93" s="49">
        <f>'2025年安徽省区利润表'!K93+'2025年江西省区利润表'!K93</f>
        <v>0</v>
      </c>
      <c r="L93" s="49">
        <f>'2025年安徽省区利润表'!L93+'2025年江西省区利润表'!L93</f>
        <v>0</v>
      </c>
      <c r="M93" s="49">
        <f>'2025年安徽省区利润表'!M93+'2025年江西省区利润表'!M93</f>
        <v>0</v>
      </c>
      <c r="N93" s="49">
        <f>'2025年安徽省区利润表'!N93+'2025年江西省区利润表'!N93</f>
        <v>0</v>
      </c>
      <c r="O93" s="49">
        <f>'2025年安徽省区利润表'!O93+'2025年江西省区利润表'!O93</f>
        <v>0</v>
      </c>
      <c r="P93" s="49">
        <f>'2025年安徽省区利润表'!P93+'2025年江西省区利润表'!P93</f>
        <v>0</v>
      </c>
      <c r="Q93" s="49">
        <f>'2025年安徽省区利润表'!Q93+'2025年江西省区利润表'!Q93</f>
        <v>0</v>
      </c>
      <c r="R93" s="49">
        <f>'2025年安徽省区利润表'!R93+'2025年江西省区利润表'!R93</f>
        <v>0</v>
      </c>
      <c r="S93" s="49">
        <f>'2025年安徽省区利润表'!S93+'2025年江西省区利润表'!S93</f>
        <v>0</v>
      </c>
      <c r="T93" s="49">
        <f>'2025年安徽省区利润表'!T93+'2025年江西省区利润表'!T93</f>
        <v>0</v>
      </c>
      <c r="U93" s="49">
        <f>'2025年安徽省区利润表'!U93+'2025年江西省区利润表'!U93</f>
        <v>0</v>
      </c>
      <c r="V93" s="49">
        <f>'2025年安徽省区利润表'!V93+'2025年江西省区利润表'!V93</f>
        <v>0</v>
      </c>
      <c r="W93" s="49">
        <f>'2025年安徽省区利润表'!W93+'2025年江西省区利润表'!W93</f>
        <v>0</v>
      </c>
      <c r="X93" s="49">
        <f>'2025年安徽省区利润表'!X93+'2025年江西省区利润表'!X93</f>
        <v>0</v>
      </c>
      <c r="Y93" s="49">
        <f>'2025年安徽省区利润表'!Y93+'2025年江西省区利润表'!Y93</f>
        <v>0</v>
      </c>
      <c r="Z93" s="49">
        <f>'2025年安徽省区利润表'!Z93+'2025年江西省区利润表'!Z93</f>
        <v>0</v>
      </c>
      <c r="AA93" s="51">
        <f t="shared" si="24"/>
        <v>0</v>
      </c>
      <c r="AB93" s="51">
        <f t="shared" si="25"/>
        <v>0</v>
      </c>
      <c r="AC93" s="22"/>
      <c r="AD93" s="31">
        <f t="shared" si="26"/>
        <v>0</v>
      </c>
      <c r="AE93" s="31">
        <f t="shared" si="27"/>
        <v>0</v>
      </c>
      <c r="AF93" s="17">
        <f t="shared" si="18"/>
        <v>0</v>
      </c>
      <c r="AG93" s="17">
        <f t="shared" si="19"/>
        <v>0</v>
      </c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61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</row>
    <row r="94" spans="1:123" s="19" customFormat="1" ht="18" customHeight="1" outlineLevel="1" x14ac:dyDescent="0.25">
      <c r="A94" s="48" t="s">
        <v>171</v>
      </c>
      <c r="B94" s="53"/>
      <c r="C94" s="49">
        <f>'2025年安徽省区利润表'!C94+'2025年江西省区利润表'!C94</f>
        <v>0</v>
      </c>
      <c r="D94" s="49">
        <f>'2025年安徽省区利润表'!D94+'2025年江西省区利润表'!D94</f>
        <v>0</v>
      </c>
      <c r="E94" s="49">
        <f>'2025年安徽省区利润表'!E94+'2025年江西省区利润表'!E94</f>
        <v>0</v>
      </c>
      <c r="F94" s="49">
        <f>'2025年安徽省区利润表'!F94+'2025年江西省区利润表'!F94</f>
        <v>0</v>
      </c>
      <c r="G94" s="49">
        <f>'2025年安徽省区利润表'!G94+'2025年江西省区利润表'!G94</f>
        <v>0</v>
      </c>
      <c r="H94" s="49">
        <f>'2025年安徽省区利润表'!H94+'2025年江西省区利润表'!H94</f>
        <v>0</v>
      </c>
      <c r="I94" s="49">
        <f>'2025年安徽省区利润表'!I94+'2025年江西省区利润表'!I94</f>
        <v>0</v>
      </c>
      <c r="J94" s="49">
        <f>'2025年安徽省区利润表'!J94+'2025年江西省区利润表'!J94</f>
        <v>0</v>
      </c>
      <c r="K94" s="49">
        <f>'2025年安徽省区利润表'!K94+'2025年江西省区利润表'!K94</f>
        <v>0</v>
      </c>
      <c r="L94" s="49">
        <f>'2025年安徽省区利润表'!L94+'2025年江西省区利润表'!L94</f>
        <v>0</v>
      </c>
      <c r="M94" s="49">
        <f>'2025年安徽省区利润表'!M94+'2025年江西省区利润表'!M94</f>
        <v>0</v>
      </c>
      <c r="N94" s="49">
        <f>'2025年安徽省区利润表'!N94+'2025年江西省区利润表'!N94</f>
        <v>0</v>
      </c>
      <c r="O94" s="49">
        <f>'2025年安徽省区利润表'!O94+'2025年江西省区利润表'!O94</f>
        <v>0</v>
      </c>
      <c r="P94" s="49">
        <f>'2025年安徽省区利润表'!P94+'2025年江西省区利润表'!P94</f>
        <v>0</v>
      </c>
      <c r="Q94" s="49">
        <f>'2025年安徽省区利润表'!Q94+'2025年江西省区利润表'!Q94</f>
        <v>0</v>
      </c>
      <c r="R94" s="49">
        <f>'2025年安徽省区利润表'!R94+'2025年江西省区利润表'!R94</f>
        <v>0</v>
      </c>
      <c r="S94" s="49">
        <f>'2025年安徽省区利润表'!S94+'2025年江西省区利润表'!S94</f>
        <v>0</v>
      </c>
      <c r="T94" s="49">
        <f>'2025年安徽省区利润表'!T94+'2025年江西省区利润表'!T94</f>
        <v>0</v>
      </c>
      <c r="U94" s="49">
        <f>'2025年安徽省区利润表'!U94+'2025年江西省区利润表'!U94</f>
        <v>0</v>
      </c>
      <c r="V94" s="49">
        <f>'2025年安徽省区利润表'!V94+'2025年江西省区利润表'!V94</f>
        <v>0</v>
      </c>
      <c r="W94" s="49">
        <f>'2025年安徽省区利润表'!W94+'2025年江西省区利润表'!W94</f>
        <v>0</v>
      </c>
      <c r="X94" s="49">
        <f>'2025年安徽省区利润表'!X94+'2025年江西省区利润表'!X94</f>
        <v>0</v>
      </c>
      <c r="Y94" s="49">
        <f>'2025年安徽省区利润表'!Y94+'2025年江西省区利润表'!Y94</f>
        <v>0</v>
      </c>
      <c r="Z94" s="49">
        <f>'2025年安徽省区利润表'!Z94+'2025年江西省区利润表'!Z94</f>
        <v>0</v>
      </c>
      <c r="AA94" s="51">
        <f t="shared" si="24"/>
        <v>0</v>
      </c>
      <c r="AB94" s="51">
        <f t="shared" si="25"/>
        <v>0</v>
      </c>
      <c r="AC94" s="22"/>
      <c r="AD94" s="31">
        <f t="shared" si="26"/>
        <v>0</v>
      </c>
      <c r="AE94" s="31">
        <f t="shared" si="27"/>
        <v>0</v>
      </c>
      <c r="AF94" s="17">
        <f t="shared" ref="AF94:AF157" si="28">AA94-AD94</f>
        <v>0</v>
      </c>
      <c r="AG94" s="17">
        <f t="shared" ref="AG94:AG157" si="29">AB94-AE94</f>
        <v>0</v>
      </c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61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</row>
    <row r="95" spans="1:123" s="19" customFormat="1" ht="18" customHeight="1" outlineLevel="1" x14ac:dyDescent="0.25">
      <c r="A95" s="48" t="s">
        <v>172</v>
      </c>
      <c r="B95" s="53"/>
      <c r="C95" s="49">
        <f>'2025年安徽省区利润表'!C95+'2025年江西省区利润表'!C95</f>
        <v>0</v>
      </c>
      <c r="D95" s="49">
        <f>'2025年安徽省区利润表'!D95+'2025年江西省区利润表'!D95</f>
        <v>0</v>
      </c>
      <c r="E95" s="49">
        <f>'2025年安徽省区利润表'!E95+'2025年江西省区利润表'!E95</f>
        <v>0</v>
      </c>
      <c r="F95" s="49">
        <f>'2025年安徽省区利润表'!F95+'2025年江西省区利润表'!F95</f>
        <v>0</v>
      </c>
      <c r="G95" s="49">
        <f>'2025年安徽省区利润表'!G95+'2025年江西省区利润表'!G95</f>
        <v>0</v>
      </c>
      <c r="H95" s="49">
        <f>'2025年安徽省区利润表'!H95+'2025年江西省区利润表'!H95</f>
        <v>0</v>
      </c>
      <c r="I95" s="49">
        <f>'2025年安徽省区利润表'!I95+'2025年江西省区利润表'!I95</f>
        <v>0</v>
      </c>
      <c r="J95" s="49">
        <f>'2025年安徽省区利润表'!J95+'2025年江西省区利润表'!J95</f>
        <v>0</v>
      </c>
      <c r="K95" s="49">
        <f>'2025年安徽省区利润表'!K95+'2025年江西省区利润表'!K95</f>
        <v>0</v>
      </c>
      <c r="L95" s="49">
        <f>'2025年安徽省区利润表'!L95+'2025年江西省区利润表'!L95</f>
        <v>0</v>
      </c>
      <c r="M95" s="49">
        <f>'2025年安徽省区利润表'!M95+'2025年江西省区利润表'!M95</f>
        <v>0</v>
      </c>
      <c r="N95" s="49">
        <f>'2025年安徽省区利润表'!N95+'2025年江西省区利润表'!N95</f>
        <v>0</v>
      </c>
      <c r="O95" s="49">
        <f>'2025年安徽省区利润表'!O95+'2025年江西省区利润表'!O95</f>
        <v>0</v>
      </c>
      <c r="P95" s="49">
        <f>'2025年安徽省区利润表'!P95+'2025年江西省区利润表'!P95</f>
        <v>0</v>
      </c>
      <c r="Q95" s="49">
        <f>'2025年安徽省区利润表'!Q95+'2025年江西省区利润表'!Q95</f>
        <v>0</v>
      </c>
      <c r="R95" s="49">
        <f>'2025年安徽省区利润表'!R95+'2025年江西省区利润表'!R95</f>
        <v>0</v>
      </c>
      <c r="S95" s="49">
        <f>'2025年安徽省区利润表'!S95+'2025年江西省区利润表'!S95</f>
        <v>0</v>
      </c>
      <c r="T95" s="49">
        <f>'2025年安徽省区利润表'!T95+'2025年江西省区利润表'!T95</f>
        <v>0</v>
      </c>
      <c r="U95" s="49">
        <f>'2025年安徽省区利润表'!U95+'2025年江西省区利润表'!U95</f>
        <v>0</v>
      </c>
      <c r="V95" s="49">
        <f>'2025年安徽省区利润表'!V95+'2025年江西省区利润表'!V95</f>
        <v>0</v>
      </c>
      <c r="W95" s="49">
        <f>'2025年安徽省区利润表'!W95+'2025年江西省区利润表'!W95</f>
        <v>0</v>
      </c>
      <c r="X95" s="49">
        <f>'2025年安徽省区利润表'!X95+'2025年江西省区利润表'!X95</f>
        <v>0</v>
      </c>
      <c r="Y95" s="49">
        <f>'2025年安徽省区利润表'!Y95+'2025年江西省区利润表'!Y95</f>
        <v>0</v>
      </c>
      <c r="Z95" s="49">
        <f>'2025年安徽省区利润表'!Z95+'2025年江西省区利润表'!Z95</f>
        <v>0</v>
      </c>
      <c r="AA95" s="51">
        <f t="shared" si="24"/>
        <v>0</v>
      </c>
      <c r="AB95" s="51">
        <f t="shared" si="25"/>
        <v>0</v>
      </c>
      <c r="AC95" s="22"/>
      <c r="AD95" s="31">
        <f t="shared" si="26"/>
        <v>0</v>
      </c>
      <c r="AE95" s="31">
        <f t="shared" si="27"/>
        <v>0</v>
      </c>
      <c r="AF95" s="17">
        <f t="shared" si="28"/>
        <v>0</v>
      </c>
      <c r="AG95" s="17">
        <f t="shared" si="29"/>
        <v>0</v>
      </c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61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</row>
    <row r="96" spans="1:123" s="19" customFormat="1" ht="18" customHeight="1" outlineLevel="1" x14ac:dyDescent="0.25">
      <c r="A96" s="48" t="s">
        <v>173</v>
      </c>
      <c r="B96" s="53"/>
      <c r="C96" s="49">
        <f>'2025年安徽省区利润表'!C96+'2025年江西省区利润表'!C96</f>
        <v>0</v>
      </c>
      <c r="D96" s="49">
        <f>'2025年安徽省区利润表'!D96+'2025年江西省区利润表'!D96</f>
        <v>0</v>
      </c>
      <c r="E96" s="49">
        <f>'2025年安徽省区利润表'!E96+'2025年江西省区利润表'!E96</f>
        <v>0</v>
      </c>
      <c r="F96" s="49">
        <f>'2025年安徽省区利润表'!F96+'2025年江西省区利润表'!F96</f>
        <v>0</v>
      </c>
      <c r="G96" s="49">
        <f>'2025年安徽省区利润表'!G96+'2025年江西省区利润表'!G96</f>
        <v>0</v>
      </c>
      <c r="H96" s="49">
        <f>'2025年安徽省区利润表'!H96+'2025年江西省区利润表'!H96</f>
        <v>0</v>
      </c>
      <c r="I96" s="49">
        <f>'2025年安徽省区利润表'!I96+'2025年江西省区利润表'!I96</f>
        <v>0</v>
      </c>
      <c r="J96" s="49">
        <f>'2025年安徽省区利润表'!J96+'2025年江西省区利润表'!J96</f>
        <v>0</v>
      </c>
      <c r="K96" s="49">
        <f>'2025年安徽省区利润表'!K96+'2025年江西省区利润表'!K96</f>
        <v>0</v>
      </c>
      <c r="L96" s="49">
        <f>'2025年安徽省区利润表'!L96+'2025年江西省区利润表'!L96</f>
        <v>0</v>
      </c>
      <c r="M96" s="49">
        <f>'2025年安徽省区利润表'!M96+'2025年江西省区利润表'!M96</f>
        <v>0</v>
      </c>
      <c r="N96" s="49">
        <f>'2025年安徽省区利润表'!N96+'2025年江西省区利润表'!N96</f>
        <v>0</v>
      </c>
      <c r="O96" s="49">
        <f>'2025年安徽省区利润表'!O96+'2025年江西省区利润表'!O96</f>
        <v>0</v>
      </c>
      <c r="P96" s="49">
        <f>'2025年安徽省区利润表'!P96+'2025年江西省区利润表'!P96</f>
        <v>0</v>
      </c>
      <c r="Q96" s="49">
        <f>'2025年安徽省区利润表'!Q96+'2025年江西省区利润表'!Q96</f>
        <v>0</v>
      </c>
      <c r="R96" s="49">
        <f>'2025年安徽省区利润表'!R96+'2025年江西省区利润表'!R96</f>
        <v>0</v>
      </c>
      <c r="S96" s="49">
        <f>'2025年安徽省区利润表'!S96+'2025年江西省区利润表'!S96</f>
        <v>0</v>
      </c>
      <c r="T96" s="49">
        <f>'2025年安徽省区利润表'!T96+'2025年江西省区利润表'!T96</f>
        <v>0</v>
      </c>
      <c r="U96" s="49">
        <f>'2025年安徽省区利润表'!U96+'2025年江西省区利润表'!U96</f>
        <v>0</v>
      </c>
      <c r="V96" s="49">
        <f>'2025年安徽省区利润表'!V96+'2025年江西省区利润表'!V96</f>
        <v>0</v>
      </c>
      <c r="W96" s="49">
        <f>'2025年安徽省区利润表'!W96+'2025年江西省区利润表'!W96</f>
        <v>0</v>
      </c>
      <c r="X96" s="49">
        <f>'2025年安徽省区利润表'!X96+'2025年江西省区利润表'!X96</f>
        <v>0</v>
      </c>
      <c r="Y96" s="49">
        <f>'2025年安徽省区利润表'!Y96+'2025年江西省区利润表'!Y96</f>
        <v>0</v>
      </c>
      <c r="Z96" s="49">
        <f>'2025年安徽省区利润表'!Z96+'2025年江西省区利润表'!Z96</f>
        <v>0</v>
      </c>
      <c r="AA96" s="51">
        <f t="shared" si="24"/>
        <v>0</v>
      </c>
      <c r="AB96" s="51">
        <f t="shared" si="25"/>
        <v>0</v>
      </c>
      <c r="AC96" s="22"/>
      <c r="AD96" s="31">
        <f t="shared" si="26"/>
        <v>0</v>
      </c>
      <c r="AE96" s="31">
        <f t="shared" si="27"/>
        <v>0</v>
      </c>
      <c r="AF96" s="17">
        <f t="shared" si="28"/>
        <v>0</v>
      </c>
      <c r="AG96" s="17">
        <f t="shared" si="29"/>
        <v>0</v>
      </c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61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</row>
    <row r="97" spans="1:123" s="19" customFormat="1" ht="18" customHeight="1" outlineLevel="1" x14ac:dyDescent="0.25">
      <c r="A97" s="48" t="s">
        <v>174</v>
      </c>
      <c r="B97" s="53"/>
      <c r="C97" s="49">
        <f>'2025年安徽省区利润表'!C97+'2025年江西省区利润表'!C97</f>
        <v>0</v>
      </c>
      <c r="D97" s="49">
        <f>'2025年安徽省区利润表'!D97+'2025年江西省区利润表'!D97</f>
        <v>0</v>
      </c>
      <c r="E97" s="49">
        <f>'2025年安徽省区利润表'!E97+'2025年江西省区利润表'!E97</f>
        <v>0</v>
      </c>
      <c r="F97" s="49">
        <f>'2025年安徽省区利润表'!F97+'2025年江西省区利润表'!F97</f>
        <v>0</v>
      </c>
      <c r="G97" s="49">
        <f>'2025年安徽省区利润表'!G97+'2025年江西省区利润表'!G97</f>
        <v>0</v>
      </c>
      <c r="H97" s="49">
        <f>'2025年安徽省区利润表'!H97+'2025年江西省区利润表'!H97</f>
        <v>0</v>
      </c>
      <c r="I97" s="49">
        <f>'2025年安徽省区利润表'!I97+'2025年江西省区利润表'!I97</f>
        <v>0</v>
      </c>
      <c r="J97" s="49">
        <f>'2025年安徽省区利润表'!J97+'2025年江西省区利润表'!J97</f>
        <v>0</v>
      </c>
      <c r="K97" s="49">
        <f>'2025年安徽省区利润表'!K97+'2025年江西省区利润表'!K97</f>
        <v>0</v>
      </c>
      <c r="L97" s="49">
        <f>'2025年安徽省区利润表'!L97+'2025年江西省区利润表'!L97</f>
        <v>0</v>
      </c>
      <c r="M97" s="49">
        <f>'2025年安徽省区利润表'!M97+'2025年江西省区利润表'!M97</f>
        <v>0</v>
      </c>
      <c r="N97" s="49">
        <f>'2025年安徽省区利润表'!N97+'2025年江西省区利润表'!N97</f>
        <v>0</v>
      </c>
      <c r="O97" s="49">
        <f>'2025年安徽省区利润表'!O97+'2025年江西省区利润表'!O97</f>
        <v>0</v>
      </c>
      <c r="P97" s="49">
        <f>'2025年安徽省区利润表'!P97+'2025年江西省区利润表'!P97</f>
        <v>0</v>
      </c>
      <c r="Q97" s="49">
        <f>'2025年安徽省区利润表'!Q97+'2025年江西省区利润表'!Q97</f>
        <v>0</v>
      </c>
      <c r="R97" s="49">
        <f>'2025年安徽省区利润表'!R97+'2025年江西省区利润表'!R97</f>
        <v>0</v>
      </c>
      <c r="S97" s="49">
        <f>'2025年安徽省区利润表'!S97+'2025年江西省区利润表'!S97</f>
        <v>0</v>
      </c>
      <c r="T97" s="49">
        <f>'2025年安徽省区利润表'!T97+'2025年江西省区利润表'!T97</f>
        <v>0</v>
      </c>
      <c r="U97" s="49">
        <f>'2025年安徽省区利润表'!U97+'2025年江西省区利润表'!U97</f>
        <v>0</v>
      </c>
      <c r="V97" s="49">
        <f>'2025年安徽省区利润表'!V97+'2025年江西省区利润表'!V97</f>
        <v>0</v>
      </c>
      <c r="W97" s="49">
        <f>'2025年安徽省区利润表'!W97+'2025年江西省区利润表'!W97</f>
        <v>0</v>
      </c>
      <c r="X97" s="49">
        <f>'2025年安徽省区利润表'!X97+'2025年江西省区利润表'!X97</f>
        <v>0</v>
      </c>
      <c r="Y97" s="49">
        <f>'2025年安徽省区利润表'!Y97+'2025年江西省区利润表'!Y97</f>
        <v>0</v>
      </c>
      <c r="Z97" s="49">
        <f>'2025年安徽省区利润表'!Z97+'2025年江西省区利润表'!Z97</f>
        <v>0</v>
      </c>
      <c r="AA97" s="51">
        <f t="shared" si="24"/>
        <v>0</v>
      </c>
      <c r="AB97" s="51">
        <f t="shared" si="25"/>
        <v>0</v>
      </c>
      <c r="AC97" s="22"/>
      <c r="AD97" s="31">
        <f t="shared" si="26"/>
        <v>0</v>
      </c>
      <c r="AE97" s="31">
        <f t="shared" si="27"/>
        <v>0</v>
      </c>
      <c r="AF97" s="17">
        <f t="shared" si="28"/>
        <v>0</v>
      </c>
      <c r="AG97" s="17">
        <f t="shared" si="29"/>
        <v>0</v>
      </c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61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</row>
    <row r="98" spans="1:123" s="19" customFormat="1" ht="18" customHeight="1" outlineLevel="1" x14ac:dyDescent="0.25">
      <c r="A98" s="48" t="s">
        <v>175</v>
      </c>
      <c r="B98" s="53"/>
      <c r="C98" s="49">
        <f>'2025年安徽省区利润表'!C98+'2025年江西省区利润表'!C98</f>
        <v>0</v>
      </c>
      <c r="D98" s="49">
        <f>'2025年安徽省区利润表'!D98+'2025年江西省区利润表'!D98</f>
        <v>0</v>
      </c>
      <c r="E98" s="49">
        <f>'2025年安徽省区利润表'!E98+'2025年江西省区利润表'!E98</f>
        <v>0</v>
      </c>
      <c r="F98" s="49">
        <f>'2025年安徽省区利润表'!F98+'2025年江西省区利润表'!F98</f>
        <v>0</v>
      </c>
      <c r="G98" s="49">
        <f>'2025年安徽省区利润表'!G98+'2025年江西省区利润表'!G98</f>
        <v>0</v>
      </c>
      <c r="H98" s="49">
        <f>'2025年安徽省区利润表'!H98+'2025年江西省区利润表'!H98</f>
        <v>0</v>
      </c>
      <c r="I98" s="49">
        <f>'2025年安徽省区利润表'!I98+'2025年江西省区利润表'!I98</f>
        <v>0</v>
      </c>
      <c r="J98" s="49">
        <f>'2025年安徽省区利润表'!J98+'2025年江西省区利润表'!J98</f>
        <v>0</v>
      </c>
      <c r="K98" s="49">
        <f>'2025年安徽省区利润表'!K98+'2025年江西省区利润表'!K98</f>
        <v>0</v>
      </c>
      <c r="L98" s="49">
        <f>'2025年安徽省区利润表'!L98+'2025年江西省区利润表'!L98</f>
        <v>0</v>
      </c>
      <c r="M98" s="49">
        <f>'2025年安徽省区利润表'!M98+'2025年江西省区利润表'!M98</f>
        <v>0</v>
      </c>
      <c r="N98" s="49">
        <f>'2025年安徽省区利润表'!N98+'2025年江西省区利润表'!N98</f>
        <v>0</v>
      </c>
      <c r="O98" s="49">
        <f>'2025年安徽省区利润表'!O98+'2025年江西省区利润表'!O98</f>
        <v>0</v>
      </c>
      <c r="P98" s="49">
        <f>'2025年安徽省区利润表'!P98+'2025年江西省区利润表'!P98</f>
        <v>0</v>
      </c>
      <c r="Q98" s="49">
        <f>'2025年安徽省区利润表'!Q98+'2025年江西省区利润表'!Q98</f>
        <v>0</v>
      </c>
      <c r="R98" s="49">
        <f>'2025年安徽省区利润表'!R98+'2025年江西省区利润表'!R98</f>
        <v>0</v>
      </c>
      <c r="S98" s="49">
        <f>'2025年安徽省区利润表'!S98+'2025年江西省区利润表'!S98</f>
        <v>0</v>
      </c>
      <c r="T98" s="49">
        <f>'2025年安徽省区利润表'!T98+'2025年江西省区利润表'!T98</f>
        <v>0</v>
      </c>
      <c r="U98" s="49">
        <f>'2025年安徽省区利润表'!U98+'2025年江西省区利润表'!U98</f>
        <v>0</v>
      </c>
      <c r="V98" s="49">
        <f>'2025年安徽省区利润表'!V98+'2025年江西省区利润表'!V98</f>
        <v>0</v>
      </c>
      <c r="W98" s="49">
        <f>'2025年安徽省区利润表'!W98+'2025年江西省区利润表'!W98</f>
        <v>0</v>
      </c>
      <c r="X98" s="49">
        <f>'2025年安徽省区利润表'!X98+'2025年江西省区利润表'!X98</f>
        <v>0</v>
      </c>
      <c r="Y98" s="49">
        <f>'2025年安徽省区利润表'!Y98+'2025年江西省区利润表'!Y98</f>
        <v>0</v>
      </c>
      <c r="Z98" s="49">
        <f>'2025年安徽省区利润表'!Z98+'2025年江西省区利润表'!Z98</f>
        <v>0</v>
      </c>
      <c r="AA98" s="51">
        <f t="shared" si="24"/>
        <v>0</v>
      </c>
      <c r="AB98" s="51">
        <f t="shared" si="25"/>
        <v>0</v>
      </c>
      <c r="AC98" s="22"/>
      <c r="AD98" s="31">
        <f t="shared" si="26"/>
        <v>0</v>
      </c>
      <c r="AE98" s="31">
        <f t="shared" si="27"/>
        <v>0</v>
      </c>
      <c r="AF98" s="17">
        <f t="shared" si="28"/>
        <v>0</v>
      </c>
      <c r="AG98" s="17">
        <f t="shared" si="29"/>
        <v>0</v>
      </c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61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</row>
    <row r="99" spans="1:123" s="19" customFormat="1" ht="18" customHeight="1" outlineLevel="1" x14ac:dyDescent="0.25">
      <c r="A99" s="48" t="s">
        <v>176</v>
      </c>
      <c r="B99" s="53"/>
      <c r="C99" s="49">
        <f>'2025年安徽省区利润表'!C99+'2025年江西省区利润表'!C99</f>
        <v>0</v>
      </c>
      <c r="D99" s="49">
        <f>'2025年安徽省区利润表'!D99+'2025年江西省区利润表'!D99</f>
        <v>0</v>
      </c>
      <c r="E99" s="49">
        <f>'2025年安徽省区利润表'!E99+'2025年江西省区利润表'!E99</f>
        <v>0</v>
      </c>
      <c r="F99" s="49">
        <f>'2025年安徽省区利润表'!F99+'2025年江西省区利润表'!F99</f>
        <v>0</v>
      </c>
      <c r="G99" s="49">
        <f>'2025年安徽省区利润表'!G99+'2025年江西省区利润表'!G99</f>
        <v>0</v>
      </c>
      <c r="H99" s="49">
        <f>'2025年安徽省区利润表'!H99+'2025年江西省区利润表'!H99</f>
        <v>0</v>
      </c>
      <c r="I99" s="49">
        <f>'2025年安徽省区利润表'!I99+'2025年江西省区利润表'!I99</f>
        <v>0</v>
      </c>
      <c r="J99" s="49">
        <f>'2025年安徽省区利润表'!J99+'2025年江西省区利润表'!J99</f>
        <v>0</v>
      </c>
      <c r="K99" s="49">
        <f>'2025年安徽省区利润表'!K99+'2025年江西省区利润表'!K99</f>
        <v>0</v>
      </c>
      <c r="L99" s="49">
        <f>'2025年安徽省区利润表'!L99+'2025年江西省区利润表'!L99</f>
        <v>0</v>
      </c>
      <c r="M99" s="49">
        <f>'2025年安徽省区利润表'!M99+'2025年江西省区利润表'!M99</f>
        <v>0</v>
      </c>
      <c r="N99" s="49">
        <f>'2025年安徽省区利润表'!N99+'2025年江西省区利润表'!N99</f>
        <v>0</v>
      </c>
      <c r="O99" s="49">
        <f>'2025年安徽省区利润表'!O99+'2025年江西省区利润表'!O99</f>
        <v>0</v>
      </c>
      <c r="P99" s="49">
        <f>'2025年安徽省区利润表'!P99+'2025年江西省区利润表'!P99</f>
        <v>0</v>
      </c>
      <c r="Q99" s="49">
        <f>'2025年安徽省区利润表'!Q99+'2025年江西省区利润表'!Q99</f>
        <v>0</v>
      </c>
      <c r="R99" s="49">
        <f>'2025年安徽省区利润表'!R99+'2025年江西省区利润表'!R99</f>
        <v>0</v>
      </c>
      <c r="S99" s="49">
        <f>'2025年安徽省区利润表'!S99+'2025年江西省区利润表'!S99</f>
        <v>0</v>
      </c>
      <c r="T99" s="49">
        <f>'2025年安徽省区利润表'!T99+'2025年江西省区利润表'!T99</f>
        <v>0</v>
      </c>
      <c r="U99" s="49">
        <f>'2025年安徽省区利润表'!U99+'2025年江西省区利润表'!U99</f>
        <v>0</v>
      </c>
      <c r="V99" s="49">
        <f>'2025年安徽省区利润表'!V99+'2025年江西省区利润表'!V99</f>
        <v>0</v>
      </c>
      <c r="W99" s="49">
        <f>'2025年安徽省区利润表'!W99+'2025年江西省区利润表'!W99</f>
        <v>0</v>
      </c>
      <c r="X99" s="49">
        <f>'2025年安徽省区利润表'!X99+'2025年江西省区利润表'!X99</f>
        <v>0</v>
      </c>
      <c r="Y99" s="49">
        <f>'2025年安徽省区利润表'!Y99+'2025年江西省区利润表'!Y99</f>
        <v>0</v>
      </c>
      <c r="Z99" s="49">
        <f>'2025年安徽省区利润表'!Z99+'2025年江西省区利润表'!Z99</f>
        <v>0</v>
      </c>
      <c r="AA99" s="51">
        <f t="shared" si="24"/>
        <v>0</v>
      </c>
      <c r="AB99" s="51">
        <f t="shared" si="25"/>
        <v>0</v>
      </c>
      <c r="AC99" s="22"/>
      <c r="AD99" s="31">
        <f t="shared" si="26"/>
        <v>0</v>
      </c>
      <c r="AE99" s="31">
        <f t="shared" si="27"/>
        <v>0</v>
      </c>
      <c r="AF99" s="17">
        <f t="shared" si="28"/>
        <v>0</v>
      </c>
      <c r="AG99" s="17">
        <f t="shared" si="29"/>
        <v>0</v>
      </c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61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</row>
    <row r="100" spans="1:123" s="19" customFormat="1" ht="18" customHeight="1" outlineLevel="1" x14ac:dyDescent="0.25">
      <c r="A100" s="48" t="s">
        <v>177</v>
      </c>
      <c r="B100" s="53"/>
      <c r="C100" s="49">
        <f>'2025年安徽省区利润表'!C100+'2025年江西省区利润表'!C100</f>
        <v>0</v>
      </c>
      <c r="D100" s="49">
        <f>'2025年安徽省区利润表'!D100+'2025年江西省区利润表'!D100</f>
        <v>0</v>
      </c>
      <c r="E100" s="49">
        <f>'2025年安徽省区利润表'!E100+'2025年江西省区利润表'!E100</f>
        <v>0</v>
      </c>
      <c r="F100" s="49">
        <f>'2025年安徽省区利润表'!F100+'2025年江西省区利润表'!F100</f>
        <v>0</v>
      </c>
      <c r="G100" s="49">
        <f>'2025年安徽省区利润表'!G100+'2025年江西省区利润表'!G100</f>
        <v>0</v>
      </c>
      <c r="H100" s="49">
        <f>'2025年安徽省区利润表'!H100+'2025年江西省区利润表'!H100</f>
        <v>0</v>
      </c>
      <c r="I100" s="49">
        <f>'2025年安徽省区利润表'!I100+'2025年江西省区利润表'!I100</f>
        <v>0</v>
      </c>
      <c r="J100" s="49">
        <f>'2025年安徽省区利润表'!J100+'2025年江西省区利润表'!J100</f>
        <v>0</v>
      </c>
      <c r="K100" s="49">
        <f>'2025年安徽省区利润表'!K100+'2025年江西省区利润表'!K100</f>
        <v>0</v>
      </c>
      <c r="L100" s="49">
        <f>'2025年安徽省区利润表'!L100+'2025年江西省区利润表'!L100</f>
        <v>0</v>
      </c>
      <c r="M100" s="49">
        <f>'2025年安徽省区利润表'!M100+'2025年江西省区利润表'!M100</f>
        <v>0</v>
      </c>
      <c r="N100" s="49">
        <f>'2025年安徽省区利润表'!N100+'2025年江西省区利润表'!N100</f>
        <v>0</v>
      </c>
      <c r="O100" s="49">
        <f>'2025年安徽省区利润表'!O100+'2025年江西省区利润表'!O100</f>
        <v>0</v>
      </c>
      <c r="P100" s="49">
        <f>'2025年安徽省区利润表'!P100+'2025年江西省区利润表'!P100</f>
        <v>0</v>
      </c>
      <c r="Q100" s="49">
        <f>'2025年安徽省区利润表'!Q100+'2025年江西省区利润表'!Q100</f>
        <v>0</v>
      </c>
      <c r="R100" s="49">
        <f>'2025年安徽省区利润表'!R100+'2025年江西省区利润表'!R100</f>
        <v>0</v>
      </c>
      <c r="S100" s="49">
        <f>'2025年安徽省区利润表'!S100+'2025年江西省区利润表'!S100</f>
        <v>0</v>
      </c>
      <c r="T100" s="49">
        <f>'2025年安徽省区利润表'!T100+'2025年江西省区利润表'!T100</f>
        <v>0</v>
      </c>
      <c r="U100" s="49">
        <f>'2025年安徽省区利润表'!U100+'2025年江西省区利润表'!U100</f>
        <v>0</v>
      </c>
      <c r="V100" s="49">
        <f>'2025年安徽省区利润表'!V100+'2025年江西省区利润表'!V100</f>
        <v>0</v>
      </c>
      <c r="W100" s="49">
        <f>'2025年安徽省区利润表'!W100+'2025年江西省区利润表'!W100</f>
        <v>0</v>
      </c>
      <c r="X100" s="49">
        <f>'2025年安徽省区利润表'!X100+'2025年江西省区利润表'!X100</f>
        <v>0</v>
      </c>
      <c r="Y100" s="49">
        <f>'2025年安徽省区利润表'!Y100+'2025年江西省区利润表'!Y100</f>
        <v>0</v>
      </c>
      <c r="Z100" s="49">
        <f>'2025年安徽省区利润表'!Z100+'2025年江西省区利润表'!Z100</f>
        <v>0</v>
      </c>
      <c r="AA100" s="51">
        <f t="shared" si="24"/>
        <v>0</v>
      </c>
      <c r="AB100" s="51">
        <f t="shared" si="25"/>
        <v>0</v>
      </c>
      <c r="AC100" s="22"/>
      <c r="AD100" s="31">
        <f t="shared" si="26"/>
        <v>0</v>
      </c>
      <c r="AE100" s="31">
        <f t="shared" si="27"/>
        <v>0</v>
      </c>
      <c r="AF100" s="17">
        <f t="shared" si="28"/>
        <v>0</v>
      </c>
      <c r="AG100" s="17">
        <f t="shared" si="29"/>
        <v>0</v>
      </c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61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</row>
    <row r="101" spans="1:123" s="19" customFormat="1" ht="18" customHeight="1" outlineLevel="1" x14ac:dyDescent="0.25">
      <c r="A101" s="48" t="s">
        <v>178</v>
      </c>
      <c r="B101" s="53"/>
      <c r="C101" s="49">
        <f>'2025年安徽省区利润表'!C101+'2025年江西省区利润表'!C101</f>
        <v>500</v>
      </c>
      <c r="D101" s="49">
        <f>'2025年安徽省区利润表'!D101+'2025年江西省区利润表'!D101</f>
        <v>0</v>
      </c>
      <c r="E101" s="49">
        <f>'2025年安徽省区利润表'!E101+'2025年江西省区利润表'!E101</f>
        <v>500</v>
      </c>
      <c r="F101" s="49">
        <f>'2025年安徽省区利润表'!F101+'2025年江西省区利润表'!F101</f>
        <v>0</v>
      </c>
      <c r="G101" s="49">
        <f>'2025年安徽省区利润表'!G101+'2025年江西省区利润表'!G101</f>
        <v>500</v>
      </c>
      <c r="H101" s="49">
        <f>'2025年安徽省区利润表'!H101+'2025年江西省区利润表'!H101</f>
        <v>0</v>
      </c>
      <c r="I101" s="49">
        <f>'2025年安徽省区利润表'!I101+'2025年江西省区利润表'!I101</f>
        <v>500</v>
      </c>
      <c r="J101" s="49">
        <f>'2025年安徽省区利润表'!J101+'2025年江西省区利润表'!J101</f>
        <v>0</v>
      </c>
      <c r="K101" s="49">
        <f>'2025年安徽省区利润表'!K101+'2025年江西省区利润表'!K101</f>
        <v>500</v>
      </c>
      <c r="L101" s="49">
        <f>'2025年安徽省区利润表'!L101+'2025年江西省区利润表'!L101</f>
        <v>0</v>
      </c>
      <c r="M101" s="49">
        <f>'2025年安徽省区利润表'!M101+'2025年江西省区利润表'!M101</f>
        <v>500</v>
      </c>
      <c r="N101" s="49">
        <f>'2025年安徽省区利润表'!N101+'2025年江西省区利润表'!N101</f>
        <v>0</v>
      </c>
      <c r="O101" s="49">
        <f>'2025年安徽省区利润表'!O101+'2025年江西省区利润表'!O101</f>
        <v>500</v>
      </c>
      <c r="P101" s="49">
        <f>'2025年安徽省区利润表'!P101+'2025年江西省区利润表'!P101</f>
        <v>0</v>
      </c>
      <c r="Q101" s="49">
        <f>'2025年安徽省区利润表'!Q101+'2025年江西省区利润表'!Q101</f>
        <v>500</v>
      </c>
      <c r="R101" s="49">
        <f>'2025年安徽省区利润表'!R101+'2025年江西省区利润表'!R101</f>
        <v>0</v>
      </c>
      <c r="S101" s="49">
        <f>'2025年安徽省区利润表'!S101+'2025年江西省区利润表'!S101</f>
        <v>500</v>
      </c>
      <c r="T101" s="49">
        <f>'2025年安徽省区利润表'!T101+'2025年江西省区利润表'!T101</f>
        <v>0</v>
      </c>
      <c r="U101" s="49">
        <f>'2025年安徽省区利润表'!U101+'2025年江西省区利润表'!U101</f>
        <v>500</v>
      </c>
      <c r="V101" s="49">
        <f>'2025年安徽省区利润表'!V101+'2025年江西省区利润表'!V101</f>
        <v>0</v>
      </c>
      <c r="W101" s="49">
        <f>'2025年安徽省区利润表'!W101+'2025年江西省区利润表'!W101</f>
        <v>500</v>
      </c>
      <c r="X101" s="49">
        <f>'2025年安徽省区利润表'!X101+'2025年江西省区利润表'!X101</f>
        <v>0</v>
      </c>
      <c r="Y101" s="49">
        <f>'2025年安徽省区利润表'!Y101+'2025年江西省区利润表'!Y101</f>
        <v>500</v>
      </c>
      <c r="Z101" s="49">
        <f>'2025年安徽省区利润表'!Z101+'2025年江西省区利润表'!Z101</f>
        <v>0</v>
      </c>
      <c r="AA101" s="51">
        <f t="shared" si="24"/>
        <v>6000</v>
      </c>
      <c r="AB101" s="51">
        <f t="shared" si="25"/>
        <v>0</v>
      </c>
      <c r="AC101" s="22"/>
      <c r="AD101" s="31">
        <f t="shared" si="26"/>
        <v>6000</v>
      </c>
      <c r="AE101" s="31">
        <f t="shared" si="27"/>
        <v>0</v>
      </c>
      <c r="AF101" s="17">
        <f t="shared" si="28"/>
        <v>0</v>
      </c>
      <c r="AG101" s="17">
        <f t="shared" si="29"/>
        <v>0</v>
      </c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61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</row>
    <row r="102" spans="1:123" s="17" customFormat="1" ht="18" customHeight="1" x14ac:dyDescent="0.25">
      <c r="A102" s="52" t="s">
        <v>179</v>
      </c>
      <c r="B102" s="45">
        <v>7</v>
      </c>
      <c r="C102" s="69"/>
      <c r="D102" s="65"/>
      <c r="E102" s="65"/>
      <c r="F102" s="65">
        <f>SUM(F103:F175)-F103-F106-F115-F126-F138-F172</f>
        <v>0</v>
      </c>
      <c r="G102" s="65"/>
      <c r="H102" s="65">
        <f>SUM(H103:H175)-H103-H106-H115-H126-H138-H172</f>
        <v>0</v>
      </c>
      <c r="I102" s="65"/>
      <c r="J102" s="65">
        <f>SUM(J103:J175)-J103-J106-J115-J126-J138-J172</f>
        <v>0</v>
      </c>
      <c r="K102" s="65"/>
      <c r="L102" s="65">
        <f>SUM(L103:L175)-L103-L106-L115-L126-L138-L172</f>
        <v>0</v>
      </c>
      <c r="M102" s="65"/>
      <c r="N102" s="65">
        <f>SUM(N103:N175)-N103-N106-N115-N126-N138-N172</f>
        <v>0</v>
      </c>
      <c r="O102" s="65"/>
      <c r="P102" s="65">
        <f>SUM(P103:P175)-P103-P106-P115-P126-P138-P172</f>
        <v>0</v>
      </c>
      <c r="Q102" s="65"/>
      <c r="R102" s="65">
        <f>SUM(R103:R175)-R103-R106-R115-R126-R138-R172</f>
        <v>0</v>
      </c>
      <c r="S102" s="65"/>
      <c r="T102" s="65">
        <f>SUM(T103:T175)-T103-T106-T115-T126-T138-T172</f>
        <v>0</v>
      </c>
      <c r="U102" s="65"/>
      <c r="V102" s="65">
        <f>SUM(V103:V175)-V103-V106-V115-V126-V138-V172</f>
        <v>0</v>
      </c>
      <c r="W102" s="65"/>
      <c r="X102" s="65">
        <f>SUM(X103:X175)-X103-X106-X115-X126-X138-X172</f>
        <v>0</v>
      </c>
      <c r="Y102" s="65"/>
      <c r="Z102" s="65">
        <f>SUM(Z103:Z175)-Z103-Z106-Z115-Z126-Z138-Z172</f>
        <v>0</v>
      </c>
      <c r="AA102" s="51">
        <f t="shared" si="24"/>
        <v>0</v>
      </c>
      <c r="AB102" s="70">
        <f>SUM(D102:Z102)</f>
        <v>0</v>
      </c>
      <c r="AC102" s="21"/>
      <c r="AD102" s="31">
        <f t="shared" si="26"/>
        <v>0</v>
      </c>
      <c r="AE102" s="31">
        <f t="shared" si="27"/>
        <v>0</v>
      </c>
      <c r="AF102" s="17">
        <f t="shared" si="28"/>
        <v>0</v>
      </c>
      <c r="AG102" s="17">
        <f t="shared" si="29"/>
        <v>0</v>
      </c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66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</row>
    <row r="103" spans="1:123" s="17" customFormat="1" ht="18" customHeight="1" outlineLevel="1" x14ac:dyDescent="0.25">
      <c r="A103" s="67" t="s">
        <v>107</v>
      </c>
      <c r="B103" s="45"/>
      <c r="C103" s="69"/>
      <c r="D103" s="65"/>
      <c r="E103" s="65"/>
      <c r="F103" s="65">
        <f>SUM(F104:F105)</f>
        <v>0</v>
      </c>
      <c r="G103" s="65"/>
      <c r="H103" s="65">
        <f>SUM(H104:H105)</f>
        <v>0</v>
      </c>
      <c r="I103" s="65"/>
      <c r="J103" s="65">
        <f>SUM(J104:J105)</f>
        <v>0</v>
      </c>
      <c r="K103" s="65"/>
      <c r="L103" s="65">
        <f>SUM(L104:L105)</f>
        <v>0</v>
      </c>
      <c r="M103" s="65"/>
      <c r="N103" s="65">
        <f>SUM(N104:N105)</f>
        <v>0</v>
      </c>
      <c r="O103" s="65"/>
      <c r="P103" s="65">
        <f>SUM(P104:P105)</f>
        <v>0</v>
      </c>
      <c r="Q103" s="65"/>
      <c r="R103" s="65">
        <f>SUM(R104:R105)</f>
        <v>0</v>
      </c>
      <c r="S103" s="65"/>
      <c r="T103" s="65">
        <f>SUM(T104:T105)</f>
        <v>0</v>
      </c>
      <c r="U103" s="65"/>
      <c r="V103" s="65">
        <f>SUM(V104:V105)</f>
        <v>0</v>
      </c>
      <c r="W103" s="65"/>
      <c r="X103" s="65">
        <f>SUM(X104:X105)</f>
        <v>0</v>
      </c>
      <c r="Y103" s="65"/>
      <c r="Z103" s="65">
        <f>SUM(Z104:Z105)</f>
        <v>0</v>
      </c>
      <c r="AA103" s="51">
        <f t="shared" si="24"/>
        <v>0</v>
      </c>
      <c r="AB103" s="51">
        <f t="shared" ref="AB103:AB166" si="30">D103+F103+H103+J103+L103+N103+P103+R103+T103+V103+X103+Z103</f>
        <v>0</v>
      </c>
      <c r="AC103" s="21"/>
      <c r="AD103" s="31">
        <f t="shared" si="26"/>
        <v>0</v>
      </c>
      <c r="AE103" s="31">
        <f t="shared" si="27"/>
        <v>0</v>
      </c>
      <c r="AF103" s="17">
        <f t="shared" si="28"/>
        <v>0</v>
      </c>
      <c r="AG103" s="17">
        <f t="shared" si="29"/>
        <v>0</v>
      </c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66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</row>
    <row r="104" spans="1:123" s="19" customFormat="1" ht="18" customHeight="1" outlineLevel="2" x14ac:dyDescent="0.25">
      <c r="A104" s="48" t="s">
        <v>108</v>
      </c>
      <c r="B104" s="53"/>
      <c r="C104" s="49">
        <f>'2025年安徽省区利润表'!C104+'2025年江西省区利润表'!C104</f>
        <v>0</v>
      </c>
      <c r="D104" s="49">
        <f>'2025年安徽省区利润表'!D104+'2025年江西省区利润表'!D104</f>
        <v>0</v>
      </c>
      <c r="E104" s="49">
        <f>'2025年安徽省区利润表'!E104+'2025年江西省区利润表'!E104</f>
        <v>0</v>
      </c>
      <c r="F104" s="49">
        <f>'2025年安徽省区利润表'!F104+'2025年江西省区利润表'!F104</f>
        <v>0</v>
      </c>
      <c r="G104" s="49">
        <f>'2025年安徽省区利润表'!G104+'2025年江西省区利润表'!G104</f>
        <v>0</v>
      </c>
      <c r="H104" s="49">
        <f>'2025年安徽省区利润表'!H104+'2025年江西省区利润表'!H104</f>
        <v>0</v>
      </c>
      <c r="I104" s="49">
        <f>'2025年安徽省区利润表'!I104+'2025年江西省区利润表'!I104</f>
        <v>0</v>
      </c>
      <c r="J104" s="49">
        <f>'2025年安徽省区利润表'!J104+'2025年江西省区利润表'!J104</f>
        <v>0</v>
      </c>
      <c r="K104" s="49">
        <f>'2025年安徽省区利润表'!K104+'2025年江西省区利润表'!K104</f>
        <v>0</v>
      </c>
      <c r="L104" s="49">
        <f>'2025年安徽省区利润表'!L104+'2025年江西省区利润表'!L104</f>
        <v>0</v>
      </c>
      <c r="M104" s="49">
        <f>'2025年安徽省区利润表'!M104+'2025年江西省区利润表'!M104</f>
        <v>0</v>
      </c>
      <c r="N104" s="49">
        <f>'2025年安徽省区利润表'!N104+'2025年江西省区利润表'!N104</f>
        <v>0</v>
      </c>
      <c r="O104" s="49">
        <f>'2025年安徽省区利润表'!O104+'2025年江西省区利润表'!O104</f>
        <v>0</v>
      </c>
      <c r="P104" s="49">
        <f>'2025年安徽省区利润表'!P104+'2025年江西省区利润表'!P104</f>
        <v>0</v>
      </c>
      <c r="Q104" s="49">
        <f>'2025年安徽省区利润表'!Q104+'2025年江西省区利润表'!Q104</f>
        <v>0</v>
      </c>
      <c r="R104" s="49">
        <f>'2025年安徽省区利润表'!R104+'2025年江西省区利润表'!R104</f>
        <v>0</v>
      </c>
      <c r="S104" s="49">
        <f>'2025年安徽省区利润表'!S104+'2025年江西省区利润表'!S104</f>
        <v>0</v>
      </c>
      <c r="T104" s="49">
        <f>'2025年安徽省区利润表'!T104+'2025年江西省区利润表'!T104</f>
        <v>0</v>
      </c>
      <c r="U104" s="49">
        <f>'2025年安徽省区利润表'!U104+'2025年江西省区利润表'!U104</f>
        <v>0</v>
      </c>
      <c r="V104" s="49">
        <f>'2025年安徽省区利润表'!V104+'2025年江西省区利润表'!V104</f>
        <v>0</v>
      </c>
      <c r="W104" s="49">
        <f>'2025年安徽省区利润表'!W104+'2025年江西省区利润表'!W104</f>
        <v>0</v>
      </c>
      <c r="X104" s="49">
        <f>'2025年安徽省区利润表'!X104+'2025年江西省区利润表'!X104</f>
        <v>0</v>
      </c>
      <c r="Y104" s="49">
        <f>'2025年安徽省区利润表'!Y104+'2025年江西省区利润表'!Y104</f>
        <v>0</v>
      </c>
      <c r="Z104" s="49">
        <f>'2025年安徽省区利润表'!Z104+'2025年江西省区利润表'!Z104</f>
        <v>0</v>
      </c>
      <c r="AA104" s="51">
        <f t="shared" si="24"/>
        <v>0</v>
      </c>
      <c r="AB104" s="51">
        <f t="shared" si="30"/>
        <v>0</v>
      </c>
      <c r="AD104" s="31">
        <f t="shared" si="26"/>
        <v>0</v>
      </c>
      <c r="AE104" s="31">
        <f t="shared" si="27"/>
        <v>0</v>
      </c>
      <c r="AF104" s="17">
        <f t="shared" si="28"/>
        <v>0</v>
      </c>
      <c r="AG104" s="17">
        <f t="shared" si="29"/>
        <v>0</v>
      </c>
      <c r="BG104" s="66"/>
    </row>
    <row r="105" spans="1:123" s="19" customFormat="1" ht="18" customHeight="1" outlineLevel="2" x14ac:dyDescent="0.25">
      <c r="A105" s="48" t="s">
        <v>109</v>
      </c>
      <c r="B105" s="53"/>
      <c r="C105" s="49">
        <f>'2025年安徽省区利润表'!C105+'2025年江西省区利润表'!C105</f>
        <v>0</v>
      </c>
      <c r="D105" s="49">
        <f>'2025年安徽省区利润表'!D105+'2025年江西省区利润表'!D105</f>
        <v>0</v>
      </c>
      <c r="E105" s="49">
        <f>'2025年安徽省区利润表'!E105+'2025年江西省区利润表'!E105</f>
        <v>0</v>
      </c>
      <c r="F105" s="49">
        <f>'2025年安徽省区利润表'!F105+'2025年江西省区利润表'!F105</f>
        <v>0</v>
      </c>
      <c r="G105" s="49">
        <f>'2025年安徽省区利润表'!G105+'2025年江西省区利润表'!G105</f>
        <v>0</v>
      </c>
      <c r="H105" s="49">
        <f>'2025年安徽省区利润表'!H105+'2025年江西省区利润表'!H105</f>
        <v>0</v>
      </c>
      <c r="I105" s="49">
        <f>'2025年安徽省区利润表'!I105+'2025年江西省区利润表'!I105</f>
        <v>0</v>
      </c>
      <c r="J105" s="49">
        <f>'2025年安徽省区利润表'!J105+'2025年江西省区利润表'!J105</f>
        <v>0</v>
      </c>
      <c r="K105" s="49">
        <f>'2025年安徽省区利润表'!K105+'2025年江西省区利润表'!K105</f>
        <v>0</v>
      </c>
      <c r="L105" s="49">
        <f>'2025年安徽省区利润表'!L105+'2025年江西省区利润表'!L105</f>
        <v>0</v>
      </c>
      <c r="M105" s="49">
        <f>'2025年安徽省区利润表'!M105+'2025年江西省区利润表'!M105</f>
        <v>0</v>
      </c>
      <c r="N105" s="49">
        <f>'2025年安徽省区利润表'!N105+'2025年江西省区利润表'!N105</f>
        <v>0</v>
      </c>
      <c r="O105" s="49">
        <f>'2025年安徽省区利润表'!O105+'2025年江西省区利润表'!O105</f>
        <v>0</v>
      </c>
      <c r="P105" s="49">
        <f>'2025年安徽省区利润表'!P105+'2025年江西省区利润表'!P105</f>
        <v>0</v>
      </c>
      <c r="Q105" s="49">
        <f>'2025年安徽省区利润表'!Q105+'2025年江西省区利润表'!Q105</f>
        <v>0</v>
      </c>
      <c r="R105" s="49">
        <f>'2025年安徽省区利润表'!R105+'2025年江西省区利润表'!R105</f>
        <v>0</v>
      </c>
      <c r="S105" s="49">
        <f>'2025年安徽省区利润表'!S105+'2025年江西省区利润表'!S105</f>
        <v>0</v>
      </c>
      <c r="T105" s="49">
        <f>'2025年安徽省区利润表'!T105+'2025年江西省区利润表'!T105</f>
        <v>0</v>
      </c>
      <c r="U105" s="49">
        <f>'2025年安徽省区利润表'!U105+'2025年江西省区利润表'!U105</f>
        <v>0</v>
      </c>
      <c r="V105" s="49">
        <f>'2025年安徽省区利润表'!V105+'2025年江西省区利润表'!V105</f>
        <v>0</v>
      </c>
      <c r="W105" s="49">
        <f>'2025年安徽省区利润表'!W105+'2025年江西省区利润表'!W105</f>
        <v>0</v>
      </c>
      <c r="X105" s="49">
        <f>'2025年安徽省区利润表'!X105+'2025年江西省区利润表'!X105</f>
        <v>0</v>
      </c>
      <c r="Y105" s="49">
        <f>'2025年安徽省区利润表'!Y105+'2025年江西省区利润表'!Y105</f>
        <v>0</v>
      </c>
      <c r="Z105" s="49">
        <f>'2025年安徽省区利润表'!Z105+'2025年江西省区利润表'!Z105</f>
        <v>0</v>
      </c>
      <c r="AA105" s="51">
        <f t="shared" si="24"/>
        <v>0</v>
      </c>
      <c r="AB105" s="51">
        <f t="shared" si="30"/>
        <v>0</v>
      </c>
      <c r="AD105" s="31">
        <f t="shared" si="26"/>
        <v>0</v>
      </c>
      <c r="AE105" s="31">
        <f t="shared" si="27"/>
        <v>0</v>
      </c>
      <c r="AF105" s="17">
        <f t="shared" si="28"/>
        <v>0</v>
      </c>
      <c r="AG105" s="17">
        <f t="shared" si="29"/>
        <v>0</v>
      </c>
      <c r="BG105" s="66"/>
    </row>
    <row r="106" spans="1:123" s="17" customFormat="1" ht="18" customHeight="1" outlineLevel="1" x14ac:dyDescent="0.25">
      <c r="A106" s="67" t="s">
        <v>110</v>
      </c>
      <c r="B106" s="45"/>
      <c r="C106" s="69"/>
      <c r="D106" s="65"/>
      <c r="E106" s="65"/>
      <c r="F106" s="65">
        <f>SUM(F107:F111)</f>
        <v>0</v>
      </c>
      <c r="G106" s="65"/>
      <c r="H106" s="65">
        <f>SUM(H107:H111)</f>
        <v>0</v>
      </c>
      <c r="I106" s="65"/>
      <c r="J106" s="65">
        <f>SUM(J107:J111)</f>
        <v>0</v>
      </c>
      <c r="K106" s="65"/>
      <c r="L106" s="65">
        <f>SUM(L107:L111)</f>
        <v>0</v>
      </c>
      <c r="M106" s="65"/>
      <c r="N106" s="65">
        <f>SUM(N107:N111)</f>
        <v>0</v>
      </c>
      <c r="O106" s="65"/>
      <c r="P106" s="65">
        <f>SUM(P107:P111)</f>
        <v>0</v>
      </c>
      <c r="Q106" s="65"/>
      <c r="R106" s="65">
        <f>SUM(R107:R111)</f>
        <v>0</v>
      </c>
      <c r="S106" s="65"/>
      <c r="T106" s="65">
        <f>SUM(T107:T111)</f>
        <v>0</v>
      </c>
      <c r="U106" s="65"/>
      <c r="V106" s="65">
        <f>SUM(V107:V111)</f>
        <v>0</v>
      </c>
      <c r="W106" s="65"/>
      <c r="X106" s="65">
        <f>SUM(X107:X111)</f>
        <v>0</v>
      </c>
      <c r="Y106" s="65"/>
      <c r="Z106" s="65">
        <f>SUM(Z107:Z111)</f>
        <v>0</v>
      </c>
      <c r="AA106" s="51">
        <f t="shared" si="24"/>
        <v>0</v>
      </c>
      <c r="AB106" s="51">
        <f t="shared" si="30"/>
        <v>0</v>
      </c>
      <c r="AC106" s="21"/>
      <c r="AD106" s="31">
        <f t="shared" si="26"/>
        <v>0</v>
      </c>
      <c r="AE106" s="31">
        <f t="shared" si="27"/>
        <v>0</v>
      </c>
      <c r="AF106" s="17">
        <f t="shared" si="28"/>
        <v>0</v>
      </c>
      <c r="AG106" s="17">
        <f t="shared" si="29"/>
        <v>0</v>
      </c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66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</row>
    <row r="107" spans="1:123" s="19" customFormat="1" ht="18" customHeight="1" outlineLevel="2" x14ac:dyDescent="0.25">
      <c r="A107" s="48" t="s">
        <v>111</v>
      </c>
      <c r="B107" s="53"/>
      <c r="C107" s="49">
        <f>'2025年安徽省区利润表'!C107+'2025年江西省区利润表'!C107</f>
        <v>0</v>
      </c>
      <c r="D107" s="49">
        <f>'2025年安徽省区利润表'!D107+'2025年江西省区利润表'!D107</f>
        <v>0</v>
      </c>
      <c r="E107" s="49">
        <f>'2025年安徽省区利润表'!E107+'2025年江西省区利润表'!E107</f>
        <v>0</v>
      </c>
      <c r="F107" s="49">
        <f>'2025年安徽省区利润表'!F107+'2025年江西省区利润表'!F107</f>
        <v>0</v>
      </c>
      <c r="G107" s="49">
        <f>'2025年安徽省区利润表'!G107+'2025年江西省区利润表'!G107</f>
        <v>0</v>
      </c>
      <c r="H107" s="49">
        <f>'2025年安徽省区利润表'!H107+'2025年江西省区利润表'!H107</f>
        <v>0</v>
      </c>
      <c r="I107" s="49">
        <f>'2025年安徽省区利润表'!I107+'2025年江西省区利润表'!I107</f>
        <v>0</v>
      </c>
      <c r="J107" s="49">
        <f>'2025年安徽省区利润表'!J107+'2025年江西省区利润表'!J107</f>
        <v>0</v>
      </c>
      <c r="K107" s="49">
        <f>'2025年安徽省区利润表'!K107+'2025年江西省区利润表'!K107</f>
        <v>0</v>
      </c>
      <c r="L107" s="49">
        <f>'2025年安徽省区利润表'!L107+'2025年江西省区利润表'!L107</f>
        <v>0</v>
      </c>
      <c r="M107" s="49">
        <f>'2025年安徽省区利润表'!M107+'2025年江西省区利润表'!M107</f>
        <v>0</v>
      </c>
      <c r="N107" s="49">
        <f>'2025年安徽省区利润表'!N107+'2025年江西省区利润表'!N107</f>
        <v>0</v>
      </c>
      <c r="O107" s="49">
        <f>'2025年安徽省区利润表'!O107+'2025年江西省区利润表'!O107</f>
        <v>0</v>
      </c>
      <c r="P107" s="49">
        <f>'2025年安徽省区利润表'!P107+'2025年江西省区利润表'!P107</f>
        <v>0</v>
      </c>
      <c r="Q107" s="49">
        <f>'2025年安徽省区利润表'!Q107+'2025年江西省区利润表'!Q107</f>
        <v>0</v>
      </c>
      <c r="R107" s="49">
        <f>'2025年安徽省区利润表'!R107+'2025年江西省区利润表'!R107</f>
        <v>0</v>
      </c>
      <c r="S107" s="49">
        <f>'2025年安徽省区利润表'!S107+'2025年江西省区利润表'!S107</f>
        <v>0</v>
      </c>
      <c r="T107" s="49">
        <f>'2025年安徽省区利润表'!T107+'2025年江西省区利润表'!T107</f>
        <v>0</v>
      </c>
      <c r="U107" s="49">
        <f>'2025年安徽省区利润表'!U107+'2025年江西省区利润表'!U107</f>
        <v>0</v>
      </c>
      <c r="V107" s="49">
        <f>'2025年安徽省区利润表'!V107+'2025年江西省区利润表'!V107</f>
        <v>0</v>
      </c>
      <c r="W107" s="49">
        <f>'2025年安徽省区利润表'!W107+'2025年江西省区利润表'!W107</f>
        <v>0</v>
      </c>
      <c r="X107" s="49">
        <f>'2025年安徽省区利润表'!X107+'2025年江西省区利润表'!X107</f>
        <v>0</v>
      </c>
      <c r="Y107" s="49">
        <f>'2025年安徽省区利润表'!Y107+'2025年江西省区利润表'!Y107</f>
        <v>0</v>
      </c>
      <c r="Z107" s="49">
        <f>'2025年安徽省区利润表'!Z107+'2025年江西省区利润表'!Z107</f>
        <v>0</v>
      </c>
      <c r="AA107" s="51">
        <f t="shared" si="24"/>
        <v>0</v>
      </c>
      <c r="AB107" s="51">
        <f t="shared" si="30"/>
        <v>0</v>
      </c>
      <c r="AD107" s="31">
        <f t="shared" si="26"/>
        <v>0</v>
      </c>
      <c r="AE107" s="31">
        <f t="shared" si="27"/>
        <v>0</v>
      </c>
      <c r="AF107" s="17">
        <f t="shared" si="28"/>
        <v>0</v>
      </c>
      <c r="AG107" s="17">
        <f t="shared" si="29"/>
        <v>0</v>
      </c>
      <c r="BG107" s="20"/>
    </row>
    <row r="108" spans="1:123" s="19" customFormat="1" ht="18" customHeight="1" outlineLevel="2" x14ac:dyDescent="0.25">
      <c r="A108" s="48" t="s">
        <v>112</v>
      </c>
      <c r="B108" s="53"/>
      <c r="C108" s="49">
        <f>'2025年安徽省区利润表'!C108+'2025年江西省区利润表'!C108</f>
        <v>0</v>
      </c>
      <c r="D108" s="49">
        <f>'2025年安徽省区利润表'!D108+'2025年江西省区利润表'!D108</f>
        <v>0</v>
      </c>
      <c r="E108" s="49">
        <f>'2025年安徽省区利润表'!E108+'2025年江西省区利润表'!E108</f>
        <v>0</v>
      </c>
      <c r="F108" s="49">
        <f>'2025年安徽省区利润表'!F108+'2025年江西省区利润表'!F108</f>
        <v>0</v>
      </c>
      <c r="G108" s="49">
        <f>'2025年安徽省区利润表'!G108+'2025年江西省区利润表'!G108</f>
        <v>0</v>
      </c>
      <c r="H108" s="49">
        <f>'2025年安徽省区利润表'!H108+'2025年江西省区利润表'!H108</f>
        <v>0</v>
      </c>
      <c r="I108" s="49">
        <f>'2025年安徽省区利润表'!I108+'2025年江西省区利润表'!I108</f>
        <v>0</v>
      </c>
      <c r="J108" s="49">
        <f>'2025年安徽省区利润表'!J108+'2025年江西省区利润表'!J108</f>
        <v>0</v>
      </c>
      <c r="K108" s="49">
        <f>'2025年安徽省区利润表'!K108+'2025年江西省区利润表'!K108</f>
        <v>0</v>
      </c>
      <c r="L108" s="49">
        <f>'2025年安徽省区利润表'!L108+'2025年江西省区利润表'!L108</f>
        <v>0</v>
      </c>
      <c r="M108" s="49">
        <f>'2025年安徽省区利润表'!M108+'2025年江西省区利润表'!M108</f>
        <v>0</v>
      </c>
      <c r="N108" s="49">
        <f>'2025年安徽省区利润表'!N108+'2025年江西省区利润表'!N108</f>
        <v>0</v>
      </c>
      <c r="O108" s="49">
        <f>'2025年安徽省区利润表'!O108+'2025年江西省区利润表'!O108</f>
        <v>0</v>
      </c>
      <c r="P108" s="49">
        <f>'2025年安徽省区利润表'!P108+'2025年江西省区利润表'!P108</f>
        <v>0</v>
      </c>
      <c r="Q108" s="49">
        <f>'2025年安徽省区利润表'!Q108+'2025年江西省区利润表'!Q108</f>
        <v>0</v>
      </c>
      <c r="R108" s="49">
        <f>'2025年安徽省区利润表'!R108+'2025年江西省区利润表'!R108</f>
        <v>0</v>
      </c>
      <c r="S108" s="49">
        <f>'2025年安徽省区利润表'!S108+'2025年江西省区利润表'!S108</f>
        <v>0</v>
      </c>
      <c r="T108" s="49">
        <f>'2025年安徽省区利润表'!T108+'2025年江西省区利润表'!T108</f>
        <v>0</v>
      </c>
      <c r="U108" s="49">
        <f>'2025年安徽省区利润表'!U108+'2025年江西省区利润表'!U108</f>
        <v>0</v>
      </c>
      <c r="V108" s="49">
        <f>'2025年安徽省区利润表'!V108+'2025年江西省区利润表'!V108</f>
        <v>0</v>
      </c>
      <c r="W108" s="49">
        <f>'2025年安徽省区利润表'!W108+'2025年江西省区利润表'!W108</f>
        <v>0</v>
      </c>
      <c r="X108" s="49">
        <f>'2025年安徽省区利润表'!X108+'2025年江西省区利润表'!X108</f>
        <v>0</v>
      </c>
      <c r="Y108" s="49">
        <f>'2025年安徽省区利润表'!Y108+'2025年江西省区利润表'!Y108</f>
        <v>0</v>
      </c>
      <c r="Z108" s="49">
        <f>'2025年安徽省区利润表'!Z108+'2025年江西省区利润表'!Z108</f>
        <v>0</v>
      </c>
      <c r="AA108" s="51">
        <f t="shared" si="24"/>
        <v>0</v>
      </c>
      <c r="AB108" s="51">
        <f t="shared" si="30"/>
        <v>0</v>
      </c>
      <c r="AD108" s="31">
        <f t="shared" si="26"/>
        <v>0</v>
      </c>
      <c r="AE108" s="31">
        <f t="shared" si="27"/>
        <v>0</v>
      </c>
      <c r="AF108" s="17">
        <f t="shared" si="28"/>
        <v>0</v>
      </c>
      <c r="AG108" s="17">
        <f t="shared" si="29"/>
        <v>0</v>
      </c>
      <c r="BG108" s="20"/>
    </row>
    <row r="109" spans="1:123" s="19" customFormat="1" ht="18" customHeight="1" outlineLevel="2" x14ac:dyDescent="0.25">
      <c r="A109" s="48" t="s">
        <v>113</v>
      </c>
      <c r="B109" s="53"/>
      <c r="C109" s="49">
        <f>'2025年安徽省区利润表'!C109+'2025年江西省区利润表'!C109</f>
        <v>0</v>
      </c>
      <c r="D109" s="49">
        <f>'2025年安徽省区利润表'!D109+'2025年江西省区利润表'!D109</f>
        <v>0</v>
      </c>
      <c r="E109" s="49">
        <f>'2025年安徽省区利润表'!E109+'2025年江西省区利润表'!E109</f>
        <v>0</v>
      </c>
      <c r="F109" s="49">
        <f>'2025年安徽省区利润表'!F109+'2025年江西省区利润表'!F109</f>
        <v>0</v>
      </c>
      <c r="G109" s="49">
        <f>'2025年安徽省区利润表'!G109+'2025年江西省区利润表'!G109</f>
        <v>0</v>
      </c>
      <c r="H109" s="49">
        <f>'2025年安徽省区利润表'!H109+'2025年江西省区利润表'!H109</f>
        <v>0</v>
      </c>
      <c r="I109" s="49">
        <f>'2025年安徽省区利润表'!I109+'2025年江西省区利润表'!I109</f>
        <v>0</v>
      </c>
      <c r="J109" s="49">
        <f>'2025年安徽省区利润表'!J109+'2025年江西省区利润表'!J109</f>
        <v>0</v>
      </c>
      <c r="K109" s="49">
        <f>'2025年安徽省区利润表'!K109+'2025年江西省区利润表'!K109</f>
        <v>0</v>
      </c>
      <c r="L109" s="49">
        <f>'2025年安徽省区利润表'!L109+'2025年江西省区利润表'!L109</f>
        <v>0</v>
      </c>
      <c r="M109" s="49">
        <f>'2025年安徽省区利润表'!M109+'2025年江西省区利润表'!M109</f>
        <v>0</v>
      </c>
      <c r="N109" s="49">
        <f>'2025年安徽省区利润表'!N109+'2025年江西省区利润表'!N109</f>
        <v>0</v>
      </c>
      <c r="O109" s="49">
        <f>'2025年安徽省区利润表'!O109+'2025年江西省区利润表'!O109</f>
        <v>0</v>
      </c>
      <c r="P109" s="49">
        <f>'2025年安徽省区利润表'!P109+'2025年江西省区利润表'!P109</f>
        <v>0</v>
      </c>
      <c r="Q109" s="49">
        <f>'2025年安徽省区利润表'!Q109+'2025年江西省区利润表'!Q109</f>
        <v>0</v>
      </c>
      <c r="R109" s="49">
        <f>'2025年安徽省区利润表'!R109+'2025年江西省区利润表'!R109</f>
        <v>0</v>
      </c>
      <c r="S109" s="49">
        <f>'2025年安徽省区利润表'!S109+'2025年江西省区利润表'!S109</f>
        <v>0</v>
      </c>
      <c r="T109" s="49">
        <f>'2025年安徽省区利润表'!T109+'2025年江西省区利润表'!T109</f>
        <v>0</v>
      </c>
      <c r="U109" s="49">
        <f>'2025年安徽省区利润表'!U109+'2025年江西省区利润表'!U109</f>
        <v>0</v>
      </c>
      <c r="V109" s="49">
        <f>'2025年安徽省区利润表'!V109+'2025年江西省区利润表'!V109</f>
        <v>0</v>
      </c>
      <c r="W109" s="49">
        <f>'2025年安徽省区利润表'!W109+'2025年江西省区利润表'!W109</f>
        <v>0</v>
      </c>
      <c r="X109" s="49">
        <f>'2025年安徽省区利润表'!X109+'2025年江西省区利润表'!X109</f>
        <v>0</v>
      </c>
      <c r="Y109" s="49">
        <f>'2025年安徽省区利润表'!Y109+'2025年江西省区利润表'!Y109</f>
        <v>0</v>
      </c>
      <c r="Z109" s="49">
        <f>'2025年安徽省区利润表'!Z109+'2025年江西省区利润表'!Z109</f>
        <v>0</v>
      </c>
      <c r="AA109" s="51">
        <f t="shared" si="24"/>
        <v>0</v>
      </c>
      <c r="AB109" s="51">
        <f t="shared" si="30"/>
        <v>0</v>
      </c>
      <c r="AD109" s="31">
        <f t="shared" si="26"/>
        <v>0</v>
      </c>
      <c r="AE109" s="31">
        <f t="shared" si="27"/>
        <v>0</v>
      </c>
      <c r="AF109" s="17">
        <f t="shared" si="28"/>
        <v>0</v>
      </c>
      <c r="AG109" s="17">
        <f t="shared" si="29"/>
        <v>0</v>
      </c>
      <c r="BG109" s="20"/>
    </row>
    <row r="110" spans="1:123" s="19" customFormat="1" ht="18" customHeight="1" outlineLevel="2" x14ac:dyDescent="0.25">
      <c r="A110" s="48" t="s">
        <v>114</v>
      </c>
      <c r="B110" s="53"/>
      <c r="C110" s="49">
        <f>'2025年安徽省区利润表'!C110+'2025年江西省区利润表'!C110</f>
        <v>0</v>
      </c>
      <c r="D110" s="49">
        <f>'2025年安徽省区利润表'!D110+'2025年江西省区利润表'!D110</f>
        <v>0</v>
      </c>
      <c r="E110" s="49">
        <f>'2025年安徽省区利润表'!E110+'2025年江西省区利润表'!E110</f>
        <v>0</v>
      </c>
      <c r="F110" s="49">
        <f>'2025年安徽省区利润表'!F110+'2025年江西省区利润表'!F110</f>
        <v>0</v>
      </c>
      <c r="G110" s="49">
        <f>'2025年安徽省区利润表'!G110+'2025年江西省区利润表'!G110</f>
        <v>0</v>
      </c>
      <c r="H110" s="49">
        <f>'2025年安徽省区利润表'!H110+'2025年江西省区利润表'!H110</f>
        <v>0</v>
      </c>
      <c r="I110" s="49">
        <f>'2025年安徽省区利润表'!I110+'2025年江西省区利润表'!I110</f>
        <v>0</v>
      </c>
      <c r="J110" s="49">
        <f>'2025年安徽省区利润表'!J110+'2025年江西省区利润表'!J110</f>
        <v>0</v>
      </c>
      <c r="K110" s="49">
        <f>'2025年安徽省区利润表'!K110+'2025年江西省区利润表'!K110</f>
        <v>0</v>
      </c>
      <c r="L110" s="49">
        <f>'2025年安徽省区利润表'!L110+'2025年江西省区利润表'!L110</f>
        <v>0</v>
      </c>
      <c r="M110" s="49">
        <f>'2025年安徽省区利润表'!M110+'2025年江西省区利润表'!M110</f>
        <v>0</v>
      </c>
      <c r="N110" s="49">
        <f>'2025年安徽省区利润表'!N110+'2025年江西省区利润表'!N110</f>
        <v>0</v>
      </c>
      <c r="O110" s="49">
        <f>'2025年安徽省区利润表'!O110+'2025年江西省区利润表'!O110</f>
        <v>0</v>
      </c>
      <c r="P110" s="49">
        <f>'2025年安徽省区利润表'!P110+'2025年江西省区利润表'!P110</f>
        <v>0</v>
      </c>
      <c r="Q110" s="49">
        <f>'2025年安徽省区利润表'!Q110+'2025年江西省区利润表'!Q110</f>
        <v>0</v>
      </c>
      <c r="R110" s="49">
        <f>'2025年安徽省区利润表'!R110+'2025年江西省区利润表'!R110</f>
        <v>0</v>
      </c>
      <c r="S110" s="49">
        <f>'2025年安徽省区利润表'!S110+'2025年江西省区利润表'!S110</f>
        <v>0</v>
      </c>
      <c r="T110" s="49">
        <f>'2025年安徽省区利润表'!T110+'2025年江西省区利润表'!T110</f>
        <v>0</v>
      </c>
      <c r="U110" s="49">
        <f>'2025年安徽省区利润表'!U110+'2025年江西省区利润表'!U110</f>
        <v>0</v>
      </c>
      <c r="V110" s="49">
        <f>'2025年安徽省区利润表'!V110+'2025年江西省区利润表'!V110</f>
        <v>0</v>
      </c>
      <c r="W110" s="49">
        <f>'2025年安徽省区利润表'!W110+'2025年江西省区利润表'!W110</f>
        <v>0</v>
      </c>
      <c r="X110" s="49">
        <f>'2025年安徽省区利润表'!X110+'2025年江西省区利润表'!X110</f>
        <v>0</v>
      </c>
      <c r="Y110" s="49">
        <f>'2025年安徽省区利润表'!Y110+'2025年江西省区利润表'!Y110</f>
        <v>0</v>
      </c>
      <c r="Z110" s="49">
        <f>'2025年安徽省区利润表'!Z110+'2025年江西省区利润表'!Z110</f>
        <v>0</v>
      </c>
      <c r="AA110" s="51">
        <f t="shared" si="24"/>
        <v>0</v>
      </c>
      <c r="AB110" s="51">
        <f t="shared" si="30"/>
        <v>0</v>
      </c>
      <c r="AD110" s="31">
        <f t="shared" si="26"/>
        <v>0</v>
      </c>
      <c r="AE110" s="31">
        <f t="shared" si="27"/>
        <v>0</v>
      </c>
      <c r="AF110" s="17">
        <f t="shared" si="28"/>
        <v>0</v>
      </c>
      <c r="AG110" s="17">
        <f t="shared" si="29"/>
        <v>0</v>
      </c>
      <c r="BG110" s="20"/>
    </row>
    <row r="111" spans="1:123" s="19" customFormat="1" ht="18" customHeight="1" outlineLevel="2" x14ac:dyDescent="0.25">
      <c r="A111" s="48" t="s">
        <v>115</v>
      </c>
      <c r="B111" s="53"/>
      <c r="C111" s="49">
        <f>'2025年安徽省区利润表'!C111+'2025年江西省区利润表'!C111</f>
        <v>0</v>
      </c>
      <c r="D111" s="49">
        <f>'2025年安徽省区利润表'!D111+'2025年江西省区利润表'!D111</f>
        <v>0</v>
      </c>
      <c r="E111" s="49">
        <f>'2025年安徽省区利润表'!E111+'2025年江西省区利润表'!E111</f>
        <v>0</v>
      </c>
      <c r="F111" s="49">
        <f>'2025年安徽省区利润表'!F111+'2025年江西省区利润表'!F111</f>
        <v>0</v>
      </c>
      <c r="G111" s="49">
        <f>'2025年安徽省区利润表'!G111+'2025年江西省区利润表'!G111</f>
        <v>0</v>
      </c>
      <c r="H111" s="49">
        <f>'2025年安徽省区利润表'!H111+'2025年江西省区利润表'!H111</f>
        <v>0</v>
      </c>
      <c r="I111" s="49">
        <f>'2025年安徽省区利润表'!I111+'2025年江西省区利润表'!I111</f>
        <v>0</v>
      </c>
      <c r="J111" s="49">
        <f>'2025年安徽省区利润表'!J111+'2025年江西省区利润表'!J111</f>
        <v>0</v>
      </c>
      <c r="K111" s="49">
        <f>'2025年安徽省区利润表'!K111+'2025年江西省区利润表'!K111</f>
        <v>0</v>
      </c>
      <c r="L111" s="49">
        <f>'2025年安徽省区利润表'!L111+'2025年江西省区利润表'!L111</f>
        <v>0</v>
      </c>
      <c r="M111" s="49">
        <f>'2025年安徽省区利润表'!M111+'2025年江西省区利润表'!M111</f>
        <v>0</v>
      </c>
      <c r="N111" s="49">
        <f>'2025年安徽省区利润表'!N111+'2025年江西省区利润表'!N111</f>
        <v>0</v>
      </c>
      <c r="O111" s="49">
        <f>'2025年安徽省区利润表'!O111+'2025年江西省区利润表'!O111</f>
        <v>0</v>
      </c>
      <c r="P111" s="49">
        <f>'2025年安徽省区利润表'!P111+'2025年江西省区利润表'!P111</f>
        <v>0</v>
      </c>
      <c r="Q111" s="49">
        <f>'2025年安徽省区利润表'!Q111+'2025年江西省区利润表'!Q111</f>
        <v>0</v>
      </c>
      <c r="R111" s="49">
        <f>'2025年安徽省区利润表'!R111+'2025年江西省区利润表'!R111</f>
        <v>0</v>
      </c>
      <c r="S111" s="49">
        <f>'2025年安徽省区利润表'!S111+'2025年江西省区利润表'!S111</f>
        <v>0</v>
      </c>
      <c r="T111" s="49">
        <f>'2025年安徽省区利润表'!T111+'2025年江西省区利润表'!T111</f>
        <v>0</v>
      </c>
      <c r="U111" s="49">
        <f>'2025年安徽省区利润表'!U111+'2025年江西省区利润表'!U111</f>
        <v>0</v>
      </c>
      <c r="V111" s="49">
        <f>'2025年安徽省区利润表'!V111+'2025年江西省区利润表'!V111</f>
        <v>0</v>
      </c>
      <c r="W111" s="49">
        <f>'2025年安徽省区利润表'!W111+'2025年江西省区利润表'!W111</f>
        <v>0</v>
      </c>
      <c r="X111" s="49">
        <f>'2025年安徽省区利润表'!X111+'2025年江西省区利润表'!X111</f>
        <v>0</v>
      </c>
      <c r="Y111" s="49">
        <f>'2025年安徽省区利润表'!Y111+'2025年江西省区利润表'!Y111</f>
        <v>0</v>
      </c>
      <c r="Z111" s="49">
        <f>'2025年安徽省区利润表'!Z111+'2025年江西省区利润表'!Z111</f>
        <v>0</v>
      </c>
      <c r="AA111" s="51">
        <f t="shared" si="24"/>
        <v>0</v>
      </c>
      <c r="AB111" s="51">
        <f t="shared" si="30"/>
        <v>0</v>
      </c>
      <c r="AD111" s="31">
        <f t="shared" si="26"/>
        <v>0</v>
      </c>
      <c r="AE111" s="31">
        <f t="shared" si="27"/>
        <v>0</v>
      </c>
      <c r="AF111" s="17">
        <f t="shared" si="28"/>
        <v>0</v>
      </c>
      <c r="AG111" s="17">
        <f t="shared" si="29"/>
        <v>0</v>
      </c>
      <c r="BG111" s="20"/>
    </row>
    <row r="112" spans="1:123" s="19" customFormat="1" ht="18" customHeight="1" outlineLevel="1" x14ac:dyDescent="0.25">
      <c r="A112" s="48" t="s">
        <v>116</v>
      </c>
      <c r="B112" s="53"/>
      <c r="C112" s="49">
        <f>'2025年安徽省区利润表'!C112+'2025年江西省区利润表'!C112</f>
        <v>0</v>
      </c>
      <c r="D112" s="49">
        <f>'2025年安徽省区利润表'!D112+'2025年江西省区利润表'!D112</f>
        <v>0</v>
      </c>
      <c r="E112" s="49">
        <f>'2025年安徽省区利润表'!E112+'2025年江西省区利润表'!E112</f>
        <v>0</v>
      </c>
      <c r="F112" s="49">
        <f>'2025年安徽省区利润表'!F112+'2025年江西省区利润表'!F112</f>
        <v>0</v>
      </c>
      <c r="G112" s="49">
        <f>'2025年安徽省区利润表'!G112+'2025年江西省区利润表'!G112</f>
        <v>0</v>
      </c>
      <c r="H112" s="49">
        <f>'2025年安徽省区利润表'!H112+'2025年江西省区利润表'!H112</f>
        <v>0</v>
      </c>
      <c r="I112" s="49">
        <f>'2025年安徽省区利润表'!I112+'2025年江西省区利润表'!I112</f>
        <v>0</v>
      </c>
      <c r="J112" s="49">
        <f>'2025年安徽省区利润表'!J112+'2025年江西省区利润表'!J112</f>
        <v>0</v>
      </c>
      <c r="K112" s="49">
        <f>'2025年安徽省区利润表'!K112+'2025年江西省区利润表'!K112</f>
        <v>0</v>
      </c>
      <c r="L112" s="49">
        <f>'2025年安徽省区利润表'!L112+'2025年江西省区利润表'!L112</f>
        <v>0</v>
      </c>
      <c r="M112" s="49">
        <f>'2025年安徽省区利润表'!M112+'2025年江西省区利润表'!M112</f>
        <v>0</v>
      </c>
      <c r="N112" s="49">
        <f>'2025年安徽省区利润表'!N112+'2025年江西省区利润表'!N112</f>
        <v>0</v>
      </c>
      <c r="O112" s="49">
        <f>'2025年安徽省区利润表'!O112+'2025年江西省区利润表'!O112</f>
        <v>0</v>
      </c>
      <c r="P112" s="49">
        <f>'2025年安徽省区利润表'!P112+'2025年江西省区利润表'!P112</f>
        <v>0</v>
      </c>
      <c r="Q112" s="49">
        <f>'2025年安徽省区利润表'!Q112+'2025年江西省区利润表'!Q112</f>
        <v>0</v>
      </c>
      <c r="R112" s="49">
        <f>'2025年安徽省区利润表'!R112+'2025年江西省区利润表'!R112</f>
        <v>0</v>
      </c>
      <c r="S112" s="49">
        <f>'2025年安徽省区利润表'!S112+'2025年江西省区利润表'!S112</f>
        <v>0</v>
      </c>
      <c r="T112" s="49">
        <f>'2025年安徽省区利润表'!T112+'2025年江西省区利润表'!T112</f>
        <v>0</v>
      </c>
      <c r="U112" s="49">
        <f>'2025年安徽省区利润表'!U112+'2025年江西省区利润表'!U112</f>
        <v>0</v>
      </c>
      <c r="V112" s="49">
        <f>'2025年安徽省区利润表'!V112+'2025年江西省区利润表'!V112</f>
        <v>0</v>
      </c>
      <c r="W112" s="49">
        <f>'2025年安徽省区利润表'!W112+'2025年江西省区利润表'!W112</f>
        <v>0</v>
      </c>
      <c r="X112" s="49">
        <f>'2025年安徽省区利润表'!X112+'2025年江西省区利润表'!X112</f>
        <v>0</v>
      </c>
      <c r="Y112" s="49">
        <f>'2025年安徽省区利润表'!Y112+'2025年江西省区利润表'!Y112</f>
        <v>0</v>
      </c>
      <c r="Z112" s="49">
        <f>'2025年安徽省区利润表'!Z112+'2025年江西省区利润表'!Z112</f>
        <v>0</v>
      </c>
      <c r="AA112" s="51">
        <f t="shared" si="24"/>
        <v>0</v>
      </c>
      <c r="AB112" s="51">
        <f t="shared" si="30"/>
        <v>0</v>
      </c>
      <c r="AD112" s="31">
        <f t="shared" si="26"/>
        <v>0</v>
      </c>
      <c r="AE112" s="31">
        <f t="shared" si="27"/>
        <v>0</v>
      </c>
      <c r="AF112" s="17">
        <f t="shared" si="28"/>
        <v>0</v>
      </c>
      <c r="AG112" s="17">
        <f t="shared" si="29"/>
        <v>0</v>
      </c>
      <c r="BG112" s="20"/>
    </row>
    <row r="113" spans="1:123" s="19" customFormat="1" ht="18" customHeight="1" outlineLevel="1" x14ac:dyDescent="0.25">
      <c r="A113" s="48" t="s">
        <v>117</v>
      </c>
      <c r="B113" s="53"/>
      <c r="C113" s="49">
        <f>'2025年安徽省区利润表'!C113+'2025年江西省区利润表'!C113</f>
        <v>0</v>
      </c>
      <c r="D113" s="49">
        <f>'2025年安徽省区利润表'!D113+'2025年江西省区利润表'!D113</f>
        <v>0</v>
      </c>
      <c r="E113" s="49">
        <f>'2025年安徽省区利润表'!E113+'2025年江西省区利润表'!E113</f>
        <v>0</v>
      </c>
      <c r="F113" s="49">
        <f>'2025年安徽省区利润表'!F113+'2025年江西省区利润表'!F113</f>
        <v>0</v>
      </c>
      <c r="G113" s="49">
        <f>'2025年安徽省区利润表'!G113+'2025年江西省区利润表'!G113</f>
        <v>0</v>
      </c>
      <c r="H113" s="49">
        <f>'2025年安徽省区利润表'!H113+'2025年江西省区利润表'!H113</f>
        <v>0</v>
      </c>
      <c r="I113" s="49">
        <f>'2025年安徽省区利润表'!I113+'2025年江西省区利润表'!I113</f>
        <v>0</v>
      </c>
      <c r="J113" s="49">
        <f>'2025年安徽省区利润表'!J113+'2025年江西省区利润表'!J113</f>
        <v>0</v>
      </c>
      <c r="K113" s="49">
        <f>'2025年安徽省区利润表'!K113+'2025年江西省区利润表'!K113</f>
        <v>0</v>
      </c>
      <c r="L113" s="49">
        <f>'2025年安徽省区利润表'!L113+'2025年江西省区利润表'!L113</f>
        <v>0</v>
      </c>
      <c r="M113" s="49">
        <f>'2025年安徽省区利润表'!M113+'2025年江西省区利润表'!M113</f>
        <v>0</v>
      </c>
      <c r="N113" s="49">
        <f>'2025年安徽省区利润表'!N113+'2025年江西省区利润表'!N113</f>
        <v>0</v>
      </c>
      <c r="O113" s="49">
        <f>'2025年安徽省区利润表'!O113+'2025年江西省区利润表'!O113</f>
        <v>0</v>
      </c>
      <c r="P113" s="49">
        <f>'2025年安徽省区利润表'!P113+'2025年江西省区利润表'!P113</f>
        <v>0</v>
      </c>
      <c r="Q113" s="49">
        <f>'2025年安徽省区利润表'!Q113+'2025年江西省区利润表'!Q113</f>
        <v>0</v>
      </c>
      <c r="R113" s="49">
        <f>'2025年安徽省区利润表'!R113+'2025年江西省区利润表'!R113</f>
        <v>0</v>
      </c>
      <c r="S113" s="49">
        <f>'2025年安徽省区利润表'!S113+'2025年江西省区利润表'!S113</f>
        <v>0</v>
      </c>
      <c r="T113" s="49">
        <f>'2025年安徽省区利润表'!T113+'2025年江西省区利润表'!T113</f>
        <v>0</v>
      </c>
      <c r="U113" s="49">
        <f>'2025年安徽省区利润表'!U113+'2025年江西省区利润表'!U113</f>
        <v>0</v>
      </c>
      <c r="V113" s="49">
        <f>'2025年安徽省区利润表'!V113+'2025年江西省区利润表'!V113</f>
        <v>0</v>
      </c>
      <c r="W113" s="49">
        <f>'2025年安徽省区利润表'!W113+'2025年江西省区利润表'!W113</f>
        <v>0</v>
      </c>
      <c r="X113" s="49">
        <f>'2025年安徽省区利润表'!X113+'2025年江西省区利润表'!X113</f>
        <v>0</v>
      </c>
      <c r="Y113" s="49">
        <f>'2025年安徽省区利润表'!Y113+'2025年江西省区利润表'!Y113</f>
        <v>0</v>
      </c>
      <c r="Z113" s="49">
        <f>'2025年安徽省区利润表'!Z113+'2025年江西省区利润表'!Z113</f>
        <v>0</v>
      </c>
      <c r="AA113" s="51">
        <f t="shared" si="24"/>
        <v>0</v>
      </c>
      <c r="AB113" s="51">
        <f t="shared" si="30"/>
        <v>0</v>
      </c>
      <c r="AD113" s="31">
        <f t="shared" si="26"/>
        <v>0</v>
      </c>
      <c r="AE113" s="31">
        <f t="shared" si="27"/>
        <v>0</v>
      </c>
      <c r="AF113" s="17">
        <f t="shared" si="28"/>
        <v>0</v>
      </c>
      <c r="AG113" s="17">
        <f t="shared" si="29"/>
        <v>0</v>
      </c>
      <c r="BG113" s="20"/>
    </row>
    <row r="114" spans="1:123" s="19" customFormat="1" ht="18" customHeight="1" outlineLevel="1" x14ac:dyDescent="0.25">
      <c r="A114" s="48" t="s">
        <v>118</v>
      </c>
      <c r="B114" s="53"/>
      <c r="C114" s="49">
        <f>'2025年安徽省区利润表'!C114+'2025年江西省区利润表'!C114</f>
        <v>0</v>
      </c>
      <c r="D114" s="49">
        <f>'2025年安徽省区利润表'!D114+'2025年江西省区利润表'!D114</f>
        <v>0</v>
      </c>
      <c r="E114" s="49">
        <f>'2025年安徽省区利润表'!E114+'2025年江西省区利润表'!E114</f>
        <v>0</v>
      </c>
      <c r="F114" s="49">
        <f>'2025年安徽省区利润表'!F114+'2025年江西省区利润表'!F114</f>
        <v>0</v>
      </c>
      <c r="G114" s="49">
        <f>'2025年安徽省区利润表'!G114+'2025年江西省区利润表'!G114</f>
        <v>0</v>
      </c>
      <c r="H114" s="49">
        <f>'2025年安徽省区利润表'!H114+'2025年江西省区利润表'!H114</f>
        <v>0</v>
      </c>
      <c r="I114" s="49">
        <f>'2025年安徽省区利润表'!I114+'2025年江西省区利润表'!I114</f>
        <v>0</v>
      </c>
      <c r="J114" s="49">
        <f>'2025年安徽省区利润表'!J114+'2025年江西省区利润表'!J114</f>
        <v>0</v>
      </c>
      <c r="K114" s="49">
        <f>'2025年安徽省区利润表'!K114+'2025年江西省区利润表'!K114</f>
        <v>0</v>
      </c>
      <c r="L114" s="49">
        <f>'2025年安徽省区利润表'!L114+'2025年江西省区利润表'!L114</f>
        <v>0</v>
      </c>
      <c r="M114" s="49">
        <f>'2025年安徽省区利润表'!M114+'2025年江西省区利润表'!M114</f>
        <v>0</v>
      </c>
      <c r="N114" s="49">
        <f>'2025年安徽省区利润表'!N114+'2025年江西省区利润表'!N114</f>
        <v>0</v>
      </c>
      <c r="O114" s="49">
        <f>'2025年安徽省区利润表'!O114+'2025年江西省区利润表'!O114</f>
        <v>0</v>
      </c>
      <c r="P114" s="49">
        <f>'2025年安徽省区利润表'!P114+'2025年江西省区利润表'!P114</f>
        <v>0</v>
      </c>
      <c r="Q114" s="49">
        <f>'2025年安徽省区利润表'!Q114+'2025年江西省区利润表'!Q114</f>
        <v>0</v>
      </c>
      <c r="R114" s="49">
        <f>'2025年安徽省区利润表'!R114+'2025年江西省区利润表'!R114</f>
        <v>0</v>
      </c>
      <c r="S114" s="49">
        <f>'2025年安徽省区利润表'!S114+'2025年江西省区利润表'!S114</f>
        <v>0</v>
      </c>
      <c r="T114" s="49">
        <f>'2025年安徽省区利润表'!T114+'2025年江西省区利润表'!T114</f>
        <v>0</v>
      </c>
      <c r="U114" s="49">
        <f>'2025年安徽省区利润表'!U114+'2025年江西省区利润表'!U114</f>
        <v>0</v>
      </c>
      <c r="V114" s="49">
        <f>'2025年安徽省区利润表'!V114+'2025年江西省区利润表'!V114</f>
        <v>0</v>
      </c>
      <c r="W114" s="49">
        <f>'2025年安徽省区利润表'!W114+'2025年江西省区利润表'!W114</f>
        <v>0</v>
      </c>
      <c r="X114" s="49">
        <f>'2025年安徽省区利润表'!X114+'2025年江西省区利润表'!X114</f>
        <v>0</v>
      </c>
      <c r="Y114" s="49">
        <f>'2025年安徽省区利润表'!Y114+'2025年江西省区利润表'!Y114</f>
        <v>0</v>
      </c>
      <c r="Z114" s="49">
        <f>'2025年安徽省区利润表'!Z114+'2025年江西省区利润表'!Z114</f>
        <v>0</v>
      </c>
      <c r="AA114" s="51">
        <f t="shared" si="24"/>
        <v>0</v>
      </c>
      <c r="AB114" s="51">
        <f t="shared" si="30"/>
        <v>0</v>
      </c>
      <c r="AD114" s="31">
        <f t="shared" si="26"/>
        <v>0</v>
      </c>
      <c r="AE114" s="31">
        <f t="shared" si="27"/>
        <v>0</v>
      </c>
      <c r="AF114" s="17">
        <f t="shared" si="28"/>
        <v>0</v>
      </c>
      <c r="AG114" s="17">
        <f t="shared" si="29"/>
        <v>0</v>
      </c>
      <c r="BG114" s="20"/>
    </row>
    <row r="115" spans="1:123" s="17" customFormat="1" ht="18" customHeight="1" outlineLevel="1" x14ac:dyDescent="0.25">
      <c r="A115" s="67" t="s">
        <v>119</v>
      </c>
      <c r="B115" s="45"/>
      <c r="C115" s="69"/>
      <c r="D115" s="65"/>
      <c r="E115" s="65"/>
      <c r="F115" s="65">
        <f>SUM(F116:F122)</f>
        <v>0</v>
      </c>
      <c r="G115" s="65"/>
      <c r="H115" s="65">
        <f>SUM(H116:H122)</f>
        <v>0</v>
      </c>
      <c r="I115" s="65"/>
      <c r="J115" s="65">
        <f>SUM(J116:J122)</f>
        <v>0</v>
      </c>
      <c r="K115" s="65"/>
      <c r="L115" s="65">
        <f>SUM(L116:L122)</f>
        <v>0</v>
      </c>
      <c r="M115" s="65"/>
      <c r="N115" s="65">
        <f>SUM(N116:N122)</f>
        <v>0</v>
      </c>
      <c r="O115" s="65"/>
      <c r="P115" s="65">
        <f>SUM(P116:P122)</f>
        <v>0</v>
      </c>
      <c r="Q115" s="65"/>
      <c r="R115" s="65">
        <f>SUM(R116:R122)</f>
        <v>0</v>
      </c>
      <c r="S115" s="65"/>
      <c r="T115" s="65">
        <f>SUM(T116:T122)</f>
        <v>0</v>
      </c>
      <c r="U115" s="65"/>
      <c r="V115" s="65">
        <f>SUM(V116:V122)</f>
        <v>0</v>
      </c>
      <c r="W115" s="65"/>
      <c r="X115" s="65">
        <f>SUM(X116:X122)</f>
        <v>0</v>
      </c>
      <c r="Y115" s="65"/>
      <c r="Z115" s="65">
        <f>SUM(Z116:Z122)</f>
        <v>0</v>
      </c>
      <c r="AA115" s="51">
        <f t="shared" si="24"/>
        <v>0</v>
      </c>
      <c r="AB115" s="51">
        <f t="shared" si="30"/>
        <v>0</v>
      </c>
      <c r="AC115" s="21"/>
      <c r="AD115" s="31">
        <f t="shared" si="26"/>
        <v>0</v>
      </c>
      <c r="AE115" s="31">
        <f t="shared" si="27"/>
        <v>0</v>
      </c>
      <c r="AF115" s="17">
        <f t="shared" si="28"/>
        <v>0</v>
      </c>
      <c r="AG115" s="17">
        <f t="shared" si="29"/>
        <v>0</v>
      </c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66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</row>
    <row r="116" spans="1:123" s="19" customFormat="1" ht="18" customHeight="1" outlineLevel="2" x14ac:dyDescent="0.25">
      <c r="A116" s="48" t="s">
        <v>120</v>
      </c>
      <c r="B116" s="53"/>
      <c r="C116" s="49">
        <f>'2025年安徽省区利润表'!C116+'2025年江西省区利润表'!C116</f>
        <v>0</v>
      </c>
      <c r="D116" s="49">
        <f>'2025年安徽省区利润表'!D116+'2025年江西省区利润表'!D116</f>
        <v>0</v>
      </c>
      <c r="E116" s="49">
        <f>'2025年安徽省区利润表'!E116+'2025年江西省区利润表'!E116</f>
        <v>0</v>
      </c>
      <c r="F116" s="49">
        <f>'2025年安徽省区利润表'!F116+'2025年江西省区利润表'!F116</f>
        <v>0</v>
      </c>
      <c r="G116" s="49">
        <f>'2025年安徽省区利润表'!G116+'2025年江西省区利润表'!G116</f>
        <v>0</v>
      </c>
      <c r="H116" s="49">
        <f>'2025年安徽省区利润表'!H116+'2025年江西省区利润表'!H116</f>
        <v>0</v>
      </c>
      <c r="I116" s="49">
        <f>'2025年安徽省区利润表'!I116+'2025年江西省区利润表'!I116</f>
        <v>0</v>
      </c>
      <c r="J116" s="49">
        <f>'2025年安徽省区利润表'!J116+'2025年江西省区利润表'!J116</f>
        <v>0</v>
      </c>
      <c r="K116" s="49">
        <f>'2025年安徽省区利润表'!K116+'2025年江西省区利润表'!K116</f>
        <v>0</v>
      </c>
      <c r="L116" s="49">
        <f>'2025年安徽省区利润表'!L116+'2025年江西省区利润表'!L116</f>
        <v>0</v>
      </c>
      <c r="M116" s="49">
        <f>'2025年安徽省区利润表'!M116+'2025年江西省区利润表'!M116</f>
        <v>0</v>
      </c>
      <c r="N116" s="49">
        <f>'2025年安徽省区利润表'!N116+'2025年江西省区利润表'!N116</f>
        <v>0</v>
      </c>
      <c r="O116" s="49">
        <f>'2025年安徽省区利润表'!O116+'2025年江西省区利润表'!O116</f>
        <v>0</v>
      </c>
      <c r="P116" s="49">
        <f>'2025年安徽省区利润表'!P116+'2025年江西省区利润表'!P116</f>
        <v>0</v>
      </c>
      <c r="Q116" s="49">
        <f>'2025年安徽省区利润表'!Q116+'2025年江西省区利润表'!Q116</f>
        <v>0</v>
      </c>
      <c r="R116" s="49">
        <f>'2025年安徽省区利润表'!R116+'2025年江西省区利润表'!R116</f>
        <v>0</v>
      </c>
      <c r="S116" s="49">
        <f>'2025年安徽省区利润表'!S116+'2025年江西省区利润表'!S116</f>
        <v>0</v>
      </c>
      <c r="T116" s="49">
        <f>'2025年安徽省区利润表'!T116+'2025年江西省区利润表'!T116</f>
        <v>0</v>
      </c>
      <c r="U116" s="49">
        <f>'2025年安徽省区利润表'!U116+'2025年江西省区利润表'!U116</f>
        <v>0</v>
      </c>
      <c r="V116" s="49">
        <f>'2025年安徽省区利润表'!V116+'2025年江西省区利润表'!V116</f>
        <v>0</v>
      </c>
      <c r="W116" s="49">
        <f>'2025年安徽省区利润表'!W116+'2025年江西省区利润表'!W116</f>
        <v>0</v>
      </c>
      <c r="X116" s="49">
        <f>'2025年安徽省区利润表'!X116+'2025年江西省区利润表'!X116</f>
        <v>0</v>
      </c>
      <c r="Y116" s="49">
        <f>'2025年安徽省区利润表'!Y116+'2025年江西省区利润表'!Y116</f>
        <v>0</v>
      </c>
      <c r="Z116" s="49">
        <f>'2025年安徽省区利润表'!Z116+'2025年江西省区利润表'!Z116</f>
        <v>0</v>
      </c>
      <c r="AA116" s="51">
        <f t="shared" si="24"/>
        <v>0</v>
      </c>
      <c r="AB116" s="51">
        <f t="shared" si="30"/>
        <v>0</v>
      </c>
      <c r="AD116" s="31">
        <f t="shared" si="26"/>
        <v>0</v>
      </c>
      <c r="AE116" s="31">
        <f t="shared" si="27"/>
        <v>0</v>
      </c>
      <c r="AF116" s="17">
        <f t="shared" si="28"/>
        <v>0</v>
      </c>
      <c r="AG116" s="17">
        <f t="shared" si="29"/>
        <v>0</v>
      </c>
      <c r="BG116" s="20"/>
    </row>
    <row r="117" spans="1:123" s="19" customFormat="1" ht="18" customHeight="1" outlineLevel="2" x14ac:dyDescent="0.25">
      <c r="A117" s="48" t="s">
        <v>121</v>
      </c>
      <c r="B117" s="53"/>
      <c r="C117" s="49">
        <f>'2025年安徽省区利润表'!C117+'2025年江西省区利润表'!C117</f>
        <v>0</v>
      </c>
      <c r="D117" s="49">
        <f>'2025年安徽省区利润表'!D117+'2025年江西省区利润表'!D117</f>
        <v>0</v>
      </c>
      <c r="E117" s="49">
        <f>'2025年安徽省区利润表'!E117+'2025年江西省区利润表'!E117</f>
        <v>0</v>
      </c>
      <c r="F117" s="49">
        <f>'2025年安徽省区利润表'!F117+'2025年江西省区利润表'!F117</f>
        <v>0</v>
      </c>
      <c r="G117" s="49">
        <f>'2025年安徽省区利润表'!G117+'2025年江西省区利润表'!G117</f>
        <v>0</v>
      </c>
      <c r="H117" s="49">
        <f>'2025年安徽省区利润表'!H117+'2025年江西省区利润表'!H117</f>
        <v>0</v>
      </c>
      <c r="I117" s="49">
        <f>'2025年安徽省区利润表'!I117+'2025年江西省区利润表'!I117</f>
        <v>0</v>
      </c>
      <c r="J117" s="49">
        <f>'2025年安徽省区利润表'!J117+'2025年江西省区利润表'!J117</f>
        <v>0</v>
      </c>
      <c r="K117" s="49">
        <f>'2025年安徽省区利润表'!K117+'2025年江西省区利润表'!K117</f>
        <v>0</v>
      </c>
      <c r="L117" s="49">
        <f>'2025年安徽省区利润表'!L117+'2025年江西省区利润表'!L117</f>
        <v>0</v>
      </c>
      <c r="M117" s="49">
        <f>'2025年安徽省区利润表'!M117+'2025年江西省区利润表'!M117</f>
        <v>0</v>
      </c>
      <c r="N117" s="49">
        <f>'2025年安徽省区利润表'!N117+'2025年江西省区利润表'!N117</f>
        <v>0</v>
      </c>
      <c r="O117" s="49">
        <f>'2025年安徽省区利润表'!O117+'2025年江西省区利润表'!O117</f>
        <v>0</v>
      </c>
      <c r="P117" s="49">
        <f>'2025年安徽省区利润表'!P117+'2025年江西省区利润表'!P117</f>
        <v>0</v>
      </c>
      <c r="Q117" s="49">
        <f>'2025年安徽省区利润表'!Q117+'2025年江西省区利润表'!Q117</f>
        <v>0</v>
      </c>
      <c r="R117" s="49">
        <f>'2025年安徽省区利润表'!R117+'2025年江西省区利润表'!R117</f>
        <v>0</v>
      </c>
      <c r="S117" s="49">
        <f>'2025年安徽省区利润表'!S117+'2025年江西省区利润表'!S117</f>
        <v>0</v>
      </c>
      <c r="T117" s="49">
        <f>'2025年安徽省区利润表'!T117+'2025年江西省区利润表'!T117</f>
        <v>0</v>
      </c>
      <c r="U117" s="49">
        <f>'2025年安徽省区利润表'!U117+'2025年江西省区利润表'!U117</f>
        <v>0</v>
      </c>
      <c r="V117" s="49">
        <f>'2025年安徽省区利润表'!V117+'2025年江西省区利润表'!V117</f>
        <v>0</v>
      </c>
      <c r="W117" s="49">
        <f>'2025年安徽省区利润表'!W117+'2025年江西省区利润表'!W117</f>
        <v>0</v>
      </c>
      <c r="X117" s="49">
        <f>'2025年安徽省区利润表'!X117+'2025年江西省区利润表'!X117</f>
        <v>0</v>
      </c>
      <c r="Y117" s="49">
        <f>'2025年安徽省区利润表'!Y117+'2025年江西省区利润表'!Y117</f>
        <v>0</v>
      </c>
      <c r="Z117" s="49">
        <f>'2025年安徽省区利润表'!Z117+'2025年江西省区利润表'!Z117</f>
        <v>0</v>
      </c>
      <c r="AA117" s="51">
        <f t="shared" si="24"/>
        <v>0</v>
      </c>
      <c r="AB117" s="51">
        <f t="shared" si="30"/>
        <v>0</v>
      </c>
      <c r="AD117" s="31">
        <f t="shared" si="26"/>
        <v>0</v>
      </c>
      <c r="AE117" s="31">
        <f t="shared" si="27"/>
        <v>0</v>
      </c>
      <c r="AF117" s="17">
        <f t="shared" si="28"/>
        <v>0</v>
      </c>
      <c r="AG117" s="17">
        <f t="shared" si="29"/>
        <v>0</v>
      </c>
      <c r="BG117" s="20"/>
    </row>
    <row r="118" spans="1:123" s="19" customFormat="1" ht="18" customHeight="1" outlineLevel="2" x14ac:dyDescent="0.25">
      <c r="A118" s="48" t="s">
        <v>122</v>
      </c>
      <c r="B118" s="53"/>
      <c r="C118" s="49">
        <f>'2025年安徽省区利润表'!C118+'2025年江西省区利润表'!C118</f>
        <v>0</v>
      </c>
      <c r="D118" s="49">
        <f>'2025年安徽省区利润表'!D118+'2025年江西省区利润表'!D118</f>
        <v>0</v>
      </c>
      <c r="E118" s="49">
        <f>'2025年安徽省区利润表'!E118+'2025年江西省区利润表'!E118</f>
        <v>0</v>
      </c>
      <c r="F118" s="49">
        <f>'2025年安徽省区利润表'!F118+'2025年江西省区利润表'!F118</f>
        <v>0</v>
      </c>
      <c r="G118" s="49">
        <f>'2025年安徽省区利润表'!G118+'2025年江西省区利润表'!G118</f>
        <v>0</v>
      </c>
      <c r="H118" s="49">
        <f>'2025年安徽省区利润表'!H118+'2025年江西省区利润表'!H118</f>
        <v>0</v>
      </c>
      <c r="I118" s="49">
        <f>'2025年安徽省区利润表'!I118+'2025年江西省区利润表'!I118</f>
        <v>0</v>
      </c>
      <c r="J118" s="49">
        <f>'2025年安徽省区利润表'!J118+'2025年江西省区利润表'!J118</f>
        <v>0</v>
      </c>
      <c r="K118" s="49">
        <f>'2025年安徽省区利润表'!K118+'2025年江西省区利润表'!K118</f>
        <v>0</v>
      </c>
      <c r="L118" s="49">
        <f>'2025年安徽省区利润表'!L118+'2025年江西省区利润表'!L118</f>
        <v>0</v>
      </c>
      <c r="M118" s="49">
        <f>'2025年安徽省区利润表'!M118+'2025年江西省区利润表'!M118</f>
        <v>0</v>
      </c>
      <c r="N118" s="49">
        <f>'2025年安徽省区利润表'!N118+'2025年江西省区利润表'!N118</f>
        <v>0</v>
      </c>
      <c r="O118" s="49">
        <f>'2025年安徽省区利润表'!O118+'2025年江西省区利润表'!O118</f>
        <v>0</v>
      </c>
      <c r="P118" s="49">
        <f>'2025年安徽省区利润表'!P118+'2025年江西省区利润表'!P118</f>
        <v>0</v>
      </c>
      <c r="Q118" s="49">
        <f>'2025年安徽省区利润表'!Q118+'2025年江西省区利润表'!Q118</f>
        <v>0</v>
      </c>
      <c r="R118" s="49">
        <f>'2025年安徽省区利润表'!R118+'2025年江西省区利润表'!R118</f>
        <v>0</v>
      </c>
      <c r="S118" s="49">
        <f>'2025年安徽省区利润表'!S118+'2025年江西省区利润表'!S118</f>
        <v>0</v>
      </c>
      <c r="T118" s="49">
        <f>'2025年安徽省区利润表'!T118+'2025年江西省区利润表'!T118</f>
        <v>0</v>
      </c>
      <c r="U118" s="49">
        <f>'2025年安徽省区利润表'!U118+'2025年江西省区利润表'!U118</f>
        <v>0</v>
      </c>
      <c r="V118" s="49">
        <f>'2025年安徽省区利润表'!V118+'2025年江西省区利润表'!V118</f>
        <v>0</v>
      </c>
      <c r="W118" s="49">
        <f>'2025年安徽省区利润表'!W118+'2025年江西省区利润表'!W118</f>
        <v>0</v>
      </c>
      <c r="X118" s="49">
        <f>'2025年安徽省区利润表'!X118+'2025年江西省区利润表'!X118</f>
        <v>0</v>
      </c>
      <c r="Y118" s="49">
        <f>'2025年安徽省区利润表'!Y118+'2025年江西省区利润表'!Y118</f>
        <v>0</v>
      </c>
      <c r="Z118" s="49">
        <f>'2025年安徽省区利润表'!Z118+'2025年江西省区利润表'!Z118</f>
        <v>0</v>
      </c>
      <c r="AA118" s="51">
        <f t="shared" si="24"/>
        <v>0</v>
      </c>
      <c r="AB118" s="51">
        <f t="shared" si="30"/>
        <v>0</v>
      </c>
      <c r="AD118" s="31">
        <f t="shared" si="26"/>
        <v>0</v>
      </c>
      <c r="AE118" s="31">
        <f t="shared" si="27"/>
        <v>0</v>
      </c>
      <c r="AF118" s="17">
        <f t="shared" si="28"/>
        <v>0</v>
      </c>
      <c r="AG118" s="17">
        <f t="shared" si="29"/>
        <v>0</v>
      </c>
      <c r="BG118" s="20"/>
    </row>
    <row r="119" spans="1:123" s="19" customFormat="1" ht="18" customHeight="1" outlineLevel="2" x14ac:dyDescent="0.25">
      <c r="A119" s="48" t="s">
        <v>123</v>
      </c>
      <c r="B119" s="53"/>
      <c r="C119" s="49">
        <f>'2025年安徽省区利润表'!C119+'2025年江西省区利润表'!C119</f>
        <v>0</v>
      </c>
      <c r="D119" s="49">
        <f>'2025年安徽省区利润表'!D119+'2025年江西省区利润表'!D119</f>
        <v>0</v>
      </c>
      <c r="E119" s="49">
        <f>'2025年安徽省区利润表'!E119+'2025年江西省区利润表'!E119</f>
        <v>0</v>
      </c>
      <c r="F119" s="49">
        <f>'2025年安徽省区利润表'!F119+'2025年江西省区利润表'!F119</f>
        <v>0</v>
      </c>
      <c r="G119" s="49">
        <f>'2025年安徽省区利润表'!G119+'2025年江西省区利润表'!G119</f>
        <v>0</v>
      </c>
      <c r="H119" s="49">
        <f>'2025年安徽省区利润表'!H119+'2025年江西省区利润表'!H119</f>
        <v>0</v>
      </c>
      <c r="I119" s="49">
        <f>'2025年安徽省区利润表'!I119+'2025年江西省区利润表'!I119</f>
        <v>0</v>
      </c>
      <c r="J119" s="49">
        <f>'2025年安徽省区利润表'!J119+'2025年江西省区利润表'!J119</f>
        <v>0</v>
      </c>
      <c r="K119" s="49">
        <f>'2025年安徽省区利润表'!K119+'2025年江西省区利润表'!K119</f>
        <v>0</v>
      </c>
      <c r="L119" s="49">
        <f>'2025年安徽省区利润表'!L119+'2025年江西省区利润表'!L119</f>
        <v>0</v>
      </c>
      <c r="M119" s="49">
        <f>'2025年安徽省区利润表'!M119+'2025年江西省区利润表'!M119</f>
        <v>0</v>
      </c>
      <c r="N119" s="49">
        <f>'2025年安徽省区利润表'!N119+'2025年江西省区利润表'!N119</f>
        <v>0</v>
      </c>
      <c r="O119" s="49">
        <f>'2025年安徽省区利润表'!O119+'2025年江西省区利润表'!O119</f>
        <v>0</v>
      </c>
      <c r="P119" s="49">
        <f>'2025年安徽省区利润表'!P119+'2025年江西省区利润表'!P119</f>
        <v>0</v>
      </c>
      <c r="Q119" s="49">
        <f>'2025年安徽省区利润表'!Q119+'2025年江西省区利润表'!Q119</f>
        <v>0</v>
      </c>
      <c r="R119" s="49">
        <f>'2025年安徽省区利润表'!R119+'2025年江西省区利润表'!R119</f>
        <v>0</v>
      </c>
      <c r="S119" s="49">
        <f>'2025年安徽省区利润表'!S119+'2025年江西省区利润表'!S119</f>
        <v>0</v>
      </c>
      <c r="T119" s="49">
        <f>'2025年安徽省区利润表'!T119+'2025年江西省区利润表'!T119</f>
        <v>0</v>
      </c>
      <c r="U119" s="49">
        <f>'2025年安徽省区利润表'!U119+'2025年江西省区利润表'!U119</f>
        <v>0</v>
      </c>
      <c r="V119" s="49">
        <f>'2025年安徽省区利润表'!V119+'2025年江西省区利润表'!V119</f>
        <v>0</v>
      </c>
      <c r="W119" s="49">
        <f>'2025年安徽省区利润表'!W119+'2025年江西省区利润表'!W119</f>
        <v>0</v>
      </c>
      <c r="X119" s="49">
        <f>'2025年安徽省区利润表'!X119+'2025年江西省区利润表'!X119</f>
        <v>0</v>
      </c>
      <c r="Y119" s="49">
        <f>'2025年安徽省区利润表'!Y119+'2025年江西省区利润表'!Y119</f>
        <v>0</v>
      </c>
      <c r="Z119" s="49">
        <f>'2025年安徽省区利润表'!Z119+'2025年江西省区利润表'!Z119</f>
        <v>0</v>
      </c>
      <c r="AA119" s="51">
        <f t="shared" si="24"/>
        <v>0</v>
      </c>
      <c r="AB119" s="51">
        <f t="shared" si="30"/>
        <v>0</v>
      </c>
      <c r="AD119" s="31">
        <f t="shared" si="26"/>
        <v>0</v>
      </c>
      <c r="AE119" s="31">
        <f t="shared" si="27"/>
        <v>0</v>
      </c>
      <c r="AF119" s="17">
        <f t="shared" si="28"/>
        <v>0</v>
      </c>
      <c r="AG119" s="17">
        <f t="shared" si="29"/>
        <v>0</v>
      </c>
      <c r="BG119" s="20"/>
    </row>
    <row r="120" spans="1:123" s="19" customFormat="1" ht="18" customHeight="1" outlineLevel="2" x14ac:dyDescent="0.25">
      <c r="A120" s="48" t="s">
        <v>124</v>
      </c>
      <c r="B120" s="53"/>
      <c r="C120" s="49">
        <f>'2025年安徽省区利润表'!C120+'2025年江西省区利润表'!C120</f>
        <v>0</v>
      </c>
      <c r="D120" s="49">
        <f>'2025年安徽省区利润表'!D120+'2025年江西省区利润表'!D120</f>
        <v>0</v>
      </c>
      <c r="E120" s="49">
        <f>'2025年安徽省区利润表'!E120+'2025年江西省区利润表'!E120</f>
        <v>0</v>
      </c>
      <c r="F120" s="49">
        <f>'2025年安徽省区利润表'!F120+'2025年江西省区利润表'!F120</f>
        <v>0</v>
      </c>
      <c r="G120" s="49">
        <f>'2025年安徽省区利润表'!G120+'2025年江西省区利润表'!G120</f>
        <v>0</v>
      </c>
      <c r="H120" s="49">
        <f>'2025年安徽省区利润表'!H120+'2025年江西省区利润表'!H120</f>
        <v>0</v>
      </c>
      <c r="I120" s="49">
        <f>'2025年安徽省区利润表'!I120+'2025年江西省区利润表'!I120</f>
        <v>0</v>
      </c>
      <c r="J120" s="49">
        <f>'2025年安徽省区利润表'!J120+'2025年江西省区利润表'!J120</f>
        <v>0</v>
      </c>
      <c r="K120" s="49">
        <f>'2025年安徽省区利润表'!K120+'2025年江西省区利润表'!K120</f>
        <v>0</v>
      </c>
      <c r="L120" s="49">
        <f>'2025年安徽省区利润表'!L120+'2025年江西省区利润表'!L120</f>
        <v>0</v>
      </c>
      <c r="M120" s="49">
        <f>'2025年安徽省区利润表'!M120+'2025年江西省区利润表'!M120</f>
        <v>0</v>
      </c>
      <c r="N120" s="49">
        <f>'2025年安徽省区利润表'!N120+'2025年江西省区利润表'!N120</f>
        <v>0</v>
      </c>
      <c r="O120" s="49">
        <f>'2025年安徽省区利润表'!O120+'2025年江西省区利润表'!O120</f>
        <v>0</v>
      </c>
      <c r="P120" s="49">
        <f>'2025年安徽省区利润表'!P120+'2025年江西省区利润表'!P120</f>
        <v>0</v>
      </c>
      <c r="Q120" s="49">
        <f>'2025年安徽省区利润表'!Q120+'2025年江西省区利润表'!Q120</f>
        <v>0</v>
      </c>
      <c r="R120" s="49">
        <f>'2025年安徽省区利润表'!R120+'2025年江西省区利润表'!R120</f>
        <v>0</v>
      </c>
      <c r="S120" s="49">
        <f>'2025年安徽省区利润表'!S120+'2025年江西省区利润表'!S120</f>
        <v>0</v>
      </c>
      <c r="T120" s="49">
        <f>'2025年安徽省区利润表'!T120+'2025年江西省区利润表'!T120</f>
        <v>0</v>
      </c>
      <c r="U120" s="49">
        <f>'2025年安徽省区利润表'!U120+'2025年江西省区利润表'!U120</f>
        <v>0</v>
      </c>
      <c r="V120" s="49">
        <f>'2025年安徽省区利润表'!V120+'2025年江西省区利润表'!V120</f>
        <v>0</v>
      </c>
      <c r="W120" s="49">
        <f>'2025年安徽省区利润表'!W120+'2025年江西省区利润表'!W120</f>
        <v>0</v>
      </c>
      <c r="X120" s="49">
        <f>'2025年安徽省区利润表'!X120+'2025年江西省区利润表'!X120</f>
        <v>0</v>
      </c>
      <c r="Y120" s="49">
        <f>'2025年安徽省区利润表'!Y120+'2025年江西省区利润表'!Y120</f>
        <v>0</v>
      </c>
      <c r="Z120" s="49">
        <f>'2025年安徽省区利润表'!Z120+'2025年江西省区利润表'!Z120</f>
        <v>0</v>
      </c>
      <c r="AA120" s="51">
        <f t="shared" si="24"/>
        <v>0</v>
      </c>
      <c r="AB120" s="51">
        <f t="shared" si="30"/>
        <v>0</v>
      </c>
      <c r="AD120" s="31">
        <f t="shared" si="26"/>
        <v>0</v>
      </c>
      <c r="AE120" s="31">
        <f t="shared" si="27"/>
        <v>0</v>
      </c>
      <c r="AF120" s="17">
        <f t="shared" si="28"/>
        <v>0</v>
      </c>
      <c r="AG120" s="17">
        <f t="shared" si="29"/>
        <v>0</v>
      </c>
      <c r="BG120" s="20"/>
    </row>
    <row r="121" spans="1:123" s="19" customFormat="1" ht="18" customHeight="1" outlineLevel="2" x14ac:dyDescent="0.25">
      <c r="A121" s="48" t="s">
        <v>125</v>
      </c>
      <c r="B121" s="53"/>
      <c r="C121" s="49">
        <f>'2025年安徽省区利润表'!C121+'2025年江西省区利润表'!C121</f>
        <v>0</v>
      </c>
      <c r="D121" s="49">
        <f>'2025年安徽省区利润表'!D121+'2025年江西省区利润表'!D121</f>
        <v>0</v>
      </c>
      <c r="E121" s="49">
        <f>'2025年安徽省区利润表'!E121+'2025年江西省区利润表'!E121</f>
        <v>0</v>
      </c>
      <c r="F121" s="49">
        <f>'2025年安徽省区利润表'!F121+'2025年江西省区利润表'!F121</f>
        <v>0</v>
      </c>
      <c r="G121" s="49">
        <f>'2025年安徽省区利润表'!G121+'2025年江西省区利润表'!G121</f>
        <v>0</v>
      </c>
      <c r="H121" s="49">
        <f>'2025年安徽省区利润表'!H121+'2025年江西省区利润表'!H121</f>
        <v>0</v>
      </c>
      <c r="I121" s="49">
        <f>'2025年安徽省区利润表'!I121+'2025年江西省区利润表'!I121</f>
        <v>0</v>
      </c>
      <c r="J121" s="49">
        <f>'2025年安徽省区利润表'!J121+'2025年江西省区利润表'!J121</f>
        <v>0</v>
      </c>
      <c r="K121" s="49">
        <f>'2025年安徽省区利润表'!K121+'2025年江西省区利润表'!K121</f>
        <v>0</v>
      </c>
      <c r="L121" s="49">
        <f>'2025年安徽省区利润表'!L121+'2025年江西省区利润表'!L121</f>
        <v>0</v>
      </c>
      <c r="M121" s="49">
        <f>'2025年安徽省区利润表'!M121+'2025年江西省区利润表'!M121</f>
        <v>0</v>
      </c>
      <c r="N121" s="49">
        <f>'2025年安徽省区利润表'!N121+'2025年江西省区利润表'!N121</f>
        <v>0</v>
      </c>
      <c r="O121" s="49">
        <f>'2025年安徽省区利润表'!O121+'2025年江西省区利润表'!O121</f>
        <v>0</v>
      </c>
      <c r="P121" s="49">
        <f>'2025年安徽省区利润表'!P121+'2025年江西省区利润表'!P121</f>
        <v>0</v>
      </c>
      <c r="Q121" s="49">
        <f>'2025年安徽省区利润表'!Q121+'2025年江西省区利润表'!Q121</f>
        <v>0</v>
      </c>
      <c r="R121" s="49">
        <f>'2025年安徽省区利润表'!R121+'2025年江西省区利润表'!R121</f>
        <v>0</v>
      </c>
      <c r="S121" s="49">
        <f>'2025年安徽省区利润表'!S121+'2025年江西省区利润表'!S121</f>
        <v>0</v>
      </c>
      <c r="T121" s="49">
        <f>'2025年安徽省区利润表'!T121+'2025年江西省区利润表'!T121</f>
        <v>0</v>
      </c>
      <c r="U121" s="49">
        <f>'2025年安徽省区利润表'!U121+'2025年江西省区利润表'!U121</f>
        <v>0</v>
      </c>
      <c r="V121" s="49">
        <f>'2025年安徽省区利润表'!V121+'2025年江西省区利润表'!V121</f>
        <v>0</v>
      </c>
      <c r="W121" s="49">
        <f>'2025年安徽省区利润表'!W121+'2025年江西省区利润表'!W121</f>
        <v>0</v>
      </c>
      <c r="X121" s="49">
        <f>'2025年安徽省区利润表'!X121+'2025年江西省区利润表'!X121</f>
        <v>0</v>
      </c>
      <c r="Y121" s="49">
        <f>'2025年安徽省区利润表'!Y121+'2025年江西省区利润表'!Y121</f>
        <v>0</v>
      </c>
      <c r="Z121" s="49">
        <f>'2025年安徽省区利润表'!Z121+'2025年江西省区利润表'!Z121</f>
        <v>0</v>
      </c>
      <c r="AA121" s="51">
        <f t="shared" si="24"/>
        <v>0</v>
      </c>
      <c r="AB121" s="51">
        <f t="shared" si="30"/>
        <v>0</v>
      </c>
      <c r="AD121" s="31">
        <f t="shared" si="26"/>
        <v>0</v>
      </c>
      <c r="AE121" s="31">
        <f t="shared" si="27"/>
        <v>0</v>
      </c>
      <c r="AF121" s="17">
        <f t="shared" si="28"/>
        <v>0</v>
      </c>
      <c r="AG121" s="17">
        <f t="shared" si="29"/>
        <v>0</v>
      </c>
      <c r="BG121" s="20"/>
    </row>
    <row r="122" spans="1:123" s="19" customFormat="1" ht="18" customHeight="1" outlineLevel="2" x14ac:dyDescent="0.25">
      <c r="A122" s="48" t="s">
        <v>126</v>
      </c>
      <c r="B122" s="53"/>
      <c r="C122" s="49">
        <f>'2025年安徽省区利润表'!C122+'2025年江西省区利润表'!C122</f>
        <v>0</v>
      </c>
      <c r="D122" s="49">
        <f>'2025年安徽省区利润表'!D122+'2025年江西省区利润表'!D122</f>
        <v>0</v>
      </c>
      <c r="E122" s="49">
        <f>'2025年安徽省区利润表'!E122+'2025年江西省区利润表'!E122</f>
        <v>0</v>
      </c>
      <c r="F122" s="49">
        <f>'2025年安徽省区利润表'!F122+'2025年江西省区利润表'!F122</f>
        <v>0</v>
      </c>
      <c r="G122" s="49">
        <f>'2025年安徽省区利润表'!G122+'2025年江西省区利润表'!G122</f>
        <v>0</v>
      </c>
      <c r="H122" s="49">
        <f>'2025年安徽省区利润表'!H122+'2025年江西省区利润表'!H122</f>
        <v>0</v>
      </c>
      <c r="I122" s="49">
        <f>'2025年安徽省区利润表'!I122+'2025年江西省区利润表'!I122</f>
        <v>0</v>
      </c>
      <c r="J122" s="49">
        <f>'2025年安徽省区利润表'!J122+'2025年江西省区利润表'!J122</f>
        <v>0</v>
      </c>
      <c r="K122" s="49">
        <f>'2025年安徽省区利润表'!K122+'2025年江西省区利润表'!K122</f>
        <v>0</v>
      </c>
      <c r="L122" s="49">
        <f>'2025年安徽省区利润表'!L122+'2025年江西省区利润表'!L122</f>
        <v>0</v>
      </c>
      <c r="M122" s="49">
        <f>'2025年安徽省区利润表'!M122+'2025年江西省区利润表'!M122</f>
        <v>0</v>
      </c>
      <c r="N122" s="49">
        <f>'2025年安徽省区利润表'!N122+'2025年江西省区利润表'!N122</f>
        <v>0</v>
      </c>
      <c r="O122" s="49">
        <f>'2025年安徽省区利润表'!O122+'2025年江西省区利润表'!O122</f>
        <v>0</v>
      </c>
      <c r="P122" s="49">
        <f>'2025年安徽省区利润表'!P122+'2025年江西省区利润表'!P122</f>
        <v>0</v>
      </c>
      <c r="Q122" s="49">
        <f>'2025年安徽省区利润表'!Q122+'2025年江西省区利润表'!Q122</f>
        <v>0</v>
      </c>
      <c r="R122" s="49">
        <f>'2025年安徽省区利润表'!R122+'2025年江西省区利润表'!R122</f>
        <v>0</v>
      </c>
      <c r="S122" s="49">
        <f>'2025年安徽省区利润表'!S122+'2025年江西省区利润表'!S122</f>
        <v>0</v>
      </c>
      <c r="T122" s="49">
        <f>'2025年安徽省区利润表'!T122+'2025年江西省区利润表'!T122</f>
        <v>0</v>
      </c>
      <c r="U122" s="49">
        <f>'2025年安徽省区利润表'!U122+'2025年江西省区利润表'!U122</f>
        <v>0</v>
      </c>
      <c r="V122" s="49">
        <f>'2025年安徽省区利润表'!V122+'2025年江西省区利润表'!V122</f>
        <v>0</v>
      </c>
      <c r="W122" s="49">
        <f>'2025年安徽省区利润表'!W122+'2025年江西省区利润表'!W122</f>
        <v>0</v>
      </c>
      <c r="X122" s="49">
        <f>'2025年安徽省区利润表'!X122+'2025年江西省区利润表'!X122</f>
        <v>0</v>
      </c>
      <c r="Y122" s="49">
        <f>'2025年安徽省区利润表'!Y122+'2025年江西省区利润表'!Y122</f>
        <v>0</v>
      </c>
      <c r="Z122" s="49">
        <f>'2025年安徽省区利润表'!Z122+'2025年江西省区利润表'!Z122</f>
        <v>0</v>
      </c>
      <c r="AA122" s="51">
        <f t="shared" si="24"/>
        <v>0</v>
      </c>
      <c r="AB122" s="51">
        <f t="shared" si="30"/>
        <v>0</v>
      </c>
      <c r="AD122" s="31">
        <f t="shared" si="26"/>
        <v>0</v>
      </c>
      <c r="AE122" s="31">
        <f t="shared" si="27"/>
        <v>0</v>
      </c>
      <c r="AF122" s="17">
        <f t="shared" si="28"/>
        <v>0</v>
      </c>
      <c r="AG122" s="17">
        <f t="shared" si="29"/>
        <v>0</v>
      </c>
      <c r="BG122" s="20"/>
    </row>
    <row r="123" spans="1:123" s="19" customFormat="1" ht="18" customHeight="1" outlineLevel="1" x14ac:dyDescent="0.25">
      <c r="A123" s="48" t="s">
        <v>127</v>
      </c>
      <c r="B123" s="53"/>
      <c r="C123" s="49">
        <f>'2025年安徽省区利润表'!C123+'2025年江西省区利润表'!C123</f>
        <v>0</v>
      </c>
      <c r="D123" s="49">
        <f>'2025年安徽省区利润表'!D123+'2025年江西省区利润表'!D123</f>
        <v>0</v>
      </c>
      <c r="E123" s="49">
        <f>'2025年安徽省区利润表'!E123+'2025年江西省区利润表'!E123</f>
        <v>0</v>
      </c>
      <c r="F123" s="49">
        <f>'2025年安徽省区利润表'!F123+'2025年江西省区利润表'!F123</f>
        <v>0</v>
      </c>
      <c r="G123" s="49">
        <f>'2025年安徽省区利润表'!G123+'2025年江西省区利润表'!G123</f>
        <v>0</v>
      </c>
      <c r="H123" s="49">
        <f>'2025年安徽省区利润表'!H123+'2025年江西省区利润表'!H123</f>
        <v>0</v>
      </c>
      <c r="I123" s="49">
        <f>'2025年安徽省区利润表'!I123+'2025年江西省区利润表'!I123</f>
        <v>0</v>
      </c>
      <c r="J123" s="49">
        <f>'2025年安徽省区利润表'!J123+'2025年江西省区利润表'!J123</f>
        <v>0</v>
      </c>
      <c r="K123" s="49">
        <f>'2025年安徽省区利润表'!K123+'2025年江西省区利润表'!K123</f>
        <v>0</v>
      </c>
      <c r="L123" s="49">
        <f>'2025年安徽省区利润表'!L123+'2025年江西省区利润表'!L123</f>
        <v>0</v>
      </c>
      <c r="M123" s="49">
        <f>'2025年安徽省区利润表'!M123+'2025年江西省区利润表'!M123</f>
        <v>0</v>
      </c>
      <c r="N123" s="49">
        <f>'2025年安徽省区利润表'!N123+'2025年江西省区利润表'!N123</f>
        <v>0</v>
      </c>
      <c r="O123" s="49">
        <f>'2025年安徽省区利润表'!O123+'2025年江西省区利润表'!O123</f>
        <v>0</v>
      </c>
      <c r="P123" s="49">
        <f>'2025年安徽省区利润表'!P123+'2025年江西省区利润表'!P123</f>
        <v>0</v>
      </c>
      <c r="Q123" s="49">
        <f>'2025年安徽省区利润表'!Q123+'2025年江西省区利润表'!Q123</f>
        <v>0</v>
      </c>
      <c r="R123" s="49">
        <f>'2025年安徽省区利润表'!R123+'2025年江西省区利润表'!R123</f>
        <v>0</v>
      </c>
      <c r="S123" s="49">
        <f>'2025年安徽省区利润表'!S123+'2025年江西省区利润表'!S123</f>
        <v>0</v>
      </c>
      <c r="T123" s="49">
        <f>'2025年安徽省区利润表'!T123+'2025年江西省区利润表'!T123</f>
        <v>0</v>
      </c>
      <c r="U123" s="49">
        <f>'2025年安徽省区利润表'!U123+'2025年江西省区利润表'!U123</f>
        <v>0</v>
      </c>
      <c r="V123" s="49">
        <f>'2025年安徽省区利润表'!V123+'2025年江西省区利润表'!V123</f>
        <v>0</v>
      </c>
      <c r="W123" s="49">
        <f>'2025年安徽省区利润表'!W123+'2025年江西省区利润表'!W123</f>
        <v>0</v>
      </c>
      <c r="X123" s="49">
        <f>'2025年安徽省区利润表'!X123+'2025年江西省区利润表'!X123</f>
        <v>0</v>
      </c>
      <c r="Y123" s="49">
        <f>'2025年安徽省区利润表'!Y123+'2025年江西省区利润表'!Y123</f>
        <v>0</v>
      </c>
      <c r="Z123" s="49">
        <f>'2025年安徽省区利润表'!Z123+'2025年江西省区利润表'!Z123</f>
        <v>0</v>
      </c>
      <c r="AA123" s="51">
        <f t="shared" si="24"/>
        <v>0</v>
      </c>
      <c r="AB123" s="51">
        <f t="shared" si="30"/>
        <v>0</v>
      </c>
      <c r="AD123" s="31">
        <f t="shared" si="26"/>
        <v>0</v>
      </c>
      <c r="AE123" s="31">
        <f t="shared" si="27"/>
        <v>0</v>
      </c>
      <c r="AF123" s="17">
        <f t="shared" si="28"/>
        <v>0</v>
      </c>
      <c r="AG123" s="17">
        <f t="shared" si="29"/>
        <v>0</v>
      </c>
      <c r="BG123" s="20"/>
    </row>
    <row r="124" spans="1:123" s="19" customFormat="1" ht="18" customHeight="1" outlineLevel="1" x14ac:dyDescent="0.25">
      <c r="A124" s="48" t="s">
        <v>128</v>
      </c>
      <c r="B124" s="53"/>
      <c r="C124" s="49">
        <f>'2025年安徽省区利润表'!C124+'2025年江西省区利润表'!C124</f>
        <v>0</v>
      </c>
      <c r="D124" s="49">
        <f>'2025年安徽省区利润表'!D124+'2025年江西省区利润表'!D124</f>
        <v>0</v>
      </c>
      <c r="E124" s="49">
        <f>'2025年安徽省区利润表'!E124+'2025年江西省区利润表'!E124</f>
        <v>0</v>
      </c>
      <c r="F124" s="49">
        <f>'2025年安徽省区利润表'!F124+'2025年江西省区利润表'!F124</f>
        <v>0</v>
      </c>
      <c r="G124" s="49">
        <f>'2025年安徽省区利润表'!G124+'2025年江西省区利润表'!G124</f>
        <v>0</v>
      </c>
      <c r="H124" s="49">
        <f>'2025年安徽省区利润表'!H124+'2025年江西省区利润表'!H124</f>
        <v>0</v>
      </c>
      <c r="I124" s="49">
        <f>'2025年安徽省区利润表'!I124+'2025年江西省区利润表'!I124</f>
        <v>0</v>
      </c>
      <c r="J124" s="49">
        <f>'2025年安徽省区利润表'!J124+'2025年江西省区利润表'!J124</f>
        <v>0</v>
      </c>
      <c r="K124" s="49">
        <f>'2025年安徽省区利润表'!K124+'2025年江西省区利润表'!K124</f>
        <v>0</v>
      </c>
      <c r="L124" s="49">
        <f>'2025年安徽省区利润表'!L124+'2025年江西省区利润表'!L124</f>
        <v>0</v>
      </c>
      <c r="M124" s="49">
        <f>'2025年安徽省区利润表'!M124+'2025年江西省区利润表'!M124</f>
        <v>0</v>
      </c>
      <c r="N124" s="49">
        <f>'2025年安徽省区利润表'!N124+'2025年江西省区利润表'!N124</f>
        <v>0</v>
      </c>
      <c r="O124" s="49">
        <f>'2025年安徽省区利润表'!O124+'2025年江西省区利润表'!O124</f>
        <v>0</v>
      </c>
      <c r="P124" s="49">
        <f>'2025年安徽省区利润表'!P124+'2025年江西省区利润表'!P124</f>
        <v>0</v>
      </c>
      <c r="Q124" s="49">
        <f>'2025年安徽省区利润表'!Q124+'2025年江西省区利润表'!Q124</f>
        <v>0</v>
      </c>
      <c r="R124" s="49">
        <f>'2025年安徽省区利润表'!R124+'2025年江西省区利润表'!R124</f>
        <v>0</v>
      </c>
      <c r="S124" s="49">
        <f>'2025年安徽省区利润表'!S124+'2025年江西省区利润表'!S124</f>
        <v>0</v>
      </c>
      <c r="T124" s="49">
        <f>'2025年安徽省区利润表'!T124+'2025年江西省区利润表'!T124</f>
        <v>0</v>
      </c>
      <c r="U124" s="49">
        <f>'2025年安徽省区利润表'!U124+'2025年江西省区利润表'!U124</f>
        <v>0</v>
      </c>
      <c r="V124" s="49">
        <f>'2025年安徽省区利润表'!V124+'2025年江西省区利润表'!V124</f>
        <v>0</v>
      </c>
      <c r="W124" s="49">
        <f>'2025年安徽省区利润表'!W124+'2025年江西省区利润表'!W124</f>
        <v>0</v>
      </c>
      <c r="X124" s="49">
        <f>'2025年安徽省区利润表'!X124+'2025年江西省区利润表'!X124</f>
        <v>0</v>
      </c>
      <c r="Y124" s="49">
        <f>'2025年安徽省区利润表'!Y124+'2025年江西省区利润表'!Y124</f>
        <v>0</v>
      </c>
      <c r="Z124" s="49">
        <f>'2025年安徽省区利润表'!Z124+'2025年江西省区利润表'!Z124</f>
        <v>0</v>
      </c>
      <c r="AA124" s="51">
        <f t="shared" si="24"/>
        <v>0</v>
      </c>
      <c r="AB124" s="51">
        <f t="shared" si="30"/>
        <v>0</v>
      </c>
      <c r="AD124" s="31">
        <f t="shared" si="26"/>
        <v>0</v>
      </c>
      <c r="AE124" s="31">
        <f t="shared" si="27"/>
        <v>0</v>
      </c>
      <c r="AF124" s="17">
        <f t="shared" si="28"/>
        <v>0</v>
      </c>
      <c r="AG124" s="17">
        <f t="shared" si="29"/>
        <v>0</v>
      </c>
      <c r="BG124" s="20"/>
    </row>
    <row r="125" spans="1:123" s="19" customFormat="1" ht="18" customHeight="1" outlineLevel="1" x14ac:dyDescent="0.25">
      <c r="A125" s="48" t="s">
        <v>129</v>
      </c>
      <c r="B125" s="53"/>
      <c r="C125" s="49">
        <f>'2025年安徽省区利润表'!C125+'2025年江西省区利润表'!C125</f>
        <v>0</v>
      </c>
      <c r="D125" s="49">
        <f>'2025年安徽省区利润表'!D125+'2025年江西省区利润表'!D125</f>
        <v>0</v>
      </c>
      <c r="E125" s="49">
        <f>'2025年安徽省区利润表'!E125+'2025年江西省区利润表'!E125</f>
        <v>0</v>
      </c>
      <c r="F125" s="49">
        <f>'2025年安徽省区利润表'!F125+'2025年江西省区利润表'!F125</f>
        <v>0</v>
      </c>
      <c r="G125" s="49">
        <f>'2025年安徽省区利润表'!G125+'2025年江西省区利润表'!G125</f>
        <v>0</v>
      </c>
      <c r="H125" s="49">
        <f>'2025年安徽省区利润表'!H125+'2025年江西省区利润表'!H125</f>
        <v>0</v>
      </c>
      <c r="I125" s="49">
        <f>'2025年安徽省区利润表'!I125+'2025年江西省区利润表'!I125</f>
        <v>0</v>
      </c>
      <c r="J125" s="49">
        <f>'2025年安徽省区利润表'!J125+'2025年江西省区利润表'!J125</f>
        <v>0</v>
      </c>
      <c r="K125" s="49">
        <f>'2025年安徽省区利润表'!K125+'2025年江西省区利润表'!K125</f>
        <v>0</v>
      </c>
      <c r="L125" s="49">
        <f>'2025年安徽省区利润表'!L125+'2025年江西省区利润表'!L125</f>
        <v>0</v>
      </c>
      <c r="M125" s="49">
        <f>'2025年安徽省区利润表'!M125+'2025年江西省区利润表'!M125</f>
        <v>0</v>
      </c>
      <c r="N125" s="49">
        <f>'2025年安徽省区利润表'!N125+'2025年江西省区利润表'!N125</f>
        <v>0</v>
      </c>
      <c r="O125" s="49">
        <f>'2025年安徽省区利润表'!O125+'2025年江西省区利润表'!O125</f>
        <v>0</v>
      </c>
      <c r="P125" s="49">
        <f>'2025年安徽省区利润表'!P125+'2025年江西省区利润表'!P125</f>
        <v>0</v>
      </c>
      <c r="Q125" s="49">
        <f>'2025年安徽省区利润表'!Q125+'2025年江西省区利润表'!Q125</f>
        <v>0</v>
      </c>
      <c r="R125" s="49">
        <f>'2025年安徽省区利润表'!R125+'2025年江西省区利润表'!R125</f>
        <v>0</v>
      </c>
      <c r="S125" s="49">
        <f>'2025年安徽省区利润表'!S125+'2025年江西省区利润表'!S125</f>
        <v>0</v>
      </c>
      <c r="T125" s="49">
        <f>'2025年安徽省区利润表'!T125+'2025年江西省区利润表'!T125</f>
        <v>0</v>
      </c>
      <c r="U125" s="49">
        <f>'2025年安徽省区利润表'!U125+'2025年江西省区利润表'!U125</f>
        <v>0</v>
      </c>
      <c r="V125" s="49">
        <f>'2025年安徽省区利润表'!V125+'2025年江西省区利润表'!V125</f>
        <v>0</v>
      </c>
      <c r="W125" s="49">
        <f>'2025年安徽省区利润表'!W125+'2025年江西省区利润表'!W125</f>
        <v>0</v>
      </c>
      <c r="X125" s="49">
        <f>'2025年安徽省区利润表'!X125+'2025年江西省区利润表'!X125</f>
        <v>0</v>
      </c>
      <c r="Y125" s="49">
        <f>'2025年安徽省区利润表'!Y125+'2025年江西省区利润表'!Y125</f>
        <v>0</v>
      </c>
      <c r="Z125" s="49">
        <f>'2025年安徽省区利润表'!Z125+'2025年江西省区利润表'!Z125</f>
        <v>0</v>
      </c>
      <c r="AA125" s="51">
        <f t="shared" si="24"/>
        <v>0</v>
      </c>
      <c r="AB125" s="51">
        <f t="shared" si="30"/>
        <v>0</v>
      </c>
      <c r="AD125" s="31">
        <f t="shared" si="26"/>
        <v>0</v>
      </c>
      <c r="AE125" s="31">
        <f t="shared" si="27"/>
        <v>0</v>
      </c>
      <c r="AF125" s="17">
        <f t="shared" si="28"/>
        <v>0</v>
      </c>
      <c r="AG125" s="17">
        <f t="shared" si="29"/>
        <v>0</v>
      </c>
      <c r="BG125" s="20"/>
    </row>
    <row r="126" spans="1:123" s="17" customFormat="1" ht="18" customHeight="1" outlineLevel="1" x14ac:dyDescent="0.25">
      <c r="A126" s="67" t="s">
        <v>130</v>
      </c>
      <c r="B126" s="45"/>
      <c r="C126" s="69"/>
      <c r="D126" s="65"/>
      <c r="E126" s="65"/>
      <c r="F126" s="65">
        <f>SUM(F127:F131)</f>
        <v>0</v>
      </c>
      <c r="G126" s="65"/>
      <c r="H126" s="65">
        <f>SUM(H127:H131)</f>
        <v>0</v>
      </c>
      <c r="I126" s="65"/>
      <c r="J126" s="65">
        <f>SUM(J127:J131)</f>
        <v>0</v>
      </c>
      <c r="K126" s="65"/>
      <c r="L126" s="65">
        <f>SUM(L127:L131)</f>
        <v>0</v>
      </c>
      <c r="M126" s="65"/>
      <c r="N126" s="65">
        <f>SUM(N127:N131)</f>
        <v>0</v>
      </c>
      <c r="O126" s="65"/>
      <c r="P126" s="65">
        <f>SUM(P127:P131)</f>
        <v>0</v>
      </c>
      <c r="Q126" s="65"/>
      <c r="R126" s="65">
        <f>SUM(R127:R131)</f>
        <v>0</v>
      </c>
      <c r="S126" s="65"/>
      <c r="T126" s="65">
        <f>SUM(T127:T131)</f>
        <v>0</v>
      </c>
      <c r="U126" s="65"/>
      <c r="V126" s="65">
        <f>SUM(V127:V131)</f>
        <v>0</v>
      </c>
      <c r="W126" s="65"/>
      <c r="X126" s="65">
        <f>SUM(X127:X131)</f>
        <v>0</v>
      </c>
      <c r="Y126" s="65"/>
      <c r="Z126" s="65">
        <f>SUM(Z127:Z131)</f>
        <v>0</v>
      </c>
      <c r="AA126" s="51">
        <f t="shared" si="24"/>
        <v>0</v>
      </c>
      <c r="AB126" s="51">
        <f t="shared" si="30"/>
        <v>0</v>
      </c>
      <c r="AC126" s="21"/>
      <c r="AD126" s="31">
        <f t="shared" si="26"/>
        <v>0</v>
      </c>
      <c r="AE126" s="31">
        <f t="shared" si="27"/>
        <v>0</v>
      </c>
      <c r="AF126" s="17">
        <f t="shared" si="28"/>
        <v>0</v>
      </c>
      <c r="AG126" s="17">
        <f t="shared" si="29"/>
        <v>0</v>
      </c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66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</row>
    <row r="127" spans="1:123" s="19" customFormat="1" ht="18" customHeight="1" outlineLevel="2" x14ac:dyDescent="0.25">
      <c r="A127" s="48" t="s">
        <v>131</v>
      </c>
      <c r="B127" s="53"/>
      <c r="C127" s="49">
        <f>'2025年安徽省区利润表'!C127+'2025年江西省区利润表'!C127</f>
        <v>0</v>
      </c>
      <c r="D127" s="49">
        <f>'2025年安徽省区利润表'!D127+'2025年江西省区利润表'!D127</f>
        <v>0</v>
      </c>
      <c r="E127" s="49">
        <f>'2025年安徽省区利润表'!E127+'2025年江西省区利润表'!E127</f>
        <v>0</v>
      </c>
      <c r="F127" s="49">
        <f>'2025年安徽省区利润表'!F127+'2025年江西省区利润表'!F127</f>
        <v>0</v>
      </c>
      <c r="G127" s="49">
        <f>'2025年安徽省区利润表'!G127+'2025年江西省区利润表'!G127</f>
        <v>0</v>
      </c>
      <c r="H127" s="49">
        <f>'2025年安徽省区利润表'!H127+'2025年江西省区利润表'!H127</f>
        <v>0</v>
      </c>
      <c r="I127" s="49">
        <f>'2025年安徽省区利润表'!I127+'2025年江西省区利润表'!I127</f>
        <v>0</v>
      </c>
      <c r="J127" s="49">
        <f>'2025年安徽省区利润表'!J127+'2025年江西省区利润表'!J127</f>
        <v>0</v>
      </c>
      <c r="K127" s="49">
        <f>'2025年安徽省区利润表'!K127+'2025年江西省区利润表'!K127</f>
        <v>0</v>
      </c>
      <c r="L127" s="49">
        <f>'2025年安徽省区利润表'!L127+'2025年江西省区利润表'!L127</f>
        <v>0</v>
      </c>
      <c r="M127" s="49">
        <f>'2025年安徽省区利润表'!M127+'2025年江西省区利润表'!M127</f>
        <v>0</v>
      </c>
      <c r="N127" s="49">
        <f>'2025年安徽省区利润表'!N127+'2025年江西省区利润表'!N127</f>
        <v>0</v>
      </c>
      <c r="O127" s="49">
        <f>'2025年安徽省区利润表'!O127+'2025年江西省区利润表'!O127</f>
        <v>0</v>
      </c>
      <c r="P127" s="49">
        <f>'2025年安徽省区利润表'!P127+'2025年江西省区利润表'!P127</f>
        <v>0</v>
      </c>
      <c r="Q127" s="49">
        <f>'2025年安徽省区利润表'!Q127+'2025年江西省区利润表'!Q127</f>
        <v>0</v>
      </c>
      <c r="R127" s="49">
        <f>'2025年安徽省区利润表'!R127+'2025年江西省区利润表'!R127</f>
        <v>0</v>
      </c>
      <c r="S127" s="49">
        <f>'2025年安徽省区利润表'!S127+'2025年江西省区利润表'!S127</f>
        <v>0</v>
      </c>
      <c r="T127" s="49">
        <f>'2025年安徽省区利润表'!T127+'2025年江西省区利润表'!T127</f>
        <v>0</v>
      </c>
      <c r="U127" s="49">
        <f>'2025年安徽省区利润表'!U127+'2025年江西省区利润表'!U127</f>
        <v>0</v>
      </c>
      <c r="V127" s="49">
        <f>'2025年安徽省区利润表'!V127+'2025年江西省区利润表'!V127</f>
        <v>0</v>
      </c>
      <c r="W127" s="49">
        <f>'2025年安徽省区利润表'!W127+'2025年江西省区利润表'!W127</f>
        <v>0</v>
      </c>
      <c r="X127" s="49">
        <f>'2025年安徽省区利润表'!X127+'2025年江西省区利润表'!X127</f>
        <v>0</v>
      </c>
      <c r="Y127" s="49">
        <f>'2025年安徽省区利润表'!Y127+'2025年江西省区利润表'!Y127</f>
        <v>0</v>
      </c>
      <c r="Z127" s="49">
        <f>'2025年安徽省区利润表'!Z127+'2025年江西省区利润表'!Z127</f>
        <v>0</v>
      </c>
      <c r="AA127" s="51">
        <f t="shared" si="24"/>
        <v>0</v>
      </c>
      <c r="AB127" s="51">
        <f t="shared" si="30"/>
        <v>0</v>
      </c>
      <c r="AD127" s="31">
        <f t="shared" si="26"/>
        <v>0</v>
      </c>
      <c r="AE127" s="31">
        <f t="shared" si="27"/>
        <v>0</v>
      </c>
      <c r="AF127" s="17">
        <f t="shared" si="28"/>
        <v>0</v>
      </c>
      <c r="AG127" s="17">
        <f t="shared" si="29"/>
        <v>0</v>
      </c>
      <c r="BG127" s="20"/>
    </row>
    <row r="128" spans="1:123" s="19" customFormat="1" ht="18" customHeight="1" outlineLevel="2" x14ac:dyDescent="0.25">
      <c r="A128" s="48" t="s">
        <v>132</v>
      </c>
      <c r="B128" s="53"/>
      <c r="C128" s="49">
        <f>'2025年安徽省区利润表'!C128+'2025年江西省区利润表'!C128</f>
        <v>0</v>
      </c>
      <c r="D128" s="49">
        <f>'2025年安徽省区利润表'!D128+'2025年江西省区利润表'!D128</f>
        <v>0</v>
      </c>
      <c r="E128" s="49">
        <f>'2025年安徽省区利润表'!E128+'2025年江西省区利润表'!E128</f>
        <v>0</v>
      </c>
      <c r="F128" s="49">
        <f>'2025年安徽省区利润表'!F128+'2025年江西省区利润表'!F128</f>
        <v>0</v>
      </c>
      <c r="G128" s="49">
        <f>'2025年安徽省区利润表'!G128+'2025年江西省区利润表'!G128</f>
        <v>0</v>
      </c>
      <c r="H128" s="49">
        <f>'2025年安徽省区利润表'!H128+'2025年江西省区利润表'!H128</f>
        <v>0</v>
      </c>
      <c r="I128" s="49">
        <f>'2025年安徽省区利润表'!I128+'2025年江西省区利润表'!I128</f>
        <v>0</v>
      </c>
      <c r="J128" s="49">
        <f>'2025年安徽省区利润表'!J128+'2025年江西省区利润表'!J128</f>
        <v>0</v>
      </c>
      <c r="K128" s="49">
        <f>'2025年安徽省区利润表'!K128+'2025年江西省区利润表'!K128</f>
        <v>0</v>
      </c>
      <c r="L128" s="49">
        <f>'2025年安徽省区利润表'!L128+'2025年江西省区利润表'!L128</f>
        <v>0</v>
      </c>
      <c r="M128" s="49">
        <f>'2025年安徽省区利润表'!M128+'2025年江西省区利润表'!M128</f>
        <v>0</v>
      </c>
      <c r="N128" s="49">
        <f>'2025年安徽省区利润表'!N128+'2025年江西省区利润表'!N128</f>
        <v>0</v>
      </c>
      <c r="O128" s="49">
        <f>'2025年安徽省区利润表'!O128+'2025年江西省区利润表'!O128</f>
        <v>0</v>
      </c>
      <c r="P128" s="49">
        <f>'2025年安徽省区利润表'!P128+'2025年江西省区利润表'!P128</f>
        <v>0</v>
      </c>
      <c r="Q128" s="49">
        <f>'2025年安徽省区利润表'!Q128+'2025年江西省区利润表'!Q128</f>
        <v>0</v>
      </c>
      <c r="R128" s="49">
        <f>'2025年安徽省区利润表'!R128+'2025年江西省区利润表'!R128</f>
        <v>0</v>
      </c>
      <c r="S128" s="49">
        <f>'2025年安徽省区利润表'!S128+'2025年江西省区利润表'!S128</f>
        <v>0</v>
      </c>
      <c r="T128" s="49">
        <f>'2025年安徽省区利润表'!T128+'2025年江西省区利润表'!T128</f>
        <v>0</v>
      </c>
      <c r="U128" s="49">
        <f>'2025年安徽省区利润表'!U128+'2025年江西省区利润表'!U128</f>
        <v>0</v>
      </c>
      <c r="V128" s="49">
        <f>'2025年安徽省区利润表'!V128+'2025年江西省区利润表'!V128</f>
        <v>0</v>
      </c>
      <c r="W128" s="49">
        <f>'2025年安徽省区利润表'!W128+'2025年江西省区利润表'!W128</f>
        <v>0</v>
      </c>
      <c r="X128" s="49">
        <f>'2025年安徽省区利润表'!X128+'2025年江西省区利润表'!X128</f>
        <v>0</v>
      </c>
      <c r="Y128" s="49">
        <f>'2025年安徽省区利润表'!Y128+'2025年江西省区利润表'!Y128</f>
        <v>0</v>
      </c>
      <c r="Z128" s="49">
        <f>'2025年安徽省区利润表'!Z128+'2025年江西省区利润表'!Z128</f>
        <v>0</v>
      </c>
      <c r="AA128" s="51">
        <f t="shared" si="24"/>
        <v>0</v>
      </c>
      <c r="AB128" s="51">
        <f t="shared" si="30"/>
        <v>0</v>
      </c>
      <c r="AD128" s="31">
        <f t="shared" si="26"/>
        <v>0</v>
      </c>
      <c r="AE128" s="31">
        <f t="shared" si="27"/>
        <v>0</v>
      </c>
      <c r="AF128" s="17">
        <f t="shared" si="28"/>
        <v>0</v>
      </c>
      <c r="AG128" s="17">
        <f t="shared" si="29"/>
        <v>0</v>
      </c>
      <c r="BG128" s="20"/>
    </row>
    <row r="129" spans="1:123" s="19" customFormat="1" ht="18" customHeight="1" outlineLevel="2" x14ac:dyDescent="0.25">
      <c r="A129" s="48" t="s">
        <v>180</v>
      </c>
      <c r="B129" s="53"/>
      <c r="C129" s="49">
        <f>'2025年安徽省区利润表'!C129+'2025年江西省区利润表'!C129</f>
        <v>0</v>
      </c>
      <c r="D129" s="49">
        <f>'2025年安徽省区利润表'!D129+'2025年江西省区利润表'!D129</f>
        <v>0</v>
      </c>
      <c r="E129" s="49">
        <f>'2025年安徽省区利润表'!E129+'2025年江西省区利润表'!E129</f>
        <v>0</v>
      </c>
      <c r="F129" s="49">
        <f>'2025年安徽省区利润表'!F129+'2025年江西省区利润表'!F129</f>
        <v>0</v>
      </c>
      <c r="G129" s="49">
        <f>'2025年安徽省区利润表'!G129+'2025年江西省区利润表'!G129</f>
        <v>0</v>
      </c>
      <c r="H129" s="49">
        <f>'2025年安徽省区利润表'!H129+'2025年江西省区利润表'!H129</f>
        <v>0</v>
      </c>
      <c r="I129" s="49">
        <f>'2025年安徽省区利润表'!I129+'2025年江西省区利润表'!I129</f>
        <v>0</v>
      </c>
      <c r="J129" s="49">
        <f>'2025年安徽省区利润表'!J129+'2025年江西省区利润表'!J129</f>
        <v>0</v>
      </c>
      <c r="K129" s="49">
        <f>'2025年安徽省区利润表'!K129+'2025年江西省区利润表'!K129</f>
        <v>0</v>
      </c>
      <c r="L129" s="49">
        <f>'2025年安徽省区利润表'!L129+'2025年江西省区利润表'!L129</f>
        <v>0</v>
      </c>
      <c r="M129" s="49">
        <f>'2025年安徽省区利润表'!M129+'2025年江西省区利润表'!M129</f>
        <v>0</v>
      </c>
      <c r="N129" s="49">
        <f>'2025年安徽省区利润表'!N129+'2025年江西省区利润表'!N129</f>
        <v>0</v>
      </c>
      <c r="O129" s="49">
        <f>'2025年安徽省区利润表'!O129+'2025年江西省区利润表'!O129</f>
        <v>0</v>
      </c>
      <c r="P129" s="49">
        <f>'2025年安徽省区利润表'!P129+'2025年江西省区利润表'!P129</f>
        <v>0</v>
      </c>
      <c r="Q129" s="49">
        <f>'2025年安徽省区利润表'!Q129+'2025年江西省区利润表'!Q129</f>
        <v>0</v>
      </c>
      <c r="R129" s="49">
        <f>'2025年安徽省区利润表'!R129+'2025年江西省区利润表'!R129</f>
        <v>0</v>
      </c>
      <c r="S129" s="49">
        <f>'2025年安徽省区利润表'!S129+'2025年江西省区利润表'!S129</f>
        <v>0</v>
      </c>
      <c r="T129" s="49">
        <f>'2025年安徽省区利润表'!T129+'2025年江西省区利润表'!T129</f>
        <v>0</v>
      </c>
      <c r="U129" s="49">
        <f>'2025年安徽省区利润表'!U129+'2025年江西省区利润表'!U129</f>
        <v>0</v>
      </c>
      <c r="V129" s="49">
        <f>'2025年安徽省区利润表'!V129+'2025年江西省区利润表'!V129</f>
        <v>0</v>
      </c>
      <c r="W129" s="49">
        <f>'2025年安徽省区利润表'!W129+'2025年江西省区利润表'!W129</f>
        <v>0</v>
      </c>
      <c r="X129" s="49">
        <f>'2025年安徽省区利润表'!X129+'2025年江西省区利润表'!X129</f>
        <v>0</v>
      </c>
      <c r="Y129" s="49">
        <f>'2025年安徽省区利润表'!Y129+'2025年江西省区利润表'!Y129</f>
        <v>0</v>
      </c>
      <c r="Z129" s="49">
        <f>'2025年安徽省区利润表'!Z129+'2025年江西省区利润表'!Z129</f>
        <v>0</v>
      </c>
      <c r="AA129" s="51">
        <f t="shared" si="24"/>
        <v>0</v>
      </c>
      <c r="AB129" s="51">
        <f t="shared" si="30"/>
        <v>0</v>
      </c>
      <c r="AD129" s="31">
        <f t="shared" si="26"/>
        <v>0</v>
      </c>
      <c r="AE129" s="31">
        <f t="shared" si="27"/>
        <v>0</v>
      </c>
      <c r="AF129" s="17">
        <f t="shared" si="28"/>
        <v>0</v>
      </c>
      <c r="AG129" s="17">
        <f t="shared" si="29"/>
        <v>0</v>
      </c>
      <c r="BG129" s="20"/>
    </row>
    <row r="130" spans="1:123" s="19" customFormat="1" ht="18" customHeight="1" outlineLevel="2" x14ac:dyDescent="0.25">
      <c r="A130" s="48" t="s">
        <v>134</v>
      </c>
      <c r="B130" s="53"/>
      <c r="C130" s="49">
        <f>'2025年安徽省区利润表'!C130+'2025年江西省区利润表'!C130</f>
        <v>0</v>
      </c>
      <c r="D130" s="49">
        <f>'2025年安徽省区利润表'!D130+'2025年江西省区利润表'!D130</f>
        <v>0</v>
      </c>
      <c r="E130" s="49">
        <f>'2025年安徽省区利润表'!E130+'2025年江西省区利润表'!E130</f>
        <v>0</v>
      </c>
      <c r="F130" s="49">
        <f>'2025年安徽省区利润表'!F130+'2025年江西省区利润表'!F130</f>
        <v>0</v>
      </c>
      <c r="G130" s="49">
        <f>'2025年安徽省区利润表'!G130+'2025年江西省区利润表'!G130</f>
        <v>0</v>
      </c>
      <c r="H130" s="49">
        <f>'2025年安徽省区利润表'!H130+'2025年江西省区利润表'!H130</f>
        <v>0</v>
      </c>
      <c r="I130" s="49">
        <f>'2025年安徽省区利润表'!I130+'2025年江西省区利润表'!I130</f>
        <v>0</v>
      </c>
      <c r="J130" s="49">
        <f>'2025年安徽省区利润表'!J130+'2025年江西省区利润表'!J130</f>
        <v>0</v>
      </c>
      <c r="K130" s="49">
        <f>'2025年安徽省区利润表'!K130+'2025年江西省区利润表'!K130</f>
        <v>0</v>
      </c>
      <c r="L130" s="49">
        <f>'2025年安徽省区利润表'!L130+'2025年江西省区利润表'!L130</f>
        <v>0</v>
      </c>
      <c r="M130" s="49">
        <f>'2025年安徽省区利润表'!M130+'2025年江西省区利润表'!M130</f>
        <v>0</v>
      </c>
      <c r="N130" s="49">
        <f>'2025年安徽省区利润表'!N130+'2025年江西省区利润表'!N130</f>
        <v>0</v>
      </c>
      <c r="O130" s="49">
        <f>'2025年安徽省区利润表'!O130+'2025年江西省区利润表'!O130</f>
        <v>0</v>
      </c>
      <c r="P130" s="49">
        <f>'2025年安徽省区利润表'!P130+'2025年江西省区利润表'!P130</f>
        <v>0</v>
      </c>
      <c r="Q130" s="49">
        <f>'2025年安徽省区利润表'!Q130+'2025年江西省区利润表'!Q130</f>
        <v>0</v>
      </c>
      <c r="R130" s="49">
        <f>'2025年安徽省区利润表'!R130+'2025年江西省区利润表'!R130</f>
        <v>0</v>
      </c>
      <c r="S130" s="49">
        <f>'2025年安徽省区利润表'!S130+'2025年江西省区利润表'!S130</f>
        <v>0</v>
      </c>
      <c r="T130" s="49">
        <f>'2025年安徽省区利润表'!T130+'2025年江西省区利润表'!T130</f>
        <v>0</v>
      </c>
      <c r="U130" s="49">
        <f>'2025年安徽省区利润表'!U130+'2025年江西省区利润表'!U130</f>
        <v>0</v>
      </c>
      <c r="V130" s="49">
        <f>'2025年安徽省区利润表'!V130+'2025年江西省区利润表'!V130</f>
        <v>0</v>
      </c>
      <c r="W130" s="49">
        <f>'2025年安徽省区利润表'!W130+'2025年江西省区利润表'!W130</f>
        <v>0</v>
      </c>
      <c r="X130" s="49">
        <f>'2025年安徽省区利润表'!X130+'2025年江西省区利润表'!X130</f>
        <v>0</v>
      </c>
      <c r="Y130" s="49">
        <f>'2025年安徽省区利润表'!Y130+'2025年江西省区利润表'!Y130</f>
        <v>0</v>
      </c>
      <c r="Z130" s="49">
        <f>'2025年安徽省区利润表'!Z130+'2025年江西省区利润表'!Z130</f>
        <v>0</v>
      </c>
      <c r="AA130" s="51">
        <f t="shared" si="24"/>
        <v>0</v>
      </c>
      <c r="AB130" s="51">
        <f t="shared" si="30"/>
        <v>0</v>
      </c>
      <c r="AD130" s="31">
        <f t="shared" si="26"/>
        <v>0</v>
      </c>
      <c r="AE130" s="31">
        <f t="shared" si="27"/>
        <v>0</v>
      </c>
      <c r="AF130" s="17">
        <f t="shared" si="28"/>
        <v>0</v>
      </c>
      <c r="AG130" s="17">
        <f t="shared" si="29"/>
        <v>0</v>
      </c>
      <c r="BG130" s="20"/>
    </row>
    <row r="131" spans="1:123" s="19" customFormat="1" ht="18" customHeight="1" outlineLevel="2" x14ac:dyDescent="0.25">
      <c r="A131" s="48" t="s">
        <v>135</v>
      </c>
      <c r="B131" s="53"/>
      <c r="C131" s="49">
        <f>'2025年安徽省区利润表'!C131+'2025年江西省区利润表'!C131</f>
        <v>0</v>
      </c>
      <c r="D131" s="49">
        <f>'2025年安徽省区利润表'!D131+'2025年江西省区利润表'!D131</f>
        <v>0</v>
      </c>
      <c r="E131" s="49">
        <f>'2025年安徽省区利润表'!E131+'2025年江西省区利润表'!E131</f>
        <v>0</v>
      </c>
      <c r="F131" s="49">
        <f>'2025年安徽省区利润表'!F131+'2025年江西省区利润表'!F131</f>
        <v>0</v>
      </c>
      <c r="G131" s="49">
        <f>'2025年安徽省区利润表'!G131+'2025年江西省区利润表'!G131</f>
        <v>0</v>
      </c>
      <c r="H131" s="49">
        <f>'2025年安徽省区利润表'!H131+'2025年江西省区利润表'!H131</f>
        <v>0</v>
      </c>
      <c r="I131" s="49">
        <f>'2025年安徽省区利润表'!I131+'2025年江西省区利润表'!I131</f>
        <v>0</v>
      </c>
      <c r="J131" s="49">
        <f>'2025年安徽省区利润表'!J131+'2025年江西省区利润表'!J131</f>
        <v>0</v>
      </c>
      <c r="K131" s="49">
        <f>'2025年安徽省区利润表'!K131+'2025年江西省区利润表'!K131</f>
        <v>0</v>
      </c>
      <c r="L131" s="49">
        <f>'2025年安徽省区利润表'!L131+'2025年江西省区利润表'!L131</f>
        <v>0</v>
      </c>
      <c r="M131" s="49">
        <f>'2025年安徽省区利润表'!M131+'2025年江西省区利润表'!M131</f>
        <v>0</v>
      </c>
      <c r="N131" s="49">
        <f>'2025年安徽省区利润表'!N131+'2025年江西省区利润表'!N131</f>
        <v>0</v>
      </c>
      <c r="O131" s="49">
        <f>'2025年安徽省区利润表'!O131+'2025年江西省区利润表'!O131</f>
        <v>0</v>
      </c>
      <c r="P131" s="49">
        <f>'2025年安徽省区利润表'!P131+'2025年江西省区利润表'!P131</f>
        <v>0</v>
      </c>
      <c r="Q131" s="49">
        <f>'2025年安徽省区利润表'!Q131+'2025年江西省区利润表'!Q131</f>
        <v>0</v>
      </c>
      <c r="R131" s="49">
        <f>'2025年安徽省区利润表'!R131+'2025年江西省区利润表'!R131</f>
        <v>0</v>
      </c>
      <c r="S131" s="49">
        <f>'2025年安徽省区利润表'!S131+'2025年江西省区利润表'!S131</f>
        <v>0</v>
      </c>
      <c r="T131" s="49">
        <f>'2025年安徽省区利润表'!T131+'2025年江西省区利润表'!T131</f>
        <v>0</v>
      </c>
      <c r="U131" s="49">
        <f>'2025年安徽省区利润表'!U131+'2025年江西省区利润表'!U131</f>
        <v>0</v>
      </c>
      <c r="V131" s="49">
        <f>'2025年安徽省区利润表'!V131+'2025年江西省区利润表'!V131</f>
        <v>0</v>
      </c>
      <c r="W131" s="49">
        <f>'2025年安徽省区利润表'!W131+'2025年江西省区利润表'!W131</f>
        <v>0</v>
      </c>
      <c r="X131" s="49">
        <f>'2025年安徽省区利润表'!X131+'2025年江西省区利润表'!X131</f>
        <v>0</v>
      </c>
      <c r="Y131" s="49">
        <f>'2025年安徽省区利润表'!Y131+'2025年江西省区利润表'!Y131</f>
        <v>0</v>
      </c>
      <c r="Z131" s="49">
        <f>'2025年安徽省区利润表'!Z131+'2025年江西省区利润表'!Z131</f>
        <v>0</v>
      </c>
      <c r="AA131" s="51">
        <f t="shared" si="24"/>
        <v>0</v>
      </c>
      <c r="AB131" s="51">
        <f t="shared" si="30"/>
        <v>0</v>
      </c>
      <c r="AD131" s="31">
        <f t="shared" si="26"/>
        <v>0</v>
      </c>
      <c r="AE131" s="31">
        <f t="shared" si="27"/>
        <v>0</v>
      </c>
      <c r="AF131" s="17">
        <f t="shared" si="28"/>
        <v>0</v>
      </c>
      <c r="AG131" s="17">
        <f t="shared" si="29"/>
        <v>0</v>
      </c>
      <c r="BG131" s="20"/>
    </row>
    <row r="132" spans="1:123" s="19" customFormat="1" ht="18" customHeight="1" outlineLevel="1" x14ac:dyDescent="0.25">
      <c r="A132" s="48" t="s">
        <v>136</v>
      </c>
      <c r="B132" s="53"/>
      <c r="C132" s="49">
        <f>'2025年安徽省区利润表'!C132+'2025年江西省区利润表'!C132</f>
        <v>0</v>
      </c>
      <c r="D132" s="49">
        <f>'2025年安徽省区利润表'!D132+'2025年江西省区利润表'!D132</f>
        <v>0</v>
      </c>
      <c r="E132" s="49">
        <f>'2025年安徽省区利润表'!E132+'2025年江西省区利润表'!E132</f>
        <v>0</v>
      </c>
      <c r="F132" s="49">
        <f>'2025年安徽省区利润表'!F132+'2025年江西省区利润表'!F132</f>
        <v>0</v>
      </c>
      <c r="G132" s="49">
        <f>'2025年安徽省区利润表'!G132+'2025年江西省区利润表'!G132</f>
        <v>0</v>
      </c>
      <c r="H132" s="49">
        <f>'2025年安徽省区利润表'!H132+'2025年江西省区利润表'!H132</f>
        <v>0</v>
      </c>
      <c r="I132" s="49">
        <f>'2025年安徽省区利润表'!I132+'2025年江西省区利润表'!I132</f>
        <v>0</v>
      </c>
      <c r="J132" s="49">
        <f>'2025年安徽省区利润表'!J132+'2025年江西省区利润表'!J132</f>
        <v>0</v>
      </c>
      <c r="K132" s="49">
        <f>'2025年安徽省区利润表'!K132+'2025年江西省区利润表'!K132</f>
        <v>0</v>
      </c>
      <c r="L132" s="49">
        <f>'2025年安徽省区利润表'!L132+'2025年江西省区利润表'!L132</f>
        <v>0</v>
      </c>
      <c r="M132" s="49">
        <f>'2025年安徽省区利润表'!M132+'2025年江西省区利润表'!M132</f>
        <v>0</v>
      </c>
      <c r="N132" s="49">
        <f>'2025年安徽省区利润表'!N132+'2025年江西省区利润表'!N132</f>
        <v>0</v>
      </c>
      <c r="O132" s="49">
        <f>'2025年安徽省区利润表'!O132+'2025年江西省区利润表'!O132</f>
        <v>0</v>
      </c>
      <c r="P132" s="49">
        <f>'2025年安徽省区利润表'!P132+'2025年江西省区利润表'!P132</f>
        <v>0</v>
      </c>
      <c r="Q132" s="49">
        <f>'2025年安徽省区利润表'!Q132+'2025年江西省区利润表'!Q132</f>
        <v>0</v>
      </c>
      <c r="R132" s="49">
        <f>'2025年安徽省区利润表'!R132+'2025年江西省区利润表'!R132</f>
        <v>0</v>
      </c>
      <c r="S132" s="49">
        <f>'2025年安徽省区利润表'!S132+'2025年江西省区利润表'!S132</f>
        <v>0</v>
      </c>
      <c r="T132" s="49">
        <f>'2025年安徽省区利润表'!T132+'2025年江西省区利润表'!T132</f>
        <v>0</v>
      </c>
      <c r="U132" s="49">
        <f>'2025年安徽省区利润表'!U132+'2025年江西省区利润表'!U132</f>
        <v>0</v>
      </c>
      <c r="V132" s="49">
        <f>'2025年安徽省区利润表'!V132+'2025年江西省区利润表'!V132</f>
        <v>0</v>
      </c>
      <c r="W132" s="49">
        <f>'2025年安徽省区利润表'!W132+'2025年江西省区利润表'!W132</f>
        <v>0</v>
      </c>
      <c r="X132" s="49">
        <f>'2025年安徽省区利润表'!X132+'2025年江西省区利润表'!X132</f>
        <v>0</v>
      </c>
      <c r="Y132" s="49">
        <f>'2025年安徽省区利润表'!Y132+'2025年江西省区利润表'!Y132</f>
        <v>0</v>
      </c>
      <c r="Z132" s="49">
        <f>'2025年安徽省区利润表'!Z132+'2025年江西省区利润表'!Z132</f>
        <v>0</v>
      </c>
      <c r="AA132" s="51">
        <f t="shared" si="24"/>
        <v>0</v>
      </c>
      <c r="AB132" s="51">
        <f t="shared" si="30"/>
        <v>0</v>
      </c>
      <c r="AD132" s="31">
        <f t="shared" si="26"/>
        <v>0</v>
      </c>
      <c r="AE132" s="31">
        <f t="shared" si="27"/>
        <v>0</v>
      </c>
      <c r="AF132" s="17">
        <f t="shared" si="28"/>
        <v>0</v>
      </c>
      <c r="AG132" s="17">
        <f t="shared" si="29"/>
        <v>0</v>
      </c>
      <c r="BG132" s="20"/>
    </row>
    <row r="133" spans="1:123" s="19" customFormat="1" ht="18" customHeight="1" outlineLevel="1" x14ac:dyDescent="0.25">
      <c r="A133" s="48" t="s">
        <v>137</v>
      </c>
      <c r="B133" s="53"/>
      <c r="C133" s="49">
        <f>'2025年安徽省区利润表'!C133+'2025年江西省区利润表'!C133</f>
        <v>0</v>
      </c>
      <c r="D133" s="49">
        <f>'2025年安徽省区利润表'!D133+'2025年江西省区利润表'!D133</f>
        <v>0</v>
      </c>
      <c r="E133" s="49">
        <f>'2025年安徽省区利润表'!E133+'2025年江西省区利润表'!E133</f>
        <v>0</v>
      </c>
      <c r="F133" s="49">
        <f>'2025年安徽省区利润表'!F133+'2025年江西省区利润表'!F133</f>
        <v>0</v>
      </c>
      <c r="G133" s="49">
        <f>'2025年安徽省区利润表'!G133+'2025年江西省区利润表'!G133</f>
        <v>0</v>
      </c>
      <c r="H133" s="49">
        <f>'2025年安徽省区利润表'!H133+'2025年江西省区利润表'!H133</f>
        <v>0</v>
      </c>
      <c r="I133" s="49">
        <f>'2025年安徽省区利润表'!I133+'2025年江西省区利润表'!I133</f>
        <v>0</v>
      </c>
      <c r="J133" s="49">
        <f>'2025年安徽省区利润表'!J133+'2025年江西省区利润表'!J133</f>
        <v>0</v>
      </c>
      <c r="K133" s="49">
        <f>'2025年安徽省区利润表'!K133+'2025年江西省区利润表'!K133</f>
        <v>0</v>
      </c>
      <c r="L133" s="49">
        <f>'2025年安徽省区利润表'!L133+'2025年江西省区利润表'!L133</f>
        <v>0</v>
      </c>
      <c r="M133" s="49">
        <f>'2025年安徽省区利润表'!M133+'2025年江西省区利润表'!M133</f>
        <v>0</v>
      </c>
      <c r="N133" s="49">
        <f>'2025年安徽省区利润表'!N133+'2025年江西省区利润表'!N133</f>
        <v>0</v>
      </c>
      <c r="O133" s="49">
        <f>'2025年安徽省区利润表'!O133+'2025年江西省区利润表'!O133</f>
        <v>0</v>
      </c>
      <c r="P133" s="49">
        <f>'2025年安徽省区利润表'!P133+'2025年江西省区利润表'!P133</f>
        <v>0</v>
      </c>
      <c r="Q133" s="49">
        <f>'2025年安徽省区利润表'!Q133+'2025年江西省区利润表'!Q133</f>
        <v>0</v>
      </c>
      <c r="R133" s="49">
        <f>'2025年安徽省区利润表'!R133+'2025年江西省区利润表'!R133</f>
        <v>0</v>
      </c>
      <c r="S133" s="49">
        <f>'2025年安徽省区利润表'!S133+'2025年江西省区利润表'!S133</f>
        <v>0</v>
      </c>
      <c r="T133" s="49">
        <f>'2025年安徽省区利润表'!T133+'2025年江西省区利润表'!T133</f>
        <v>0</v>
      </c>
      <c r="U133" s="49">
        <f>'2025年安徽省区利润表'!U133+'2025年江西省区利润表'!U133</f>
        <v>0</v>
      </c>
      <c r="V133" s="49">
        <f>'2025年安徽省区利润表'!V133+'2025年江西省区利润表'!V133</f>
        <v>0</v>
      </c>
      <c r="W133" s="49">
        <f>'2025年安徽省区利润表'!W133+'2025年江西省区利润表'!W133</f>
        <v>0</v>
      </c>
      <c r="X133" s="49">
        <f>'2025年安徽省区利润表'!X133+'2025年江西省区利润表'!X133</f>
        <v>0</v>
      </c>
      <c r="Y133" s="49">
        <f>'2025年安徽省区利润表'!Y133+'2025年江西省区利润表'!Y133</f>
        <v>0</v>
      </c>
      <c r="Z133" s="49">
        <f>'2025年安徽省区利润表'!Z133+'2025年江西省区利润表'!Z133</f>
        <v>0</v>
      </c>
      <c r="AA133" s="51">
        <f t="shared" si="24"/>
        <v>0</v>
      </c>
      <c r="AB133" s="51">
        <f t="shared" si="30"/>
        <v>0</v>
      </c>
      <c r="AD133" s="31">
        <f t="shared" si="26"/>
        <v>0</v>
      </c>
      <c r="AE133" s="31">
        <f t="shared" si="27"/>
        <v>0</v>
      </c>
      <c r="AF133" s="17">
        <f t="shared" si="28"/>
        <v>0</v>
      </c>
      <c r="AG133" s="17">
        <f t="shared" si="29"/>
        <v>0</v>
      </c>
      <c r="BG133" s="20"/>
    </row>
    <row r="134" spans="1:123" s="19" customFormat="1" ht="18" customHeight="1" outlineLevel="1" x14ac:dyDescent="0.25">
      <c r="A134" s="48" t="s">
        <v>138</v>
      </c>
      <c r="B134" s="53"/>
      <c r="C134" s="49">
        <f>'2025年安徽省区利润表'!C134+'2025年江西省区利润表'!C134</f>
        <v>0</v>
      </c>
      <c r="D134" s="49">
        <f>'2025年安徽省区利润表'!D134+'2025年江西省区利润表'!D134</f>
        <v>0</v>
      </c>
      <c r="E134" s="49">
        <f>'2025年安徽省区利润表'!E134+'2025年江西省区利润表'!E134</f>
        <v>0</v>
      </c>
      <c r="F134" s="49">
        <f>'2025年安徽省区利润表'!F134+'2025年江西省区利润表'!F134</f>
        <v>0</v>
      </c>
      <c r="G134" s="49">
        <f>'2025年安徽省区利润表'!G134+'2025年江西省区利润表'!G134</f>
        <v>0</v>
      </c>
      <c r="H134" s="49">
        <f>'2025年安徽省区利润表'!H134+'2025年江西省区利润表'!H134</f>
        <v>0</v>
      </c>
      <c r="I134" s="49">
        <f>'2025年安徽省区利润表'!I134+'2025年江西省区利润表'!I134</f>
        <v>0</v>
      </c>
      <c r="J134" s="49">
        <f>'2025年安徽省区利润表'!J134+'2025年江西省区利润表'!J134</f>
        <v>0</v>
      </c>
      <c r="K134" s="49">
        <f>'2025年安徽省区利润表'!K134+'2025年江西省区利润表'!K134</f>
        <v>0</v>
      </c>
      <c r="L134" s="49">
        <f>'2025年安徽省区利润表'!L134+'2025年江西省区利润表'!L134</f>
        <v>0</v>
      </c>
      <c r="M134" s="49">
        <f>'2025年安徽省区利润表'!M134+'2025年江西省区利润表'!M134</f>
        <v>0</v>
      </c>
      <c r="N134" s="49">
        <f>'2025年安徽省区利润表'!N134+'2025年江西省区利润表'!N134</f>
        <v>0</v>
      </c>
      <c r="O134" s="49">
        <f>'2025年安徽省区利润表'!O134+'2025年江西省区利润表'!O134</f>
        <v>0</v>
      </c>
      <c r="P134" s="49">
        <f>'2025年安徽省区利润表'!P134+'2025年江西省区利润表'!P134</f>
        <v>0</v>
      </c>
      <c r="Q134" s="49">
        <f>'2025年安徽省区利润表'!Q134+'2025年江西省区利润表'!Q134</f>
        <v>0</v>
      </c>
      <c r="R134" s="49">
        <f>'2025年安徽省区利润表'!R134+'2025年江西省区利润表'!R134</f>
        <v>0</v>
      </c>
      <c r="S134" s="49">
        <f>'2025年安徽省区利润表'!S134+'2025年江西省区利润表'!S134</f>
        <v>0</v>
      </c>
      <c r="T134" s="49">
        <f>'2025年安徽省区利润表'!T134+'2025年江西省区利润表'!T134</f>
        <v>0</v>
      </c>
      <c r="U134" s="49">
        <f>'2025年安徽省区利润表'!U134+'2025年江西省区利润表'!U134</f>
        <v>0</v>
      </c>
      <c r="V134" s="49">
        <f>'2025年安徽省区利润表'!V134+'2025年江西省区利润表'!V134</f>
        <v>0</v>
      </c>
      <c r="W134" s="49">
        <f>'2025年安徽省区利润表'!W134+'2025年江西省区利润表'!W134</f>
        <v>0</v>
      </c>
      <c r="X134" s="49">
        <f>'2025年安徽省区利润表'!X134+'2025年江西省区利润表'!X134</f>
        <v>0</v>
      </c>
      <c r="Y134" s="49">
        <f>'2025年安徽省区利润表'!Y134+'2025年江西省区利润表'!Y134</f>
        <v>0</v>
      </c>
      <c r="Z134" s="49">
        <f>'2025年安徽省区利润表'!Z134+'2025年江西省区利润表'!Z134</f>
        <v>0</v>
      </c>
      <c r="AA134" s="51">
        <f t="shared" si="24"/>
        <v>0</v>
      </c>
      <c r="AB134" s="51">
        <f t="shared" si="30"/>
        <v>0</v>
      </c>
      <c r="AD134" s="31">
        <f t="shared" si="26"/>
        <v>0</v>
      </c>
      <c r="AE134" s="31">
        <f t="shared" si="27"/>
        <v>0</v>
      </c>
      <c r="AF134" s="17">
        <f t="shared" si="28"/>
        <v>0</v>
      </c>
      <c r="AG134" s="17">
        <f t="shared" si="29"/>
        <v>0</v>
      </c>
      <c r="BG134" s="20"/>
    </row>
    <row r="135" spans="1:123" s="19" customFormat="1" ht="18" customHeight="1" outlineLevel="1" x14ac:dyDescent="0.25">
      <c r="A135" s="48" t="s">
        <v>139</v>
      </c>
      <c r="B135" s="53"/>
      <c r="C135" s="49">
        <f>'2025年安徽省区利润表'!C135+'2025年江西省区利润表'!C135</f>
        <v>0</v>
      </c>
      <c r="D135" s="49">
        <f>'2025年安徽省区利润表'!D135+'2025年江西省区利润表'!D135</f>
        <v>0</v>
      </c>
      <c r="E135" s="49">
        <f>'2025年安徽省区利润表'!E135+'2025年江西省区利润表'!E135</f>
        <v>0</v>
      </c>
      <c r="F135" s="49">
        <f>'2025年安徽省区利润表'!F135+'2025年江西省区利润表'!F135</f>
        <v>0</v>
      </c>
      <c r="G135" s="49">
        <f>'2025年安徽省区利润表'!G135+'2025年江西省区利润表'!G135</f>
        <v>0</v>
      </c>
      <c r="H135" s="49">
        <f>'2025年安徽省区利润表'!H135+'2025年江西省区利润表'!H135</f>
        <v>0</v>
      </c>
      <c r="I135" s="49">
        <f>'2025年安徽省区利润表'!I135+'2025年江西省区利润表'!I135</f>
        <v>0</v>
      </c>
      <c r="J135" s="49">
        <f>'2025年安徽省区利润表'!J135+'2025年江西省区利润表'!J135</f>
        <v>0</v>
      </c>
      <c r="K135" s="49">
        <f>'2025年安徽省区利润表'!K135+'2025年江西省区利润表'!K135</f>
        <v>0</v>
      </c>
      <c r="L135" s="49">
        <f>'2025年安徽省区利润表'!L135+'2025年江西省区利润表'!L135</f>
        <v>0</v>
      </c>
      <c r="M135" s="49">
        <f>'2025年安徽省区利润表'!M135+'2025年江西省区利润表'!M135</f>
        <v>0</v>
      </c>
      <c r="N135" s="49">
        <f>'2025年安徽省区利润表'!N135+'2025年江西省区利润表'!N135</f>
        <v>0</v>
      </c>
      <c r="O135" s="49">
        <f>'2025年安徽省区利润表'!O135+'2025年江西省区利润表'!O135</f>
        <v>0</v>
      </c>
      <c r="P135" s="49">
        <f>'2025年安徽省区利润表'!P135+'2025年江西省区利润表'!P135</f>
        <v>0</v>
      </c>
      <c r="Q135" s="49">
        <f>'2025年安徽省区利润表'!Q135+'2025年江西省区利润表'!Q135</f>
        <v>0</v>
      </c>
      <c r="R135" s="49">
        <f>'2025年安徽省区利润表'!R135+'2025年江西省区利润表'!R135</f>
        <v>0</v>
      </c>
      <c r="S135" s="49">
        <f>'2025年安徽省区利润表'!S135+'2025年江西省区利润表'!S135</f>
        <v>0</v>
      </c>
      <c r="T135" s="49">
        <f>'2025年安徽省区利润表'!T135+'2025年江西省区利润表'!T135</f>
        <v>0</v>
      </c>
      <c r="U135" s="49">
        <f>'2025年安徽省区利润表'!U135+'2025年江西省区利润表'!U135</f>
        <v>0</v>
      </c>
      <c r="V135" s="49">
        <f>'2025年安徽省区利润表'!V135+'2025年江西省区利润表'!V135</f>
        <v>0</v>
      </c>
      <c r="W135" s="49">
        <f>'2025年安徽省区利润表'!W135+'2025年江西省区利润表'!W135</f>
        <v>0</v>
      </c>
      <c r="X135" s="49">
        <f>'2025年安徽省区利润表'!X135+'2025年江西省区利润表'!X135</f>
        <v>0</v>
      </c>
      <c r="Y135" s="49">
        <f>'2025年安徽省区利润表'!Y135+'2025年江西省区利润表'!Y135</f>
        <v>0</v>
      </c>
      <c r="Z135" s="49">
        <f>'2025年安徽省区利润表'!Z135+'2025年江西省区利润表'!Z135</f>
        <v>0</v>
      </c>
      <c r="AA135" s="51">
        <f t="shared" si="24"/>
        <v>0</v>
      </c>
      <c r="AB135" s="51">
        <f t="shared" si="30"/>
        <v>0</v>
      </c>
      <c r="AD135" s="31">
        <f t="shared" si="26"/>
        <v>0</v>
      </c>
      <c r="AE135" s="31">
        <f t="shared" si="27"/>
        <v>0</v>
      </c>
      <c r="AF135" s="17">
        <f t="shared" si="28"/>
        <v>0</v>
      </c>
      <c r="AG135" s="17">
        <f t="shared" si="29"/>
        <v>0</v>
      </c>
      <c r="BG135" s="20"/>
    </row>
    <row r="136" spans="1:123" s="19" customFormat="1" ht="18" customHeight="1" outlineLevel="1" x14ac:dyDescent="0.25">
      <c r="A136" s="48" t="s">
        <v>140</v>
      </c>
      <c r="B136" s="53"/>
      <c r="C136" s="49">
        <f>'2025年安徽省区利润表'!C136+'2025年江西省区利润表'!C136</f>
        <v>0</v>
      </c>
      <c r="D136" s="49">
        <f>'2025年安徽省区利润表'!D136+'2025年江西省区利润表'!D136</f>
        <v>0</v>
      </c>
      <c r="E136" s="49">
        <f>'2025年安徽省区利润表'!E136+'2025年江西省区利润表'!E136</f>
        <v>0</v>
      </c>
      <c r="F136" s="49">
        <f>'2025年安徽省区利润表'!F136+'2025年江西省区利润表'!F136</f>
        <v>0</v>
      </c>
      <c r="G136" s="49">
        <f>'2025年安徽省区利润表'!G136+'2025年江西省区利润表'!G136</f>
        <v>0</v>
      </c>
      <c r="H136" s="49">
        <f>'2025年安徽省区利润表'!H136+'2025年江西省区利润表'!H136</f>
        <v>0</v>
      </c>
      <c r="I136" s="49">
        <f>'2025年安徽省区利润表'!I136+'2025年江西省区利润表'!I136</f>
        <v>0</v>
      </c>
      <c r="J136" s="49">
        <f>'2025年安徽省区利润表'!J136+'2025年江西省区利润表'!J136</f>
        <v>0</v>
      </c>
      <c r="K136" s="49">
        <f>'2025年安徽省区利润表'!K136+'2025年江西省区利润表'!K136</f>
        <v>0</v>
      </c>
      <c r="L136" s="49">
        <f>'2025年安徽省区利润表'!L136+'2025年江西省区利润表'!L136</f>
        <v>0</v>
      </c>
      <c r="M136" s="49">
        <f>'2025年安徽省区利润表'!M136+'2025年江西省区利润表'!M136</f>
        <v>0</v>
      </c>
      <c r="N136" s="49">
        <f>'2025年安徽省区利润表'!N136+'2025年江西省区利润表'!N136</f>
        <v>0</v>
      </c>
      <c r="O136" s="49">
        <f>'2025年安徽省区利润表'!O136+'2025年江西省区利润表'!O136</f>
        <v>0</v>
      </c>
      <c r="P136" s="49">
        <f>'2025年安徽省区利润表'!P136+'2025年江西省区利润表'!P136</f>
        <v>0</v>
      </c>
      <c r="Q136" s="49">
        <f>'2025年安徽省区利润表'!Q136+'2025年江西省区利润表'!Q136</f>
        <v>0</v>
      </c>
      <c r="R136" s="49">
        <f>'2025年安徽省区利润表'!R136+'2025年江西省区利润表'!R136</f>
        <v>0</v>
      </c>
      <c r="S136" s="49">
        <f>'2025年安徽省区利润表'!S136+'2025年江西省区利润表'!S136</f>
        <v>0</v>
      </c>
      <c r="T136" s="49">
        <f>'2025年安徽省区利润表'!T136+'2025年江西省区利润表'!T136</f>
        <v>0</v>
      </c>
      <c r="U136" s="49">
        <f>'2025年安徽省区利润表'!U136+'2025年江西省区利润表'!U136</f>
        <v>0</v>
      </c>
      <c r="V136" s="49">
        <f>'2025年安徽省区利润表'!V136+'2025年江西省区利润表'!V136</f>
        <v>0</v>
      </c>
      <c r="W136" s="49">
        <f>'2025年安徽省区利润表'!W136+'2025年江西省区利润表'!W136</f>
        <v>0</v>
      </c>
      <c r="X136" s="49">
        <f>'2025年安徽省区利润表'!X136+'2025年江西省区利润表'!X136</f>
        <v>0</v>
      </c>
      <c r="Y136" s="49">
        <f>'2025年安徽省区利润表'!Y136+'2025年江西省区利润表'!Y136</f>
        <v>0</v>
      </c>
      <c r="Z136" s="49">
        <f>'2025年安徽省区利润表'!Z136+'2025年江西省区利润表'!Z136</f>
        <v>0</v>
      </c>
      <c r="AA136" s="51">
        <f t="shared" si="24"/>
        <v>0</v>
      </c>
      <c r="AB136" s="51">
        <f t="shared" si="30"/>
        <v>0</v>
      </c>
      <c r="AD136" s="31">
        <f t="shared" si="26"/>
        <v>0</v>
      </c>
      <c r="AE136" s="31">
        <f t="shared" si="27"/>
        <v>0</v>
      </c>
      <c r="AF136" s="17">
        <f t="shared" si="28"/>
        <v>0</v>
      </c>
      <c r="AG136" s="17">
        <f t="shared" si="29"/>
        <v>0</v>
      </c>
      <c r="BG136" s="20"/>
    </row>
    <row r="137" spans="1:123" s="19" customFormat="1" ht="18" customHeight="1" outlineLevel="1" x14ac:dyDescent="0.25">
      <c r="A137" s="48" t="s">
        <v>141</v>
      </c>
      <c r="B137" s="53"/>
      <c r="C137" s="49">
        <f>'2025年安徽省区利润表'!C137+'2025年江西省区利润表'!C137</f>
        <v>0</v>
      </c>
      <c r="D137" s="49">
        <f>'2025年安徽省区利润表'!D137+'2025年江西省区利润表'!D137</f>
        <v>0</v>
      </c>
      <c r="E137" s="49">
        <f>'2025年安徽省区利润表'!E137+'2025年江西省区利润表'!E137</f>
        <v>0</v>
      </c>
      <c r="F137" s="49">
        <f>'2025年安徽省区利润表'!F137+'2025年江西省区利润表'!F137</f>
        <v>0</v>
      </c>
      <c r="G137" s="49">
        <f>'2025年安徽省区利润表'!G137+'2025年江西省区利润表'!G137</f>
        <v>0</v>
      </c>
      <c r="H137" s="49">
        <f>'2025年安徽省区利润表'!H137+'2025年江西省区利润表'!H137</f>
        <v>0</v>
      </c>
      <c r="I137" s="49">
        <f>'2025年安徽省区利润表'!I137+'2025年江西省区利润表'!I137</f>
        <v>0</v>
      </c>
      <c r="J137" s="49">
        <f>'2025年安徽省区利润表'!J137+'2025年江西省区利润表'!J137</f>
        <v>0</v>
      </c>
      <c r="K137" s="49">
        <f>'2025年安徽省区利润表'!K137+'2025年江西省区利润表'!K137</f>
        <v>0</v>
      </c>
      <c r="L137" s="49">
        <f>'2025年安徽省区利润表'!L137+'2025年江西省区利润表'!L137</f>
        <v>0</v>
      </c>
      <c r="M137" s="49">
        <f>'2025年安徽省区利润表'!M137+'2025年江西省区利润表'!M137</f>
        <v>0</v>
      </c>
      <c r="N137" s="49">
        <f>'2025年安徽省区利润表'!N137+'2025年江西省区利润表'!N137</f>
        <v>0</v>
      </c>
      <c r="O137" s="49">
        <f>'2025年安徽省区利润表'!O137+'2025年江西省区利润表'!O137</f>
        <v>0</v>
      </c>
      <c r="P137" s="49">
        <f>'2025年安徽省区利润表'!P137+'2025年江西省区利润表'!P137</f>
        <v>0</v>
      </c>
      <c r="Q137" s="49">
        <f>'2025年安徽省区利润表'!Q137+'2025年江西省区利润表'!Q137</f>
        <v>0</v>
      </c>
      <c r="R137" s="49">
        <f>'2025年安徽省区利润表'!R137+'2025年江西省区利润表'!R137</f>
        <v>0</v>
      </c>
      <c r="S137" s="49">
        <f>'2025年安徽省区利润表'!S137+'2025年江西省区利润表'!S137</f>
        <v>0</v>
      </c>
      <c r="T137" s="49">
        <f>'2025年安徽省区利润表'!T137+'2025年江西省区利润表'!T137</f>
        <v>0</v>
      </c>
      <c r="U137" s="49">
        <f>'2025年安徽省区利润表'!U137+'2025年江西省区利润表'!U137</f>
        <v>0</v>
      </c>
      <c r="V137" s="49">
        <f>'2025年安徽省区利润表'!V137+'2025年江西省区利润表'!V137</f>
        <v>0</v>
      </c>
      <c r="W137" s="49">
        <f>'2025年安徽省区利润表'!W137+'2025年江西省区利润表'!W137</f>
        <v>0</v>
      </c>
      <c r="X137" s="49">
        <f>'2025年安徽省区利润表'!X137+'2025年江西省区利润表'!X137</f>
        <v>0</v>
      </c>
      <c r="Y137" s="49">
        <f>'2025年安徽省区利润表'!Y137+'2025年江西省区利润表'!Y137</f>
        <v>0</v>
      </c>
      <c r="Z137" s="49">
        <f>'2025年安徽省区利润表'!Z137+'2025年江西省区利润表'!Z137</f>
        <v>0</v>
      </c>
      <c r="AA137" s="51">
        <f t="shared" si="24"/>
        <v>0</v>
      </c>
      <c r="AB137" s="51">
        <f t="shared" si="30"/>
        <v>0</v>
      </c>
      <c r="AD137" s="31">
        <f t="shared" si="26"/>
        <v>0</v>
      </c>
      <c r="AE137" s="31">
        <f t="shared" si="27"/>
        <v>0</v>
      </c>
      <c r="AF137" s="17">
        <f t="shared" si="28"/>
        <v>0</v>
      </c>
      <c r="AG137" s="17">
        <f t="shared" si="29"/>
        <v>0</v>
      </c>
      <c r="BG137" s="20"/>
    </row>
    <row r="138" spans="1:123" s="17" customFormat="1" ht="18" customHeight="1" outlineLevel="1" x14ac:dyDescent="0.25">
      <c r="A138" s="67" t="s">
        <v>142</v>
      </c>
      <c r="B138" s="45"/>
      <c r="C138" s="69"/>
      <c r="D138" s="65"/>
      <c r="E138" s="65"/>
      <c r="F138" s="65">
        <f>SUM(F139:F142)</f>
        <v>0</v>
      </c>
      <c r="G138" s="65"/>
      <c r="H138" s="65">
        <f>SUM(H139:H142)</f>
        <v>0</v>
      </c>
      <c r="I138" s="65"/>
      <c r="J138" s="65">
        <f>SUM(J139:J142)</f>
        <v>0</v>
      </c>
      <c r="K138" s="65"/>
      <c r="L138" s="65">
        <f>SUM(L139:L142)</f>
        <v>0</v>
      </c>
      <c r="M138" s="65"/>
      <c r="N138" s="65">
        <f>SUM(N139:N142)</f>
        <v>0</v>
      </c>
      <c r="O138" s="65"/>
      <c r="P138" s="65">
        <f>SUM(P139:P142)</f>
        <v>0</v>
      </c>
      <c r="Q138" s="65"/>
      <c r="R138" s="65">
        <f>SUM(R139:R142)</f>
        <v>0</v>
      </c>
      <c r="S138" s="65"/>
      <c r="T138" s="65">
        <f>SUM(T139:T142)</f>
        <v>0</v>
      </c>
      <c r="U138" s="65"/>
      <c r="V138" s="65">
        <f>SUM(V139:V142)</f>
        <v>0</v>
      </c>
      <c r="W138" s="65"/>
      <c r="X138" s="65">
        <f>SUM(X139:X142)</f>
        <v>0</v>
      </c>
      <c r="Y138" s="65"/>
      <c r="Z138" s="65">
        <f>SUM(Z139:Z142)</f>
        <v>0</v>
      </c>
      <c r="AA138" s="51">
        <f t="shared" si="24"/>
        <v>0</v>
      </c>
      <c r="AB138" s="51">
        <f t="shared" si="30"/>
        <v>0</v>
      </c>
      <c r="AC138" s="21"/>
      <c r="AD138" s="31">
        <f t="shared" si="26"/>
        <v>0</v>
      </c>
      <c r="AE138" s="31">
        <f t="shared" si="27"/>
        <v>0</v>
      </c>
      <c r="AF138" s="17">
        <f t="shared" si="28"/>
        <v>0</v>
      </c>
      <c r="AG138" s="17">
        <f t="shared" si="29"/>
        <v>0</v>
      </c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66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</row>
    <row r="139" spans="1:123" s="19" customFormat="1" ht="18" customHeight="1" outlineLevel="2" x14ac:dyDescent="0.25">
      <c r="A139" s="48" t="s">
        <v>143</v>
      </c>
      <c r="B139" s="53"/>
      <c r="C139" s="49">
        <f>'2025年安徽省区利润表'!C139+'2025年江西省区利润表'!C139</f>
        <v>0</v>
      </c>
      <c r="D139" s="49">
        <f>'2025年安徽省区利润表'!D139+'2025年江西省区利润表'!D139</f>
        <v>0</v>
      </c>
      <c r="E139" s="49">
        <f>'2025年安徽省区利润表'!E139+'2025年江西省区利润表'!E139</f>
        <v>0</v>
      </c>
      <c r="F139" s="49">
        <f>'2025年安徽省区利润表'!F139+'2025年江西省区利润表'!F139</f>
        <v>0</v>
      </c>
      <c r="G139" s="49">
        <f>'2025年安徽省区利润表'!G139+'2025年江西省区利润表'!G139</f>
        <v>0</v>
      </c>
      <c r="H139" s="49">
        <f>'2025年安徽省区利润表'!H139+'2025年江西省区利润表'!H139</f>
        <v>0</v>
      </c>
      <c r="I139" s="49">
        <f>'2025年安徽省区利润表'!I139+'2025年江西省区利润表'!I139</f>
        <v>0</v>
      </c>
      <c r="J139" s="49">
        <f>'2025年安徽省区利润表'!J139+'2025年江西省区利润表'!J139</f>
        <v>0</v>
      </c>
      <c r="K139" s="49">
        <f>'2025年安徽省区利润表'!K139+'2025年江西省区利润表'!K139</f>
        <v>0</v>
      </c>
      <c r="L139" s="49">
        <f>'2025年安徽省区利润表'!L139+'2025年江西省区利润表'!L139</f>
        <v>0</v>
      </c>
      <c r="M139" s="49">
        <f>'2025年安徽省区利润表'!M139+'2025年江西省区利润表'!M139</f>
        <v>0</v>
      </c>
      <c r="N139" s="49">
        <f>'2025年安徽省区利润表'!N139+'2025年江西省区利润表'!N139</f>
        <v>0</v>
      </c>
      <c r="O139" s="49">
        <f>'2025年安徽省区利润表'!O139+'2025年江西省区利润表'!O139</f>
        <v>0</v>
      </c>
      <c r="P139" s="49">
        <f>'2025年安徽省区利润表'!P139+'2025年江西省区利润表'!P139</f>
        <v>0</v>
      </c>
      <c r="Q139" s="49">
        <f>'2025年安徽省区利润表'!Q139+'2025年江西省区利润表'!Q139</f>
        <v>0</v>
      </c>
      <c r="R139" s="49">
        <f>'2025年安徽省区利润表'!R139+'2025年江西省区利润表'!R139</f>
        <v>0</v>
      </c>
      <c r="S139" s="49">
        <f>'2025年安徽省区利润表'!S139+'2025年江西省区利润表'!S139</f>
        <v>0</v>
      </c>
      <c r="T139" s="49">
        <f>'2025年安徽省区利润表'!T139+'2025年江西省区利润表'!T139</f>
        <v>0</v>
      </c>
      <c r="U139" s="49">
        <f>'2025年安徽省区利润表'!U139+'2025年江西省区利润表'!U139</f>
        <v>0</v>
      </c>
      <c r="V139" s="49">
        <f>'2025年安徽省区利润表'!V139+'2025年江西省区利润表'!V139</f>
        <v>0</v>
      </c>
      <c r="W139" s="49">
        <f>'2025年安徽省区利润表'!W139+'2025年江西省区利润表'!W139</f>
        <v>0</v>
      </c>
      <c r="X139" s="49">
        <f>'2025年安徽省区利润表'!X139+'2025年江西省区利润表'!X139</f>
        <v>0</v>
      </c>
      <c r="Y139" s="49">
        <f>'2025年安徽省区利润表'!Y139+'2025年江西省区利润表'!Y139</f>
        <v>0</v>
      </c>
      <c r="Z139" s="49">
        <f>'2025年安徽省区利润表'!Z139+'2025年江西省区利润表'!Z139</f>
        <v>0</v>
      </c>
      <c r="AA139" s="51">
        <f t="shared" si="24"/>
        <v>0</v>
      </c>
      <c r="AB139" s="51">
        <f t="shared" si="30"/>
        <v>0</v>
      </c>
      <c r="AD139" s="31">
        <f t="shared" si="26"/>
        <v>0</v>
      </c>
      <c r="AE139" s="31">
        <f t="shared" si="27"/>
        <v>0</v>
      </c>
      <c r="AF139" s="17">
        <f t="shared" si="28"/>
        <v>0</v>
      </c>
      <c r="AG139" s="17">
        <f t="shared" si="29"/>
        <v>0</v>
      </c>
      <c r="BG139" s="20"/>
    </row>
    <row r="140" spans="1:123" s="19" customFormat="1" ht="18" customHeight="1" outlineLevel="2" x14ac:dyDescent="0.25">
      <c r="A140" s="48" t="s">
        <v>144</v>
      </c>
      <c r="B140" s="53"/>
      <c r="C140" s="49">
        <f>'2025年安徽省区利润表'!C140+'2025年江西省区利润表'!C140</f>
        <v>0</v>
      </c>
      <c r="D140" s="49">
        <f>'2025年安徽省区利润表'!D140+'2025年江西省区利润表'!D140</f>
        <v>0</v>
      </c>
      <c r="E140" s="49">
        <f>'2025年安徽省区利润表'!E140+'2025年江西省区利润表'!E140</f>
        <v>0</v>
      </c>
      <c r="F140" s="49">
        <f>'2025年安徽省区利润表'!F140+'2025年江西省区利润表'!F140</f>
        <v>0</v>
      </c>
      <c r="G140" s="49">
        <f>'2025年安徽省区利润表'!G140+'2025年江西省区利润表'!G140</f>
        <v>0</v>
      </c>
      <c r="H140" s="49">
        <f>'2025年安徽省区利润表'!H140+'2025年江西省区利润表'!H140</f>
        <v>0</v>
      </c>
      <c r="I140" s="49">
        <f>'2025年安徽省区利润表'!I140+'2025年江西省区利润表'!I140</f>
        <v>0</v>
      </c>
      <c r="J140" s="49">
        <f>'2025年安徽省区利润表'!J140+'2025年江西省区利润表'!J140</f>
        <v>0</v>
      </c>
      <c r="K140" s="49">
        <f>'2025年安徽省区利润表'!K140+'2025年江西省区利润表'!K140</f>
        <v>0</v>
      </c>
      <c r="L140" s="49">
        <f>'2025年安徽省区利润表'!L140+'2025年江西省区利润表'!L140</f>
        <v>0</v>
      </c>
      <c r="M140" s="49">
        <f>'2025年安徽省区利润表'!M140+'2025年江西省区利润表'!M140</f>
        <v>0</v>
      </c>
      <c r="N140" s="49">
        <f>'2025年安徽省区利润表'!N140+'2025年江西省区利润表'!N140</f>
        <v>0</v>
      </c>
      <c r="O140" s="49">
        <f>'2025年安徽省区利润表'!O140+'2025年江西省区利润表'!O140</f>
        <v>0</v>
      </c>
      <c r="P140" s="49">
        <f>'2025年安徽省区利润表'!P140+'2025年江西省区利润表'!P140</f>
        <v>0</v>
      </c>
      <c r="Q140" s="49">
        <f>'2025年安徽省区利润表'!Q140+'2025年江西省区利润表'!Q140</f>
        <v>0</v>
      </c>
      <c r="R140" s="49">
        <f>'2025年安徽省区利润表'!R140+'2025年江西省区利润表'!R140</f>
        <v>0</v>
      </c>
      <c r="S140" s="49">
        <f>'2025年安徽省区利润表'!S140+'2025年江西省区利润表'!S140</f>
        <v>0</v>
      </c>
      <c r="T140" s="49">
        <f>'2025年安徽省区利润表'!T140+'2025年江西省区利润表'!T140</f>
        <v>0</v>
      </c>
      <c r="U140" s="49">
        <f>'2025年安徽省区利润表'!U140+'2025年江西省区利润表'!U140</f>
        <v>0</v>
      </c>
      <c r="V140" s="49">
        <f>'2025年安徽省区利润表'!V140+'2025年江西省区利润表'!V140</f>
        <v>0</v>
      </c>
      <c r="W140" s="49">
        <f>'2025年安徽省区利润表'!W140+'2025年江西省区利润表'!W140</f>
        <v>0</v>
      </c>
      <c r="X140" s="49">
        <f>'2025年安徽省区利润表'!X140+'2025年江西省区利润表'!X140</f>
        <v>0</v>
      </c>
      <c r="Y140" s="49">
        <f>'2025年安徽省区利润表'!Y140+'2025年江西省区利润表'!Y140</f>
        <v>0</v>
      </c>
      <c r="Z140" s="49">
        <f>'2025年安徽省区利润表'!Z140+'2025年江西省区利润表'!Z140</f>
        <v>0</v>
      </c>
      <c r="AA140" s="51">
        <f t="shared" si="24"/>
        <v>0</v>
      </c>
      <c r="AB140" s="51">
        <f t="shared" si="30"/>
        <v>0</v>
      </c>
      <c r="AD140" s="31">
        <f t="shared" si="26"/>
        <v>0</v>
      </c>
      <c r="AE140" s="31">
        <f t="shared" si="27"/>
        <v>0</v>
      </c>
      <c r="AF140" s="17">
        <f t="shared" si="28"/>
        <v>0</v>
      </c>
      <c r="AG140" s="17">
        <f t="shared" si="29"/>
        <v>0</v>
      </c>
      <c r="BG140" s="20"/>
    </row>
    <row r="141" spans="1:123" s="19" customFormat="1" ht="18" customHeight="1" outlineLevel="2" x14ac:dyDescent="0.25">
      <c r="A141" s="48" t="s">
        <v>145</v>
      </c>
      <c r="B141" s="53"/>
      <c r="C141" s="49">
        <f>'2025年安徽省区利润表'!C141+'2025年江西省区利润表'!C141</f>
        <v>0</v>
      </c>
      <c r="D141" s="49">
        <f>'2025年安徽省区利润表'!D141+'2025年江西省区利润表'!D141</f>
        <v>0</v>
      </c>
      <c r="E141" s="49">
        <f>'2025年安徽省区利润表'!E141+'2025年江西省区利润表'!E141</f>
        <v>0</v>
      </c>
      <c r="F141" s="49">
        <f>'2025年安徽省区利润表'!F141+'2025年江西省区利润表'!F141</f>
        <v>0</v>
      </c>
      <c r="G141" s="49">
        <f>'2025年安徽省区利润表'!G141+'2025年江西省区利润表'!G141</f>
        <v>0</v>
      </c>
      <c r="H141" s="49">
        <f>'2025年安徽省区利润表'!H141+'2025年江西省区利润表'!H141</f>
        <v>0</v>
      </c>
      <c r="I141" s="49">
        <f>'2025年安徽省区利润表'!I141+'2025年江西省区利润表'!I141</f>
        <v>0</v>
      </c>
      <c r="J141" s="49">
        <f>'2025年安徽省区利润表'!J141+'2025年江西省区利润表'!J141</f>
        <v>0</v>
      </c>
      <c r="K141" s="49">
        <f>'2025年安徽省区利润表'!K141+'2025年江西省区利润表'!K141</f>
        <v>0</v>
      </c>
      <c r="L141" s="49">
        <f>'2025年安徽省区利润表'!L141+'2025年江西省区利润表'!L141</f>
        <v>0</v>
      </c>
      <c r="M141" s="49">
        <f>'2025年安徽省区利润表'!M141+'2025年江西省区利润表'!M141</f>
        <v>0</v>
      </c>
      <c r="N141" s="49">
        <f>'2025年安徽省区利润表'!N141+'2025年江西省区利润表'!N141</f>
        <v>0</v>
      </c>
      <c r="O141" s="49">
        <f>'2025年安徽省区利润表'!O141+'2025年江西省区利润表'!O141</f>
        <v>0</v>
      </c>
      <c r="P141" s="49">
        <f>'2025年安徽省区利润表'!P141+'2025年江西省区利润表'!P141</f>
        <v>0</v>
      </c>
      <c r="Q141" s="49">
        <f>'2025年安徽省区利润表'!Q141+'2025年江西省区利润表'!Q141</f>
        <v>0</v>
      </c>
      <c r="R141" s="49">
        <f>'2025年安徽省区利润表'!R141+'2025年江西省区利润表'!R141</f>
        <v>0</v>
      </c>
      <c r="S141" s="49">
        <f>'2025年安徽省区利润表'!S141+'2025年江西省区利润表'!S141</f>
        <v>0</v>
      </c>
      <c r="T141" s="49">
        <f>'2025年安徽省区利润表'!T141+'2025年江西省区利润表'!T141</f>
        <v>0</v>
      </c>
      <c r="U141" s="49">
        <f>'2025年安徽省区利润表'!U141+'2025年江西省区利润表'!U141</f>
        <v>0</v>
      </c>
      <c r="V141" s="49">
        <f>'2025年安徽省区利润表'!V141+'2025年江西省区利润表'!V141</f>
        <v>0</v>
      </c>
      <c r="W141" s="49">
        <f>'2025年安徽省区利润表'!W141+'2025年江西省区利润表'!W141</f>
        <v>0</v>
      </c>
      <c r="X141" s="49">
        <f>'2025年安徽省区利润表'!X141+'2025年江西省区利润表'!X141</f>
        <v>0</v>
      </c>
      <c r="Y141" s="49">
        <f>'2025年安徽省区利润表'!Y141+'2025年江西省区利润表'!Y141</f>
        <v>0</v>
      </c>
      <c r="Z141" s="49">
        <f>'2025年安徽省区利润表'!Z141+'2025年江西省区利润表'!Z141</f>
        <v>0</v>
      </c>
      <c r="AA141" s="51">
        <f t="shared" si="24"/>
        <v>0</v>
      </c>
      <c r="AB141" s="51">
        <f t="shared" si="30"/>
        <v>0</v>
      </c>
      <c r="AD141" s="31">
        <f t="shared" si="26"/>
        <v>0</v>
      </c>
      <c r="AE141" s="31">
        <f t="shared" si="27"/>
        <v>0</v>
      </c>
      <c r="AF141" s="17">
        <f t="shared" si="28"/>
        <v>0</v>
      </c>
      <c r="AG141" s="17">
        <f t="shared" si="29"/>
        <v>0</v>
      </c>
      <c r="BG141" s="20"/>
    </row>
    <row r="142" spans="1:123" s="19" customFormat="1" ht="18" customHeight="1" outlineLevel="2" x14ac:dyDescent="0.25">
      <c r="A142" s="48" t="s">
        <v>146</v>
      </c>
      <c r="B142" s="53"/>
      <c r="C142" s="49">
        <f>'2025年安徽省区利润表'!C142+'2025年江西省区利润表'!C142</f>
        <v>0</v>
      </c>
      <c r="D142" s="49">
        <f>'2025年安徽省区利润表'!D142+'2025年江西省区利润表'!D142</f>
        <v>0</v>
      </c>
      <c r="E142" s="49">
        <f>'2025年安徽省区利润表'!E142+'2025年江西省区利润表'!E142</f>
        <v>0</v>
      </c>
      <c r="F142" s="49">
        <f>'2025年安徽省区利润表'!F142+'2025年江西省区利润表'!F142</f>
        <v>0</v>
      </c>
      <c r="G142" s="49">
        <f>'2025年安徽省区利润表'!G142+'2025年江西省区利润表'!G142</f>
        <v>0</v>
      </c>
      <c r="H142" s="49">
        <f>'2025年安徽省区利润表'!H142+'2025年江西省区利润表'!H142</f>
        <v>0</v>
      </c>
      <c r="I142" s="49">
        <f>'2025年安徽省区利润表'!I142+'2025年江西省区利润表'!I142</f>
        <v>0</v>
      </c>
      <c r="J142" s="49">
        <f>'2025年安徽省区利润表'!J142+'2025年江西省区利润表'!J142</f>
        <v>0</v>
      </c>
      <c r="K142" s="49">
        <f>'2025年安徽省区利润表'!K142+'2025年江西省区利润表'!K142</f>
        <v>0</v>
      </c>
      <c r="L142" s="49">
        <f>'2025年安徽省区利润表'!L142+'2025年江西省区利润表'!L142</f>
        <v>0</v>
      </c>
      <c r="M142" s="49">
        <f>'2025年安徽省区利润表'!M142+'2025年江西省区利润表'!M142</f>
        <v>0</v>
      </c>
      <c r="N142" s="49">
        <f>'2025年安徽省区利润表'!N142+'2025年江西省区利润表'!N142</f>
        <v>0</v>
      </c>
      <c r="O142" s="49">
        <f>'2025年安徽省区利润表'!O142+'2025年江西省区利润表'!O142</f>
        <v>0</v>
      </c>
      <c r="P142" s="49">
        <f>'2025年安徽省区利润表'!P142+'2025年江西省区利润表'!P142</f>
        <v>0</v>
      </c>
      <c r="Q142" s="49">
        <f>'2025年安徽省区利润表'!Q142+'2025年江西省区利润表'!Q142</f>
        <v>0</v>
      </c>
      <c r="R142" s="49">
        <f>'2025年安徽省区利润表'!R142+'2025年江西省区利润表'!R142</f>
        <v>0</v>
      </c>
      <c r="S142" s="49">
        <f>'2025年安徽省区利润表'!S142+'2025年江西省区利润表'!S142</f>
        <v>0</v>
      </c>
      <c r="T142" s="49">
        <f>'2025年安徽省区利润表'!T142+'2025年江西省区利润表'!T142</f>
        <v>0</v>
      </c>
      <c r="U142" s="49">
        <f>'2025年安徽省区利润表'!U142+'2025年江西省区利润表'!U142</f>
        <v>0</v>
      </c>
      <c r="V142" s="49">
        <f>'2025年安徽省区利润表'!V142+'2025年江西省区利润表'!V142</f>
        <v>0</v>
      </c>
      <c r="W142" s="49">
        <f>'2025年安徽省区利润表'!W142+'2025年江西省区利润表'!W142</f>
        <v>0</v>
      </c>
      <c r="X142" s="49">
        <f>'2025年安徽省区利润表'!X142+'2025年江西省区利润表'!X142</f>
        <v>0</v>
      </c>
      <c r="Y142" s="49">
        <f>'2025年安徽省区利润表'!Y142+'2025年江西省区利润表'!Y142</f>
        <v>0</v>
      </c>
      <c r="Z142" s="49">
        <f>'2025年安徽省区利润表'!Z142+'2025年江西省区利润表'!Z142</f>
        <v>0</v>
      </c>
      <c r="AA142" s="51">
        <f t="shared" si="24"/>
        <v>0</v>
      </c>
      <c r="AB142" s="51">
        <f t="shared" si="30"/>
        <v>0</v>
      </c>
      <c r="AD142" s="31">
        <f t="shared" si="26"/>
        <v>0</v>
      </c>
      <c r="AE142" s="31">
        <f t="shared" si="27"/>
        <v>0</v>
      </c>
      <c r="AF142" s="17">
        <f t="shared" si="28"/>
        <v>0</v>
      </c>
      <c r="AG142" s="17">
        <f t="shared" si="29"/>
        <v>0</v>
      </c>
      <c r="BG142" s="20"/>
    </row>
    <row r="143" spans="1:123" s="19" customFormat="1" ht="18" customHeight="1" outlineLevel="1" x14ac:dyDescent="0.25">
      <c r="A143" s="48" t="s">
        <v>147</v>
      </c>
      <c r="B143" s="53"/>
      <c r="C143" s="49">
        <f>'2025年安徽省区利润表'!C143+'2025年江西省区利润表'!C143</f>
        <v>0</v>
      </c>
      <c r="D143" s="49">
        <f>'2025年安徽省区利润表'!D143+'2025年江西省区利润表'!D143</f>
        <v>0</v>
      </c>
      <c r="E143" s="49">
        <f>'2025年安徽省区利润表'!E143+'2025年江西省区利润表'!E143</f>
        <v>0</v>
      </c>
      <c r="F143" s="49">
        <f>'2025年安徽省区利润表'!F143+'2025年江西省区利润表'!F143</f>
        <v>0</v>
      </c>
      <c r="G143" s="49">
        <f>'2025年安徽省区利润表'!G143+'2025年江西省区利润表'!G143</f>
        <v>0</v>
      </c>
      <c r="H143" s="49">
        <f>'2025年安徽省区利润表'!H143+'2025年江西省区利润表'!H143</f>
        <v>0</v>
      </c>
      <c r="I143" s="49">
        <f>'2025年安徽省区利润表'!I143+'2025年江西省区利润表'!I143</f>
        <v>0</v>
      </c>
      <c r="J143" s="49">
        <f>'2025年安徽省区利润表'!J143+'2025年江西省区利润表'!J143</f>
        <v>0</v>
      </c>
      <c r="K143" s="49">
        <f>'2025年安徽省区利润表'!K143+'2025年江西省区利润表'!K143</f>
        <v>0</v>
      </c>
      <c r="L143" s="49">
        <f>'2025年安徽省区利润表'!L143+'2025年江西省区利润表'!L143</f>
        <v>0</v>
      </c>
      <c r="M143" s="49">
        <f>'2025年安徽省区利润表'!M143+'2025年江西省区利润表'!M143</f>
        <v>0</v>
      </c>
      <c r="N143" s="49">
        <f>'2025年安徽省区利润表'!N143+'2025年江西省区利润表'!N143</f>
        <v>0</v>
      </c>
      <c r="O143" s="49">
        <f>'2025年安徽省区利润表'!O143+'2025年江西省区利润表'!O143</f>
        <v>0</v>
      </c>
      <c r="P143" s="49">
        <f>'2025年安徽省区利润表'!P143+'2025年江西省区利润表'!P143</f>
        <v>0</v>
      </c>
      <c r="Q143" s="49">
        <f>'2025年安徽省区利润表'!Q143+'2025年江西省区利润表'!Q143</f>
        <v>0</v>
      </c>
      <c r="R143" s="49">
        <f>'2025年安徽省区利润表'!R143+'2025年江西省区利润表'!R143</f>
        <v>0</v>
      </c>
      <c r="S143" s="49">
        <f>'2025年安徽省区利润表'!S143+'2025年江西省区利润表'!S143</f>
        <v>0</v>
      </c>
      <c r="T143" s="49">
        <f>'2025年安徽省区利润表'!T143+'2025年江西省区利润表'!T143</f>
        <v>0</v>
      </c>
      <c r="U143" s="49">
        <f>'2025年安徽省区利润表'!U143+'2025年江西省区利润表'!U143</f>
        <v>0</v>
      </c>
      <c r="V143" s="49">
        <f>'2025年安徽省区利润表'!V143+'2025年江西省区利润表'!V143</f>
        <v>0</v>
      </c>
      <c r="W143" s="49">
        <f>'2025年安徽省区利润表'!W143+'2025年江西省区利润表'!W143</f>
        <v>0</v>
      </c>
      <c r="X143" s="49">
        <f>'2025年安徽省区利润表'!X143+'2025年江西省区利润表'!X143</f>
        <v>0</v>
      </c>
      <c r="Y143" s="49">
        <f>'2025年安徽省区利润表'!Y143+'2025年江西省区利润表'!Y143</f>
        <v>0</v>
      </c>
      <c r="Z143" s="49">
        <f>'2025年安徽省区利润表'!Z143+'2025年江西省区利润表'!Z143</f>
        <v>0</v>
      </c>
      <c r="AA143" s="51">
        <f t="shared" si="24"/>
        <v>0</v>
      </c>
      <c r="AB143" s="51">
        <f t="shared" si="30"/>
        <v>0</v>
      </c>
      <c r="AD143" s="31">
        <f t="shared" si="26"/>
        <v>0</v>
      </c>
      <c r="AE143" s="31">
        <f t="shared" si="27"/>
        <v>0</v>
      </c>
      <c r="AF143" s="17">
        <f t="shared" si="28"/>
        <v>0</v>
      </c>
      <c r="AG143" s="17">
        <f t="shared" si="29"/>
        <v>0</v>
      </c>
      <c r="BG143" s="20"/>
    </row>
    <row r="144" spans="1:123" s="19" customFormat="1" ht="18" customHeight="1" outlineLevel="1" x14ac:dyDescent="0.25">
      <c r="A144" s="48" t="s">
        <v>148</v>
      </c>
      <c r="B144" s="53"/>
      <c r="C144" s="49">
        <f>'2025年安徽省区利润表'!C144+'2025年江西省区利润表'!C144</f>
        <v>0</v>
      </c>
      <c r="D144" s="49">
        <f>'2025年安徽省区利润表'!D144+'2025年江西省区利润表'!D144</f>
        <v>0</v>
      </c>
      <c r="E144" s="49">
        <f>'2025年安徽省区利润表'!E144+'2025年江西省区利润表'!E144</f>
        <v>0</v>
      </c>
      <c r="F144" s="49">
        <f>'2025年安徽省区利润表'!F144+'2025年江西省区利润表'!F144</f>
        <v>0</v>
      </c>
      <c r="G144" s="49">
        <f>'2025年安徽省区利润表'!G144+'2025年江西省区利润表'!G144</f>
        <v>0</v>
      </c>
      <c r="H144" s="49">
        <f>'2025年安徽省区利润表'!H144+'2025年江西省区利润表'!H144</f>
        <v>0</v>
      </c>
      <c r="I144" s="49">
        <f>'2025年安徽省区利润表'!I144+'2025年江西省区利润表'!I144</f>
        <v>0</v>
      </c>
      <c r="J144" s="49">
        <f>'2025年安徽省区利润表'!J144+'2025年江西省区利润表'!J144</f>
        <v>0</v>
      </c>
      <c r="K144" s="49">
        <f>'2025年安徽省区利润表'!K144+'2025年江西省区利润表'!K144</f>
        <v>0</v>
      </c>
      <c r="L144" s="49">
        <f>'2025年安徽省区利润表'!L144+'2025年江西省区利润表'!L144</f>
        <v>0</v>
      </c>
      <c r="M144" s="49">
        <f>'2025年安徽省区利润表'!M144+'2025年江西省区利润表'!M144</f>
        <v>0</v>
      </c>
      <c r="N144" s="49">
        <f>'2025年安徽省区利润表'!N144+'2025年江西省区利润表'!N144</f>
        <v>0</v>
      </c>
      <c r="O144" s="49">
        <f>'2025年安徽省区利润表'!O144+'2025年江西省区利润表'!O144</f>
        <v>0</v>
      </c>
      <c r="P144" s="49">
        <f>'2025年安徽省区利润表'!P144+'2025年江西省区利润表'!P144</f>
        <v>0</v>
      </c>
      <c r="Q144" s="49">
        <f>'2025年安徽省区利润表'!Q144+'2025年江西省区利润表'!Q144</f>
        <v>0</v>
      </c>
      <c r="R144" s="49">
        <f>'2025年安徽省区利润表'!R144+'2025年江西省区利润表'!R144</f>
        <v>0</v>
      </c>
      <c r="S144" s="49">
        <f>'2025年安徽省区利润表'!S144+'2025年江西省区利润表'!S144</f>
        <v>0</v>
      </c>
      <c r="T144" s="49">
        <f>'2025年安徽省区利润表'!T144+'2025年江西省区利润表'!T144</f>
        <v>0</v>
      </c>
      <c r="U144" s="49">
        <f>'2025年安徽省区利润表'!U144+'2025年江西省区利润表'!U144</f>
        <v>0</v>
      </c>
      <c r="V144" s="49">
        <f>'2025年安徽省区利润表'!V144+'2025年江西省区利润表'!V144</f>
        <v>0</v>
      </c>
      <c r="W144" s="49">
        <f>'2025年安徽省区利润表'!W144+'2025年江西省区利润表'!W144</f>
        <v>0</v>
      </c>
      <c r="X144" s="49">
        <f>'2025年安徽省区利润表'!X144+'2025年江西省区利润表'!X144</f>
        <v>0</v>
      </c>
      <c r="Y144" s="49">
        <f>'2025年安徽省区利润表'!Y144+'2025年江西省区利润表'!Y144</f>
        <v>0</v>
      </c>
      <c r="Z144" s="49">
        <f>'2025年安徽省区利润表'!Z144+'2025年江西省区利润表'!Z144</f>
        <v>0</v>
      </c>
      <c r="AA144" s="51">
        <f t="shared" si="24"/>
        <v>0</v>
      </c>
      <c r="AB144" s="51">
        <f t="shared" si="30"/>
        <v>0</v>
      </c>
      <c r="AD144" s="31">
        <f t="shared" si="26"/>
        <v>0</v>
      </c>
      <c r="AE144" s="31">
        <f t="shared" si="27"/>
        <v>0</v>
      </c>
      <c r="AF144" s="17">
        <f t="shared" si="28"/>
        <v>0</v>
      </c>
      <c r="AG144" s="17">
        <f t="shared" si="29"/>
        <v>0</v>
      </c>
      <c r="BG144" s="20"/>
    </row>
    <row r="145" spans="1:59" s="19" customFormat="1" ht="18" customHeight="1" outlineLevel="1" x14ac:dyDescent="0.25">
      <c r="A145" s="48" t="s">
        <v>149</v>
      </c>
      <c r="B145" s="53"/>
      <c r="C145" s="49">
        <f>'2025年安徽省区利润表'!C145+'2025年江西省区利润表'!C145</f>
        <v>0</v>
      </c>
      <c r="D145" s="49">
        <f>'2025年安徽省区利润表'!D145+'2025年江西省区利润表'!D145</f>
        <v>0</v>
      </c>
      <c r="E145" s="49">
        <f>'2025年安徽省区利润表'!E145+'2025年江西省区利润表'!E145</f>
        <v>0</v>
      </c>
      <c r="F145" s="49">
        <f>'2025年安徽省区利润表'!F145+'2025年江西省区利润表'!F145</f>
        <v>0</v>
      </c>
      <c r="G145" s="49">
        <f>'2025年安徽省区利润表'!G145+'2025年江西省区利润表'!G145</f>
        <v>0</v>
      </c>
      <c r="H145" s="49">
        <f>'2025年安徽省区利润表'!H145+'2025年江西省区利润表'!H145</f>
        <v>0</v>
      </c>
      <c r="I145" s="49">
        <f>'2025年安徽省区利润表'!I145+'2025年江西省区利润表'!I145</f>
        <v>0</v>
      </c>
      <c r="J145" s="49">
        <f>'2025年安徽省区利润表'!J145+'2025年江西省区利润表'!J145</f>
        <v>0</v>
      </c>
      <c r="K145" s="49">
        <f>'2025年安徽省区利润表'!K145+'2025年江西省区利润表'!K145</f>
        <v>0</v>
      </c>
      <c r="L145" s="49">
        <f>'2025年安徽省区利润表'!L145+'2025年江西省区利润表'!L145</f>
        <v>0</v>
      </c>
      <c r="M145" s="49">
        <f>'2025年安徽省区利润表'!M145+'2025年江西省区利润表'!M145</f>
        <v>0</v>
      </c>
      <c r="N145" s="49">
        <f>'2025年安徽省区利润表'!N145+'2025年江西省区利润表'!N145</f>
        <v>0</v>
      </c>
      <c r="O145" s="49">
        <f>'2025年安徽省区利润表'!O145+'2025年江西省区利润表'!O145</f>
        <v>0</v>
      </c>
      <c r="P145" s="49">
        <f>'2025年安徽省区利润表'!P145+'2025年江西省区利润表'!P145</f>
        <v>0</v>
      </c>
      <c r="Q145" s="49">
        <f>'2025年安徽省区利润表'!Q145+'2025年江西省区利润表'!Q145</f>
        <v>0</v>
      </c>
      <c r="R145" s="49">
        <f>'2025年安徽省区利润表'!R145+'2025年江西省区利润表'!R145</f>
        <v>0</v>
      </c>
      <c r="S145" s="49">
        <f>'2025年安徽省区利润表'!S145+'2025年江西省区利润表'!S145</f>
        <v>0</v>
      </c>
      <c r="T145" s="49">
        <f>'2025年安徽省区利润表'!T145+'2025年江西省区利润表'!T145</f>
        <v>0</v>
      </c>
      <c r="U145" s="49">
        <f>'2025年安徽省区利润表'!U145+'2025年江西省区利润表'!U145</f>
        <v>0</v>
      </c>
      <c r="V145" s="49">
        <f>'2025年安徽省区利润表'!V145+'2025年江西省区利润表'!V145</f>
        <v>0</v>
      </c>
      <c r="W145" s="49">
        <f>'2025年安徽省区利润表'!W145+'2025年江西省区利润表'!W145</f>
        <v>0</v>
      </c>
      <c r="X145" s="49">
        <f>'2025年安徽省区利润表'!X145+'2025年江西省区利润表'!X145</f>
        <v>0</v>
      </c>
      <c r="Y145" s="49">
        <f>'2025年安徽省区利润表'!Y145+'2025年江西省区利润表'!Y145</f>
        <v>0</v>
      </c>
      <c r="Z145" s="49">
        <f>'2025年安徽省区利润表'!Z145+'2025年江西省区利润表'!Z145</f>
        <v>0</v>
      </c>
      <c r="AA145" s="51">
        <f t="shared" si="24"/>
        <v>0</v>
      </c>
      <c r="AB145" s="51">
        <f t="shared" si="30"/>
        <v>0</v>
      </c>
      <c r="AD145" s="31">
        <f t="shared" si="26"/>
        <v>0</v>
      </c>
      <c r="AE145" s="31">
        <f t="shared" si="27"/>
        <v>0</v>
      </c>
      <c r="AF145" s="17">
        <f t="shared" si="28"/>
        <v>0</v>
      </c>
      <c r="AG145" s="17">
        <f t="shared" si="29"/>
        <v>0</v>
      </c>
      <c r="BG145" s="20"/>
    </row>
    <row r="146" spans="1:59" s="19" customFormat="1" ht="18" customHeight="1" outlineLevel="1" x14ac:dyDescent="0.25">
      <c r="A146" s="48" t="s">
        <v>150</v>
      </c>
      <c r="B146" s="53"/>
      <c r="C146" s="49">
        <f>'2025年安徽省区利润表'!C146+'2025年江西省区利润表'!C146</f>
        <v>0</v>
      </c>
      <c r="D146" s="49">
        <f>'2025年安徽省区利润表'!D146+'2025年江西省区利润表'!D146</f>
        <v>0</v>
      </c>
      <c r="E146" s="49">
        <f>'2025年安徽省区利润表'!E146+'2025年江西省区利润表'!E146</f>
        <v>0</v>
      </c>
      <c r="F146" s="49">
        <f>'2025年安徽省区利润表'!F146+'2025年江西省区利润表'!F146</f>
        <v>0</v>
      </c>
      <c r="G146" s="49">
        <f>'2025年安徽省区利润表'!G146+'2025年江西省区利润表'!G146</f>
        <v>0</v>
      </c>
      <c r="H146" s="49">
        <f>'2025年安徽省区利润表'!H146+'2025年江西省区利润表'!H146</f>
        <v>0</v>
      </c>
      <c r="I146" s="49">
        <f>'2025年安徽省区利润表'!I146+'2025年江西省区利润表'!I146</f>
        <v>0</v>
      </c>
      <c r="J146" s="49">
        <f>'2025年安徽省区利润表'!J146+'2025年江西省区利润表'!J146</f>
        <v>0</v>
      </c>
      <c r="K146" s="49">
        <f>'2025年安徽省区利润表'!K146+'2025年江西省区利润表'!K146</f>
        <v>0</v>
      </c>
      <c r="L146" s="49">
        <f>'2025年安徽省区利润表'!L146+'2025年江西省区利润表'!L146</f>
        <v>0</v>
      </c>
      <c r="M146" s="49">
        <f>'2025年安徽省区利润表'!M146+'2025年江西省区利润表'!M146</f>
        <v>0</v>
      </c>
      <c r="N146" s="49">
        <f>'2025年安徽省区利润表'!N146+'2025年江西省区利润表'!N146</f>
        <v>0</v>
      </c>
      <c r="O146" s="49">
        <f>'2025年安徽省区利润表'!O146+'2025年江西省区利润表'!O146</f>
        <v>0</v>
      </c>
      <c r="P146" s="49">
        <f>'2025年安徽省区利润表'!P146+'2025年江西省区利润表'!P146</f>
        <v>0</v>
      </c>
      <c r="Q146" s="49">
        <f>'2025年安徽省区利润表'!Q146+'2025年江西省区利润表'!Q146</f>
        <v>0</v>
      </c>
      <c r="R146" s="49">
        <f>'2025年安徽省区利润表'!R146+'2025年江西省区利润表'!R146</f>
        <v>0</v>
      </c>
      <c r="S146" s="49">
        <f>'2025年安徽省区利润表'!S146+'2025年江西省区利润表'!S146</f>
        <v>0</v>
      </c>
      <c r="T146" s="49">
        <f>'2025年安徽省区利润表'!T146+'2025年江西省区利润表'!T146</f>
        <v>0</v>
      </c>
      <c r="U146" s="49">
        <f>'2025年安徽省区利润表'!U146+'2025年江西省区利润表'!U146</f>
        <v>0</v>
      </c>
      <c r="V146" s="49">
        <f>'2025年安徽省区利润表'!V146+'2025年江西省区利润表'!V146</f>
        <v>0</v>
      </c>
      <c r="W146" s="49">
        <f>'2025年安徽省区利润表'!W146+'2025年江西省区利润表'!W146</f>
        <v>0</v>
      </c>
      <c r="X146" s="49">
        <f>'2025年安徽省区利润表'!X146+'2025年江西省区利润表'!X146</f>
        <v>0</v>
      </c>
      <c r="Y146" s="49">
        <f>'2025年安徽省区利润表'!Y146+'2025年江西省区利润表'!Y146</f>
        <v>0</v>
      </c>
      <c r="Z146" s="49">
        <f>'2025年安徽省区利润表'!Z146+'2025年江西省区利润表'!Z146</f>
        <v>0</v>
      </c>
      <c r="AA146" s="51">
        <f t="shared" si="24"/>
        <v>0</v>
      </c>
      <c r="AB146" s="51">
        <f t="shared" si="30"/>
        <v>0</v>
      </c>
      <c r="AD146" s="31">
        <f t="shared" si="26"/>
        <v>0</v>
      </c>
      <c r="AE146" s="31">
        <f t="shared" si="27"/>
        <v>0</v>
      </c>
      <c r="AF146" s="17">
        <f t="shared" si="28"/>
        <v>0</v>
      </c>
      <c r="AG146" s="17">
        <f t="shared" si="29"/>
        <v>0</v>
      </c>
      <c r="BG146" s="20"/>
    </row>
    <row r="147" spans="1:59" s="19" customFormat="1" ht="18" customHeight="1" outlineLevel="1" x14ac:dyDescent="0.25">
      <c r="A147" s="48" t="s">
        <v>151</v>
      </c>
      <c r="B147" s="53"/>
      <c r="C147" s="49">
        <f>'2025年安徽省区利润表'!C147+'2025年江西省区利润表'!C147</f>
        <v>0</v>
      </c>
      <c r="D147" s="49">
        <f>'2025年安徽省区利润表'!D147+'2025年江西省区利润表'!D147</f>
        <v>0</v>
      </c>
      <c r="E147" s="49">
        <f>'2025年安徽省区利润表'!E147+'2025年江西省区利润表'!E147</f>
        <v>0</v>
      </c>
      <c r="F147" s="49">
        <f>'2025年安徽省区利润表'!F147+'2025年江西省区利润表'!F147</f>
        <v>0</v>
      </c>
      <c r="G147" s="49">
        <f>'2025年安徽省区利润表'!G147+'2025年江西省区利润表'!G147</f>
        <v>0</v>
      </c>
      <c r="H147" s="49">
        <f>'2025年安徽省区利润表'!H147+'2025年江西省区利润表'!H147</f>
        <v>0</v>
      </c>
      <c r="I147" s="49">
        <f>'2025年安徽省区利润表'!I147+'2025年江西省区利润表'!I147</f>
        <v>0</v>
      </c>
      <c r="J147" s="49">
        <f>'2025年安徽省区利润表'!J147+'2025年江西省区利润表'!J147</f>
        <v>0</v>
      </c>
      <c r="K147" s="49">
        <f>'2025年安徽省区利润表'!K147+'2025年江西省区利润表'!K147</f>
        <v>0</v>
      </c>
      <c r="L147" s="49">
        <f>'2025年安徽省区利润表'!L147+'2025年江西省区利润表'!L147</f>
        <v>0</v>
      </c>
      <c r="M147" s="49">
        <f>'2025年安徽省区利润表'!M147+'2025年江西省区利润表'!M147</f>
        <v>0</v>
      </c>
      <c r="N147" s="49">
        <f>'2025年安徽省区利润表'!N147+'2025年江西省区利润表'!N147</f>
        <v>0</v>
      </c>
      <c r="O147" s="49">
        <f>'2025年安徽省区利润表'!O147+'2025年江西省区利润表'!O147</f>
        <v>0</v>
      </c>
      <c r="P147" s="49">
        <f>'2025年安徽省区利润表'!P147+'2025年江西省区利润表'!P147</f>
        <v>0</v>
      </c>
      <c r="Q147" s="49">
        <f>'2025年安徽省区利润表'!Q147+'2025年江西省区利润表'!Q147</f>
        <v>0</v>
      </c>
      <c r="R147" s="49">
        <f>'2025年安徽省区利润表'!R147+'2025年江西省区利润表'!R147</f>
        <v>0</v>
      </c>
      <c r="S147" s="49">
        <f>'2025年安徽省区利润表'!S147+'2025年江西省区利润表'!S147</f>
        <v>0</v>
      </c>
      <c r="T147" s="49">
        <f>'2025年安徽省区利润表'!T147+'2025年江西省区利润表'!T147</f>
        <v>0</v>
      </c>
      <c r="U147" s="49">
        <f>'2025年安徽省区利润表'!U147+'2025年江西省区利润表'!U147</f>
        <v>0</v>
      </c>
      <c r="V147" s="49">
        <f>'2025年安徽省区利润表'!V147+'2025年江西省区利润表'!V147</f>
        <v>0</v>
      </c>
      <c r="W147" s="49">
        <f>'2025年安徽省区利润表'!W147+'2025年江西省区利润表'!W147</f>
        <v>0</v>
      </c>
      <c r="X147" s="49">
        <f>'2025年安徽省区利润表'!X147+'2025年江西省区利润表'!X147</f>
        <v>0</v>
      </c>
      <c r="Y147" s="49">
        <f>'2025年安徽省区利润表'!Y147+'2025年江西省区利润表'!Y147</f>
        <v>0</v>
      </c>
      <c r="Z147" s="49">
        <f>'2025年安徽省区利润表'!Z147+'2025年江西省区利润表'!Z147</f>
        <v>0</v>
      </c>
      <c r="AA147" s="51">
        <f t="shared" si="24"/>
        <v>0</v>
      </c>
      <c r="AB147" s="51">
        <f t="shared" si="30"/>
        <v>0</v>
      </c>
      <c r="AD147" s="31">
        <f t="shared" si="26"/>
        <v>0</v>
      </c>
      <c r="AE147" s="31">
        <f t="shared" si="27"/>
        <v>0</v>
      </c>
      <c r="AF147" s="17">
        <f t="shared" si="28"/>
        <v>0</v>
      </c>
      <c r="AG147" s="17">
        <f t="shared" si="29"/>
        <v>0</v>
      </c>
      <c r="BG147" s="20"/>
    </row>
    <row r="148" spans="1:59" s="19" customFormat="1" ht="18" customHeight="1" outlineLevel="1" x14ac:dyDescent="0.25">
      <c r="A148" s="48" t="s">
        <v>152</v>
      </c>
      <c r="B148" s="53"/>
      <c r="C148" s="49">
        <f>'2025年安徽省区利润表'!C148+'2025年江西省区利润表'!C148</f>
        <v>0</v>
      </c>
      <c r="D148" s="49">
        <f>'2025年安徽省区利润表'!D148+'2025年江西省区利润表'!D148</f>
        <v>0</v>
      </c>
      <c r="E148" s="49">
        <f>'2025年安徽省区利润表'!E148+'2025年江西省区利润表'!E148</f>
        <v>0</v>
      </c>
      <c r="F148" s="49">
        <f>'2025年安徽省区利润表'!F148+'2025年江西省区利润表'!F148</f>
        <v>0</v>
      </c>
      <c r="G148" s="49">
        <f>'2025年安徽省区利润表'!G148+'2025年江西省区利润表'!G148</f>
        <v>0</v>
      </c>
      <c r="H148" s="49">
        <f>'2025年安徽省区利润表'!H148+'2025年江西省区利润表'!H148</f>
        <v>0</v>
      </c>
      <c r="I148" s="49">
        <f>'2025年安徽省区利润表'!I148+'2025年江西省区利润表'!I148</f>
        <v>0</v>
      </c>
      <c r="J148" s="49">
        <f>'2025年安徽省区利润表'!J148+'2025年江西省区利润表'!J148</f>
        <v>0</v>
      </c>
      <c r="K148" s="49">
        <f>'2025年安徽省区利润表'!K148+'2025年江西省区利润表'!K148</f>
        <v>0</v>
      </c>
      <c r="L148" s="49">
        <f>'2025年安徽省区利润表'!L148+'2025年江西省区利润表'!L148</f>
        <v>0</v>
      </c>
      <c r="M148" s="49">
        <f>'2025年安徽省区利润表'!M148+'2025年江西省区利润表'!M148</f>
        <v>0</v>
      </c>
      <c r="N148" s="49">
        <f>'2025年安徽省区利润表'!N148+'2025年江西省区利润表'!N148</f>
        <v>0</v>
      </c>
      <c r="O148" s="49">
        <f>'2025年安徽省区利润表'!O148+'2025年江西省区利润表'!O148</f>
        <v>0</v>
      </c>
      <c r="P148" s="49">
        <f>'2025年安徽省区利润表'!P148+'2025年江西省区利润表'!P148</f>
        <v>0</v>
      </c>
      <c r="Q148" s="49">
        <f>'2025年安徽省区利润表'!Q148+'2025年江西省区利润表'!Q148</f>
        <v>0</v>
      </c>
      <c r="R148" s="49">
        <f>'2025年安徽省区利润表'!R148+'2025年江西省区利润表'!R148</f>
        <v>0</v>
      </c>
      <c r="S148" s="49">
        <f>'2025年安徽省区利润表'!S148+'2025年江西省区利润表'!S148</f>
        <v>0</v>
      </c>
      <c r="T148" s="49">
        <f>'2025年安徽省区利润表'!T148+'2025年江西省区利润表'!T148</f>
        <v>0</v>
      </c>
      <c r="U148" s="49">
        <f>'2025年安徽省区利润表'!U148+'2025年江西省区利润表'!U148</f>
        <v>0</v>
      </c>
      <c r="V148" s="49">
        <f>'2025年安徽省区利润表'!V148+'2025年江西省区利润表'!V148</f>
        <v>0</v>
      </c>
      <c r="W148" s="49">
        <f>'2025年安徽省区利润表'!W148+'2025年江西省区利润表'!W148</f>
        <v>0</v>
      </c>
      <c r="X148" s="49">
        <f>'2025年安徽省区利润表'!X148+'2025年江西省区利润表'!X148</f>
        <v>0</v>
      </c>
      <c r="Y148" s="49">
        <f>'2025年安徽省区利润表'!Y148+'2025年江西省区利润表'!Y148</f>
        <v>0</v>
      </c>
      <c r="Z148" s="49">
        <f>'2025年安徽省区利润表'!Z148+'2025年江西省区利润表'!Z148</f>
        <v>0</v>
      </c>
      <c r="AA148" s="51">
        <f t="shared" si="24"/>
        <v>0</v>
      </c>
      <c r="AB148" s="51">
        <f t="shared" si="30"/>
        <v>0</v>
      </c>
      <c r="AD148" s="31">
        <f t="shared" si="26"/>
        <v>0</v>
      </c>
      <c r="AE148" s="31">
        <f t="shared" si="27"/>
        <v>0</v>
      </c>
      <c r="AF148" s="17">
        <f t="shared" si="28"/>
        <v>0</v>
      </c>
      <c r="AG148" s="17">
        <f t="shared" si="29"/>
        <v>0</v>
      </c>
      <c r="BG148" s="20"/>
    </row>
    <row r="149" spans="1:59" s="19" customFormat="1" ht="18" customHeight="1" outlineLevel="1" x14ac:dyDescent="0.25">
      <c r="A149" s="48" t="s">
        <v>153</v>
      </c>
      <c r="B149" s="53"/>
      <c r="C149" s="49">
        <f>'2025年安徽省区利润表'!C149+'2025年江西省区利润表'!C149</f>
        <v>0</v>
      </c>
      <c r="D149" s="49">
        <f>'2025年安徽省区利润表'!D149+'2025年江西省区利润表'!D149</f>
        <v>0</v>
      </c>
      <c r="E149" s="49">
        <f>'2025年安徽省区利润表'!E149+'2025年江西省区利润表'!E149</f>
        <v>0</v>
      </c>
      <c r="F149" s="49">
        <f>'2025年安徽省区利润表'!F149+'2025年江西省区利润表'!F149</f>
        <v>0</v>
      </c>
      <c r="G149" s="49">
        <f>'2025年安徽省区利润表'!G149+'2025年江西省区利润表'!G149</f>
        <v>0</v>
      </c>
      <c r="H149" s="49">
        <f>'2025年安徽省区利润表'!H149+'2025年江西省区利润表'!H149</f>
        <v>0</v>
      </c>
      <c r="I149" s="49">
        <f>'2025年安徽省区利润表'!I149+'2025年江西省区利润表'!I149</f>
        <v>0</v>
      </c>
      <c r="J149" s="49">
        <f>'2025年安徽省区利润表'!J149+'2025年江西省区利润表'!J149</f>
        <v>0</v>
      </c>
      <c r="K149" s="49">
        <f>'2025年安徽省区利润表'!K149+'2025年江西省区利润表'!K149</f>
        <v>0</v>
      </c>
      <c r="L149" s="49">
        <f>'2025年安徽省区利润表'!L149+'2025年江西省区利润表'!L149</f>
        <v>0</v>
      </c>
      <c r="M149" s="49">
        <f>'2025年安徽省区利润表'!M149+'2025年江西省区利润表'!M149</f>
        <v>0</v>
      </c>
      <c r="N149" s="49">
        <f>'2025年安徽省区利润表'!N149+'2025年江西省区利润表'!N149</f>
        <v>0</v>
      </c>
      <c r="O149" s="49">
        <f>'2025年安徽省区利润表'!O149+'2025年江西省区利润表'!O149</f>
        <v>0</v>
      </c>
      <c r="P149" s="49">
        <f>'2025年安徽省区利润表'!P149+'2025年江西省区利润表'!P149</f>
        <v>0</v>
      </c>
      <c r="Q149" s="49">
        <f>'2025年安徽省区利润表'!Q149+'2025年江西省区利润表'!Q149</f>
        <v>0</v>
      </c>
      <c r="R149" s="49">
        <f>'2025年安徽省区利润表'!R149+'2025年江西省区利润表'!R149</f>
        <v>0</v>
      </c>
      <c r="S149" s="49">
        <f>'2025年安徽省区利润表'!S149+'2025年江西省区利润表'!S149</f>
        <v>0</v>
      </c>
      <c r="T149" s="49">
        <f>'2025年安徽省区利润表'!T149+'2025年江西省区利润表'!T149</f>
        <v>0</v>
      </c>
      <c r="U149" s="49">
        <f>'2025年安徽省区利润表'!U149+'2025年江西省区利润表'!U149</f>
        <v>0</v>
      </c>
      <c r="V149" s="49">
        <f>'2025年安徽省区利润表'!V149+'2025年江西省区利润表'!V149</f>
        <v>0</v>
      </c>
      <c r="W149" s="49">
        <f>'2025年安徽省区利润表'!W149+'2025年江西省区利润表'!W149</f>
        <v>0</v>
      </c>
      <c r="X149" s="49">
        <f>'2025年安徽省区利润表'!X149+'2025年江西省区利润表'!X149</f>
        <v>0</v>
      </c>
      <c r="Y149" s="49">
        <f>'2025年安徽省区利润表'!Y149+'2025年江西省区利润表'!Y149</f>
        <v>0</v>
      </c>
      <c r="Z149" s="49">
        <f>'2025年安徽省区利润表'!Z149+'2025年江西省区利润表'!Z149</f>
        <v>0</v>
      </c>
      <c r="AA149" s="51">
        <f t="shared" si="24"/>
        <v>0</v>
      </c>
      <c r="AB149" s="51">
        <f t="shared" si="30"/>
        <v>0</v>
      </c>
      <c r="AD149" s="31">
        <f t="shared" si="26"/>
        <v>0</v>
      </c>
      <c r="AE149" s="31">
        <f t="shared" si="27"/>
        <v>0</v>
      </c>
      <c r="AF149" s="17">
        <f t="shared" si="28"/>
        <v>0</v>
      </c>
      <c r="AG149" s="17">
        <f t="shared" si="29"/>
        <v>0</v>
      </c>
      <c r="BG149" s="20"/>
    </row>
    <row r="150" spans="1:59" s="19" customFormat="1" ht="18" customHeight="1" outlineLevel="1" x14ac:dyDescent="0.25">
      <c r="A150" s="48" t="s">
        <v>154</v>
      </c>
      <c r="B150" s="53"/>
      <c r="C150" s="49">
        <f>'2025年安徽省区利润表'!C150+'2025年江西省区利润表'!C150</f>
        <v>0</v>
      </c>
      <c r="D150" s="49">
        <f>'2025年安徽省区利润表'!D150+'2025年江西省区利润表'!D150</f>
        <v>0</v>
      </c>
      <c r="E150" s="49">
        <f>'2025年安徽省区利润表'!E150+'2025年江西省区利润表'!E150</f>
        <v>0</v>
      </c>
      <c r="F150" s="49">
        <f>'2025年安徽省区利润表'!F150+'2025年江西省区利润表'!F150</f>
        <v>0</v>
      </c>
      <c r="G150" s="49">
        <f>'2025年安徽省区利润表'!G150+'2025年江西省区利润表'!G150</f>
        <v>0</v>
      </c>
      <c r="H150" s="49">
        <f>'2025年安徽省区利润表'!H150+'2025年江西省区利润表'!H150</f>
        <v>0</v>
      </c>
      <c r="I150" s="49">
        <f>'2025年安徽省区利润表'!I150+'2025年江西省区利润表'!I150</f>
        <v>0</v>
      </c>
      <c r="J150" s="49">
        <f>'2025年安徽省区利润表'!J150+'2025年江西省区利润表'!J150</f>
        <v>0</v>
      </c>
      <c r="K150" s="49">
        <f>'2025年安徽省区利润表'!K150+'2025年江西省区利润表'!K150</f>
        <v>0</v>
      </c>
      <c r="L150" s="49">
        <f>'2025年安徽省区利润表'!L150+'2025年江西省区利润表'!L150</f>
        <v>0</v>
      </c>
      <c r="M150" s="49">
        <f>'2025年安徽省区利润表'!M150+'2025年江西省区利润表'!M150</f>
        <v>0</v>
      </c>
      <c r="N150" s="49">
        <f>'2025年安徽省区利润表'!N150+'2025年江西省区利润表'!N150</f>
        <v>0</v>
      </c>
      <c r="O150" s="49">
        <f>'2025年安徽省区利润表'!O150+'2025年江西省区利润表'!O150</f>
        <v>0</v>
      </c>
      <c r="P150" s="49">
        <f>'2025年安徽省区利润表'!P150+'2025年江西省区利润表'!P150</f>
        <v>0</v>
      </c>
      <c r="Q150" s="49">
        <f>'2025年安徽省区利润表'!Q150+'2025年江西省区利润表'!Q150</f>
        <v>0</v>
      </c>
      <c r="R150" s="49">
        <f>'2025年安徽省区利润表'!R150+'2025年江西省区利润表'!R150</f>
        <v>0</v>
      </c>
      <c r="S150" s="49">
        <f>'2025年安徽省区利润表'!S150+'2025年江西省区利润表'!S150</f>
        <v>0</v>
      </c>
      <c r="T150" s="49">
        <f>'2025年安徽省区利润表'!T150+'2025年江西省区利润表'!T150</f>
        <v>0</v>
      </c>
      <c r="U150" s="49">
        <f>'2025年安徽省区利润表'!U150+'2025年江西省区利润表'!U150</f>
        <v>0</v>
      </c>
      <c r="V150" s="49">
        <f>'2025年安徽省区利润表'!V150+'2025年江西省区利润表'!V150</f>
        <v>0</v>
      </c>
      <c r="W150" s="49">
        <f>'2025年安徽省区利润表'!W150+'2025年江西省区利润表'!W150</f>
        <v>0</v>
      </c>
      <c r="X150" s="49">
        <f>'2025年安徽省区利润表'!X150+'2025年江西省区利润表'!X150</f>
        <v>0</v>
      </c>
      <c r="Y150" s="49">
        <f>'2025年安徽省区利润表'!Y150+'2025年江西省区利润表'!Y150</f>
        <v>0</v>
      </c>
      <c r="Z150" s="49">
        <f>'2025年安徽省区利润表'!Z150+'2025年江西省区利润表'!Z150</f>
        <v>0</v>
      </c>
      <c r="AA150" s="51">
        <f t="shared" si="24"/>
        <v>0</v>
      </c>
      <c r="AB150" s="51">
        <f t="shared" si="30"/>
        <v>0</v>
      </c>
      <c r="AD150" s="31">
        <f t="shared" si="26"/>
        <v>0</v>
      </c>
      <c r="AE150" s="31">
        <f t="shared" si="27"/>
        <v>0</v>
      </c>
      <c r="AF150" s="17">
        <f t="shared" si="28"/>
        <v>0</v>
      </c>
      <c r="AG150" s="17">
        <f t="shared" si="29"/>
        <v>0</v>
      </c>
      <c r="BG150" s="20"/>
    </row>
    <row r="151" spans="1:59" s="19" customFormat="1" ht="18" customHeight="1" outlineLevel="1" x14ac:dyDescent="0.25">
      <c r="A151" s="48" t="s">
        <v>155</v>
      </c>
      <c r="B151" s="53"/>
      <c r="C151" s="49">
        <f>'2025年安徽省区利润表'!C151+'2025年江西省区利润表'!C151</f>
        <v>0</v>
      </c>
      <c r="D151" s="49">
        <f>'2025年安徽省区利润表'!D151+'2025年江西省区利润表'!D151</f>
        <v>0</v>
      </c>
      <c r="E151" s="49">
        <f>'2025年安徽省区利润表'!E151+'2025年江西省区利润表'!E151</f>
        <v>0</v>
      </c>
      <c r="F151" s="49">
        <f>'2025年安徽省区利润表'!F151+'2025年江西省区利润表'!F151</f>
        <v>0</v>
      </c>
      <c r="G151" s="49">
        <f>'2025年安徽省区利润表'!G151+'2025年江西省区利润表'!G151</f>
        <v>0</v>
      </c>
      <c r="H151" s="49">
        <f>'2025年安徽省区利润表'!H151+'2025年江西省区利润表'!H151</f>
        <v>0</v>
      </c>
      <c r="I151" s="49">
        <f>'2025年安徽省区利润表'!I151+'2025年江西省区利润表'!I151</f>
        <v>0</v>
      </c>
      <c r="J151" s="49">
        <f>'2025年安徽省区利润表'!J151+'2025年江西省区利润表'!J151</f>
        <v>0</v>
      </c>
      <c r="K151" s="49">
        <f>'2025年安徽省区利润表'!K151+'2025年江西省区利润表'!K151</f>
        <v>0</v>
      </c>
      <c r="L151" s="49">
        <f>'2025年安徽省区利润表'!L151+'2025年江西省区利润表'!L151</f>
        <v>0</v>
      </c>
      <c r="M151" s="49">
        <f>'2025年安徽省区利润表'!M151+'2025年江西省区利润表'!M151</f>
        <v>0</v>
      </c>
      <c r="N151" s="49">
        <f>'2025年安徽省区利润表'!N151+'2025年江西省区利润表'!N151</f>
        <v>0</v>
      </c>
      <c r="O151" s="49">
        <f>'2025年安徽省区利润表'!O151+'2025年江西省区利润表'!O151</f>
        <v>0</v>
      </c>
      <c r="P151" s="49">
        <f>'2025年安徽省区利润表'!P151+'2025年江西省区利润表'!P151</f>
        <v>0</v>
      </c>
      <c r="Q151" s="49">
        <f>'2025年安徽省区利润表'!Q151+'2025年江西省区利润表'!Q151</f>
        <v>0</v>
      </c>
      <c r="R151" s="49">
        <f>'2025年安徽省区利润表'!R151+'2025年江西省区利润表'!R151</f>
        <v>0</v>
      </c>
      <c r="S151" s="49">
        <f>'2025年安徽省区利润表'!S151+'2025年江西省区利润表'!S151</f>
        <v>0</v>
      </c>
      <c r="T151" s="49">
        <f>'2025年安徽省区利润表'!T151+'2025年江西省区利润表'!T151</f>
        <v>0</v>
      </c>
      <c r="U151" s="49">
        <f>'2025年安徽省区利润表'!U151+'2025年江西省区利润表'!U151</f>
        <v>0</v>
      </c>
      <c r="V151" s="49">
        <f>'2025年安徽省区利润表'!V151+'2025年江西省区利润表'!V151</f>
        <v>0</v>
      </c>
      <c r="W151" s="49">
        <f>'2025年安徽省区利润表'!W151+'2025年江西省区利润表'!W151</f>
        <v>0</v>
      </c>
      <c r="X151" s="49">
        <f>'2025年安徽省区利润表'!X151+'2025年江西省区利润表'!X151</f>
        <v>0</v>
      </c>
      <c r="Y151" s="49">
        <f>'2025年安徽省区利润表'!Y151+'2025年江西省区利润表'!Y151</f>
        <v>0</v>
      </c>
      <c r="Z151" s="49">
        <f>'2025年安徽省区利润表'!Z151+'2025年江西省区利润表'!Z151</f>
        <v>0</v>
      </c>
      <c r="AA151" s="51">
        <f t="shared" si="24"/>
        <v>0</v>
      </c>
      <c r="AB151" s="51">
        <f t="shared" si="30"/>
        <v>0</v>
      </c>
      <c r="AD151" s="31">
        <f t="shared" si="26"/>
        <v>0</v>
      </c>
      <c r="AE151" s="31">
        <f t="shared" si="27"/>
        <v>0</v>
      </c>
      <c r="AF151" s="17">
        <f t="shared" si="28"/>
        <v>0</v>
      </c>
      <c r="AG151" s="17">
        <f t="shared" si="29"/>
        <v>0</v>
      </c>
      <c r="BG151" s="20"/>
    </row>
    <row r="152" spans="1:59" s="19" customFormat="1" ht="18" customHeight="1" outlineLevel="1" x14ac:dyDescent="0.25">
      <c r="A152" s="48" t="s">
        <v>156</v>
      </c>
      <c r="B152" s="53"/>
      <c r="C152" s="49">
        <f>'2025年安徽省区利润表'!C152+'2025年江西省区利润表'!C152</f>
        <v>0</v>
      </c>
      <c r="D152" s="49">
        <f>'2025年安徽省区利润表'!D152+'2025年江西省区利润表'!D152</f>
        <v>0</v>
      </c>
      <c r="E152" s="49">
        <f>'2025年安徽省区利润表'!E152+'2025年江西省区利润表'!E152</f>
        <v>0</v>
      </c>
      <c r="F152" s="49">
        <f>'2025年安徽省区利润表'!F152+'2025年江西省区利润表'!F152</f>
        <v>0</v>
      </c>
      <c r="G152" s="49">
        <f>'2025年安徽省区利润表'!G152+'2025年江西省区利润表'!G152</f>
        <v>0</v>
      </c>
      <c r="H152" s="49">
        <f>'2025年安徽省区利润表'!H152+'2025年江西省区利润表'!H152</f>
        <v>0</v>
      </c>
      <c r="I152" s="49">
        <f>'2025年安徽省区利润表'!I152+'2025年江西省区利润表'!I152</f>
        <v>0</v>
      </c>
      <c r="J152" s="49">
        <f>'2025年安徽省区利润表'!J152+'2025年江西省区利润表'!J152</f>
        <v>0</v>
      </c>
      <c r="K152" s="49">
        <f>'2025年安徽省区利润表'!K152+'2025年江西省区利润表'!K152</f>
        <v>0</v>
      </c>
      <c r="L152" s="49">
        <f>'2025年安徽省区利润表'!L152+'2025年江西省区利润表'!L152</f>
        <v>0</v>
      </c>
      <c r="M152" s="49">
        <f>'2025年安徽省区利润表'!M152+'2025年江西省区利润表'!M152</f>
        <v>0</v>
      </c>
      <c r="N152" s="49">
        <f>'2025年安徽省区利润表'!N152+'2025年江西省区利润表'!N152</f>
        <v>0</v>
      </c>
      <c r="O152" s="49">
        <f>'2025年安徽省区利润表'!O152+'2025年江西省区利润表'!O152</f>
        <v>0</v>
      </c>
      <c r="P152" s="49">
        <f>'2025年安徽省区利润表'!P152+'2025年江西省区利润表'!P152</f>
        <v>0</v>
      </c>
      <c r="Q152" s="49">
        <f>'2025年安徽省区利润表'!Q152+'2025年江西省区利润表'!Q152</f>
        <v>0</v>
      </c>
      <c r="R152" s="49">
        <f>'2025年安徽省区利润表'!R152+'2025年江西省区利润表'!R152</f>
        <v>0</v>
      </c>
      <c r="S152" s="49">
        <f>'2025年安徽省区利润表'!S152+'2025年江西省区利润表'!S152</f>
        <v>0</v>
      </c>
      <c r="T152" s="49">
        <f>'2025年安徽省区利润表'!T152+'2025年江西省区利润表'!T152</f>
        <v>0</v>
      </c>
      <c r="U152" s="49">
        <f>'2025年安徽省区利润表'!U152+'2025年江西省区利润表'!U152</f>
        <v>0</v>
      </c>
      <c r="V152" s="49">
        <f>'2025年安徽省区利润表'!V152+'2025年江西省区利润表'!V152</f>
        <v>0</v>
      </c>
      <c r="W152" s="49">
        <f>'2025年安徽省区利润表'!W152+'2025年江西省区利润表'!W152</f>
        <v>0</v>
      </c>
      <c r="X152" s="49">
        <f>'2025年安徽省区利润表'!X152+'2025年江西省区利润表'!X152</f>
        <v>0</v>
      </c>
      <c r="Y152" s="49">
        <f>'2025年安徽省区利润表'!Y152+'2025年江西省区利润表'!Y152</f>
        <v>0</v>
      </c>
      <c r="Z152" s="49">
        <f>'2025年安徽省区利润表'!Z152+'2025年江西省区利润表'!Z152</f>
        <v>0</v>
      </c>
      <c r="AA152" s="51">
        <f t="shared" si="24"/>
        <v>0</v>
      </c>
      <c r="AB152" s="51">
        <f t="shared" si="30"/>
        <v>0</v>
      </c>
      <c r="AD152" s="31">
        <f t="shared" si="26"/>
        <v>0</v>
      </c>
      <c r="AE152" s="31">
        <f t="shared" si="27"/>
        <v>0</v>
      </c>
      <c r="AF152" s="17">
        <f t="shared" si="28"/>
        <v>0</v>
      </c>
      <c r="AG152" s="17">
        <f t="shared" si="29"/>
        <v>0</v>
      </c>
      <c r="BG152" s="20"/>
    </row>
    <row r="153" spans="1:59" s="19" customFormat="1" ht="18" customHeight="1" outlineLevel="1" x14ac:dyDescent="0.25">
      <c r="A153" s="48" t="s">
        <v>157</v>
      </c>
      <c r="B153" s="53"/>
      <c r="C153" s="49">
        <f>'2025年安徽省区利润表'!C153+'2025年江西省区利润表'!C153</f>
        <v>0</v>
      </c>
      <c r="D153" s="49">
        <f>'2025年安徽省区利润表'!D153+'2025年江西省区利润表'!D153</f>
        <v>0</v>
      </c>
      <c r="E153" s="49">
        <f>'2025年安徽省区利润表'!E153+'2025年江西省区利润表'!E153</f>
        <v>0</v>
      </c>
      <c r="F153" s="49">
        <f>'2025年安徽省区利润表'!F153+'2025年江西省区利润表'!F153</f>
        <v>0</v>
      </c>
      <c r="G153" s="49">
        <f>'2025年安徽省区利润表'!G153+'2025年江西省区利润表'!G153</f>
        <v>0</v>
      </c>
      <c r="H153" s="49">
        <f>'2025年安徽省区利润表'!H153+'2025年江西省区利润表'!H153</f>
        <v>0</v>
      </c>
      <c r="I153" s="49">
        <f>'2025年安徽省区利润表'!I153+'2025年江西省区利润表'!I153</f>
        <v>0</v>
      </c>
      <c r="J153" s="49">
        <f>'2025年安徽省区利润表'!J153+'2025年江西省区利润表'!J153</f>
        <v>0</v>
      </c>
      <c r="K153" s="49">
        <f>'2025年安徽省区利润表'!K153+'2025年江西省区利润表'!K153</f>
        <v>0</v>
      </c>
      <c r="L153" s="49">
        <f>'2025年安徽省区利润表'!L153+'2025年江西省区利润表'!L153</f>
        <v>0</v>
      </c>
      <c r="M153" s="49">
        <f>'2025年安徽省区利润表'!M153+'2025年江西省区利润表'!M153</f>
        <v>0</v>
      </c>
      <c r="N153" s="49">
        <f>'2025年安徽省区利润表'!N153+'2025年江西省区利润表'!N153</f>
        <v>0</v>
      </c>
      <c r="O153" s="49">
        <f>'2025年安徽省区利润表'!O153+'2025年江西省区利润表'!O153</f>
        <v>0</v>
      </c>
      <c r="P153" s="49">
        <f>'2025年安徽省区利润表'!P153+'2025年江西省区利润表'!P153</f>
        <v>0</v>
      </c>
      <c r="Q153" s="49">
        <f>'2025年安徽省区利润表'!Q153+'2025年江西省区利润表'!Q153</f>
        <v>0</v>
      </c>
      <c r="R153" s="49">
        <f>'2025年安徽省区利润表'!R153+'2025年江西省区利润表'!R153</f>
        <v>0</v>
      </c>
      <c r="S153" s="49">
        <f>'2025年安徽省区利润表'!S153+'2025年江西省区利润表'!S153</f>
        <v>0</v>
      </c>
      <c r="T153" s="49">
        <f>'2025年安徽省区利润表'!T153+'2025年江西省区利润表'!T153</f>
        <v>0</v>
      </c>
      <c r="U153" s="49">
        <f>'2025年安徽省区利润表'!U153+'2025年江西省区利润表'!U153</f>
        <v>0</v>
      </c>
      <c r="V153" s="49">
        <f>'2025年安徽省区利润表'!V153+'2025年江西省区利润表'!V153</f>
        <v>0</v>
      </c>
      <c r="W153" s="49">
        <f>'2025年安徽省区利润表'!W153+'2025年江西省区利润表'!W153</f>
        <v>0</v>
      </c>
      <c r="X153" s="49">
        <f>'2025年安徽省区利润表'!X153+'2025年江西省区利润表'!X153</f>
        <v>0</v>
      </c>
      <c r="Y153" s="49">
        <f>'2025年安徽省区利润表'!Y153+'2025年江西省区利润表'!Y153</f>
        <v>0</v>
      </c>
      <c r="Z153" s="49">
        <f>'2025年安徽省区利润表'!Z153+'2025年江西省区利润表'!Z153</f>
        <v>0</v>
      </c>
      <c r="AA153" s="51">
        <f t="shared" si="24"/>
        <v>0</v>
      </c>
      <c r="AB153" s="51">
        <f t="shared" si="30"/>
        <v>0</v>
      </c>
      <c r="AD153" s="31">
        <f t="shared" si="26"/>
        <v>0</v>
      </c>
      <c r="AE153" s="31">
        <f t="shared" si="27"/>
        <v>0</v>
      </c>
      <c r="AF153" s="17">
        <f t="shared" si="28"/>
        <v>0</v>
      </c>
      <c r="AG153" s="17">
        <f t="shared" si="29"/>
        <v>0</v>
      </c>
      <c r="BG153" s="20"/>
    </row>
    <row r="154" spans="1:59" s="19" customFormat="1" ht="18" customHeight="1" outlineLevel="1" x14ac:dyDescent="0.25">
      <c r="A154" s="48" t="s">
        <v>158</v>
      </c>
      <c r="B154" s="53"/>
      <c r="C154" s="49">
        <f>'2025年安徽省区利润表'!C154+'2025年江西省区利润表'!C154</f>
        <v>0</v>
      </c>
      <c r="D154" s="49">
        <f>'2025年安徽省区利润表'!D154+'2025年江西省区利润表'!D154</f>
        <v>0</v>
      </c>
      <c r="E154" s="49">
        <f>'2025年安徽省区利润表'!E154+'2025年江西省区利润表'!E154</f>
        <v>0</v>
      </c>
      <c r="F154" s="49">
        <f>'2025年安徽省区利润表'!F154+'2025年江西省区利润表'!F154</f>
        <v>0</v>
      </c>
      <c r="G154" s="49">
        <f>'2025年安徽省区利润表'!G154+'2025年江西省区利润表'!G154</f>
        <v>0</v>
      </c>
      <c r="H154" s="49">
        <f>'2025年安徽省区利润表'!H154+'2025年江西省区利润表'!H154</f>
        <v>0</v>
      </c>
      <c r="I154" s="49">
        <f>'2025年安徽省区利润表'!I154+'2025年江西省区利润表'!I154</f>
        <v>0</v>
      </c>
      <c r="J154" s="49">
        <f>'2025年安徽省区利润表'!J154+'2025年江西省区利润表'!J154</f>
        <v>0</v>
      </c>
      <c r="K154" s="49">
        <f>'2025年安徽省区利润表'!K154+'2025年江西省区利润表'!K154</f>
        <v>0</v>
      </c>
      <c r="L154" s="49">
        <f>'2025年安徽省区利润表'!L154+'2025年江西省区利润表'!L154</f>
        <v>0</v>
      </c>
      <c r="M154" s="49">
        <f>'2025年安徽省区利润表'!M154+'2025年江西省区利润表'!M154</f>
        <v>0</v>
      </c>
      <c r="N154" s="49">
        <f>'2025年安徽省区利润表'!N154+'2025年江西省区利润表'!N154</f>
        <v>0</v>
      </c>
      <c r="O154" s="49">
        <f>'2025年安徽省区利润表'!O154+'2025年江西省区利润表'!O154</f>
        <v>0</v>
      </c>
      <c r="P154" s="49">
        <f>'2025年安徽省区利润表'!P154+'2025年江西省区利润表'!P154</f>
        <v>0</v>
      </c>
      <c r="Q154" s="49">
        <f>'2025年安徽省区利润表'!Q154+'2025年江西省区利润表'!Q154</f>
        <v>0</v>
      </c>
      <c r="R154" s="49">
        <f>'2025年安徽省区利润表'!R154+'2025年江西省区利润表'!R154</f>
        <v>0</v>
      </c>
      <c r="S154" s="49">
        <f>'2025年安徽省区利润表'!S154+'2025年江西省区利润表'!S154</f>
        <v>0</v>
      </c>
      <c r="T154" s="49">
        <f>'2025年安徽省区利润表'!T154+'2025年江西省区利润表'!T154</f>
        <v>0</v>
      </c>
      <c r="U154" s="49">
        <f>'2025年安徽省区利润表'!U154+'2025年江西省区利润表'!U154</f>
        <v>0</v>
      </c>
      <c r="V154" s="49">
        <f>'2025年安徽省区利润表'!V154+'2025年江西省区利润表'!V154</f>
        <v>0</v>
      </c>
      <c r="W154" s="49">
        <f>'2025年安徽省区利润表'!W154+'2025年江西省区利润表'!W154</f>
        <v>0</v>
      </c>
      <c r="X154" s="49">
        <f>'2025年安徽省区利润表'!X154+'2025年江西省区利润表'!X154</f>
        <v>0</v>
      </c>
      <c r="Y154" s="49">
        <f>'2025年安徽省区利润表'!Y154+'2025年江西省区利润表'!Y154</f>
        <v>0</v>
      </c>
      <c r="Z154" s="49">
        <f>'2025年安徽省区利润表'!Z154+'2025年江西省区利润表'!Z154</f>
        <v>0</v>
      </c>
      <c r="AA154" s="51">
        <f t="shared" si="24"/>
        <v>0</v>
      </c>
      <c r="AB154" s="51">
        <f t="shared" si="30"/>
        <v>0</v>
      </c>
      <c r="AD154" s="31">
        <f t="shared" si="26"/>
        <v>0</v>
      </c>
      <c r="AE154" s="31">
        <f t="shared" si="27"/>
        <v>0</v>
      </c>
      <c r="AF154" s="17">
        <f t="shared" si="28"/>
        <v>0</v>
      </c>
      <c r="AG154" s="17">
        <f t="shared" si="29"/>
        <v>0</v>
      </c>
      <c r="BG154" s="20"/>
    </row>
    <row r="155" spans="1:59" s="19" customFormat="1" ht="18" customHeight="1" outlineLevel="1" x14ac:dyDescent="0.25">
      <c r="A155" s="48" t="s">
        <v>100</v>
      </c>
      <c r="B155" s="53"/>
      <c r="C155" s="49">
        <f>'2025年安徽省区利润表'!C155+'2025年江西省区利润表'!C155</f>
        <v>0</v>
      </c>
      <c r="D155" s="49">
        <f>'2025年安徽省区利润表'!D155+'2025年江西省区利润表'!D155</f>
        <v>0</v>
      </c>
      <c r="E155" s="49">
        <f>'2025年安徽省区利润表'!E155+'2025年江西省区利润表'!E155</f>
        <v>0</v>
      </c>
      <c r="F155" s="49">
        <f>'2025年安徽省区利润表'!F155+'2025年江西省区利润表'!F155</f>
        <v>0</v>
      </c>
      <c r="G155" s="49">
        <f>'2025年安徽省区利润表'!G155+'2025年江西省区利润表'!G155</f>
        <v>0</v>
      </c>
      <c r="H155" s="49">
        <f>'2025年安徽省区利润表'!H155+'2025年江西省区利润表'!H155</f>
        <v>0</v>
      </c>
      <c r="I155" s="49">
        <f>'2025年安徽省区利润表'!I155+'2025年江西省区利润表'!I155</f>
        <v>0</v>
      </c>
      <c r="J155" s="49">
        <f>'2025年安徽省区利润表'!J155+'2025年江西省区利润表'!J155</f>
        <v>0</v>
      </c>
      <c r="K155" s="49">
        <f>'2025年安徽省区利润表'!K155+'2025年江西省区利润表'!K155</f>
        <v>0</v>
      </c>
      <c r="L155" s="49">
        <f>'2025年安徽省区利润表'!L155+'2025年江西省区利润表'!L155</f>
        <v>0</v>
      </c>
      <c r="M155" s="49">
        <f>'2025年安徽省区利润表'!M155+'2025年江西省区利润表'!M155</f>
        <v>0</v>
      </c>
      <c r="N155" s="49">
        <f>'2025年安徽省区利润表'!N155+'2025年江西省区利润表'!N155</f>
        <v>0</v>
      </c>
      <c r="O155" s="49">
        <f>'2025年安徽省区利润表'!O155+'2025年江西省区利润表'!O155</f>
        <v>0</v>
      </c>
      <c r="P155" s="49">
        <f>'2025年安徽省区利润表'!P155+'2025年江西省区利润表'!P155</f>
        <v>0</v>
      </c>
      <c r="Q155" s="49">
        <f>'2025年安徽省区利润表'!Q155+'2025年江西省区利润表'!Q155</f>
        <v>0</v>
      </c>
      <c r="R155" s="49">
        <f>'2025年安徽省区利润表'!R155+'2025年江西省区利润表'!R155</f>
        <v>0</v>
      </c>
      <c r="S155" s="49">
        <f>'2025年安徽省区利润表'!S155+'2025年江西省区利润表'!S155</f>
        <v>0</v>
      </c>
      <c r="T155" s="49">
        <f>'2025年安徽省区利润表'!T155+'2025年江西省区利润表'!T155</f>
        <v>0</v>
      </c>
      <c r="U155" s="49">
        <f>'2025年安徽省区利润表'!U155+'2025年江西省区利润表'!U155</f>
        <v>0</v>
      </c>
      <c r="V155" s="49">
        <f>'2025年安徽省区利润表'!V155+'2025年江西省区利润表'!V155</f>
        <v>0</v>
      </c>
      <c r="W155" s="49">
        <f>'2025年安徽省区利润表'!W155+'2025年江西省区利润表'!W155</f>
        <v>0</v>
      </c>
      <c r="X155" s="49">
        <f>'2025年安徽省区利润表'!X155+'2025年江西省区利润表'!X155</f>
        <v>0</v>
      </c>
      <c r="Y155" s="49">
        <f>'2025年安徽省区利润表'!Y155+'2025年江西省区利润表'!Y155</f>
        <v>0</v>
      </c>
      <c r="Z155" s="49">
        <f>'2025年安徽省区利润表'!Z155+'2025年江西省区利润表'!Z155</f>
        <v>0</v>
      </c>
      <c r="AA155" s="51">
        <f t="shared" si="24"/>
        <v>0</v>
      </c>
      <c r="AB155" s="51">
        <f t="shared" si="30"/>
        <v>0</v>
      </c>
      <c r="AD155" s="31">
        <f t="shared" si="26"/>
        <v>0</v>
      </c>
      <c r="AE155" s="31">
        <f t="shared" si="27"/>
        <v>0</v>
      </c>
      <c r="AF155" s="17">
        <f t="shared" si="28"/>
        <v>0</v>
      </c>
      <c r="AG155" s="17">
        <f t="shared" si="29"/>
        <v>0</v>
      </c>
      <c r="BG155" s="20"/>
    </row>
    <row r="156" spans="1:59" s="19" customFormat="1" ht="18" customHeight="1" outlineLevel="1" x14ac:dyDescent="0.25">
      <c r="A156" s="48" t="s">
        <v>159</v>
      </c>
      <c r="B156" s="53"/>
      <c r="C156" s="49">
        <f>'2025年安徽省区利润表'!C156+'2025年江西省区利润表'!C156</f>
        <v>0</v>
      </c>
      <c r="D156" s="49">
        <f>'2025年安徽省区利润表'!D156+'2025年江西省区利润表'!D156</f>
        <v>0</v>
      </c>
      <c r="E156" s="49">
        <f>'2025年安徽省区利润表'!E156+'2025年江西省区利润表'!E156</f>
        <v>0</v>
      </c>
      <c r="F156" s="49">
        <f>'2025年安徽省区利润表'!F156+'2025年江西省区利润表'!F156</f>
        <v>0</v>
      </c>
      <c r="G156" s="49">
        <f>'2025年安徽省区利润表'!G156+'2025年江西省区利润表'!G156</f>
        <v>0</v>
      </c>
      <c r="H156" s="49">
        <f>'2025年安徽省区利润表'!H156+'2025年江西省区利润表'!H156</f>
        <v>0</v>
      </c>
      <c r="I156" s="49">
        <f>'2025年安徽省区利润表'!I156+'2025年江西省区利润表'!I156</f>
        <v>0</v>
      </c>
      <c r="J156" s="49">
        <f>'2025年安徽省区利润表'!J156+'2025年江西省区利润表'!J156</f>
        <v>0</v>
      </c>
      <c r="K156" s="49">
        <f>'2025年安徽省区利润表'!K156+'2025年江西省区利润表'!K156</f>
        <v>0</v>
      </c>
      <c r="L156" s="49">
        <f>'2025年安徽省区利润表'!L156+'2025年江西省区利润表'!L156</f>
        <v>0</v>
      </c>
      <c r="M156" s="49">
        <f>'2025年安徽省区利润表'!M156+'2025年江西省区利润表'!M156</f>
        <v>0</v>
      </c>
      <c r="N156" s="49">
        <f>'2025年安徽省区利润表'!N156+'2025年江西省区利润表'!N156</f>
        <v>0</v>
      </c>
      <c r="O156" s="49">
        <f>'2025年安徽省区利润表'!O156+'2025年江西省区利润表'!O156</f>
        <v>0</v>
      </c>
      <c r="P156" s="49">
        <f>'2025年安徽省区利润表'!P156+'2025年江西省区利润表'!P156</f>
        <v>0</v>
      </c>
      <c r="Q156" s="49">
        <f>'2025年安徽省区利润表'!Q156+'2025年江西省区利润表'!Q156</f>
        <v>0</v>
      </c>
      <c r="R156" s="49">
        <f>'2025年安徽省区利润表'!R156+'2025年江西省区利润表'!R156</f>
        <v>0</v>
      </c>
      <c r="S156" s="49">
        <f>'2025年安徽省区利润表'!S156+'2025年江西省区利润表'!S156</f>
        <v>0</v>
      </c>
      <c r="T156" s="49">
        <f>'2025年安徽省区利润表'!T156+'2025年江西省区利润表'!T156</f>
        <v>0</v>
      </c>
      <c r="U156" s="49">
        <f>'2025年安徽省区利润表'!U156+'2025年江西省区利润表'!U156</f>
        <v>0</v>
      </c>
      <c r="V156" s="49">
        <f>'2025年安徽省区利润表'!V156+'2025年江西省区利润表'!V156</f>
        <v>0</v>
      </c>
      <c r="W156" s="49">
        <f>'2025年安徽省区利润表'!W156+'2025年江西省区利润表'!W156</f>
        <v>0</v>
      </c>
      <c r="X156" s="49">
        <f>'2025年安徽省区利润表'!X156+'2025年江西省区利润表'!X156</f>
        <v>0</v>
      </c>
      <c r="Y156" s="49">
        <f>'2025年安徽省区利润表'!Y156+'2025年江西省区利润表'!Y156</f>
        <v>0</v>
      </c>
      <c r="Z156" s="49">
        <f>'2025年安徽省区利润表'!Z156+'2025年江西省区利润表'!Z156</f>
        <v>0</v>
      </c>
      <c r="AA156" s="51">
        <f t="shared" ref="AA156:AA219" si="31">C156+E156+G156+I156+K156+M156+O156+Q156+S156+U156+W156+Y156</f>
        <v>0</v>
      </c>
      <c r="AB156" s="51">
        <f t="shared" si="30"/>
        <v>0</v>
      </c>
      <c r="AD156" s="31">
        <f t="shared" ref="AD156:AD219" si="32">SUMIF($C$5:$Z$5,$AD$5,C156:Z156)</f>
        <v>0</v>
      </c>
      <c r="AE156" s="31">
        <f t="shared" ref="AE156:AE219" si="33">SUMIF($C$5:$Z$5,$AD$5,D156:AA156)</f>
        <v>0</v>
      </c>
      <c r="AF156" s="17">
        <f t="shared" si="28"/>
        <v>0</v>
      </c>
      <c r="AG156" s="17">
        <f t="shared" si="29"/>
        <v>0</v>
      </c>
      <c r="BG156" s="20"/>
    </row>
    <row r="157" spans="1:59" s="19" customFormat="1" ht="18" customHeight="1" outlineLevel="1" x14ac:dyDescent="0.25">
      <c r="A157" s="48" t="s">
        <v>160</v>
      </c>
      <c r="B157" s="53"/>
      <c r="C157" s="49">
        <f>'2025年安徽省区利润表'!C157+'2025年江西省区利润表'!C157</f>
        <v>0</v>
      </c>
      <c r="D157" s="49">
        <f>'2025年安徽省区利润表'!D157+'2025年江西省区利润表'!D157</f>
        <v>0</v>
      </c>
      <c r="E157" s="49">
        <f>'2025年安徽省区利润表'!E157+'2025年江西省区利润表'!E157</f>
        <v>0</v>
      </c>
      <c r="F157" s="49">
        <f>'2025年安徽省区利润表'!F157+'2025年江西省区利润表'!F157</f>
        <v>0</v>
      </c>
      <c r="G157" s="49">
        <f>'2025年安徽省区利润表'!G157+'2025年江西省区利润表'!G157</f>
        <v>0</v>
      </c>
      <c r="H157" s="49">
        <f>'2025年安徽省区利润表'!H157+'2025年江西省区利润表'!H157</f>
        <v>0</v>
      </c>
      <c r="I157" s="49">
        <f>'2025年安徽省区利润表'!I157+'2025年江西省区利润表'!I157</f>
        <v>0</v>
      </c>
      <c r="J157" s="49">
        <f>'2025年安徽省区利润表'!J157+'2025年江西省区利润表'!J157</f>
        <v>0</v>
      </c>
      <c r="K157" s="49">
        <f>'2025年安徽省区利润表'!K157+'2025年江西省区利润表'!K157</f>
        <v>0</v>
      </c>
      <c r="L157" s="49">
        <f>'2025年安徽省区利润表'!L157+'2025年江西省区利润表'!L157</f>
        <v>0</v>
      </c>
      <c r="M157" s="49">
        <f>'2025年安徽省区利润表'!M157+'2025年江西省区利润表'!M157</f>
        <v>0</v>
      </c>
      <c r="N157" s="49">
        <f>'2025年安徽省区利润表'!N157+'2025年江西省区利润表'!N157</f>
        <v>0</v>
      </c>
      <c r="O157" s="49">
        <f>'2025年安徽省区利润表'!O157+'2025年江西省区利润表'!O157</f>
        <v>0</v>
      </c>
      <c r="P157" s="49">
        <f>'2025年安徽省区利润表'!P157+'2025年江西省区利润表'!P157</f>
        <v>0</v>
      </c>
      <c r="Q157" s="49">
        <f>'2025年安徽省区利润表'!Q157+'2025年江西省区利润表'!Q157</f>
        <v>0</v>
      </c>
      <c r="R157" s="49">
        <f>'2025年安徽省区利润表'!R157+'2025年江西省区利润表'!R157</f>
        <v>0</v>
      </c>
      <c r="S157" s="49">
        <f>'2025年安徽省区利润表'!S157+'2025年江西省区利润表'!S157</f>
        <v>0</v>
      </c>
      <c r="T157" s="49">
        <f>'2025年安徽省区利润表'!T157+'2025年江西省区利润表'!T157</f>
        <v>0</v>
      </c>
      <c r="U157" s="49">
        <f>'2025年安徽省区利润表'!U157+'2025年江西省区利润表'!U157</f>
        <v>0</v>
      </c>
      <c r="V157" s="49">
        <f>'2025年安徽省区利润表'!V157+'2025年江西省区利润表'!V157</f>
        <v>0</v>
      </c>
      <c r="W157" s="49">
        <f>'2025年安徽省区利润表'!W157+'2025年江西省区利润表'!W157</f>
        <v>0</v>
      </c>
      <c r="X157" s="49">
        <f>'2025年安徽省区利润表'!X157+'2025年江西省区利润表'!X157</f>
        <v>0</v>
      </c>
      <c r="Y157" s="49">
        <f>'2025年安徽省区利润表'!Y157+'2025年江西省区利润表'!Y157</f>
        <v>0</v>
      </c>
      <c r="Z157" s="49">
        <f>'2025年安徽省区利润表'!Z157+'2025年江西省区利润表'!Z157</f>
        <v>0</v>
      </c>
      <c r="AA157" s="51">
        <f t="shared" si="31"/>
        <v>0</v>
      </c>
      <c r="AB157" s="51">
        <f t="shared" si="30"/>
        <v>0</v>
      </c>
      <c r="AD157" s="31">
        <f t="shared" si="32"/>
        <v>0</v>
      </c>
      <c r="AE157" s="31">
        <f t="shared" si="33"/>
        <v>0</v>
      </c>
      <c r="AF157" s="17">
        <f t="shared" si="28"/>
        <v>0</v>
      </c>
      <c r="AG157" s="17">
        <f t="shared" si="29"/>
        <v>0</v>
      </c>
      <c r="BG157" s="20"/>
    </row>
    <row r="158" spans="1:59" s="19" customFormat="1" ht="18" customHeight="1" outlineLevel="1" x14ac:dyDescent="0.25">
      <c r="A158" s="48" t="s">
        <v>161</v>
      </c>
      <c r="B158" s="53"/>
      <c r="C158" s="49">
        <f>'2025年安徽省区利润表'!C158+'2025年江西省区利润表'!C158</f>
        <v>0</v>
      </c>
      <c r="D158" s="49">
        <f>'2025年安徽省区利润表'!D158+'2025年江西省区利润表'!D158</f>
        <v>0</v>
      </c>
      <c r="E158" s="49">
        <f>'2025年安徽省区利润表'!E158+'2025年江西省区利润表'!E158</f>
        <v>0</v>
      </c>
      <c r="F158" s="49">
        <f>'2025年安徽省区利润表'!F158+'2025年江西省区利润表'!F158</f>
        <v>0</v>
      </c>
      <c r="G158" s="49">
        <f>'2025年安徽省区利润表'!G158+'2025年江西省区利润表'!G158</f>
        <v>0</v>
      </c>
      <c r="H158" s="49">
        <f>'2025年安徽省区利润表'!H158+'2025年江西省区利润表'!H158</f>
        <v>0</v>
      </c>
      <c r="I158" s="49">
        <f>'2025年安徽省区利润表'!I158+'2025年江西省区利润表'!I158</f>
        <v>0</v>
      </c>
      <c r="J158" s="49">
        <f>'2025年安徽省区利润表'!J158+'2025年江西省区利润表'!J158</f>
        <v>0</v>
      </c>
      <c r="K158" s="49">
        <f>'2025年安徽省区利润表'!K158+'2025年江西省区利润表'!K158</f>
        <v>0</v>
      </c>
      <c r="L158" s="49">
        <f>'2025年安徽省区利润表'!L158+'2025年江西省区利润表'!L158</f>
        <v>0</v>
      </c>
      <c r="M158" s="49">
        <f>'2025年安徽省区利润表'!M158+'2025年江西省区利润表'!M158</f>
        <v>0</v>
      </c>
      <c r="N158" s="49">
        <f>'2025年安徽省区利润表'!N158+'2025年江西省区利润表'!N158</f>
        <v>0</v>
      </c>
      <c r="O158" s="49">
        <f>'2025年安徽省区利润表'!O158+'2025年江西省区利润表'!O158</f>
        <v>0</v>
      </c>
      <c r="P158" s="49">
        <f>'2025年安徽省区利润表'!P158+'2025年江西省区利润表'!P158</f>
        <v>0</v>
      </c>
      <c r="Q158" s="49">
        <f>'2025年安徽省区利润表'!Q158+'2025年江西省区利润表'!Q158</f>
        <v>0</v>
      </c>
      <c r="R158" s="49">
        <f>'2025年安徽省区利润表'!R158+'2025年江西省区利润表'!R158</f>
        <v>0</v>
      </c>
      <c r="S158" s="49">
        <f>'2025年安徽省区利润表'!S158+'2025年江西省区利润表'!S158</f>
        <v>0</v>
      </c>
      <c r="T158" s="49">
        <f>'2025年安徽省区利润表'!T158+'2025年江西省区利润表'!T158</f>
        <v>0</v>
      </c>
      <c r="U158" s="49">
        <f>'2025年安徽省区利润表'!U158+'2025年江西省区利润表'!U158</f>
        <v>0</v>
      </c>
      <c r="V158" s="49">
        <f>'2025年安徽省区利润表'!V158+'2025年江西省区利润表'!V158</f>
        <v>0</v>
      </c>
      <c r="W158" s="49">
        <f>'2025年安徽省区利润表'!W158+'2025年江西省区利润表'!W158</f>
        <v>0</v>
      </c>
      <c r="X158" s="49">
        <f>'2025年安徽省区利润表'!X158+'2025年江西省区利润表'!X158</f>
        <v>0</v>
      </c>
      <c r="Y158" s="49">
        <f>'2025年安徽省区利润表'!Y158+'2025年江西省区利润表'!Y158</f>
        <v>0</v>
      </c>
      <c r="Z158" s="49">
        <f>'2025年安徽省区利润表'!Z158+'2025年江西省区利润表'!Z158</f>
        <v>0</v>
      </c>
      <c r="AA158" s="51">
        <f t="shared" si="31"/>
        <v>0</v>
      </c>
      <c r="AB158" s="51">
        <f t="shared" si="30"/>
        <v>0</v>
      </c>
      <c r="AD158" s="31">
        <f t="shared" si="32"/>
        <v>0</v>
      </c>
      <c r="AE158" s="31">
        <f t="shared" si="33"/>
        <v>0</v>
      </c>
      <c r="AF158" s="17">
        <f t="shared" ref="AF158:AF221" si="34">AA158-AD158</f>
        <v>0</v>
      </c>
      <c r="AG158" s="17">
        <f t="shared" ref="AG158:AG221" si="35">AB158-AE158</f>
        <v>0</v>
      </c>
      <c r="BG158" s="20"/>
    </row>
    <row r="159" spans="1:59" s="19" customFormat="1" ht="18" customHeight="1" outlineLevel="1" x14ac:dyDescent="0.25">
      <c r="A159" s="48" t="s">
        <v>162</v>
      </c>
      <c r="B159" s="53"/>
      <c r="C159" s="49">
        <f>'2025年安徽省区利润表'!C159+'2025年江西省区利润表'!C159</f>
        <v>0</v>
      </c>
      <c r="D159" s="49">
        <f>'2025年安徽省区利润表'!D159+'2025年江西省区利润表'!D159</f>
        <v>0</v>
      </c>
      <c r="E159" s="49">
        <f>'2025年安徽省区利润表'!E159+'2025年江西省区利润表'!E159</f>
        <v>0</v>
      </c>
      <c r="F159" s="49">
        <f>'2025年安徽省区利润表'!F159+'2025年江西省区利润表'!F159</f>
        <v>0</v>
      </c>
      <c r="G159" s="49">
        <f>'2025年安徽省区利润表'!G159+'2025年江西省区利润表'!G159</f>
        <v>0</v>
      </c>
      <c r="H159" s="49">
        <f>'2025年安徽省区利润表'!H159+'2025年江西省区利润表'!H159</f>
        <v>0</v>
      </c>
      <c r="I159" s="49">
        <f>'2025年安徽省区利润表'!I159+'2025年江西省区利润表'!I159</f>
        <v>0</v>
      </c>
      <c r="J159" s="49">
        <f>'2025年安徽省区利润表'!J159+'2025年江西省区利润表'!J159</f>
        <v>0</v>
      </c>
      <c r="K159" s="49">
        <f>'2025年安徽省区利润表'!K159+'2025年江西省区利润表'!K159</f>
        <v>0</v>
      </c>
      <c r="L159" s="49">
        <f>'2025年安徽省区利润表'!L159+'2025年江西省区利润表'!L159</f>
        <v>0</v>
      </c>
      <c r="M159" s="49">
        <f>'2025年安徽省区利润表'!M159+'2025年江西省区利润表'!M159</f>
        <v>0</v>
      </c>
      <c r="N159" s="49">
        <f>'2025年安徽省区利润表'!N159+'2025年江西省区利润表'!N159</f>
        <v>0</v>
      </c>
      <c r="O159" s="49">
        <f>'2025年安徽省区利润表'!O159+'2025年江西省区利润表'!O159</f>
        <v>0</v>
      </c>
      <c r="P159" s="49">
        <f>'2025年安徽省区利润表'!P159+'2025年江西省区利润表'!P159</f>
        <v>0</v>
      </c>
      <c r="Q159" s="49">
        <f>'2025年安徽省区利润表'!Q159+'2025年江西省区利润表'!Q159</f>
        <v>0</v>
      </c>
      <c r="R159" s="49">
        <f>'2025年安徽省区利润表'!R159+'2025年江西省区利润表'!R159</f>
        <v>0</v>
      </c>
      <c r="S159" s="49">
        <f>'2025年安徽省区利润表'!S159+'2025年江西省区利润表'!S159</f>
        <v>0</v>
      </c>
      <c r="T159" s="49">
        <f>'2025年安徽省区利润表'!T159+'2025年江西省区利润表'!T159</f>
        <v>0</v>
      </c>
      <c r="U159" s="49">
        <f>'2025年安徽省区利润表'!U159+'2025年江西省区利润表'!U159</f>
        <v>0</v>
      </c>
      <c r="V159" s="49">
        <f>'2025年安徽省区利润表'!V159+'2025年江西省区利润表'!V159</f>
        <v>0</v>
      </c>
      <c r="W159" s="49">
        <f>'2025年安徽省区利润表'!W159+'2025年江西省区利润表'!W159</f>
        <v>0</v>
      </c>
      <c r="X159" s="49">
        <f>'2025年安徽省区利润表'!X159+'2025年江西省区利润表'!X159</f>
        <v>0</v>
      </c>
      <c r="Y159" s="49">
        <f>'2025年安徽省区利润表'!Y159+'2025年江西省区利润表'!Y159</f>
        <v>0</v>
      </c>
      <c r="Z159" s="49">
        <f>'2025年安徽省区利润表'!Z159+'2025年江西省区利润表'!Z159</f>
        <v>0</v>
      </c>
      <c r="AA159" s="51">
        <f t="shared" si="31"/>
        <v>0</v>
      </c>
      <c r="AB159" s="51">
        <f t="shared" si="30"/>
        <v>0</v>
      </c>
      <c r="AD159" s="31">
        <f t="shared" si="32"/>
        <v>0</v>
      </c>
      <c r="AE159" s="31">
        <f t="shared" si="33"/>
        <v>0</v>
      </c>
      <c r="AF159" s="17">
        <f t="shared" si="34"/>
        <v>0</v>
      </c>
      <c r="AG159" s="17">
        <f t="shared" si="35"/>
        <v>0</v>
      </c>
      <c r="BG159" s="20"/>
    </row>
    <row r="160" spans="1:59" s="19" customFormat="1" ht="18" customHeight="1" outlineLevel="1" x14ac:dyDescent="0.25">
      <c r="A160" s="48" t="s">
        <v>163</v>
      </c>
      <c r="B160" s="53"/>
      <c r="C160" s="49">
        <f>'2025年安徽省区利润表'!C160+'2025年江西省区利润表'!C160</f>
        <v>0</v>
      </c>
      <c r="D160" s="49">
        <f>'2025年安徽省区利润表'!D160+'2025年江西省区利润表'!D160</f>
        <v>0</v>
      </c>
      <c r="E160" s="49">
        <f>'2025年安徽省区利润表'!E160+'2025年江西省区利润表'!E160</f>
        <v>0</v>
      </c>
      <c r="F160" s="49">
        <f>'2025年安徽省区利润表'!F160+'2025年江西省区利润表'!F160</f>
        <v>0</v>
      </c>
      <c r="G160" s="49">
        <f>'2025年安徽省区利润表'!G160+'2025年江西省区利润表'!G160</f>
        <v>0</v>
      </c>
      <c r="H160" s="49">
        <f>'2025年安徽省区利润表'!H160+'2025年江西省区利润表'!H160</f>
        <v>0</v>
      </c>
      <c r="I160" s="49">
        <f>'2025年安徽省区利润表'!I160+'2025年江西省区利润表'!I160</f>
        <v>0</v>
      </c>
      <c r="J160" s="49">
        <f>'2025年安徽省区利润表'!J160+'2025年江西省区利润表'!J160</f>
        <v>0</v>
      </c>
      <c r="K160" s="49">
        <f>'2025年安徽省区利润表'!K160+'2025年江西省区利润表'!K160</f>
        <v>0</v>
      </c>
      <c r="L160" s="49">
        <f>'2025年安徽省区利润表'!L160+'2025年江西省区利润表'!L160</f>
        <v>0</v>
      </c>
      <c r="M160" s="49">
        <f>'2025年安徽省区利润表'!M160+'2025年江西省区利润表'!M160</f>
        <v>0</v>
      </c>
      <c r="N160" s="49">
        <f>'2025年安徽省区利润表'!N160+'2025年江西省区利润表'!N160</f>
        <v>0</v>
      </c>
      <c r="O160" s="49">
        <f>'2025年安徽省区利润表'!O160+'2025年江西省区利润表'!O160</f>
        <v>0</v>
      </c>
      <c r="P160" s="49">
        <f>'2025年安徽省区利润表'!P160+'2025年江西省区利润表'!P160</f>
        <v>0</v>
      </c>
      <c r="Q160" s="49">
        <f>'2025年安徽省区利润表'!Q160+'2025年江西省区利润表'!Q160</f>
        <v>0</v>
      </c>
      <c r="R160" s="49">
        <f>'2025年安徽省区利润表'!R160+'2025年江西省区利润表'!R160</f>
        <v>0</v>
      </c>
      <c r="S160" s="49">
        <f>'2025年安徽省区利润表'!S160+'2025年江西省区利润表'!S160</f>
        <v>0</v>
      </c>
      <c r="T160" s="49">
        <f>'2025年安徽省区利润表'!T160+'2025年江西省区利润表'!T160</f>
        <v>0</v>
      </c>
      <c r="U160" s="49">
        <f>'2025年安徽省区利润表'!U160+'2025年江西省区利润表'!U160</f>
        <v>0</v>
      </c>
      <c r="V160" s="49">
        <f>'2025年安徽省区利润表'!V160+'2025年江西省区利润表'!V160</f>
        <v>0</v>
      </c>
      <c r="W160" s="49">
        <f>'2025年安徽省区利润表'!W160+'2025年江西省区利润表'!W160</f>
        <v>0</v>
      </c>
      <c r="X160" s="49">
        <f>'2025年安徽省区利润表'!X160+'2025年江西省区利润表'!X160</f>
        <v>0</v>
      </c>
      <c r="Y160" s="49">
        <f>'2025年安徽省区利润表'!Y160+'2025年江西省区利润表'!Y160</f>
        <v>0</v>
      </c>
      <c r="Z160" s="49">
        <f>'2025年安徽省区利润表'!Z160+'2025年江西省区利润表'!Z160</f>
        <v>0</v>
      </c>
      <c r="AA160" s="51">
        <f t="shared" si="31"/>
        <v>0</v>
      </c>
      <c r="AB160" s="51">
        <f t="shared" si="30"/>
        <v>0</v>
      </c>
      <c r="AD160" s="31">
        <f t="shared" si="32"/>
        <v>0</v>
      </c>
      <c r="AE160" s="31">
        <f t="shared" si="33"/>
        <v>0</v>
      </c>
      <c r="AF160" s="17">
        <f t="shared" si="34"/>
        <v>0</v>
      </c>
      <c r="AG160" s="17">
        <f t="shared" si="35"/>
        <v>0</v>
      </c>
      <c r="BG160" s="20"/>
    </row>
    <row r="161" spans="1:59" s="19" customFormat="1" ht="18" customHeight="1" outlineLevel="1" x14ac:dyDescent="0.25">
      <c r="A161" s="48" t="s">
        <v>164</v>
      </c>
      <c r="B161" s="53"/>
      <c r="C161" s="49">
        <f>'2025年安徽省区利润表'!C161+'2025年江西省区利润表'!C161</f>
        <v>0</v>
      </c>
      <c r="D161" s="49">
        <f>'2025年安徽省区利润表'!D161+'2025年江西省区利润表'!D161</f>
        <v>0</v>
      </c>
      <c r="E161" s="49">
        <f>'2025年安徽省区利润表'!E161+'2025年江西省区利润表'!E161</f>
        <v>0</v>
      </c>
      <c r="F161" s="49">
        <f>'2025年安徽省区利润表'!F161+'2025年江西省区利润表'!F161</f>
        <v>0</v>
      </c>
      <c r="G161" s="49">
        <f>'2025年安徽省区利润表'!G161+'2025年江西省区利润表'!G161</f>
        <v>0</v>
      </c>
      <c r="H161" s="49">
        <f>'2025年安徽省区利润表'!H161+'2025年江西省区利润表'!H161</f>
        <v>0</v>
      </c>
      <c r="I161" s="49">
        <f>'2025年安徽省区利润表'!I161+'2025年江西省区利润表'!I161</f>
        <v>0</v>
      </c>
      <c r="J161" s="49">
        <f>'2025年安徽省区利润表'!J161+'2025年江西省区利润表'!J161</f>
        <v>0</v>
      </c>
      <c r="K161" s="49">
        <f>'2025年安徽省区利润表'!K161+'2025年江西省区利润表'!K161</f>
        <v>0</v>
      </c>
      <c r="L161" s="49">
        <f>'2025年安徽省区利润表'!L161+'2025年江西省区利润表'!L161</f>
        <v>0</v>
      </c>
      <c r="M161" s="49">
        <f>'2025年安徽省区利润表'!M161+'2025年江西省区利润表'!M161</f>
        <v>0</v>
      </c>
      <c r="N161" s="49">
        <f>'2025年安徽省区利润表'!N161+'2025年江西省区利润表'!N161</f>
        <v>0</v>
      </c>
      <c r="O161" s="49">
        <f>'2025年安徽省区利润表'!O161+'2025年江西省区利润表'!O161</f>
        <v>0</v>
      </c>
      <c r="P161" s="49">
        <f>'2025年安徽省区利润表'!P161+'2025年江西省区利润表'!P161</f>
        <v>0</v>
      </c>
      <c r="Q161" s="49">
        <f>'2025年安徽省区利润表'!Q161+'2025年江西省区利润表'!Q161</f>
        <v>0</v>
      </c>
      <c r="R161" s="49">
        <f>'2025年安徽省区利润表'!R161+'2025年江西省区利润表'!R161</f>
        <v>0</v>
      </c>
      <c r="S161" s="49">
        <f>'2025年安徽省区利润表'!S161+'2025年江西省区利润表'!S161</f>
        <v>0</v>
      </c>
      <c r="T161" s="49">
        <f>'2025年安徽省区利润表'!T161+'2025年江西省区利润表'!T161</f>
        <v>0</v>
      </c>
      <c r="U161" s="49">
        <f>'2025年安徽省区利润表'!U161+'2025年江西省区利润表'!U161</f>
        <v>0</v>
      </c>
      <c r="V161" s="49">
        <f>'2025年安徽省区利润表'!V161+'2025年江西省区利润表'!V161</f>
        <v>0</v>
      </c>
      <c r="W161" s="49">
        <f>'2025年安徽省区利润表'!W161+'2025年江西省区利润表'!W161</f>
        <v>0</v>
      </c>
      <c r="X161" s="49">
        <f>'2025年安徽省区利润表'!X161+'2025年江西省区利润表'!X161</f>
        <v>0</v>
      </c>
      <c r="Y161" s="49">
        <f>'2025年安徽省区利润表'!Y161+'2025年江西省区利润表'!Y161</f>
        <v>0</v>
      </c>
      <c r="Z161" s="49">
        <f>'2025年安徽省区利润表'!Z161+'2025年江西省区利润表'!Z161</f>
        <v>0</v>
      </c>
      <c r="AA161" s="51">
        <f t="shared" si="31"/>
        <v>0</v>
      </c>
      <c r="AB161" s="51">
        <f t="shared" si="30"/>
        <v>0</v>
      </c>
      <c r="AD161" s="31">
        <f t="shared" si="32"/>
        <v>0</v>
      </c>
      <c r="AE161" s="31">
        <f t="shared" si="33"/>
        <v>0</v>
      </c>
      <c r="AF161" s="17">
        <f t="shared" si="34"/>
        <v>0</v>
      </c>
      <c r="AG161" s="17">
        <f t="shared" si="35"/>
        <v>0</v>
      </c>
      <c r="BG161" s="20"/>
    </row>
    <row r="162" spans="1:59" s="19" customFormat="1" ht="18" customHeight="1" outlineLevel="1" x14ac:dyDescent="0.25">
      <c r="A162" s="48" t="s">
        <v>165</v>
      </c>
      <c r="B162" s="53"/>
      <c r="C162" s="49">
        <f>'2025年安徽省区利润表'!C162+'2025年江西省区利润表'!C162</f>
        <v>0</v>
      </c>
      <c r="D162" s="49">
        <f>'2025年安徽省区利润表'!D162+'2025年江西省区利润表'!D162</f>
        <v>0</v>
      </c>
      <c r="E162" s="49">
        <f>'2025年安徽省区利润表'!E162+'2025年江西省区利润表'!E162</f>
        <v>0</v>
      </c>
      <c r="F162" s="49">
        <f>'2025年安徽省区利润表'!F162+'2025年江西省区利润表'!F162</f>
        <v>0</v>
      </c>
      <c r="G162" s="49">
        <f>'2025年安徽省区利润表'!G162+'2025年江西省区利润表'!G162</f>
        <v>0</v>
      </c>
      <c r="H162" s="49">
        <f>'2025年安徽省区利润表'!H162+'2025年江西省区利润表'!H162</f>
        <v>0</v>
      </c>
      <c r="I162" s="49">
        <f>'2025年安徽省区利润表'!I162+'2025年江西省区利润表'!I162</f>
        <v>0</v>
      </c>
      <c r="J162" s="49">
        <f>'2025年安徽省区利润表'!J162+'2025年江西省区利润表'!J162</f>
        <v>0</v>
      </c>
      <c r="K162" s="49">
        <f>'2025年安徽省区利润表'!K162+'2025年江西省区利润表'!K162</f>
        <v>0</v>
      </c>
      <c r="L162" s="49">
        <f>'2025年安徽省区利润表'!L162+'2025年江西省区利润表'!L162</f>
        <v>0</v>
      </c>
      <c r="M162" s="49">
        <f>'2025年安徽省区利润表'!M162+'2025年江西省区利润表'!M162</f>
        <v>0</v>
      </c>
      <c r="N162" s="49">
        <f>'2025年安徽省区利润表'!N162+'2025年江西省区利润表'!N162</f>
        <v>0</v>
      </c>
      <c r="O162" s="49">
        <f>'2025年安徽省区利润表'!O162+'2025年江西省区利润表'!O162</f>
        <v>0</v>
      </c>
      <c r="P162" s="49">
        <f>'2025年安徽省区利润表'!P162+'2025年江西省区利润表'!P162</f>
        <v>0</v>
      </c>
      <c r="Q162" s="49">
        <f>'2025年安徽省区利润表'!Q162+'2025年江西省区利润表'!Q162</f>
        <v>0</v>
      </c>
      <c r="R162" s="49">
        <f>'2025年安徽省区利润表'!R162+'2025年江西省区利润表'!R162</f>
        <v>0</v>
      </c>
      <c r="S162" s="49">
        <f>'2025年安徽省区利润表'!S162+'2025年江西省区利润表'!S162</f>
        <v>0</v>
      </c>
      <c r="T162" s="49">
        <f>'2025年安徽省区利润表'!T162+'2025年江西省区利润表'!T162</f>
        <v>0</v>
      </c>
      <c r="U162" s="49">
        <f>'2025年安徽省区利润表'!U162+'2025年江西省区利润表'!U162</f>
        <v>0</v>
      </c>
      <c r="V162" s="49">
        <f>'2025年安徽省区利润表'!V162+'2025年江西省区利润表'!V162</f>
        <v>0</v>
      </c>
      <c r="W162" s="49">
        <f>'2025年安徽省区利润表'!W162+'2025年江西省区利润表'!W162</f>
        <v>0</v>
      </c>
      <c r="X162" s="49">
        <f>'2025年安徽省区利润表'!X162+'2025年江西省区利润表'!X162</f>
        <v>0</v>
      </c>
      <c r="Y162" s="49">
        <f>'2025年安徽省区利润表'!Y162+'2025年江西省区利润表'!Y162</f>
        <v>0</v>
      </c>
      <c r="Z162" s="49">
        <f>'2025年安徽省区利润表'!Z162+'2025年江西省区利润表'!Z162</f>
        <v>0</v>
      </c>
      <c r="AA162" s="51">
        <f t="shared" si="31"/>
        <v>0</v>
      </c>
      <c r="AB162" s="51">
        <f t="shared" si="30"/>
        <v>0</v>
      </c>
      <c r="AD162" s="31">
        <f t="shared" si="32"/>
        <v>0</v>
      </c>
      <c r="AE162" s="31">
        <f t="shared" si="33"/>
        <v>0</v>
      </c>
      <c r="AF162" s="17">
        <f t="shared" si="34"/>
        <v>0</v>
      </c>
      <c r="AG162" s="17">
        <f t="shared" si="35"/>
        <v>0</v>
      </c>
      <c r="BG162" s="20"/>
    </row>
    <row r="163" spans="1:59" s="19" customFormat="1" ht="18" customHeight="1" outlineLevel="1" x14ac:dyDescent="0.25">
      <c r="A163" s="48" t="s">
        <v>166</v>
      </c>
      <c r="B163" s="53"/>
      <c r="C163" s="49">
        <f>'2025年安徽省区利润表'!C163+'2025年江西省区利润表'!C163</f>
        <v>0</v>
      </c>
      <c r="D163" s="49">
        <f>'2025年安徽省区利润表'!D163+'2025年江西省区利润表'!D163</f>
        <v>0</v>
      </c>
      <c r="E163" s="49">
        <f>'2025年安徽省区利润表'!E163+'2025年江西省区利润表'!E163</f>
        <v>0</v>
      </c>
      <c r="F163" s="49">
        <f>'2025年安徽省区利润表'!F163+'2025年江西省区利润表'!F163</f>
        <v>0</v>
      </c>
      <c r="G163" s="49">
        <f>'2025年安徽省区利润表'!G163+'2025年江西省区利润表'!G163</f>
        <v>0</v>
      </c>
      <c r="H163" s="49">
        <f>'2025年安徽省区利润表'!H163+'2025年江西省区利润表'!H163</f>
        <v>0</v>
      </c>
      <c r="I163" s="49">
        <f>'2025年安徽省区利润表'!I163+'2025年江西省区利润表'!I163</f>
        <v>0</v>
      </c>
      <c r="J163" s="49">
        <f>'2025年安徽省区利润表'!J163+'2025年江西省区利润表'!J163</f>
        <v>0</v>
      </c>
      <c r="K163" s="49">
        <f>'2025年安徽省区利润表'!K163+'2025年江西省区利润表'!K163</f>
        <v>0</v>
      </c>
      <c r="L163" s="49">
        <f>'2025年安徽省区利润表'!L163+'2025年江西省区利润表'!L163</f>
        <v>0</v>
      </c>
      <c r="M163" s="49">
        <f>'2025年安徽省区利润表'!M163+'2025年江西省区利润表'!M163</f>
        <v>0</v>
      </c>
      <c r="N163" s="49">
        <f>'2025年安徽省区利润表'!N163+'2025年江西省区利润表'!N163</f>
        <v>0</v>
      </c>
      <c r="O163" s="49">
        <f>'2025年安徽省区利润表'!O163+'2025年江西省区利润表'!O163</f>
        <v>0</v>
      </c>
      <c r="P163" s="49">
        <f>'2025年安徽省区利润表'!P163+'2025年江西省区利润表'!P163</f>
        <v>0</v>
      </c>
      <c r="Q163" s="49">
        <f>'2025年安徽省区利润表'!Q163+'2025年江西省区利润表'!Q163</f>
        <v>0</v>
      </c>
      <c r="R163" s="49">
        <f>'2025年安徽省区利润表'!R163+'2025年江西省区利润表'!R163</f>
        <v>0</v>
      </c>
      <c r="S163" s="49">
        <f>'2025年安徽省区利润表'!S163+'2025年江西省区利润表'!S163</f>
        <v>0</v>
      </c>
      <c r="T163" s="49">
        <f>'2025年安徽省区利润表'!T163+'2025年江西省区利润表'!T163</f>
        <v>0</v>
      </c>
      <c r="U163" s="49">
        <f>'2025年安徽省区利润表'!U163+'2025年江西省区利润表'!U163</f>
        <v>0</v>
      </c>
      <c r="V163" s="49">
        <f>'2025年安徽省区利润表'!V163+'2025年江西省区利润表'!V163</f>
        <v>0</v>
      </c>
      <c r="W163" s="49">
        <f>'2025年安徽省区利润表'!W163+'2025年江西省区利润表'!W163</f>
        <v>0</v>
      </c>
      <c r="X163" s="49">
        <f>'2025年安徽省区利润表'!X163+'2025年江西省区利润表'!X163</f>
        <v>0</v>
      </c>
      <c r="Y163" s="49">
        <f>'2025年安徽省区利润表'!Y163+'2025年江西省区利润表'!Y163</f>
        <v>0</v>
      </c>
      <c r="Z163" s="49">
        <f>'2025年安徽省区利润表'!Z163+'2025年江西省区利润表'!Z163</f>
        <v>0</v>
      </c>
      <c r="AA163" s="51">
        <f t="shared" si="31"/>
        <v>0</v>
      </c>
      <c r="AB163" s="51">
        <f t="shared" si="30"/>
        <v>0</v>
      </c>
      <c r="AD163" s="31">
        <f t="shared" si="32"/>
        <v>0</v>
      </c>
      <c r="AE163" s="31">
        <f t="shared" si="33"/>
        <v>0</v>
      </c>
      <c r="AF163" s="17">
        <f t="shared" si="34"/>
        <v>0</v>
      </c>
      <c r="AG163" s="17">
        <f t="shared" si="35"/>
        <v>0</v>
      </c>
      <c r="BG163" s="20"/>
    </row>
    <row r="164" spans="1:59" s="19" customFormat="1" ht="18" customHeight="1" outlineLevel="1" x14ac:dyDescent="0.25">
      <c r="A164" s="48" t="s">
        <v>167</v>
      </c>
      <c r="B164" s="53"/>
      <c r="C164" s="49">
        <f>'2025年安徽省区利润表'!C164+'2025年江西省区利润表'!C164</f>
        <v>0</v>
      </c>
      <c r="D164" s="49">
        <f>'2025年安徽省区利润表'!D164+'2025年江西省区利润表'!D164</f>
        <v>0</v>
      </c>
      <c r="E164" s="49">
        <f>'2025年安徽省区利润表'!E164+'2025年江西省区利润表'!E164</f>
        <v>0</v>
      </c>
      <c r="F164" s="49">
        <f>'2025年安徽省区利润表'!F164+'2025年江西省区利润表'!F164</f>
        <v>0</v>
      </c>
      <c r="G164" s="49">
        <f>'2025年安徽省区利润表'!G164+'2025年江西省区利润表'!G164</f>
        <v>0</v>
      </c>
      <c r="H164" s="49">
        <f>'2025年安徽省区利润表'!H164+'2025年江西省区利润表'!H164</f>
        <v>0</v>
      </c>
      <c r="I164" s="49">
        <f>'2025年安徽省区利润表'!I164+'2025年江西省区利润表'!I164</f>
        <v>0</v>
      </c>
      <c r="J164" s="49">
        <f>'2025年安徽省区利润表'!J164+'2025年江西省区利润表'!J164</f>
        <v>0</v>
      </c>
      <c r="K164" s="49">
        <f>'2025年安徽省区利润表'!K164+'2025年江西省区利润表'!K164</f>
        <v>0</v>
      </c>
      <c r="L164" s="49">
        <f>'2025年安徽省区利润表'!L164+'2025年江西省区利润表'!L164</f>
        <v>0</v>
      </c>
      <c r="M164" s="49">
        <f>'2025年安徽省区利润表'!M164+'2025年江西省区利润表'!M164</f>
        <v>0</v>
      </c>
      <c r="N164" s="49">
        <f>'2025年安徽省区利润表'!N164+'2025年江西省区利润表'!N164</f>
        <v>0</v>
      </c>
      <c r="O164" s="49">
        <f>'2025年安徽省区利润表'!O164+'2025年江西省区利润表'!O164</f>
        <v>0</v>
      </c>
      <c r="P164" s="49">
        <f>'2025年安徽省区利润表'!P164+'2025年江西省区利润表'!P164</f>
        <v>0</v>
      </c>
      <c r="Q164" s="49">
        <f>'2025年安徽省区利润表'!Q164+'2025年江西省区利润表'!Q164</f>
        <v>0</v>
      </c>
      <c r="R164" s="49">
        <f>'2025年安徽省区利润表'!R164+'2025年江西省区利润表'!R164</f>
        <v>0</v>
      </c>
      <c r="S164" s="49">
        <f>'2025年安徽省区利润表'!S164+'2025年江西省区利润表'!S164</f>
        <v>0</v>
      </c>
      <c r="T164" s="49">
        <f>'2025年安徽省区利润表'!T164+'2025年江西省区利润表'!T164</f>
        <v>0</v>
      </c>
      <c r="U164" s="49">
        <f>'2025年安徽省区利润表'!U164+'2025年江西省区利润表'!U164</f>
        <v>0</v>
      </c>
      <c r="V164" s="49">
        <f>'2025年安徽省区利润表'!V164+'2025年江西省区利润表'!V164</f>
        <v>0</v>
      </c>
      <c r="W164" s="49">
        <f>'2025年安徽省区利润表'!W164+'2025年江西省区利润表'!W164</f>
        <v>0</v>
      </c>
      <c r="X164" s="49">
        <f>'2025年安徽省区利润表'!X164+'2025年江西省区利润表'!X164</f>
        <v>0</v>
      </c>
      <c r="Y164" s="49">
        <f>'2025年安徽省区利润表'!Y164+'2025年江西省区利润表'!Y164</f>
        <v>0</v>
      </c>
      <c r="Z164" s="49">
        <f>'2025年安徽省区利润表'!Z164+'2025年江西省区利润表'!Z164</f>
        <v>0</v>
      </c>
      <c r="AA164" s="51">
        <f t="shared" si="31"/>
        <v>0</v>
      </c>
      <c r="AB164" s="51">
        <f t="shared" si="30"/>
        <v>0</v>
      </c>
      <c r="AD164" s="31">
        <f t="shared" si="32"/>
        <v>0</v>
      </c>
      <c r="AE164" s="31">
        <f t="shared" si="33"/>
        <v>0</v>
      </c>
      <c r="AF164" s="17">
        <f t="shared" si="34"/>
        <v>0</v>
      </c>
      <c r="AG164" s="17">
        <f t="shared" si="35"/>
        <v>0</v>
      </c>
      <c r="BG164" s="20"/>
    </row>
    <row r="165" spans="1:59" s="19" customFormat="1" ht="18" customHeight="1" outlineLevel="1" x14ac:dyDescent="0.25">
      <c r="A165" s="48" t="s">
        <v>168</v>
      </c>
      <c r="B165" s="53"/>
      <c r="C165" s="49">
        <f>'2025年安徽省区利润表'!C165+'2025年江西省区利润表'!C165</f>
        <v>0</v>
      </c>
      <c r="D165" s="49">
        <f>'2025年安徽省区利润表'!D165+'2025年江西省区利润表'!D165</f>
        <v>0</v>
      </c>
      <c r="E165" s="49">
        <f>'2025年安徽省区利润表'!E165+'2025年江西省区利润表'!E165</f>
        <v>0</v>
      </c>
      <c r="F165" s="49">
        <f>'2025年安徽省区利润表'!F165+'2025年江西省区利润表'!F165</f>
        <v>0</v>
      </c>
      <c r="G165" s="49">
        <f>'2025年安徽省区利润表'!G165+'2025年江西省区利润表'!G165</f>
        <v>0</v>
      </c>
      <c r="H165" s="49">
        <f>'2025年安徽省区利润表'!H165+'2025年江西省区利润表'!H165</f>
        <v>0</v>
      </c>
      <c r="I165" s="49">
        <f>'2025年安徽省区利润表'!I165+'2025年江西省区利润表'!I165</f>
        <v>0</v>
      </c>
      <c r="J165" s="49">
        <f>'2025年安徽省区利润表'!J165+'2025年江西省区利润表'!J165</f>
        <v>0</v>
      </c>
      <c r="K165" s="49">
        <f>'2025年安徽省区利润表'!K165+'2025年江西省区利润表'!K165</f>
        <v>0</v>
      </c>
      <c r="L165" s="49">
        <f>'2025年安徽省区利润表'!L165+'2025年江西省区利润表'!L165</f>
        <v>0</v>
      </c>
      <c r="M165" s="49">
        <f>'2025年安徽省区利润表'!M165+'2025年江西省区利润表'!M165</f>
        <v>0</v>
      </c>
      <c r="N165" s="49">
        <f>'2025年安徽省区利润表'!N165+'2025年江西省区利润表'!N165</f>
        <v>0</v>
      </c>
      <c r="O165" s="49">
        <f>'2025年安徽省区利润表'!O165+'2025年江西省区利润表'!O165</f>
        <v>0</v>
      </c>
      <c r="P165" s="49">
        <f>'2025年安徽省区利润表'!P165+'2025年江西省区利润表'!P165</f>
        <v>0</v>
      </c>
      <c r="Q165" s="49">
        <f>'2025年安徽省区利润表'!Q165+'2025年江西省区利润表'!Q165</f>
        <v>0</v>
      </c>
      <c r="R165" s="49">
        <f>'2025年安徽省区利润表'!R165+'2025年江西省区利润表'!R165</f>
        <v>0</v>
      </c>
      <c r="S165" s="49">
        <f>'2025年安徽省区利润表'!S165+'2025年江西省区利润表'!S165</f>
        <v>0</v>
      </c>
      <c r="T165" s="49">
        <f>'2025年安徽省区利润表'!T165+'2025年江西省区利润表'!T165</f>
        <v>0</v>
      </c>
      <c r="U165" s="49">
        <f>'2025年安徽省区利润表'!U165+'2025年江西省区利润表'!U165</f>
        <v>0</v>
      </c>
      <c r="V165" s="49">
        <f>'2025年安徽省区利润表'!V165+'2025年江西省区利润表'!V165</f>
        <v>0</v>
      </c>
      <c r="W165" s="49">
        <f>'2025年安徽省区利润表'!W165+'2025年江西省区利润表'!W165</f>
        <v>0</v>
      </c>
      <c r="X165" s="49">
        <f>'2025年安徽省区利润表'!X165+'2025年江西省区利润表'!X165</f>
        <v>0</v>
      </c>
      <c r="Y165" s="49">
        <f>'2025年安徽省区利润表'!Y165+'2025年江西省区利润表'!Y165</f>
        <v>0</v>
      </c>
      <c r="Z165" s="49">
        <f>'2025年安徽省区利润表'!Z165+'2025年江西省区利润表'!Z165</f>
        <v>0</v>
      </c>
      <c r="AA165" s="51">
        <f t="shared" si="31"/>
        <v>0</v>
      </c>
      <c r="AB165" s="51">
        <f t="shared" si="30"/>
        <v>0</v>
      </c>
      <c r="AD165" s="31">
        <f t="shared" si="32"/>
        <v>0</v>
      </c>
      <c r="AE165" s="31">
        <f t="shared" si="33"/>
        <v>0</v>
      </c>
      <c r="AF165" s="17">
        <f t="shared" si="34"/>
        <v>0</v>
      </c>
      <c r="AG165" s="17">
        <f t="shared" si="35"/>
        <v>0</v>
      </c>
      <c r="BG165" s="20"/>
    </row>
    <row r="166" spans="1:59" s="19" customFormat="1" ht="18" customHeight="1" outlineLevel="1" x14ac:dyDescent="0.25">
      <c r="A166" s="48" t="s">
        <v>169</v>
      </c>
      <c r="B166" s="53"/>
      <c r="C166" s="49">
        <f>'2025年安徽省区利润表'!C166+'2025年江西省区利润表'!C166</f>
        <v>0</v>
      </c>
      <c r="D166" s="49">
        <f>'2025年安徽省区利润表'!D166+'2025年江西省区利润表'!D166</f>
        <v>0</v>
      </c>
      <c r="E166" s="49">
        <f>'2025年安徽省区利润表'!E166+'2025年江西省区利润表'!E166</f>
        <v>0</v>
      </c>
      <c r="F166" s="49">
        <f>'2025年安徽省区利润表'!F166+'2025年江西省区利润表'!F166</f>
        <v>0</v>
      </c>
      <c r="G166" s="49">
        <f>'2025年安徽省区利润表'!G166+'2025年江西省区利润表'!G166</f>
        <v>0</v>
      </c>
      <c r="H166" s="49">
        <f>'2025年安徽省区利润表'!H166+'2025年江西省区利润表'!H166</f>
        <v>0</v>
      </c>
      <c r="I166" s="49">
        <f>'2025年安徽省区利润表'!I166+'2025年江西省区利润表'!I166</f>
        <v>0</v>
      </c>
      <c r="J166" s="49">
        <f>'2025年安徽省区利润表'!J166+'2025年江西省区利润表'!J166</f>
        <v>0</v>
      </c>
      <c r="K166" s="49">
        <f>'2025年安徽省区利润表'!K166+'2025年江西省区利润表'!K166</f>
        <v>0</v>
      </c>
      <c r="L166" s="49">
        <f>'2025年安徽省区利润表'!L166+'2025年江西省区利润表'!L166</f>
        <v>0</v>
      </c>
      <c r="M166" s="49">
        <f>'2025年安徽省区利润表'!M166+'2025年江西省区利润表'!M166</f>
        <v>0</v>
      </c>
      <c r="N166" s="49">
        <f>'2025年安徽省区利润表'!N166+'2025年江西省区利润表'!N166</f>
        <v>0</v>
      </c>
      <c r="O166" s="49">
        <f>'2025年安徽省区利润表'!O166+'2025年江西省区利润表'!O166</f>
        <v>0</v>
      </c>
      <c r="P166" s="49">
        <f>'2025年安徽省区利润表'!P166+'2025年江西省区利润表'!P166</f>
        <v>0</v>
      </c>
      <c r="Q166" s="49">
        <f>'2025年安徽省区利润表'!Q166+'2025年江西省区利润表'!Q166</f>
        <v>0</v>
      </c>
      <c r="R166" s="49">
        <f>'2025年安徽省区利润表'!R166+'2025年江西省区利润表'!R166</f>
        <v>0</v>
      </c>
      <c r="S166" s="49">
        <f>'2025年安徽省区利润表'!S166+'2025年江西省区利润表'!S166</f>
        <v>0</v>
      </c>
      <c r="T166" s="49">
        <f>'2025年安徽省区利润表'!T166+'2025年江西省区利润表'!T166</f>
        <v>0</v>
      </c>
      <c r="U166" s="49">
        <f>'2025年安徽省区利润表'!U166+'2025年江西省区利润表'!U166</f>
        <v>0</v>
      </c>
      <c r="V166" s="49">
        <f>'2025年安徽省区利润表'!V166+'2025年江西省区利润表'!V166</f>
        <v>0</v>
      </c>
      <c r="W166" s="49">
        <f>'2025年安徽省区利润表'!W166+'2025年江西省区利润表'!W166</f>
        <v>0</v>
      </c>
      <c r="X166" s="49">
        <f>'2025年安徽省区利润表'!X166+'2025年江西省区利润表'!X166</f>
        <v>0</v>
      </c>
      <c r="Y166" s="49">
        <f>'2025年安徽省区利润表'!Y166+'2025年江西省区利润表'!Y166</f>
        <v>0</v>
      </c>
      <c r="Z166" s="49">
        <f>'2025年安徽省区利润表'!Z166+'2025年江西省区利润表'!Z166</f>
        <v>0</v>
      </c>
      <c r="AA166" s="51">
        <f t="shared" si="31"/>
        <v>0</v>
      </c>
      <c r="AB166" s="51">
        <f t="shared" si="30"/>
        <v>0</v>
      </c>
      <c r="AD166" s="31">
        <f t="shared" si="32"/>
        <v>0</v>
      </c>
      <c r="AE166" s="31">
        <f t="shared" si="33"/>
        <v>0</v>
      </c>
      <c r="AF166" s="17">
        <f t="shared" si="34"/>
        <v>0</v>
      </c>
      <c r="AG166" s="17">
        <f t="shared" si="35"/>
        <v>0</v>
      </c>
      <c r="BG166" s="20"/>
    </row>
    <row r="167" spans="1:59" s="19" customFormat="1" ht="18" customHeight="1" outlineLevel="1" x14ac:dyDescent="0.25">
      <c r="A167" s="48" t="s">
        <v>170</v>
      </c>
      <c r="B167" s="53"/>
      <c r="C167" s="49">
        <f>'2025年安徽省区利润表'!C167+'2025年江西省区利润表'!C167</f>
        <v>0</v>
      </c>
      <c r="D167" s="49">
        <f>'2025年安徽省区利润表'!D167+'2025年江西省区利润表'!D167</f>
        <v>0</v>
      </c>
      <c r="E167" s="49">
        <f>'2025年安徽省区利润表'!E167+'2025年江西省区利润表'!E167</f>
        <v>0</v>
      </c>
      <c r="F167" s="49">
        <f>'2025年安徽省区利润表'!F167+'2025年江西省区利润表'!F167</f>
        <v>0</v>
      </c>
      <c r="G167" s="49">
        <f>'2025年安徽省区利润表'!G167+'2025年江西省区利润表'!G167</f>
        <v>0</v>
      </c>
      <c r="H167" s="49">
        <f>'2025年安徽省区利润表'!H167+'2025年江西省区利润表'!H167</f>
        <v>0</v>
      </c>
      <c r="I167" s="49">
        <f>'2025年安徽省区利润表'!I167+'2025年江西省区利润表'!I167</f>
        <v>0</v>
      </c>
      <c r="J167" s="49">
        <f>'2025年安徽省区利润表'!J167+'2025年江西省区利润表'!J167</f>
        <v>0</v>
      </c>
      <c r="K167" s="49">
        <f>'2025年安徽省区利润表'!K167+'2025年江西省区利润表'!K167</f>
        <v>0</v>
      </c>
      <c r="L167" s="49">
        <f>'2025年安徽省区利润表'!L167+'2025年江西省区利润表'!L167</f>
        <v>0</v>
      </c>
      <c r="M167" s="49">
        <f>'2025年安徽省区利润表'!M167+'2025年江西省区利润表'!M167</f>
        <v>0</v>
      </c>
      <c r="N167" s="49">
        <f>'2025年安徽省区利润表'!N167+'2025年江西省区利润表'!N167</f>
        <v>0</v>
      </c>
      <c r="O167" s="49">
        <f>'2025年安徽省区利润表'!O167+'2025年江西省区利润表'!O167</f>
        <v>0</v>
      </c>
      <c r="P167" s="49">
        <f>'2025年安徽省区利润表'!P167+'2025年江西省区利润表'!P167</f>
        <v>0</v>
      </c>
      <c r="Q167" s="49">
        <f>'2025年安徽省区利润表'!Q167+'2025年江西省区利润表'!Q167</f>
        <v>0</v>
      </c>
      <c r="R167" s="49">
        <f>'2025年安徽省区利润表'!R167+'2025年江西省区利润表'!R167</f>
        <v>0</v>
      </c>
      <c r="S167" s="49">
        <f>'2025年安徽省区利润表'!S167+'2025年江西省区利润表'!S167</f>
        <v>0</v>
      </c>
      <c r="T167" s="49">
        <f>'2025年安徽省区利润表'!T167+'2025年江西省区利润表'!T167</f>
        <v>0</v>
      </c>
      <c r="U167" s="49">
        <f>'2025年安徽省区利润表'!U167+'2025年江西省区利润表'!U167</f>
        <v>0</v>
      </c>
      <c r="V167" s="49">
        <f>'2025年安徽省区利润表'!V167+'2025年江西省区利润表'!V167</f>
        <v>0</v>
      </c>
      <c r="W167" s="49">
        <f>'2025年安徽省区利润表'!W167+'2025年江西省区利润表'!W167</f>
        <v>0</v>
      </c>
      <c r="X167" s="49">
        <f>'2025年安徽省区利润表'!X167+'2025年江西省区利润表'!X167</f>
        <v>0</v>
      </c>
      <c r="Y167" s="49">
        <f>'2025年安徽省区利润表'!Y167+'2025年江西省区利润表'!Y167</f>
        <v>0</v>
      </c>
      <c r="Z167" s="49">
        <f>'2025年安徽省区利润表'!Z167+'2025年江西省区利润表'!Z167</f>
        <v>0</v>
      </c>
      <c r="AA167" s="51">
        <f t="shared" si="31"/>
        <v>0</v>
      </c>
      <c r="AB167" s="51">
        <f t="shared" ref="AB167:AB175" si="36">D167+F167+H167+J167+L167+N167+P167+R167+T167+V167+X167+Z167</f>
        <v>0</v>
      </c>
      <c r="AD167" s="31">
        <f t="shared" si="32"/>
        <v>0</v>
      </c>
      <c r="AE167" s="31">
        <f t="shared" si="33"/>
        <v>0</v>
      </c>
      <c r="AF167" s="17">
        <f t="shared" si="34"/>
        <v>0</v>
      </c>
      <c r="AG167" s="17">
        <f t="shared" si="35"/>
        <v>0</v>
      </c>
      <c r="BG167" s="20"/>
    </row>
    <row r="168" spans="1:59" s="19" customFormat="1" ht="18" customHeight="1" outlineLevel="1" x14ac:dyDescent="0.25">
      <c r="A168" s="48" t="s">
        <v>171</v>
      </c>
      <c r="B168" s="53"/>
      <c r="C168" s="49">
        <f>'2025年安徽省区利润表'!C168+'2025年江西省区利润表'!C168</f>
        <v>0</v>
      </c>
      <c r="D168" s="49">
        <f>'2025年安徽省区利润表'!D168+'2025年江西省区利润表'!D168</f>
        <v>0</v>
      </c>
      <c r="E168" s="49">
        <f>'2025年安徽省区利润表'!E168+'2025年江西省区利润表'!E168</f>
        <v>0</v>
      </c>
      <c r="F168" s="49">
        <f>'2025年安徽省区利润表'!F168+'2025年江西省区利润表'!F168</f>
        <v>0</v>
      </c>
      <c r="G168" s="49">
        <f>'2025年安徽省区利润表'!G168+'2025年江西省区利润表'!G168</f>
        <v>0</v>
      </c>
      <c r="H168" s="49">
        <f>'2025年安徽省区利润表'!H168+'2025年江西省区利润表'!H168</f>
        <v>0</v>
      </c>
      <c r="I168" s="49">
        <f>'2025年安徽省区利润表'!I168+'2025年江西省区利润表'!I168</f>
        <v>0</v>
      </c>
      <c r="J168" s="49">
        <f>'2025年安徽省区利润表'!J168+'2025年江西省区利润表'!J168</f>
        <v>0</v>
      </c>
      <c r="K168" s="49">
        <f>'2025年安徽省区利润表'!K168+'2025年江西省区利润表'!K168</f>
        <v>0</v>
      </c>
      <c r="L168" s="49">
        <f>'2025年安徽省区利润表'!L168+'2025年江西省区利润表'!L168</f>
        <v>0</v>
      </c>
      <c r="M168" s="49">
        <f>'2025年安徽省区利润表'!M168+'2025年江西省区利润表'!M168</f>
        <v>0</v>
      </c>
      <c r="N168" s="49">
        <f>'2025年安徽省区利润表'!N168+'2025年江西省区利润表'!N168</f>
        <v>0</v>
      </c>
      <c r="O168" s="49">
        <f>'2025年安徽省区利润表'!O168+'2025年江西省区利润表'!O168</f>
        <v>0</v>
      </c>
      <c r="P168" s="49">
        <f>'2025年安徽省区利润表'!P168+'2025年江西省区利润表'!P168</f>
        <v>0</v>
      </c>
      <c r="Q168" s="49">
        <f>'2025年安徽省区利润表'!Q168+'2025年江西省区利润表'!Q168</f>
        <v>0</v>
      </c>
      <c r="R168" s="49">
        <f>'2025年安徽省区利润表'!R168+'2025年江西省区利润表'!R168</f>
        <v>0</v>
      </c>
      <c r="S168" s="49">
        <f>'2025年安徽省区利润表'!S168+'2025年江西省区利润表'!S168</f>
        <v>0</v>
      </c>
      <c r="T168" s="49">
        <f>'2025年安徽省区利润表'!T168+'2025年江西省区利润表'!T168</f>
        <v>0</v>
      </c>
      <c r="U168" s="49">
        <f>'2025年安徽省区利润表'!U168+'2025年江西省区利润表'!U168</f>
        <v>0</v>
      </c>
      <c r="V168" s="49">
        <f>'2025年安徽省区利润表'!V168+'2025年江西省区利润表'!V168</f>
        <v>0</v>
      </c>
      <c r="W168" s="49">
        <f>'2025年安徽省区利润表'!W168+'2025年江西省区利润表'!W168</f>
        <v>0</v>
      </c>
      <c r="X168" s="49">
        <f>'2025年安徽省区利润表'!X168+'2025年江西省区利润表'!X168</f>
        <v>0</v>
      </c>
      <c r="Y168" s="49">
        <f>'2025年安徽省区利润表'!Y168+'2025年江西省区利润表'!Y168</f>
        <v>0</v>
      </c>
      <c r="Z168" s="49">
        <f>'2025年安徽省区利润表'!Z168+'2025年江西省区利润表'!Z168</f>
        <v>0</v>
      </c>
      <c r="AA168" s="51">
        <f t="shared" si="31"/>
        <v>0</v>
      </c>
      <c r="AB168" s="51">
        <f t="shared" si="36"/>
        <v>0</v>
      </c>
      <c r="AD168" s="31">
        <f t="shared" si="32"/>
        <v>0</v>
      </c>
      <c r="AE168" s="31">
        <f t="shared" si="33"/>
        <v>0</v>
      </c>
      <c r="AF168" s="17">
        <f t="shared" si="34"/>
        <v>0</v>
      </c>
      <c r="AG168" s="17">
        <f t="shared" si="35"/>
        <v>0</v>
      </c>
      <c r="BG168" s="20"/>
    </row>
    <row r="169" spans="1:59" s="19" customFormat="1" ht="18" customHeight="1" outlineLevel="1" x14ac:dyDescent="0.25">
      <c r="A169" s="48" t="s">
        <v>172</v>
      </c>
      <c r="B169" s="53"/>
      <c r="C169" s="49">
        <f>'2025年安徽省区利润表'!C169+'2025年江西省区利润表'!C169</f>
        <v>0</v>
      </c>
      <c r="D169" s="49">
        <f>'2025年安徽省区利润表'!D169+'2025年江西省区利润表'!D169</f>
        <v>0</v>
      </c>
      <c r="E169" s="49">
        <f>'2025年安徽省区利润表'!E169+'2025年江西省区利润表'!E169</f>
        <v>0</v>
      </c>
      <c r="F169" s="49">
        <f>'2025年安徽省区利润表'!F169+'2025年江西省区利润表'!F169</f>
        <v>0</v>
      </c>
      <c r="G169" s="49">
        <f>'2025年安徽省区利润表'!G169+'2025年江西省区利润表'!G169</f>
        <v>0</v>
      </c>
      <c r="H169" s="49">
        <f>'2025年安徽省区利润表'!H169+'2025年江西省区利润表'!H169</f>
        <v>0</v>
      </c>
      <c r="I169" s="49">
        <f>'2025年安徽省区利润表'!I169+'2025年江西省区利润表'!I169</f>
        <v>0</v>
      </c>
      <c r="J169" s="49">
        <f>'2025年安徽省区利润表'!J169+'2025年江西省区利润表'!J169</f>
        <v>0</v>
      </c>
      <c r="K169" s="49">
        <f>'2025年安徽省区利润表'!K169+'2025年江西省区利润表'!K169</f>
        <v>0</v>
      </c>
      <c r="L169" s="49">
        <f>'2025年安徽省区利润表'!L169+'2025年江西省区利润表'!L169</f>
        <v>0</v>
      </c>
      <c r="M169" s="49">
        <f>'2025年安徽省区利润表'!M169+'2025年江西省区利润表'!M169</f>
        <v>0</v>
      </c>
      <c r="N169" s="49">
        <f>'2025年安徽省区利润表'!N169+'2025年江西省区利润表'!N169</f>
        <v>0</v>
      </c>
      <c r="O169" s="49">
        <f>'2025年安徽省区利润表'!O169+'2025年江西省区利润表'!O169</f>
        <v>0</v>
      </c>
      <c r="P169" s="49">
        <f>'2025年安徽省区利润表'!P169+'2025年江西省区利润表'!P169</f>
        <v>0</v>
      </c>
      <c r="Q169" s="49">
        <f>'2025年安徽省区利润表'!Q169+'2025年江西省区利润表'!Q169</f>
        <v>0</v>
      </c>
      <c r="R169" s="49">
        <f>'2025年安徽省区利润表'!R169+'2025年江西省区利润表'!R169</f>
        <v>0</v>
      </c>
      <c r="S169" s="49">
        <f>'2025年安徽省区利润表'!S169+'2025年江西省区利润表'!S169</f>
        <v>0</v>
      </c>
      <c r="T169" s="49">
        <f>'2025年安徽省区利润表'!T169+'2025年江西省区利润表'!T169</f>
        <v>0</v>
      </c>
      <c r="U169" s="49">
        <f>'2025年安徽省区利润表'!U169+'2025年江西省区利润表'!U169</f>
        <v>0</v>
      </c>
      <c r="V169" s="49">
        <f>'2025年安徽省区利润表'!V169+'2025年江西省区利润表'!V169</f>
        <v>0</v>
      </c>
      <c r="W169" s="49">
        <f>'2025年安徽省区利润表'!W169+'2025年江西省区利润表'!W169</f>
        <v>0</v>
      </c>
      <c r="X169" s="49">
        <f>'2025年安徽省区利润表'!X169+'2025年江西省区利润表'!X169</f>
        <v>0</v>
      </c>
      <c r="Y169" s="49">
        <f>'2025年安徽省区利润表'!Y169+'2025年江西省区利润表'!Y169</f>
        <v>0</v>
      </c>
      <c r="Z169" s="49">
        <f>'2025年安徽省区利润表'!Z169+'2025年江西省区利润表'!Z169</f>
        <v>0</v>
      </c>
      <c r="AA169" s="51">
        <f t="shared" si="31"/>
        <v>0</v>
      </c>
      <c r="AB169" s="51">
        <f t="shared" si="36"/>
        <v>0</v>
      </c>
      <c r="AD169" s="31">
        <f t="shared" si="32"/>
        <v>0</v>
      </c>
      <c r="AE169" s="31">
        <f t="shared" si="33"/>
        <v>0</v>
      </c>
      <c r="AF169" s="17">
        <f t="shared" si="34"/>
        <v>0</v>
      </c>
      <c r="AG169" s="17">
        <f t="shared" si="35"/>
        <v>0</v>
      </c>
      <c r="BG169" s="20"/>
    </row>
    <row r="170" spans="1:59" s="19" customFormat="1" ht="18" customHeight="1" outlineLevel="1" x14ac:dyDescent="0.25">
      <c r="A170" s="48" t="s">
        <v>173</v>
      </c>
      <c r="B170" s="53"/>
      <c r="C170" s="49">
        <f>'2025年安徽省区利润表'!C170+'2025年江西省区利润表'!C170</f>
        <v>0</v>
      </c>
      <c r="D170" s="49">
        <f>'2025年安徽省区利润表'!D170+'2025年江西省区利润表'!D170</f>
        <v>0</v>
      </c>
      <c r="E170" s="49">
        <f>'2025年安徽省区利润表'!E170+'2025年江西省区利润表'!E170</f>
        <v>0</v>
      </c>
      <c r="F170" s="49">
        <f>'2025年安徽省区利润表'!F170+'2025年江西省区利润表'!F170</f>
        <v>0</v>
      </c>
      <c r="G170" s="49">
        <f>'2025年安徽省区利润表'!G170+'2025年江西省区利润表'!G170</f>
        <v>0</v>
      </c>
      <c r="H170" s="49">
        <f>'2025年安徽省区利润表'!H170+'2025年江西省区利润表'!H170</f>
        <v>0</v>
      </c>
      <c r="I170" s="49">
        <f>'2025年安徽省区利润表'!I170+'2025年江西省区利润表'!I170</f>
        <v>0</v>
      </c>
      <c r="J170" s="49">
        <f>'2025年安徽省区利润表'!J170+'2025年江西省区利润表'!J170</f>
        <v>0</v>
      </c>
      <c r="K170" s="49">
        <f>'2025年安徽省区利润表'!K170+'2025年江西省区利润表'!K170</f>
        <v>0</v>
      </c>
      <c r="L170" s="49">
        <f>'2025年安徽省区利润表'!L170+'2025年江西省区利润表'!L170</f>
        <v>0</v>
      </c>
      <c r="M170" s="49">
        <f>'2025年安徽省区利润表'!M170+'2025年江西省区利润表'!M170</f>
        <v>0</v>
      </c>
      <c r="N170" s="49">
        <f>'2025年安徽省区利润表'!N170+'2025年江西省区利润表'!N170</f>
        <v>0</v>
      </c>
      <c r="O170" s="49">
        <f>'2025年安徽省区利润表'!O170+'2025年江西省区利润表'!O170</f>
        <v>0</v>
      </c>
      <c r="P170" s="49">
        <f>'2025年安徽省区利润表'!P170+'2025年江西省区利润表'!P170</f>
        <v>0</v>
      </c>
      <c r="Q170" s="49">
        <f>'2025年安徽省区利润表'!Q170+'2025年江西省区利润表'!Q170</f>
        <v>0</v>
      </c>
      <c r="R170" s="49">
        <f>'2025年安徽省区利润表'!R170+'2025年江西省区利润表'!R170</f>
        <v>0</v>
      </c>
      <c r="S170" s="49">
        <f>'2025年安徽省区利润表'!S170+'2025年江西省区利润表'!S170</f>
        <v>0</v>
      </c>
      <c r="T170" s="49">
        <f>'2025年安徽省区利润表'!T170+'2025年江西省区利润表'!T170</f>
        <v>0</v>
      </c>
      <c r="U170" s="49">
        <f>'2025年安徽省区利润表'!U170+'2025年江西省区利润表'!U170</f>
        <v>0</v>
      </c>
      <c r="V170" s="49">
        <f>'2025年安徽省区利润表'!V170+'2025年江西省区利润表'!V170</f>
        <v>0</v>
      </c>
      <c r="W170" s="49">
        <f>'2025年安徽省区利润表'!W170+'2025年江西省区利润表'!W170</f>
        <v>0</v>
      </c>
      <c r="X170" s="49">
        <f>'2025年安徽省区利润表'!X170+'2025年江西省区利润表'!X170</f>
        <v>0</v>
      </c>
      <c r="Y170" s="49">
        <f>'2025年安徽省区利润表'!Y170+'2025年江西省区利润表'!Y170</f>
        <v>0</v>
      </c>
      <c r="Z170" s="49">
        <f>'2025年安徽省区利润表'!Z170+'2025年江西省区利润表'!Z170</f>
        <v>0</v>
      </c>
      <c r="AA170" s="51">
        <f t="shared" si="31"/>
        <v>0</v>
      </c>
      <c r="AB170" s="51">
        <f t="shared" si="36"/>
        <v>0</v>
      </c>
      <c r="AD170" s="31">
        <f t="shared" si="32"/>
        <v>0</v>
      </c>
      <c r="AE170" s="31">
        <f t="shared" si="33"/>
        <v>0</v>
      </c>
      <c r="AF170" s="17">
        <f t="shared" si="34"/>
        <v>0</v>
      </c>
      <c r="AG170" s="17">
        <f t="shared" si="35"/>
        <v>0</v>
      </c>
      <c r="BG170" s="20"/>
    </row>
    <row r="171" spans="1:59" s="19" customFormat="1" ht="18" customHeight="1" outlineLevel="1" x14ac:dyDescent="0.25">
      <c r="A171" s="48" t="s">
        <v>174</v>
      </c>
      <c r="B171" s="53"/>
      <c r="C171" s="49">
        <f>'2025年安徽省区利润表'!C171+'2025年江西省区利润表'!C171</f>
        <v>0</v>
      </c>
      <c r="D171" s="49">
        <f>'2025年安徽省区利润表'!D171+'2025年江西省区利润表'!D171</f>
        <v>0</v>
      </c>
      <c r="E171" s="49">
        <f>'2025年安徽省区利润表'!E171+'2025年江西省区利润表'!E171</f>
        <v>0</v>
      </c>
      <c r="F171" s="49">
        <f>'2025年安徽省区利润表'!F171+'2025年江西省区利润表'!F171</f>
        <v>0</v>
      </c>
      <c r="G171" s="49">
        <f>'2025年安徽省区利润表'!G171+'2025年江西省区利润表'!G171</f>
        <v>0</v>
      </c>
      <c r="H171" s="49">
        <f>'2025年安徽省区利润表'!H171+'2025年江西省区利润表'!H171</f>
        <v>0</v>
      </c>
      <c r="I171" s="49">
        <f>'2025年安徽省区利润表'!I171+'2025年江西省区利润表'!I171</f>
        <v>0</v>
      </c>
      <c r="J171" s="49">
        <f>'2025年安徽省区利润表'!J171+'2025年江西省区利润表'!J171</f>
        <v>0</v>
      </c>
      <c r="K171" s="49">
        <f>'2025年安徽省区利润表'!K171+'2025年江西省区利润表'!K171</f>
        <v>0</v>
      </c>
      <c r="L171" s="49">
        <f>'2025年安徽省区利润表'!L171+'2025年江西省区利润表'!L171</f>
        <v>0</v>
      </c>
      <c r="M171" s="49">
        <f>'2025年安徽省区利润表'!M171+'2025年江西省区利润表'!M171</f>
        <v>0</v>
      </c>
      <c r="N171" s="49">
        <f>'2025年安徽省区利润表'!N171+'2025年江西省区利润表'!N171</f>
        <v>0</v>
      </c>
      <c r="O171" s="49">
        <f>'2025年安徽省区利润表'!O171+'2025年江西省区利润表'!O171</f>
        <v>0</v>
      </c>
      <c r="P171" s="49">
        <f>'2025年安徽省区利润表'!P171+'2025年江西省区利润表'!P171</f>
        <v>0</v>
      </c>
      <c r="Q171" s="49">
        <f>'2025年安徽省区利润表'!Q171+'2025年江西省区利润表'!Q171</f>
        <v>0</v>
      </c>
      <c r="R171" s="49">
        <f>'2025年安徽省区利润表'!R171+'2025年江西省区利润表'!R171</f>
        <v>0</v>
      </c>
      <c r="S171" s="49">
        <f>'2025年安徽省区利润表'!S171+'2025年江西省区利润表'!S171</f>
        <v>0</v>
      </c>
      <c r="T171" s="49">
        <f>'2025年安徽省区利润表'!T171+'2025年江西省区利润表'!T171</f>
        <v>0</v>
      </c>
      <c r="U171" s="49">
        <f>'2025年安徽省区利润表'!U171+'2025年江西省区利润表'!U171</f>
        <v>0</v>
      </c>
      <c r="V171" s="49">
        <f>'2025年安徽省区利润表'!V171+'2025年江西省区利润表'!V171</f>
        <v>0</v>
      </c>
      <c r="W171" s="49">
        <f>'2025年安徽省区利润表'!W171+'2025年江西省区利润表'!W171</f>
        <v>0</v>
      </c>
      <c r="X171" s="49">
        <f>'2025年安徽省区利润表'!X171+'2025年江西省区利润表'!X171</f>
        <v>0</v>
      </c>
      <c r="Y171" s="49">
        <f>'2025年安徽省区利润表'!Y171+'2025年江西省区利润表'!Y171</f>
        <v>0</v>
      </c>
      <c r="Z171" s="49">
        <f>'2025年安徽省区利润表'!Z171+'2025年江西省区利润表'!Z171</f>
        <v>0</v>
      </c>
      <c r="AA171" s="51">
        <f t="shared" si="31"/>
        <v>0</v>
      </c>
      <c r="AB171" s="51">
        <f t="shared" si="36"/>
        <v>0</v>
      </c>
      <c r="AD171" s="31">
        <f t="shared" si="32"/>
        <v>0</v>
      </c>
      <c r="AE171" s="31">
        <f t="shared" si="33"/>
        <v>0</v>
      </c>
      <c r="AF171" s="17">
        <f t="shared" si="34"/>
        <v>0</v>
      </c>
      <c r="AG171" s="17">
        <f t="shared" si="35"/>
        <v>0</v>
      </c>
      <c r="BG171" s="20"/>
    </row>
    <row r="172" spans="1:59" s="19" customFormat="1" ht="18" customHeight="1" outlineLevel="1" x14ac:dyDescent="0.25">
      <c r="A172" s="48" t="s">
        <v>175</v>
      </c>
      <c r="B172" s="53"/>
      <c r="C172" s="49">
        <f>'2025年安徽省区利润表'!C172+'2025年江西省区利润表'!C172</f>
        <v>0</v>
      </c>
      <c r="D172" s="49">
        <f>'2025年安徽省区利润表'!D172+'2025年江西省区利润表'!D172</f>
        <v>0</v>
      </c>
      <c r="E172" s="49">
        <f>'2025年安徽省区利润表'!E172+'2025年江西省区利润表'!E172</f>
        <v>0</v>
      </c>
      <c r="F172" s="49">
        <f>'2025年安徽省区利润表'!F172+'2025年江西省区利润表'!F172</f>
        <v>0</v>
      </c>
      <c r="G172" s="49">
        <f>'2025年安徽省区利润表'!G172+'2025年江西省区利润表'!G172</f>
        <v>0</v>
      </c>
      <c r="H172" s="49">
        <f>'2025年安徽省区利润表'!H172+'2025年江西省区利润表'!H172</f>
        <v>0</v>
      </c>
      <c r="I172" s="49">
        <f>'2025年安徽省区利润表'!I172+'2025年江西省区利润表'!I172</f>
        <v>0</v>
      </c>
      <c r="J172" s="49">
        <f>'2025年安徽省区利润表'!J172+'2025年江西省区利润表'!J172</f>
        <v>0</v>
      </c>
      <c r="K172" s="49">
        <f>'2025年安徽省区利润表'!K172+'2025年江西省区利润表'!K172</f>
        <v>0</v>
      </c>
      <c r="L172" s="49">
        <f>'2025年安徽省区利润表'!L172+'2025年江西省区利润表'!L172</f>
        <v>0</v>
      </c>
      <c r="M172" s="49">
        <f>'2025年安徽省区利润表'!M172+'2025年江西省区利润表'!M172</f>
        <v>0</v>
      </c>
      <c r="N172" s="49">
        <f>'2025年安徽省区利润表'!N172+'2025年江西省区利润表'!N172</f>
        <v>0</v>
      </c>
      <c r="O172" s="49">
        <f>'2025年安徽省区利润表'!O172+'2025年江西省区利润表'!O172</f>
        <v>0</v>
      </c>
      <c r="P172" s="49">
        <f>'2025年安徽省区利润表'!P172+'2025年江西省区利润表'!P172</f>
        <v>0</v>
      </c>
      <c r="Q172" s="49">
        <f>'2025年安徽省区利润表'!Q172+'2025年江西省区利润表'!Q172</f>
        <v>0</v>
      </c>
      <c r="R172" s="49">
        <f>'2025年安徽省区利润表'!R172+'2025年江西省区利润表'!R172</f>
        <v>0</v>
      </c>
      <c r="S172" s="49">
        <f>'2025年安徽省区利润表'!S172+'2025年江西省区利润表'!S172</f>
        <v>0</v>
      </c>
      <c r="T172" s="49">
        <f>'2025年安徽省区利润表'!T172+'2025年江西省区利润表'!T172</f>
        <v>0</v>
      </c>
      <c r="U172" s="49">
        <f>'2025年安徽省区利润表'!U172+'2025年江西省区利润表'!U172</f>
        <v>0</v>
      </c>
      <c r="V172" s="49">
        <f>'2025年安徽省区利润表'!V172+'2025年江西省区利润表'!V172</f>
        <v>0</v>
      </c>
      <c r="W172" s="49">
        <f>'2025年安徽省区利润表'!W172+'2025年江西省区利润表'!W172</f>
        <v>0</v>
      </c>
      <c r="X172" s="49">
        <f>'2025年安徽省区利润表'!X172+'2025年江西省区利润表'!X172</f>
        <v>0</v>
      </c>
      <c r="Y172" s="49">
        <f>'2025年安徽省区利润表'!Y172+'2025年江西省区利润表'!Y172</f>
        <v>0</v>
      </c>
      <c r="Z172" s="49">
        <f>'2025年安徽省区利润表'!Z172+'2025年江西省区利润表'!Z172</f>
        <v>0</v>
      </c>
      <c r="AA172" s="51">
        <f t="shared" si="31"/>
        <v>0</v>
      </c>
      <c r="AB172" s="51">
        <f t="shared" si="36"/>
        <v>0</v>
      </c>
      <c r="AD172" s="31">
        <f t="shared" si="32"/>
        <v>0</v>
      </c>
      <c r="AE172" s="31">
        <f t="shared" si="33"/>
        <v>0</v>
      </c>
      <c r="AF172" s="17">
        <f t="shared" si="34"/>
        <v>0</v>
      </c>
      <c r="AG172" s="17">
        <f t="shared" si="35"/>
        <v>0</v>
      </c>
      <c r="BG172" s="20"/>
    </row>
    <row r="173" spans="1:59" s="19" customFormat="1" ht="18" customHeight="1" outlineLevel="1" x14ac:dyDescent="0.25">
      <c r="A173" s="48" t="s">
        <v>176</v>
      </c>
      <c r="B173" s="53"/>
      <c r="C173" s="49">
        <f>'2025年安徽省区利润表'!C173+'2025年江西省区利润表'!C173</f>
        <v>0</v>
      </c>
      <c r="D173" s="49">
        <f>'2025年安徽省区利润表'!D173+'2025年江西省区利润表'!D173</f>
        <v>0</v>
      </c>
      <c r="E173" s="49">
        <f>'2025年安徽省区利润表'!E173+'2025年江西省区利润表'!E173</f>
        <v>0</v>
      </c>
      <c r="F173" s="49">
        <f>'2025年安徽省区利润表'!F173+'2025年江西省区利润表'!F173</f>
        <v>0</v>
      </c>
      <c r="G173" s="49">
        <f>'2025年安徽省区利润表'!G173+'2025年江西省区利润表'!G173</f>
        <v>0</v>
      </c>
      <c r="H173" s="49">
        <f>'2025年安徽省区利润表'!H173+'2025年江西省区利润表'!H173</f>
        <v>0</v>
      </c>
      <c r="I173" s="49">
        <f>'2025年安徽省区利润表'!I173+'2025年江西省区利润表'!I173</f>
        <v>0</v>
      </c>
      <c r="J173" s="49">
        <f>'2025年安徽省区利润表'!J173+'2025年江西省区利润表'!J173</f>
        <v>0</v>
      </c>
      <c r="K173" s="49">
        <f>'2025年安徽省区利润表'!K173+'2025年江西省区利润表'!K173</f>
        <v>0</v>
      </c>
      <c r="L173" s="49">
        <f>'2025年安徽省区利润表'!L173+'2025年江西省区利润表'!L173</f>
        <v>0</v>
      </c>
      <c r="M173" s="49">
        <f>'2025年安徽省区利润表'!M173+'2025年江西省区利润表'!M173</f>
        <v>0</v>
      </c>
      <c r="N173" s="49">
        <f>'2025年安徽省区利润表'!N173+'2025年江西省区利润表'!N173</f>
        <v>0</v>
      </c>
      <c r="O173" s="49">
        <f>'2025年安徽省区利润表'!O173+'2025年江西省区利润表'!O173</f>
        <v>0</v>
      </c>
      <c r="P173" s="49">
        <f>'2025年安徽省区利润表'!P173+'2025年江西省区利润表'!P173</f>
        <v>0</v>
      </c>
      <c r="Q173" s="49">
        <f>'2025年安徽省区利润表'!Q173+'2025年江西省区利润表'!Q173</f>
        <v>0</v>
      </c>
      <c r="R173" s="49">
        <f>'2025年安徽省区利润表'!R173+'2025年江西省区利润表'!R173</f>
        <v>0</v>
      </c>
      <c r="S173" s="49">
        <f>'2025年安徽省区利润表'!S173+'2025年江西省区利润表'!S173</f>
        <v>0</v>
      </c>
      <c r="T173" s="49">
        <f>'2025年安徽省区利润表'!T173+'2025年江西省区利润表'!T173</f>
        <v>0</v>
      </c>
      <c r="U173" s="49">
        <f>'2025年安徽省区利润表'!U173+'2025年江西省区利润表'!U173</f>
        <v>0</v>
      </c>
      <c r="V173" s="49">
        <f>'2025年安徽省区利润表'!V173+'2025年江西省区利润表'!V173</f>
        <v>0</v>
      </c>
      <c r="W173" s="49">
        <f>'2025年安徽省区利润表'!W173+'2025年江西省区利润表'!W173</f>
        <v>0</v>
      </c>
      <c r="X173" s="49">
        <f>'2025年安徽省区利润表'!X173+'2025年江西省区利润表'!X173</f>
        <v>0</v>
      </c>
      <c r="Y173" s="49">
        <f>'2025年安徽省区利润表'!Y173+'2025年江西省区利润表'!Y173</f>
        <v>0</v>
      </c>
      <c r="Z173" s="49">
        <f>'2025年安徽省区利润表'!Z173+'2025年江西省区利润表'!Z173</f>
        <v>0</v>
      </c>
      <c r="AA173" s="51">
        <f t="shared" si="31"/>
        <v>0</v>
      </c>
      <c r="AB173" s="51">
        <f t="shared" si="36"/>
        <v>0</v>
      </c>
      <c r="AD173" s="31">
        <f t="shared" si="32"/>
        <v>0</v>
      </c>
      <c r="AE173" s="31">
        <f t="shared" si="33"/>
        <v>0</v>
      </c>
      <c r="AF173" s="17">
        <f t="shared" si="34"/>
        <v>0</v>
      </c>
      <c r="AG173" s="17">
        <f t="shared" si="35"/>
        <v>0</v>
      </c>
      <c r="BG173" s="20"/>
    </row>
    <row r="174" spans="1:59" s="19" customFormat="1" ht="18" customHeight="1" outlineLevel="1" x14ac:dyDescent="0.25">
      <c r="A174" s="48" t="s">
        <v>177</v>
      </c>
      <c r="B174" s="53"/>
      <c r="C174" s="49">
        <f>'2025年安徽省区利润表'!C174+'2025年江西省区利润表'!C174</f>
        <v>0</v>
      </c>
      <c r="D174" s="49">
        <f>'2025年安徽省区利润表'!D174+'2025年江西省区利润表'!D174</f>
        <v>0</v>
      </c>
      <c r="E174" s="49">
        <f>'2025年安徽省区利润表'!E174+'2025年江西省区利润表'!E174</f>
        <v>0</v>
      </c>
      <c r="F174" s="49">
        <f>'2025年安徽省区利润表'!F174+'2025年江西省区利润表'!F174</f>
        <v>0</v>
      </c>
      <c r="G174" s="49">
        <f>'2025年安徽省区利润表'!G174+'2025年江西省区利润表'!G174</f>
        <v>0</v>
      </c>
      <c r="H174" s="49">
        <f>'2025年安徽省区利润表'!H174+'2025年江西省区利润表'!H174</f>
        <v>0</v>
      </c>
      <c r="I174" s="49">
        <f>'2025年安徽省区利润表'!I174+'2025年江西省区利润表'!I174</f>
        <v>0</v>
      </c>
      <c r="J174" s="49">
        <f>'2025年安徽省区利润表'!J174+'2025年江西省区利润表'!J174</f>
        <v>0</v>
      </c>
      <c r="K174" s="49">
        <f>'2025年安徽省区利润表'!K174+'2025年江西省区利润表'!K174</f>
        <v>0</v>
      </c>
      <c r="L174" s="49">
        <f>'2025年安徽省区利润表'!L174+'2025年江西省区利润表'!L174</f>
        <v>0</v>
      </c>
      <c r="M174" s="49">
        <f>'2025年安徽省区利润表'!M174+'2025年江西省区利润表'!M174</f>
        <v>0</v>
      </c>
      <c r="N174" s="49">
        <f>'2025年安徽省区利润表'!N174+'2025年江西省区利润表'!N174</f>
        <v>0</v>
      </c>
      <c r="O174" s="49">
        <f>'2025年安徽省区利润表'!O174+'2025年江西省区利润表'!O174</f>
        <v>0</v>
      </c>
      <c r="P174" s="49">
        <f>'2025年安徽省区利润表'!P174+'2025年江西省区利润表'!P174</f>
        <v>0</v>
      </c>
      <c r="Q174" s="49">
        <f>'2025年安徽省区利润表'!Q174+'2025年江西省区利润表'!Q174</f>
        <v>0</v>
      </c>
      <c r="R174" s="49">
        <f>'2025年安徽省区利润表'!R174+'2025年江西省区利润表'!R174</f>
        <v>0</v>
      </c>
      <c r="S174" s="49">
        <f>'2025年安徽省区利润表'!S174+'2025年江西省区利润表'!S174</f>
        <v>0</v>
      </c>
      <c r="T174" s="49">
        <f>'2025年安徽省区利润表'!T174+'2025年江西省区利润表'!T174</f>
        <v>0</v>
      </c>
      <c r="U174" s="49">
        <f>'2025年安徽省区利润表'!U174+'2025年江西省区利润表'!U174</f>
        <v>0</v>
      </c>
      <c r="V174" s="49">
        <f>'2025年安徽省区利润表'!V174+'2025年江西省区利润表'!V174</f>
        <v>0</v>
      </c>
      <c r="W174" s="49">
        <f>'2025年安徽省区利润表'!W174+'2025年江西省区利润表'!W174</f>
        <v>0</v>
      </c>
      <c r="X174" s="49">
        <f>'2025年安徽省区利润表'!X174+'2025年江西省区利润表'!X174</f>
        <v>0</v>
      </c>
      <c r="Y174" s="49">
        <f>'2025年安徽省区利润表'!Y174+'2025年江西省区利润表'!Y174</f>
        <v>0</v>
      </c>
      <c r="Z174" s="49">
        <f>'2025年安徽省区利润表'!Z174+'2025年江西省区利润表'!Z174</f>
        <v>0</v>
      </c>
      <c r="AA174" s="51">
        <f t="shared" si="31"/>
        <v>0</v>
      </c>
      <c r="AB174" s="51">
        <f t="shared" si="36"/>
        <v>0</v>
      </c>
      <c r="AD174" s="31">
        <f t="shared" si="32"/>
        <v>0</v>
      </c>
      <c r="AE174" s="31">
        <f t="shared" si="33"/>
        <v>0</v>
      </c>
      <c r="AF174" s="17">
        <f t="shared" si="34"/>
        <v>0</v>
      </c>
      <c r="AG174" s="17">
        <f t="shared" si="35"/>
        <v>0</v>
      </c>
      <c r="BG174" s="20"/>
    </row>
    <row r="175" spans="1:59" s="19" customFormat="1" ht="18" customHeight="1" outlineLevel="1" x14ac:dyDescent="0.25">
      <c r="A175" s="48" t="s">
        <v>178</v>
      </c>
      <c r="B175" s="53"/>
      <c r="C175" s="49">
        <f>'2025年安徽省区利润表'!C175+'2025年江西省区利润表'!C175</f>
        <v>0</v>
      </c>
      <c r="D175" s="49">
        <f>'2025年安徽省区利润表'!D175+'2025年江西省区利润表'!D175</f>
        <v>0</v>
      </c>
      <c r="E175" s="49">
        <f>'2025年安徽省区利润表'!E175+'2025年江西省区利润表'!E175</f>
        <v>0</v>
      </c>
      <c r="F175" s="49">
        <f>'2025年安徽省区利润表'!F175+'2025年江西省区利润表'!F175</f>
        <v>0</v>
      </c>
      <c r="G175" s="49">
        <f>'2025年安徽省区利润表'!G175+'2025年江西省区利润表'!G175</f>
        <v>0</v>
      </c>
      <c r="H175" s="49">
        <f>'2025年安徽省区利润表'!H175+'2025年江西省区利润表'!H175</f>
        <v>0</v>
      </c>
      <c r="I175" s="49">
        <f>'2025年安徽省区利润表'!I175+'2025年江西省区利润表'!I175</f>
        <v>0</v>
      </c>
      <c r="J175" s="49">
        <f>'2025年安徽省区利润表'!J175+'2025年江西省区利润表'!J175</f>
        <v>0</v>
      </c>
      <c r="K175" s="49">
        <f>'2025年安徽省区利润表'!K175+'2025年江西省区利润表'!K175</f>
        <v>0</v>
      </c>
      <c r="L175" s="49">
        <f>'2025年安徽省区利润表'!L175+'2025年江西省区利润表'!L175</f>
        <v>0</v>
      </c>
      <c r="M175" s="49">
        <f>'2025年安徽省区利润表'!M175+'2025年江西省区利润表'!M175</f>
        <v>0</v>
      </c>
      <c r="N175" s="49">
        <f>'2025年安徽省区利润表'!N175+'2025年江西省区利润表'!N175</f>
        <v>0</v>
      </c>
      <c r="O175" s="49">
        <f>'2025年安徽省区利润表'!O175+'2025年江西省区利润表'!O175</f>
        <v>0</v>
      </c>
      <c r="P175" s="49">
        <f>'2025年安徽省区利润表'!P175+'2025年江西省区利润表'!P175</f>
        <v>0</v>
      </c>
      <c r="Q175" s="49">
        <f>'2025年安徽省区利润表'!Q175+'2025年江西省区利润表'!Q175</f>
        <v>0</v>
      </c>
      <c r="R175" s="49">
        <f>'2025年安徽省区利润表'!R175+'2025年江西省区利润表'!R175</f>
        <v>0</v>
      </c>
      <c r="S175" s="49">
        <f>'2025年安徽省区利润表'!S175+'2025年江西省区利润表'!S175</f>
        <v>0</v>
      </c>
      <c r="T175" s="49">
        <f>'2025年安徽省区利润表'!T175+'2025年江西省区利润表'!T175</f>
        <v>0</v>
      </c>
      <c r="U175" s="49">
        <f>'2025年安徽省区利润表'!U175+'2025年江西省区利润表'!U175</f>
        <v>0</v>
      </c>
      <c r="V175" s="49">
        <f>'2025年安徽省区利润表'!V175+'2025年江西省区利润表'!V175</f>
        <v>0</v>
      </c>
      <c r="W175" s="49">
        <f>'2025年安徽省区利润表'!W175+'2025年江西省区利润表'!W175</f>
        <v>0</v>
      </c>
      <c r="X175" s="49">
        <f>'2025年安徽省区利润表'!X175+'2025年江西省区利润表'!X175</f>
        <v>0</v>
      </c>
      <c r="Y175" s="49">
        <f>'2025年安徽省区利润表'!Y175+'2025年江西省区利润表'!Y175</f>
        <v>0</v>
      </c>
      <c r="Z175" s="49">
        <f>'2025年安徽省区利润表'!Z175+'2025年江西省区利润表'!Z175</f>
        <v>0</v>
      </c>
      <c r="AA175" s="51">
        <f t="shared" si="31"/>
        <v>0</v>
      </c>
      <c r="AB175" s="51">
        <f t="shared" si="36"/>
        <v>0</v>
      </c>
      <c r="AD175" s="31">
        <f t="shared" si="32"/>
        <v>0</v>
      </c>
      <c r="AE175" s="31">
        <f t="shared" si="33"/>
        <v>0</v>
      </c>
      <c r="AF175" s="17">
        <f t="shared" si="34"/>
        <v>0</v>
      </c>
      <c r="AG175" s="17">
        <f t="shared" si="35"/>
        <v>0</v>
      </c>
      <c r="BG175" s="20"/>
    </row>
    <row r="176" spans="1:59" s="21" customFormat="1" ht="18" customHeight="1" x14ac:dyDescent="0.25">
      <c r="A176" s="52" t="s">
        <v>181</v>
      </c>
      <c r="B176" s="45">
        <v>8</v>
      </c>
      <c r="C176" s="69"/>
      <c r="D176" s="65"/>
      <c r="E176" s="65"/>
      <c r="F176" s="65">
        <f>SUM(F177:F249)-F177-F180-F189-F200-F212</f>
        <v>0</v>
      </c>
      <c r="G176" s="65"/>
      <c r="H176" s="65">
        <f>SUM(H177:H249)-H177-H180-H189-H200-H212</f>
        <v>0</v>
      </c>
      <c r="I176" s="65"/>
      <c r="J176" s="65">
        <f>SUM(J177:J249)-J177-J180-J189-J200-J212</f>
        <v>0</v>
      </c>
      <c r="K176" s="65"/>
      <c r="L176" s="65">
        <f>SUM(L177:L249)-L177-L180-L189-L200-L212</f>
        <v>0</v>
      </c>
      <c r="M176" s="65"/>
      <c r="N176" s="65">
        <f>SUM(N177:N249)-N177-N180-N189-N200-N212</f>
        <v>0</v>
      </c>
      <c r="O176" s="65"/>
      <c r="P176" s="65">
        <f>SUM(P177:P249)-P177-P180-P189-P200-P212</f>
        <v>0</v>
      </c>
      <c r="Q176" s="65"/>
      <c r="R176" s="65">
        <f>SUM(R177:R249)-R177-R180-R189-R200-R212</f>
        <v>0</v>
      </c>
      <c r="S176" s="65"/>
      <c r="T176" s="65">
        <f>SUM(T177:T249)-T177-T180-T189-T200-T212</f>
        <v>0</v>
      </c>
      <c r="U176" s="65"/>
      <c r="V176" s="65">
        <f>SUM(V177:V249)-V177-V180-V189-V200-V212</f>
        <v>0</v>
      </c>
      <c r="W176" s="65"/>
      <c r="X176" s="65">
        <f>SUM(X177:X249)-X177-X180-X189-X200-X212</f>
        <v>0</v>
      </c>
      <c r="Y176" s="65"/>
      <c r="Z176" s="65">
        <f>SUM(Z177:Z249)-Z177-Z180-Z189-Z200-Z212</f>
        <v>0</v>
      </c>
      <c r="AA176" s="51">
        <f t="shared" si="31"/>
        <v>0</v>
      </c>
      <c r="AB176" s="70">
        <f>SUM(D176:Z176)</f>
        <v>0</v>
      </c>
      <c r="AD176" s="31">
        <f t="shared" si="32"/>
        <v>0</v>
      </c>
      <c r="AE176" s="31">
        <f t="shared" si="33"/>
        <v>0</v>
      </c>
      <c r="AF176" s="17">
        <f t="shared" si="34"/>
        <v>0</v>
      </c>
      <c r="AG176" s="17">
        <f t="shared" si="35"/>
        <v>0</v>
      </c>
      <c r="BG176" s="66"/>
    </row>
    <row r="177" spans="1:123" s="17" customFormat="1" ht="18" customHeight="1" outlineLevel="1" x14ac:dyDescent="0.25">
      <c r="A177" s="67" t="s">
        <v>107</v>
      </c>
      <c r="B177" s="45"/>
      <c r="C177" s="69"/>
      <c r="D177" s="65"/>
      <c r="E177" s="65"/>
      <c r="F177" s="65">
        <f>SUM(F178:F179)</f>
        <v>0</v>
      </c>
      <c r="G177" s="65"/>
      <c r="H177" s="65">
        <f>SUM(H178:H179)</f>
        <v>0</v>
      </c>
      <c r="I177" s="65"/>
      <c r="J177" s="65">
        <f>SUM(J178:J179)</f>
        <v>0</v>
      </c>
      <c r="K177" s="65"/>
      <c r="L177" s="65">
        <f>SUM(L178:L179)</f>
        <v>0</v>
      </c>
      <c r="M177" s="65"/>
      <c r="N177" s="65">
        <f>SUM(N178:N179)</f>
        <v>0</v>
      </c>
      <c r="O177" s="65"/>
      <c r="P177" s="65">
        <f>SUM(P178:P179)</f>
        <v>0</v>
      </c>
      <c r="Q177" s="65"/>
      <c r="R177" s="65">
        <f>SUM(R178:R179)</f>
        <v>0</v>
      </c>
      <c r="S177" s="65"/>
      <c r="T177" s="65">
        <f>SUM(T178:T179)</f>
        <v>0</v>
      </c>
      <c r="U177" s="65"/>
      <c r="V177" s="65">
        <f>SUM(V178:V179)</f>
        <v>0</v>
      </c>
      <c r="W177" s="65"/>
      <c r="X177" s="65">
        <f>SUM(X178:X179)</f>
        <v>0</v>
      </c>
      <c r="Y177" s="65"/>
      <c r="Z177" s="65">
        <f>SUM(Z178:Z179)</f>
        <v>0</v>
      </c>
      <c r="AA177" s="51">
        <f t="shared" si="31"/>
        <v>0</v>
      </c>
      <c r="AB177" s="51">
        <f t="shared" ref="AB177:AB240" si="37">D177+F177+H177+J177+L177+N177+P177+R177+T177+V177+X177+Z177</f>
        <v>0</v>
      </c>
      <c r="AC177" s="21"/>
      <c r="AD177" s="31">
        <f t="shared" si="32"/>
        <v>0</v>
      </c>
      <c r="AE177" s="31">
        <f t="shared" si="33"/>
        <v>0</v>
      </c>
      <c r="AF177" s="17">
        <f t="shared" si="34"/>
        <v>0</v>
      </c>
      <c r="AG177" s="17">
        <f t="shared" si="35"/>
        <v>0</v>
      </c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</row>
    <row r="178" spans="1:123" s="19" customFormat="1" ht="18" customHeight="1" outlineLevel="2" x14ac:dyDescent="0.25">
      <c r="A178" s="48" t="s">
        <v>108</v>
      </c>
      <c r="B178" s="53"/>
      <c r="C178" s="49">
        <f>'2025年安徽省区利润表'!C178+'2025年江西省区利润表'!C178</f>
        <v>0</v>
      </c>
      <c r="D178" s="49">
        <f>'2025年安徽省区利润表'!D178+'2025年江西省区利润表'!D178</f>
        <v>0</v>
      </c>
      <c r="E178" s="49">
        <f>'2025年安徽省区利润表'!E178+'2025年江西省区利润表'!E178</f>
        <v>0</v>
      </c>
      <c r="F178" s="49">
        <f>'2025年安徽省区利润表'!F178+'2025年江西省区利润表'!F178</f>
        <v>0</v>
      </c>
      <c r="G178" s="49">
        <f>'2025年安徽省区利润表'!G178+'2025年江西省区利润表'!G178</f>
        <v>0</v>
      </c>
      <c r="H178" s="49">
        <f>'2025年安徽省区利润表'!H178+'2025年江西省区利润表'!H178</f>
        <v>0</v>
      </c>
      <c r="I178" s="49">
        <f>'2025年安徽省区利润表'!I178+'2025年江西省区利润表'!I178</f>
        <v>0</v>
      </c>
      <c r="J178" s="49">
        <f>'2025年安徽省区利润表'!J178+'2025年江西省区利润表'!J178</f>
        <v>0</v>
      </c>
      <c r="K178" s="49">
        <f>'2025年安徽省区利润表'!K178+'2025年江西省区利润表'!K178</f>
        <v>0</v>
      </c>
      <c r="L178" s="49">
        <f>'2025年安徽省区利润表'!L178+'2025年江西省区利润表'!L178</f>
        <v>0</v>
      </c>
      <c r="M178" s="49">
        <f>'2025年安徽省区利润表'!M178+'2025年江西省区利润表'!M178</f>
        <v>0</v>
      </c>
      <c r="N178" s="49">
        <f>'2025年安徽省区利润表'!N178+'2025年江西省区利润表'!N178</f>
        <v>0</v>
      </c>
      <c r="O178" s="49">
        <f>'2025年安徽省区利润表'!O178+'2025年江西省区利润表'!O178</f>
        <v>0</v>
      </c>
      <c r="P178" s="49">
        <f>'2025年安徽省区利润表'!P178+'2025年江西省区利润表'!P178</f>
        <v>0</v>
      </c>
      <c r="Q178" s="49">
        <f>'2025年安徽省区利润表'!Q178+'2025年江西省区利润表'!Q178</f>
        <v>0</v>
      </c>
      <c r="R178" s="49">
        <f>'2025年安徽省区利润表'!R178+'2025年江西省区利润表'!R178</f>
        <v>0</v>
      </c>
      <c r="S178" s="49">
        <f>'2025年安徽省区利润表'!S178+'2025年江西省区利润表'!S178</f>
        <v>0</v>
      </c>
      <c r="T178" s="49">
        <f>'2025年安徽省区利润表'!T178+'2025年江西省区利润表'!T178</f>
        <v>0</v>
      </c>
      <c r="U178" s="49">
        <f>'2025年安徽省区利润表'!U178+'2025年江西省区利润表'!U178</f>
        <v>0</v>
      </c>
      <c r="V178" s="49">
        <f>'2025年安徽省区利润表'!V178+'2025年江西省区利润表'!V178</f>
        <v>0</v>
      </c>
      <c r="W178" s="49">
        <f>'2025年安徽省区利润表'!W178+'2025年江西省区利润表'!W178</f>
        <v>0</v>
      </c>
      <c r="X178" s="49">
        <f>'2025年安徽省区利润表'!X178+'2025年江西省区利润表'!X178</f>
        <v>0</v>
      </c>
      <c r="Y178" s="49">
        <f>'2025年安徽省区利润表'!Y178+'2025年江西省区利润表'!Y178</f>
        <v>0</v>
      </c>
      <c r="Z178" s="49">
        <f>'2025年安徽省区利润表'!Z178+'2025年江西省区利润表'!Z178</f>
        <v>0</v>
      </c>
      <c r="AA178" s="51">
        <f t="shared" si="31"/>
        <v>0</v>
      </c>
      <c r="AB178" s="51">
        <f t="shared" si="37"/>
        <v>0</v>
      </c>
      <c r="AD178" s="31">
        <f t="shared" si="32"/>
        <v>0</v>
      </c>
      <c r="AE178" s="31">
        <f t="shared" si="33"/>
        <v>0</v>
      </c>
      <c r="AF178" s="17">
        <f t="shared" si="34"/>
        <v>0</v>
      </c>
      <c r="AG178" s="17">
        <f t="shared" si="35"/>
        <v>0</v>
      </c>
    </row>
    <row r="179" spans="1:123" s="19" customFormat="1" ht="18" customHeight="1" outlineLevel="2" x14ac:dyDescent="0.25">
      <c r="A179" s="48" t="s">
        <v>109</v>
      </c>
      <c r="B179" s="53"/>
      <c r="C179" s="49">
        <f>'2025年安徽省区利润表'!C179+'2025年江西省区利润表'!C179</f>
        <v>0</v>
      </c>
      <c r="D179" s="49">
        <f>'2025年安徽省区利润表'!D179+'2025年江西省区利润表'!D179</f>
        <v>0</v>
      </c>
      <c r="E179" s="49">
        <f>'2025年安徽省区利润表'!E179+'2025年江西省区利润表'!E179</f>
        <v>0</v>
      </c>
      <c r="F179" s="49">
        <f>'2025年安徽省区利润表'!F179+'2025年江西省区利润表'!F179</f>
        <v>0</v>
      </c>
      <c r="G179" s="49">
        <f>'2025年安徽省区利润表'!G179+'2025年江西省区利润表'!G179</f>
        <v>0</v>
      </c>
      <c r="H179" s="49">
        <f>'2025年安徽省区利润表'!H179+'2025年江西省区利润表'!H179</f>
        <v>0</v>
      </c>
      <c r="I179" s="49">
        <f>'2025年安徽省区利润表'!I179+'2025年江西省区利润表'!I179</f>
        <v>0</v>
      </c>
      <c r="J179" s="49">
        <f>'2025年安徽省区利润表'!J179+'2025年江西省区利润表'!J179</f>
        <v>0</v>
      </c>
      <c r="K179" s="49">
        <f>'2025年安徽省区利润表'!K179+'2025年江西省区利润表'!K179</f>
        <v>0</v>
      </c>
      <c r="L179" s="49">
        <f>'2025年安徽省区利润表'!L179+'2025年江西省区利润表'!L179</f>
        <v>0</v>
      </c>
      <c r="M179" s="49">
        <f>'2025年安徽省区利润表'!M179+'2025年江西省区利润表'!M179</f>
        <v>0</v>
      </c>
      <c r="N179" s="49">
        <f>'2025年安徽省区利润表'!N179+'2025年江西省区利润表'!N179</f>
        <v>0</v>
      </c>
      <c r="O179" s="49">
        <f>'2025年安徽省区利润表'!O179+'2025年江西省区利润表'!O179</f>
        <v>0</v>
      </c>
      <c r="P179" s="49">
        <f>'2025年安徽省区利润表'!P179+'2025年江西省区利润表'!P179</f>
        <v>0</v>
      </c>
      <c r="Q179" s="49">
        <f>'2025年安徽省区利润表'!Q179+'2025年江西省区利润表'!Q179</f>
        <v>0</v>
      </c>
      <c r="R179" s="49">
        <f>'2025年安徽省区利润表'!R179+'2025年江西省区利润表'!R179</f>
        <v>0</v>
      </c>
      <c r="S179" s="49">
        <f>'2025年安徽省区利润表'!S179+'2025年江西省区利润表'!S179</f>
        <v>0</v>
      </c>
      <c r="T179" s="49">
        <f>'2025年安徽省区利润表'!T179+'2025年江西省区利润表'!T179</f>
        <v>0</v>
      </c>
      <c r="U179" s="49">
        <f>'2025年安徽省区利润表'!U179+'2025年江西省区利润表'!U179</f>
        <v>0</v>
      </c>
      <c r="V179" s="49">
        <f>'2025年安徽省区利润表'!V179+'2025年江西省区利润表'!V179</f>
        <v>0</v>
      </c>
      <c r="W179" s="49">
        <f>'2025年安徽省区利润表'!W179+'2025年江西省区利润表'!W179</f>
        <v>0</v>
      </c>
      <c r="X179" s="49">
        <f>'2025年安徽省区利润表'!X179+'2025年江西省区利润表'!X179</f>
        <v>0</v>
      </c>
      <c r="Y179" s="49">
        <f>'2025年安徽省区利润表'!Y179+'2025年江西省区利润表'!Y179</f>
        <v>0</v>
      </c>
      <c r="Z179" s="49">
        <f>'2025年安徽省区利润表'!Z179+'2025年江西省区利润表'!Z179</f>
        <v>0</v>
      </c>
      <c r="AA179" s="51">
        <f t="shared" si="31"/>
        <v>0</v>
      </c>
      <c r="AB179" s="51">
        <f t="shared" si="37"/>
        <v>0</v>
      </c>
      <c r="AD179" s="31">
        <f t="shared" si="32"/>
        <v>0</v>
      </c>
      <c r="AE179" s="31">
        <f t="shared" si="33"/>
        <v>0</v>
      </c>
      <c r="AF179" s="17">
        <f t="shared" si="34"/>
        <v>0</v>
      </c>
      <c r="AG179" s="17">
        <f t="shared" si="35"/>
        <v>0</v>
      </c>
    </row>
    <row r="180" spans="1:123" s="17" customFormat="1" ht="18" customHeight="1" outlineLevel="1" x14ac:dyDescent="0.25">
      <c r="A180" s="67" t="s">
        <v>110</v>
      </c>
      <c r="B180" s="45"/>
      <c r="C180" s="69"/>
      <c r="D180" s="65"/>
      <c r="E180" s="65"/>
      <c r="F180" s="65">
        <f>SUM(F181:F185)</f>
        <v>0</v>
      </c>
      <c r="G180" s="65"/>
      <c r="H180" s="65">
        <f>SUM(H181:H185)</f>
        <v>0</v>
      </c>
      <c r="I180" s="65"/>
      <c r="J180" s="65">
        <f>SUM(J181:J185)</f>
        <v>0</v>
      </c>
      <c r="K180" s="65"/>
      <c r="L180" s="65">
        <f>SUM(L181:L185)</f>
        <v>0</v>
      </c>
      <c r="M180" s="65"/>
      <c r="N180" s="65">
        <f>SUM(N181:N185)</f>
        <v>0</v>
      </c>
      <c r="O180" s="65"/>
      <c r="P180" s="65">
        <f>SUM(P181:P185)</f>
        <v>0</v>
      </c>
      <c r="Q180" s="65"/>
      <c r="R180" s="65">
        <f>SUM(R181:R185)</f>
        <v>0</v>
      </c>
      <c r="S180" s="65"/>
      <c r="T180" s="65">
        <f>SUM(T181:T185)</f>
        <v>0</v>
      </c>
      <c r="U180" s="65"/>
      <c r="V180" s="65">
        <f>SUM(V181:V185)</f>
        <v>0</v>
      </c>
      <c r="W180" s="65"/>
      <c r="X180" s="65">
        <f>SUM(X181:X185)</f>
        <v>0</v>
      </c>
      <c r="Y180" s="65"/>
      <c r="Z180" s="65">
        <f>SUM(Z181:Z185)</f>
        <v>0</v>
      </c>
      <c r="AA180" s="51">
        <f t="shared" si="31"/>
        <v>0</v>
      </c>
      <c r="AB180" s="51">
        <f t="shared" si="37"/>
        <v>0</v>
      </c>
      <c r="AC180" s="21"/>
      <c r="AD180" s="31">
        <f t="shared" si="32"/>
        <v>0</v>
      </c>
      <c r="AE180" s="31">
        <f t="shared" si="33"/>
        <v>0</v>
      </c>
      <c r="AF180" s="17">
        <f t="shared" si="34"/>
        <v>0</v>
      </c>
      <c r="AG180" s="17">
        <f t="shared" si="35"/>
        <v>0</v>
      </c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</row>
    <row r="181" spans="1:123" s="19" customFormat="1" ht="18" customHeight="1" outlineLevel="2" x14ac:dyDescent="0.25">
      <c r="A181" s="48" t="s">
        <v>111</v>
      </c>
      <c r="B181" s="53"/>
      <c r="C181" s="49">
        <f>'2025年安徽省区利润表'!C181+'2025年江西省区利润表'!C181</f>
        <v>0</v>
      </c>
      <c r="D181" s="49">
        <f>'2025年安徽省区利润表'!D181+'2025年江西省区利润表'!D181</f>
        <v>0</v>
      </c>
      <c r="E181" s="49">
        <f>'2025年安徽省区利润表'!E181+'2025年江西省区利润表'!E181</f>
        <v>0</v>
      </c>
      <c r="F181" s="49">
        <f>'2025年安徽省区利润表'!F181+'2025年江西省区利润表'!F181</f>
        <v>0</v>
      </c>
      <c r="G181" s="49">
        <f>'2025年安徽省区利润表'!G181+'2025年江西省区利润表'!G181</f>
        <v>0</v>
      </c>
      <c r="H181" s="49">
        <f>'2025年安徽省区利润表'!H181+'2025年江西省区利润表'!H181</f>
        <v>0</v>
      </c>
      <c r="I181" s="49">
        <f>'2025年安徽省区利润表'!I181+'2025年江西省区利润表'!I181</f>
        <v>0</v>
      </c>
      <c r="J181" s="49">
        <f>'2025年安徽省区利润表'!J181+'2025年江西省区利润表'!J181</f>
        <v>0</v>
      </c>
      <c r="K181" s="49">
        <f>'2025年安徽省区利润表'!K181+'2025年江西省区利润表'!K181</f>
        <v>0</v>
      </c>
      <c r="L181" s="49">
        <f>'2025年安徽省区利润表'!L181+'2025年江西省区利润表'!L181</f>
        <v>0</v>
      </c>
      <c r="M181" s="49">
        <f>'2025年安徽省区利润表'!M181+'2025年江西省区利润表'!M181</f>
        <v>0</v>
      </c>
      <c r="N181" s="49">
        <f>'2025年安徽省区利润表'!N181+'2025年江西省区利润表'!N181</f>
        <v>0</v>
      </c>
      <c r="O181" s="49">
        <f>'2025年安徽省区利润表'!O181+'2025年江西省区利润表'!O181</f>
        <v>0</v>
      </c>
      <c r="P181" s="49">
        <f>'2025年安徽省区利润表'!P181+'2025年江西省区利润表'!P181</f>
        <v>0</v>
      </c>
      <c r="Q181" s="49">
        <f>'2025年安徽省区利润表'!Q181+'2025年江西省区利润表'!Q181</f>
        <v>0</v>
      </c>
      <c r="R181" s="49">
        <f>'2025年安徽省区利润表'!R181+'2025年江西省区利润表'!R181</f>
        <v>0</v>
      </c>
      <c r="S181" s="49">
        <f>'2025年安徽省区利润表'!S181+'2025年江西省区利润表'!S181</f>
        <v>0</v>
      </c>
      <c r="T181" s="49">
        <f>'2025年安徽省区利润表'!T181+'2025年江西省区利润表'!T181</f>
        <v>0</v>
      </c>
      <c r="U181" s="49">
        <f>'2025年安徽省区利润表'!U181+'2025年江西省区利润表'!U181</f>
        <v>0</v>
      </c>
      <c r="V181" s="49">
        <f>'2025年安徽省区利润表'!V181+'2025年江西省区利润表'!V181</f>
        <v>0</v>
      </c>
      <c r="W181" s="49">
        <f>'2025年安徽省区利润表'!W181+'2025年江西省区利润表'!W181</f>
        <v>0</v>
      </c>
      <c r="X181" s="49">
        <f>'2025年安徽省区利润表'!X181+'2025年江西省区利润表'!X181</f>
        <v>0</v>
      </c>
      <c r="Y181" s="49">
        <f>'2025年安徽省区利润表'!Y181+'2025年江西省区利润表'!Y181</f>
        <v>0</v>
      </c>
      <c r="Z181" s="49">
        <f>'2025年安徽省区利润表'!Z181+'2025年江西省区利润表'!Z181</f>
        <v>0</v>
      </c>
      <c r="AA181" s="51">
        <f t="shared" si="31"/>
        <v>0</v>
      </c>
      <c r="AB181" s="51">
        <f t="shared" si="37"/>
        <v>0</v>
      </c>
      <c r="AD181" s="31">
        <f t="shared" si="32"/>
        <v>0</v>
      </c>
      <c r="AE181" s="31">
        <f t="shared" si="33"/>
        <v>0</v>
      </c>
      <c r="AF181" s="17">
        <f t="shared" si="34"/>
        <v>0</v>
      </c>
      <c r="AG181" s="17">
        <f t="shared" si="35"/>
        <v>0</v>
      </c>
    </row>
    <row r="182" spans="1:123" s="19" customFormat="1" ht="18" customHeight="1" outlineLevel="2" x14ac:dyDescent="0.25">
      <c r="A182" s="48" t="s">
        <v>112</v>
      </c>
      <c r="B182" s="53"/>
      <c r="C182" s="49">
        <f>'2025年安徽省区利润表'!C182+'2025年江西省区利润表'!C182</f>
        <v>0</v>
      </c>
      <c r="D182" s="49">
        <f>'2025年安徽省区利润表'!D182+'2025年江西省区利润表'!D182</f>
        <v>0</v>
      </c>
      <c r="E182" s="49">
        <f>'2025年安徽省区利润表'!E182+'2025年江西省区利润表'!E182</f>
        <v>0</v>
      </c>
      <c r="F182" s="49">
        <f>'2025年安徽省区利润表'!F182+'2025年江西省区利润表'!F182</f>
        <v>0</v>
      </c>
      <c r="G182" s="49">
        <f>'2025年安徽省区利润表'!G182+'2025年江西省区利润表'!G182</f>
        <v>0</v>
      </c>
      <c r="H182" s="49">
        <f>'2025年安徽省区利润表'!H182+'2025年江西省区利润表'!H182</f>
        <v>0</v>
      </c>
      <c r="I182" s="49">
        <f>'2025年安徽省区利润表'!I182+'2025年江西省区利润表'!I182</f>
        <v>0</v>
      </c>
      <c r="J182" s="49">
        <f>'2025年安徽省区利润表'!J182+'2025年江西省区利润表'!J182</f>
        <v>0</v>
      </c>
      <c r="K182" s="49">
        <f>'2025年安徽省区利润表'!K182+'2025年江西省区利润表'!K182</f>
        <v>0</v>
      </c>
      <c r="L182" s="49">
        <f>'2025年安徽省区利润表'!L182+'2025年江西省区利润表'!L182</f>
        <v>0</v>
      </c>
      <c r="M182" s="49">
        <f>'2025年安徽省区利润表'!M182+'2025年江西省区利润表'!M182</f>
        <v>0</v>
      </c>
      <c r="N182" s="49">
        <f>'2025年安徽省区利润表'!N182+'2025年江西省区利润表'!N182</f>
        <v>0</v>
      </c>
      <c r="O182" s="49">
        <f>'2025年安徽省区利润表'!O182+'2025年江西省区利润表'!O182</f>
        <v>0</v>
      </c>
      <c r="P182" s="49">
        <f>'2025年安徽省区利润表'!P182+'2025年江西省区利润表'!P182</f>
        <v>0</v>
      </c>
      <c r="Q182" s="49">
        <f>'2025年安徽省区利润表'!Q182+'2025年江西省区利润表'!Q182</f>
        <v>0</v>
      </c>
      <c r="R182" s="49">
        <f>'2025年安徽省区利润表'!R182+'2025年江西省区利润表'!R182</f>
        <v>0</v>
      </c>
      <c r="S182" s="49">
        <f>'2025年安徽省区利润表'!S182+'2025年江西省区利润表'!S182</f>
        <v>0</v>
      </c>
      <c r="T182" s="49">
        <f>'2025年安徽省区利润表'!T182+'2025年江西省区利润表'!T182</f>
        <v>0</v>
      </c>
      <c r="U182" s="49">
        <f>'2025年安徽省区利润表'!U182+'2025年江西省区利润表'!U182</f>
        <v>0</v>
      </c>
      <c r="V182" s="49">
        <f>'2025年安徽省区利润表'!V182+'2025年江西省区利润表'!V182</f>
        <v>0</v>
      </c>
      <c r="W182" s="49">
        <f>'2025年安徽省区利润表'!W182+'2025年江西省区利润表'!W182</f>
        <v>0</v>
      </c>
      <c r="X182" s="49">
        <f>'2025年安徽省区利润表'!X182+'2025年江西省区利润表'!X182</f>
        <v>0</v>
      </c>
      <c r="Y182" s="49">
        <f>'2025年安徽省区利润表'!Y182+'2025年江西省区利润表'!Y182</f>
        <v>0</v>
      </c>
      <c r="Z182" s="49">
        <f>'2025年安徽省区利润表'!Z182+'2025年江西省区利润表'!Z182</f>
        <v>0</v>
      </c>
      <c r="AA182" s="51">
        <f t="shared" si="31"/>
        <v>0</v>
      </c>
      <c r="AB182" s="51">
        <f t="shared" si="37"/>
        <v>0</v>
      </c>
      <c r="AD182" s="31">
        <f t="shared" si="32"/>
        <v>0</v>
      </c>
      <c r="AE182" s="31">
        <f t="shared" si="33"/>
        <v>0</v>
      </c>
      <c r="AF182" s="17">
        <f t="shared" si="34"/>
        <v>0</v>
      </c>
      <c r="AG182" s="17">
        <f t="shared" si="35"/>
        <v>0</v>
      </c>
    </row>
    <row r="183" spans="1:123" s="19" customFormat="1" ht="18" customHeight="1" outlineLevel="2" x14ac:dyDescent="0.25">
      <c r="A183" s="48" t="s">
        <v>113</v>
      </c>
      <c r="B183" s="53"/>
      <c r="C183" s="49">
        <f>'2025年安徽省区利润表'!C183+'2025年江西省区利润表'!C183</f>
        <v>0</v>
      </c>
      <c r="D183" s="49">
        <f>'2025年安徽省区利润表'!D183+'2025年江西省区利润表'!D183</f>
        <v>0</v>
      </c>
      <c r="E183" s="49">
        <f>'2025年安徽省区利润表'!E183+'2025年江西省区利润表'!E183</f>
        <v>0</v>
      </c>
      <c r="F183" s="49">
        <f>'2025年安徽省区利润表'!F183+'2025年江西省区利润表'!F183</f>
        <v>0</v>
      </c>
      <c r="G183" s="49">
        <f>'2025年安徽省区利润表'!G183+'2025年江西省区利润表'!G183</f>
        <v>0</v>
      </c>
      <c r="H183" s="49">
        <f>'2025年安徽省区利润表'!H183+'2025年江西省区利润表'!H183</f>
        <v>0</v>
      </c>
      <c r="I183" s="49">
        <f>'2025年安徽省区利润表'!I183+'2025年江西省区利润表'!I183</f>
        <v>0</v>
      </c>
      <c r="J183" s="49">
        <f>'2025年安徽省区利润表'!J183+'2025年江西省区利润表'!J183</f>
        <v>0</v>
      </c>
      <c r="K183" s="49">
        <f>'2025年安徽省区利润表'!K183+'2025年江西省区利润表'!K183</f>
        <v>0</v>
      </c>
      <c r="L183" s="49">
        <f>'2025年安徽省区利润表'!L183+'2025年江西省区利润表'!L183</f>
        <v>0</v>
      </c>
      <c r="M183" s="49">
        <f>'2025年安徽省区利润表'!M183+'2025年江西省区利润表'!M183</f>
        <v>0</v>
      </c>
      <c r="N183" s="49">
        <f>'2025年安徽省区利润表'!N183+'2025年江西省区利润表'!N183</f>
        <v>0</v>
      </c>
      <c r="O183" s="49">
        <f>'2025年安徽省区利润表'!O183+'2025年江西省区利润表'!O183</f>
        <v>0</v>
      </c>
      <c r="P183" s="49">
        <f>'2025年安徽省区利润表'!P183+'2025年江西省区利润表'!P183</f>
        <v>0</v>
      </c>
      <c r="Q183" s="49">
        <f>'2025年安徽省区利润表'!Q183+'2025年江西省区利润表'!Q183</f>
        <v>0</v>
      </c>
      <c r="R183" s="49">
        <f>'2025年安徽省区利润表'!R183+'2025年江西省区利润表'!R183</f>
        <v>0</v>
      </c>
      <c r="S183" s="49">
        <f>'2025年安徽省区利润表'!S183+'2025年江西省区利润表'!S183</f>
        <v>0</v>
      </c>
      <c r="T183" s="49">
        <f>'2025年安徽省区利润表'!T183+'2025年江西省区利润表'!T183</f>
        <v>0</v>
      </c>
      <c r="U183" s="49">
        <f>'2025年安徽省区利润表'!U183+'2025年江西省区利润表'!U183</f>
        <v>0</v>
      </c>
      <c r="V183" s="49">
        <f>'2025年安徽省区利润表'!V183+'2025年江西省区利润表'!V183</f>
        <v>0</v>
      </c>
      <c r="W183" s="49">
        <f>'2025年安徽省区利润表'!W183+'2025年江西省区利润表'!W183</f>
        <v>0</v>
      </c>
      <c r="X183" s="49">
        <f>'2025年安徽省区利润表'!X183+'2025年江西省区利润表'!X183</f>
        <v>0</v>
      </c>
      <c r="Y183" s="49">
        <f>'2025年安徽省区利润表'!Y183+'2025年江西省区利润表'!Y183</f>
        <v>0</v>
      </c>
      <c r="Z183" s="49">
        <f>'2025年安徽省区利润表'!Z183+'2025年江西省区利润表'!Z183</f>
        <v>0</v>
      </c>
      <c r="AA183" s="51">
        <f t="shared" si="31"/>
        <v>0</v>
      </c>
      <c r="AB183" s="51">
        <f t="shared" si="37"/>
        <v>0</v>
      </c>
      <c r="AD183" s="31">
        <f t="shared" si="32"/>
        <v>0</v>
      </c>
      <c r="AE183" s="31">
        <f t="shared" si="33"/>
        <v>0</v>
      </c>
      <c r="AF183" s="17">
        <f t="shared" si="34"/>
        <v>0</v>
      </c>
      <c r="AG183" s="17">
        <f t="shared" si="35"/>
        <v>0</v>
      </c>
    </row>
    <row r="184" spans="1:123" s="19" customFormat="1" ht="18" customHeight="1" outlineLevel="2" x14ac:dyDescent="0.25">
      <c r="A184" s="48" t="s">
        <v>114</v>
      </c>
      <c r="B184" s="53"/>
      <c r="C184" s="49">
        <f>'2025年安徽省区利润表'!C184+'2025年江西省区利润表'!C184</f>
        <v>0</v>
      </c>
      <c r="D184" s="49">
        <f>'2025年安徽省区利润表'!D184+'2025年江西省区利润表'!D184</f>
        <v>0</v>
      </c>
      <c r="E184" s="49">
        <f>'2025年安徽省区利润表'!E184+'2025年江西省区利润表'!E184</f>
        <v>0</v>
      </c>
      <c r="F184" s="49">
        <f>'2025年安徽省区利润表'!F184+'2025年江西省区利润表'!F184</f>
        <v>0</v>
      </c>
      <c r="G184" s="49">
        <f>'2025年安徽省区利润表'!G184+'2025年江西省区利润表'!G184</f>
        <v>0</v>
      </c>
      <c r="H184" s="49">
        <f>'2025年安徽省区利润表'!H184+'2025年江西省区利润表'!H184</f>
        <v>0</v>
      </c>
      <c r="I184" s="49">
        <f>'2025年安徽省区利润表'!I184+'2025年江西省区利润表'!I184</f>
        <v>0</v>
      </c>
      <c r="J184" s="49">
        <f>'2025年安徽省区利润表'!J184+'2025年江西省区利润表'!J184</f>
        <v>0</v>
      </c>
      <c r="K184" s="49">
        <f>'2025年安徽省区利润表'!K184+'2025年江西省区利润表'!K184</f>
        <v>0</v>
      </c>
      <c r="L184" s="49">
        <f>'2025年安徽省区利润表'!L184+'2025年江西省区利润表'!L184</f>
        <v>0</v>
      </c>
      <c r="M184" s="49">
        <f>'2025年安徽省区利润表'!M184+'2025年江西省区利润表'!M184</f>
        <v>0</v>
      </c>
      <c r="N184" s="49">
        <f>'2025年安徽省区利润表'!N184+'2025年江西省区利润表'!N184</f>
        <v>0</v>
      </c>
      <c r="O184" s="49">
        <f>'2025年安徽省区利润表'!O184+'2025年江西省区利润表'!O184</f>
        <v>0</v>
      </c>
      <c r="P184" s="49">
        <f>'2025年安徽省区利润表'!P184+'2025年江西省区利润表'!P184</f>
        <v>0</v>
      </c>
      <c r="Q184" s="49">
        <f>'2025年安徽省区利润表'!Q184+'2025年江西省区利润表'!Q184</f>
        <v>0</v>
      </c>
      <c r="R184" s="49">
        <f>'2025年安徽省区利润表'!R184+'2025年江西省区利润表'!R184</f>
        <v>0</v>
      </c>
      <c r="S184" s="49">
        <f>'2025年安徽省区利润表'!S184+'2025年江西省区利润表'!S184</f>
        <v>0</v>
      </c>
      <c r="T184" s="49">
        <f>'2025年安徽省区利润表'!T184+'2025年江西省区利润表'!T184</f>
        <v>0</v>
      </c>
      <c r="U184" s="49">
        <f>'2025年安徽省区利润表'!U184+'2025年江西省区利润表'!U184</f>
        <v>0</v>
      </c>
      <c r="V184" s="49">
        <f>'2025年安徽省区利润表'!V184+'2025年江西省区利润表'!V184</f>
        <v>0</v>
      </c>
      <c r="W184" s="49">
        <f>'2025年安徽省区利润表'!W184+'2025年江西省区利润表'!W184</f>
        <v>0</v>
      </c>
      <c r="X184" s="49">
        <f>'2025年安徽省区利润表'!X184+'2025年江西省区利润表'!X184</f>
        <v>0</v>
      </c>
      <c r="Y184" s="49">
        <f>'2025年安徽省区利润表'!Y184+'2025年江西省区利润表'!Y184</f>
        <v>0</v>
      </c>
      <c r="Z184" s="49">
        <f>'2025年安徽省区利润表'!Z184+'2025年江西省区利润表'!Z184</f>
        <v>0</v>
      </c>
      <c r="AA184" s="51">
        <f t="shared" si="31"/>
        <v>0</v>
      </c>
      <c r="AB184" s="51">
        <f t="shared" si="37"/>
        <v>0</v>
      </c>
      <c r="AD184" s="31">
        <f t="shared" si="32"/>
        <v>0</v>
      </c>
      <c r="AE184" s="31">
        <f t="shared" si="33"/>
        <v>0</v>
      </c>
      <c r="AF184" s="17">
        <f t="shared" si="34"/>
        <v>0</v>
      </c>
      <c r="AG184" s="17">
        <f t="shared" si="35"/>
        <v>0</v>
      </c>
    </row>
    <row r="185" spans="1:123" s="19" customFormat="1" ht="18" customHeight="1" outlineLevel="2" x14ac:dyDescent="0.25">
      <c r="A185" s="48" t="s">
        <v>115</v>
      </c>
      <c r="B185" s="53"/>
      <c r="C185" s="49">
        <f>'2025年安徽省区利润表'!C185+'2025年江西省区利润表'!C185</f>
        <v>0</v>
      </c>
      <c r="D185" s="49">
        <f>'2025年安徽省区利润表'!D185+'2025年江西省区利润表'!D185</f>
        <v>0</v>
      </c>
      <c r="E185" s="49">
        <f>'2025年安徽省区利润表'!E185+'2025年江西省区利润表'!E185</f>
        <v>0</v>
      </c>
      <c r="F185" s="49">
        <f>'2025年安徽省区利润表'!F185+'2025年江西省区利润表'!F185</f>
        <v>0</v>
      </c>
      <c r="G185" s="49">
        <f>'2025年安徽省区利润表'!G185+'2025年江西省区利润表'!G185</f>
        <v>0</v>
      </c>
      <c r="H185" s="49">
        <f>'2025年安徽省区利润表'!H185+'2025年江西省区利润表'!H185</f>
        <v>0</v>
      </c>
      <c r="I185" s="49">
        <f>'2025年安徽省区利润表'!I185+'2025年江西省区利润表'!I185</f>
        <v>0</v>
      </c>
      <c r="J185" s="49">
        <f>'2025年安徽省区利润表'!J185+'2025年江西省区利润表'!J185</f>
        <v>0</v>
      </c>
      <c r="K185" s="49">
        <f>'2025年安徽省区利润表'!K185+'2025年江西省区利润表'!K185</f>
        <v>0</v>
      </c>
      <c r="L185" s="49">
        <f>'2025年安徽省区利润表'!L185+'2025年江西省区利润表'!L185</f>
        <v>0</v>
      </c>
      <c r="M185" s="49">
        <f>'2025年安徽省区利润表'!M185+'2025年江西省区利润表'!M185</f>
        <v>0</v>
      </c>
      <c r="N185" s="49">
        <f>'2025年安徽省区利润表'!N185+'2025年江西省区利润表'!N185</f>
        <v>0</v>
      </c>
      <c r="O185" s="49">
        <f>'2025年安徽省区利润表'!O185+'2025年江西省区利润表'!O185</f>
        <v>0</v>
      </c>
      <c r="P185" s="49">
        <f>'2025年安徽省区利润表'!P185+'2025年江西省区利润表'!P185</f>
        <v>0</v>
      </c>
      <c r="Q185" s="49">
        <f>'2025年安徽省区利润表'!Q185+'2025年江西省区利润表'!Q185</f>
        <v>0</v>
      </c>
      <c r="R185" s="49">
        <f>'2025年安徽省区利润表'!R185+'2025年江西省区利润表'!R185</f>
        <v>0</v>
      </c>
      <c r="S185" s="49">
        <f>'2025年安徽省区利润表'!S185+'2025年江西省区利润表'!S185</f>
        <v>0</v>
      </c>
      <c r="T185" s="49">
        <f>'2025年安徽省区利润表'!T185+'2025年江西省区利润表'!T185</f>
        <v>0</v>
      </c>
      <c r="U185" s="49">
        <f>'2025年安徽省区利润表'!U185+'2025年江西省区利润表'!U185</f>
        <v>0</v>
      </c>
      <c r="V185" s="49">
        <f>'2025年安徽省区利润表'!V185+'2025年江西省区利润表'!V185</f>
        <v>0</v>
      </c>
      <c r="W185" s="49">
        <f>'2025年安徽省区利润表'!W185+'2025年江西省区利润表'!W185</f>
        <v>0</v>
      </c>
      <c r="X185" s="49">
        <f>'2025年安徽省区利润表'!X185+'2025年江西省区利润表'!X185</f>
        <v>0</v>
      </c>
      <c r="Y185" s="49">
        <f>'2025年安徽省区利润表'!Y185+'2025年江西省区利润表'!Y185</f>
        <v>0</v>
      </c>
      <c r="Z185" s="49">
        <f>'2025年安徽省区利润表'!Z185+'2025年江西省区利润表'!Z185</f>
        <v>0</v>
      </c>
      <c r="AA185" s="51">
        <f t="shared" si="31"/>
        <v>0</v>
      </c>
      <c r="AB185" s="51">
        <f t="shared" si="37"/>
        <v>0</v>
      </c>
      <c r="AD185" s="31">
        <f t="shared" si="32"/>
        <v>0</v>
      </c>
      <c r="AE185" s="31">
        <f t="shared" si="33"/>
        <v>0</v>
      </c>
      <c r="AF185" s="17">
        <f t="shared" si="34"/>
        <v>0</v>
      </c>
      <c r="AG185" s="17">
        <f t="shared" si="35"/>
        <v>0</v>
      </c>
    </row>
    <row r="186" spans="1:123" s="19" customFormat="1" ht="18" customHeight="1" outlineLevel="1" x14ac:dyDescent="0.25">
      <c r="A186" s="48" t="s">
        <v>116</v>
      </c>
      <c r="B186" s="53"/>
      <c r="C186" s="49">
        <f>'2025年安徽省区利润表'!C186+'2025年江西省区利润表'!C186</f>
        <v>0</v>
      </c>
      <c r="D186" s="49">
        <f>'2025年安徽省区利润表'!D186+'2025年江西省区利润表'!D186</f>
        <v>0</v>
      </c>
      <c r="E186" s="49">
        <f>'2025年安徽省区利润表'!E186+'2025年江西省区利润表'!E186</f>
        <v>0</v>
      </c>
      <c r="F186" s="49">
        <f>'2025年安徽省区利润表'!F186+'2025年江西省区利润表'!F186</f>
        <v>0</v>
      </c>
      <c r="G186" s="49">
        <f>'2025年安徽省区利润表'!G186+'2025年江西省区利润表'!G186</f>
        <v>0</v>
      </c>
      <c r="H186" s="49">
        <f>'2025年安徽省区利润表'!H186+'2025年江西省区利润表'!H186</f>
        <v>0</v>
      </c>
      <c r="I186" s="49">
        <f>'2025年安徽省区利润表'!I186+'2025年江西省区利润表'!I186</f>
        <v>0</v>
      </c>
      <c r="J186" s="49">
        <f>'2025年安徽省区利润表'!J186+'2025年江西省区利润表'!J186</f>
        <v>0</v>
      </c>
      <c r="K186" s="49">
        <f>'2025年安徽省区利润表'!K186+'2025年江西省区利润表'!K186</f>
        <v>0</v>
      </c>
      <c r="L186" s="49">
        <f>'2025年安徽省区利润表'!L186+'2025年江西省区利润表'!L186</f>
        <v>0</v>
      </c>
      <c r="M186" s="49">
        <f>'2025年安徽省区利润表'!M186+'2025年江西省区利润表'!M186</f>
        <v>0</v>
      </c>
      <c r="N186" s="49">
        <f>'2025年安徽省区利润表'!N186+'2025年江西省区利润表'!N186</f>
        <v>0</v>
      </c>
      <c r="O186" s="49">
        <f>'2025年安徽省区利润表'!O186+'2025年江西省区利润表'!O186</f>
        <v>0</v>
      </c>
      <c r="P186" s="49">
        <f>'2025年安徽省区利润表'!P186+'2025年江西省区利润表'!P186</f>
        <v>0</v>
      </c>
      <c r="Q186" s="49">
        <f>'2025年安徽省区利润表'!Q186+'2025年江西省区利润表'!Q186</f>
        <v>0</v>
      </c>
      <c r="R186" s="49">
        <f>'2025年安徽省区利润表'!R186+'2025年江西省区利润表'!R186</f>
        <v>0</v>
      </c>
      <c r="S186" s="49">
        <f>'2025年安徽省区利润表'!S186+'2025年江西省区利润表'!S186</f>
        <v>0</v>
      </c>
      <c r="T186" s="49">
        <f>'2025年安徽省区利润表'!T186+'2025年江西省区利润表'!T186</f>
        <v>0</v>
      </c>
      <c r="U186" s="49">
        <f>'2025年安徽省区利润表'!U186+'2025年江西省区利润表'!U186</f>
        <v>0</v>
      </c>
      <c r="V186" s="49">
        <f>'2025年安徽省区利润表'!V186+'2025年江西省区利润表'!V186</f>
        <v>0</v>
      </c>
      <c r="W186" s="49">
        <f>'2025年安徽省区利润表'!W186+'2025年江西省区利润表'!W186</f>
        <v>0</v>
      </c>
      <c r="X186" s="49">
        <f>'2025年安徽省区利润表'!X186+'2025年江西省区利润表'!X186</f>
        <v>0</v>
      </c>
      <c r="Y186" s="49">
        <f>'2025年安徽省区利润表'!Y186+'2025年江西省区利润表'!Y186</f>
        <v>0</v>
      </c>
      <c r="Z186" s="49">
        <f>'2025年安徽省区利润表'!Z186+'2025年江西省区利润表'!Z186</f>
        <v>0</v>
      </c>
      <c r="AA186" s="51">
        <f t="shared" si="31"/>
        <v>0</v>
      </c>
      <c r="AB186" s="51">
        <f t="shared" si="37"/>
        <v>0</v>
      </c>
      <c r="AD186" s="31">
        <f t="shared" si="32"/>
        <v>0</v>
      </c>
      <c r="AE186" s="31">
        <f t="shared" si="33"/>
        <v>0</v>
      </c>
      <c r="AF186" s="17">
        <f t="shared" si="34"/>
        <v>0</v>
      </c>
      <c r="AG186" s="17">
        <f t="shared" si="35"/>
        <v>0</v>
      </c>
    </row>
    <row r="187" spans="1:123" s="19" customFormat="1" ht="18" customHeight="1" outlineLevel="1" x14ac:dyDescent="0.25">
      <c r="A187" s="48" t="s">
        <v>117</v>
      </c>
      <c r="B187" s="53"/>
      <c r="C187" s="49">
        <f>'2025年安徽省区利润表'!C187+'2025年江西省区利润表'!C187</f>
        <v>0</v>
      </c>
      <c r="D187" s="49">
        <f>'2025年安徽省区利润表'!D187+'2025年江西省区利润表'!D187</f>
        <v>0</v>
      </c>
      <c r="E187" s="49">
        <f>'2025年安徽省区利润表'!E187+'2025年江西省区利润表'!E187</f>
        <v>0</v>
      </c>
      <c r="F187" s="49">
        <f>'2025年安徽省区利润表'!F187+'2025年江西省区利润表'!F187</f>
        <v>0</v>
      </c>
      <c r="G187" s="49">
        <f>'2025年安徽省区利润表'!G187+'2025年江西省区利润表'!G187</f>
        <v>0</v>
      </c>
      <c r="H187" s="49">
        <f>'2025年安徽省区利润表'!H187+'2025年江西省区利润表'!H187</f>
        <v>0</v>
      </c>
      <c r="I187" s="49">
        <f>'2025年安徽省区利润表'!I187+'2025年江西省区利润表'!I187</f>
        <v>0</v>
      </c>
      <c r="J187" s="49">
        <f>'2025年安徽省区利润表'!J187+'2025年江西省区利润表'!J187</f>
        <v>0</v>
      </c>
      <c r="K187" s="49">
        <f>'2025年安徽省区利润表'!K187+'2025年江西省区利润表'!K187</f>
        <v>0</v>
      </c>
      <c r="L187" s="49">
        <f>'2025年安徽省区利润表'!L187+'2025年江西省区利润表'!L187</f>
        <v>0</v>
      </c>
      <c r="M187" s="49">
        <f>'2025年安徽省区利润表'!M187+'2025年江西省区利润表'!M187</f>
        <v>0</v>
      </c>
      <c r="N187" s="49">
        <f>'2025年安徽省区利润表'!N187+'2025年江西省区利润表'!N187</f>
        <v>0</v>
      </c>
      <c r="O187" s="49">
        <f>'2025年安徽省区利润表'!O187+'2025年江西省区利润表'!O187</f>
        <v>0</v>
      </c>
      <c r="P187" s="49">
        <f>'2025年安徽省区利润表'!P187+'2025年江西省区利润表'!P187</f>
        <v>0</v>
      </c>
      <c r="Q187" s="49">
        <f>'2025年安徽省区利润表'!Q187+'2025年江西省区利润表'!Q187</f>
        <v>0</v>
      </c>
      <c r="R187" s="49">
        <f>'2025年安徽省区利润表'!R187+'2025年江西省区利润表'!R187</f>
        <v>0</v>
      </c>
      <c r="S187" s="49">
        <f>'2025年安徽省区利润表'!S187+'2025年江西省区利润表'!S187</f>
        <v>0</v>
      </c>
      <c r="T187" s="49">
        <f>'2025年安徽省区利润表'!T187+'2025年江西省区利润表'!T187</f>
        <v>0</v>
      </c>
      <c r="U187" s="49">
        <f>'2025年安徽省区利润表'!U187+'2025年江西省区利润表'!U187</f>
        <v>0</v>
      </c>
      <c r="V187" s="49">
        <f>'2025年安徽省区利润表'!V187+'2025年江西省区利润表'!V187</f>
        <v>0</v>
      </c>
      <c r="W187" s="49">
        <f>'2025年安徽省区利润表'!W187+'2025年江西省区利润表'!W187</f>
        <v>0</v>
      </c>
      <c r="X187" s="49">
        <f>'2025年安徽省区利润表'!X187+'2025年江西省区利润表'!X187</f>
        <v>0</v>
      </c>
      <c r="Y187" s="49">
        <f>'2025年安徽省区利润表'!Y187+'2025年江西省区利润表'!Y187</f>
        <v>0</v>
      </c>
      <c r="Z187" s="49">
        <f>'2025年安徽省区利润表'!Z187+'2025年江西省区利润表'!Z187</f>
        <v>0</v>
      </c>
      <c r="AA187" s="51">
        <f t="shared" si="31"/>
        <v>0</v>
      </c>
      <c r="AB187" s="51">
        <f t="shared" si="37"/>
        <v>0</v>
      </c>
      <c r="AD187" s="31">
        <f t="shared" si="32"/>
        <v>0</v>
      </c>
      <c r="AE187" s="31">
        <f t="shared" si="33"/>
        <v>0</v>
      </c>
      <c r="AF187" s="17">
        <f t="shared" si="34"/>
        <v>0</v>
      </c>
      <c r="AG187" s="17">
        <f t="shared" si="35"/>
        <v>0</v>
      </c>
    </row>
    <row r="188" spans="1:123" s="19" customFormat="1" ht="18" customHeight="1" outlineLevel="1" x14ac:dyDescent="0.25">
      <c r="A188" s="48" t="s">
        <v>118</v>
      </c>
      <c r="B188" s="53"/>
      <c r="C188" s="49">
        <f>'2025年安徽省区利润表'!C188+'2025年江西省区利润表'!C188</f>
        <v>0</v>
      </c>
      <c r="D188" s="49">
        <f>'2025年安徽省区利润表'!D188+'2025年江西省区利润表'!D188</f>
        <v>0</v>
      </c>
      <c r="E188" s="49">
        <f>'2025年安徽省区利润表'!E188+'2025年江西省区利润表'!E188</f>
        <v>0</v>
      </c>
      <c r="F188" s="49">
        <f>'2025年安徽省区利润表'!F188+'2025年江西省区利润表'!F188</f>
        <v>0</v>
      </c>
      <c r="G188" s="49">
        <f>'2025年安徽省区利润表'!G188+'2025年江西省区利润表'!G188</f>
        <v>0</v>
      </c>
      <c r="H188" s="49">
        <f>'2025年安徽省区利润表'!H188+'2025年江西省区利润表'!H188</f>
        <v>0</v>
      </c>
      <c r="I188" s="49">
        <f>'2025年安徽省区利润表'!I188+'2025年江西省区利润表'!I188</f>
        <v>0</v>
      </c>
      <c r="J188" s="49">
        <f>'2025年安徽省区利润表'!J188+'2025年江西省区利润表'!J188</f>
        <v>0</v>
      </c>
      <c r="K188" s="49">
        <f>'2025年安徽省区利润表'!K188+'2025年江西省区利润表'!K188</f>
        <v>0</v>
      </c>
      <c r="L188" s="49">
        <f>'2025年安徽省区利润表'!L188+'2025年江西省区利润表'!L188</f>
        <v>0</v>
      </c>
      <c r="M188" s="49">
        <f>'2025年安徽省区利润表'!M188+'2025年江西省区利润表'!M188</f>
        <v>0</v>
      </c>
      <c r="N188" s="49">
        <f>'2025年安徽省区利润表'!N188+'2025年江西省区利润表'!N188</f>
        <v>0</v>
      </c>
      <c r="O188" s="49">
        <f>'2025年安徽省区利润表'!O188+'2025年江西省区利润表'!O188</f>
        <v>0</v>
      </c>
      <c r="P188" s="49">
        <f>'2025年安徽省区利润表'!P188+'2025年江西省区利润表'!P188</f>
        <v>0</v>
      </c>
      <c r="Q188" s="49">
        <f>'2025年安徽省区利润表'!Q188+'2025年江西省区利润表'!Q188</f>
        <v>0</v>
      </c>
      <c r="R188" s="49">
        <f>'2025年安徽省区利润表'!R188+'2025年江西省区利润表'!R188</f>
        <v>0</v>
      </c>
      <c r="S188" s="49">
        <f>'2025年安徽省区利润表'!S188+'2025年江西省区利润表'!S188</f>
        <v>0</v>
      </c>
      <c r="T188" s="49">
        <f>'2025年安徽省区利润表'!T188+'2025年江西省区利润表'!T188</f>
        <v>0</v>
      </c>
      <c r="U188" s="49">
        <f>'2025年安徽省区利润表'!U188+'2025年江西省区利润表'!U188</f>
        <v>0</v>
      </c>
      <c r="V188" s="49">
        <f>'2025年安徽省区利润表'!V188+'2025年江西省区利润表'!V188</f>
        <v>0</v>
      </c>
      <c r="W188" s="49">
        <f>'2025年安徽省区利润表'!W188+'2025年江西省区利润表'!W188</f>
        <v>0</v>
      </c>
      <c r="X188" s="49">
        <f>'2025年安徽省区利润表'!X188+'2025年江西省区利润表'!X188</f>
        <v>0</v>
      </c>
      <c r="Y188" s="49">
        <f>'2025年安徽省区利润表'!Y188+'2025年江西省区利润表'!Y188</f>
        <v>0</v>
      </c>
      <c r="Z188" s="49">
        <f>'2025年安徽省区利润表'!Z188+'2025年江西省区利润表'!Z188</f>
        <v>0</v>
      </c>
      <c r="AA188" s="51">
        <f t="shared" si="31"/>
        <v>0</v>
      </c>
      <c r="AB188" s="51">
        <f t="shared" si="37"/>
        <v>0</v>
      </c>
      <c r="AD188" s="31">
        <f t="shared" si="32"/>
        <v>0</v>
      </c>
      <c r="AE188" s="31">
        <f t="shared" si="33"/>
        <v>0</v>
      </c>
      <c r="AF188" s="17">
        <f t="shared" si="34"/>
        <v>0</v>
      </c>
      <c r="AG188" s="17">
        <f t="shared" si="35"/>
        <v>0</v>
      </c>
    </row>
    <row r="189" spans="1:123" s="17" customFormat="1" ht="18" customHeight="1" outlineLevel="1" x14ac:dyDescent="0.25">
      <c r="A189" s="67" t="s">
        <v>119</v>
      </c>
      <c r="B189" s="45"/>
      <c r="C189" s="69"/>
      <c r="D189" s="65"/>
      <c r="E189" s="65"/>
      <c r="F189" s="65">
        <f>SUM(F190:F196)</f>
        <v>0</v>
      </c>
      <c r="G189" s="65"/>
      <c r="H189" s="65">
        <f>SUM(H190:H196)</f>
        <v>0</v>
      </c>
      <c r="I189" s="65"/>
      <c r="J189" s="65">
        <f>SUM(J190:J196)</f>
        <v>0</v>
      </c>
      <c r="K189" s="65"/>
      <c r="L189" s="65">
        <f>SUM(L190:L196)</f>
        <v>0</v>
      </c>
      <c r="M189" s="65"/>
      <c r="N189" s="65">
        <f>SUM(N190:N196)</f>
        <v>0</v>
      </c>
      <c r="O189" s="65"/>
      <c r="P189" s="65">
        <f>SUM(P190:P196)</f>
        <v>0</v>
      </c>
      <c r="Q189" s="65"/>
      <c r="R189" s="65">
        <f>SUM(R190:R196)</f>
        <v>0</v>
      </c>
      <c r="S189" s="65"/>
      <c r="T189" s="65">
        <f>SUM(T190:T196)</f>
        <v>0</v>
      </c>
      <c r="U189" s="65"/>
      <c r="V189" s="65">
        <f>SUM(V190:V196)</f>
        <v>0</v>
      </c>
      <c r="W189" s="65"/>
      <c r="X189" s="65">
        <f>SUM(X190:X196)</f>
        <v>0</v>
      </c>
      <c r="Y189" s="65"/>
      <c r="Z189" s="65">
        <f>SUM(Z190:Z196)</f>
        <v>0</v>
      </c>
      <c r="AA189" s="51">
        <f t="shared" si="31"/>
        <v>0</v>
      </c>
      <c r="AB189" s="51">
        <f t="shared" si="37"/>
        <v>0</v>
      </c>
      <c r="AC189" s="21"/>
      <c r="AD189" s="31">
        <f t="shared" si="32"/>
        <v>0</v>
      </c>
      <c r="AE189" s="31">
        <f t="shared" si="33"/>
        <v>0</v>
      </c>
      <c r="AF189" s="17">
        <f t="shared" si="34"/>
        <v>0</v>
      </c>
      <c r="AG189" s="17">
        <f t="shared" si="35"/>
        <v>0</v>
      </c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</row>
    <row r="190" spans="1:123" s="19" customFormat="1" ht="18" customHeight="1" outlineLevel="2" x14ac:dyDescent="0.25">
      <c r="A190" s="48" t="s">
        <v>120</v>
      </c>
      <c r="B190" s="53"/>
      <c r="C190" s="49">
        <f>'2025年安徽省区利润表'!C190+'2025年江西省区利润表'!C190</f>
        <v>0</v>
      </c>
      <c r="D190" s="49">
        <f>'2025年安徽省区利润表'!D190+'2025年江西省区利润表'!D190</f>
        <v>0</v>
      </c>
      <c r="E190" s="49">
        <f>'2025年安徽省区利润表'!E190+'2025年江西省区利润表'!E190</f>
        <v>0</v>
      </c>
      <c r="F190" s="49">
        <f>'2025年安徽省区利润表'!F190+'2025年江西省区利润表'!F190</f>
        <v>0</v>
      </c>
      <c r="G190" s="49">
        <f>'2025年安徽省区利润表'!G190+'2025年江西省区利润表'!G190</f>
        <v>0</v>
      </c>
      <c r="H190" s="49">
        <f>'2025年安徽省区利润表'!H190+'2025年江西省区利润表'!H190</f>
        <v>0</v>
      </c>
      <c r="I190" s="49">
        <f>'2025年安徽省区利润表'!I190+'2025年江西省区利润表'!I190</f>
        <v>0</v>
      </c>
      <c r="J190" s="49">
        <f>'2025年安徽省区利润表'!J190+'2025年江西省区利润表'!J190</f>
        <v>0</v>
      </c>
      <c r="K190" s="49">
        <f>'2025年安徽省区利润表'!K190+'2025年江西省区利润表'!K190</f>
        <v>0</v>
      </c>
      <c r="L190" s="49">
        <f>'2025年安徽省区利润表'!L190+'2025年江西省区利润表'!L190</f>
        <v>0</v>
      </c>
      <c r="M190" s="49">
        <f>'2025年安徽省区利润表'!M190+'2025年江西省区利润表'!M190</f>
        <v>0</v>
      </c>
      <c r="N190" s="49">
        <f>'2025年安徽省区利润表'!N190+'2025年江西省区利润表'!N190</f>
        <v>0</v>
      </c>
      <c r="O190" s="49">
        <f>'2025年安徽省区利润表'!O190+'2025年江西省区利润表'!O190</f>
        <v>0</v>
      </c>
      <c r="P190" s="49">
        <f>'2025年安徽省区利润表'!P190+'2025年江西省区利润表'!P190</f>
        <v>0</v>
      </c>
      <c r="Q190" s="49">
        <f>'2025年安徽省区利润表'!Q190+'2025年江西省区利润表'!Q190</f>
        <v>0</v>
      </c>
      <c r="R190" s="49">
        <f>'2025年安徽省区利润表'!R190+'2025年江西省区利润表'!R190</f>
        <v>0</v>
      </c>
      <c r="S190" s="49">
        <f>'2025年安徽省区利润表'!S190+'2025年江西省区利润表'!S190</f>
        <v>0</v>
      </c>
      <c r="T190" s="49">
        <f>'2025年安徽省区利润表'!T190+'2025年江西省区利润表'!T190</f>
        <v>0</v>
      </c>
      <c r="U190" s="49">
        <f>'2025年安徽省区利润表'!U190+'2025年江西省区利润表'!U190</f>
        <v>0</v>
      </c>
      <c r="V190" s="49">
        <f>'2025年安徽省区利润表'!V190+'2025年江西省区利润表'!V190</f>
        <v>0</v>
      </c>
      <c r="W190" s="49">
        <f>'2025年安徽省区利润表'!W190+'2025年江西省区利润表'!W190</f>
        <v>0</v>
      </c>
      <c r="X190" s="49">
        <f>'2025年安徽省区利润表'!X190+'2025年江西省区利润表'!X190</f>
        <v>0</v>
      </c>
      <c r="Y190" s="49">
        <f>'2025年安徽省区利润表'!Y190+'2025年江西省区利润表'!Y190</f>
        <v>0</v>
      </c>
      <c r="Z190" s="49">
        <f>'2025年安徽省区利润表'!Z190+'2025年江西省区利润表'!Z190</f>
        <v>0</v>
      </c>
      <c r="AA190" s="51">
        <f t="shared" si="31"/>
        <v>0</v>
      </c>
      <c r="AB190" s="51">
        <f t="shared" si="37"/>
        <v>0</v>
      </c>
      <c r="AD190" s="31">
        <f t="shared" si="32"/>
        <v>0</v>
      </c>
      <c r="AE190" s="31">
        <f t="shared" si="33"/>
        <v>0</v>
      </c>
      <c r="AF190" s="17">
        <f t="shared" si="34"/>
        <v>0</v>
      </c>
      <c r="AG190" s="17">
        <f t="shared" si="35"/>
        <v>0</v>
      </c>
    </row>
    <row r="191" spans="1:123" s="19" customFormat="1" ht="18" customHeight="1" outlineLevel="2" x14ac:dyDescent="0.25">
      <c r="A191" s="48" t="s">
        <v>121</v>
      </c>
      <c r="B191" s="53"/>
      <c r="C191" s="49">
        <f>'2025年安徽省区利润表'!C191+'2025年江西省区利润表'!C191</f>
        <v>0</v>
      </c>
      <c r="D191" s="49">
        <f>'2025年安徽省区利润表'!D191+'2025年江西省区利润表'!D191</f>
        <v>0</v>
      </c>
      <c r="E191" s="49">
        <f>'2025年安徽省区利润表'!E191+'2025年江西省区利润表'!E191</f>
        <v>0</v>
      </c>
      <c r="F191" s="49">
        <f>'2025年安徽省区利润表'!F191+'2025年江西省区利润表'!F191</f>
        <v>0</v>
      </c>
      <c r="G191" s="49">
        <f>'2025年安徽省区利润表'!G191+'2025年江西省区利润表'!G191</f>
        <v>0</v>
      </c>
      <c r="H191" s="49">
        <f>'2025年安徽省区利润表'!H191+'2025年江西省区利润表'!H191</f>
        <v>0</v>
      </c>
      <c r="I191" s="49">
        <f>'2025年安徽省区利润表'!I191+'2025年江西省区利润表'!I191</f>
        <v>0</v>
      </c>
      <c r="J191" s="49">
        <f>'2025年安徽省区利润表'!J191+'2025年江西省区利润表'!J191</f>
        <v>0</v>
      </c>
      <c r="K191" s="49">
        <f>'2025年安徽省区利润表'!K191+'2025年江西省区利润表'!K191</f>
        <v>0</v>
      </c>
      <c r="L191" s="49">
        <f>'2025年安徽省区利润表'!L191+'2025年江西省区利润表'!L191</f>
        <v>0</v>
      </c>
      <c r="M191" s="49">
        <f>'2025年安徽省区利润表'!M191+'2025年江西省区利润表'!M191</f>
        <v>0</v>
      </c>
      <c r="N191" s="49">
        <f>'2025年安徽省区利润表'!N191+'2025年江西省区利润表'!N191</f>
        <v>0</v>
      </c>
      <c r="O191" s="49">
        <f>'2025年安徽省区利润表'!O191+'2025年江西省区利润表'!O191</f>
        <v>0</v>
      </c>
      <c r="P191" s="49">
        <f>'2025年安徽省区利润表'!P191+'2025年江西省区利润表'!P191</f>
        <v>0</v>
      </c>
      <c r="Q191" s="49">
        <f>'2025年安徽省区利润表'!Q191+'2025年江西省区利润表'!Q191</f>
        <v>0</v>
      </c>
      <c r="R191" s="49">
        <f>'2025年安徽省区利润表'!R191+'2025年江西省区利润表'!R191</f>
        <v>0</v>
      </c>
      <c r="S191" s="49">
        <f>'2025年安徽省区利润表'!S191+'2025年江西省区利润表'!S191</f>
        <v>0</v>
      </c>
      <c r="T191" s="49">
        <f>'2025年安徽省区利润表'!T191+'2025年江西省区利润表'!T191</f>
        <v>0</v>
      </c>
      <c r="U191" s="49">
        <f>'2025年安徽省区利润表'!U191+'2025年江西省区利润表'!U191</f>
        <v>0</v>
      </c>
      <c r="V191" s="49">
        <f>'2025年安徽省区利润表'!V191+'2025年江西省区利润表'!V191</f>
        <v>0</v>
      </c>
      <c r="W191" s="49">
        <f>'2025年安徽省区利润表'!W191+'2025年江西省区利润表'!W191</f>
        <v>0</v>
      </c>
      <c r="X191" s="49">
        <f>'2025年安徽省区利润表'!X191+'2025年江西省区利润表'!X191</f>
        <v>0</v>
      </c>
      <c r="Y191" s="49">
        <f>'2025年安徽省区利润表'!Y191+'2025年江西省区利润表'!Y191</f>
        <v>0</v>
      </c>
      <c r="Z191" s="49">
        <f>'2025年安徽省区利润表'!Z191+'2025年江西省区利润表'!Z191</f>
        <v>0</v>
      </c>
      <c r="AA191" s="51">
        <f t="shared" si="31"/>
        <v>0</v>
      </c>
      <c r="AB191" s="51">
        <f t="shared" si="37"/>
        <v>0</v>
      </c>
      <c r="AD191" s="31">
        <f t="shared" si="32"/>
        <v>0</v>
      </c>
      <c r="AE191" s="31">
        <f t="shared" si="33"/>
        <v>0</v>
      </c>
      <c r="AF191" s="17">
        <f t="shared" si="34"/>
        <v>0</v>
      </c>
      <c r="AG191" s="17">
        <f t="shared" si="35"/>
        <v>0</v>
      </c>
    </row>
    <row r="192" spans="1:123" s="19" customFormat="1" ht="18" customHeight="1" outlineLevel="2" x14ac:dyDescent="0.25">
      <c r="A192" s="48" t="s">
        <v>122</v>
      </c>
      <c r="B192" s="53"/>
      <c r="C192" s="49">
        <f>'2025年安徽省区利润表'!C192+'2025年江西省区利润表'!C192</f>
        <v>0</v>
      </c>
      <c r="D192" s="49">
        <f>'2025年安徽省区利润表'!D192+'2025年江西省区利润表'!D192</f>
        <v>0</v>
      </c>
      <c r="E192" s="49">
        <f>'2025年安徽省区利润表'!E192+'2025年江西省区利润表'!E192</f>
        <v>0</v>
      </c>
      <c r="F192" s="49">
        <f>'2025年安徽省区利润表'!F192+'2025年江西省区利润表'!F192</f>
        <v>0</v>
      </c>
      <c r="G192" s="49">
        <f>'2025年安徽省区利润表'!G192+'2025年江西省区利润表'!G192</f>
        <v>0</v>
      </c>
      <c r="H192" s="49">
        <f>'2025年安徽省区利润表'!H192+'2025年江西省区利润表'!H192</f>
        <v>0</v>
      </c>
      <c r="I192" s="49">
        <f>'2025年安徽省区利润表'!I192+'2025年江西省区利润表'!I192</f>
        <v>0</v>
      </c>
      <c r="J192" s="49">
        <f>'2025年安徽省区利润表'!J192+'2025年江西省区利润表'!J192</f>
        <v>0</v>
      </c>
      <c r="K192" s="49">
        <f>'2025年安徽省区利润表'!K192+'2025年江西省区利润表'!K192</f>
        <v>0</v>
      </c>
      <c r="L192" s="49">
        <f>'2025年安徽省区利润表'!L192+'2025年江西省区利润表'!L192</f>
        <v>0</v>
      </c>
      <c r="M192" s="49">
        <f>'2025年安徽省区利润表'!M192+'2025年江西省区利润表'!M192</f>
        <v>0</v>
      </c>
      <c r="N192" s="49">
        <f>'2025年安徽省区利润表'!N192+'2025年江西省区利润表'!N192</f>
        <v>0</v>
      </c>
      <c r="O192" s="49">
        <f>'2025年安徽省区利润表'!O192+'2025年江西省区利润表'!O192</f>
        <v>0</v>
      </c>
      <c r="P192" s="49">
        <f>'2025年安徽省区利润表'!P192+'2025年江西省区利润表'!P192</f>
        <v>0</v>
      </c>
      <c r="Q192" s="49">
        <f>'2025年安徽省区利润表'!Q192+'2025年江西省区利润表'!Q192</f>
        <v>0</v>
      </c>
      <c r="R192" s="49">
        <f>'2025年安徽省区利润表'!R192+'2025年江西省区利润表'!R192</f>
        <v>0</v>
      </c>
      <c r="S192" s="49">
        <f>'2025年安徽省区利润表'!S192+'2025年江西省区利润表'!S192</f>
        <v>0</v>
      </c>
      <c r="T192" s="49">
        <f>'2025年安徽省区利润表'!T192+'2025年江西省区利润表'!T192</f>
        <v>0</v>
      </c>
      <c r="U192" s="49">
        <f>'2025年安徽省区利润表'!U192+'2025年江西省区利润表'!U192</f>
        <v>0</v>
      </c>
      <c r="V192" s="49">
        <f>'2025年安徽省区利润表'!V192+'2025年江西省区利润表'!V192</f>
        <v>0</v>
      </c>
      <c r="W192" s="49">
        <f>'2025年安徽省区利润表'!W192+'2025年江西省区利润表'!W192</f>
        <v>0</v>
      </c>
      <c r="X192" s="49">
        <f>'2025年安徽省区利润表'!X192+'2025年江西省区利润表'!X192</f>
        <v>0</v>
      </c>
      <c r="Y192" s="49">
        <f>'2025年安徽省区利润表'!Y192+'2025年江西省区利润表'!Y192</f>
        <v>0</v>
      </c>
      <c r="Z192" s="49">
        <f>'2025年安徽省区利润表'!Z192+'2025年江西省区利润表'!Z192</f>
        <v>0</v>
      </c>
      <c r="AA192" s="51">
        <f t="shared" si="31"/>
        <v>0</v>
      </c>
      <c r="AB192" s="51">
        <f t="shared" si="37"/>
        <v>0</v>
      </c>
      <c r="AD192" s="31">
        <f t="shared" si="32"/>
        <v>0</v>
      </c>
      <c r="AE192" s="31">
        <f t="shared" si="33"/>
        <v>0</v>
      </c>
      <c r="AF192" s="17">
        <f t="shared" si="34"/>
        <v>0</v>
      </c>
      <c r="AG192" s="17">
        <f t="shared" si="35"/>
        <v>0</v>
      </c>
    </row>
    <row r="193" spans="1:123" s="19" customFormat="1" ht="18" customHeight="1" outlineLevel="2" x14ac:dyDescent="0.25">
      <c r="A193" s="48" t="s">
        <v>123</v>
      </c>
      <c r="B193" s="53"/>
      <c r="C193" s="49">
        <f>'2025年安徽省区利润表'!C193+'2025年江西省区利润表'!C193</f>
        <v>0</v>
      </c>
      <c r="D193" s="49">
        <f>'2025年安徽省区利润表'!D193+'2025年江西省区利润表'!D193</f>
        <v>0</v>
      </c>
      <c r="E193" s="49">
        <f>'2025年安徽省区利润表'!E193+'2025年江西省区利润表'!E193</f>
        <v>0</v>
      </c>
      <c r="F193" s="49">
        <f>'2025年安徽省区利润表'!F193+'2025年江西省区利润表'!F193</f>
        <v>0</v>
      </c>
      <c r="G193" s="49">
        <f>'2025年安徽省区利润表'!G193+'2025年江西省区利润表'!G193</f>
        <v>0</v>
      </c>
      <c r="H193" s="49">
        <f>'2025年安徽省区利润表'!H193+'2025年江西省区利润表'!H193</f>
        <v>0</v>
      </c>
      <c r="I193" s="49">
        <f>'2025年安徽省区利润表'!I193+'2025年江西省区利润表'!I193</f>
        <v>0</v>
      </c>
      <c r="J193" s="49">
        <f>'2025年安徽省区利润表'!J193+'2025年江西省区利润表'!J193</f>
        <v>0</v>
      </c>
      <c r="K193" s="49">
        <f>'2025年安徽省区利润表'!K193+'2025年江西省区利润表'!K193</f>
        <v>0</v>
      </c>
      <c r="L193" s="49">
        <f>'2025年安徽省区利润表'!L193+'2025年江西省区利润表'!L193</f>
        <v>0</v>
      </c>
      <c r="M193" s="49">
        <f>'2025年安徽省区利润表'!M193+'2025年江西省区利润表'!M193</f>
        <v>0</v>
      </c>
      <c r="N193" s="49">
        <f>'2025年安徽省区利润表'!N193+'2025年江西省区利润表'!N193</f>
        <v>0</v>
      </c>
      <c r="O193" s="49">
        <f>'2025年安徽省区利润表'!O193+'2025年江西省区利润表'!O193</f>
        <v>0</v>
      </c>
      <c r="P193" s="49">
        <f>'2025年安徽省区利润表'!P193+'2025年江西省区利润表'!P193</f>
        <v>0</v>
      </c>
      <c r="Q193" s="49">
        <f>'2025年安徽省区利润表'!Q193+'2025年江西省区利润表'!Q193</f>
        <v>0</v>
      </c>
      <c r="R193" s="49">
        <f>'2025年安徽省区利润表'!R193+'2025年江西省区利润表'!R193</f>
        <v>0</v>
      </c>
      <c r="S193" s="49">
        <f>'2025年安徽省区利润表'!S193+'2025年江西省区利润表'!S193</f>
        <v>0</v>
      </c>
      <c r="T193" s="49">
        <f>'2025年安徽省区利润表'!T193+'2025年江西省区利润表'!T193</f>
        <v>0</v>
      </c>
      <c r="U193" s="49">
        <f>'2025年安徽省区利润表'!U193+'2025年江西省区利润表'!U193</f>
        <v>0</v>
      </c>
      <c r="V193" s="49">
        <f>'2025年安徽省区利润表'!V193+'2025年江西省区利润表'!V193</f>
        <v>0</v>
      </c>
      <c r="W193" s="49">
        <f>'2025年安徽省区利润表'!W193+'2025年江西省区利润表'!W193</f>
        <v>0</v>
      </c>
      <c r="X193" s="49">
        <f>'2025年安徽省区利润表'!X193+'2025年江西省区利润表'!X193</f>
        <v>0</v>
      </c>
      <c r="Y193" s="49">
        <f>'2025年安徽省区利润表'!Y193+'2025年江西省区利润表'!Y193</f>
        <v>0</v>
      </c>
      <c r="Z193" s="49">
        <f>'2025年安徽省区利润表'!Z193+'2025年江西省区利润表'!Z193</f>
        <v>0</v>
      </c>
      <c r="AA193" s="51">
        <f t="shared" si="31"/>
        <v>0</v>
      </c>
      <c r="AB193" s="51">
        <f t="shared" si="37"/>
        <v>0</v>
      </c>
      <c r="AD193" s="31">
        <f t="shared" si="32"/>
        <v>0</v>
      </c>
      <c r="AE193" s="31">
        <f t="shared" si="33"/>
        <v>0</v>
      </c>
      <c r="AF193" s="17">
        <f t="shared" si="34"/>
        <v>0</v>
      </c>
      <c r="AG193" s="17">
        <f t="shared" si="35"/>
        <v>0</v>
      </c>
    </row>
    <row r="194" spans="1:123" s="19" customFormat="1" ht="18" customHeight="1" outlineLevel="2" x14ac:dyDescent="0.25">
      <c r="A194" s="48" t="s">
        <v>124</v>
      </c>
      <c r="B194" s="53"/>
      <c r="C194" s="49">
        <f>'2025年安徽省区利润表'!C194+'2025年江西省区利润表'!C194</f>
        <v>0</v>
      </c>
      <c r="D194" s="49">
        <f>'2025年安徽省区利润表'!D194+'2025年江西省区利润表'!D194</f>
        <v>0</v>
      </c>
      <c r="E194" s="49">
        <f>'2025年安徽省区利润表'!E194+'2025年江西省区利润表'!E194</f>
        <v>0</v>
      </c>
      <c r="F194" s="49">
        <f>'2025年安徽省区利润表'!F194+'2025年江西省区利润表'!F194</f>
        <v>0</v>
      </c>
      <c r="G194" s="49">
        <f>'2025年安徽省区利润表'!G194+'2025年江西省区利润表'!G194</f>
        <v>0</v>
      </c>
      <c r="H194" s="49">
        <f>'2025年安徽省区利润表'!H194+'2025年江西省区利润表'!H194</f>
        <v>0</v>
      </c>
      <c r="I194" s="49">
        <f>'2025年安徽省区利润表'!I194+'2025年江西省区利润表'!I194</f>
        <v>0</v>
      </c>
      <c r="J194" s="49">
        <f>'2025年安徽省区利润表'!J194+'2025年江西省区利润表'!J194</f>
        <v>0</v>
      </c>
      <c r="K194" s="49">
        <f>'2025年安徽省区利润表'!K194+'2025年江西省区利润表'!K194</f>
        <v>0</v>
      </c>
      <c r="L194" s="49">
        <f>'2025年安徽省区利润表'!L194+'2025年江西省区利润表'!L194</f>
        <v>0</v>
      </c>
      <c r="M194" s="49">
        <f>'2025年安徽省区利润表'!M194+'2025年江西省区利润表'!M194</f>
        <v>0</v>
      </c>
      <c r="N194" s="49">
        <f>'2025年安徽省区利润表'!N194+'2025年江西省区利润表'!N194</f>
        <v>0</v>
      </c>
      <c r="O194" s="49">
        <f>'2025年安徽省区利润表'!O194+'2025年江西省区利润表'!O194</f>
        <v>0</v>
      </c>
      <c r="P194" s="49">
        <f>'2025年安徽省区利润表'!P194+'2025年江西省区利润表'!P194</f>
        <v>0</v>
      </c>
      <c r="Q194" s="49">
        <f>'2025年安徽省区利润表'!Q194+'2025年江西省区利润表'!Q194</f>
        <v>0</v>
      </c>
      <c r="R194" s="49">
        <f>'2025年安徽省区利润表'!R194+'2025年江西省区利润表'!R194</f>
        <v>0</v>
      </c>
      <c r="S194" s="49">
        <f>'2025年安徽省区利润表'!S194+'2025年江西省区利润表'!S194</f>
        <v>0</v>
      </c>
      <c r="T194" s="49">
        <f>'2025年安徽省区利润表'!T194+'2025年江西省区利润表'!T194</f>
        <v>0</v>
      </c>
      <c r="U194" s="49">
        <f>'2025年安徽省区利润表'!U194+'2025年江西省区利润表'!U194</f>
        <v>0</v>
      </c>
      <c r="V194" s="49">
        <f>'2025年安徽省区利润表'!V194+'2025年江西省区利润表'!V194</f>
        <v>0</v>
      </c>
      <c r="W194" s="49">
        <f>'2025年安徽省区利润表'!W194+'2025年江西省区利润表'!W194</f>
        <v>0</v>
      </c>
      <c r="X194" s="49">
        <f>'2025年安徽省区利润表'!X194+'2025年江西省区利润表'!X194</f>
        <v>0</v>
      </c>
      <c r="Y194" s="49">
        <f>'2025年安徽省区利润表'!Y194+'2025年江西省区利润表'!Y194</f>
        <v>0</v>
      </c>
      <c r="Z194" s="49">
        <f>'2025年安徽省区利润表'!Z194+'2025年江西省区利润表'!Z194</f>
        <v>0</v>
      </c>
      <c r="AA194" s="51">
        <f t="shared" si="31"/>
        <v>0</v>
      </c>
      <c r="AB194" s="51">
        <f t="shared" si="37"/>
        <v>0</v>
      </c>
      <c r="AD194" s="31">
        <f t="shared" si="32"/>
        <v>0</v>
      </c>
      <c r="AE194" s="31">
        <f t="shared" si="33"/>
        <v>0</v>
      </c>
      <c r="AF194" s="17">
        <f t="shared" si="34"/>
        <v>0</v>
      </c>
      <c r="AG194" s="17">
        <f t="shared" si="35"/>
        <v>0</v>
      </c>
    </row>
    <row r="195" spans="1:123" s="19" customFormat="1" ht="18" customHeight="1" outlineLevel="2" x14ac:dyDescent="0.25">
      <c r="A195" s="48" t="s">
        <v>125</v>
      </c>
      <c r="B195" s="53"/>
      <c r="C195" s="49">
        <f>'2025年安徽省区利润表'!C195+'2025年江西省区利润表'!C195</f>
        <v>0</v>
      </c>
      <c r="D195" s="49">
        <f>'2025年安徽省区利润表'!D195+'2025年江西省区利润表'!D195</f>
        <v>0</v>
      </c>
      <c r="E195" s="49">
        <f>'2025年安徽省区利润表'!E195+'2025年江西省区利润表'!E195</f>
        <v>0</v>
      </c>
      <c r="F195" s="49">
        <f>'2025年安徽省区利润表'!F195+'2025年江西省区利润表'!F195</f>
        <v>0</v>
      </c>
      <c r="G195" s="49">
        <f>'2025年安徽省区利润表'!G195+'2025年江西省区利润表'!G195</f>
        <v>0</v>
      </c>
      <c r="H195" s="49">
        <f>'2025年安徽省区利润表'!H195+'2025年江西省区利润表'!H195</f>
        <v>0</v>
      </c>
      <c r="I195" s="49">
        <f>'2025年安徽省区利润表'!I195+'2025年江西省区利润表'!I195</f>
        <v>0</v>
      </c>
      <c r="J195" s="49">
        <f>'2025年安徽省区利润表'!J195+'2025年江西省区利润表'!J195</f>
        <v>0</v>
      </c>
      <c r="K195" s="49">
        <f>'2025年安徽省区利润表'!K195+'2025年江西省区利润表'!K195</f>
        <v>0</v>
      </c>
      <c r="L195" s="49">
        <f>'2025年安徽省区利润表'!L195+'2025年江西省区利润表'!L195</f>
        <v>0</v>
      </c>
      <c r="M195" s="49">
        <f>'2025年安徽省区利润表'!M195+'2025年江西省区利润表'!M195</f>
        <v>0</v>
      </c>
      <c r="N195" s="49">
        <f>'2025年安徽省区利润表'!N195+'2025年江西省区利润表'!N195</f>
        <v>0</v>
      </c>
      <c r="O195" s="49">
        <f>'2025年安徽省区利润表'!O195+'2025年江西省区利润表'!O195</f>
        <v>0</v>
      </c>
      <c r="P195" s="49">
        <f>'2025年安徽省区利润表'!P195+'2025年江西省区利润表'!P195</f>
        <v>0</v>
      </c>
      <c r="Q195" s="49">
        <f>'2025年安徽省区利润表'!Q195+'2025年江西省区利润表'!Q195</f>
        <v>0</v>
      </c>
      <c r="R195" s="49">
        <f>'2025年安徽省区利润表'!R195+'2025年江西省区利润表'!R195</f>
        <v>0</v>
      </c>
      <c r="S195" s="49">
        <f>'2025年安徽省区利润表'!S195+'2025年江西省区利润表'!S195</f>
        <v>0</v>
      </c>
      <c r="T195" s="49">
        <f>'2025年安徽省区利润表'!T195+'2025年江西省区利润表'!T195</f>
        <v>0</v>
      </c>
      <c r="U195" s="49">
        <f>'2025年安徽省区利润表'!U195+'2025年江西省区利润表'!U195</f>
        <v>0</v>
      </c>
      <c r="V195" s="49">
        <f>'2025年安徽省区利润表'!V195+'2025年江西省区利润表'!V195</f>
        <v>0</v>
      </c>
      <c r="W195" s="49">
        <f>'2025年安徽省区利润表'!W195+'2025年江西省区利润表'!W195</f>
        <v>0</v>
      </c>
      <c r="X195" s="49">
        <f>'2025年安徽省区利润表'!X195+'2025年江西省区利润表'!X195</f>
        <v>0</v>
      </c>
      <c r="Y195" s="49">
        <f>'2025年安徽省区利润表'!Y195+'2025年江西省区利润表'!Y195</f>
        <v>0</v>
      </c>
      <c r="Z195" s="49">
        <f>'2025年安徽省区利润表'!Z195+'2025年江西省区利润表'!Z195</f>
        <v>0</v>
      </c>
      <c r="AA195" s="51">
        <f t="shared" si="31"/>
        <v>0</v>
      </c>
      <c r="AB195" s="51">
        <f t="shared" si="37"/>
        <v>0</v>
      </c>
      <c r="AD195" s="31">
        <f t="shared" si="32"/>
        <v>0</v>
      </c>
      <c r="AE195" s="31">
        <f t="shared" si="33"/>
        <v>0</v>
      </c>
      <c r="AF195" s="17">
        <f t="shared" si="34"/>
        <v>0</v>
      </c>
      <c r="AG195" s="17">
        <f t="shared" si="35"/>
        <v>0</v>
      </c>
    </row>
    <row r="196" spans="1:123" s="19" customFormat="1" ht="18" customHeight="1" outlineLevel="2" x14ac:dyDescent="0.25">
      <c r="A196" s="48" t="s">
        <v>126</v>
      </c>
      <c r="B196" s="53"/>
      <c r="C196" s="49">
        <f>'2025年安徽省区利润表'!C196+'2025年江西省区利润表'!C196</f>
        <v>0</v>
      </c>
      <c r="D196" s="49">
        <f>'2025年安徽省区利润表'!D196+'2025年江西省区利润表'!D196</f>
        <v>0</v>
      </c>
      <c r="E196" s="49">
        <f>'2025年安徽省区利润表'!E196+'2025年江西省区利润表'!E196</f>
        <v>0</v>
      </c>
      <c r="F196" s="49">
        <f>'2025年安徽省区利润表'!F196+'2025年江西省区利润表'!F196</f>
        <v>0</v>
      </c>
      <c r="G196" s="49">
        <f>'2025年安徽省区利润表'!G196+'2025年江西省区利润表'!G196</f>
        <v>0</v>
      </c>
      <c r="H196" s="49">
        <f>'2025年安徽省区利润表'!H196+'2025年江西省区利润表'!H196</f>
        <v>0</v>
      </c>
      <c r="I196" s="49">
        <f>'2025年安徽省区利润表'!I196+'2025年江西省区利润表'!I196</f>
        <v>0</v>
      </c>
      <c r="J196" s="49">
        <f>'2025年安徽省区利润表'!J196+'2025年江西省区利润表'!J196</f>
        <v>0</v>
      </c>
      <c r="K196" s="49">
        <f>'2025年安徽省区利润表'!K196+'2025年江西省区利润表'!K196</f>
        <v>0</v>
      </c>
      <c r="L196" s="49">
        <f>'2025年安徽省区利润表'!L196+'2025年江西省区利润表'!L196</f>
        <v>0</v>
      </c>
      <c r="M196" s="49">
        <f>'2025年安徽省区利润表'!M196+'2025年江西省区利润表'!M196</f>
        <v>0</v>
      </c>
      <c r="N196" s="49">
        <f>'2025年安徽省区利润表'!N196+'2025年江西省区利润表'!N196</f>
        <v>0</v>
      </c>
      <c r="O196" s="49">
        <f>'2025年安徽省区利润表'!O196+'2025年江西省区利润表'!O196</f>
        <v>0</v>
      </c>
      <c r="P196" s="49">
        <f>'2025年安徽省区利润表'!P196+'2025年江西省区利润表'!P196</f>
        <v>0</v>
      </c>
      <c r="Q196" s="49">
        <f>'2025年安徽省区利润表'!Q196+'2025年江西省区利润表'!Q196</f>
        <v>0</v>
      </c>
      <c r="R196" s="49">
        <f>'2025年安徽省区利润表'!R196+'2025年江西省区利润表'!R196</f>
        <v>0</v>
      </c>
      <c r="S196" s="49">
        <f>'2025年安徽省区利润表'!S196+'2025年江西省区利润表'!S196</f>
        <v>0</v>
      </c>
      <c r="T196" s="49">
        <f>'2025年安徽省区利润表'!T196+'2025年江西省区利润表'!T196</f>
        <v>0</v>
      </c>
      <c r="U196" s="49">
        <f>'2025年安徽省区利润表'!U196+'2025年江西省区利润表'!U196</f>
        <v>0</v>
      </c>
      <c r="V196" s="49">
        <f>'2025年安徽省区利润表'!V196+'2025年江西省区利润表'!V196</f>
        <v>0</v>
      </c>
      <c r="W196" s="49">
        <f>'2025年安徽省区利润表'!W196+'2025年江西省区利润表'!W196</f>
        <v>0</v>
      </c>
      <c r="X196" s="49">
        <f>'2025年安徽省区利润表'!X196+'2025年江西省区利润表'!X196</f>
        <v>0</v>
      </c>
      <c r="Y196" s="49">
        <f>'2025年安徽省区利润表'!Y196+'2025年江西省区利润表'!Y196</f>
        <v>0</v>
      </c>
      <c r="Z196" s="49">
        <f>'2025年安徽省区利润表'!Z196+'2025年江西省区利润表'!Z196</f>
        <v>0</v>
      </c>
      <c r="AA196" s="51">
        <f t="shared" si="31"/>
        <v>0</v>
      </c>
      <c r="AB196" s="51">
        <f t="shared" si="37"/>
        <v>0</v>
      </c>
      <c r="AD196" s="31">
        <f t="shared" si="32"/>
        <v>0</v>
      </c>
      <c r="AE196" s="31">
        <f t="shared" si="33"/>
        <v>0</v>
      </c>
      <c r="AF196" s="17">
        <f t="shared" si="34"/>
        <v>0</v>
      </c>
      <c r="AG196" s="17">
        <f t="shared" si="35"/>
        <v>0</v>
      </c>
    </row>
    <row r="197" spans="1:123" s="19" customFormat="1" ht="18" customHeight="1" outlineLevel="1" x14ac:dyDescent="0.25">
      <c r="A197" s="48" t="s">
        <v>127</v>
      </c>
      <c r="B197" s="53"/>
      <c r="C197" s="49">
        <f>'2025年安徽省区利润表'!C197+'2025年江西省区利润表'!C197</f>
        <v>0</v>
      </c>
      <c r="D197" s="49">
        <f>'2025年安徽省区利润表'!D197+'2025年江西省区利润表'!D197</f>
        <v>0</v>
      </c>
      <c r="E197" s="49">
        <f>'2025年安徽省区利润表'!E197+'2025年江西省区利润表'!E197</f>
        <v>0</v>
      </c>
      <c r="F197" s="49">
        <f>'2025年安徽省区利润表'!F197+'2025年江西省区利润表'!F197</f>
        <v>0</v>
      </c>
      <c r="G197" s="49">
        <f>'2025年安徽省区利润表'!G197+'2025年江西省区利润表'!G197</f>
        <v>0</v>
      </c>
      <c r="H197" s="49">
        <f>'2025年安徽省区利润表'!H197+'2025年江西省区利润表'!H197</f>
        <v>0</v>
      </c>
      <c r="I197" s="49">
        <f>'2025年安徽省区利润表'!I197+'2025年江西省区利润表'!I197</f>
        <v>0</v>
      </c>
      <c r="J197" s="49">
        <f>'2025年安徽省区利润表'!J197+'2025年江西省区利润表'!J197</f>
        <v>0</v>
      </c>
      <c r="K197" s="49">
        <f>'2025年安徽省区利润表'!K197+'2025年江西省区利润表'!K197</f>
        <v>0</v>
      </c>
      <c r="L197" s="49">
        <f>'2025年安徽省区利润表'!L197+'2025年江西省区利润表'!L197</f>
        <v>0</v>
      </c>
      <c r="M197" s="49">
        <f>'2025年安徽省区利润表'!M197+'2025年江西省区利润表'!M197</f>
        <v>0</v>
      </c>
      <c r="N197" s="49">
        <f>'2025年安徽省区利润表'!N197+'2025年江西省区利润表'!N197</f>
        <v>0</v>
      </c>
      <c r="O197" s="49">
        <f>'2025年安徽省区利润表'!O197+'2025年江西省区利润表'!O197</f>
        <v>0</v>
      </c>
      <c r="P197" s="49">
        <f>'2025年安徽省区利润表'!P197+'2025年江西省区利润表'!P197</f>
        <v>0</v>
      </c>
      <c r="Q197" s="49">
        <f>'2025年安徽省区利润表'!Q197+'2025年江西省区利润表'!Q197</f>
        <v>0</v>
      </c>
      <c r="R197" s="49">
        <f>'2025年安徽省区利润表'!R197+'2025年江西省区利润表'!R197</f>
        <v>0</v>
      </c>
      <c r="S197" s="49">
        <f>'2025年安徽省区利润表'!S197+'2025年江西省区利润表'!S197</f>
        <v>0</v>
      </c>
      <c r="T197" s="49">
        <f>'2025年安徽省区利润表'!T197+'2025年江西省区利润表'!T197</f>
        <v>0</v>
      </c>
      <c r="U197" s="49">
        <f>'2025年安徽省区利润表'!U197+'2025年江西省区利润表'!U197</f>
        <v>0</v>
      </c>
      <c r="V197" s="49">
        <f>'2025年安徽省区利润表'!V197+'2025年江西省区利润表'!V197</f>
        <v>0</v>
      </c>
      <c r="W197" s="49">
        <f>'2025年安徽省区利润表'!W197+'2025年江西省区利润表'!W197</f>
        <v>0</v>
      </c>
      <c r="X197" s="49">
        <f>'2025年安徽省区利润表'!X197+'2025年江西省区利润表'!X197</f>
        <v>0</v>
      </c>
      <c r="Y197" s="49">
        <f>'2025年安徽省区利润表'!Y197+'2025年江西省区利润表'!Y197</f>
        <v>0</v>
      </c>
      <c r="Z197" s="49">
        <f>'2025年安徽省区利润表'!Z197+'2025年江西省区利润表'!Z197</f>
        <v>0</v>
      </c>
      <c r="AA197" s="51">
        <f t="shared" si="31"/>
        <v>0</v>
      </c>
      <c r="AB197" s="51">
        <f t="shared" si="37"/>
        <v>0</v>
      </c>
      <c r="AD197" s="31">
        <f t="shared" si="32"/>
        <v>0</v>
      </c>
      <c r="AE197" s="31">
        <f t="shared" si="33"/>
        <v>0</v>
      </c>
      <c r="AF197" s="17">
        <f t="shared" si="34"/>
        <v>0</v>
      </c>
      <c r="AG197" s="17">
        <f t="shared" si="35"/>
        <v>0</v>
      </c>
    </row>
    <row r="198" spans="1:123" s="19" customFormat="1" ht="18" customHeight="1" outlineLevel="1" x14ac:dyDescent="0.25">
      <c r="A198" s="48" t="s">
        <v>128</v>
      </c>
      <c r="B198" s="53"/>
      <c r="C198" s="49">
        <f>'2025年安徽省区利润表'!C198+'2025年江西省区利润表'!C198</f>
        <v>0</v>
      </c>
      <c r="D198" s="49">
        <f>'2025年安徽省区利润表'!D198+'2025年江西省区利润表'!D198</f>
        <v>0</v>
      </c>
      <c r="E198" s="49">
        <f>'2025年安徽省区利润表'!E198+'2025年江西省区利润表'!E198</f>
        <v>0</v>
      </c>
      <c r="F198" s="49">
        <f>'2025年安徽省区利润表'!F198+'2025年江西省区利润表'!F198</f>
        <v>0</v>
      </c>
      <c r="G198" s="49">
        <f>'2025年安徽省区利润表'!G198+'2025年江西省区利润表'!G198</f>
        <v>0</v>
      </c>
      <c r="H198" s="49">
        <f>'2025年安徽省区利润表'!H198+'2025年江西省区利润表'!H198</f>
        <v>0</v>
      </c>
      <c r="I198" s="49">
        <f>'2025年安徽省区利润表'!I198+'2025年江西省区利润表'!I198</f>
        <v>0</v>
      </c>
      <c r="J198" s="49">
        <f>'2025年安徽省区利润表'!J198+'2025年江西省区利润表'!J198</f>
        <v>0</v>
      </c>
      <c r="K198" s="49">
        <f>'2025年安徽省区利润表'!K198+'2025年江西省区利润表'!K198</f>
        <v>0</v>
      </c>
      <c r="L198" s="49">
        <f>'2025年安徽省区利润表'!L198+'2025年江西省区利润表'!L198</f>
        <v>0</v>
      </c>
      <c r="M198" s="49">
        <f>'2025年安徽省区利润表'!M198+'2025年江西省区利润表'!M198</f>
        <v>0</v>
      </c>
      <c r="N198" s="49">
        <f>'2025年安徽省区利润表'!N198+'2025年江西省区利润表'!N198</f>
        <v>0</v>
      </c>
      <c r="O198" s="49">
        <f>'2025年安徽省区利润表'!O198+'2025年江西省区利润表'!O198</f>
        <v>0</v>
      </c>
      <c r="P198" s="49">
        <f>'2025年安徽省区利润表'!P198+'2025年江西省区利润表'!P198</f>
        <v>0</v>
      </c>
      <c r="Q198" s="49">
        <f>'2025年安徽省区利润表'!Q198+'2025年江西省区利润表'!Q198</f>
        <v>0</v>
      </c>
      <c r="R198" s="49">
        <f>'2025年安徽省区利润表'!R198+'2025年江西省区利润表'!R198</f>
        <v>0</v>
      </c>
      <c r="S198" s="49">
        <f>'2025年安徽省区利润表'!S198+'2025年江西省区利润表'!S198</f>
        <v>0</v>
      </c>
      <c r="T198" s="49">
        <f>'2025年安徽省区利润表'!T198+'2025年江西省区利润表'!T198</f>
        <v>0</v>
      </c>
      <c r="U198" s="49">
        <f>'2025年安徽省区利润表'!U198+'2025年江西省区利润表'!U198</f>
        <v>0</v>
      </c>
      <c r="V198" s="49">
        <f>'2025年安徽省区利润表'!V198+'2025年江西省区利润表'!V198</f>
        <v>0</v>
      </c>
      <c r="W198" s="49">
        <f>'2025年安徽省区利润表'!W198+'2025年江西省区利润表'!W198</f>
        <v>0</v>
      </c>
      <c r="X198" s="49">
        <f>'2025年安徽省区利润表'!X198+'2025年江西省区利润表'!X198</f>
        <v>0</v>
      </c>
      <c r="Y198" s="49">
        <f>'2025年安徽省区利润表'!Y198+'2025年江西省区利润表'!Y198</f>
        <v>0</v>
      </c>
      <c r="Z198" s="49">
        <f>'2025年安徽省区利润表'!Z198+'2025年江西省区利润表'!Z198</f>
        <v>0</v>
      </c>
      <c r="AA198" s="51">
        <f t="shared" si="31"/>
        <v>0</v>
      </c>
      <c r="AB198" s="51">
        <f t="shared" si="37"/>
        <v>0</v>
      </c>
      <c r="AD198" s="31">
        <f t="shared" si="32"/>
        <v>0</v>
      </c>
      <c r="AE198" s="31">
        <f t="shared" si="33"/>
        <v>0</v>
      </c>
      <c r="AF198" s="17">
        <f t="shared" si="34"/>
        <v>0</v>
      </c>
      <c r="AG198" s="17">
        <f t="shared" si="35"/>
        <v>0</v>
      </c>
    </row>
    <row r="199" spans="1:123" s="19" customFormat="1" ht="18" customHeight="1" outlineLevel="1" x14ac:dyDescent="0.25">
      <c r="A199" s="48" t="s">
        <v>129</v>
      </c>
      <c r="B199" s="53"/>
      <c r="C199" s="49">
        <f>'2025年安徽省区利润表'!C199+'2025年江西省区利润表'!C199</f>
        <v>0</v>
      </c>
      <c r="D199" s="49">
        <f>'2025年安徽省区利润表'!D199+'2025年江西省区利润表'!D199</f>
        <v>0</v>
      </c>
      <c r="E199" s="49">
        <f>'2025年安徽省区利润表'!E199+'2025年江西省区利润表'!E199</f>
        <v>0</v>
      </c>
      <c r="F199" s="49">
        <f>'2025年安徽省区利润表'!F199+'2025年江西省区利润表'!F199</f>
        <v>0</v>
      </c>
      <c r="G199" s="49">
        <f>'2025年安徽省区利润表'!G199+'2025年江西省区利润表'!G199</f>
        <v>0</v>
      </c>
      <c r="H199" s="49">
        <f>'2025年安徽省区利润表'!H199+'2025年江西省区利润表'!H199</f>
        <v>0</v>
      </c>
      <c r="I199" s="49">
        <f>'2025年安徽省区利润表'!I199+'2025年江西省区利润表'!I199</f>
        <v>0</v>
      </c>
      <c r="J199" s="49">
        <f>'2025年安徽省区利润表'!J199+'2025年江西省区利润表'!J199</f>
        <v>0</v>
      </c>
      <c r="K199" s="49">
        <f>'2025年安徽省区利润表'!K199+'2025年江西省区利润表'!K199</f>
        <v>0</v>
      </c>
      <c r="L199" s="49">
        <f>'2025年安徽省区利润表'!L199+'2025年江西省区利润表'!L199</f>
        <v>0</v>
      </c>
      <c r="M199" s="49">
        <f>'2025年安徽省区利润表'!M199+'2025年江西省区利润表'!M199</f>
        <v>0</v>
      </c>
      <c r="N199" s="49">
        <f>'2025年安徽省区利润表'!N199+'2025年江西省区利润表'!N199</f>
        <v>0</v>
      </c>
      <c r="O199" s="49">
        <f>'2025年安徽省区利润表'!O199+'2025年江西省区利润表'!O199</f>
        <v>0</v>
      </c>
      <c r="P199" s="49">
        <f>'2025年安徽省区利润表'!P199+'2025年江西省区利润表'!P199</f>
        <v>0</v>
      </c>
      <c r="Q199" s="49">
        <f>'2025年安徽省区利润表'!Q199+'2025年江西省区利润表'!Q199</f>
        <v>0</v>
      </c>
      <c r="R199" s="49">
        <f>'2025年安徽省区利润表'!R199+'2025年江西省区利润表'!R199</f>
        <v>0</v>
      </c>
      <c r="S199" s="49">
        <f>'2025年安徽省区利润表'!S199+'2025年江西省区利润表'!S199</f>
        <v>0</v>
      </c>
      <c r="T199" s="49">
        <f>'2025年安徽省区利润表'!T199+'2025年江西省区利润表'!T199</f>
        <v>0</v>
      </c>
      <c r="U199" s="49">
        <f>'2025年安徽省区利润表'!U199+'2025年江西省区利润表'!U199</f>
        <v>0</v>
      </c>
      <c r="V199" s="49">
        <f>'2025年安徽省区利润表'!V199+'2025年江西省区利润表'!V199</f>
        <v>0</v>
      </c>
      <c r="W199" s="49">
        <f>'2025年安徽省区利润表'!W199+'2025年江西省区利润表'!W199</f>
        <v>0</v>
      </c>
      <c r="X199" s="49">
        <f>'2025年安徽省区利润表'!X199+'2025年江西省区利润表'!X199</f>
        <v>0</v>
      </c>
      <c r="Y199" s="49">
        <f>'2025年安徽省区利润表'!Y199+'2025年江西省区利润表'!Y199</f>
        <v>0</v>
      </c>
      <c r="Z199" s="49">
        <f>'2025年安徽省区利润表'!Z199+'2025年江西省区利润表'!Z199</f>
        <v>0</v>
      </c>
      <c r="AA199" s="51">
        <f t="shared" si="31"/>
        <v>0</v>
      </c>
      <c r="AB199" s="51">
        <f t="shared" si="37"/>
        <v>0</v>
      </c>
      <c r="AD199" s="31">
        <f t="shared" si="32"/>
        <v>0</v>
      </c>
      <c r="AE199" s="31">
        <f t="shared" si="33"/>
        <v>0</v>
      </c>
      <c r="AF199" s="17">
        <f t="shared" si="34"/>
        <v>0</v>
      </c>
      <c r="AG199" s="17">
        <f t="shared" si="35"/>
        <v>0</v>
      </c>
    </row>
    <row r="200" spans="1:123" s="17" customFormat="1" ht="18" customHeight="1" outlineLevel="1" x14ac:dyDescent="0.25">
      <c r="A200" s="67" t="s">
        <v>130</v>
      </c>
      <c r="B200" s="45"/>
      <c r="C200" s="69"/>
      <c r="D200" s="65"/>
      <c r="E200" s="65"/>
      <c r="F200" s="65">
        <f>SUM(F201:F205)</f>
        <v>0</v>
      </c>
      <c r="G200" s="65"/>
      <c r="H200" s="65">
        <f>SUM(H201:H205)</f>
        <v>0</v>
      </c>
      <c r="I200" s="65"/>
      <c r="J200" s="65">
        <f>SUM(J201:J205)</f>
        <v>0</v>
      </c>
      <c r="K200" s="65"/>
      <c r="L200" s="65">
        <f>SUM(L201:L205)</f>
        <v>0</v>
      </c>
      <c r="M200" s="65"/>
      <c r="N200" s="65">
        <f>SUM(N201:N205)</f>
        <v>0</v>
      </c>
      <c r="O200" s="65"/>
      <c r="P200" s="65">
        <f>SUM(P201:P205)</f>
        <v>0</v>
      </c>
      <c r="Q200" s="65"/>
      <c r="R200" s="65">
        <f>SUM(R201:R205)</f>
        <v>0</v>
      </c>
      <c r="S200" s="65"/>
      <c r="T200" s="65">
        <f>SUM(T201:T205)</f>
        <v>0</v>
      </c>
      <c r="U200" s="65"/>
      <c r="V200" s="65">
        <f>SUM(V201:V205)</f>
        <v>0</v>
      </c>
      <c r="W200" s="65"/>
      <c r="X200" s="65">
        <f>SUM(X201:X205)</f>
        <v>0</v>
      </c>
      <c r="Y200" s="65"/>
      <c r="Z200" s="65">
        <f>SUM(Z201:Z205)</f>
        <v>0</v>
      </c>
      <c r="AA200" s="51">
        <f t="shared" si="31"/>
        <v>0</v>
      </c>
      <c r="AB200" s="51">
        <f t="shared" si="37"/>
        <v>0</v>
      </c>
      <c r="AC200" s="21"/>
      <c r="AD200" s="31">
        <f t="shared" si="32"/>
        <v>0</v>
      </c>
      <c r="AE200" s="31">
        <f t="shared" si="33"/>
        <v>0</v>
      </c>
      <c r="AF200" s="17">
        <f t="shared" si="34"/>
        <v>0</v>
      </c>
      <c r="AG200" s="17">
        <f t="shared" si="35"/>
        <v>0</v>
      </c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</row>
    <row r="201" spans="1:123" s="19" customFormat="1" ht="18" customHeight="1" outlineLevel="2" x14ac:dyDescent="0.25">
      <c r="A201" s="48" t="s">
        <v>131</v>
      </c>
      <c r="B201" s="53"/>
      <c r="C201" s="49">
        <f>'2025年安徽省区利润表'!C201+'2025年江西省区利润表'!C201</f>
        <v>0</v>
      </c>
      <c r="D201" s="49">
        <f>'2025年安徽省区利润表'!D201+'2025年江西省区利润表'!D201</f>
        <v>0</v>
      </c>
      <c r="E201" s="49">
        <f>'2025年安徽省区利润表'!E201+'2025年江西省区利润表'!E201</f>
        <v>0</v>
      </c>
      <c r="F201" s="49">
        <f>'2025年安徽省区利润表'!F201+'2025年江西省区利润表'!F201</f>
        <v>0</v>
      </c>
      <c r="G201" s="49">
        <f>'2025年安徽省区利润表'!G201+'2025年江西省区利润表'!G201</f>
        <v>0</v>
      </c>
      <c r="H201" s="49">
        <f>'2025年安徽省区利润表'!H201+'2025年江西省区利润表'!H201</f>
        <v>0</v>
      </c>
      <c r="I201" s="49">
        <f>'2025年安徽省区利润表'!I201+'2025年江西省区利润表'!I201</f>
        <v>0</v>
      </c>
      <c r="J201" s="49">
        <f>'2025年安徽省区利润表'!J201+'2025年江西省区利润表'!J201</f>
        <v>0</v>
      </c>
      <c r="K201" s="49">
        <f>'2025年安徽省区利润表'!K201+'2025年江西省区利润表'!K201</f>
        <v>0</v>
      </c>
      <c r="L201" s="49">
        <f>'2025年安徽省区利润表'!L201+'2025年江西省区利润表'!L201</f>
        <v>0</v>
      </c>
      <c r="M201" s="49">
        <f>'2025年安徽省区利润表'!M201+'2025年江西省区利润表'!M201</f>
        <v>0</v>
      </c>
      <c r="N201" s="49">
        <f>'2025年安徽省区利润表'!N201+'2025年江西省区利润表'!N201</f>
        <v>0</v>
      </c>
      <c r="O201" s="49">
        <f>'2025年安徽省区利润表'!O201+'2025年江西省区利润表'!O201</f>
        <v>0</v>
      </c>
      <c r="P201" s="49">
        <f>'2025年安徽省区利润表'!P201+'2025年江西省区利润表'!P201</f>
        <v>0</v>
      </c>
      <c r="Q201" s="49">
        <f>'2025年安徽省区利润表'!Q201+'2025年江西省区利润表'!Q201</f>
        <v>0</v>
      </c>
      <c r="R201" s="49">
        <f>'2025年安徽省区利润表'!R201+'2025年江西省区利润表'!R201</f>
        <v>0</v>
      </c>
      <c r="S201" s="49">
        <f>'2025年安徽省区利润表'!S201+'2025年江西省区利润表'!S201</f>
        <v>0</v>
      </c>
      <c r="T201" s="49">
        <f>'2025年安徽省区利润表'!T201+'2025年江西省区利润表'!T201</f>
        <v>0</v>
      </c>
      <c r="U201" s="49">
        <f>'2025年安徽省区利润表'!U201+'2025年江西省区利润表'!U201</f>
        <v>0</v>
      </c>
      <c r="V201" s="49">
        <f>'2025年安徽省区利润表'!V201+'2025年江西省区利润表'!V201</f>
        <v>0</v>
      </c>
      <c r="W201" s="49">
        <f>'2025年安徽省区利润表'!W201+'2025年江西省区利润表'!W201</f>
        <v>0</v>
      </c>
      <c r="X201" s="49">
        <f>'2025年安徽省区利润表'!X201+'2025年江西省区利润表'!X201</f>
        <v>0</v>
      </c>
      <c r="Y201" s="49">
        <f>'2025年安徽省区利润表'!Y201+'2025年江西省区利润表'!Y201</f>
        <v>0</v>
      </c>
      <c r="Z201" s="49">
        <f>'2025年安徽省区利润表'!Z201+'2025年江西省区利润表'!Z201</f>
        <v>0</v>
      </c>
      <c r="AA201" s="51">
        <f t="shared" si="31"/>
        <v>0</v>
      </c>
      <c r="AB201" s="51">
        <f t="shared" si="37"/>
        <v>0</v>
      </c>
      <c r="AD201" s="31">
        <f t="shared" si="32"/>
        <v>0</v>
      </c>
      <c r="AE201" s="31">
        <f t="shared" si="33"/>
        <v>0</v>
      </c>
      <c r="AF201" s="17">
        <f t="shared" si="34"/>
        <v>0</v>
      </c>
      <c r="AG201" s="17">
        <f t="shared" si="35"/>
        <v>0</v>
      </c>
    </row>
    <row r="202" spans="1:123" s="19" customFormat="1" ht="18" customHeight="1" outlineLevel="2" x14ac:dyDescent="0.25">
      <c r="A202" s="48" t="s">
        <v>132</v>
      </c>
      <c r="B202" s="53"/>
      <c r="C202" s="49">
        <f>'2025年安徽省区利润表'!C202+'2025年江西省区利润表'!C202</f>
        <v>0</v>
      </c>
      <c r="D202" s="49">
        <f>'2025年安徽省区利润表'!D202+'2025年江西省区利润表'!D202</f>
        <v>0</v>
      </c>
      <c r="E202" s="49">
        <f>'2025年安徽省区利润表'!E202+'2025年江西省区利润表'!E202</f>
        <v>0</v>
      </c>
      <c r="F202" s="49">
        <f>'2025年安徽省区利润表'!F202+'2025年江西省区利润表'!F202</f>
        <v>0</v>
      </c>
      <c r="G202" s="49">
        <f>'2025年安徽省区利润表'!G202+'2025年江西省区利润表'!G202</f>
        <v>0</v>
      </c>
      <c r="H202" s="49">
        <f>'2025年安徽省区利润表'!H202+'2025年江西省区利润表'!H202</f>
        <v>0</v>
      </c>
      <c r="I202" s="49">
        <f>'2025年安徽省区利润表'!I202+'2025年江西省区利润表'!I202</f>
        <v>0</v>
      </c>
      <c r="J202" s="49">
        <f>'2025年安徽省区利润表'!J202+'2025年江西省区利润表'!J202</f>
        <v>0</v>
      </c>
      <c r="K202" s="49">
        <f>'2025年安徽省区利润表'!K202+'2025年江西省区利润表'!K202</f>
        <v>0</v>
      </c>
      <c r="L202" s="49">
        <f>'2025年安徽省区利润表'!L202+'2025年江西省区利润表'!L202</f>
        <v>0</v>
      </c>
      <c r="M202" s="49">
        <f>'2025年安徽省区利润表'!M202+'2025年江西省区利润表'!M202</f>
        <v>0</v>
      </c>
      <c r="N202" s="49">
        <f>'2025年安徽省区利润表'!N202+'2025年江西省区利润表'!N202</f>
        <v>0</v>
      </c>
      <c r="O202" s="49">
        <f>'2025年安徽省区利润表'!O202+'2025年江西省区利润表'!O202</f>
        <v>0</v>
      </c>
      <c r="P202" s="49">
        <f>'2025年安徽省区利润表'!P202+'2025年江西省区利润表'!P202</f>
        <v>0</v>
      </c>
      <c r="Q202" s="49">
        <f>'2025年安徽省区利润表'!Q202+'2025年江西省区利润表'!Q202</f>
        <v>0</v>
      </c>
      <c r="R202" s="49">
        <f>'2025年安徽省区利润表'!R202+'2025年江西省区利润表'!R202</f>
        <v>0</v>
      </c>
      <c r="S202" s="49">
        <f>'2025年安徽省区利润表'!S202+'2025年江西省区利润表'!S202</f>
        <v>0</v>
      </c>
      <c r="T202" s="49">
        <f>'2025年安徽省区利润表'!T202+'2025年江西省区利润表'!T202</f>
        <v>0</v>
      </c>
      <c r="U202" s="49">
        <f>'2025年安徽省区利润表'!U202+'2025年江西省区利润表'!U202</f>
        <v>0</v>
      </c>
      <c r="V202" s="49">
        <f>'2025年安徽省区利润表'!V202+'2025年江西省区利润表'!V202</f>
        <v>0</v>
      </c>
      <c r="W202" s="49">
        <f>'2025年安徽省区利润表'!W202+'2025年江西省区利润表'!W202</f>
        <v>0</v>
      </c>
      <c r="X202" s="49">
        <f>'2025年安徽省区利润表'!X202+'2025年江西省区利润表'!X202</f>
        <v>0</v>
      </c>
      <c r="Y202" s="49">
        <f>'2025年安徽省区利润表'!Y202+'2025年江西省区利润表'!Y202</f>
        <v>0</v>
      </c>
      <c r="Z202" s="49">
        <f>'2025年安徽省区利润表'!Z202+'2025年江西省区利润表'!Z202</f>
        <v>0</v>
      </c>
      <c r="AA202" s="51">
        <f t="shared" si="31"/>
        <v>0</v>
      </c>
      <c r="AB202" s="51">
        <f t="shared" si="37"/>
        <v>0</v>
      </c>
      <c r="AD202" s="31">
        <f t="shared" si="32"/>
        <v>0</v>
      </c>
      <c r="AE202" s="31">
        <f t="shared" si="33"/>
        <v>0</v>
      </c>
      <c r="AF202" s="17">
        <f t="shared" si="34"/>
        <v>0</v>
      </c>
      <c r="AG202" s="17">
        <f t="shared" si="35"/>
        <v>0</v>
      </c>
    </row>
    <row r="203" spans="1:123" s="19" customFormat="1" ht="18" customHeight="1" outlineLevel="2" x14ac:dyDescent="0.25">
      <c r="A203" s="48" t="s">
        <v>180</v>
      </c>
      <c r="B203" s="53"/>
      <c r="C203" s="49">
        <f>'2025年安徽省区利润表'!C203+'2025年江西省区利润表'!C203</f>
        <v>0</v>
      </c>
      <c r="D203" s="49">
        <f>'2025年安徽省区利润表'!D203+'2025年江西省区利润表'!D203</f>
        <v>0</v>
      </c>
      <c r="E203" s="49">
        <f>'2025年安徽省区利润表'!E203+'2025年江西省区利润表'!E203</f>
        <v>0</v>
      </c>
      <c r="F203" s="49">
        <f>'2025年安徽省区利润表'!F203+'2025年江西省区利润表'!F203</f>
        <v>0</v>
      </c>
      <c r="G203" s="49">
        <f>'2025年安徽省区利润表'!G203+'2025年江西省区利润表'!G203</f>
        <v>0</v>
      </c>
      <c r="H203" s="49">
        <f>'2025年安徽省区利润表'!H203+'2025年江西省区利润表'!H203</f>
        <v>0</v>
      </c>
      <c r="I203" s="49">
        <f>'2025年安徽省区利润表'!I203+'2025年江西省区利润表'!I203</f>
        <v>0</v>
      </c>
      <c r="J203" s="49">
        <f>'2025年安徽省区利润表'!J203+'2025年江西省区利润表'!J203</f>
        <v>0</v>
      </c>
      <c r="K203" s="49">
        <f>'2025年安徽省区利润表'!K203+'2025年江西省区利润表'!K203</f>
        <v>0</v>
      </c>
      <c r="L203" s="49">
        <f>'2025年安徽省区利润表'!L203+'2025年江西省区利润表'!L203</f>
        <v>0</v>
      </c>
      <c r="M203" s="49">
        <f>'2025年安徽省区利润表'!M203+'2025年江西省区利润表'!M203</f>
        <v>0</v>
      </c>
      <c r="N203" s="49">
        <f>'2025年安徽省区利润表'!N203+'2025年江西省区利润表'!N203</f>
        <v>0</v>
      </c>
      <c r="O203" s="49">
        <f>'2025年安徽省区利润表'!O203+'2025年江西省区利润表'!O203</f>
        <v>0</v>
      </c>
      <c r="P203" s="49">
        <f>'2025年安徽省区利润表'!P203+'2025年江西省区利润表'!P203</f>
        <v>0</v>
      </c>
      <c r="Q203" s="49">
        <f>'2025年安徽省区利润表'!Q203+'2025年江西省区利润表'!Q203</f>
        <v>0</v>
      </c>
      <c r="R203" s="49">
        <f>'2025年安徽省区利润表'!R203+'2025年江西省区利润表'!R203</f>
        <v>0</v>
      </c>
      <c r="S203" s="49">
        <f>'2025年安徽省区利润表'!S203+'2025年江西省区利润表'!S203</f>
        <v>0</v>
      </c>
      <c r="T203" s="49">
        <f>'2025年安徽省区利润表'!T203+'2025年江西省区利润表'!T203</f>
        <v>0</v>
      </c>
      <c r="U203" s="49">
        <f>'2025年安徽省区利润表'!U203+'2025年江西省区利润表'!U203</f>
        <v>0</v>
      </c>
      <c r="V203" s="49">
        <f>'2025年安徽省区利润表'!V203+'2025年江西省区利润表'!V203</f>
        <v>0</v>
      </c>
      <c r="W203" s="49">
        <f>'2025年安徽省区利润表'!W203+'2025年江西省区利润表'!W203</f>
        <v>0</v>
      </c>
      <c r="X203" s="49">
        <f>'2025年安徽省区利润表'!X203+'2025年江西省区利润表'!X203</f>
        <v>0</v>
      </c>
      <c r="Y203" s="49">
        <f>'2025年安徽省区利润表'!Y203+'2025年江西省区利润表'!Y203</f>
        <v>0</v>
      </c>
      <c r="Z203" s="49">
        <f>'2025年安徽省区利润表'!Z203+'2025年江西省区利润表'!Z203</f>
        <v>0</v>
      </c>
      <c r="AA203" s="51">
        <f t="shared" si="31"/>
        <v>0</v>
      </c>
      <c r="AB203" s="51">
        <f t="shared" si="37"/>
        <v>0</v>
      </c>
      <c r="AD203" s="31">
        <f t="shared" si="32"/>
        <v>0</v>
      </c>
      <c r="AE203" s="31">
        <f t="shared" si="33"/>
        <v>0</v>
      </c>
      <c r="AF203" s="17">
        <f t="shared" si="34"/>
        <v>0</v>
      </c>
      <c r="AG203" s="17">
        <f t="shared" si="35"/>
        <v>0</v>
      </c>
    </row>
    <row r="204" spans="1:123" s="19" customFormat="1" ht="18" customHeight="1" outlineLevel="2" x14ac:dyDescent="0.25">
      <c r="A204" s="48" t="s">
        <v>134</v>
      </c>
      <c r="B204" s="53"/>
      <c r="C204" s="49">
        <f>'2025年安徽省区利润表'!C204+'2025年江西省区利润表'!C204</f>
        <v>0</v>
      </c>
      <c r="D204" s="49">
        <f>'2025年安徽省区利润表'!D204+'2025年江西省区利润表'!D204</f>
        <v>0</v>
      </c>
      <c r="E204" s="49">
        <f>'2025年安徽省区利润表'!E204+'2025年江西省区利润表'!E204</f>
        <v>0</v>
      </c>
      <c r="F204" s="49">
        <f>'2025年安徽省区利润表'!F204+'2025年江西省区利润表'!F204</f>
        <v>0</v>
      </c>
      <c r="G204" s="49">
        <f>'2025年安徽省区利润表'!G204+'2025年江西省区利润表'!G204</f>
        <v>0</v>
      </c>
      <c r="H204" s="49">
        <f>'2025年安徽省区利润表'!H204+'2025年江西省区利润表'!H204</f>
        <v>0</v>
      </c>
      <c r="I204" s="49">
        <f>'2025年安徽省区利润表'!I204+'2025年江西省区利润表'!I204</f>
        <v>0</v>
      </c>
      <c r="J204" s="49">
        <f>'2025年安徽省区利润表'!J204+'2025年江西省区利润表'!J204</f>
        <v>0</v>
      </c>
      <c r="K204" s="49">
        <f>'2025年安徽省区利润表'!K204+'2025年江西省区利润表'!K204</f>
        <v>0</v>
      </c>
      <c r="L204" s="49">
        <f>'2025年安徽省区利润表'!L204+'2025年江西省区利润表'!L204</f>
        <v>0</v>
      </c>
      <c r="M204" s="49">
        <f>'2025年安徽省区利润表'!M204+'2025年江西省区利润表'!M204</f>
        <v>0</v>
      </c>
      <c r="N204" s="49">
        <f>'2025年安徽省区利润表'!N204+'2025年江西省区利润表'!N204</f>
        <v>0</v>
      </c>
      <c r="O204" s="49">
        <f>'2025年安徽省区利润表'!O204+'2025年江西省区利润表'!O204</f>
        <v>0</v>
      </c>
      <c r="P204" s="49">
        <f>'2025年安徽省区利润表'!P204+'2025年江西省区利润表'!P204</f>
        <v>0</v>
      </c>
      <c r="Q204" s="49">
        <f>'2025年安徽省区利润表'!Q204+'2025年江西省区利润表'!Q204</f>
        <v>0</v>
      </c>
      <c r="R204" s="49">
        <f>'2025年安徽省区利润表'!R204+'2025年江西省区利润表'!R204</f>
        <v>0</v>
      </c>
      <c r="S204" s="49">
        <f>'2025年安徽省区利润表'!S204+'2025年江西省区利润表'!S204</f>
        <v>0</v>
      </c>
      <c r="T204" s="49">
        <f>'2025年安徽省区利润表'!T204+'2025年江西省区利润表'!T204</f>
        <v>0</v>
      </c>
      <c r="U204" s="49">
        <f>'2025年安徽省区利润表'!U204+'2025年江西省区利润表'!U204</f>
        <v>0</v>
      </c>
      <c r="V204" s="49">
        <f>'2025年安徽省区利润表'!V204+'2025年江西省区利润表'!V204</f>
        <v>0</v>
      </c>
      <c r="W204" s="49">
        <f>'2025年安徽省区利润表'!W204+'2025年江西省区利润表'!W204</f>
        <v>0</v>
      </c>
      <c r="X204" s="49">
        <f>'2025年安徽省区利润表'!X204+'2025年江西省区利润表'!X204</f>
        <v>0</v>
      </c>
      <c r="Y204" s="49">
        <f>'2025年安徽省区利润表'!Y204+'2025年江西省区利润表'!Y204</f>
        <v>0</v>
      </c>
      <c r="Z204" s="49">
        <f>'2025年安徽省区利润表'!Z204+'2025年江西省区利润表'!Z204</f>
        <v>0</v>
      </c>
      <c r="AA204" s="51">
        <f t="shared" si="31"/>
        <v>0</v>
      </c>
      <c r="AB204" s="51">
        <f t="shared" si="37"/>
        <v>0</v>
      </c>
      <c r="AD204" s="31">
        <f t="shared" si="32"/>
        <v>0</v>
      </c>
      <c r="AE204" s="31">
        <f t="shared" si="33"/>
        <v>0</v>
      </c>
      <c r="AF204" s="17">
        <f t="shared" si="34"/>
        <v>0</v>
      </c>
      <c r="AG204" s="17">
        <f t="shared" si="35"/>
        <v>0</v>
      </c>
    </row>
    <row r="205" spans="1:123" s="19" customFormat="1" ht="18" customHeight="1" outlineLevel="2" x14ac:dyDescent="0.25">
      <c r="A205" s="48" t="s">
        <v>135</v>
      </c>
      <c r="B205" s="53"/>
      <c r="C205" s="49">
        <f>'2025年安徽省区利润表'!C205+'2025年江西省区利润表'!C205</f>
        <v>0</v>
      </c>
      <c r="D205" s="49">
        <f>'2025年安徽省区利润表'!D205+'2025年江西省区利润表'!D205</f>
        <v>0</v>
      </c>
      <c r="E205" s="49">
        <f>'2025年安徽省区利润表'!E205+'2025年江西省区利润表'!E205</f>
        <v>0</v>
      </c>
      <c r="F205" s="49">
        <f>'2025年安徽省区利润表'!F205+'2025年江西省区利润表'!F205</f>
        <v>0</v>
      </c>
      <c r="G205" s="49">
        <f>'2025年安徽省区利润表'!G205+'2025年江西省区利润表'!G205</f>
        <v>0</v>
      </c>
      <c r="H205" s="49">
        <f>'2025年安徽省区利润表'!H205+'2025年江西省区利润表'!H205</f>
        <v>0</v>
      </c>
      <c r="I205" s="49">
        <f>'2025年安徽省区利润表'!I205+'2025年江西省区利润表'!I205</f>
        <v>0</v>
      </c>
      <c r="J205" s="49">
        <f>'2025年安徽省区利润表'!J205+'2025年江西省区利润表'!J205</f>
        <v>0</v>
      </c>
      <c r="K205" s="49">
        <f>'2025年安徽省区利润表'!K205+'2025年江西省区利润表'!K205</f>
        <v>0</v>
      </c>
      <c r="L205" s="49">
        <f>'2025年安徽省区利润表'!L205+'2025年江西省区利润表'!L205</f>
        <v>0</v>
      </c>
      <c r="M205" s="49">
        <f>'2025年安徽省区利润表'!M205+'2025年江西省区利润表'!M205</f>
        <v>0</v>
      </c>
      <c r="N205" s="49">
        <f>'2025年安徽省区利润表'!N205+'2025年江西省区利润表'!N205</f>
        <v>0</v>
      </c>
      <c r="O205" s="49">
        <f>'2025年安徽省区利润表'!O205+'2025年江西省区利润表'!O205</f>
        <v>0</v>
      </c>
      <c r="P205" s="49">
        <f>'2025年安徽省区利润表'!P205+'2025年江西省区利润表'!P205</f>
        <v>0</v>
      </c>
      <c r="Q205" s="49">
        <f>'2025年安徽省区利润表'!Q205+'2025年江西省区利润表'!Q205</f>
        <v>0</v>
      </c>
      <c r="R205" s="49">
        <f>'2025年安徽省区利润表'!R205+'2025年江西省区利润表'!R205</f>
        <v>0</v>
      </c>
      <c r="S205" s="49">
        <f>'2025年安徽省区利润表'!S205+'2025年江西省区利润表'!S205</f>
        <v>0</v>
      </c>
      <c r="T205" s="49">
        <f>'2025年安徽省区利润表'!T205+'2025年江西省区利润表'!T205</f>
        <v>0</v>
      </c>
      <c r="U205" s="49">
        <f>'2025年安徽省区利润表'!U205+'2025年江西省区利润表'!U205</f>
        <v>0</v>
      </c>
      <c r="V205" s="49">
        <f>'2025年安徽省区利润表'!V205+'2025年江西省区利润表'!V205</f>
        <v>0</v>
      </c>
      <c r="W205" s="49">
        <f>'2025年安徽省区利润表'!W205+'2025年江西省区利润表'!W205</f>
        <v>0</v>
      </c>
      <c r="X205" s="49">
        <f>'2025年安徽省区利润表'!X205+'2025年江西省区利润表'!X205</f>
        <v>0</v>
      </c>
      <c r="Y205" s="49">
        <f>'2025年安徽省区利润表'!Y205+'2025年江西省区利润表'!Y205</f>
        <v>0</v>
      </c>
      <c r="Z205" s="49">
        <f>'2025年安徽省区利润表'!Z205+'2025年江西省区利润表'!Z205</f>
        <v>0</v>
      </c>
      <c r="AA205" s="51">
        <f t="shared" si="31"/>
        <v>0</v>
      </c>
      <c r="AB205" s="51">
        <f t="shared" si="37"/>
        <v>0</v>
      </c>
      <c r="AD205" s="31">
        <f t="shared" si="32"/>
        <v>0</v>
      </c>
      <c r="AE205" s="31">
        <f t="shared" si="33"/>
        <v>0</v>
      </c>
      <c r="AF205" s="17">
        <f t="shared" si="34"/>
        <v>0</v>
      </c>
      <c r="AG205" s="17">
        <f t="shared" si="35"/>
        <v>0</v>
      </c>
    </row>
    <row r="206" spans="1:123" s="19" customFormat="1" ht="18" customHeight="1" outlineLevel="1" x14ac:dyDescent="0.25">
      <c r="A206" s="48" t="s">
        <v>136</v>
      </c>
      <c r="B206" s="53"/>
      <c r="C206" s="49">
        <f>'2025年安徽省区利润表'!C206+'2025年江西省区利润表'!C206</f>
        <v>0</v>
      </c>
      <c r="D206" s="49">
        <f>'2025年安徽省区利润表'!D206+'2025年江西省区利润表'!D206</f>
        <v>0</v>
      </c>
      <c r="E206" s="49">
        <f>'2025年安徽省区利润表'!E206+'2025年江西省区利润表'!E206</f>
        <v>0</v>
      </c>
      <c r="F206" s="49">
        <f>'2025年安徽省区利润表'!F206+'2025年江西省区利润表'!F206</f>
        <v>0</v>
      </c>
      <c r="G206" s="49">
        <f>'2025年安徽省区利润表'!G206+'2025年江西省区利润表'!G206</f>
        <v>0</v>
      </c>
      <c r="H206" s="49">
        <f>'2025年安徽省区利润表'!H206+'2025年江西省区利润表'!H206</f>
        <v>0</v>
      </c>
      <c r="I206" s="49">
        <f>'2025年安徽省区利润表'!I206+'2025年江西省区利润表'!I206</f>
        <v>0</v>
      </c>
      <c r="J206" s="49">
        <f>'2025年安徽省区利润表'!J206+'2025年江西省区利润表'!J206</f>
        <v>0</v>
      </c>
      <c r="K206" s="49">
        <f>'2025年安徽省区利润表'!K206+'2025年江西省区利润表'!K206</f>
        <v>0</v>
      </c>
      <c r="L206" s="49">
        <f>'2025年安徽省区利润表'!L206+'2025年江西省区利润表'!L206</f>
        <v>0</v>
      </c>
      <c r="M206" s="49">
        <f>'2025年安徽省区利润表'!M206+'2025年江西省区利润表'!M206</f>
        <v>0</v>
      </c>
      <c r="N206" s="49">
        <f>'2025年安徽省区利润表'!N206+'2025年江西省区利润表'!N206</f>
        <v>0</v>
      </c>
      <c r="O206" s="49">
        <f>'2025年安徽省区利润表'!O206+'2025年江西省区利润表'!O206</f>
        <v>0</v>
      </c>
      <c r="P206" s="49">
        <f>'2025年安徽省区利润表'!P206+'2025年江西省区利润表'!P206</f>
        <v>0</v>
      </c>
      <c r="Q206" s="49">
        <f>'2025年安徽省区利润表'!Q206+'2025年江西省区利润表'!Q206</f>
        <v>0</v>
      </c>
      <c r="R206" s="49">
        <f>'2025年安徽省区利润表'!R206+'2025年江西省区利润表'!R206</f>
        <v>0</v>
      </c>
      <c r="S206" s="49">
        <f>'2025年安徽省区利润表'!S206+'2025年江西省区利润表'!S206</f>
        <v>0</v>
      </c>
      <c r="T206" s="49">
        <f>'2025年安徽省区利润表'!T206+'2025年江西省区利润表'!T206</f>
        <v>0</v>
      </c>
      <c r="U206" s="49">
        <f>'2025年安徽省区利润表'!U206+'2025年江西省区利润表'!U206</f>
        <v>0</v>
      </c>
      <c r="V206" s="49">
        <f>'2025年安徽省区利润表'!V206+'2025年江西省区利润表'!V206</f>
        <v>0</v>
      </c>
      <c r="W206" s="49">
        <f>'2025年安徽省区利润表'!W206+'2025年江西省区利润表'!W206</f>
        <v>0</v>
      </c>
      <c r="X206" s="49">
        <f>'2025年安徽省区利润表'!X206+'2025年江西省区利润表'!X206</f>
        <v>0</v>
      </c>
      <c r="Y206" s="49">
        <f>'2025年安徽省区利润表'!Y206+'2025年江西省区利润表'!Y206</f>
        <v>0</v>
      </c>
      <c r="Z206" s="49">
        <f>'2025年安徽省区利润表'!Z206+'2025年江西省区利润表'!Z206</f>
        <v>0</v>
      </c>
      <c r="AA206" s="51">
        <f t="shared" si="31"/>
        <v>0</v>
      </c>
      <c r="AB206" s="51">
        <f t="shared" si="37"/>
        <v>0</v>
      </c>
      <c r="AD206" s="31">
        <f t="shared" si="32"/>
        <v>0</v>
      </c>
      <c r="AE206" s="31">
        <f t="shared" si="33"/>
        <v>0</v>
      </c>
      <c r="AF206" s="17">
        <f t="shared" si="34"/>
        <v>0</v>
      </c>
      <c r="AG206" s="17">
        <f t="shared" si="35"/>
        <v>0</v>
      </c>
    </row>
    <row r="207" spans="1:123" s="19" customFormat="1" ht="18" customHeight="1" outlineLevel="1" x14ac:dyDescent="0.25">
      <c r="A207" s="48" t="s">
        <v>137</v>
      </c>
      <c r="B207" s="53"/>
      <c r="C207" s="49">
        <f>'2025年安徽省区利润表'!C207+'2025年江西省区利润表'!C207</f>
        <v>0</v>
      </c>
      <c r="D207" s="49">
        <f>'2025年安徽省区利润表'!D207+'2025年江西省区利润表'!D207</f>
        <v>0</v>
      </c>
      <c r="E207" s="49">
        <f>'2025年安徽省区利润表'!E207+'2025年江西省区利润表'!E207</f>
        <v>0</v>
      </c>
      <c r="F207" s="49">
        <f>'2025年安徽省区利润表'!F207+'2025年江西省区利润表'!F207</f>
        <v>0</v>
      </c>
      <c r="G207" s="49">
        <f>'2025年安徽省区利润表'!G207+'2025年江西省区利润表'!G207</f>
        <v>0</v>
      </c>
      <c r="H207" s="49">
        <f>'2025年安徽省区利润表'!H207+'2025年江西省区利润表'!H207</f>
        <v>0</v>
      </c>
      <c r="I207" s="49">
        <f>'2025年安徽省区利润表'!I207+'2025年江西省区利润表'!I207</f>
        <v>0</v>
      </c>
      <c r="J207" s="49">
        <f>'2025年安徽省区利润表'!J207+'2025年江西省区利润表'!J207</f>
        <v>0</v>
      </c>
      <c r="K207" s="49">
        <f>'2025年安徽省区利润表'!K207+'2025年江西省区利润表'!K207</f>
        <v>0</v>
      </c>
      <c r="L207" s="49">
        <f>'2025年安徽省区利润表'!L207+'2025年江西省区利润表'!L207</f>
        <v>0</v>
      </c>
      <c r="M207" s="49">
        <f>'2025年安徽省区利润表'!M207+'2025年江西省区利润表'!M207</f>
        <v>0</v>
      </c>
      <c r="N207" s="49">
        <f>'2025年安徽省区利润表'!N207+'2025年江西省区利润表'!N207</f>
        <v>0</v>
      </c>
      <c r="O207" s="49">
        <f>'2025年安徽省区利润表'!O207+'2025年江西省区利润表'!O207</f>
        <v>0</v>
      </c>
      <c r="P207" s="49">
        <f>'2025年安徽省区利润表'!P207+'2025年江西省区利润表'!P207</f>
        <v>0</v>
      </c>
      <c r="Q207" s="49">
        <f>'2025年安徽省区利润表'!Q207+'2025年江西省区利润表'!Q207</f>
        <v>0</v>
      </c>
      <c r="R207" s="49">
        <f>'2025年安徽省区利润表'!R207+'2025年江西省区利润表'!R207</f>
        <v>0</v>
      </c>
      <c r="S207" s="49">
        <f>'2025年安徽省区利润表'!S207+'2025年江西省区利润表'!S207</f>
        <v>0</v>
      </c>
      <c r="T207" s="49">
        <f>'2025年安徽省区利润表'!T207+'2025年江西省区利润表'!T207</f>
        <v>0</v>
      </c>
      <c r="U207" s="49">
        <f>'2025年安徽省区利润表'!U207+'2025年江西省区利润表'!U207</f>
        <v>0</v>
      </c>
      <c r="V207" s="49">
        <f>'2025年安徽省区利润表'!V207+'2025年江西省区利润表'!V207</f>
        <v>0</v>
      </c>
      <c r="W207" s="49">
        <f>'2025年安徽省区利润表'!W207+'2025年江西省区利润表'!W207</f>
        <v>0</v>
      </c>
      <c r="X207" s="49">
        <f>'2025年安徽省区利润表'!X207+'2025年江西省区利润表'!X207</f>
        <v>0</v>
      </c>
      <c r="Y207" s="49">
        <f>'2025年安徽省区利润表'!Y207+'2025年江西省区利润表'!Y207</f>
        <v>0</v>
      </c>
      <c r="Z207" s="49">
        <f>'2025年安徽省区利润表'!Z207+'2025年江西省区利润表'!Z207</f>
        <v>0</v>
      </c>
      <c r="AA207" s="51">
        <f t="shared" si="31"/>
        <v>0</v>
      </c>
      <c r="AB207" s="51">
        <f t="shared" si="37"/>
        <v>0</v>
      </c>
      <c r="AD207" s="31">
        <f t="shared" si="32"/>
        <v>0</v>
      </c>
      <c r="AE207" s="31">
        <f t="shared" si="33"/>
        <v>0</v>
      </c>
      <c r="AF207" s="17">
        <f t="shared" si="34"/>
        <v>0</v>
      </c>
      <c r="AG207" s="17">
        <f t="shared" si="35"/>
        <v>0</v>
      </c>
    </row>
    <row r="208" spans="1:123" s="19" customFormat="1" ht="18" customHeight="1" outlineLevel="1" x14ac:dyDescent="0.25">
      <c r="A208" s="48" t="s">
        <v>138</v>
      </c>
      <c r="B208" s="53"/>
      <c r="C208" s="49">
        <f>'2025年安徽省区利润表'!C208+'2025年江西省区利润表'!C208</f>
        <v>0</v>
      </c>
      <c r="D208" s="49">
        <f>'2025年安徽省区利润表'!D208+'2025年江西省区利润表'!D208</f>
        <v>0</v>
      </c>
      <c r="E208" s="49">
        <f>'2025年安徽省区利润表'!E208+'2025年江西省区利润表'!E208</f>
        <v>0</v>
      </c>
      <c r="F208" s="49">
        <f>'2025年安徽省区利润表'!F208+'2025年江西省区利润表'!F208</f>
        <v>0</v>
      </c>
      <c r="G208" s="49">
        <f>'2025年安徽省区利润表'!G208+'2025年江西省区利润表'!G208</f>
        <v>0</v>
      </c>
      <c r="H208" s="49">
        <f>'2025年安徽省区利润表'!H208+'2025年江西省区利润表'!H208</f>
        <v>0</v>
      </c>
      <c r="I208" s="49">
        <f>'2025年安徽省区利润表'!I208+'2025年江西省区利润表'!I208</f>
        <v>0</v>
      </c>
      <c r="J208" s="49">
        <f>'2025年安徽省区利润表'!J208+'2025年江西省区利润表'!J208</f>
        <v>0</v>
      </c>
      <c r="K208" s="49">
        <f>'2025年安徽省区利润表'!K208+'2025年江西省区利润表'!K208</f>
        <v>0</v>
      </c>
      <c r="L208" s="49">
        <f>'2025年安徽省区利润表'!L208+'2025年江西省区利润表'!L208</f>
        <v>0</v>
      </c>
      <c r="M208" s="49">
        <f>'2025年安徽省区利润表'!M208+'2025年江西省区利润表'!M208</f>
        <v>0</v>
      </c>
      <c r="N208" s="49">
        <f>'2025年安徽省区利润表'!N208+'2025年江西省区利润表'!N208</f>
        <v>0</v>
      </c>
      <c r="O208" s="49">
        <f>'2025年安徽省区利润表'!O208+'2025年江西省区利润表'!O208</f>
        <v>0</v>
      </c>
      <c r="P208" s="49">
        <f>'2025年安徽省区利润表'!P208+'2025年江西省区利润表'!P208</f>
        <v>0</v>
      </c>
      <c r="Q208" s="49">
        <f>'2025年安徽省区利润表'!Q208+'2025年江西省区利润表'!Q208</f>
        <v>0</v>
      </c>
      <c r="R208" s="49">
        <f>'2025年安徽省区利润表'!R208+'2025年江西省区利润表'!R208</f>
        <v>0</v>
      </c>
      <c r="S208" s="49">
        <f>'2025年安徽省区利润表'!S208+'2025年江西省区利润表'!S208</f>
        <v>0</v>
      </c>
      <c r="T208" s="49">
        <f>'2025年安徽省区利润表'!T208+'2025年江西省区利润表'!T208</f>
        <v>0</v>
      </c>
      <c r="U208" s="49">
        <f>'2025年安徽省区利润表'!U208+'2025年江西省区利润表'!U208</f>
        <v>0</v>
      </c>
      <c r="V208" s="49">
        <f>'2025年安徽省区利润表'!V208+'2025年江西省区利润表'!V208</f>
        <v>0</v>
      </c>
      <c r="W208" s="49">
        <f>'2025年安徽省区利润表'!W208+'2025年江西省区利润表'!W208</f>
        <v>0</v>
      </c>
      <c r="X208" s="49">
        <f>'2025年安徽省区利润表'!X208+'2025年江西省区利润表'!X208</f>
        <v>0</v>
      </c>
      <c r="Y208" s="49">
        <f>'2025年安徽省区利润表'!Y208+'2025年江西省区利润表'!Y208</f>
        <v>0</v>
      </c>
      <c r="Z208" s="49">
        <f>'2025年安徽省区利润表'!Z208+'2025年江西省区利润表'!Z208</f>
        <v>0</v>
      </c>
      <c r="AA208" s="51">
        <f t="shared" si="31"/>
        <v>0</v>
      </c>
      <c r="AB208" s="51">
        <f t="shared" si="37"/>
        <v>0</v>
      </c>
      <c r="AD208" s="31">
        <f t="shared" si="32"/>
        <v>0</v>
      </c>
      <c r="AE208" s="31">
        <f t="shared" si="33"/>
        <v>0</v>
      </c>
      <c r="AF208" s="17">
        <f t="shared" si="34"/>
        <v>0</v>
      </c>
      <c r="AG208" s="17">
        <f t="shared" si="35"/>
        <v>0</v>
      </c>
    </row>
    <row r="209" spans="1:123" s="19" customFormat="1" ht="18" customHeight="1" outlineLevel="1" x14ac:dyDescent="0.25">
      <c r="A209" s="48" t="s">
        <v>139</v>
      </c>
      <c r="B209" s="53"/>
      <c r="C209" s="49">
        <f>'2025年安徽省区利润表'!C209+'2025年江西省区利润表'!C209</f>
        <v>0</v>
      </c>
      <c r="D209" s="49">
        <f>'2025年安徽省区利润表'!D209+'2025年江西省区利润表'!D209</f>
        <v>0</v>
      </c>
      <c r="E209" s="49">
        <f>'2025年安徽省区利润表'!E209+'2025年江西省区利润表'!E209</f>
        <v>0</v>
      </c>
      <c r="F209" s="49">
        <f>'2025年安徽省区利润表'!F209+'2025年江西省区利润表'!F209</f>
        <v>0</v>
      </c>
      <c r="G209" s="49">
        <f>'2025年安徽省区利润表'!G209+'2025年江西省区利润表'!G209</f>
        <v>0</v>
      </c>
      <c r="H209" s="49">
        <f>'2025年安徽省区利润表'!H209+'2025年江西省区利润表'!H209</f>
        <v>0</v>
      </c>
      <c r="I209" s="49">
        <f>'2025年安徽省区利润表'!I209+'2025年江西省区利润表'!I209</f>
        <v>0</v>
      </c>
      <c r="J209" s="49">
        <f>'2025年安徽省区利润表'!J209+'2025年江西省区利润表'!J209</f>
        <v>0</v>
      </c>
      <c r="K209" s="49">
        <f>'2025年安徽省区利润表'!K209+'2025年江西省区利润表'!K209</f>
        <v>0</v>
      </c>
      <c r="L209" s="49">
        <f>'2025年安徽省区利润表'!L209+'2025年江西省区利润表'!L209</f>
        <v>0</v>
      </c>
      <c r="M209" s="49">
        <f>'2025年安徽省区利润表'!M209+'2025年江西省区利润表'!M209</f>
        <v>0</v>
      </c>
      <c r="N209" s="49">
        <f>'2025年安徽省区利润表'!N209+'2025年江西省区利润表'!N209</f>
        <v>0</v>
      </c>
      <c r="O209" s="49">
        <f>'2025年安徽省区利润表'!O209+'2025年江西省区利润表'!O209</f>
        <v>0</v>
      </c>
      <c r="P209" s="49">
        <f>'2025年安徽省区利润表'!P209+'2025年江西省区利润表'!P209</f>
        <v>0</v>
      </c>
      <c r="Q209" s="49">
        <f>'2025年安徽省区利润表'!Q209+'2025年江西省区利润表'!Q209</f>
        <v>0</v>
      </c>
      <c r="R209" s="49">
        <f>'2025年安徽省区利润表'!R209+'2025年江西省区利润表'!R209</f>
        <v>0</v>
      </c>
      <c r="S209" s="49">
        <f>'2025年安徽省区利润表'!S209+'2025年江西省区利润表'!S209</f>
        <v>0</v>
      </c>
      <c r="T209" s="49">
        <f>'2025年安徽省区利润表'!T209+'2025年江西省区利润表'!T209</f>
        <v>0</v>
      </c>
      <c r="U209" s="49">
        <f>'2025年安徽省区利润表'!U209+'2025年江西省区利润表'!U209</f>
        <v>0</v>
      </c>
      <c r="V209" s="49">
        <f>'2025年安徽省区利润表'!V209+'2025年江西省区利润表'!V209</f>
        <v>0</v>
      </c>
      <c r="W209" s="49">
        <f>'2025年安徽省区利润表'!W209+'2025年江西省区利润表'!W209</f>
        <v>0</v>
      </c>
      <c r="X209" s="49">
        <f>'2025年安徽省区利润表'!X209+'2025年江西省区利润表'!X209</f>
        <v>0</v>
      </c>
      <c r="Y209" s="49">
        <f>'2025年安徽省区利润表'!Y209+'2025年江西省区利润表'!Y209</f>
        <v>0</v>
      </c>
      <c r="Z209" s="49">
        <f>'2025年安徽省区利润表'!Z209+'2025年江西省区利润表'!Z209</f>
        <v>0</v>
      </c>
      <c r="AA209" s="51">
        <f t="shared" si="31"/>
        <v>0</v>
      </c>
      <c r="AB209" s="51">
        <f t="shared" si="37"/>
        <v>0</v>
      </c>
      <c r="AD209" s="31">
        <f t="shared" si="32"/>
        <v>0</v>
      </c>
      <c r="AE209" s="31">
        <f t="shared" si="33"/>
        <v>0</v>
      </c>
      <c r="AF209" s="17">
        <f t="shared" si="34"/>
        <v>0</v>
      </c>
      <c r="AG209" s="17">
        <f t="shared" si="35"/>
        <v>0</v>
      </c>
    </row>
    <row r="210" spans="1:123" s="19" customFormat="1" ht="18" customHeight="1" outlineLevel="1" x14ac:dyDescent="0.25">
      <c r="A210" s="48" t="s">
        <v>140</v>
      </c>
      <c r="B210" s="53"/>
      <c r="C210" s="49">
        <f>'2025年安徽省区利润表'!C210+'2025年江西省区利润表'!C210</f>
        <v>0</v>
      </c>
      <c r="D210" s="49">
        <f>'2025年安徽省区利润表'!D210+'2025年江西省区利润表'!D210</f>
        <v>0</v>
      </c>
      <c r="E210" s="49">
        <f>'2025年安徽省区利润表'!E210+'2025年江西省区利润表'!E210</f>
        <v>0</v>
      </c>
      <c r="F210" s="49">
        <f>'2025年安徽省区利润表'!F210+'2025年江西省区利润表'!F210</f>
        <v>0</v>
      </c>
      <c r="G210" s="49">
        <f>'2025年安徽省区利润表'!G210+'2025年江西省区利润表'!G210</f>
        <v>0</v>
      </c>
      <c r="H210" s="49">
        <f>'2025年安徽省区利润表'!H210+'2025年江西省区利润表'!H210</f>
        <v>0</v>
      </c>
      <c r="I210" s="49">
        <f>'2025年安徽省区利润表'!I210+'2025年江西省区利润表'!I210</f>
        <v>0</v>
      </c>
      <c r="J210" s="49">
        <f>'2025年安徽省区利润表'!J210+'2025年江西省区利润表'!J210</f>
        <v>0</v>
      </c>
      <c r="K210" s="49">
        <f>'2025年安徽省区利润表'!K210+'2025年江西省区利润表'!K210</f>
        <v>0</v>
      </c>
      <c r="L210" s="49">
        <f>'2025年安徽省区利润表'!L210+'2025年江西省区利润表'!L210</f>
        <v>0</v>
      </c>
      <c r="M210" s="49">
        <f>'2025年安徽省区利润表'!M210+'2025年江西省区利润表'!M210</f>
        <v>0</v>
      </c>
      <c r="N210" s="49">
        <f>'2025年安徽省区利润表'!N210+'2025年江西省区利润表'!N210</f>
        <v>0</v>
      </c>
      <c r="O210" s="49">
        <f>'2025年安徽省区利润表'!O210+'2025年江西省区利润表'!O210</f>
        <v>0</v>
      </c>
      <c r="P210" s="49">
        <f>'2025年安徽省区利润表'!P210+'2025年江西省区利润表'!P210</f>
        <v>0</v>
      </c>
      <c r="Q210" s="49">
        <f>'2025年安徽省区利润表'!Q210+'2025年江西省区利润表'!Q210</f>
        <v>0</v>
      </c>
      <c r="R210" s="49">
        <f>'2025年安徽省区利润表'!R210+'2025年江西省区利润表'!R210</f>
        <v>0</v>
      </c>
      <c r="S210" s="49">
        <f>'2025年安徽省区利润表'!S210+'2025年江西省区利润表'!S210</f>
        <v>0</v>
      </c>
      <c r="T210" s="49">
        <f>'2025年安徽省区利润表'!T210+'2025年江西省区利润表'!T210</f>
        <v>0</v>
      </c>
      <c r="U210" s="49">
        <f>'2025年安徽省区利润表'!U210+'2025年江西省区利润表'!U210</f>
        <v>0</v>
      </c>
      <c r="V210" s="49">
        <f>'2025年安徽省区利润表'!V210+'2025年江西省区利润表'!V210</f>
        <v>0</v>
      </c>
      <c r="W210" s="49">
        <f>'2025年安徽省区利润表'!W210+'2025年江西省区利润表'!W210</f>
        <v>0</v>
      </c>
      <c r="X210" s="49">
        <f>'2025年安徽省区利润表'!X210+'2025年江西省区利润表'!X210</f>
        <v>0</v>
      </c>
      <c r="Y210" s="49">
        <f>'2025年安徽省区利润表'!Y210+'2025年江西省区利润表'!Y210</f>
        <v>0</v>
      </c>
      <c r="Z210" s="49">
        <f>'2025年安徽省区利润表'!Z210+'2025年江西省区利润表'!Z210</f>
        <v>0</v>
      </c>
      <c r="AA210" s="51">
        <f t="shared" si="31"/>
        <v>0</v>
      </c>
      <c r="AB210" s="51">
        <f t="shared" si="37"/>
        <v>0</v>
      </c>
      <c r="AD210" s="31">
        <f t="shared" si="32"/>
        <v>0</v>
      </c>
      <c r="AE210" s="31">
        <f t="shared" si="33"/>
        <v>0</v>
      </c>
      <c r="AF210" s="17">
        <f t="shared" si="34"/>
        <v>0</v>
      </c>
      <c r="AG210" s="17">
        <f t="shared" si="35"/>
        <v>0</v>
      </c>
    </row>
    <row r="211" spans="1:123" s="19" customFormat="1" ht="18" customHeight="1" outlineLevel="1" x14ac:dyDescent="0.25">
      <c r="A211" s="48" t="s">
        <v>141</v>
      </c>
      <c r="B211" s="53"/>
      <c r="C211" s="49">
        <f>'2025年安徽省区利润表'!C211+'2025年江西省区利润表'!C211</f>
        <v>0</v>
      </c>
      <c r="D211" s="49">
        <f>'2025年安徽省区利润表'!D211+'2025年江西省区利润表'!D211</f>
        <v>0</v>
      </c>
      <c r="E211" s="49">
        <f>'2025年安徽省区利润表'!E211+'2025年江西省区利润表'!E211</f>
        <v>0</v>
      </c>
      <c r="F211" s="49">
        <f>'2025年安徽省区利润表'!F211+'2025年江西省区利润表'!F211</f>
        <v>0</v>
      </c>
      <c r="G211" s="49">
        <f>'2025年安徽省区利润表'!G211+'2025年江西省区利润表'!G211</f>
        <v>0</v>
      </c>
      <c r="H211" s="49">
        <f>'2025年安徽省区利润表'!H211+'2025年江西省区利润表'!H211</f>
        <v>0</v>
      </c>
      <c r="I211" s="49">
        <f>'2025年安徽省区利润表'!I211+'2025年江西省区利润表'!I211</f>
        <v>0</v>
      </c>
      <c r="J211" s="49">
        <f>'2025年安徽省区利润表'!J211+'2025年江西省区利润表'!J211</f>
        <v>0</v>
      </c>
      <c r="K211" s="49">
        <f>'2025年安徽省区利润表'!K211+'2025年江西省区利润表'!K211</f>
        <v>0</v>
      </c>
      <c r="L211" s="49">
        <f>'2025年安徽省区利润表'!L211+'2025年江西省区利润表'!L211</f>
        <v>0</v>
      </c>
      <c r="M211" s="49">
        <f>'2025年安徽省区利润表'!M211+'2025年江西省区利润表'!M211</f>
        <v>0</v>
      </c>
      <c r="N211" s="49">
        <f>'2025年安徽省区利润表'!N211+'2025年江西省区利润表'!N211</f>
        <v>0</v>
      </c>
      <c r="O211" s="49">
        <f>'2025年安徽省区利润表'!O211+'2025年江西省区利润表'!O211</f>
        <v>0</v>
      </c>
      <c r="P211" s="49">
        <f>'2025年安徽省区利润表'!P211+'2025年江西省区利润表'!P211</f>
        <v>0</v>
      </c>
      <c r="Q211" s="49">
        <f>'2025年安徽省区利润表'!Q211+'2025年江西省区利润表'!Q211</f>
        <v>0</v>
      </c>
      <c r="R211" s="49">
        <f>'2025年安徽省区利润表'!R211+'2025年江西省区利润表'!R211</f>
        <v>0</v>
      </c>
      <c r="S211" s="49">
        <f>'2025年安徽省区利润表'!S211+'2025年江西省区利润表'!S211</f>
        <v>0</v>
      </c>
      <c r="T211" s="49">
        <f>'2025年安徽省区利润表'!T211+'2025年江西省区利润表'!T211</f>
        <v>0</v>
      </c>
      <c r="U211" s="49">
        <f>'2025年安徽省区利润表'!U211+'2025年江西省区利润表'!U211</f>
        <v>0</v>
      </c>
      <c r="V211" s="49">
        <f>'2025年安徽省区利润表'!V211+'2025年江西省区利润表'!V211</f>
        <v>0</v>
      </c>
      <c r="W211" s="49">
        <f>'2025年安徽省区利润表'!W211+'2025年江西省区利润表'!W211</f>
        <v>0</v>
      </c>
      <c r="X211" s="49">
        <f>'2025年安徽省区利润表'!X211+'2025年江西省区利润表'!X211</f>
        <v>0</v>
      </c>
      <c r="Y211" s="49">
        <f>'2025年安徽省区利润表'!Y211+'2025年江西省区利润表'!Y211</f>
        <v>0</v>
      </c>
      <c r="Z211" s="49">
        <f>'2025年安徽省区利润表'!Z211+'2025年江西省区利润表'!Z211</f>
        <v>0</v>
      </c>
      <c r="AA211" s="51">
        <f t="shared" si="31"/>
        <v>0</v>
      </c>
      <c r="AB211" s="51">
        <f t="shared" si="37"/>
        <v>0</v>
      </c>
      <c r="AD211" s="31">
        <f t="shared" si="32"/>
        <v>0</v>
      </c>
      <c r="AE211" s="31">
        <f t="shared" si="33"/>
        <v>0</v>
      </c>
      <c r="AF211" s="17">
        <f t="shared" si="34"/>
        <v>0</v>
      </c>
      <c r="AG211" s="17">
        <f t="shared" si="35"/>
        <v>0</v>
      </c>
    </row>
    <row r="212" spans="1:123" s="17" customFormat="1" ht="18" customHeight="1" outlineLevel="1" x14ac:dyDescent="0.25">
      <c r="A212" s="67" t="s">
        <v>142</v>
      </c>
      <c r="B212" s="71"/>
      <c r="C212" s="69"/>
      <c r="D212" s="65"/>
      <c r="E212" s="65"/>
      <c r="F212" s="65">
        <f>SUM(F213:F216)</f>
        <v>0</v>
      </c>
      <c r="G212" s="65"/>
      <c r="H212" s="65">
        <f>SUM(H213:H216)</f>
        <v>0</v>
      </c>
      <c r="I212" s="65"/>
      <c r="J212" s="65">
        <f>SUM(J213:J216)</f>
        <v>0</v>
      </c>
      <c r="K212" s="65"/>
      <c r="L212" s="65">
        <f>SUM(L213:L216)</f>
        <v>0</v>
      </c>
      <c r="M212" s="65"/>
      <c r="N212" s="65">
        <f>SUM(N213:N216)</f>
        <v>0</v>
      </c>
      <c r="O212" s="65"/>
      <c r="P212" s="65">
        <f>SUM(P213:P216)</f>
        <v>0</v>
      </c>
      <c r="Q212" s="65"/>
      <c r="R212" s="65">
        <f>SUM(R213:R216)</f>
        <v>0</v>
      </c>
      <c r="S212" s="65"/>
      <c r="T212" s="65">
        <f>SUM(T213:T216)</f>
        <v>0</v>
      </c>
      <c r="U212" s="65"/>
      <c r="V212" s="65">
        <f>SUM(V213:V216)</f>
        <v>0</v>
      </c>
      <c r="W212" s="65"/>
      <c r="X212" s="65">
        <f>SUM(X213:X216)</f>
        <v>0</v>
      </c>
      <c r="Y212" s="65"/>
      <c r="Z212" s="65">
        <f>SUM(Z213:Z216)</f>
        <v>0</v>
      </c>
      <c r="AA212" s="51">
        <f t="shared" si="31"/>
        <v>0</v>
      </c>
      <c r="AB212" s="51">
        <f t="shared" si="37"/>
        <v>0</v>
      </c>
      <c r="AC212" s="21"/>
      <c r="AD212" s="31">
        <f t="shared" si="32"/>
        <v>0</v>
      </c>
      <c r="AE212" s="31">
        <f t="shared" si="33"/>
        <v>0</v>
      </c>
      <c r="AF212" s="17">
        <f t="shared" si="34"/>
        <v>0</v>
      </c>
      <c r="AG212" s="17">
        <f t="shared" si="35"/>
        <v>0</v>
      </c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</row>
    <row r="213" spans="1:123" s="19" customFormat="1" ht="18" customHeight="1" outlineLevel="2" x14ac:dyDescent="0.25">
      <c r="A213" s="48" t="s">
        <v>143</v>
      </c>
      <c r="B213" s="53"/>
      <c r="C213" s="49">
        <f>'2025年安徽省区利润表'!C213+'2025年江西省区利润表'!C213</f>
        <v>0</v>
      </c>
      <c r="D213" s="49">
        <f>'2025年安徽省区利润表'!D213+'2025年江西省区利润表'!D213</f>
        <v>0</v>
      </c>
      <c r="E213" s="49">
        <f>'2025年安徽省区利润表'!E213+'2025年江西省区利润表'!E213</f>
        <v>0</v>
      </c>
      <c r="F213" s="49">
        <f>'2025年安徽省区利润表'!F213+'2025年江西省区利润表'!F213</f>
        <v>0</v>
      </c>
      <c r="G213" s="49">
        <f>'2025年安徽省区利润表'!G213+'2025年江西省区利润表'!G213</f>
        <v>0</v>
      </c>
      <c r="H213" s="49">
        <f>'2025年安徽省区利润表'!H213+'2025年江西省区利润表'!H213</f>
        <v>0</v>
      </c>
      <c r="I213" s="49">
        <f>'2025年安徽省区利润表'!I213+'2025年江西省区利润表'!I213</f>
        <v>0</v>
      </c>
      <c r="J213" s="49">
        <f>'2025年安徽省区利润表'!J213+'2025年江西省区利润表'!J213</f>
        <v>0</v>
      </c>
      <c r="K213" s="49">
        <f>'2025年安徽省区利润表'!K213+'2025年江西省区利润表'!K213</f>
        <v>0</v>
      </c>
      <c r="L213" s="49">
        <f>'2025年安徽省区利润表'!L213+'2025年江西省区利润表'!L213</f>
        <v>0</v>
      </c>
      <c r="M213" s="49">
        <f>'2025年安徽省区利润表'!M213+'2025年江西省区利润表'!M213</f>
        <v>0</v>
      </c>
      <c r="N213" s="49">
        <f>'2025年安徽省区利润表'!N213+'2025年江西省区利润表'!N213</f>
        <v>0</v>
      </c>
      <c r="O213" s="49">
        <f>'2025年安徽省区利润表'!O213+'2025年江西省区利润表'!O213</f>
        <v>0</v>
      </c>
      <c r="P213" s="49">
        <f>'2025年安徽省区利润表'!P213+'2025年江西省区利润表'!P213</f>
        <v>0</v>
      </c>
      <c r="Q213" s="49">
        <f>'2025年安徽省区利润表'!Q213+'2025年江西省区利润表'!Q213</f>
        <v>0</v>
      </c>
      <c r="R213" s="49">
        <f>'2025年安徽省区利润表'!R213+'2025年江西省区利润表'!R213</f>
        <v>0</v>
      </c>
      <c r="S213" s="49">
        <f>'2025年安徽省区利润表'!S213+'2025年江西省区利润表'!S213</f>
        <v>0</v>
      </c>
      <c r="T213" s="49">
        <f>'2025年安徽省区利润表'!T213+'2025年江西省区利润表'!T213</f>
        <v>0</v>
      </c>
      <c r="U213" s="49">
        <f>'2025年安徽省区利润表'!U213+'2025年江西省区利润表'!U213</f>
        <v>0</v>
      </c>
      <c r="V213" s="49">
        <f>'2025年安徽省区利润表'!V213+'2025年江西省区利润表'!V213</f>
        <v>0</v>
      </c>
      <c r="W213" s="49">
        <f>'2025年安徽省区利润表'!W213+'2025年江西省区利润表'!W213</f>
        <v>0</v>
      </c>
      <c r="X213" s="49">
        <f>'2025年安徽省区利润表'!X213+'2025年江西省区利润表'!X213</f>
        <v>0</v>
      </c>
      <c r="Y213" s="49">
        <f>'2025年安徽省区利润表'!Y213+'2025年江西省区利润表'!Y213</f>
        <v>0</v>
      </c>
      <c r="Z213" s="49">
        <f>'2025年安徽省区利润表'!Z213+'2025年江西省区利润表'!Z213</f>
        <v>0</v>
      </c>
      <c r="AA213" s="51">
        <f t="shared" si="31"/>
        <v>0</v>
      </c>
      <c r="AB213" s="51">
        <f t="shared" si="37"/>
        <v>0</v>
      </c>
      <c r="AD213" s="31">
        <f t="shared" si="32"/>
        <v>0</v>
      </c>
      <c r="AE213" s="31">
        <f t="shared" si="33"/>
        <v>0</v>
      </c>
      <c r="AF213" s="17">
        <f t="shared" si="34"/>
        <v>0</v>
      </c>
      <c r="AG213" s="17">
        <f t="shared" si="35"/>
        <v>0</v>
      </c>
    </row>
    <row r="214" spans="1:123" s="19" customFormat="1" ht="18" customHeight="1" outlineLevel="2" x14ac:dyDescent="0.25">
      <c r="A214" s="48" t="s">
        <v>144</v>
      </c>
      <c r="B214" s="53"/>
      <c r="C214" s="49">
        <f>'2025年安徽省区利润表'!C214+'2025年江西省区利润表'!C214</f>
        <v>0</v>
      </c>
      <c r="D214" s="49">
        <f>'2025年安徽省区利润表'!D214+'2025年江西省区利润表'!D214</f>
        <v>0</v>
      </c>
      <c r="E214" s="49">
        <f>'2025年安徽省区利润表'!E214+'2025年江西省区利润表'!E214</f>
        <v>0</v>
      </c>
      <c r="F214" s="49">
        <f>'2025年安徽省区利润表'!F214+'2025年江西省区利润表'!F214</f>
        <v>0</v>
      </c>
      <c r="G214" s="49">
        <f>'2025年安徽省区利润表'!G214+'2025年江西省区利润表'!G214</f>
        <v>0</v>
      </c>
      <c r="H214" s="49">
        <f>'2025年安徽省区利润表'!H214+'2025年江西省区利润表'!H214</f>
        <v>0</v>
      </c>
      <c r="I214" s="49">
        <f>'2025年安徽省区利润表'!I214+'2025年江西省区利润表'!I214</f>
        <v>0</v>
      </c>
      <c r="J214" s="49">
        <f>'2025年安徽省区利润表'!J214+'2025年江西省区利润表'!J214</f>
        <v>0</v>
      </c>
      <c r="K214" s="49">
        <f>'2025年安徽省区利润表'!K214+'2025年江西省区利润表'!K214</f>
        <v>0</v>
      </c>
      <c r="L214" s="49">
        <f>'2025年安徽省区利润表'!L214+'2025年江西省区利润表'!L214</f>
        <v>0</v>
      </c>
      <c r="M214" s="49">
        <f>'2025年安徽省区利润表'!M214+'2025年江西省区利润表'!M214</f>
        <v>0</v>
      </c>
      <c r="N214" s="49">
        <f>'2025年安徽省区利润表'!N214+'2025年江西省区利润表'!N214</f>
        <v>0</v>
      </c>
      <c r="O214" s="49">
        <f>'2025年安徽省区利润表'!O214+'2025年江西省区利润表'!O214</f>
        <v>0</v>
      </c>
      <c r="P214" s="49">
        <f>'2025年安徽省区利润表'!P214+'2025年江西省区利润表'!P214</f>
        <v>0</v>
      </c>
      <c r="Q214" s="49">
        <f>'2025年安徽省区利润表'!Q214+'2025年江西省区利润表'!Q214</f>
        <v>0</v>
      </c>
      <c r="R214" s="49">
        <f>'2025年安徽省区利润表'!R214+'2025年江西省区利润表'!R214</f>
        <v>0</v>
      </c>
      <c r="S214" s="49">
        <f>'2025年安徽省区利润表'!S214+'2025年江西省区利润表'!S214</f>
        <v>0</v>
      </c>
      <c r="T214" s="49">
        <f>'2025年安徽省区利润表'!T214+'2025年江西省区利润表'!T214</f>
        <v>0</v>
      </c>
      <c r="U214" s="49">
        <f>'2025年安徽省区利润表'!U214+'2025年江西省区利润表'!U214</f>
        <v>0</v>
      </c>
      <c r="V214" s="49">
        <f>'2025年安徽省区利润表'!V214+'2025年江西省区利润表'!V214</f>
        <v>0</v>
      </c>
      <c r="W214" s="49">
        <f>'2025年安徽省区利润表'!W214+'2025年江西省区利润表'!W214</f>
        <v>0</v>
      </c>
      <c r="X214" s="49">
        <f>'2025年安徽省区利润表'!X214+'2025年江西省区利润表'!X214</f>
        <v>0</v>
      </c>
      <c r="Y214" s="49">
        <f>'2025年安徽省区利润表'!Y214+'2025年江西省区利润表'!Y214</f>
        <v>0</v>
      </c>
      <c r="Z214" s="49">
        <f>'2025年安徽省区利润表'!Z214+'2025年江西省区利润表'!Z214</f>
        <v>0</v>
      </c>
      <c r="AA214" s="51">
        <f t="shared" si="31"/>
        <v>0</v>
      </c>
      <c r="AB214" s="51">
        <f t="shared" si="37"/>
        <v>0</v>
      </c>
      <c r="AD214" s="31">
        <f t="shared" si="32"/>
        <v>0</v>
      </c>
      <c r="AE214" s="31">
        <f t="shared" si="33"/>
        <v>0</v>
      </c>
      <c r="AF214" s="17">
        <f t="shared" si="34"/>
        <v>0</v>
      </c>
      <c r="AG214" s="17">
        <f t="shared" si="35"/>
        <v>0</v>
      </c>
    </row>
    <row r="215" spans="1:123" s="19" customFormat="1" ht="18" customHeight="1" outlineLevel="2" x14ac:dyDescent="0.25">
      <c r="A215" s="48" t="s">
        <v>145</v>
      </c>
      <c r="B215" s="53"/>
      <c r="C215" s="49">
        <f>'2025年安徽省区利润表'!C215+'2025年江西省区利润表'!C215</f>
        <v>0</v>
      </c>
      <c r="D215" s="49">
        <f>'2025年安徽省区利润表'!D215+'2025年江西省区利润表'!D215</f>
        <v>0</v>
      </c>
      <c r="E215" s="49">
        <f>'2025年安徽省区利润表'!E215+'2025年江西省区利润表'!E215</f>
        <v>0</v>
      </c>
      <c r="F215" s="49">
        <f>'2025年安徽省区利润表'!F215+'2025年江西省区利润表'!F215</f>
        <v>0</v>
      </c>
      <c r="G215" s="49">
        <f>'2025年安徽省区利润表'!G215+'2025年江西省区利润表'!G215</f>
        <v>0</v>
      </c>
      <c r="H215" s="49">
        <f>'2025年安徽省区利润表'!H215+'2025年江西省区利润表'!H215</f>
        <v>0</v>
      </c>
      <c r="I215" s="49">
        <f>'2025年安徽省区利润表'!I215+'2025年江西省区利润表'!I215</f>
        <v>0</v>
      </c>
      <c r="J215" s="49">
        <f>'2025年安徽省区利润表'!J215+'2025年江西省区利润表'!J215</f>
        <v>0</v>
      </c>
      <c r="K215" s="49">
        <f>'2025年安徽省区利润表'!K215+'2025年江西省区利润表'!K215</f>
        <v>0</v>
      </c>
      <c r="L215" s="49">
        <f>'2025年安徽省区利润表'!L215+'2025年江西省区利润表'!L215</f>
        <v>0</v>
      </c>
      <c r="M215" s="49">
        <f>'2025年安徽省区利润表'!M215+'2025年江西省区利润表'!M215</f>
        <v>0</v>
      </c>
      <c r="N215" s="49">
        <f>'2025年安徽省区利润表'!N215+'2025年江西省区利润表'!N215</f>
        <v>0</v>
      </c>
      <c r="O215" s="49">
        <f>'2025年安徽省区利润表'!O215+'2025年江西省区利润表'!O215</f>
        <v>0</v>
      </c>
      <c r="P215" s="49">
        <f>'2025年安徽省区利润表'!P215+'2025年江西省区利润表'!P215</f>
        <v>0</v>
      </c>
      <c r="Q215" s="49">
        <f>'2025年安徽省区利润表'!Q215+'2025年江西省区利润表'!Q215</f>
        <v>0</v>
      </c>
      <c r="R215" s="49">
        <f>'2025年安徽省区利润表'!R215+'2025年江西省区利润表'!R215</f>
        <v>0</v>
      </c>
      <c r="S215" s="49">
        <f>'2025年安徽省区利润表'!S215+'2025年江西省区利润表'!S215</f>
        <v>0</v>
      </c>
      <c r="T215" s="49">
        <f>'2025年安徽省区利润表'!T215+'2025年江西省区利润表'!T215</f>
        <v>0</v>
      </c>
      <c r="U215" s="49">
        <f>'2025年安徽省区利润表'!U215+'2025年江西省区利润表'!U215</f>
        <v>0</v>
      </c>
      <c r="V215" s="49">
        <f>'2025年安徽省区利润表'!V215+'2025年江西省区利润表'!V215</f>
        <v>0</v>
      </c>
      <c r="W215" s="49">
        <f>'2025年安徽省区利润表'!W215+'2025年江西省区利润表'!W215</f>
        <v>0</v>
      </c>
      <c r="X215" s="49">
        <f>'2025年安徽省区利润表'!X215+'2025年江西省区利润表'!X215</f>
        <v>0</v>
      </c>
      <c r="Y215" s="49">
        <f>'2025年安徽省区利润表'!Y215+'2025年江西省区利润表'!Y215</f>
        <v>0</v>
      </c>
      <c r="Z215" s="49">
        <f>'2025年安徽省区利润表'!Z215+'2025年江西省区利润表'!Z215</f>
        <v>0</v>
      </c>
      <c r="AA215" s="51">
        <f t="shared" si="31"/>
        <v>0</v>
      </c>
      <c r="AB215" s="51">
        <f t="shared" si="37"/>
        <v>0</v>
      </c>
      <c r="AD215" s="31">
        <f t="shared" si="32"/>
        <v>0</v>
      </c>
      <c r="AE215" s="31">
        <f t="shared" si="33"/>
        <v>0</v>
      </c>
      <c r="AF215" s="17">
        <f t="shared" si="34"/>
        <v>0</v>
      </c>
      <c r="AG215" s="17">
        <f t="shared" si="35"/>
        <v>0</v>
      </c>
    </row>
    <row r="216" spans="1:123" s="19" customFormat="1" ht="18" customHeight="1" outlineLevel="2" x14ac:dyDescent="0.25">
      <c r="A216" s="48" t="s">
        <v>146</v>
      </c>
      <c r="B216" s="53"/>
      <c r="C216" s="49">
        <f>'2025年安徽省区利润表'!C216+'2025年江西省区利润表'!C216</f>
        <v>0</v>
      </c>
      <c r="D216" s="49">
        <f>'2025年安徽省区利润表'!D216+'2025年江西省区利润表'!D216</f>
        <v>0</v>
      </c>
      <c r="E216" s="49">
        <f>'2025年安徽省区利润表'!E216+'2025年江西省区利润表'!E216</f>
        <v>0</v>
      </c>
      <c r="F216" s="49">
        <f>'2025年安徽省区利润表'!F216+'2025年江西省区利润表'!F216</f>
        <v>0</v>
      </c>
      <c r="G216" s="49">
        <f>'2025年安徽省区利润表'!G216+'2025年江西省区利润表'!G216</f>
        <v>0</v>
      </c>
      <c r="H216" s="49">
        <f>'2025年安徽省区利润表'!H216+'2025年江西省区利润表'!H216</f>
        <v>0</v>
      </c>
      <c r="I216" s="49">
        <f>'2025年安徽省区利润表'!I216+'2025年江西省区利润表'!I216</f>
        <v>0</v>
      </c>
      <c r="J216" s="49">
        <f>'2025年安徽省区利润表'!J216+'2025年江西省区利润表'!J216</f>
        <v>0</v>
      </c>
      <c r="K216" s="49">
        <f>'2025年安徽省区利润表'!K216+'2025年江西省区利润表'!K216</f>
        <v>0</v>
      </c>
      <c r="L216" s="49">
        <f>'2025年安徽省区利润表'!L216+'2025年江西省区利润表'!L216</f>
        <v>0</v>
      </c>
      <c r="M216" s="49">
        <f>'2025年安徽省区利润表'!M216+'2025年江西省区利润表'!M216</f>
        <v>0</v>
      </c>
      <c r="N216" s="49">
        <f>'2025年安徽省区利润表'!N216+'2025年江西省区利润表'!N216</f>
        <v>0</v>
      </c>
      <c r="O216" s="49">
        <f>'2025年安徽省区利润表'!O216+'2025年江西省区利润表'!O216</f>
        <v>0</v>
      </c>
      <c r="P216" s="49">
        <f>'2025年安徽省区利润表'!P216+'2025年江西省区利润表'!P216</f>
        <v>0</v>
      </c>
      <c r="Q216" s="49">
        <f>'2025年安徽省区利润表'!Q216+'2025年江西省区利润表'!Q216</f>
        <v>0</v>
      </c>
      <c r="R216" s="49">
        <f>'2025年安徽省区利润表'!R216+'2025年江西省区利润表'!R216</f>
        <v>0</v>
      </c>
      <c r="S216" s="49">
        <f>'2025年安徽省区利润表'!S216+'2025年江西省区利润表'!S216</f>
        <v>0</v>
      </c>
      <c r="T216" s="49">
        <f>'2025年安徽省区利润表'!T216+'2025年江西省区利润表'!T216</f>
        <v>0</v>
      </c>
      <c r="U216" s="49">
        <f>'2025年安徽省区利润表'!U216+'2025年江西省区利润表'!U216</f>
        <v>0</v>
      </c>
      <c r="V216" s="49">
        <f>'2025年安徽省区利润表'!V216+'2025年江西省区利润表'!V216</f>
        <v>0</v>
      </c>
      <c r="W216" s="49">
        <f>'2025年安徽省区利润表'!W216+'2025年江西省区利润表'!W216</f>
        <v>0</v>
      </c>
      <c r="X216" s="49">
        <f>'2025年安徽省区利润表'!X216+'2025年江西省区利润表'!X216</f>
        <v>0</v>
      </c>
      <c r="Y216" s="49">
        <f>'2025年安徽省区利润表'!Y216+'2025年江西省区利润表'!Y216</f>
        <v>0</v>
      </c>
      <c r="Z216" s="49">
        <f>'2025年安徽省区利润表'!Z216+'2025年江西省区利润表'!Z216</f>
        <v>0</v>
      </c>
      <c r="AA216" s="51">
        <f t="shared" si="31"/>
        <v>0</v>
      </c>
      <c r="AB216" s="51">
        <f t="shared" si="37"/>
        <v>0</v>
      </c>
      <c r="AD216" s="31">
        <f t="shared" si="32"/>
        <v>0</v>
      </c>
      <c r="AE216" s="31">
        <f t="shared" si="33"/>
        <v>0</v>
      </c>
      <c r="AF216" s="17">
        <f t="shared" si="34"/>
        <v>0</v>
      </c>
      <c r="AG216" s="17">
        <f t="shared" si="35"/>
        <v>0</v>
      </c>
    </row>
    <row r="217" spans="1:123" s="19" customFormat="1" ht="18" customHeight="1" outlineLevel="1" x14ac:dyDescent="0.25">
      <c r="A217" s="48" t="s">
        <v>147</v>
      </c>
      <c r="B217" s="53"/>
      <c r="C217" s="49">
        <f>'2025年安徽省区利润表'!C217+'2025年江西省区利润表'!C217</f>
        <v>0</v>
      </c>
      <c r="D217" s="49">
        <f>'2025年安徽省区利润表'!D217+'2025年江西省区利润表'!D217</f>
        <v>0</v>
      </c>
      <c r="E217" s="49">
        <f>'2025年安徽省区利润表'!E217+'2025年江西省区利润表'!E217</f>
        <v>0</v>
      </c>
      <c r="F217" s="49">
        <f>'2025年安徽省区利润表'!F217+'2025年江西省区利润表'!F217</f>
        <v>0</v>
      </c>
      <c r="G217" s="49">
        <f>'2025年安徽省区利润表'!G217+'2025年江西省区利润表'!G217</f>
        <v>0</v>
      </c>
      <c r="H217" s="49">
        <f>'2025年安徽省区利润表'!H217+'2025年江西省区利润表'!H217</f>
        <v>0</v>
      </c>
      <c r="I217" s="49">
        <f>'2025年安徽省区利润表'!I217+'2025年江西省区利润表'!I217</f>
        <v>0</v>
      </c>
      <c r="J217" s="49">
        <f>'2025年安徽省区利润表'!J217+'2025年江西省区利润表'!J217</f>
        <v>0</v>
      </c>
      <c r="K217" s="49">
        <f>'2025年安徽省区利润表'!K217+'2025年江西省区利润表'!K217</f>
        <v>0</v>
      </c>
      <c r="L217" s="49">
        <f>'2025年安徽省区利润表'!L217+'2025年江西省区利润表'!L217</f>
        <v>0</v>
      </c>
      <c r="M217" s="49">
        <f>'2025年安徽省区利润表'!M217+'2025年江西省区利润表'!M217</f>
        <v>0</v>
      </c>
      <c r="N217" s="49">
        <f>'2025年安徽省区利润表'!N217+'2025年江西省区利润表'!N217</f>
        <v>0</v>
      </c>
      <c r="O217" s="49">
        <f>'2025年安徽省区利润表'!O217+'2025年江西省区利润表'!O217</f>
        <v>0</v>
      </c>
      <c r="P217" s="49">
        <f>'2025年安徽省区利润表'!P217+'2025年江西省区利润表'!P217</f>
        <v>0</v>
      </c>
      <c r="Q217" s="49">
        <f>'2025年安徽省区利润表'!Q217+'2025年江西省区利润表'!Q217</f>
        <v>0</v>
      </c>
      <c r="R217" s="49">
        <f>'2025年安徽省区利润表'!R217+'2025年江西省区利润表'!R217</f>
        <v>0</v>
      </c>
      <c r="S217" s="49">
        <f>'2025年安徽省区利润表'!S217+'2025年江西省区利润表'!S217</f>
        <v>0</v>
      </c>
      <c r="T217" s="49">
        <f>'2025年安徽省区利润表'!T217+'2025年江西省区利润表'!T217</f>
        <v>0</v>
      </c>
      <c r="U217" s="49">
        <f>'2025年安徽省区利润表'!U217+'2025年江西省区利润表'!U217</f>
        <v>0</v>
      </c>
      <c r="V217" s="49">
        <f>'2025年安徽省区利润表'!V217+'2025年江西省区利润表'!V217</f>
        <v>0</v>
      </c>
      <c r="W217" s="49">
        <f>'2025年安徽省区利润表'!W217+'2025年江西省区利润表'!W217</f>
        <v>0</v>
      </c>
      <c r="X217" s="49">
        <f>'2025年安徽省区利润表'!X217+'2025年江西省区利润表'!X217</f>
        <v>0</v>
      </c>
      <c r="Y217" s="49">
        <f>'2025年安徽省区利润表'!Y217+'2025年江西省区利润表'!Y217</f>
        <v>0</v>
      </c>
      <c r="Z217" s="49">
        <f>'2025年安徽省区利润表'!Z217+'2025年江西省区利润表'!Z217</f>
        <v>0</v>
      </c>
      <c r="AA217" s="51">
        <f t="shared" si="31"/>
        <v>0</v>
      </c>
      <c r="AB217" s="51">
        <f t="shared" si="37"/>
        <v>0</v>
      </c>
      <c r="AD217" s="31">
        <f t="shared" si="32"/>
        <v>0</v>
      </c>
      <c r="AE217" s="31">
        <f t="shared" si="33"/>
        <v>0</v>
      </c>
      <c r="AF217" s="17">
        <f t="shared" si="34"/>
        <v>0</v>
      </c>
      <c r="AG217" s="17">
        <f t="shared" si="35"/>
        <v>0</v>
      </c>
    </row>
    <row r="218" spans="1:123" s="19" customFormat="1" ht="18" customHeight="1" outlineLevel="1" x14ac:dyDescent="0.25">
      <c r="A218" s="48" t="s">
        <v>148</v>
      </c>
      <c r="B218" s="53"/>
      <c r="C218" s="49">
        <f>'2025年安徽省区利润表'!C218+'2025年江西省区利润表'!C218</f>
        <v>0</v>
      </c>
      <c r="D218" s="49">
        <f>'2025年安徽省区利润表'!D218+'2025年江西省区利润表'!D218</f>
        <v>0</v>
      </c>
      <c r="E218" s="49">
        <f>'2025年安徽省区利润表'!E218+'2025年江西省区利润表'!E218</f>
        <v>0</v>
      </c>
      <c r="F218" s="49">
        <f>'2025年安徽省区利润表'!F218+'2025年江西省区利润表'!F218</f>
        <v>0</v>
      </c>
      <c r="G218" s="49">
        <f>'2025年安徽省区利润表'!G218+'2025年江西省区利润表'!G218</f>
        <v>0</v>
      </c>
      <c r="H218" s="49">
        <f>'2025年安徽省区利润表'!H218+'2025年江西省区利润表'!H218</f>
        <v>0</v>
      </c>
      <c r="I218" s="49">
        <f>'2025年安徽省区利润表'!I218+'2025年江西省区利润表'!I218</f>
        <v>0</v>
      </c>
      <c r="J218" s="49">
        <f>'2025年安徽省区利润表'!J218+'2025年江西省区利润表'!J218</f>
        <v>0</v>
      </c>
      <c r="K218" s="49">
        <f>'2025年安徽省区利润表'!K218+'2025年江西省区利润表'!K218</f>
        <v>0</v>
      </c>
      <c r="L218" s="49">
        <f>'2025年安徽省区利润表'!L218+'2025年江西省区利润表'!L218</f>
        <v>0</v>
      </c>
      <c r="M218" s="49">
        <f>'2025年安徽省区利润表'!M218+'2025年江西省区利润表'!M218</f>
        <v>0</v>
      </c>
      <c r="N218" s="49">
        <f>'2025年安徽省区利润表'!N218+'2025年江西省区利润表'!N218</f>
        <v>0</v>
      </c>
      <c r="O218" s="49">
        <f>'2025年安徽省区利润表'!O218+'2025年江西省区利润表'!O218</f>
        <v>0</v>
      </c>
      <c r="P218" s="49">
        <f>'2025年安徽省区利润表'!P218+'2025年江西省区利润表'!P218</f>
        <v>0</v>
      </c>
      <c r="Q218" s="49">
        <f>'2025年安徽省区利润表'!Q218+'2025年江西省区利润表'!Q218</f>
        <v>0</v>
      </c>
      <c r="R218" s="49">
        <f>'2025年安徽省区利润表'!R218+'2025年江西省区利润表'!R218</f>
        <v>0</v>
      </c>
      <c r="S218" s="49">
        <f>'2025年安徽省区利润表'!S218+'2025年江西省区利润表'!S218</f>
        <v>0</v>
      </c>
      <c r="T218" s="49">
        <f>'2025年安徽省区利润表'!T218+'2025年江西省区利润表'!T218</f>
        <v>0</v>
      </c>
      <c r="U218" s="49">
        <f>'2025年安徽省区利润表'!U218+'2025年江西省区利润表'!U218</f>
        <v>0</v>
      </c>
      <c r="V218" s="49">
        <f>'2025年安徽省区利润表'!V218+'2025年江西省区利润表'!V218</f>
        <v>0</v>
      </c>
      <c r="W218" s="49">
        <f>'2025年安徽省区利润表'!W218+'2025年江西省区利润表'!W218</f>
        <v>0</v>
      </c>
      <c r="X218" s="49">
        <f>'2025年安徽省区利润表'!X218+'2025年江西省区利润表'!X218</f>
        <v>0</v>
      </c>
      <c r="Y218" s="49">
        <f>'2025年安徽省区利润表'!Y218+'2025年江西省区利润表'!Y218</f>
        <v>0</v>
      </c>
      <c r="Z218" s="49">
        <f>'2025年安徽省区利润表'!Z218+'2025年江西省区利润表'!Z218</f>
        <v>0</v>
      </c>
      <c r="AA218" s="51">
        <f t="shared" si="31"/>
        <v>0</v>
      </c>
      <c r="AB218" s="51">
        <f t="shared" si="37"/>
        <v>0</v>
      </c>
      <c r="AD218" s="31">
        <f t="shared" si="32"/>
        <v>0</v>
      </c>
      <c r="AE218" s="31">
        <f t="shared" si="33"/>
        <v>0</v>
      </c>
      <c r="AF218" s="17">
        <f t="shared" si="34"/>
        <v>0</v>
      </c>
      <c r="AG218" s="17">
        <f t="shared" si="35"/>
        <v>0</v>
      </c>
    </row>
    <row r="219" spans="1:123" s="19" customFormat="1" ht="18" customHeight="1" outlineLevel="1" x14ac:dyDescent="0.25">
      <c r="A219" s="48" t="s">
        <v>149</v>
      </c>
      <c r="B219" s="53"/>
      <c r="C219" s="49">
        <f>'2025年安徽省区利润表'!C219+'2025年江西省区利润表'!C219</f>
        <v>0</v>
      </c>
      <c r="D219" s="49">
        <f>'2025年安徽省区利润表'!D219+'2025年江西省区利润表'!D219</f>
        <v>0</v>
      </c>
      <c r="E219" s="49">
        <f>'2025年安徽省区利润表'!E219+'2025年江西省区利润表'!E219</f>
        <v>0</v>
      </c>
      <c r="F219" s="49">
        <f>'2025年安徽省区利润表'!F219+'2025年江西省区利润表'!F219</f>
        <v>0</v>
      </c>
      <c r="G219" s="49">
        <f>'2025年安徽省区利润表'!G219+'2025年江西省区利润表'!G219</f>
        <v>0</v>
      </c>
      <c r="H219" s="49">
        <f>'2025年安徽省区利润表'!H219+'2025年江西省区利润表'!H219</f>
        <v>0</v>
      </c>
      <c r="I219" s="49">
        <f>'2025年安徽省区利润表'!I219+'2025年江西省区利润表'!I219</f>
        <v>0</v>
      </c>
      <c r="J219" s="49">
        <f>'2025年安徽省区利润表'!J219+'2025年江西省区利润表'!J219</f>
        <v>0</v>
      </c>
      <c r="K219" s="49">
        <f>'2025年安徽省区利润表'!K219+'2025年江西省区利润表'!K219</f>
        <v>0</v>
      </c>
      <c r="L219" s="49">
        <f>'2025年安徽省区利润表'!L219+'2025年江西省区利润表'!L219</f>
        <v>0</v>
      </c>
      <c r="M219" s="49">
        <f>'2025年安徽省区利润表'!M219+'2025年江西省区利润表'!M219</f>
        <v>0</v>
      </c>
      <c r="N219" s="49">
        <f>'2025年安徽省区利润表'!N219+'2025年江西省区利润表'!N219</f>
        <v>0</v>
      </c>
      <c r="O219" s="49">
        <f>'2025年安徽省区利润表'!O219+'2025年江西省区利润表'!O219</f>
        <v>0</v>
      </c>
      <c r="P219" s="49">
        <f>'2025年安徽省区利润表'!P219+'2025年江西省区利润表'!P219</f>
        <v>0</v>
      </c>
      <c r="Q219" s="49">
        <f>'2025年安徽省区利润表'!Q219+'2025年江西省区利润表'!Q219</f>
        <v>0</v>
      </c>
      <c r="R219" s="49">
        <f>'2025年安徽省区利润表'!R219+'2025年江西省区利润表'!R219</f>
        <v>0</v>
      </c>
      <c r="S219" s="49">
        <f>'2025年安徽省区利润表'!S219+'2025年江西省区利润表'!S219</f>
        <v>0</v>
      </c>
      <c r="T219" s="49">
        <f>'2025年安徽省区利润表'!T219+'2025年江西省区利润表'!T219</f>
        <v>0</v>
      </c>
      <c r="U219" s="49">
        <f>'2025年安徽省区利润表'!U219+'2025年江西省区利润表'!U219</f>
        <v>0</v>
      </c>
      <c r="V219" s="49">
        <f>'2025年安徽省区利润表'!V219+'2025年江西省区利润表'!V219</f>
        <v>0</v>
      </c>
      <c r="W219" s="49">
        <f>'2025年安徽省区利润表'!W219+'2025年江西省区利润表'!W219</f>
        <v>0</v>
      </c>
      <c r="X219" s="49">
        <f>'2025年安徽省区利润表'!X219+'2025年江西省区利润表'!X219</f>
        <v>0</v>
      </c>
      <c r="Y219" s="49">
        <f>'2025年安徽省区利润表'!Y219+'2025年江西省区利润表'!Y219</f>
        <v>0</v>
      </c>
      <c r="Z219" s="49">
        <f>'2025年安徽省区利润表'!Z219+'2025年江西省区利润表'!Z219</f>
        <v>0</v>
      </c>
      <c r="AA219" s="51">
        <f t="shared" si="31"/>
        <v>0</v>
      </c>
      <c r="AB219" s="51">
        <f t="shared" si="37"/>
        <v>0</v>
      </c>
      <c r="AD219" s="31">
        <f t="shared" si="32"/>
        <v>0</v>
      </c>
      <c r="AE219" s="31">
        <f t="shared" si="33"/>
        <v>0</v>
      </c>
      <c r="AF219" s="17">
        <f t="shared" si="34"/>
        <v>0</v>
      </c>
      <c r="AG219" s="17">
        <f t="shared" si="35"/>
        <v>0</v>
      </c>
    </row>
    <row r="220" spans="1:123" s="19" customFormat="1" ht="18" customHeight="1" outlineLevel="1" x14ac:dyDescent="0.25">
      <c r="A220" s="48" t="s">
        <v>150</v>
      </c>
      <c r="B220" s="53"/>
      <c r="C220" s="49">
        <f>'2025年安徽省区利润表'!C220+'2025年江西省区利润表'!C220</f>
        <v>0</v>
      </c>
      <c r="D220" s="49">
        <f>'2025年安徽省区利润表'!D220+'2025年江西省区利润表'!D220</f>
        <v>0</v>
      </c>
      <c r="E220" s="49">
        <f>'2025年安徽省区利润表'!E220+'2025年江西省区利润表'!E220</f>
        <v>0</v>
      </c>
      <c r="F220" s="49">
        <f>'2025年安徽省区利润表'!F220+'2025年江西省区利润表'!F220</f>
        <v>0</v>
      </c>
      <c r="G220" s="49">
        <f>'2025年安徽省区利润表'!G220+'2025年江西省区利润表'!G220</f>
        <v>0</v>
      </c>
      <c r="H220" s="49">
        <f>'2025年安徽省区利润表'!H220+'2025年江西省区利润表'!H220</f>
        <v>0</v>
      </c>
      <c r="I220" s="49">
        <f>'2025年安徽省区利润表'!I220+'2025年江西省区利润表'!I220</f>
        <v>0</v>
      </c>
      <c r="J220" s="49">
        <f>'2025年安徽省区利润表'!J220+'2025年江西省区利润表'!J220</f>
        <v>0</v>
      </c>
      <c r="K220" s="49">
        <f>'2025年安徽省区利润表'!K220+'2025年江西省区利润表'!K220</f>
        <v>0</v>
      </c>
      <c r="L220" s="49">
        <f>'2025年安徽省区利润表'!L220+'2025年江西省区利润表'!L220</f>
        <v>0</v>
      </c>
      <c r="M220" s="49">
        <f>'2025年安徽省区利润表'!M220+'2025年江西省区利润表'!M220</f>
        <v>0</v>
      </c>
      <c r="N220" s="49">
        <f>'2025年安徽省区利润表'!N220+'2025年江西省区利润表'!N220</f>
        <v>0</v>
      </c>
      <c r="O220" s="49">
        <f>'2025年安徽省区利润表'!O220+'2025年江西省区利润表'!O220</f>
        <v>0</v>
      </c>
      <c r="P220" s="49">
        <f>'2025年安徽省区利润表'!P220+'2025年江西省区利润表'!P220</f>
        <v>0</v>
      </c>
      <c r="Q220" s="49">
        <f>'2025年安徽省区利润表'!Q220+'2025年江西省区利润表'!Q220</f>
        <v>0</v>
      </c>
      <c r="R220" s="49">
        <f>'2025年安徽省区利润表'!R220+'2025年江西省区利润表'!R220</f>
        <v>0</v>
      </c>
      <c r="S220" s="49">
        <f>'2025年安徽省区利润表'!S220+'2025年江西省区利润表'!S220</f>
        <v>0</v>
      </c>
      <c r="T220" s="49">
        <f>'2025年安徽省区利润表'!T220+'2025年江西省区利润表'!T220</f>
        <v>0</v>
      </c>
      <c r="U220" s="49">
        <f>'2025年安徽省区利润表'!U220+'2025年江西省区利润表'!U220</f>
        <v>0</v>
      </c>
      <c r="V220" s="49">
        <f>'2025年安徽省区利润表'!V220+'2025年江西省区利润表'!V220</f>
        <v>0</v>
      </c>
      <c r="W220" s="49">
        <f>'2025年安徽省区利润表'!W220+'2025年江西省区利润表'!W220</f>
        <v>0</v>
      </c>
      <c r="X220" s="49">
        <f>'2025年安徽省区利润表'!X220+'2025年江西省区利润表'!X220</f>
        <v>0</v>
      </c>
      <c r="Y220" s="49">
        <f>'2025年安徽省区利润表'!Y220+'2025年江西省区利润表'!Y220</f>
        <v>0</v>
      </c>
      <c r="Z220" s="49">
        <f>'2025年安徽省区利润表'!Z220+'2025年江西省区利润表'!Z220</f>
        <v>0</v>
      </c>
      <c r="AA220" s="51">
        <f t="shared" ref="AA220:AA257" si="38">C220+E220+G220+I220+K220+M220+O220+Q220+S220+U220+W220+Y220</f>
        <v>0</v>
      </c>
      <c r="AB220" s="51">
        <f t="shared" si="37"/>
        <v>0</v>
      </c>
      <c r="AD220" s="31">
        <f t="shared" ref="AD220:AD263" si="39">SUMIF($C$5:$Z$5,$AD$5,C220:Z220)</f>
        <v>0</v>
      </c>
      <c r="AE220" s="31">
        <f t="shared" ref="AE220:AE263" si="40">SUMIF($C$5:$Z$5,$AD$5,D220:AA220)</f>
        <v>0</v>
      </c>
      <c r="AF220" s="17">
        <f t="shared" si="34"/>
        <v>0</v>
      </c>
      <c r="AG220" s="17">
        <f t="shared" si="35"/>
        <v>0</v>
      </c>
    </row>
    <row r="221" spans="1:123" s="19" customFormat="1" ht="18" customHeight="1" outlineLevel="1" x14ac:dyDescent="0.25">
      <c r="A221" s="48" t="s">
        <v>151</v>
      </c>
      <c r="B221" s="53"/>
      <c r="C221" s="49">
        <f>'2025年安徽省区利润表'!C221+'2025年江西省区利润表'!C221</f>
        <v>0</v>
      </c>
      <c r="D221" s="49">
        <f>'2025年安徽省区利润表'!D221+'2025年江西省区利润表'!D221</f>
        <v>0</v>
      </c>
      <c r="E221" s="49">
        <f>'2025年安徽省区利润表'!E221+'2025年江西省区利润表'!E221</f>
        <v>0</v>
      </c>
      <c r="F221" s="49">
        <f>'2025年安徽省区利润表'!F221+'2025年江西省区利润表'!F221</f>
        <v>0</v>
      </c>
      <c r="G221" s="49">
        <f>'2025年安徽省区利润表'!G221+'2025年江西省区利润表'!G221</f>
        <v>0</v>
      </c>
      <c r="H221" s="49">
        <f>'2025年安徽省区利润表'!H221+'2025年江西省区利润表'!H221</f>
        <v>0</v>
      </c>
      <c r="I221" s="49">
        <f>'2025年安徽省区利润表'!I221+'2025年江西省区利润表'!I221</f>
        <v>0</v>
      </c>
      <c r="J221" s="49">
        <f>'2025年安徽省区利润表'!J221+'2025年江西省区利润表'!J221</f>
        <v>0</v>
      </c>
      <c r="K221" s="49">
        <f>'2025年安徽省区利润表'!K221+'2025年江西省区利润表'!K221</f>
        <v>0</v>
      </c>
      <c r="L221" s="49">
        <f>'2025年安徽省区利润表'!L221+'2025年江西省区利润表'!L221</f>
        <v>0</v>
      </c>
      <c r="M221" s="49">
        <f>'2025年安徽省区利润表'!M221+'2025年江西省区利润表'!M221</f>
        <v>0</v>
      </c>
      <c r="N221" s="49">
        <f>'2025年安徽省区利润表'!N221+'2025年江西省区利润表'!N221</f>
        <v>0</v>
      </c>
      <c r="O221" s="49">
        <f>'2025年安徽省区利润表'!O221+'2025年江西省区利润表'!O221</f>
        <v>0</v>
      </c>
      <c r="P221" s="49">
        <f>'2025年安徽省区利润表'!P221+'2025年江西省区利润表'!P221</f>
        <v>0</v>
      </c>
      <c r="Q221" s="49">
        <f>'2025年安徽省区利润表'!Q221+'2025年江西省区利润表'!Q221</f>
        <v>0</v>
      </c>
      <c r="R221" s="49">
        <f>'2025年安徽省区利润表'!R221+'2025年江西省区利润表'!R221</f>
        <v>0</v>
      </c>
      <c r="S221" s="49">
        <f>'2025年安徽省区利润表'!S221+'2025年江西省区利润表'!S221</f>
        <v>0</v>
      </c>
      <c r="T221" s="49">
        <f>'2025年安徽省区利润表'!T221+'2025年江西省区利润表'!T221</f>
        <v>0</v>
      </c>
      <c r="U221" s="49">
        <f>'2025年安徽省区利润表'!U221+'2025年江西省区利润表'!U221</f>
        <v>0</v>
      </c>
      <c r="V221" s="49">
        <f>'2025年安徽省区利润表'!V221+'2025年江西省区利润表'!V221</f>
        <v>0</v>
      </c>
      <c r="W221" s="49">
        <f>'2025年安徽省区利润表'!W221+'2025年江西省区利润表'!W221</f>
        <v>0</v>
      </c>
      <c r="X221" s="49">
        <f>'2025年安徽省区利润表'!X221+'2025年江西省区利润表'!X221</f>
        <v>0</v>
      </c>
      <c r="Y221" s="49">
        <f>'2025年安徽省区利润表'!Y221+'2025年江西省区利润表'!Y221</f>
        <v>0</v>
      </c>
      <c r="Z221" s="49">
        <f>'2025年安徽省区利润表'!Z221+'2025年江西省区利润表'!Z221</f>
        <v>0</v>
      </c>
      <c r="AA221" s="51">
        <f t="shared" si="38"/>
        <v>0</v>
      </c>
      <c r="AB221" s="51">
        <f t="shared" si="37"/>
        <v>0</v>
      </c>
      <c r="AD221" s="31">
        <f t="shared" si="39"/>
        <v>0</v>
      </c>
      <c r="AE221" s="31">
        <f t="shared" si="40"/>
        <v>0</v>
      </c>
      <c r="AF221" s="17">
        <f t="shared" si="34"/>
        <v>0</v>
      </c>
      <c r="AG221" s="17">
        <f t="shared" si="35"/>
        <v>0</v>
      </c>
    </row>
    <row r="222" spans="1:123" s="19" customFormat="1" ht="18" customHeight="1" outlineLevel="1" x14ac:dyDescent="0.25">
      <c r="A222" s="48" t="s">
        <v>152</v>
      </c>
      <c r="B222" s="53"/>
      <c r="C222" s="49">
        <f>'2025年安徽省区利润表'!C222+'2025年江西省区利润表'!C222</f>
        <v>0</v>
      </c>
      <c r="D222" s="49">
        <f>'2025年安徽省区利润表'!D222+'2025年江西省区利润表'!D222</f>
        <v>0</v>
      </c>
      <c r="E222" s="49">
        <f>'2025年安徽省区利润表'!E222+'2025年江西省区利润表'!E222</f>
        <v>0</v>
      </c>
      <c r="F222" s="49">
        <f>'2025年安徽省区利润表'!F222+'2025年江西省区利润表'!F222</f>
        <v>0</v>
      </c>
      <c r="G222" s="49">
        <f>'2025年安徽省区利润表'!G222+'2025年江西省区利润表'!G222</f>
        <v>0</v>
      </c>
      <c r="H222" s="49">
        <f>'2025年安徽省区利润表'!H222+'2025年江西省区利润表'!H222</f>
        <v>0</v>
      </c>
      <c r="I222" s="49">
        <f>'2025年安徽省区利润表'!I222+'2025年江西省区利润表'!I222</f>
        <v>0</v>
      </c>
      <c r="J222" s="49">
        <f>'2025年安徽省区利润表'!J222+'2025年江西省区利润表'!J222</f>
        <v>0</v>
      </c>
      <c r="K222" s="49">
        <f>'2025年安徽省区利润表'!K222+'2025年江西省区利润表'!K222</f>
        <v>0</v>
      </c>
      <c r="L222" s="49">
        <f>'2025年安徽省区利润表'!L222+'2025年江西省区利润表'!L222</f>
        <v>0</v>
      </c>
      <c r="M222" s="49">
        <f>'2025年安徽省区利润表'!M222+'2025年江西省区利润表'!M222</f>
        <v>0</v>
      </c>
      <c r="N222" s="49">
        <f>'2025年安徽省区利润表'!N222+'2025年江西省区利润表'!N222</f>
        <v>0</v>
      </c>
      <c r="O222" s="49">
        <f>'2025年安徽省区利润表'!O222+'2025年江西省区利润表'!O222</f>
        <v>0</v>
      </c>
      <c r="P222" s="49">
        <f>'2025年安徽省区利润表'!P222+'2025年江西省区利润表'!P222</f>
        <v>0</v>
      </c>
      <c r="Q222" s="49">
        <f>'2025年安徽省区利润表'!Q222+'2025年江西省区利润表'!Q222</f>
        <v>0</v>
      </c>
      <c r="R222" s="49">
        <f>'2025年安徽省区利润表'!R222+'2025年江西省区利润表'!R222</f>
        <v>0</v>
      </c>
      <c r="S222" s="49">
        <f>'2025年安徽省区利润表'!S222+'2025年江西省区利润表'!S222</f>
        <v>0</v>
      </c>
      <c r="T222" s="49">
        <f>'2025年安徽省区利润表'!T222+'2025年江西省区利润表'!T222</f>
        <v>0</v>
      </c>
      <c r="U222" s="49">
        <f>'2025年安徽省区利润表'!U222+'2025年江西省区利润表'!U222</f>
        <v>0</v>
      </c>
      <c r="V222" s="49">
        <f>'2025年安徽省区利润表'!V222+'2025年江西省区利润表'!V222</f>
        <v>0</v>
      </c>
      <c r="W222" s="49">
        <f>'2025年安徽省区利润表'!W222+'2025年江西省区利润表'!W222</f>
        <v>0</v>
      </c>
      <c r="X222" s="49">
        <f>'2025年安徽省区利润表'!X222+'2025年江西省区利润表'!X222</f>
        <v>0</v>
      </c>
      <c r="Y222" s="49">
        <f>'2025年安徽省区利润表'!Y222+'2025年江西省区利润表'!Y222</f>
        <v>0</v>
      </c>
      <c r="Z222" s="49">
        <f>'2025年安徽省区利润表'!Z222+'2025年江西省区利润表'!Z222</f>
        <v>0</v>
      </c>
      <c r="AA222" s="51">
        <f t="shared" si="38"/>
        <v>0</v>
      </c>
      <c r="AB222" s="51">
        <f t="shared" si="37"/>
        <v>0</v>
      </c>
      <c r="AD222" s="31">
        <f t="shared" si="39"/>
        <v>0</v>
      </c>
      <c r="AE222" s="31">
        <f t="shared" si="40"/>
        <v>0</v>
      </c>
      <c r="AF222" s="17">
        <f t="shared" ref="AF222:AF260" si="41">AA222-AD222</f>
        <v>0</v>
      </c>
      <c r="AG222" s="17">
        <f t="shared" ref="AG222:AG260" si="42">AB222-AE222</f>
        <v>0</v>
      </c>
    </row>
    <row r="223" spans="1:123" s="19" customFormat="1" ht="18" customHeight="1" outlineLevel="1" x14ac:dyDescent="0.25">
      <c r="A223" s="48" t="s">
        <v>153</v>
      </c>
      <c r="B223" s="53"/>
      <c r="C223" s="49">
        <f>'2025年安徽省区利润表'!C223+'2025年江西省区利润表'!C223</f>
        <v>0</v>
      </c>
      <c r="D223" s="49">
        <f>'2025年安徽省区利润表'!D223+'2025年江西省区利润表'!D223</f>
        <v>0</v>
      </c>
      <c r="E223" s="49">
        <f>'2025年安徽省区利润表'!E223+'2025年江西省区利润表'!E223</f>
        <v>0</v>
      </c>
      <c r="F223" s="49">
        <f>'2025年安徽省区利润表'!F223+'2025年江西省区利润表'!F223</f>
        <v>0</v>
      </c>
      <c r="G223" s="49">
        <f>'2025年安徽省区利润表'!G223+'2025年江西省区利润表'!G223</f>
        <v>0</v>
      </c>
      <c r="H223" s="49">
        <f>'2025年安徽省区利润表'!H223+'2025年江西省区利润表'!H223</f>
        <v>0</v>
      </c>
      <c r="I223" s="49">
        <f>'2025年安徽省区利润表'!I223+'2025年江西省区利润表'!I223</f>
        <v>0</v>
      </c>
      <c r="J223" s="49">
        <f>'2025年安徽省区利润表'!J223+'2025年江西省区利润表'!J223</f>
        <v>0</v>
      </c>
      <c r="K223" s="49">
        <f>'2025年安徽省区利润表'!K223+'2025年江西省区利润表'!K223</f>
        <v>0</v>
      </c>
      <c r="L223" s="49">
        <f>'2025年安徽省区利润表'!L223+'2025年江西省区利润表'!L223</f>
        <v>0</v>
      </c>
      <c r="M223" s="49">
        <f>'2025年安徽省区利润表'!M223+'2025年江西省区利润表'!M223</f>
        <v>0</v>
      </c>
      <c r="N223" s="49">
        <f>'2025年安徽省区利润表'!N223+'2025年江西省区利润表'!N223</f>
        <v>0</v>
      </c>
      <c r="O223" s="49">
        <f>'2025年安徽省区利润表'!O223+'2025年江西省区利润表'!O223</f>
        <v>0</v>
      </c>
      <c r="P223" s="49">
        <f>'2025年安徽省区利润表'!P223+'2025年江西省区利润表'!P223</f>
        <v>0</v>
      </c>
      <c r="Q223" s="49">
        <f>'2025年安徽省区利润表'!Q223+'2025年江西省区利润表'!Q223</f>
        <v>0</v>
      </c>
      <c r="R223" s="49">
        <f>'2025年安徽省区利润表'!R223+'2025年江西省区利润表'!R223</f>
        <v>0</v>
      </c>
      <c r="S223" s="49">
        <f>'2025年安徽省区利润表'!S223+'2025年江西省区利润表'!S223</f>
        <v>0</v>
      </c>
      <c r="T223" s="49">
        <f>'2025年安徽省区利润表'!T223+'2025年江西省区利润表'!T223</f>
        <v>0</v>
      </c>
      <c r="U223" s="49">
        <f>'2025年安徽省区利润表'!U223+'2025年江西省区利润表'!U223</f>
        <v>0</v>
      </c>
      <c r="V223" s="49">
        <f>'2025年安徽省区利润表'!V223+'2025年江西省区利润表'!V223</f>
        <v>0</v>
      </c>
      <c r="W223" s="49">
        <f>'2025年安徽省区利润表'!W223+'2025年江西省区利润表'!W223</f>
        <v>0</v>
      </c>
      <c r="X223" s="49">
        <f>'2025年安徽省区利润表'!X223+'2025年江西省区利润表'!X223</f>
        <v>0</v>
      </c>
      <c r="Y223" s="49">
        <f>'2025年安徽省区利润表'!Y223+'2025年江西省区利润表'!Y223</f>
        <v>0</v>
      </c>
      <c r="Z223" s="49">
        <f>'2025年安徽省区利润表'!Z223+'2025年江西省区利润表'!Z223</f>
        <v>0</v>
      </c>
      <c r="AA223" s="51">
        <f t="shared" si="38"/>
        <v>0</v>
      </c>
      <c r="AB223" s="51">
        <f t="shared" si="37"/>
        <v>0</v>
      </c>
      <c r="AD223" s="31">
        <f t="shared" si="39"/>
        <v>0</v>
      </c>
      <c r="AE223" s="31">
        <f t="shared" si="40"/>
        <v>0</v>
      </c>
      <c r="AF223" s="17">
        <f t="shared" si="41"/>
        <v>0</v>
      </c>
      <c r="AG223" s="17">
        <f t="shared" si="42"/>
        <v>0</v>
      </c>
    </row>
    <row r="224" spans="1:123" s="19" customFormat="1" ht="18" customHeight="1" outlineLevel="1" x14ac:dyDescent="0.25">
      <c r="A224" s="48" t="s">
        <v>154</v>
      </c>
      <c r="B224" s="53"/>
      <c r="C224" s="49">
        <f>'2025年安徽省区利润表'!C224+'2025年江西省区利润表'!C224</f>
        <v>0</v>
      </c>
      <c r="D224" s="49">
        <f>'2025年安徽省区利润表'!D224+'2025年江西省区利润表'!D224</f>
        <v>0</v>
      </c>
      <c r="E224" s="49">
        <f>'2025年安徽省区利润表'!E224+'2025年江西省区利润表'!E224</f>
        <v>0</v>
      </c>
      <c r="F224" s="49">
        <f>'2025年安徽省区利润表'!F224+'2025年江西省区利润表'!F224</f>
        <v>0</v>
      </c>
      <c r="G224" s="49">
        <f>'2025年安徽省区利润表'!G224+'2025年江西省区利润表'!G224</f>
        <v>0</v>
      </c>
      <c r="H224" s="49">
        <f>'2025年安徽省区利润表'!H224+'2025年江西省区利润表'!H224</f>
        <v>0</v>
      </c>
      <c r="I224" s="49">
        <f>'2025年安徽省区利润表'!I224+'2025年江西省区利润表'!I224</f>
        <v>0</v>
      </c>
      <c r="J224" s="49">
        <f>'2025年安徽省区利润表'!J224+'2025年江西省区利润表'!J224</f>
        <v>0</v>
      </c>
      <c r="K224" s="49">
        <f>'2025年安徽省区利润表'!K224+'2025年江西省区利润表'!K224</f>
        <v>0</v>
      </c>
      <c r="L224" s="49">
        <f>'2025年安徽省区利润表'!L224+'2025年江西省区利润表'!L224</f>
        <v>0</v>
      </c>
      <c r="M224" s="49">
        <f>'2025年安徽省区利润表'!M224+'2025年江西省区利润表'!M224</f>
        <v>0</v>
      </c>
      <c r="N224" s="49">
        <f>'2025年安徽省区利润表'!N224+'2025年江西省区利润表'!N224</f>
        <v>0</v>
      </c>
      <c r="O224" s="49">
        <f>'2025年安徽省区利润表'!O224+'2025年江西省区利润表'!O224</f>
        <v>0</v>
      </c>
      <c r="P224" s="49">
        <f>'2025年安徽省区利润表'!P224+'2025年江西省区利润表'!P224</f>
        <v>0</v>
      </c>
      <c r="Q224" s="49">
        <f>'2025年安徽省区利润表'!Q224+'2025年江西省区利润表'!Q224</f>
        <v>0</v>
      </c>
      <c r="R224" s="49">
        <f>'2025年安徽省区利润表'!R224+'2025年江西省区利润表'!R224</f>
        <v>0</v>
      </c>
      <c r="S224" s="49">
        <f>'2025年安徽省区利润表'!S224+'2025年江西省区利润表'!S224</f>
        <v>0</v>
      </c>
      <c r="T224" s="49">
        <f>'2025年安徽省区利润表'!T224+'2025年江西省区利润表'!T224</f>
        <v>0</v>
      </c>
      <c r="U224" s="49">
        <f>'2025年安徽省区利润表'!U224+'2025年江西省区利润表'!U224</f>
        <v>0</v>
      </c>
      <c r="V224" s="49">
        <f>'2025年安徽省区利润表'!V224+'2025年江西省区利润表'!V224</f>
        <v>0</v>
      </c>
      <c r="W224" s="49">
        <f>'2025年安徽省区利润表'!W224+'2025年江西省区利润表'!W224</f>
        <v>0</v>
      </c>
      <c r="X224" s="49">
        <f>'2025年安徽省区利润表'!X224+'2025年江西省区利润表'!X224</f>
        <v>0</v>
      </c>
      <c r="Y224" s="49">
        <f>'2025年安徽省区利润表'!Y224+'2025年江西省区利润表'!Y224</f>
        <v>0</v>
      </c>
      <c r="Z224" s="49">
        <f>'2025年安徽省区利润表'!Z224+'2025年江西省区利润表'!Z224</f>
        <v>0</v>
      </c>
      <c r="AA224" s="51">
        <f t="shared" si="38"/>
        <v>0</v>
      </c>
      <c r="AB224" s="51">
        <f t="shared" si="37"/>
        <v>0</v>
      </c>
      <c r="AD224" s="31">
        <f t="shared" si="39"/>
        <v>0</v>
      </c>
      <c r="AE224" s="31">
        <f t="shared" si="40"/>
        <v>0</v>
      </c>
      <c r="AF224" s="17">
        <f t="shared" si="41"/>
        <v>0</v>
      </c>
      <c r="AG224" s="17">
        <f t="shared" si="42"/>
        <v>0</v>
      </c>
    </row>
    <row r="225" spans="1:33" s="19" customFormat="1" ht="18" customHeight="1" outlineLevel="1" x14ac:dyDescent="0.25">
      <c r="A225" s="48" t="s">
        <v>155</v>
      </c>
      <c r="B225" s="53"/>
      <c r="C225" s="49">
        <f>'2025年安徽省区利润表'!C225+'2025年江西省区利润表'!C225</f>
        <v>0</v>
      </c>
      <c r="D225" s="49">
        <f>'2025年安徽省区利润表'!D225+'2025年江西省区利润表'!D225</f>
        <v>0</v>
      </c>
      <c r="E225" s="49">
        <f>'2025年安徽省区利润表'!E225+'2025年江西省区利润表'!E225</f>
        <v>0</v>
      </c>
      <c r="F225" s="49">
        <f>'2025年安徽省区利润表'!F225+'2025年江西省区利润表'!F225</f>
        <v>0</v>
      </c>
      <c r="G225" s="49">
        <f>'2025年安徽省区利润表'!G225+'2025年江西省区利润表'!G225</f>
        <v>0</v>
      </c>
      <c r="H225" s="49">
        <f>'2025年安徽省区利润表'!H225+'2025年江西省区利润表'!H225</f>
        <v>0</v>
      </c>
      <c r="I225" s="49">
        <f>'2025年安徽省区利润表'!I225+'2025年江西省区利润表'!I225</f>
        <v>0</v>
      </c>
      <c r="J225" s="49">
        <f>'2025年安徽省区利润表'!J225+'2025年江西省区利润表'!J225</f>
        <v>0</v>
      </c>
      <c r="K225" s="49">
        <f>'2025年安徽省区利润表'!K225+'2025年江西省区利润表'!K225</f>
        <v>0</v>
      </c>
      <c r="L225" s="49">
        <f>'2025年安徽省区利润表'!L225+'2025年江西省区利润表'!L225</f>
        <v>0</v>
      </c>
      <c r="M225" s="49">
        <f>'2025年安徽省区利润表'!M225+'2025年江西省区利润表'!M225</f>
        <v>0</v>
      </c>
      <c r="N225" s="49">
        <f>'2025年安徽省区利润表'!N225+'2025年江西省区利润表'!N225</f>
        <v>0</v>
      </c>
      <c r="O225" s="49">
        <f>'2025年安徽省区利润表'!O225+'2025年江西省区利润表'!O225</f>
        <v>0</v>
      </c>
      <c r="P225" s="49">
        <f>'2025年安徽省区利润表'!P225+'2025年江西省区利润表'!P225</f>
        <v>0</v>
      </c>
      <c r="Q225" s="49">
        <f>'2025年安徽省区利润表'!Q225+'2025年江西省区利润表'!Q225</f>
        <v>0</v>
      </c>
      <c r="R225" s="49">
        <f>'2025年安徽省区利润表'!R225+'2025年江西省区利润表'!R225</f>
        <v>0</v>
      </c>
      <c r="S225" s="49">
        <f>'2025年安徽省区利润表'!S225+'2025年江西省区利润表'!S225</f>
        <v>0</v>
      </c>
      <c r="T225" s="49">
        <f>'2025年安徽省区利润表'!T225+'2025年江西省区利润表'!T225</f>
        <v>0</v>
      </c>
      <c r="U225" s="49">
        <f>'2025年安徽省区利润表'!U225+'2025年江西省区利润表'!U225</f>
        <v>0</v>
      </c>
      <c r="V225" s="49">
        <f>'2025年安徽省区利润表'!V225+'2025年江西省区利润表'!V225</f>
        <v>0</v>
      </c>
      <c r="W225" s="49">
        <f>'2025年安徽省区利润表'!W225+'2025年江西省区利润表'!W225</f>
        <v>0</v>
      </c>
      <c r="X225" s="49">
        <f>'2025年安徽省区利润表'!X225+'2025年江西省区利润表'!X225</f>
        <v>0</v>
      </c>
      <c r="Y225" s="49">
        <f>'2025年安徽省区利润表'!Y225+'2025年江西省区利润表'!Y225</f>
        <v>0</v>
      </c>
      <c r="Z225" s="49">
        <f>'2025年安徽省区利润表'!Z225+'2025年江西省区利润表'!Z225</f>
        <v>0</v>
      </c>
      <c r="AA225" s="51">
        <f t="shared" si="38"/>
        <v>0</v>
      </c>
      <c r="AB225" s="51">
        <f t="shared" si="37"/>
        <v>0</v>
      </c>
      <c r="AD225" s="31">
        <f t="shared" si="39"/>
        <v>0</v>
      </c>
      <c r="AE225" s="31">
        <f t="shared" si="40"/>
        <v>0</v>
      </c>
      <c r="AF225" s="17">
        <f t="shared" si="41"/>
        <v>0</v>
      </c>
      <c r="AG225" s="17">
        <f t="shared" si="42"/>
        <v>0</v>
      </c>
    </row>
    <row r="226" spans="1:33" s="19" customFormat="1" ht="18" customHeight="1" outlineLevel="1" x14ac:dyDescent="0.25">
      <c r="A226" s="48" t="s">
        <v>156</v>
      </c>
      <c r="B226" s="53"/>
      <c r="C226" s="49">
        <f>'2025年安徽省区利润表'!C226+'2025年江西省区利润表'!C226</f>
        <v>0</v>
      </c>
      <c r="D226" s="49">
        <f>'2025年安徽省区利润表'!D226+'2025年江西省区利润表'!D226</f>
        <v>0</v>
      </c>
      <c r="E226" s="49">
        <f>'2025年安徽省区利润表'!E226+'2025年江西省区利润表'!E226</f>
        <v>0</v>
      </c>
      <c r="F226" s="49">
        <f>'2025年安徽省区利润表'!F226+'2025年江西省区利润表'!F226</f>
        <v>0</v>
      </c>
      <c r="G226" s="49">
        <f>'2025年安徽省区利润表'!G226+'2025年江西省区利润表'!G226</f>
        <v>0</v>
      </c>
      <c r="H226" s="49">
        <f>'2025年安徽省区利润表'!H226+'2025年江西省区利润表'!H226</f>
        <v>0</v>
      </c>
      <c r="I226" s="49">
        <f>'2025年安徽省区利润表'!I226+'2025年江西省区利润表'!I226</f>
        <v>0</v>
      </c>
      <c r="J226" s="49">
        <f>'2025年安徽省区利润表'!J226+'2025年江西省区利润表'!J226</f>
        <v>0</v>
      </c>
      <c r="K226" s="49">
        <f>'2025年安徽省区利润表'!K226+'2025年江西省区利润表'!K226</f>
        <v>0</v>
      </c>
      <c r="L226" s="49">
        <f>'2025年安徽省区利润表'!L226+'2025年江西省区利润表'!L226</f>
        <v>0</v>
      </c>
      <c r="M226" s="49">
        <f>'2025年安徽省区利润表'!M226+'2025年江西省区利润表'!M226</f>
        <v>0</v>
      </c>
      <c r="N226" s="49">
        <f>'2025年安徽省区利润表'!N226+'2025年江西省区利润表'!N226</f>
        <v>0</v>
      </c>
      <c r="O226" s="49">
        <f>'2025年安徽省区利润表'!O226+'2025年江西省区利润表'!O226</f>
        <v>0</v>
      </c>
      <c r="P226" s="49">
        <f>'2025年安徽省区利润表'!P226+'2025年江西省区利润表'!P226</f>
        <v>0</v>
      </c>
      <c r="Q226" s="49">
        <f>'2025年安徽省区利润表'!Q226+'2025年江西省区利润表'!Q226</f>
        <v>0</v>
      </c>
      <c r="R226" s="49">
        <f>'2025年安徽省区利润表'!R226+'2025年江西省区利润表'!R226</f>
        <v>0</v>
      </c>
      <c r="S226" s="49">
        <f>'2025年安徽省区利润表'!S226+'2025年江西省区利润表'!S226</f>
        <v>0</v>
      </c>
      <c r="T226" s="49">
        <f>'2025年安徽省区利润表'!T226+'2025年江西省区利润表'!T226</f>
        <v>0</v>
      </c>
      <c r="U226" s="49">
        <f>'2025年安徽省区利润表'!U226+'2025年江西省区利润表'!U226</f>
        <v>0</v>
      </c>
      <c r="V226" s="49">
        <f>'2025年安徽省区利润表'!V226+'2025年江西省区利润表'!V226</f>
        <v>0</v>
      </c>
      <c r="W226" s="49">
        <f>'2025年安徽省区利润表'!W226+'2025年江西省区利润表'!W226</f>
        <v>0</v>
      </c>
      <c r="X226" s="49">
        <f>'2025年安徽省区利润表'!X226+'2025年江西省区利润表'!X226</f>
        <v>0</v>
      </c>
      <c r="Y226" s="49">
        <f>'2025年安徽省区利润表'!Y226+'2025年江西省区利润表'!Y226</f>
        <v>0</v>
      </c>
      <c r="Z226" s="49">
        <f>'2025年安徽省区利润表'!Z226+'2025年江西省区利润表'!Z226</f>
        <v>0</v>
      </c>
      <c r="AA226" s="51">
        <f t="shared" si="38"/>
        <v>0</v>
      </c>
      <c r="AB226" s="51">
        <f t="shared" si="37"/>
        <v>0</v>
      </c>
      <c r="AD226" s="31">
        <f t="shared" si="39"/>
        <v>0</v>
      </c>
      <c r="AE226" s="31">
        <f t="shared" si="40"/>
        <v>0</v>
      </c>
      <c r="AF226" s="17">
        <f t="shared" si="41"/>
        <v>0</v>
      </c>
      <c r="AG226" s="17">
        <f t="shared" si="42"/>
        <v>0</v>
      </c>
    </row>
    <row r="227" spans="1:33" s="19" customFormat="1" ht="18" customHeight="1" outlineLevel="1" x14ac:dyDescent="0.25">
      <c r="A227" s="48" t="s">
        <v>157</v>
      </c>
      <c r="B227" s="53"/>
      <c r="C227" s="49">
        <f>'2025年安徽省区利润表'!C227+'2025年江西省区利润表'!C227</f>
        <v>0</v>
      </c>
      <c r="D227" s="49">
        <f>'2025年安徽省区利润表'!D227+'2025年江西省区利润表'!D227</f>
        <v>0</v>
      </c>
      <c r="E227" s="49">
        <f>'2025年安徽省区利润表'!E227+'2025年江西省区利润表'!E227</f>
        <v>0</v>
      </c>
      <c r="F227" s="49">
        <f>'2025年安徽省区利润表'!F227+'2025年江西省区利润表'!F227</f>
        <v>0</v>
      </c>
      <c r="G227" s="49">
        <f>'2025年安徽省区利润表'!G227+'2025年江西省区利润表'!G227</f>
        <v>0</v>
      </c>
      <c r="H227" s="49">
        <f>'2025年安徽省区利润表'!H227+'2025年江西省区利润表'!H227</f>
        <v>0</v>
      </c>
      <c r="I227" s="49">
        <f>'2025年安徽省区利润表'!I227+'2025年江西省区利润表'!I227</f>
        <v>0</v>
      </c>
      <c r="J227" s="49">
        <f>'2025年安徽省区利润表'!J227+'2025年江西省区利润表'!J227</f>
        <v>0</v>
      </c>
      <c r="K227" s="49">
        <f>'2025年安徽省区利润表'!K227+'2025年江西省区利润表'!K227</f>
        <v>0</v>
      </c>
      <c r="L227" s="49">
        <f>'2025年安徽省区利润表'!L227+'2025年江西省区利润表'!L227</f>
        <v>0</v>
      </c>
      <c r="M227" s="49">
        <f>'2025年安徽省区利润表'!M227+'2025年江西省区利润表'!M227</f>
        <v>0</v>
      </c>
      <c r="N227" s="49">
        <f>'2025年安徽省区利润表'!N227+'2025年江西省区利润表'!N227</f>
        <v>0</v>
      </c>
      <c r="O227" s="49">
        <f>'2025年安徽省区利润表'!O227+'2025年江西省区利润表'!O227</f>
        <v>0</v>
      </c>
      <c r="P227" s="49">
        <f>'2025年安徽省区利润表'!P227+'2025年江西省区利润表'!P227</f>
        <v>0</v>
      </c>
      <c r="Q227" s="49">
        <f>'2025年安徽省区利润表'!Q227+'2025年江西省区利润表'!Q227</f>
        <v>0</v>
      </c>
      <c r="R227" s="49">
        <f>'2025年安徽省区利润表'!R227+'2025年江西省区利润表'!R227</f>
        <v>0</v>
      </c>
      <c r="S227" s="49">
        <f>'2025年安徽省区利润表'!S227+'2025年江西省区利润表'!S227</f>
        <v>0</v>
      </c>
      <c r="T227" s="49">
        <f>'2025年安徽省区利润表'!T227+'2025年江西省区利润表'!T227</f>
        <v>0</v>
      </c>
      <c r="U227" s="49">
        <f>'2025年安徽省区利润表'!U227+'2025年江西省区利润表'!U227</f>
        <v>0</v>
      </c>
      <c r="V227" s="49">
        <f>'2025年安徽省区利润表'!V227+'2025年江西省区利润表'!V227</f>
        <v>0</v>
      </c>
      <c r="W227" s="49">
        <f>'2025年安徽省区利润表'!W227+'2025年江西省区利润表'!W227</f>
        <v>0</v>
      </c>
      <c r="X227" s="49">
        <f>'2025年安徽省区利润表'!X227+'2025年江西省区利润表'!X227</f>
        <v>0</v>
      </c>
      <c r="Y227" s="49">
        <f>'2025年安徽省区利润表'!Y227+'2025年江西省区利润表'!Y227</f>
        <v>0</v>
      </c>
      <c r="Z227" s="49">
        <f>'2025年安徽省区利润表'!Z227+'2025年江西省区利润表'!Z227</f>
        <v>0</v>
      </c>
      <c r="AA227" s="51">
        <f t="shared" si="38"/>
        <v>0</v>
      </c>
      <c r="AB227" s="51">
        <f t="shared" si="37"/>
        <v>0</v>
      </c>
      <c r="AD227" s="31">
        <f t="shared" si="39"/>
        <v>0</v>
      </c>
      <c r="AE227" s="31">
        <f t="shared" si="40"/>
        <v>0</v>
      </c>
      <c r="AF227" s="17">
        <f t="shared" si="41"/>
        <v>0</v>
      </c>
      <c r="AG227" s="17">
        <f t="shared" si="42"/>
        <v>0</v>
      </c>
    </row>
    <row r="228" spans="1:33" s="19" customFormat="1" ht="18" customHeight="1" outlineLevel="1" x14ac:dyDescent="0.25">
      <c r="A228" s="48" t="s">
        <v>158</v>
      </c>
      <c r="B228" s="53"/>
      <c r="C228" s="49">
        <f>'2025年安徽省区利润表'!C228+'2025年江西省区利润表'!C228</f>
        <v>0</v>
      </c>
      <c r="D228" s="49">
        <f>'2025年安徽省区利润表'!D228+'2025年江西省区利润表'!D228</f>
        <v>0</v>
      </c>
      <c r="E228" s="49">
        <f>'2025年安徽省区利润表'!E228+'2025年江西省区利润表'!E228</f>
        <v>0</v>
      </c>
      <c r="F228" s="49">
        <f>'2025年安徽省区利润表'!F228+'2025年江西省区利润表'!F228</f>
        <v>0</v>
      </c>
      <c r="G228" s="49">
        <f>'2025年安徽省区利润表'!G228+'2025年江西省区利润表'!G228</f>
        <v>0</v>
      </c>
      <c r="H228" s="49">
        <f>'2025年安徽省区利润表'!H228+'2025年江西省区利润表'!H228</f>
        <v>0</v>
      </c>
      <c r="I228" s="49">
        <f>'2025年安徽省区利润表'!I228+'2025年江西省区利润表'!I228</f>
        <v>0</v>
      </c>
      <c r="J228" s="49">
        <f>'2025年安徽省区利润表'!J228+'2025年江西省区利润表'!J228</f>
        <v>0</v>
      </c>
      <c r="K228" s="49">
        <f>'2025年安徽省区利润表'!K228+'2025年江西省区利润表'!K228</f>
        <v>0</v>
      </c>
      <c r="L228" s="49">
        <f>'2025年安徽省区利润表'!L228+'2025年江西省区利润表'!L228</f>
        <v>0</v>
      </c>
      <c r="M228" s="49">
        <f>'2025年安徽省区利润表'!M228+'2025年江西省区利润表'!M228</f>
        <v>0</v>
      </c>
      <c r="N228" s="49">
        <f>'2025年安徽省区利润表'!N228+'2025年江西省区利润表'!N228</f>
        <v>0</v>
      </c>
      <c r="O228" s="49">
        <f>'2025年安徽省区利润表'!O228+'2025年江西省区利润表'!O228</f>
        <v>0</v>
      </c>
      <c r="P228" s="49">
        <f>'2025年安徽省区利润表'!P228+'2025年江西省区利润表'!P228</f>
        <v>0</v>
      </c>
      <c r="Q228" s="49">
        <f>'2025年安徽省区利润表'!Q228+'2025年江西省区利润表'!Q228</f>
        <v>0</v>
      </c>
      <c r="R228" s="49">
        <f>'2025年安徽省区利润表'!R228+'2025年江西省区利润表'!R228</f>
        <v>0</v>
      </c>
      <c r="S228" s="49">
        <f>'2025年安徽省区利润表'!S228+'2025年江西省区利润表'!S228</f>
        <v>0</v>
      </c>
      <c r="T228" s="49">
        <f>'2025年安徽省区利润表'!T228+'2025年江西省区利润表'!T228</f>
        <v>0</v>
      </c>
      <c r="U228" s="49">
        <f>'2025年安徽省区利润表'!U228+'2025年江西省区利润表'!U228</f>
        <v>0</v>
      </c>
      <c r="V228" s="49">
        <f>'2025年安徽省区利润表'!V228+'2025年江西省区利润表'!V228</f>
        <v>0</v>
      </c>
      <c r="W228" s="49">
        <f>'2025年安徽省区利润表'!W228+'2025年江西省区利润表'!W228</f>
        <v>0</v>
      </c>
      <c r="X228" s="49">
        <f>'2025年安徽省区利润表'!X228+'2025年江西省区利润表'!X228</f>
        <v>0</v>
      </c>
      <c r="Y228" s="49">
        <f>'2025年安徽省区利润表'!Y228+'2025年江西省区利润表'!Y228</f>
        <v>0</v>
      </c>
      <c r="Z228" s="49">
        <f>'2025年安徽省区利润表'!Z228+'2025年江西省区利润表'!Z228</f>
        <v>0</v>
      </c>
      <c r="AA228" s="51">
        <f t="shared" si="38"/>
        <v>0</v>
      </c>
      <c r="AB228" s="51">
        <f t="shared" si="37"/>
        <v>0</v>
      </c>
      <c r="AD228" s="31">
        <f t="shared" si="39"/>
        <v>0</v>
      </c>
      <c r="AE228" s="31">
        <f t="shared" si="40"/>
        <v>0</v>
      </c>
      <c r="AF228" s="17">
        <f t="shared" si="41"/>
        <v>0</v>
      </c>
      <c r="AG228" s="17">
        <f t="shared" si="42"/>
        <v>0</v>
      </c>
    </row>
    <row r="229" spans="1:33" s="19" customFormat="1" ht="18" customHeight="1" outlineLevel="1" x14ac:dyDescent="0.25">
      <c r="A229" s="48" t="s">
        <v>100</v>
      </c>
      <c r="B229" s="53"/>
      <c r="C229" s="49">
        <f>'2025年安徽省区利润表'!C229+'2025年江西省区利润表'!C229</f>
        <v>0</v>
      </c>
      <c r="D229" s="49">
        <f>'2025年安徽省区利润表'!D229+'2025年江西省区利润表'!D229</f>
        <v>0</v>
      </c>
      <c r="E229" s="49">
        <f>'2025年安徽省区利润表'!E229+'2025年江西省区利润表'!E229</f>
        <v>0</v>
      </c>
      <c r="F229" s="49">
        <f>'2025年安徽省区利润表'!F229+'2025年江西省区利润表'!F229</f>
        <v>0</v>
      </c>
      <c r="G229" s="49">
        <f>'2025年安徽省区利润表'!G229+'2025年江西省区利润表'!G229</f>
        <v>0</v>
      </c>
      <c r="H229" s="49">
        <f>'2025年安徽省区利润表'!H229+'2025年江西省区利润表'!H229</f>
        <v>0</v>
      </c>
      <c r="I229" s="49">
        <f>'2025年安徽省区利润表'!I229+'2025年江西省区利润表'!I229</f>
        <v>0</v>
      </c>
      <c r="J229" s="49">
        <f>'2025年安徽省区利润表'!J229+'2025年江西省区利润表'!J229</f>
        <v>0</v>
      </c>
      <c r="K229" s="49">
        <f>'2025年安徽省区利润表'!K229+'2025年江西省区利润表'!K229</f>
        <v>0</v>
      </c>
      <c r="L229" s="49">
        <f>'2025年安徽省区利润表'!L229+'2025年江西省区利润表'!L229</f>
        <v>0</v>
      </c>
      <c r="M229" s="49">
        <f>'2025年安徽省区利润表'!M229+'2025年江西省区利润表'!M229</f>
        <v>0</v>
      </c>
      <c r="N229" s="49">
        <f>'2025年安徽省区利润表'!N229+'2025年江西省区利润表'!N229</f>
        <v>0</v>
      </c>
      <c r="O229" s="49">
        <f>'2025年安徽省区利润表'!O229+'2025年江西省区利润表'!O229</f>
        <v>0</v>
      </c>
      <c r="P229" s="49">
        <f>'2025年安徽省区利润表'!P229+'2025年江西省区利润表'!P229</f>
        <v>0</v>
      </c>
      <c r="Q229" s="49">
        <f>'2025年安徽省区利润表'!Q229+'2025年江西省区利润表'!Q229</f>
        <v>0</v>
      </c>
      <c r="R229" s="49">
        <f>'2025年安徽省区利润表'!R229+'2025年江西省区利润表'!R229</f>
        <v>0</v>
      </c>
      <c r="S229" s="49">
        <f>'2025年安徽省区利润表'!S229+'2025年江西省区利润表'!S229</f>
        <v>0</v>
      </c>
      <c r="T229" s="49">
        <f>'2025年安徽省区利润表'!T229+'2025年江西省区利润表'!T229</f>
        <v>0</v>
      </c>
      <c r="U229" s="49">
        <f>'2025年安徽省区利润表'!U229+'2025年江西省区利润表'!U229</f>
        <v>0</v>
      </c>
      <c r="V229" s="49">
        <f>'2025年安徽省区利润表'!V229+'2025年江西省区利润表'!V229</f>
        <v>0</v>
      </c>
      <c r="W229" s="49">
        <f>'2025年安徽省区利润表'!W229+'2025年江西省区利润表'!W229</f>
        <v>0</v>
      </c>
      <c r="X229" s="49">
        <f>'2025年安徽省区利润表'!X229+'2025年江西省区利润表'!X229</f>
        <v>0</v>
      </c>
      <c r="Y229" s="49">
        <f>'2025年安徽省区利润表'!Y229+'2025年江西省区利润表'!Y229</f>
        <v>0</v>
      </c>
      <c r="Z229" s="49">
        <f>'2025年安徽省区利润表'!Z229+'2025年江西省区利润表'!Z229</f>
        <v>0</v>
      </c>
      <c r="AA229" s="51">
        <f t="shared" si="38"/>
        <v>0</v>
      </c>
      <c r="AB229" s="51">
        <f t="shared" si="37"/>
        <v>0</v>
      </c>
      <c r="AD229" s="31">
        <f t="shared" si="39"/>
        <v>0</v>
      </c>
      <c r="AE229" s="31">
        <f t="shared" si="40"/>
        <v>0</v>
      </c>
      <c r="AF229" s="17">
        <f t="shared" si="41"/>
        <v>0</v>
      </c>
      <c r="AG229" s="17">
        <f t="shared" si="42"/>
        <v>0</v>
      </c>
    </row>
    <row r="230" spans="1:33" s="19" customFormat="1" ht="18" customHeight="1" outlineLevel="1" x14ac:dyDescent="0.25">
      <c r="A230" s="48" t="s">
        <v>159</v>
      </c>
      <c r="B230" s="53"/>
      <c r="C230" s="49">
        <f>'2025年安徽省区利润表'!C230+'2025年江西省区利润表'!C230</f>
        <v>0</v>
      </c>
      <c r="D230" s="49">
        <f>'2025年安徽省区利润表'!D230+'2025年江西省区利润表'!D230</f>
        <v>0</v>
      </c>
      <c r="E230" s="49">
        <f>'2025年安徽省区利润表'!E230+'2025年江西省区利润表'!E230</f>
        <v>0</v>
      </c>
      <c r="F230" s="49">
        <f>'2025年安徽省区利润表'!F230+'2025年江西省区利润表'!F230</f>
        <v>0</v>
      </c>
      <c r="G230" s="49">
        <f>'2025年安徽省区利润表'!G230+'2025年江西省区利润表'!G230</f>
        <v>0</v>
      </c>
      <c r="H230" s="49">
        <f>'2025年安徽省区利润表'!H230+'2025年江西省区利润表'!H230</f>
        <v>0</v>
      </c>
      <c r="I230" s="49">
        <f>'2025年安徽省区利润表'!I230+'2025年江西省区利润表'!I230</f>
        <v>0</v>
      </c>
      <c r="J230" s="49">
        <f>'2025年安徽省区利润表'!J230+'2025年江西省区利润表'!J230</f>
        <v>0</v>
      </c>
      <c r="K230" s="49">
        <f>'2025年安徽省区利润表'!K230+'2025年江西省区利润表'!K230</f>
        <v>0</v>
      </c>
      <c r="L230" s="49">
        <f>'2025年安徽省区利润表'!L230+'2025年江西省区利润表'!L230</f>
        <v>0</v>
      </c>
      <c r="M230" s="49">
        <f>'2025年安徽省区利润表'!M230+'2025年江西省区利润表'!M230</f>
        <v>0</v>
      </c>
      <c r="N230" s="49">
        <f>'2025年安徽省区利润表'!N230+'2025年江西省区利润表'!N230</f>
        <v>0</v>
      </c>
      <c r="O230" s="49">
        <f>'2025年安徽省区利润表'!O230+'2025年江西省区利润表'!O230</f>
        <v>0</v>
      </c>
      <c r="P230" s="49">
        <f>'2025年安徽省区利润表'!P230+'2025年江西省区利润表'!P230</f>
        <v>0</v>
      </c>
      <c r="Q230" s="49">
        <f>'2025年安徽省区利润表'!Q230+'2025年江西省区利润表'!Q230</f>
        <v>0</v>
      </c>
      <c r="R230" s="49">
        <f>'2025年安徽省区利润表'!R230+'2025年江西省区利润表'!R230</f>
        <v>0</v>
      </c>
      <c r="S230" s="49">
        <f>'2025年安徽省区利润表'!S230+'2025年江西省区利润表'!S230</f>
        <v>0</v>
      </c>
      <c r="T230" s="49">
        <f>'2025年安徽省区利润表'!T230+'2025年江西省区利润表'!T230</f>
        <v>0</v>
      </c>
      <c r="U230" s="49">
        <f>'2025年安徽省区利润表'!U230+'2025年江西省区利润表'!U230</f>
        <v>0</v>
      </c>
      <c r="V230" s="49">
        <f>'2025年安徽省区利润表'!V230+'2025年江西省区利润表'!V230</f>
        <v>0</v>
      </c>
      <c r="W230" s="49">
        <f>'2025年安徽省区利润表'!W230+'2025年江西省区利润表'!W230</f>
        <v>0</v>
      </c>
      <c r="X230" s="49">
        <f>'2025年安徽省区利润表'!X230+'2025年江西省区利润表'!X230</f>
        <v>0</v>
      </c>
      <c r="Y230" s="49">
        <f>'2025年安徽省区利润表'!Y230+'2025年江西省区利润表'!Y230</f>
        <v>0</v>
      </c>
      <c r="Z230" s="49">
        <f>'2025年安徽省区利润表'!Z230+'2025年江西省区利润表'!Z230</f>
        <v>0</v>
      </c>
      <c r="AA230" s="51">
        <f t="shared" si="38"/>
        <v>0</v>
      </c>
      <c r="AB230" s="51">
        <f t="shared" si="37"/>
        <v>0</v>
      </c>
      <c r="AD230" s="31">
        <f t="shared" si="39"/>
        <v>0</v>
      </c>
      <c r="AE230" s="31">
        <f t="shared" si="40"/>
        <v>0</v>
      </c>
      <c r="AF230" s="17">
        <f t="shared" si="41"/>
        <v>0</v>
      </c>
      <c r="AG230" s="17">
        <f t="shared" si="42"/>
        <v>0</v>
      </c>
    </row>
    <row r="231" spans="1:33" s="19" customFormat="1" ht="18" customHeight="1" outlineLevel="1" x14ac:dyDescent="0.25">
      <c r="A231" s="48" t="s">
        <v>160</v>
      </c>
      <c r="B231" s="53"/>
      <c r="C231" s="49">
        <f>'2025年安徽省区利润表'!C231+'2025年江西省区利润表'!C231</f>
        <v>0</v>
      </c>
      <c r="D231" s="49">
        <f>'2025年安徽省区利润表'!D231+'2025年江西省区利润表'!D231</f>
        <v>0</v>
      </c>
      <c r="E231" s="49">
        <f>'2025年安徽省区利润表'!E231+'2025年江西省区利润表'!E231</f>
        <v>0</v>
      </c>
      <c r="F231" s="49">
        <f>'2025年安徽省区利润表'!F231+'2025年江西省区利润表'!F231</f>
        <v>0</v>
      </c>
      <c r="G231" s="49">
        <f>'2025年安徽省区利润表'!G231+'2025年江西省区利润表'!G231</f>
        <v>0</v>
      </c>
      <c r="H231" s="49">
        <f>'2025年安徽省区利润表'!H231+'2025年江西省区利润表'!H231</f>
        <v>0</v>
      </c>
      <c r="I231" s="49">
        <f>'2025年安徽省区利润表'!I231+'2025年江西省区利润表'!I231</f>
        <v>0</v>
      </c>
      <c r="J231" s="49">
        <f>'2025年安徽省区利润表'!J231+'2025年江西省区利润表'!J231</f>
        <v>0</v>
      </c>
      <c r="K231" s="49">
        <f>'2025年安徽省区利润表'!K231+'2025年江西省区利润表'!K231</f>
        <v>0</v>
      </c>
      <c r="L231" s="49">
        <f>'2025年安徽省区利润表'!L231+'2025年江西省区利润表'!L231</f>
        <v>0</v>
      </c>
      <c r="M231" s="49">
        <f>'2025年安徽省区利润表'!M231+'2025年江西省区利润表'!M231</f>
        <v>0</v>
      </c>
      <c r="N231" s="49">
        <f>'2025年安徽省区利润表'!N231+'2025年江西省区利润表'!N231</f>
        <v>0</v>
      </c>
      <c r="O231" s="49">
        <f>'2025年安徽省区利润表'!O231+'2025年江西省区利润表'!O231</f>
        <v>0</v>
      </c>
      <c r="P231" s="49">
        <f>'2025年安徽省区利润表'!P231+'2025年江西省区利润表'!P231</f>
        <v>0</v>
      </c>
      <c r="Q231" s="49">
        <f>'2025年安徽省区利润表'!Q231+'2025年江西省区利润表'!Q231</f>
        <v>0</v>
      </c>
      <c r="R231" s="49">
        <f>'2025年安徽省区利润表'!R231+'2025年江西省区利润表'!R231</f>
        <v>0</v>
      </c>
      <c r="S231" s="49">
        <f>'2025年安徽省区利润表'!S231+'2025年江西省区利润表'!S231</f>
        <v>0</v>
      </c>
      <c r="T231" s="49">
        <f>'2025年安徽省区利润表'!T231+'2025年江西省区利润表'!T231</f>
        <v>0</v>
      </c>
      <c r="U231" s="49">
        <f>'2025年安徽省区利润表'!U231+'2025年江西省区利润表'!U231</f>
        <v>0</v>
      </c>
      <c r="V231" s="49">
        <f>'2025年安徽省区利润表'!V231+'2025年江西省区利润表'!V231</f>
        <v>0</v>
      </c>
      <c r="W231" s="49">
        <f>'2025年安徽省区利润表'!W231+'2025年江西省区利润表'!W231</f>
        <v>0</v>
      </c>
      <c r="X231" s="49">
        <f>'2025年安徽省区利润表'!X231+'2025年江西省区利润表'!X231</f>
        <v>0</v>
      </c>
      <c r="Y231" s="49">
        <f>'2025年安徽省区利润表'!Y231+'2025年江西省区利润表'!Y231</f>
        <v>0</v>
      </c>
      <c r="Z231" s="49">
        <f>'2025年安徽省区利润表'!Z231+'2025年江西省区利润表'!Z231</f>
        <v>0</v>
      </c>
      <c r="AA231" s="51">
        <f t="shared" si="38"/>
        <v>0</v>
      </c>
      <c r="AB231" s="51">
        <f t="shared" si="37"/>
        <v>0</v>
      </c>
      <c r="AD231" s="31">
        <f t="shared" si="39"/>
        <v>0</v>
      </c>
      <c r="AE231" s="31">
        <f t="shared" si="40"/>
        <v>0</v>
      </c>
      <c r="AF231" s="17">
        <f t="shared" si="41"/>
        <v>0</v>
      </c>
      <c r="AG231" s="17">
        <f t="shared" si="42"/>
        <v>0</v>
      </c>
    </row>
    <row r="232" spans="1:33" s="19" customFormat="1" ht="18" customHeight="1" outlineLevel="1" x14ac:dyDescent="0.25">
      <c r="A232" s="48" t="s">
        <v>161</v>
      </c>
      <c r="B232" s="53"/>
      <c r="C232" s="49">
        <f>'2025年安徽省区利润表'!C232+'2025年江西省区利润表'!C232</f>
        <v>0</v>
      </c>
      <c r="D232" s="49">
        <f>'2025年安徽省区利润表'!D232+'2025年江西省区利润表'!D232</f>
        <v>0</v>
      </c>
      <c r="E232" s="49">
        <f>'2025年安徽省区利润表'!E232+'2025年江西省区利润表'!E232</f>
        <v>0</v>
      </c>
      <c r="F232" s="49">
        <f>'2025年安徽省区利润表'!F232+'2025年江西省区利润表'!F232</f>
        <v>0</v>
      </c>
      <c r="G232" s="49">
        <f>'2025年安徽省区利润表'!G232+'2025年江西省区利润表'!G232</f>
        <v>0</v>
      </c>
      <c r="H232" s="49">
        <f>'2025年安徽省区利润表'!H232+'2025年江西省区利润表'!H232</f>
        <v>0</v>
      </c>
      <c r="I232" s="49">
        <f>'2025年安徽省区利润表'!I232+'2025年江西省区利润表'!I232</f>
        <v>0</v>
      </c>
      <c r="J232" s="49">
        <f>'2025年安徽省区利润表'!J232+'2025年江西省区利润表'!J232</f>
        <v>0</v>
      </c>
      <c r="K232" s="49">
        <f>'2025年安徽省区利润表'!K232+'2025年江西省区利润表'!K232</f>
        <v>0</v>
      </c>
      <c r="L232" s="49">
        <f>'2025年安徽省区利润表'!L232+'2025年江西省区利润表'!L232</f>
        <v>0</v>
      </c>
      <c r="M232" s="49">
        <f>'2025年安徽省区利润表'!M232+'2025年江西省区利润表'!M232</f>
        <v>0</v>
      </c>
      <c r="N232" s="49">
        <f>'2025年安徽省区利润表'!N232+'2025年江西省区利润表'!N232</f>
        <v>0</v>
      </c>
      <c r="O232" s="49">
        <f>'2025年安徽省区利润表'!O232+'2025年江西省区利润表'!O232</f>
        <v>0</v>
      </c>
      <c r="P232" s="49">
        <f>'2025年安徽省区利润表'!P232+'2025年江西省区利润表'!P232</f>
        <v>0</v>
      </c>
      <c r="Q232" s="49">
        <f>'2025年安徽省区利润表'!Q232+'2025年江西省区利润表'!Q232</f>
        <v>0</v>
      </c>
      <c r="R232" s="49">
        <f>'2025年安徽省区利润表'!R232+'2025年江西省区利润表'!R232</f>
        <v>0</v>
      </c>
      <c r="S232" s="49">
        <f>'2025年安徽省区利润表'!S232+'2025年江西省区利润表'!S232</f>
        <v>0</v>
      </c>
      <c r="T232" s="49">
        <f>'2025年安徽省区利润表'!T232+'2025年江西省区利润表'!T232</f>
        <v>0</v>
      </c>
      <c r="U232" s="49">
        <f>'2025年安徽省区利润表'!U232+'2025年江西省区利润表'!U232</f>
        <v>0</v>
      </c>
      <c r="V232" s="49">
        <f>'2025年安徽省区利润表'!V232+'2025年江西省区利润表'!V232</f>
        <v>0</v>
      </c>
      <c r="W232" s="49">
        <f>'2025年安徽省区利润表'!W232+'2025年江西省区利润表'!W232</f>
        <v>0</v>
      </c>
      <c r="X232" s="49">
        <f>'2025年安徽省区利润表'!X232+'2025年江西省区利润表'!X232</f>
        <v>0</v>
      </c>
      <c r="Y232" s="49">
        <f>'2025年安徽省区利润表'!Y232+'2025年江西省区利润表'!Y232</f>
        <v>0</v>
      </c>
      <c r="Z232" s="49">
        <f>'2025年安徽省区利润表'!Z232+'2025年江西省区利润表'!Z232</f>
        <v>0</v>
      </c>
      <c r="AA232" s="51">
        <f t="shared" si="38"/>
        <v>0</v>
      </c>
      <c r="AB232" s="51">
        <f t="shared" si="37"/>
        <v>0</v>
      </c>
      <c r="AD232" s="31">
        <f t="shared" si="39"/>
        <v>0</v>
      </c>
      <c r="AE232" s="31">
        <f t="shared" si="40"/>
        <v>0</v>
      </c>
      <c r="AF232" s="17">
        <f t="shared" si="41"/>
        <v>0</v>
      </c>
      <c r="AG232" s="17">
        <f t="shared" si="42"/>
        <v>0</v>
      </c>
    </row>
    <row r="233" spans="1:33" s="19" customFormat="1" ht="18" customHeight="1" outlineLevel="1" x14ac:dyDescent="0.25">
      <c r="A233" s="48" t="s">
        <v>162</v>
      </c>
      <c r="B233" s="53"/>
      <c r="C233" s="49">
        <f>'2025年安徽省区利润表'!C233+'2025年江西省区利润表'!C233</f>
        <v>0</v>
      </c>
      <c r="D233" s="49">
        <f>'2025年安徽省区利润表'!D233+'2025年江西省区利润表'!D233</f>
        <v>0</v>
      </c>
      <c r="E233" s="49">
        <f>'2025年安徽省区利润表'!E233+'2025年江西省区利润表'!E233</f>
        <v>0</v>
      </c>
      <c r="F233" s="49">
        <f>'2025年安徽省区利润表'!F233+'2025年江西省区利润表'!F233</f>
        <v>0</v>
      </c>
      <c r="G233" s="49">
        <f>'2025年安徽省区利润表'!G233+'2025年江西省区利润表'!G233</f>
        <v>0</v>
      </c>
      <c r="H233" s="49">
        <f>'2025年安徽省区利润表'!H233+'2025年江西省区利润表'!H233</f>
        <v>0</v>
      </c>
      <c r="I233" s="49">
        <f>'2025年安徽省区利润表'!I233+'2025年江西省区利润表'!I233</f>
        <v>0</v>
      </c>
      <c r="J233" s="49">
        <f>'2025年安徽省区利润表'!J233+'2025年江西省区利润表'!J233</f>
        <v>0</v>
      </c>
      <c r="K233" s="49">
        <f>'2025年安徽省区利润表'!K233+'2025年江西省区利润表'!K233</f>
        <v>0</v>
      </c>
      <c r="L233" s="49">
        <f>'2025年安徽省区利润表'!L233+'2025年江西省区利润表'!L233</f>
        <v>0</v>
      </c>
      <c r="M233" s="49">
        <f>'2025年安徽省区利润表'!M233+'2025年江西省区利润表'!M233</f>
        <v>0</v>
      </c>
      <c r="N233" s="49">
        <f>'2025年安徽省区利润表'!N233+'2025年江西省区利润表'!N233</f>
        <v>0</v>
      </c>
      <c r="O233" s="49">
        <f>'2025年安徽省区利润表'!O233+'2025年江西省区利润表'!O233</f>
        <v>0</v>
      </c>
      <c r="P233" s="49">
        <f>'2025年安徽省区利润表'!P233+'2025年江西省区利润表'!P233</f>
        <v>0</v>
      </c>
      <c r="Q233" s="49">
        <f>'2025年安徽省区利润表'!Q233+'2025年江西省区利润表'!Q233</f>
        <v>0</v>
      </c>
      <c r="R233" s="49">
        <f>'2025年安徽省区利润表'!R233+'2025年江西省区利润表'!R233</f>
        <v>0</v>
      </c>
      <c r="S233" s="49">
        <f>'2025年安徽省区利润表'!S233+'2025年江西省区利润表'!S233</f>
        <v>0</v>
      </c>
      <c r="T233" s="49">
        <f>'2025年安徽省区利润表'!T233+'2025年江西省区利润表'!T233</f>
        <v>0</v>
      </c>
      <c r="U233" s="49">
        <f>'2025年安徽省区利润表'!U233+'2025年江西省区利润表'!U233</f>
        <v>0</v>
      </c>
      <c r="V233" s="49">
        <f>'2025年安徽省区利润表'!V233+'2025年江西省区利润表'!V233</f>
        <v>0</v>
      </c>
      <c r="W233" s="49">
        <f>'2025年安徽省区利润表'!W233+'2025年江西省区利润表'!W233</f>
        <v>0</v>
      </c>
      <c r="X233" s="49">
        <f>'2025年安徽省区利润表'!X233+'2025年江西省区利润表'!X233</f>
        <v>0</v>
      </c>
      <c r="Y233" s="49">
        <f>'2025年安徽省区利润表'!Y233+'2025年江西省区利润表'!Y233</f>
        <v>0</v>
      </c>
      <c r="Z233" s="49">
        <f>'2025年安徽省区利润表'!Z233+'2025年江西省区利润表'!Z233</f>
        <v>0</v>
      </c>
      <c r="AA233" s="51">
        <f t="shared" si="38"/>
        <v>0</v>
      </c>
      <c r="AB233" s="51">
        <f t="shared" si="37"/>
        <v>0</v>
      </c>
      <c r="AD233" s="31">
        <f t="shared" si="39"/>
        <v>0</v>
      </c>
      <c r="AE233" s="31">
        <f t="shared" si="40"/>
        <v>0</v>
      </c>
      <c r="AF233" s="17">
        <f t="shared" si="41"/>
        <v>0</v>
      </c>
      <c r="AG233" s="17">
        <f t="shared" si="42"/>
        <v>0</v>
      </c>
    </row>
    <row r="234" spans="1:33" s="19" customFormat="1" ht="18" customHeight="1" outlineLevel="1" x14ac:dyDescent="0.25">
      <c r="A234" s="48" t="s">
        <v>163</v>
      </c>
      <c r="B234" s="53"/>
      <c r="C234" s="49">
        <f>'2025年安徽省区利润表'!C234+'2025年江西省区利润表'!C234</f>
        <v>0</v>
      </c>
      <c r="D234" s="49">
        <f>'2025年安徽省区利润表'!D234+'2025年江西省区利润表'!D234</f>
        <v>0</v>
      </c>
      <c r="E234" s="49">
        <f>'2025年安徽省区利润表'!E234+'2025年江西省区利润表'!E234</f>
        <v>0</v>
      </c>
      <c r="F234" s="49">
        <f>'2025年安徽省区利润表'!F234+'2025年江西省区利润表'!F234</f>
        <v>0</v>
      </c>
      <c r="G234" s="49">
        <f>'2025年安徽省区利润表'!G234+'2025年江西省区利润表'!G234</f>
        <v>0</v>
      </c>
      <c r="H234" s="49">
        <f>'2025年安徽省区利润表'!H234+'2025年江西省区利润表'!H234</f>
        <v>0</v>
      </c>
      <c r="I234" s="49">
        <f>'2025年安徽省区利润表'!I234+'2025年江西省区利润表'!I234</f>
        <v>0</v>
      </c>
      <c r="J234" s="49">
        <f>'2025年安徽省区利润表'!J234+'2025年江西省区利润表'!J234</f>
        <v>0</v>
      </c>
      <c r="K234" s="49">
        <f>'2025年安徽省区利润表'!K234+'2025年江西省区利润表'!K234</f>
        <v>0</v>
      </c>
      <c r="L234" s="49">
        <f>'2025年安徽省区利润表'!L234+'2025年江西省区利润表'!L234</f>
        <v>0</v>
      </c>
      <c r="M234" s="49">
        <f>'2025年安徽省区利润表'!M234+'2025年江西省区利润表'!M234</f>
        <v>0</v>
      </c>
      <c r="N234" s="49">
        <f>'2025年安徽省区利润表'!N234+'2025年江西省区利润表'!N234</f>
        <v>0</v>
      </c>
      <c r="O234" s="49">
        <f>'2025年安徽省区利润表'!O234+'2025年江西省区利润表'!O234</f>
        <v>0</v>
      </c>
      <c r="P234" s="49">
        <f>'2025年安徽省区利润表'!P234+'2025年江西省区利润表'!P234</f>
        <v>0</v>
      </c>
      <c r="Q234" s="49">
        <f>'2025年安徽省区利润表'!Q234+'2025年江西省区利润表'!Q234</f>
        <v>0</v>
      </c>
      <c r="R234" s="49">
        <f>'2025年安徽省区利润表'!R234+'2025年江西省区利润表'!R234</f>
        <v>0</v>
      </c>
      <c r="S234" s="49">
        <f>'2025年安徽省区利润表'!S234+'2025年江西省区利润表'!S234</f>
        <v>0</v>
      </c>
      <c r="T234" s="49">
        <f>'2025年安徽省区利润表'!T234+'2025年江西省区利润表'!T234</f>
        <v>0</v>
      </c>
      <c r="U234" s="49">
        <f>'2025年安徽省区利润表'!U234+'2025年江西省区利润表'!U234</f>
        <v>0</v>
      </c>
      <c r="V234" s="49">
        <f>'2025年安徽省区利润表'!V234+'2025年江西省区利润表'!V234</f>
        <v>0</v>
      </c>
      <c r="W234" s="49">
        <f>'2025年安徽省区利润表'!W234+'2025年江西省区利润表'!W234</f>
        <v>0</v>
      </c>
      <c r="X234" s="49">
        <f>'2025年安徽省区利润表'!X234+'2025年江西省区利润表'!X234</f>
        <v>0</v>
      </c>
      <c r="Y234" s="49">
        <f>'2025年安徽省区利润表'!Y234+'2025年江西省区利润表'!Y234</f>
        <v>0</v>
      </c>
      <c r="Z234" s="49">
        <f>'2025年安徽省区利润表'!Z234+'2025年江西省区利润表'!Z234</f>
        <v>0</v>
      </c>
      <c r="AA234" s="51">
        <f t="shared" si="38"/>
        <v>0</v>
      </c>
      <c r="AB234" s="51">
        <f t="shared" si="37"/>
        <v>0</v>
      </c>
      <c r="AD234" s="31">
        <f t="shared" si="39"/>
        <v>0</v>
      </c>
      <c r="AE234" s="31">
        <f t="shared" si="40"/>
        <v>0</v>
      </c>
      <c r="AF234" s="17">
        <f t="shared" si="41"/>
        <v>0</v>
      </c>
      <c r="AG234" s="17">
        <f t="shared" si="42"/>
        <v>0</v>
      </c>
    </row>
    <row r="235" spans="1:33" s="19" customFormat="1" ht="18" customHeight="1" outlineLevel="1" x14ac:dyDescent="0.25">
      <c r="A235" s="48" t="s">
        <v>164</v>
      </c>
      <c r="B235" s="53"/>
      <c r="C235" s="49">
        <f>'2025年安徽省区利润表'!C235+'2025年江西省区利润表'!C235</f>
        <v>0</v>
      </c>
      <c r="D235" s="49">
        <f>'2025年安徽省区利润表'!D235+'2025年江西省区利润表'!D235</f>
        <v>0</v>
      </c>
      <c r="E235" s="49">
        <f>'2025年安徽省区利润表'!E235+'2025年江西省区利润表'!E235</f>
        <v>0</v>
      </c>
      <c r="F235" s="49">
        <f>'2025年安徽省区利润表'!F235+'2025年江西省区利润表'!F235</f>
        <v>0</v>
      </c>
      <c r="G235" s="49">
        <f>'2025年安徽省区利润表'!G235+'2025年江西省区利润表'!G235</f>
        <v>0</v>
      </c>
      <c r="H235" s="49">
        <f>'2025年安徽省区利润表'!H235+'2025年江西省区利润表'!H235</f>
        <v>0</v>
      </c>
      <c r="I235" s="49">
        <f>'2025年安徽省区利润表'!I235+'2025年江西省区利润表'!I235</f>
        <v>0</v>
      </c>
      <c r="J235" s="49">
        <f>'2025年安徽省区利润表'!J235+'2025年江西省区利润表'!J235</f>
        <v>0</v>
      </c>
      <c r="K235" s="49">
        <f>'2025年安徽省区利润表'!K235+'2025年江西省区利润表'!K235</f>
        <v>0</v>
      </c>
      <c r="L235" s="49">
        <f>'2025年安徽省区利润表'!L235+'2025年江西省区利润表'!L235</f>
        <v>0</v>
      </c>
      <c r="M235" s="49">
        <f>'2025年安徽省区利润表'!M235+'2025年江西省区利润表'!M235</f>
        <v>0</v>
      </c>
      <c r="N235" s="49">
        <f>'2025年安徽省区利润表'!N235+'2025年江西省区利润表'!N235</f>
        <v>0</v>
      </c>
      <c r="O235" s="49">
        <f>'2025年安徽省区利润表'!O235+'2025年江西省区利润表'!O235</f>
        <v>0</v>
      </c>
      <c r="P235" s="49">
        <f>'2025年安徽省区利润表'!P235+'2025年江西省区利润表'!P235</f>
        <v>0</v>
      </c>
      <c r="Q235" s="49">
        <f>'2025年安徽省区利润表'!Q235+'2025年江西省区利润表'!Q235</f>
        <v>0</v>
      </c>
      <c r="R235" s="49">
        <f>'2025年安徽省区利润表'!R235+'2025年江西省区利润表'!R235</f>
        <v>0</v>
      </c>
      <c r="S235" s="49">
        <f>'2025年安徽省区利润表'!S235+'2025年江西省区利润表'!S235</f>
        <v>0</v>
      </c>
      <c r="T235" s="49">
        <f>'2025年安徽省区利润表'!T235+'2025年江西省区利润表'!T235</f>
        <v>0</v>
      </c>
      <c r="U235" s="49">
        <f>'2025年安徽省区利润表'!U235+'2025年江西省区利润表'!U235</f>
        <v>0</v>
      </c>
      <c r="V235" s="49">
        <f>'2025年安徽省区利润表'!V235+'2025年江西省区利润表'!V235</f>
        <v>0</v>
      </c>
      <c r="W235" s="49">
        <f>'2025年安徽省区利润表'!W235+'2025年江西省区利润表'!W235</f>
        <v>0</v>
      </c>
      <c r="X235" s="49">
        <f>'2025年安徽省区利润表'!X235+'2025年江西省区利润表'!X235</f>
        <v>0</v>
      </c>
      <c r="Y235" s="49">
        <f>'2025年安徽省区利润表'!Y235+'2025年江西省区利润表'!Y235</f>
        <v>0</v>
      </c>
      <c r="Z235" s="49">
        <f>'2025年安徽省区利润表'!Z235+'2025年江西省区利润表'!Z235</f>
        <v>0</v>
      </c>
      <c r="AA235" s="51">
        <f t="shared" si="38"/>
        <v>0</v>
      </c>
      <c r="AB235" s="51">
        <f t="shared" si="37"/>
        <v>0</v>
      </c>
      <c r="AD235" s="31">
        <f t="shared" si="39"/>
        <v>0</v>
      </c>
      <c r="AE235" s="31">
        <f t="shared" si="40"/>
        <v>0</v>
      </c>
      <c r="AF235" s="17">
        <f t="shared" si="41"/>
        <v>0</v>
      </c>
      <c r="AG235" s="17">
        <f t="shared" si="42"/>
        <v>0</v>
      </c>
    </row>
    <row r="236" spans="1:33" s="19" customFormat="1" ht="18" customHeight="1" outlineLevel="1" x14ac:dyDescent="0.25">
      <c r="A236" s="48" t="s">
        <v>165</v>
      </c>
      <c r="B236" s="53"/>
      <c r="C236" s="49">
        <f>'2025年安徽省区利润表'!C236+'2025年江西省区利润表'!C236</f>
        <v>0</v>
      </c>
      <c r="D236" s="49">
        <f>'2025年安徽省区利润表'!D236+'2025年江西省区利润表'!D236</f>
        <v>0</v>
      </c>
      <c r="E236" s="49">
        <f>'2025年安徽省区利润表'!E236+'2025年江西省区利润表'!E236</f>
        <v>0</v>
      </c>
      <c r="F236" s="49">
        <f>'2025年安徽省区利润表'!F236+'2025年江西省区利润表'!F236</f>
        <v>0</v>
      </c>
      <c r="G236" s="49">
        <f>'2025年安徽省区利润表'!G236+'2025年江西省区利润表'!G236</f>
        <v>0</v>
      </c>
      <c r="H236" s="49">
        <f>'2025年安徽省区利润表'!H236+'2025年江西省区利润表'!H236</f>
        <v>0</v>
      </c>
      <c r="I236" s="49">
        <f>'2025年安徽省区利润表'!I236+'2025年江西省区利润表'!I236</f>
        <v>0</v>
      </c>
      <c r="J236" s="49">
        <f>'2025年安徽省区利润表'!J236+'2025年江西省区利润表'!J236</f>
        <v>0</v>
      </c>
      <c r="K236" s="49">
        <f>'2025年安徽省区利润表'!K236+'2025年江西省区利润表'!K236</f>
        <v>0</v>
      </c>
      <c r="L236" s="49">
        <f>'2025年安徽省区利润表'!L236+'2025年江西省区利润表'!L236</f>
        <v>0</v>
      </c>
      <c r="M236" s="49">
        <f>'2025年安徽省区利润表'!M236+'2025年江西省区利润表'!M236</f>
        <v>0</v>
      </c>
      <c r="N236" s="49">
        <f>'2025年安徽省区利润表'!N236+'2025年江西省区利润表'!N236</f>
        <v>0</v>
      </c>
      <c r="O236" s="49">
        <f>'2025年安徽省区利润表'!O236+'2025年江西省区利润表'!O236</f>
        <v>0</v>
      </c>
      <c r="P236" s="49">
        <f>'2025年安徽省区利润表'!P236+'2025年江西省区利润表'!P236</f>
        <v>0</v>
      </c>
      <c r="Q236" s="49">
        <f>'2025年安徽省区利润表'!Q236+'2025年江西省区利润表'!Q236</f>
        <v>0</v>
      </c>
      <c r="R236" s="49">
        <f>'2025年安徽省区利润表'!R236+'2025年江西省区利润表'!R236</f>
        <v>0</v>
      </c>
      <c r="S236" s="49">
        <f>'2025年安徽省区利润表'!S236+'2025年江西省区利润表'!S236</f>
        <v>0</v>
      </c>
      <c r="T236" s="49">
        <f>'2025年安徽省区利润表'!T236+'2025年江西省区利润表'!T236</f>
        <v>0</v>
      </c>
      <c r="U236" s="49">
        <f>'2025年安徽省区利润表'!U236+'2025年江西省区利润表'!U236</f>
        <v>0</v>
      </c>
      <c r="V236" s="49">
        <f>'2025年安徽省区利润表'!V236+'2025年江西省区利润表'!V236</f>
        <v>0</v>
      </c>
      <c r="W236" s="49">
        <f>'2025年安徽省区利润表'!W236+'2025年江西省区利润表'!W236</f>
        <v>0</v>
      </c>
      <c r="X236" s="49">
        <f>'2025年安徽省区利润表'!X236+'2025年江西省区利润表'!X236</f>
        <v>0</v>
      </c>
      <c r="Y236" s="49">
        <f>'2025年安徽省区利润表'!Y236+'2025年江西省区利润表'!Y236</f>
        <v>0</v>
      </c>
      <c r="Z236" s="49">
        <f>'2025年安徽省区利润表'!Z236+'2025年江西省区利润表'!Z236</f>
        <v>0</v>
      </c>
      <c r="AA236" s="51">
        <f t="shared" si="38"/>
        <v>0</v>
      </c>
      <c r="AB236" s="51">
        <f t="shared" si="37"/>
        <v>0</v>
      </c>
      <c r="AD236" s="31">
        <f t="shared" si="39"/>
        <v>0</v>
      </c>
      <c r="AE236" s="31">
        <f t="shared" si="40"/>
        <v>0</v>
      </c>
      <c r="AF236" s="17">
        <f t="shared" si="41"/>
        <v>0</v>
      </c>
      <c r="AG236" s="17">
        <f t="shared" si="42"/>
        <v>0</v>
      </c>
    </row>
    <row r="237" spans="1:33" s="19" customFormat="1" ht="18" customHeight="1" outlineLevel="1" x14ac:dyDescent="0.25">
      <c r="A237" s="48" t="s">
        <v>166</v>
      </c>
      <c r="B237" s="53"/>
      <c r="C237" s="49">
        <f>'2025年安徽省区利润表'!C237+'2025年江西省区利润表'!C237</f>
        <v>0</v>
      </c>
      <c r="D237" s="49">
        <f>'2025年安徽省区利润表'!D237+'2025年江西省区利润表'!D237</f>
        <v>0</v>
      </c>
      <c r="E237" s="49">
        <f>'2025年安徽省区利润表'!E237+'2025年江西省区利润表'!E237</f>
        <v>0</v>
      </c>
      <c r="F237" s="49">
        <f>'2025年安徽省区利润表'!F237+'2025年江西省区利润表'!F237</f>
        <v>0</v>
      </c>
      <c r="G237" s="49">
        <f>'2025年安徽省区利润表'!G237+'2025年江西省区利润表'!G237</f>
        <v>0</v>
      </c>
      <c r="H237" s="49">
        <f>'2025年安徽省区利润表'!H237+'2025年江西省区利润表'!H237</f>
        <v>0</v>
      </c>
      <c r="I237" s="49">
        <f>'2025年安徽省区利润表'!I237+'2025年江西省区利润表'!I237</f>
        <v>0</v>
      </c>
      <c r="J237" s="49">
        <f>'2025年安徽省区利润表'!J237+'2025年江西省区利润表'!J237</f>
        <v>0</v>
      </c>
      <c r="K237" s="49">
        <f>'2025年安徽省区利润表'!K237+'2025年江西省区利润表'!K237</f>
        <v>0</v>
      </c>
      <c r="L237" s="49">
        <f>'2025年安徽省区利润表'!L237+'2025年江西省区利润表'!L237</f>
        <v>0</v>
      </c>
      <c r="M237" s="49">
        <f>'2025年安徽省区利润表'!M237+'2025年江西省区利润表'!M237</f>
        <v>0</v>
      </c>
      <c r="N237" s="49">
        <f>'2025年安徽省区利润表'!N237+'2025年江西省区利润表'!N237</f>
        <v>0</v>
      </c>
      <c r="O237" s="49">
        <f>'2025年安徽省区利润表'!O237+'2025年江西省区利润表'!O237</f>
        <v>0</v>
      </c>
      <c r="P237" s="49">
        <f>'2025年安徽省区利润表'!P237+'2025年江西省区利润表'!P237</f>
        <v>0</v>
      </c>
      <c r="Q237" s="49">
        <f>'2025年安徽省区利润表'!Q237+'2025年江西省区利润表'!Q237</f>
        <v>0</v>
      </c>
      <c r="R237" s="49">
        <f>'2025年安徽省区利润表'!R237+'2025年江西省区利润表'!R237</f>
        <v>0</v>
      </c>
      <c r="S237" s="49">
        <f>'2025年安徽省区利润表'!S237+'2025年江西省区利润表'!S237</f>
        <v>0</v>
      </c>
      <c r="T237" s="49">
        <f>'2025年安徽省区利润表'!T237+'2025年江西省区利润表'!T237</f>
        <v>0</v>
      </c>
      <c r="U237" s="49">
        <f>'2025年安徽省区利润表'!U237+'2025年江西省区利润表'!U237</f>
        <v>0</v>
      </c>
      <c r="V237" s="49">
        <f>'2025年安徽省区利润表'!V237+'2025年江西省区利润表'!V237</f>
        <v>0</v>
      </c>
      <c r="W237" s="49">
        <f>'2025年安徽省区利润表'!W237+'2025年江西省区利润表'!W237</f>
        <v>0</v>
      </c>
      <c r="X237" s="49">
        <f>'2025年安徽省区利润表'!X237+'2025年江西省区利润表'!X237</f>
        <v>0</v>
      </c>
      <c r="Y237" s="49">
        <f>'2025年安徽省区利润表'!Y237+'2025年江西省区利润表'!Y237</f>
        <v>0</v>
      </c>
      <c r="Z237" s="49">
        <f>'2025年安徽省区利润表'!Z237+'2025年江西省区利润表'!Z237</f>
        <v>0</v>
      </c>
      <c r="AA237" s="51">
        <f t="shared" si="38"/>
        <v>0</v>
      </c>
      <c r="AB237" s="51">
        <f t="shared" si="37"/>
        <v>0</v>
      </c>
      <c r="AD237" s="31">
        <f t="shared" si="39"/>
        <v>0</v>
      </c>
      <c r="AE237" s="31">
        <f t="shared" si="40"/>
        <v>0</v>
      </c>
      <c r="AF237" s="17">
        <f t="shared" si="41"/>
        <v>0</v>
      </c>
      <c r="AG237" s="17">
        <f t="shared" si="42"/>
        <v>0</v>
      </c>
    </row>
    <row r="238" spans="1:33" s="19" customFormat="1" ht="18" customHeight="1" outlineLevel="1" x14ac:dyDescent="0.25">
      <c r="A238" s="48" t="s">
        <v>167</v>
      </c>
      <c r="B238" s="53"/>
      <c r="C238" s="49">
        <f>'2025年安徽省区利润表'!C238+'2025年江西省区利润表'!C238</f>
        <v>0</v>
      </c>
      <c r="D238" s="49">
        <f>'2025年安徽省区利润表'!D238+'2025年江西省区利润表'!D238</f>
        <v>0</v>
      </c>
      <c r="E238" s="49">
        <f>'2025年安徽省区利润表'!E238+'2025年江西省区利润表'!E238</f>
        <v>0</v>
      </c>
      <c r="F238" s="49">
        <f>'2025年安徽省区利润表'!F238+'2025年江西省区利润表'!F238</f>
        <v>0</v>
      </c>
      <c r="G238" s="49">
        <f>'2025年安徽省区利润表'!G238+'2025年江西省区利润表'!G238</f>
        <v>0</v>
      </c>
      <c r="H238" s="49">
        <f>'2025年安徽省区利润表'!H238+'2025年江西省区利润表'!H238</f>
        <v>0</v>
      </c>
      <c r="I238" s="49">
        <f>'2025年安徽省区利润表'!I238+'2025年江西省区利润表'!I238</f>
        <v>0</v>
      </c>
      <c r="J238" s="49">
        <f>'2025年安徽省区利润表'!J238+'2025年江西省区利润表'!J238</f>
        <v>0</v>
      </c>
      <c r="K238" s="49">
        <f>'2025年安徽省区利润表'!K238+'2025年江西省区利润表'!K238</f>
        <v>0</v>
      </c>
      <c r="L238" s="49">
        <f>'2025年安徽省区利润表'!L238+'2025年江西省区利润表'!L238</f>
        <v>0</v>
      </c>
      <c r="M238" s="49">
        <f>'2025年安徽省区利润表'!M238+'2025年江西省区利润表'!M238</f>
        <v>0</v>
      </c>
      <c r="N238" s="49">
        <f>'2025年安徽省区利润表'!N238+'2025年江西省区利润表'!N238</f>
        <v>0</v>
      </c>
      <c r="O238" s="49">
        <f>'2025年安徽省区利润表'!O238+'2025年江西省区利润表'!O238</f>
        <v>0</v>
      </c>
      <c r="P238" s="49">
        <f>'2025年安徽省区利润表'!P238+'2025年江西省区利润表'!P238</f>
        <v>0</v>
      </c>
      <c r="Q238" s="49">
        <f>'2025年安徽省区利润表'!Q238+'2025年江西省区利润表'!Q238</f>
        <v>0</v>
      </c>
      <c r="R238" s="49">
        <f>'2025年安徽省区利润表'!R238+'2025年江西省区利润表'!R238</f>
        <v>0</v>
      </c>
      <c r="S238" s="49">
        <f>'2025年安徽省区利润表'!S238+'2025年江西省区利润表'!S238</f>
        <v>0</v>
      </c>
      <c r="T238" s="49">
        <f>'2025年安徽省区利润表'!T238+'2025年江西省区利润表'!T238</f>
        <v>0</v>
      </c>
      <c r="U238" s="49">
        <f>'2025年安徽省区利润表'!U238+'2025年江西省区利润表'!U238</f>
        <v>0</v>
      </c>
      <c r="V238" s="49">
        <f>'2025年安徽省区利润表'!V238+'2025年江西省区利润表'!V238</f>
        <v>0</v>
      </c>
      <c r="W238" s="49">
        <f>'2025年安徽省区利润表'!W238+'2025年江西省区利润表'!W238</f>
        <v>0</v>
      </c>
      <c r="X238" s="49">
        <f>'2025年安徽省区利润表'!X238+'2025年江西省区利润表'!X238</f>
        <v>0</v>
      </c>
      <c r="Y238" s="49">
        <f>'2025年安徽省区利润表'!Y238+'2025年江西省区利润表'!Y238</f>
        <v>0</v>
      </c>
      <c r="Z238" s="49">
        <f>'2025年安徽省区利润表'!Z238+'2025年江西省区利润表'!Z238</f>
        <v>0</v>
      </c>
      <c r="AA238" s="51">
        <f t="shared" si="38"/>
        <v>0</v>
      </c>
      <c r="AB238" s="51">
        <f t="shared" si="37"/>
        <v>0</v>
      </c>
      <c r="AD238" s="31">
        <f t="shared" si="39"/>
        <v>0</v>
      </c>
      <c r="AE238" s="31">
        <f t="shared" si="40"/>
        <v>0</v>
      </c>
      <c r="AF238" s="17">
        <f t="shared" si="41"/>
        <v>0</v>
      </c>
      <c r="AG238" s="17">
        <f t="shared" si="42"/>
        <v>0</v>
      </c>
    </row>
    <row r="239" spans="1:33" s="19" customFormat="1" ht="18" customHeight="1" outlineLevel="1" x14ac:dyDescent="0.25">
      <c r="A239" s="48" t="s">
        <v>168</v>
      </c>
      <c r="B239" s="53"/>
      <c r="C239" s="49">
        <f>'2025年安徽省区利润表'!C239+'2025年江西省区利润表'!C239</f>
        <v>0</v>
      </c>
      <c r="D239" s="49">
        <f>'2025年安徽省区利润表'!D239+'2025年江西省区利润表'!D239</f>
        <v>0</v>
      </c>
      <c r="E239" s="49">
        <f>'2025年安徽省区利润表'!E239+'2025年江西省区利润表'!E239</f>
        <v>0</v>
      </c>
      <c r="F239" s="49">
        <f>'2025年安徽省区利润表'!F239+'2025年江西省区利润表'!F239</f>
        <v>0</v>
      </c>
      <c r="G239" s="49">
        <f>'2025年安徽省区利润表'!G239+'2025年江西省区利润表'!G239</f>
        <v>0</v>
      </c>
      <c r="H239" s="49">
        <f>'2025年安徽省区利润表'!H239+'2025年江西省区利润表'!H239</f>
        <v>0</v>
      </c>
      <c r="I239" s="49">
        <f>'2025年安徽省区利润表'!I239+'2025年江西省区利润表'!I239</f>
        <v>0</v>
      </c>
      <c r="J239" s="49">
        <f>'2025年安徽省区利润表'!J239+'2025年江西省区利润表'!J239</f>
        <v>0</v>
      </c>
      <c r="K239" s="49">
        <f>'2025年安徽省区利润表'!K239+'2025年江西省区利润表'!K239</f>
        <v>0</v>
      </c>
      <c r="L239" s="49">
        <f>'2025年安徽省区利润表'!L239+'2025年江西省区利润表'!L239</f>
        <v>0</v>
      </c>
      <c r="M239" s="49">
        <f>'2025年安徽省区利润表'!M239+'2025年江西省区利润表'!M239</f>
        <v>0</v>
      </c>
      <c r="N239" s="49">
        <f>'2025年安徽省区利润表'!N239+'2025年江西省区利润表'!N239</f>
        <v>0</v>
      </c>
      <c r="O239" s="49">
        <f>'2025年安徽省区利润表'!O239+'2025年江西省区利润表'!O239</f>
        <v>0</v>
      </c>
      <c r="P239" s="49">
        <f>'2025年安徽省区利润表'!P239+'2025年江西省区利润表'!P239</f>
        <v>0</v>
      </c>
      <c r="Q239" s="49">
        <f>'2025年安徽省区利润表'!Q239+'2025年江西省区利润表'!Q239</f>
        <v>0</v>
      </c>
      <c r="R239" s="49">
        <f>'2025年安徽省区利润表'!R239+'2025年江西省区利润表'!R239</f>
        <v>0</v>
      </c>
      <c r="S239" s="49">
        <f>'2025年安徽省区利润表'!S239+'2025年江西省区利润表'!S239</f>
        <v>0</v>
      </c>
      <c r="T239" s="49">
        <f>'2025年安徽省区利润表'!T239+'2025年江西省区利润表'!T239</f>
        <v>0</v>
      </c>
      <c r="U239" s="49">
        <f>'2025年安徽省区利润表'!U239+'2025年江西省区利润表'!U239</f>
        <v>0</v>
      </c>
      <c r="V239" s="49">
        <f>'2025年安徽省区利润表'!V239+'2025年江西省区利润表'!V239</f>
        <v>0</v>
      </c>
      <c r="W239" s="49">
        <f>'2025年安徽省区利润表'!W239+'2025年江西省区利润表'!W239</f>
        <v>0</v>
      </c>
      <c r="X239" s="49">
        <f>'2025年安徽省区利润表'!X239+'2025年江西省区利润表'!X239</f>
        <v>0</v>
      </c>
      <c r="Y239" s="49">
        <f>'2025年安徽省区利润表'!Y239+'2025年江西省区利润表'!Y239</f>
        <v>0</v>
      </c>
      <c r="Z239" s="49">
        <f>'2025年安徽省区利润表'!Z239+'2025年江西省区利润表'!Z239</f>
        <v>0</v>
      </c>
      <c r="AA239" s="51">
        <f t="shared" si="38"/>
        <v>0</v>
      </c>
      <c r="AB239" s="51">
        <f t="shared" si="37"/>
        <v>0</v>
      </c>
      <c r="AD239" s="31">
        <f t="shared" si="39"/>
        <v>0</v>
      </c>
      <c r="AE239" s="31">
        <f t="shared" si="40"/>
        <v>0</v>
      </c>
      <c r="AF239" s="17">
        <f t="shared" si="41"/>
        <v>0</v>
      </c>
      <c r="AG239" s="17">
        <f t="shared" si="42"/>
        <v>0</v>
      </c>
    </row>
    <row r="240" spans="1:33" s="19" customFormat="1" ht="18" customHeight="1" outlineLevel="1" x14ac:dyDescent="0.25">
      <c r="A240" s="48" t="s">
        <v>169</v>
      </c>
      <c r="B240" s="53"/>
      <c r="C240" s="49">
        <f>'2025年安徽省区利润表'!C240+'2025年江西省区利润表'!C240</f>
        <v>0</v>
      </c>
      <c r="D240" s="49">
        <f>'2025年安徽省区利润表'!D240+'2025年江西省区利润表'!D240</f>
        <v>0</v>
      </c>
      <c r="E240" s="49">
        <f>'2025年安徽省区利润表'!E240+'2025年江西省区利润表'!E240</f>
        <v>0</v>
      </c>
      <c r="F240" s="49">
        <f>'2025年安徽省区利润表'!F240+'2025年江西省区利润表'!F240</f>
        <v>0</v>
      </c>
      <c r="G240" s="49">
        <f>'2025年安徽省区利润表'!G240+'2025年江西省区利润表'!G240</f>
        <v>0</v>
      </c>
      <c r="H240" s="49">
        <f>'2025年安徽省区利润表'!H240+'2025年江西省区利润表'!H240</f>
        <v>0</v>
      </c>
      <c r="I240" s="49">
        <f>'2025年安徽省区利润表'!I240+'2025年江西省区利润表'!I240</f>
        <v>0</v>
      </c>
      <c r="J240" s="49">
        <f>'2025年安徽省区利润表'!J240+'2025年江西省区利润表'!J240</f>
        <v>0</v>
      </c>
      <c r="K240" s="49">
        <f>'2025年安徽省区利润表'!K240+'2025年江西省区利润表'!K240</f>
        <v>0</v>
      </c>
      <c r="L240" s="49">
        <f>'2025年安徽省区利润表'!L240+'2025年江西省区利润表'!L240</f>
        <v>0</v>
      </c>
      <c r="M240" s="49">
        <f>'2025年安徽省区利润表'!M240+'2025年江西省区利润表'!M240</f>
        <v>0</v>
      </c>
      <c r="N240" s="49">
        <f>'2025年安徽省区利润表'!N240+'2025年江西省区利润表'!N240</f>
        <v>0</v>
      </c>
      <c r="O240" s="49">
        <f>'2025年安徽省区利润表'!O240+'2025年江西省区利润表'!O240</f>
        <v>0</v>
      </c>
      <c r="P240" s="49">
        <f>'2025年安徽省区利润表'!P240+'2025年江西省区利润表'!P240</f>
        <v>0</v>
      </c>
      <c r="Q240" s="49">
        <f>'2025年安徽省区利润表'!Q240+'2025年江西省区利润表'!Q240</f>
        <v>0</v>
      </c>
      <c r="R240" s="49">
        <f>'2025年安徽省区利润表'!R240+'2025年江西省区利润表'!R240</f>
        <v>0</v>
      </c>
      <c r="S240" s="49">
        <f>'2025年安徽省区利润表'!S240+'2025年江西省区利润表'!S240</f>
        <v>0</v>
      </c>
      <c r="T240" s="49">
        <f>'2025年安徽省区利润表'!T240+'2025年江西省区利润表'!T240</f>
        <v>0</v>
      </c>
      <c r="U240" s="49">
        <f>'2025年安徽省区利润表'!U240+'2025年江西省区利润表'!U240</f>
        <v>0</v>
      </c>
      <c r="V240" s="49">
        <f>'2025年安徽省区利润表'!V240+'2025年江西省区利润表'!V240</f>
        <v>0</v>
      </c>
      <c r="W240" s="49">
        <f>'2025年安徽省区利润表'!W240+'2025年江西省区利润表'!W240</f>
        <v>0</v>
      </c>
      <c r="X240" s="49">
        <f>'2025年安徽省区利润表'!X240+'2025年江西省区利润表'!X240</f>
        <v>0</v>
      </c>
      <c r="Y240" s="49">
        <f>'2025年安徽省区利润表'!Y240+'2025年江西省区利润表'!Y240</f>
        <v>0</v>
      </c>
      <c r="Z240" s="49">
        <f>'2025年安徽省区利润表'!Z240+'2025年江西省区利润表'!Z240</f>
        <v>0</v>
      </c>
      <c r="AA240" s="51">
        <f t="shared" si="38"/>
        <v>0</v>
      </c>
      <c r="AB240" s="51">
        <f t="shared" si="37"/>
        <v>0</v>
      </c>
      <c r="AD240" s="31">
        <f t="shared" si="39"/>
        <v>0</v>
      </c>
      <c r="AE240" s="31">
        <f t="shared" si="40"/>
        <v>0</v>
      </c>
      <c r="AF240" s="17">
        <f t="shared" si="41"/>
        <v>0</v>
      </c>
      <c r="AG240" s="17">
        <f t="shared" si="42"/>
        <v>0</v>
      </c>
    </row>
    <row r="241" spans="1:59" s="19" customFormat="1" ht="18" customHeight="1" outlineLevel="1" x14ac:dyDescent="0.25">
      <c r="A241" s="48" t="s">
        <v>170</v>
      </c>
      <c r="B241" s="53"/>
      <c r="C241" s="49">
        <f>'2025年安徽省区利润表'!C241+'2025年江西省区利润表'!C241</f>
        <v>0</v>
      </c>
      <c r="D241" s="49">
        <f>'2025年安徽省区利润表'!D241+'2025年江西省区利润表'!D241</f>
        <v>0</v>
      </c>
      <c r="E241" s="49">
        <f>'2025年安徽省区利润表'!E241+'2025年江西省区利润表'!E241</f>
        <v>0</v>
      </c>
      <c r="F241" s="49">
        <f>'2025年安徽省区利润表'!F241+'2025年江西省区利润表'!F241</f>
        <v>0</v>
      </c>
      <c r="G241" s="49">
        <f>'2025年安徽省区利润表'!G241+'2025年江西省区利润表'!G241</f>
        <v>0</v>
      </c>
      <c r="H241" s="49">
        <f>'2025年安徽省区利润表'!H241+'2025年江西省区利润表'!H241</f>
        <v>0</v>
      </c>
      <c r="I241" s="49">
        <f>'2025年安徽省区利润表'!I241+'2025年江西省区利润表'!I241</f>
        <v>0</v>
      </c>
      <c r="J241" s="49">
        <f>'2025年安徽省区利润表'!J241+'2025年江西省区利润表'!J241</f>
        <v>0</v>
      </c>
      <c r="K241" s="49">
        <f>'2025年安徽省区利润表'!K241+'2025年江西省区利润表'!K241</f>
        <v>0</v>
      </c>
      <c r="L241" s="49">
        <f>'2025年安徽省区利润表'!L241+'2025年江西省区利润表'!L241</f>
        <v>0</v>
      </c>
      <c r="M241" s="49">
        <f>'2025年安徽省区利润表'!M241+'2025年江西省区利润表'!M241</f>
        <v>0</v>
      </c>
      <c r="N241" s="49">
        <f>'2025年安徽省区利润表'!N241+'2025年江西省区利润表'!N241</f>
        <v>0</v>
      </c>
      <c r="O241" s="49">
        <f>'2025年安徽省区利润表'!O241+'2025年江西省区利润表'!O241</f>
        <v>0</v>
      </c>
      <c r="P241" s="49">
        <f>'2025年安徽省区利润表'!P241+'2025年江西省区利润表'!P241</f>
        <v>0</v>
      </c>
      <c r="Q241" s="49">
        <f>'2025年安徽省区利润表'!Q241+'2025年江西省区利润表'!Q241</f>
        <v>0</v>
      </c>
      <c r="R241" s="49">
        <f>'2025年安徽省区利润表'!R241+'2025年江西省区利润表'!R241</f>
        <v>0</v>
      </c>
      <c r="S241" s="49">
        <f>'2025年安徽省区利润表'!S241+'2025年江西省区利润表'!S241</f>
        <v>0</v>
      </c>
      <c r="T241" s="49">
        <f>'2025年安徽省区利润表'!T241+'2025年江西省区利润表'!T241</f>
        <v>0</v>
      </c>
      <c r="U241" s="49">
        <f>'2025年安徽省区利润表'!U241+'2025年江西省区利润表'!U241</f>
        <v>0</v>
      </c>
      <c r="V241" s="49">
        <f>'2025年安徽省区利润表'!V241+'2025年江西省区利润表'!V241</f>
        <v>0</v>
      </c>
      <c r="W241" s="49">
        <f>'2025年安徽省区利润表'!W241+'2025年江西省区利润表'!W241</f>
        <v>0</v>
      </c>
      <c r="X241" s="49">
        <f>'2025年安徽省区利润表'!X241+'2025年江西省区利润表'!X241</f>
        <v>0</v>
      </c>
      <c r="Y241" s="49">
        <f>'2025年安徽省区利润表'!Y241+'2025年江西省区利润表'!Y241</f>
        <v>0</v>
      </c>
      <c r="Z241" s="49">
        <f>'2025年安徽省区利润表'!Z241+'2025年江西省区利润表'!Z241</f>
        <v>0</v>
      </c>
      <c r="AA241" s="51">
        <f t="shared" si="38"/>
        <v>0</v>
      </c>
      <c r="AB241" s="51">
        <f t="shared" ref="AB241:AB252" si="43">D241+F241+H241+J241+L241+N241+P241+R241+T241+V241+X241+Z241</f>
        <v>0</v>
      </c>
      <c r="AD241" s="31">
        <f t="shared" si="39"/>
        <v>0</v>
      </c>
      <c r="AE241" s="31">
        <f t="shared" si="40"/>
        <v>0</v>
      </c>
      <c r="AF241" s="17">
        <f t="shared" si="41"/>
        <v>0</v>
      </c>
      <c r="AG241" s="17">
        <f t="shared" si="42"/>
        <v>0</v>
      </c>
    </row>
    <row r="242" spans="1:59" s="19" customFormat="1" ht="18" customHeight="1" outlineLevel="1" x14ac:dyDescent="0.25">
      <c r="A242" s="48" t="s">
        <v>171</v>
      </c>
      <c r="B242" s="53"/>
      <c r="C242" s="49">
        <f>'2025年安徽省区利润表'!C242+'2025年江西省区利润表'!C242</f>
        <v>0</v>
      </c>
      <c r="D242" s="49">
        <f>'2025年安徽省区利润表'!D242+'2025年江西省区利润表'!D242</f>
        <v>0</v>
      </c>
      <c r="E242" s="49">
        <f>'2025年安徽省区利润表'!E242+'2025年江西省区利润表'!E242</f>
        <v>0</v>
      </c>
      <c r="F242" s="49">
        <f>'2025年安徽省区利润表'!F242+'2025年江西省区利润表'!F242</f>
        <v>0</v>
      </c>
      <c r="G242" s="49">
        <f>'2025年安徽省区利润表'!G242+'2025年江西省区利润表'!G242</f>
        <v>0</v>
      </c>
      <c r="H242" s="49">
        <f>'2025年安徽省区利润表'!H242+'2025年江西省区利润表'!H242</f>
        <v>0</v>
      </c>
      <c r="I242" s="49">
        <f>'2025年安徽省区利润表'!I242+'2025年江西省区利润表'!I242</f>
        <v>0</v>
      </c>
      <c r="J242" s="49">
        <f>'2025年安徽省区利润表'!J242+'2025年江西省区利润表'!J242</f>
        <v>0</v>
      </c>
      <c r="K242" s="49">
        <f>'2025年安徽省区利润表'!K242+'2025年江西省区利润表'!K242</f>
        <v>0</v>
      </c>
      <c r="L242" s="49">
        <f>'2025年安徽省区利润表'!L242+'2025年江西省区利润表'!L242</f>
        <v>0</v>
      </c>
      <c r="M242" s="49">
        <f>'2025年安徽省区利润表'!M242+'2025年江西省区利润表'!M242</f>
        <v>0</v>
      </c>
      <c r="N242" s="49">
        <f>'2025年安徽省区利润表'!N242+'2025年江西省区利润表'!N242</f>
        <v>0</v>
      </c>
      <c r="O242" s="49">
        <f>'2025年安徽省区利润表'!O242+'2025年江西省区利润表'!O242</f>
        <v>0</v>
      </c>
      <c r="P242" s="49">
        <f>'2025年安徽省区利润表'!P242+'2025年江西省区利润表'!P242</f>
        <v>0</v>
      </c>
      <c r="Q242" s="49">
        <f>'2025年安徽省区利润表'!Q242+'2025年江西省区利润表'!Q242</f>
        <v>0</v>
      </c>
      <c r="R242" s="49">
        <f>'2025年安徽省区利润表'!R242+'2025年江西省区利润表'!R242</f>
        <v>0</v>
      </c>
      <c r="S242" s="49">
        <f>'2025年安徽省区利润表'!S242+'2025年江西省区利润表'!S242</f>
        <v>0</v>
      </c>
      <c r="T242" s="49">
        <f>'2025年安徽省区利润表'!T242+'2025年江西省区利润表'!T242</f>
        <v>0</v>
      </c>
      <c r="U242" s="49">
        <f>'2025年安徽省区利润表'!U242+'2025年江西省区利润表'!U242</f>
        <v>0</v>
      </c>
      <c r="V242" s="49">
        <f>'2025年安徽省区利润表'!V242+'2025年江西省区利润表'!V242</f>
        <v>0</v>
      </c>
      <c r="W242" s="49">
        <f>'2025年安徽省区利润表'!W242+'2025年江西省区利润表'!W242</f>
        <v>0</v>
      </c>
      <c r="X242" s="49">
        <f>'2025年安徽省区利润表'!X242+'2025年江西省区利润表'!X242</f>
        <v>0</v>
      </c>
      <c r="Y242" s="49">
        <f>'2025年安徽省区利润表'!Y242+'2025年江西省区利润表'!Y242</f>
        <v>0</v>
      </c>
      <c r="Z242" s="49">
        <f>'2025年安徽省区利润表'!Z242+'2025年江西省区利润表'!Z242</f>
        <v>0</v>
      </c>
      <c r="AA242" s="51">
        <f t="shared" si="38"/>
        <v>0</v>
      </c>
      <c r="AB242" s="51">
        <f t="shared" si="43"/>
        <v>0</v>
      </c>
      <c r="AD242" s="31">
        <f t="shared" si="39"/>
        <v>0</v>
      </c>
      <c r="AE242" s="31">
        <f t="shared" si="40"/>
        <v>0</v>
      </c>
      <c r="AF242" s="17">
        <f t="shared" si="41"/>
        <v>0</v>
      </c>
      <c r="AG242" s="17">
        <f t="shared" si="42"/>
        <v>0</v>
      </c>
    </row>
    <row r="243" spans="1:59" s="19" customFormat="1" ht="18" customHeight="1" outlineLevel="1" x14ac:dyDescent="0.25">
      <c r="A243" s="48" t="s">
        <v>172</v>
      </c>
      <c r="B243" s="53"/>
      <c r="C243" s="49">
        <f>'2025年安徽省区利润表'!C243+'2025年江西省区利润表'!C243</f>
        <v>0</v>
      </c>
      <c r="D243" s="49">
        <f>'2025年安徽省区利润表'!D243+'2025年江西省区利润表'!D243</f>
        <v>0</v>
      </c>
      <c r="E243" s="49">
        <f>'2025年安徽省区利润表'!E243+'2025年江西省区利润表'!E243</f>
        <v>0</v>
      </c>
      <c r="F243" s="49">
        <f>'2025年安徽省区利润表'!F243+'2025年江西省区利润表'!F243</f>
        <v>0</v>
      </c>
      <c r="G243" s="49">
        <f>'2025年安徽省区利润表'!G243+'2025年江西省区利润表'!G243</f>
        <v>0</v>
      </c>
      <c r="H243" s="49">
        <f>'2025年安徽省区利润表'!H243+'2025年江西省区利润表'!H243</f>
        <v>0</v>
      </c>
      <c r="I243" s="49">
        <f>'2025年安徽省区利润表'!I243+'2025年江西省区利润表'!I243</f>
        <v>0</v>
      </c>
      <c r="J243" s="49">
        <f>'2025年安徽省区利润表'!J243+'2025年江西省区利润表'!J243</f>
        <v>0</v>
      </c>
      <c r="K243" s="49">
        <f>'2025年安徽省区利润表'!K243+'2025年江西省区利润表'!K243</f>
        <v>0</v>
      </c>
      <c r="L243" s="49">
        <f>'2025年安徽省区利润表'!L243+'2025年江西省区利润表'!L243</f>
        <v>0</v>
      </c>
      <c r="M243" s="49">
        <f>'2025年安徽省区利润表'!M243+'2025年江西省区利润表'!M243</f>
        <v>0</v>
      </c>
      <c r="N243" s="49">
        <f>'2025年安徽省区利润表'!N243+'2025年江西省区利润表'!N243</f>
        <v>0</v>
      </c>
      <c r="O243" s="49">
        <f>'2025年安徽省区利润表'!O243+'2025年江西省区利润表'!O243</f>
        <v>0</v>
      </c>
      <c r="P243" s="49">
        <f>'2025年安徽省区利润表'!P243+'2025年江西省区利润表'!P243</f>
        <v>0</v>
      </c>
      <c r="Q243" s="49">
        <f>'2025年安徽省区利润表'!Q243+'2025年江西省区利润表'!Q243</f>
        <v>0</v>
      </c>
      <c r="R243" s="49">
        <f>'2025年安徽省区利润表'!R243+'2025年江西省区利润表'!R243</f>
        <v>0</v>
      </c>
      <c r="S243" s="49">
        <f>'2025年安徽省区利润表'!S243+'2025年江西省区利润表'!S243</f>
        <v>0</v>
      </c>
      <c r="T243" s="49">
        <f>'2025年安徽省区利润表'!T243+'2025年江西省区利润表'!T243</f>
        <v>0</v>
      </c>
      <c r="U243" s="49">
        <f>'2025年安徽省区利润表'!U243+'2025年江西省区利润表'!U243</f>
        <v>0</v>
      </c>
      <c r="V243" s="49">
        <f>'2025年安徽省区利润表'!V243+'2025年江西省区利润表'!V243</f>
        <v>0</v>
      </c>
      <c r="W243" s="49">
        <f>'2025年安徽省区利润表'!W243+'2025年江西省区利润表'!W243</f>
        <v>0</v>
      </c>
      <c r="X243" s="49">
        <f>'2025年安徽省区利润表'!X243+'2025年江西省区利润表'!X243</f>
        <v>0</v>
      </c>
      <c r="Y243" s="49">
        <f>'2025年安徽省区利润表'!Y243+'2025年江西省区利润表'!Y243</f>
        <v>0</v>
      </c>
      <c r="Z243" s="49">
        <f>'2025年安徽省区利润表'!Z243+'2025年江西省区利润表'!Z243</f>
        <v>0</v>
      </c>
      <c r="AA243" s="51">
        <f t="shared" si="38"/>
        <v>0</v>
      </c>
      <c r="AB243" s="51">
        <f t="shared" si="43"/>
        <v>0</v>
      </c>
      <c r="AD243" s="31">
        <f t="shared" si="39"/>
        <v>0</v>
      </c>
      <c r="AE243" s="31">
        <f t="shared" si="40"/>
        <v>0</v>
      </c>
      <c r="AF243" s="17">
        <f t="shared" si="41"/>
        <v>0</v>
      </c>
      <c r="AG243" s="17">
        <f t="shared" si="42"/>
        <v>0</v>
      </c>
    </row>
    <row r="244" spans="1:59" s="19" customFormat="1" ht="18" customHeight="1" outlineLevel="1" x14ac:dyDescent="0.25">
      <c r="A244" s="48" t="s">
        <v>173</v>
      </c>
      <c r="B244" s="53"/>
      <c r="C244" s="49">
        <f>'2025年安徽省区利润表'!C244+'2025年江西省区利润表'!C244</f>
        <v>0</v>
      </c>
      <c r="D244" s="49">
        <f>'2025年安徽省区利润表'!D244+'2025年江西省区利润表'!D244</f>
        <v>0</v>
      </c>
      <c r="E244" s="49">
        <f>'2025年安徽省区利润表'!E244+'2025年江西省区利润表'!E244</f>
        <v>0</v>
      </c>
      <c r="F244" s="49">
        <f>'2025年安徽省区利润表'!F244+'2025年江西省区利润表'!F244</f>
        <v>0</v>
      </c>
      <c r="G244" s="49">
        <f>'2025年安徽省区利润表'!G244+'2025年江西省区利润表'!G244</f>
        <v>0</v>
      </c>
      <c r="H244" s="49">
        <f>'2025年安徽省区利润表'!H244+'2025年江西省区利润表'!H244</f>
        <v>0</v>
      </c>
      <c r="I244" s="49">
        <f>'2025年安徽省区利润表'!I244+'2025年江西省区利润表'!I244</f>
        <v>0</v>
      </c>
      <c r="J244" s="49">
        <f>'2025年安徽省区利润表'!J244+'2025年江西省区利润表'!J244</f>
        <v>0</v>
      </c>
      <c r="K244" s="49">
        <f>'2025年安徽省区利润表'!K244+'2025年江西省区利润表'!K244</f>
        <v>0</v>
      </c>
      <c r="L244" s="49">
        <f>'2025年安徽省区利润表'!L244+'2025年江西省区利润表'!L244</f>
        <v>0</v>
      </c>
      <c r="M244" s="49">
        <f>'2025年安徽省区利润表'!M244+'2025年江西省区利润表'!M244</f>
        <v>0</v>
      </c>
      <c r="N244" s="49">
        <f>'2025年安徽省区利润表'!N244+'2025年江西省区利润表'!N244</f>
        <v>0</v>
      </c>
      <c r="O244" s="49">
        <f>'2025年安徽省区利润表'!O244+'2025年江西省区利润表'!O244</f>
        <v>0</v>
      </c>
      <c r="P244" s="49">
        <f>'2025年安徽省区利润表'!P244+'2025年江西省区利润表'!P244</f>
        <v>0</v>
      </c>
      <c r="Q244" s="49">
        <f>'2025年安徽省区利润表'!Q244+'2025年江西省区利润表'!Q244</f>
        <v>0</v>
      </c>
      <c r="R244" s="49">
        <f>'2025年安徽省区利润表'!R244+'2025年江西省区利润表'!R244</f>
        <v>0</v>
      </c>
      <c r="S244" s="49">
        <f>'2025年安徽省区利润表'!S244+'2025年江西省区利润表'!S244</f>
        <v>0</v>
      </c>
      <c r="T244" s="49">
        <f>'2025年安徽省区利润表'!T244+'2025年江西省区利润表'!T244</f>
        <v>0</v>
      </c>
      <c r="U244" s="49">
        <f>'2025年安徽省区利润表'!U244+'2025年江西省区利润表'!U244</f>
        <v>0</v>
      </c>
      <c r="V244" s="49">
        <f>'2025年安徽省区利润表'!V244+'2025年江西省区利润表'!V244</f>
        <v>0</v>
      </c>
      <c r="W244" s="49">
        <f>'2025年安徽省区利润表'!W244+'2025年江西省区利润表'!W244</f>
        <v>0</v>
      </c>
      <c r="X244" s="49">
        <f>'2025年安徽省区利润表'!X244+'2025年江西省区利润表'!X244</f>
        <v>0</v>
      </c>
      <c r="Y244" s="49">
        <f>'2025年安徽省区利润表'!Y244+'2025年江西省区利润表'!Y244</f>
        <v>0</v>
      </c>
      <c r="Z244" s="49">
        <f>'2025年安徽省区利润表'!Z244+'2025年江西省区利润表'!Z244</f>
        <v>0</v>
      </c>
      <c r="AA244" s="51">
        <f t="shared" si="38"/>
        <v>0</v>
      </c>
      <c r="AB244" s="51">
        <f t="shared" si="43"/>
        <v>0</v>
      </c>
      <c r="AD244" s="31">
        <f t="shared" si="39"/>
        <v>0</v>
      </c>
      <c r="AE244" s="31">
        <f t="shared" si="40"/>
        <v>0</v>
      </c>
      <c r="AF244" s="17">
        <f t="shared" si="41"/>
        <v>0</v>
      </c>
      <c r="AG244" s="17">
        <f t="shared" si="42"/>
        <v>0</v>
      </c>
    </row>
    <row r="245" spans="1:59" s="19" customFormat="1" ht="18" customHeight="1" outlineLevel="1" x14ac:dyDescent="0.25">
      <c r="A245" s="48" t="s">
        <v>174</v>
      </c>
      <c r="B245" s="53"/>
      <c r="C245" s="49">
        <f>'2025年安徽省区利润表'!C245+'2025年江西省区利润表'!C245</f>
        <v>0</v>
      </c>
      <c r="D245" s="49">
        <f>'2025年安徽省区利润表'!D245+'2025年江西省区利润表'!D245</f>
        <v>0</v>
      </c>
      <c r="E245" s="49">
        <f>'2025年安徽省区利润表'!E245+'2025年江西省区利润表'!E245</f>
        <v>0</v>
      </c>
      <c r="F245" s="49">
        <f>'2025年安徽省区利润表'!F245+'2025年江西省区利润表'!F245</f>
        <v>0</v>
      </c>
      <c r="G245" s="49">
        <f>'2025年安徽省区利润表'!G245+'2025年江西省区利润表'!G245</f>
        <v>0</v>
      </c>
      <c r="H245" s="49">
        <f>'2025年安徽省区利润表'!H245+'2025年江西省区利润表'!H245</f>
        <v>0</v>
      </c>
      <c r="I245" s="49">
        <f>'2025年安徽省区利润表'!I245+'2025年江西省区利润表'!I245</f>
        <v>0</v>
      </c>
      <c r="J245" s="49">
        <f>'2025年安徽省区利润表'!J245+'2025年江西省区利润表'!J245</f>
        <v>0</v>
      </c>
      <c r="K245" s="49">
        <f>'2025年安徽省区利润表'!K245+'2025年江西省区利润表'!K245</f>
        <v>0</v>
      </c>
      <c r="L245" s="49">
        <f>'2025年安徽省区利润表'!L245+'2025年江西省区利润表'!L245</f>
        <v>0</v>
      </c>
      <c r="M245" s="49">
        <f>'2025年安徽省区利润表'!M245+'2025年江西省区利润表'!M245</f>
        <v>0</v>
      </c>
      <c r="N245" s="49">
        <f>'2025年安徽省区利润表'!N245+'2025年江西省区利润表'!N245</f>
        <v>0</v>
      </c>
      <c r="O245" s="49">
        <f>'2025年安徽省区利润表'!O245+'2025年江西省区利润表'!O245</f>
        <v>0</v>
      </c>
      <c r="P245" s="49">
        <f>'2025年安徽省区利润表'!P245+'2025年江西省区利润表'!P245</f>
        <v>0</v>
      </c>
      <c r="Q245" s="49">
        <f>'2025年安徽省区利润表'!Q245+'2025年江西省区利润表'!Q245</f>
        <v>0</v>
      </c>
      <c r="R245" s="49">
        <f>'2025年安徽省区利润表'!R245+'2025年江西省区利润表'!R245</f>
        <v>0</v>
      </c>
      <c r="S245" s="49">
        <f>'2025年安徽省区利润表'!S245+'2025年江西省区利润表'!S245</f>
        <v>0</v>
      </c>
      <c r="T245" s="49">
        <f>'2025年安徽省区利润表'!T245+'2025年江西省区利润表'!T245</f>
        <v>0</v>
      </c>
      <c r="U245" s="49">
        <f>'2025年安徽省区利润表'!U245+'2025年江西省区利润表'!U245</f>
        <v>0</v>
      </c>
      <c r="V245" s="49">
        <f>'2025年安徽省区利润表'!V245+'2025年江西省区利润表'!V245</f>
        <v>0</v>
      </c>
      <c r="W245" s="49">
        <f>'2025年安徽省区利润表'!W245+'2025年江西省区利润表'!W245</f>
        <v>0</v>
      </c>
      <c r="X245" s="49">
        <f>'2025年安徽省区利润表'!X245+'2025年江西省区利润表'!X245</f>
        <v>0</v>
      </c>
      <c r="Y245" s="49">
        <f>'2025年安徽省区利润表'!Y245+'2025年江西省区利润表'!Y245</f>
        <v>0</v>
      </c>
      <c r="Z245" s="49">
        <f>'2025年安徽省区利润表'!Z245+'2025年江西省区利润表'!Z245</f>
        <v>0</v>
      </c>
      <c r="AA245" s="51">
        <f t="shared" si="38"/>
        <v>0</v>
      </c>
      <c r="AB245" s="51">
        <f t="shared" si="43"/>
        <v>0</v>
      </c>
      <c r="AD245" s="31">
        <f t="shared" si="39"/>
        <v>0</v>
      </c>
      <c r="AE245" s="31">
        <f t="shared" si="40"/>
        <v>0</v>
      </c>
      <c r="AF245" s="17">
        <f t="shared" si="41"/>
        <v>0</v>
      </c>
      <c r="AG245" s="17">
        <f t="shared" si="42"/>
        <v>0</v>
      </c>
    </row>
    <row r="246" spans="1:59" s="19" customFormat="1" ht="18" customHeight="1" outlineLevel="1" x14ac:dyDescent="0.25">
      <c r="A246" s="48" t="s">
        <v>175</v>
      </c>
      <c r="B246" s="53"/>
      <c r="C246" s="49">
        <f>'2025年安徽省区利润表'!C246+'2025年江西省区利润表'!C246</f>
        <v>0</v>
      </c>
      <c r="D246" s="49">
        <f>'2025年安徽省区利润表'!D246+'2025年江西省区利润表'!D246</f>
        <v>0</v>
      </c>
      <c r="E246" s="49">
        <f>'2025年安徽省区利润表'!E246+'2025年江西省区利润表'!E246</f>
        <v>0</v>
      </c>
      <c r="F246" s="49">
        <f>'2025年安徽省区利润表'!F246+'2025年江西省区利润表'!F246</f>
        <v>0</v>
      </c>
      <c r="G246" s="49">
        <f>'2025年安徽省区利润表'!G246+'2025年江西省区利润表'!G246</f>
        <v>0</v>
      </c>
      <c r="H246" s="49">
        <f>'2025年安徽省区利润表'!H246+'2025年江西省区利润表'!H246</f>
        <v>0</v>
      </c>
      <c r="I246" s="49">
        <f>'2025年安徽省区利润表'!I246+'2025年江西省区利润表'!I246</f>
        <v>0</v>
      </c>
      <c r="J246" s="49">
        <f>'2025年安徽省区利润表'!J246+'2025年江西省区利润表'!J246</f>
        <v>0</v>
      </c>
      <c r="K246" s="49">
        <f>'2025年安徽省区利润表'!K246+'2025年江西省区利润表'!K246</f>
        <v>0</v>
      </c>
      <c r="L246" s="49">
        <f>'2025年安徽省区利润表'!L246+'2025年江西省区利润表'!L246</f>
        <v>0</v>
      </c>
      <c r="M246" s="49">
        <f>'2025年安徽省区利润表'!M246+'2025年江西省区利润表'!M246</f>
        <v>0</v>
      </c>
      <c r="N246" s="49">
        <f>'2025年安徽省区利润表'!N246+'2025年江西省区利润表'!N246</f>
        <v>0</v>
      </c>
      <c r="O246" s="49">
        <f>'2025年安徽省区利润表'!O246+'2025年江西省区利润表'!O246</f>
        <v>0</v>
      </c>
      <c r="P246" s="49">
        <f>'2025年安徽省区利润表'!P246+'2025年江西省区利润表'!P246</f>
        <v>0</v>
      </c>
      <c r="Q246" s="49">
        <f>'2025年安徽省区利润表'!Q246+'2025年江西省区利润表'!Q246</f>
        <v>0</v>
      </c>
      <c r="R246" s="49">
        <f>'2025年安徽省区利润表'!R246+'2025年江西省区利润表'!R246</f>
        <v>0</v>
      </c>
      <c r="S246" s="49">
        <f>'2025年安徽省区利润表'!S246+'2025年江西省区利润表'!S246</f>
        <v>0</v>
      </c>
      <c r="T246" s="49">
        <f>'2025年安徽省区利润表'!T246+'2025年江西省区利润表'!T246</f>
        <v>0</v>
      </c>
      <c r="U246" s="49">
        <f>'2025年安徽省区利润表'!U246+'2025年江西省区利润表'!U246</f>
        <v>0</v>
      </c>
      <c r="V246" s="49">
        <f>'2025年安徽省区利润表'!V246+'2025年江西省区利润表'!V246</f>
        <v>0</v>
      </c>
      <c r="W246" s="49">
        <f>'2025年安徽省区利润表'!W246+'2025年江西省区利润表'!W246</f>
        <v>0</v>
      </c>
      <c r="X246" s="49">
        <f>'2025年安徽省区利润表'!X246+'2025年江西省区利润表'!X246</f>
        <v>0</v>
      </c>
      <c r="Y246" s="49">
        <f>'2025年安徽省区利润表'!Y246+'2025年江西省区利润表'!Y246</f>
        <v>0</v>
      </c>
      <c r="Z246" s="49">
        <f>'2025年安徽省区利润表'!Z246+'2025年江西省区利润表'!Z246</f>
        <v>0</v>
      </c>
      <c r="AA246" s="51">
        <f t="shared" si="38"/>
        <v>0</v>
      </c>
      <c r="AB246" s="51">
        <f t="shared" si="43"/>
        <v>0</v>
      </c>
      <c r="AD246" s="31">
        <f t="shared" si="39"/>
        <v>0</v>
      </c>
      <c r="AE246" s="31">
        <f t="shared" si="40"/>
        <v>0</v>
      </c>
      <c r="AF246" s="17">
        <f t="shared" si="41"/>
        <v>0</v>
      </c>
      <c r="AG246" s="17">
        <f t="shared" si="42"/>
        <v>0</v>
      </c>
    </row>
    <row r="247" spans="1:59" s="19" customFormat="1" ht="18" customHeight="1" outlineLevel="1" x14ac:dyDescent="0.25">
      <c r="A247" s="48" t="s">
        <v>176</v>
      </c>
      <c r="B247" s="53"/>
      <c r="C247" s="49">
        <f>'2025年安徽省区利润表'!C247+'2025年江西省区利润表'!C247</f>
        <v>0</v>
      </c>
      <c r="D247" s="49">
        <f>'2025年安徽省区利润表'!D247+'2025年江西省区利润表'!D247</f>
        <v>0</v>
      </c>
      <c r="E247" s="49">
        <f>'2025年安徽省区利润表'!E247+'2025年江西省区利润表'!E247</f>
        <v>0</v>
      </c>
      <c r="F247" s="49">
        <f>'2025年安徽省区利润表'!F247+'2025年江西省区利润表'!F247</f>
        <v>0</v>
      </c>
      <c r="G247" s="49">
        <f>'2025年安徽省区利润表'!G247+'2025年江西省区利润表'!G247</f>
        <v>0</v>
      </c>
      <c r="H247" s="49">
        <f>'2025年安徽省区利润表'!H247+'2025年江西省区利润表'!H247</f>
        <v>0</v>
      </c>
      <c r="I247" s="49">
        <f>'2025年安徽省区利润表'!I247+'2025年江西省区利润表'!I247</f>
        <v>0</v>
      </c>
      <c r="J247" s="49">
        <f>'2025年安徽省区利润表'!J247+'2025年江西省区利润表'!J247</f>
        <v>0</v>
      </c>
      <c r="K247" s="49">
        <f>'2025年安徽省区利润表'!K247+'2025年江西省区利润表'!K247</f>
        <v>0</v>
      </c>
      <c r="L247" s="49">
        <f>'2025年安徽省区利润表'!L247+'2025年江西省区利润表'!L247</f>
        <v>0</v>
      </c>
      <c r="M247" s="49">
        <f>'2025年安徽省区利润表'!M247+'2025年江西省区利润表'!M247</f>
        <v>0</v>
      </c>
      <c r="N247" s="49">
        <f>'2025年安徽省区利润表'!N247+'2025年江西省区利润表'!N247</f>
        <v>0</v>
      </c>
      <c r="O247" s="49">
        <f>'2025年安徽省区利润表'!O247+'2025年江西省区利润表'!O247</f>
        <v>0</v>
      </c>
      <c r="P247" s="49">
        <f>'2025年安徽省区利润表'!P247+'2025年江西省区利润表'!P247</f>
        <v>0</v>
      </c>
      <c r="Q247" s="49">
        <f>'2025年安徽省区利润表'!Q247+'2025年江西省区利润表'!Q247</f>
        <v>0</v>
      </c>
      <c r="R247" s="49">
        <f>'2025年安徽省区利润表'!R247+'2025年江西省区利润表'!R247</f>
        <v>0</v>
      </c>
      <c r="S247" s="49">
        <f>'2025年安徽省区利润表'!S247+'2025年江西省区利润表'!S247</f>
        <v>0</v>
      </c>
      <c r="T247" s="49">
        <f>'2025年安徽省区利润表'!T247+'2025年江西省区利润表'!T247</f>
        <v>0</v>
      </c>
      <c r="U247" s="49">
        <f>'2025年安徽省区利润表'!U247+'2025年江西省区利润表'!U247</f>
        <v>0</v>
      </c>
      <c r="V247" s="49">
        <f>'2025年安徽省区利润表'!V247+'2025年江西省区利润表'!V247</f>
        <v>0</v>
      </c>
      <c r="W247" s="49">
        <f>'2025年安徽省区利润表'!W247+'2025年江西省区利润表'!W247</f>
        <v>0</v>
      </c>
      <c r="X247" s="49">
        <f>'2025年安徽省区利润表'!X247+'2025年江西省区利润表'!X247</f>
        <v>0</v>
      </c>
      <c r="Y247" s="49">
        <f>'2025年安徽省区利润表'!Y247+'2025年江西省区利润表'!Y247</f>
        <v>0</v>
      </c>
      <c r="Z247" s="49">
        <f>'2025年安徽省区利润表'!Z247+'2025年江西省区利润表'!Z247</f>
        <v>0</v>
      </c>
      <c r="AA247" s="51">
        <f t="shared" si="38"/>
        <v>0</v>
      </c>
      <c r="AB247" s="51">
        <f t="shared" si="43"/>
        <v>0</v>
      </c>
      <c r="AD247" s="31">
        <f t="shared" si="39"/>
        <v>0</v>
      </c>
      <c r="AE247" s="31">
        <f t="shared" si="40"/>
        <v>0</v>
      </c>
      <c r="AF247" s="17">
        <f t="shared" si="41"/>
        <v>0</v>
      </c>
      <c r="AG247" s="17">
        <f t="shared" si="42"/>
        <v>0</v>
      </c>
    </row>
    <row r="248" spans="1:59" s="19" customFormat="1" ht="18" customHeight="1" outlineLevel="1" x14ac:dyDescent="0.25">
      <c r="A248" s="48" t="s">
        <v>177</v>
      </c>
      <c r="B248" s="53"/>
      <c r="C248" s="49">
        <f>'2025年安徽省区利润表'!C248+'2025年江西省区利润表'!C248</f>
        <v>0</v>
      </c>
      <c r="D248" s="49">
        <f>'2025年安徽省区利润表'!D248+'2025年江西省区利润表'!D248</f>
        <v>0</v>
      </c>
      <c r="E248" s="49">
        <f>'2025年安徽省区利润表'!E248+'2025年江西省区利润表'!E248</f>
        <v>0</v>
      </c>
      <c r="F248" s="49">
        <f>'2025年安徽省区利润表'!F248+'2025年江西省区利润表'!F248</f>
        <v>0</v>
      </c>
      <c r="G248" s="49">
        <f>'2025年安徽省区利润表'!G248+'2025年江西省区利润表'!G248</f>
        <v>0</v>
      </c>
      <c r="H248" s="49">
        <f>'2025年安徽省区利润表'!H248+'2025年江西省区利润表'!H248</f>
        <v>0</v>
      </c>
      <c r="I248" s="49">
        <f>'2025年安徽省区利润表'!I248+'2025年江西省区利润表'!I248</f>
        <v>0</v>
      </c>
      <c r="J248" s="49">
        <f>'2025年安徽省区利润表'!J248+'2025年江西省区利润表'!J248</f>
        <v>0</v>
      </c>
      <c r="K248" s="49">
        <f>'2025年安徽省区利润表'!K248+'2025年江西省区利润表'!K248</f>
        <v>0</v>
      </c>
      <c r="L248" s="49">
        <f>'2025年安徽省区利润表'!L248+'2025年江西省区利润表'!L248</f>
        <v>0</v>
      </c>
      <c r="M248" s="49">
        <f>'2025年安徽省区利润表'!M248+'2025年江西省区利润表'!M248</f>
        <v>0</v>
      </c>
      <c r="N248" s="49">
        <f>'2025年安徽省区利润表'!N248+'2025年江西省区利润表'!N248</f>
        <v>0</v>
      </c>
      <c r="O248" s="49">
        <f>'2025年安徽省区利润表'!O248+'2025年江西省区利润表'!O248</f>
        <v>0</v>
      </c>
      <c r="P248" s="49">
        <f>'2025年安徽省区利润表'!P248+'2025年江西省区利润表'!P248</f>
        <v>0</v>
      </c>
      <c r="Q248" s="49">
        <f>'2025年安徽省区利润表'!Q248+'2025年江西省区利润表'!Q248</f>
        <v>0</v>
      </c>
      <c r="R248" s="49">
        <f>'2025年安徽省区利润表'!R248+'2025年江西省区利润表'!R248</f>
        <v>0</v>
      </c>
      <c r="S248" s="49">
        <f>'2025年安徽省区利润表'!S248+'2025年江西省区利润表'!S248</f>
        <v>0</v>
      </c>
      <c r="T248" s="49">
        <f>'2025年安徽省区利润表'!T248+'2025年江西省区利润表'!T248</f>
        <v>0</v>
      </c>
      <c r="U248" s="49">
        <f>'2025年安徽省区利润表'!U248+'2025年江西省区利润表'!U248</f>
        <v>0</v>
      </c>
      <c r="V248" s="49">
        <f>'2025年安徽省区利润表'!V248+'2025年江西省区利润表'!V248</f>
        <v>0</v>
      </c>
      <c r="W248" s="49">
        <f>'2025年安徽省区利润表'!W248+'2025年江西省区利润表'!W248</f>
        <v>0</v>
      </c>
      <c r="X248" s="49">
        <f>'2025年安徽省区利润表'!X248+'2025年江西省区利润表'!X248</f>
        <v>0</v>
      </c>
      <c r="Y248" s="49">
        <f>'2025年安徽省区利润表'!Y248+'2025年江西省区利润表'!Y248</f>
        <v>0</v>
      </c>
      <c r="Z248" s="49">
        <f>'2025年安徽省区利润表'!Z248+'2025年江西省区利润表'!Z248</f>
        <v>0</v>
      </c>
      <c r="AA248" s="51">
        <f t="shared" si="38"/>
        <v>0</v>
      </c>
      <c r="AB248" s="51">
        <f t="shared" si="43"/>
        <v>0</v>
      </c>
      <c r="AD248" s="31">
        <f t="shared" si="39"/>
        <v>0</v>
      </c>
      <c r="AE248" s="31">
        <f t="shared" si="40"/>
        <v>0</v>
      </c>
      <c r="AF248" s="17">
        <f t="shared" si="41"/>
        <v>0</v>
      </c>
      <c r="AG248" s="17">
        <f t="shared" si="42"/>
        <v>0</v>
      </c>
    </row>
    <row r="249" spans="1:59" s="19" customFormat="1" ht="18" customHeight="1" outlineLevel="1" x14ac:dyDescent="0.25">
      <c r="A249" s="48" t="s">
        <v>178</v>
      </c>
      <c r="B249" s="53"/>
      <c r="C249" s="49">
        <f>'2025年安徽省区利润表'!C249+'2025年江西省区利润表'!C249</f>
        <v>0</v>
      </c>
      <c r="D249" s="49">
        <f>'2025年安徽省区利润表'!D249+'2025年江西省区利润表'!D249</f>
        <v>0</v>
      </c>
      <c r="E249" s="49">
        <f>'2025年安徽省区利润表'!E249+'2025年江西省区利润表'!E249</f>
        <v>0</v>
      </c>
      <c r="F249" s="49">
        <f>'2025年安徽省区利润表'!F249+'2025年江西省区利润表'!F249</f>
        <v>0</v>
      </c>
      <c r="G249" s="49">
        <f>'2025年安徽省区利润表'!G249+'2025年江西省区利润表'!G249</f>
        <v>0</v>
      </c>
      <c r="H249" s="49">
        <f>'2025年安徽省区利润表'!H249+'2025年江西省区利润表'!H249</f>
        <v>0</v>
      </c>
      <c r="I249" s="49">
        <f>'2025年安徽省区利润表'!I249+'2025年江西省区利润表'!I249</f>
        <v>0</v>
      </c>
      <c r="J249" s="49">
        <f>'2025年安徽省区利润表'!J249+'2025年江西省区利润表'!J249</f>
        <v>0</v>
      </c>
      <c r="K249" s="49">
        <f>'2025年安徽省区利润表'!K249+'2025年江西省区利润表'!K249</f>
        <v>0</v>
      </c>
      <c r="L249" s="49">
        <f>'2025年安徽省区利润表'!L249+'2025年江西省区利润表'!L249</f>
        <v>0</v>
      </c>
      <c r="M249" s="49">
        <f>'2025年安徽省区利润表'!M249+'2025年江西省区利润表'!M249</f>
        <v>0</v>
      </c>
      <c r="N249" s="49">
        <f>'2025年安徽省区利润表'!N249+'2025年江西省区利润表'!N249</f>
        <v>0</v>
      </c>
      <c r="O249" s="49">
        <f>'2025年安徽省区利润表'!O249+'2025年江西省区利润表'!O249</f>
        <v>0</v>
      </c>
      <c r="P249" s="49">
        <f>'2025年安徽省区利润表'!P249+'2025年江西省区利润表'!P249</f>
        <v>0</v>
      </c>
      <c r="Q249" s="49">
        <f>'2025年安徽省区利润表'!Q249+'2025年江西省区利润表'!Q249</f>
        <v>0</v>
      </c>
      <c r="R249" s="49">
        <f>'2025年安徽省区利润表'!R249+'2025年江西省区利润表'!R249</f>
        <v>0</v>
      </c>
      <c r="S249" s="49">
        <f>'2025年安徽省区利润表'!S249+'2025年江西省区利润表'!S249</f>
        <v>0</v>
      </c>
      <c r="T249" s="49">
        <f>'2025年安徽省区利润表'!T249+'2025年江西省区利润表'!T249</f>
        <v>0</v>
      </c>
      <c r="U249" s="49">
        <f>'2025年安徽省区利润表'!U249+'2025年江西省区利润表'!U249</f>
        <v>0</v>
      </c>
      <c r="V249" s="49">
        <f>'2025年安徽省区利润表'!V249+'2025年江西省区利润表'!V249</f>
        <v>0</v>
      </c>
      <c r="W249" s="49">
        <f>'2025年安徽省区利润表'!W249+'2025年江西省区利润表'!W249</f>
        <v>0</v>
      </c>
      <c r="X249" s="49">
        <f>'2025年安徽省区利润表'!X249+'2025年江西省区利润表'!X249</f>
        <v>0</v>
      </c>
      <c r="Y249" s="49">
        <f>'2025年安徽省区利润表'!Y249+'2025年江西省区利润表'!Y249</f>
        <v>0</v>
      </c>
      <c r="Z249" s="49">
        <f>'2025年安徽省区利润表'!Z249+'2025年江西省区利润表'!Z249</f>
        <v>0</v>
      </c>
      <c r="AA249" s="51">
        <f t="shared" si="38"/>
        <v>0</v>
      </c>
      <c r="AB249" s="51">
        <f t="shared" si="43"/>
        <v>0</v>
      </c>
      <c r="AD249" s="31">
        <f t="shared" si="39"/>
        <v>0</v>
      </c>
      <c r="AE249" s="31">
        <f t="shared" si="40"/>
        <v>0</v>
      </c>
      <c r="AF249" s="17">
        <f t="shared" si="41"/>
        <v>0</v>
      </c>
      <c r="AG249" s="17">
        <f t="shared" si="42"/>
        <v>0</v>
      </c>
    </row>
    <row r="250" spans="1:59" s="19" customFormat="1" ht="18" customHeight="1" x14ac:dyDescent="0.25">
      <c r="A250" s="63" t="s">
        <v>182</v>
      </c>
      <c r="B250" s="53">
        <v>9</v>
      </c>
      <c r="C250" s="49">
        <f>'2025年安徽省区利润表'!C250+'2025年江西省区利润表'!C250</f>
        <v>0</v>
      </c>
      <c r="D250" s="49">
        <f>'2025年安徽省区利润表'!D250+'2025年江西省区利润表'!D250</f>
        <v>0</v>
      </c>
      <c r="E250" s="49">
        <f>'2025年安徽省区利润表'!E250+'2025年江西省区利润表'!E250</f>
        <v>0</v>
      </c>
      <c r="F250" s="49">
        <f>'2025年安徽省区利润表'!F250+'2025年江西省区利润表'!F250</f>
        <v>0</v>
      </c>
      <c r="G250" s="49">
        <f>'2025年安徽省区利润表'!G250+'2025年江西省区利润表'!G250</f>
        <v>0</v>
      </c>
      <c r="H250" s="49">
        <f>'2025年安徽省区利润表'!H250+'2025年江西省区利润表'!H250</f>
        <v>0</v>
      </c>
      <c r="I250" s="49">
        <f>'2025年安徽省区利润表'!I250+'2025年江西省区利润表'!I250</f>
        <v>0</v>
      </c>
      <c r="J250" s="49">
        <f>'2025年安徽省区利润表'!J250+'2025年江西省区利润表'!J250</f>
        <v>0</v>
      </c>
      <c r="K250" s="49">
        <f>'2025年安徽省区利润表'!K250+'2025年江西省区利润表'!K250</f>
        <v>0</v>
      </c>
      <c r="L250" s="49">
        <f>'2025年安徽省区利润表'!L250+'2025年江西省区利润表'!L250</f>
        <v>0</v>
      </c>
      <c r="M250" s="49">
        <f>'2025年安徽省区利润表'!M250+'2025年江西省区利润表'!M250</f>
        <v>0</v>
      </c>
      <c r="N250" s="49">
        <f>'2025年安徽省区利润表'!N250+'2025年江西省区利润表'!N250</f>
        <v>0</v>
      </c>
      <c r="O250" s="49">
        <f>'2025年安徽省区利润表'!O250+'2025年江西省区利润表'!O250</f>
        <v>0</v>
      </c>
      <c r="P250" s="49">
        <f>'2025年安徽省区利润表'!P250+'2025年江西省区利润表'!P250</f>
        <v>0</v>
      </c>
      <c r="Q250" s="49">
        <f>'2025年安徽省区利润表'!Q250+'2025年江西省区利润表'!Q250</f>
        <v>0</v>
      </c>
      <c r="R250" s="49">
        <f>'2025年安徽省区利润表'!R250+'2025年江西省区利润表'!R250</f>
        <v>0</v>
      </c>
      <c r="S250" s="49">
        <f>'2025年安徽省区利润表'!S250+'2025年江西省区利润表'!S250</f>
        <v>0</v>
      </c>
      <c r="T250" s="49">
        <f>'2025年安徽省区利润表'!T250+'2025年江西省区利润表'!T250</f>
        <v>0</v>
      </c>
      <c r="U250" s="49">
        <f>'2025年安徽省区利润表'!U250+'2025年江西省区利润表'!U250</f>
        <v>0</v>
      </c>
      <c r="V250" s="49">
        <f>'2025年安徽省区利润表'!V250+'2025年江西省区利润表'!V250</f>
        <v>0</v>
      </c>
      <c r="W250" s="49">
        <f>'2025年安徽省区利润表'!W250+'2025年江西省区利润表'!W250</f>
        <v>0</v>
      </c>
      <c r="X250" s="49">
        <f>'2025年安徽省区利润表'!X250+'2025年江西省区利润表'!X250</f>
        <v>0</v>
      </c>
      <c r="Y250" s="49">
        <f>'2025年安徽省区利润表'!Y250+'2025年江西省区利润表'!Y250</f>
        <v>0</v>
      </c>
      <c r="Z250" s="49">
        <f>'2025年安徽省区利润表'!Z250+'2025年江西省区利润表'!Z250</f>
        <v>0</v>
      </c>
      <c r="AA250" s="51">
        <f t="shared" si="38"/>
        <v>0</v>
      </c>
      <c r="AB250" s="51">
        <f t="shared" si="43"/>
        <v>0</v>
      </c>
      <c r="AD250" s="31">
        <f t="shared" si="39"/>
        <v>0</v>
      </c>
      <c r="AE250" s="31">
        <f t="shared" si="40"/>
        <v>0</v>
      </c>
      <c r="AF250" s="17">
        <f t="shared" si="41"/>
        <v>0</v>
      </c>
      <c r="AG250" s="17">
        <f t="shared" si="42"/>
        <v>0</v>
      </c>
      <c r="BG250" s="21"/>
    </row>
    <row r="251" spans="1:59" s="19" customFormat="1" ht="18" customHeight="1" x14ac:dyDescent="0.25">
      <c r="A251" s="63" t="s">
        <v>183</v>
      </c>
      <c r="B251" s="53">
        <v>10</v>
      </c>
      <c r="C251" s="49">
        <f>'2025年安徽省区利润表'!C251+'2025年江西省区利润表'!C251</f>
        <v>0</v>
      </c>
      <c r="D251" s="49">
        <f>'2025年安徽省区利润表'!D251+'2025年江西省区利润表'!D251</f>
        <v>0</v>
      </c>
      <c r="E251" s="49">
        <f>'2025年安徽省区利润表'!E251+'2025年江西省区利润表'!E251</f>
        <v>0</v>
      </c>
      <c r="F251" s="49">
        <f>'2025年安徽省区利润表'!F251+'2025年江西省区利润表'!F251</f>
        <v>0</v>
      </c>
      <c r="G251" s="49">
        <f>'2025年安徽省区利润表'!G251+'2025年江西省区利润表'!G251</f>
        <v>0</v>
      </c>
      <c r="H251" s="49">
        <f>'2025年安徽省区利润表'!H251+'2025年江西省区利润表'!H251</f>
        <v>0</v>
      </c>
      <c r="I251" s="49">
        <f>'2025年安徽省区利润表'!I251+'2025年江西省区利润表'!I251</f>
        <v>0</v>
      </c>
      <c r="J251" s="49">
        <f>'2025年安徽省区利润表'!J251+'2025年江西省区利润表'!J251</f>
        <v>0</v>
      </c>
      <c r="K251" s="49">
        <f>'2025年安徽省区利润表'!K251+'2025年江西省区利润表'!K251</f>
        <v>0</v>
      </c>
      <c r="L251" s="49">
        <f>'2025年安徽省区利润表'!L251+'2025年江西省区利润表'!L251</f>
        <v>0</v>
      </c>
      <c r="M251" s="49">
        <f>'2025年安徽省区利润表'!M251+'2025年江西省区利润表'!M251</f>
        <v>0</v>
      </c>
      <c r="N251" s="49">
        <f>'2025年安徽省区利润表'!N251+'2025年江西省区利润表'!N251</f>
        <v>0</v>
      </c>
      <c r="O251" s="49">
        <f>'2025年安徽省区利润表'!O251+'2025年江西省区利润表'!O251</f>
        <v>0</v>
      </c>
      <c r="P251" s="49">
        <f>'2025年安徽省区利润表'!P251+'2025年江西省区利润表'!P251</f>
        <v>0</v>
      </c>
      <c r="Q251" s="49">
        <f>'2025年安徽省区利润表'!Q251+'2025年江西省区利润表'!Q251</f>
        <v>0</v>
      </c>
      <c r="R251" s="49">
        <f>'2025年安徽省区利润表'!R251+'2025年江西省区利润表'!R251</f>
        <v>0</v>
      </c>
      <c r="S251" s="49">
        <f>'2025年安徽省区利润表'!S251+'2025年江西省区利润表'!S251</f>
        <v>0</v>
      </c>
      <c r="T251" s="49">
        <f>'2025年安徽省区利润表'!T251+'2025年江西省区利润表'!T251</f>
        <v>0</v>
      </c>
      <c r="U251" s="49">
        <f>'2025年安徽省区利润表'!U251+'2025年江西省区利润表'!U251</f>
        <v>0</v>
      </c>
      <c r="V251" s="49">
        <f>'2025年安徽省区利润表'!V251+'2025年江西省区利润表'!V251</f>
        <v>0</v>
      </c>
      <c r="W251" s="49">
        <f>'2025年安徽省区利润表'!W251+'2025年江西省区利润表'!W251</f>
        <v>0</v>
      </c>
      <c r="X251" s="49">
        <f>'2025年安徽省区利润表'!X251+'2025年江西省区利润表'!X251</f>
        <v>0</v>
      </c>
      <c r="Y251" s="49">
        <f>'2025年安徽省区利润表'!Y251+'2025年江西省区利润表'!Y251</f>
        <v>0</v>
      </c>
      <c r="Z251" s="49">
        <f>'2025年安徽省区利润表'!Z251+'2025年江西省区利润表'!Z251</f>
        <v>0</v>
      </c>
      <c r="AA251" s="51">
        <f t="shared" si="38"/>
        <v>0</v>
      </c>
      <c r="AB251" s="51">
        <f t="shared" si="43"/>
        <v>0</v>
      </c>
      <c r="AD251" s="31">
        <f t="shared" si="39"/>
        <v>0</v>
      </c>
      <c r="AE251" s="31">
        <f t="shared" si="40"/>
        <v>0</v>
      </c>
      <c r="AF251" s="17">
        <f t="shared" si="41"/>
        <v>0</v>
      </c>
      <c r="AG251" s="17">
        <f t="shared" si="42"/>
        <v>0</v>
      </c>
      <c r="BG251" s="21"/>
    </row>
    <row r="252" spans="1:59" s="19" customFormat="1" ht="18" customHeight="1" x14ac:dyDescent="0.25">
      <c r="A252" s="63" t="s">
        <v>184</v>
      </c>
      <c r="B252" s="53">
        <v>11</v>
      </c>
      <c r="C252" s="49">
        <f>'2025年安徽省区利润表'!C252+'2025年江西省区利润表'!C252</f>
        <v>0</v>
      </c>
      <c r="D252" s="49">
        <f>'2025年安徽省区利润表'!D252+'2025年江西省区利润表'!D252</f>
        <v>0</v>
      </c>
      <c r="E252" s="49">
        <f>'2025年安徽省区利润表'!E252+'2025年江西省区利润表'!E252</f>
        <v>0</v>
      </c>
      <c r="F252" s="49">
        <f>'2025年安徽省区利润表'!F252+'2025年江西省区利润表'!F252</f>
        <v>0</v>
      </c>
      <c r="G252" s="49">
        <f>'2025年安徽省区利润表'!G252+'2025年江西省区利润表'!G252</f>
        <v>0</v>
      </c>
      <c r="H252" s="49">
        <f>'2025年安徽省区利润表'!H252+'2025年江西省区利润表'!H252</f>
        <v>0</v>
      </c>
      <c r="I252" s="49">
        <f>'2025年安徽省区利润表'!I252+'2025年江西省区利润表'!I252</f>
        <v>0</v>
      </c>
      <c r="J252" s="49">
        <f>'2025年安徽省区利润表'!J252+'2025年江西省区利润表'!J252</f>
        <v>0</v>
      </c>
      <c r="K252" s="49">
        <f>'2025年安徽省区利润表'!K252+'2025年江西省区利润表'!K252</f>
        <v>0</v>
      </c>
      <c r="L252" s="49">
        <f>'2025年安徽省区利润表'!L252+'2025年江西省区利润表'!L252</f>
        <v>0</v>
      </c>
      <c r="M252" s="49">
        <f>'2025年安徽省区利润表'!M252+'2025年江西省区利润表'!M252</f>
        <v>0</v>
      </c>
      <c r="N252" s="49">
        <f>'2025年安徽省区利润表'!N252+'2025年江西省区利润表'!N252</f>
        <v>0</v>
      </c>
      <c r="O252" s="49">
        <f>'2025年安徽省区利润表'!O252+'2025年江西省区利润表'!O252</f>
        <v>0</v>
      </c>
      <c r="P252" s="49">
        <f>'2025年安徽省区利润表'!P252+'2025年江西省区利润表'!P252</f>
        <v>0</v>
      </c>
      <c r="Q252" s="49">
        <f>'2025年安徽省区利润表'!Q252+'2025年江西省区利润表'!Q252</f>
        <v>0</v>
      </c>
      <c r="R252" s="49">
        <f>'2025年安徽省区利润表'!R252+'2025年江西省区利润表'!R252</f>
        <v>0</v>
      </c>
      <c r="S252" s="49">
        <f>'2025年安徽省区利润表'!S252+'2025年江西省区利润表'!S252</f>
        <v>0</v>
      </c>
      <c r="T252" s="49">
        <f>'2025年安徽省区利润表'!T252+'2025年江西省区利润表'!T252</f>
        <v>0</v>
      </c>
      <c r="U252" s="49">
        <f>'2025年安徽省区利润表'!U252+'2025年江西省区利润表'!U252</f>
        <v>0</v>
      </c>
      <c r="V252" s="49">
        <f>'2025年安徽省区利润表'!V252+'2025年江西省区利润表'!V252</f>
        <v>0</v>
      </c>
      <c r="W252" s="49">
        <f>'2025年安徽省区利润表'!W252+'2025年江西省区利润表'!W252</f>
        <v>0</v>
      </c>
      <c r="X252" s="49">
        <f>'2025年安徽省区利润表'!X252+'2025年江西省区利润表'!X252</f>
        <v>0</v>
      </c>
      <c r="Y252" s="49">
        <f>'2025年安徽省区利润表'!Y252+'2025年江西省区利润表'!Y252</f>
        <v>0</v>
      </c>
      <c r="Z252" s="49">
        <f>'2025年安徽省区利润表'!Z252+'2025年江西省区利润表'!Z252</f>
        <v>0</v>
      </c>
      <c r="AA252" s="51">
        <f t="shared" si="38"/>
        <v>0</v>
      </c>
      <c r="AB252" s="51">
        <f t="shared" si="43"/>
        <v>0</v>
      </c>
      <c r="AD252" s="31">
        <f t="shared" si="39"/>
        <v>0</v>
      </c>
      <c r="AE252" s="31">
        <f t="shared" si="40"/>
        <v>0</v>
      </c>
      <c r="AF252" s="17">
        <f t="shared" si="41"/>
        <v>0</v>
      </c>
      <c r="AG252" s="17">
        <f t="shared" si="42"/>
        <v>0</v>
      </c>
      <c r="BG252" s="21"/>
    </row>
    <row r="253" spans="1:59" s="19" customFormat="1" ht="18" customHeight="1" outlineLevel="1" x14ac:dyDescent="0.25">
      <c r="A253" s="63" t="s">
        <v>185</v>
      </c>
      <c r="B253" s="53">
        <v>12</v>
      </c>
      <c r="C253" s="49">
        <f>'2025年安徽省区利润表'!C253+'2025年江西省区利润表'!C253</f>
        <v>0</v>
      </c>
      <c r="D253" s="49">
        <f>'2025年安徽省区利润表'!D253+'2025年江西省区利润表'!D253</f>
        <v>0</v>
      </c>
      <c r="E253" s="49">
        <f>'2025年安徽省区利润表'!E253+'2025年江西省区利润表'!E253</f>
        <v>0</v>
      </c>
      <c r="F253" s="49">
        <f>'2025年安徽省区利润表'!F253+'2025年江西省区利润表'!F253</f>
        <v>0</v>
      </c>
      <c r="G253" s="49">
        <f>'2025年安徽省区利润表'!G253+'2025年江西省区利润表'!G253</f>
        <v>0</v>
      </c>
      <c r="H253" s="49">
        <f>'2025年安徽省区利润表'!H253+'2025年江西省区利润表'!H253</f>
        <v>0</v>
      </c>
      <c r="I253" s="49">
        <f>'2025年安徽省区利润表'!I253+'2025年江西省区利润表'!I253</f>
        <v>0</v>
      </c>
      <c r="J253" s="49">
        <f>'2025年安徽省区利润表'!J253+'2025年江西省区利润表'!J253</f>
        <v>0</v>
      </c>
      <c r="K253" s="49">
        <f>'2025年安徽省区利润表'!K253+'2025年江西省区利润表'!K253</f>
        <v>0</v>
      </c>
      <c r="L253" s="49">
        <f>'2025年安徽省区利润表'!L253+'2025年江西省区利润表'!L253</f>
        <v>0</v>
      </c>
      <c r="M253" s="49">
        <f>'2025年安徽省区利润表'!M253+'2025年江西省区利润表'!M253</f>
        <v>0</v>
      </c>
      <c r="N253" s="49">
        <f>'2025年安徽省区利润表'!N253+'2025年江西省区利润表'!N253</f>
        <v>0</v>
      </c>
      <c r="O253" s="49">
        <f>'2025年安徽省区利润表'!O253+'2025年江西省区利润表'!O253</f>
        <v>0</v>
      </c>
      <c r="P253" s="49">
        <f>'2025年安徽省区利润表'!P253+'2025年江西省区利润表'!P253</f>
        <v>0</v>
      </c>
      <c r="Q253" s="49">
        <f>'2025年安徽省区利润表'!Q253+'2025年江西省区利润表'!Q253</f>
        <v>0</v>
      </c>
      <c r="R253" s="49">
        <f>'2025年安徽省区利润表'!R253+'2025年江西省区利润表'!R253</f>
        <v>0</v>
      </c>
      <c r="S253" s="49">
        <f>'2025年安徽省区利润表'!S253+'2025年江西省区利润表'!S253</f>
        <v>0</v>
      </c>
      <c r="T253" s="49">
        <f>'2025年安徽省区利润表'!T253+'2025年江西省区利润表'!T253</f>
        <v>0</v>
      </c>
      <c r="U253" s="49">
        <f>'2025年安徽省区利润表'!U253+'2025年江西省区利润表'!U253</f>
        <v>0</v>
      </c>
      <c r="V253" s="49">
        <f>'2025年安徽省区利润表'!V253+'2025年江西省区利润表'!V253</f>
        <v>0</v>
      </c>
      <c r="W253" s="49">
        <f>'2025年安徽省区利润表'!W253+'2025年江西省区利润表'!W253</f>
        <v>0</v>
      </c>
      <c r="X253" s="49">
        <f>'2025年安徽省区利润表'!X253+'2025年江西省区利润表'!X253</f>
        <v>0</v>
      </c>
      <c r="Y253" s="49">
        <f>'2025年安徽省区利润表'!Y253+'2025年江西省区利润表'!Y253</f>
        <v>0</v>
      </c>
      <c r="Z253" s="49">
        <f>'2025年安徽省区利润表'!Z253+'2025年江西省区利润表'!Z253</f>
        <v>0</v>
      </c>
      <c r="AA253" s="51">
        <f t="shared" si="38"/>
        <v>0</v>
      </c>
      <c r="AB253" s="70">
        <f>SUM(D253:Z253)</f>
        <v>0</v>
      </c>
      <c r="AD253" s="31">
        <f t="shared" si="39"/>
        <v>0</v>
      </c>
      <c r="AE253" s="31">
        <f t="shared" si="40"/>
        <v>0</v>
      </c>
      <c r="AF253" s="17">
        <f t="shared" si="41"/>
        <v>0</v>
      </c>
      <c r="AG253" s="17">
        <f t="shared" si="42"/>
        <v>0</v>
      </c>
      <c r="BG253" s="21"/>
    </row>
    <row r="254" spans="1:59" s="19" customFormat="1" ht="18" customHeight="1" outlineLevel="1" x14ac:dyDescent="0.25">
      <c r="A254" s="63" t="s">
        <v>186</v>
      </c>
      <c r="B254" s="53">
        <v>13</v>
      </c>
      <c r="C254" s="49">
        <f>'2025年安徽省区利润表'!C254+'2025年江西省区利润表'!C254</f>
        <v>0</v>
      </c>
      <c r="D254" s="49">
        <f>'2025年安徽省区利润表'!D254+'2025年江西省区利润表'!D254</f>
        <v>0</v>
      </c>
      <c r="E254" s="49">
        <f>'2025年安徽省区利润表'!E254+'2025年江西省区利润表'!E254</f>
        <v>0</v>
      </c>
      <c r="F254" s="49">
        <f>'2025年安徽省区利润表'!F254+'2025年江西省区利润表'!F254</f>
        <v>0</v>
      </c>
      <c r="G254" s="49">
        <f>'2025年安徽省区利润表'!G254+'2025年江西省区利润表'!G254</f>
        <v>0</v>
      </c>
      <c r="H254" s="49">
        <f>'2025年安徽省区利润表'!H254+'2025年江西省区利润表'!H254</f>
        <v>0</v>
      </c>
      <c r="I254" s="49">
        <f>'2025年安徽省区利润表'!I254+'2025年江西省区利润表'!I254</f>
        <v>0</v>
      </c>
      <c r="J254" s="49">
        <f>'2025年安徽省区利润表'!J254+'2025年江西省区利润表'!J254</f>
        <v>0</v>
      </c>
      <c r="K254" s="49">
        <f>'2025年安徽省区利润表'!K254+'2025年江西省区利润表'!K254</f>
        <v>0</v>
      </c>
      <c r="L254" s="49">
        <f>'2025年安徽省区利润表'!L254+'2025年江西省区利润表'!L254</f>
        <v>0</v>
      </c>
      <c r="M254" s="49">
        <f>'2025年安徽省区利润表'!M254+'2025年江西省区利润表'!M254</f>
        <v>0</v>
      </c>
      <c r="N254" s="49">
        <f>'2025年安徽省区利润表'!N254+'2025年江西省区利润表'!N254</f>
        <v>0</v>
      </c>
      <c r="O254" s="49">
        <f>'2025年安徽省区利润表'!O254+'2025年江西省区利润表'!O254</f>
        <v>0</v>
      </c>
      <c r="P254" s="49">
        <f>'2025年安徽省区利润表'!P254+'2025年江西省区利润表'!P254</f>
        <v>0</v>
      </c>
      <c r="Q254" s="49">
        <f>'2025年安徽省区利润表'!Q254+'2025年江西省区利润表'!Q254</f>
        <v>0</v>
      </c>
      <c r="R254" s="49">
        <f>'2025年安徽省区利润表'!R254+'2025年江西省区利润表'!R254</f>
        <v>0</v>
      </c>
      <c r="S254" s="49">
        <f>'2025年安徽省区利润表'!S254+'2025年江西省区利润表'!S254</f>
        <v>0</v>
      </c>
      <c r="T254" s="49">
        <f>'2025年安徽省区利润表'!T254+'2025年江西省区利润表'!T254</f>
        <v>0</v>
      </c>
      <c r="U254" s="49">
        <f>'2025年安徽省区利润表'!U254+'2025年江西省区利润表'!U254</f>
        <v>0</v>
      </c>
      <c r="V254" s="49">
        <f>'2025年安徽省区利润表'!V254+'2025年江西省区利润表'!V254</f>
        <v>0</v>
      </c>
      <c r="W254" s="49">
        <f>'2025年安徽省区利润表'!W254+'2025年江西省区利润表'!W254</f>
        <v>0</v>
      </c>
      <c r="X254" s="49">
        <f>'2025年安徽省区利润表'!X254+'2025年江西省区利润表'!X254</f>
        <v>0</v>
      </c>
      <c r="Y254" s="49">
        <f>'2025年安徽省区利润表'!Y254+'2025年江西省区利润表'!Y254</f>
        <v>0</v>
      </c>
      <c r="Z254" s="49">
        <f>'2025年安徽省区利润表'!Z254+'2025年江西省区利润表'!Z254</f>
        <v>0</v>
      </c>
      <c r="AA254" s="51">
        <f t="shared" si="38"/>
        <v>0</v>
      </c>
      <c r="AB254" s="70">
        <f>SUM(D254:Z254)</f>
        <v>0</v>
      </c>
      <c r="AD254" s="31">
        <f t="shared" si="39"/>
        <v>0</v>
      </c>
      <c r="AE254" s="31">
        <f t="shared" si="40"/>
        <v>0</v>
      </c>
      <c r="AF254" s="17">
        <f t="shared" si="41"/>
        <v>0</v>
      </c>
      <c r="AG254" s="17">
        <f t="shared" si="42"/>
        <v>0</v>
      </c>
      <c r="BG254" s="21"/>
    </row>
    <row r="255" spans="1:59" s="19" customFormat="1" ht="18" customHeight="1" outlineLevel="1" x14ac:dyDescent="0.25">
      <c r="A255" s="63" t="s">
        <v>187</v>
      </c>
      <c r="B255" s="53">
        <v>14</v>
      </c>
      <c r="C255" s="49">
        <f>'2025年安徽省区利润表'!C255+'2025年江西省区利润表'!C255</f>
        <v>0</v>
      </c>
      <c r="D255" s="49">
        <f>'2025年安徽省区利润表'!D255+'2025年江西省区利润表'!D255</f>
        <v>0</v>
      </c>
      <c r="E255" s="49">
        <f>'2025年安徽省区利润表'!E255+'2025年江西省区利润表'!E255</f>
        <v>0</v>
      </c>
      <c r="F255" s="49">
        <f>'2025年安徽省区利润表'!F255+'2025年江西省区利润表'!F255</f>
        <v>0</v>
      </c>
      <c r="G255" s="49">
        <f>'2025年安徽省区利润表'!G255+'2025年江西省区利润表'!G255</f>
        <v>0</v>
      </c>
      <c r="H255" s="49">
        <f>'2025年安徽省区利润表'!H255+'2025年江西省区利润表'!H255</f>
        <v>0</v>
      </c>
      <c r="I255" s="49">
        <f>'2025年安徽省区利润表'!I255+'2025年江西省区利润表'!I255</f>
        <v>0</v>
      </c>
      <c r="J255" s="49">
        <f>'2025年安徽省区利润表'!J255+'2025年江西省区利润表'!J255</f>
        <v>0</v>
      </c>
      <c r="K255" s="49">
        <f>'2025年安徽省区利润表'!K255+'2025年江西省区利润表'!K255</f>
        <v>0</v>
      </c>
      <c r="L255" s="49">
        <f>'2025年安徽省区利润表'!L255+'2025年江西省区利润表'!L255</f>
        <v>0</v>
      </c>
      <c r="M255" s="49">
        <f>'2025年安徽省区利润表'!M255+'2025年江西省区利润表'!M255</f>
        <v>0</v>
      </c>
      <c r="N255" s="49">
        <f>'2025年安徽省区利润表'!N255+'2025年江西省区利润表'!N255</f>
        <v>0</v>
      </c>
      <c r="O255" s="49">
        <f>'2025年安徽省区利润表'!O255+'2025年江西省区利润表'!O255</f>
        <v>0</v>
      </c>
      <c r="P255" s="49">
        <f>'2025年安徽省区利润表'!P255+'2025年江西省区利润表'!P255</f>
        <v>0</v>
      </c>
      <c r="Q255" s="49">
        <f>'2025年安徽省区利润表'!Q255+'2025年江西省区利润表'!Q255</f>
        <v>0</v>
      </c>
      <c r="R255" s="49">
        <f>'2025年安徽省区利润表'!R255+'2025年江西省区利润表'!R255</f>
        <v>0</v>
      </c>
      <c r="S255" s="49">
        <f>'2025年安徽省区利润表'!S255+'2025年江西省区利润表'!S255</f>
        <v>0</v>
      </c>
      <c r="T255" s="49">
        <f>'2025年安徽省区利润表'!T255+'2025年江西省区利润表'!T255</f>
        <v>0</v>
      </c>
      <c r="U255" s="49">
        <f>'2025年安徽省区利润表'!U255+'2025年江西省区利润表'!U255</f>
        <v>0</v>
      </c>
      <c r="V255" s="49">
        <f>'2025年安徽省区利润表'!V255+'2025年江西省区利润表'!V255</f>
        <v>0</v>
      </c>
      <c r="W255" s="49">
        <f>'2025年安徽省区利润表'!W255+'2025年江西省区利润表'!W255</f>
        <v>0</v>
      </c>
      <c r="X255" s="49">
        <f>'2025年安徽省区利润表'!X255+'2025年江西省区利润表'!X255</f>
        <v>0</v>
      </c>
      <c r="Y255" s="49">
        <f>'2025年安徽省区利润表'!Y255+'2025年江西省区利润表'!Y255</f>
        <v>0</v>
      </c>
      <c r="Z255" s="49">
        <f>'2025年安徽省区利润表'!Z255+'2025年江西省区利润表'!Z255</f>
        <v>0</v>
      </c>
      <c r="AA255" s="51">
        <f t="shared" si="38"/>
        <v>0</v>
      </c>
      <c r="AB255" s="70">
        <f>SUM(D255:Z255)</f>
        <v>0</v>
      </c>
      <c r="AD255" s="31">
        <f t="shared" si="39"/>
        <v>0</v>
      </c>
      <c r="AE255" s="31">
        <f t="shared" si="40"/>
        <v>0</v>
      </c>
      <c r="AF255" s="17">
        <f t="shared" si="41"/>
        <v>0</v>
      </c>
      <c r="AG255" s="17">
        <f t="shared" si="42"/>
        <v>0</v>
      </c>
    </row>
    <row r="256" spans="1:59" s="19" customFormat="1" ht="18" customHeight="1" outlineLevel="1" x14ac:dyDescent="0.25">
      <c r="A256" s="63" t="s">
        <v>188</v>
      </c>
      <c r="B256" s="53">
        <v>15</v>
      </c>
      <c r="C256" s="49">
        <f>'2025年安徽省区利润表'!C256+'2025年江西省区利润表'!C256</f>
        <v>0</v>
      </c>
      <c r="D256" s="49">
        <f>'2025年安徽省区利润表'!D256+'2025年江西省区利润表'!D256</f>
        <v>0</v>
      </c>
      <c r="E256" s="49">
        <f>'2025年安徽省区利润表'!E256+'2025年江西省区利润表'!E256</f>
        <v>0</v>
      </c>
      <c r="F256" s="49">
        <f>'2025年安徽省区利润表'!F256+'2025年江西省区利润表'!F256</f>
        <v>0</v>
      </c>
      <c r="G256" s="49">
        <f>'2025年安徽省区利润表'!G256+'2025年江西省区利润表'!G256</f>
        <v>0</v>
      </c>
      <c r="H256" s="49">
        <f>'2025年安徽省区利润表'!H256+'2025年江西省区利润表'!H256</f>
        <v>0</v>
      </c>
      <c r="I256" s="49">
        <f>'2025年安徽省区利润表'!I256+'2025年江西省区利润表'!I256</f>
        <v>0</v>
      </c>
      <c r="J256" s="49">
        <f>'2025年安徽省区利润表'!J256+'2025年江西省区利润表'!J256</f>
        <v>0</v>
      </c>
      <c r="K256" s="49">
        <f>'2025年安徽省区利润表'!K256+'2025年江西省区利润表'!K256</f>
        <v>0</v>
      </c>
      <c r="L256" s="49">
        <f>'2025年安徽省区利润表'!L256+'2025年江西省区利润表'!L256</f>
        <v>0</v>
      </c>
      <c r="M256" s="49">
        <f>'2025年安徽省区利润表'!M256+'2025年江西省区利润表'!M256</f>
        <v>0</v>
      </c>
      <c r="N256" s="49">
        <f>'2025年安徽省区利润表'!N256+'2025年江西省区利润表'!N256</f>
        <v>0</v>
      </c>
      <c r="O256" s="49">
        <f>'2025年安徽省区利润表'!O256+'2025年江西省区利润表'!O256</f>
        <v>0</v>
      </c>
      <c r="P256" s="49">
        <f>'2025年安徽省区利润表'!P256+'2025年江西省区利润表'!P256</f>
        <v>0</v>
      </c>
      <c r="Q256" s="49">
        <f>'2025年安徽省区利润表'!Q256+'2025年江西省区利润表'!Q256</f>
        <v>0</v>
      </c>
      <c r="R256" s="49">
        <f>'2025年安徽省区利润表'!R256+'2025年江西省区利润表'!R256</f>
        <v>0</v>
      </c>
      <c r="S256" s="49">
        <f>'2025年安徽省区利润表'!S256+'2025年江西省区利润表'!S256</f>
        <v>0</v>
      </c>
      <c r="T256" s="49">
        <f>'2025年安徽省区利润表'!T256+'2025年江西省区利润表'!T256</f>
        <v>0</v>
      </c>
      <c r="U256" s="49">
        <f>'2025年安徽省区利润表'!U256+'2025年江西省区利润表'!U256</f>
        <v>0</v>
      </c>
      <c r="V256" s="49">
        <f>'2025年安徽省区利润表'!V256+'2025年江西省区利润表'!V256</f>
        <v>0</v>
      </c>
      <c r="W256" s="49">
        <f>'2025年安徽省区利润表'!W256+'2025年江西省区利润表'!W256</f>
        <v>0</v>
      </c>
      <c r="X256" s="49">
        <f>'2025年安徽省区利润表'!X256+'2025年江西省区利润表'!X256</f>
        <v>0</v>
      </c>
      <c r="Y256" s="49">
        <f>'2025年安徽省区利润表'!Y256+'2025年江西省区利润表'!Y256</f>
        <v>0</v>
      </c>
      <c r="Z256" s="49">
        <f>'2025年安徽省区利润表'!Z256+'2025年江西省区利润表'!Z256</f>
        <v>0</v>
      </c>
      <c r="AA256" s="51">
        <f t="shared" si="38"/>
        <v>0</v>
      </c>
      <c r="AB256" s="70">
        <f>SUM(D256:Z256)</f>
        <v>0</v>
      </c>
      <c r="AD256" s="31">
        <f t="shared" si="39"/>
        <v>0</v>
      </c>
      <c r="AE256" s="31">
        <f t="shared" si="40"/>
        <v>0</v>
      </c>
      <c r="AF256" s="17">
        <f t="shared" si="41"/>
        <v>0</v>
      </c>
      <c r="AG256" s="17">
        <f t="shared" si="42"/>
        <v>0</v>
      </c>
    </row>
    <row r="257" spans="1:123" s="19" customFormat="1" ht="18" customHeight="1" x14ac:dyDescent="0.25">
      <c r="A257" s="63" t="s">
        <v>189</v>
      </c>
      <c r="B257" s="53">
        <v>16</v>
      </c>
      <c r="C257" s="49">
        <f>'2025年安徽省区利润表'!C257+'2025年江西省区利润表'!C257</f>
        <v>0</v>
      </c>
      <c r="D257" s="49">
        <f>'2025年安徽省区利润表'!D257+'2025年江西省区利润表'!D257</f>
        <v>0</v>
      </c>
      <c r="E257" s="49">
        <f>'2025年安徽省区利润表'!E257+'2025年江西省区利润表'!E257</f>
        <v>0</v>
      </c>
      <c r="F257" s="49">
        <f>'2025年安徽省区利润表'!F257+'2025年江西省区利润表'!F257</f>
        <v>0</v>
      </c>
      <c r="G257" s="49">
        <f>'2025年安徽省区利润表'!G257+'2025年江西省区利润表'!G257</f>
        <v>0</v>
      </c>
      <c r="H257" s="49">
        <f>'2025年安徽省区利润表'!H257+'2025年江西省区利润表'!H257</f>
        <v>0</v>
      </c>
      <c r="I257" s="49">
        <f>'2025年安徽省区利润表'!I257+'2025年江西省区利润表'!I257</f>
        <v>0</v>
      </c>
      <c r="J257" s="49">
        <f>'2025年安徽省区利润表'!J257+'2025年江西省区利润表'!J257</f>
        <v>0</v>
      </c>
      <c r="K257" s="49">
        <f>'2025年安徽省区利润表'!K257+'2025年江西省区利润表'!K257</f>
        <v>0</v>
      </c>
      <c r="L257" s="49">
        <f>'2025年安徽省区利润表'!L257+'2025年江西省区利润表'!L257</f>
        <v>0</v>
      </c>
      <c r="M257" s="49">
        <f>'2025年安徽省区利润表'!M257+'2025年江西省区利润表'!M257</f>
        <v>0</v>
      </c>
      <c r="N257" s="49">
        <f>'2025年安徽省区利润表'!N257+'2025年江西省区利润表'!N257</f>
        <v>0</v>
      </c>
      <c r="O257" s="49">
        <f>'2025年安徽省区利润表'!O257+'2025年江西省区利润表'!O257</f>
        <v>0</v>
      </c>
      <c r="P257" s="49">
        <f>'2025年安徽省区利润表'!P257+'2025年江西省区利润表'!P257</f>
        <v>0</v>
      </c>
      <c r="Q257" s="49">
        <f>'2025年安徽省区利润表'!Q257+'2025年江西省区利润表'!Q257</f>
        <v>0</v>
      </c>
      <c r="R257" s="49">
        <f>'2025年安徽省区利润表'!R257+'2025年江西省区利润表'!R257</f>
        <v>0</v>
      </c>
      <c r="S257" s="49">
        <f>'2025年安徽省区利润表'!S257+'2025年江西省区利润表'!S257</f>
        <v>0</v>
      </c>
      <c r="T257" s="49">
        <f>'2025年安徽省区利润表'!T257+'2025年江西省区利润表'!T257</f>
        <v>0</v>
      </c>
      <c r="U257" s="49">
        <f>'2025年安徽省区利润表'!U257+'2025年江西省区利润表'!U257</f>
        <v>0</v>
      </c>
      <c r="V257" s="49">
        <f>'2025年安徽省区利润表'!V257+'2025年江西省区利润表'!V257</f>
        <v>0</v>
      </c>
      <c r="W257" s="49">
        <f>'2025年安徽省区利润表'!W257+'2025年江西省区利润表'!W257</f>
        <v>0</v>
      </c>
      <c r="X257" s="49">
        <f>'2025年安徽省区利润表'!X257+'2025年江西省区利润表'!X257</f>
        <v>0</v>
      </c>
      <c r="Y257" s="49">
        <f>'2025年安徽省区利润表'!Y257+'2025年江西省区利润表'!Y257</f>
        <v>0</v>
      </c>
      <c r="Z257" s="49">
        <f>'2025年安徽省区利润表'!Z257+'2025年江西省区利润表'!Z257</f>
        <v>0</v>
      </c>
      <c r="AA257" s="51">
        <f t="shared" si="38"/>
        <v>0</v>
      </c>
      <c r="AB257" s="51">
        <f>D257+F257+H257+J257+L257+N257+P257+R257+T257+V257+X257+Z257</f>
        <v>0</v>
      </c>
      <c r="AD257" s="31">
        <f t="shared" si="39"/>
        <v>0</v>
      </c>
      <c r="AE257" s="31">
        <f t="shared" si="40"/>
        <v>0</v>
      </c>
      <c r="AF257" s="17">
        <f t="shared" si="41"/>
        <v>0</v>
      </c>
      <c r="AG257" s="17">
        <f t="shared" si="42"/>
        <v>0</v>
      </c>
      <c r="BG257" s="21"/>
    </row>
    <row r="258" spans="1:123" s="17" customFormat="1" ht="18" customHeight="1" x14ac:dyDescent="0.25">
      <c r="A258" s="44" t="s">
        <v>190</v>
      </c>
      <c r="B258" s="45">
        <v>17</v>
      </c>
      <c r="C258" s="76">
        <f t="shared" ref="C258:AA258" si="44">C6-C16-C28-C29-C102-C176-C250-C251-C252+C253+C254+C256+C257</f>
        <v>28385.019599999941</v>
      </c>
      <c r="D258" s="76">
        <f t="shared" si="44"/>
        <v>203946.75360000005</v>
      </c>
      <c r="E258" s="76">
        <f t="shared" si="44"/>
        <v>14933.285600000047</v>
      </c>
      <c r="F258" s="76">
        <f t="shared" si="44"/>
        <v>66296.761400000076</v>
      </c>
      <c r="G258" s="76">
        <f t="shared" si="44"/>
        <v>77576.080200000113</v>
      </c>
      <c r="H258" s="76">
        <f t="shared" si="44"/>
        <v>6519.5442000001785</v>
      </c>
      <c r="I258" s="76">
        <f t="shared" si="44"/>
        <v>173706.62940000027</v>
      </c>
      <c r="J258" s="76">
        <f t="shared" si="44"/>
        <v>188278.88659999982</v>
      </c>
      <c r="K258" s="76">
        <f t="shared" si="44"/>
        <v>125825.88560000001</v>
      </c>
      <c r="L258" s="76">
        <f t="shared" si="44"/>
        <v>38301.916800000152</v>
      </c>
      <c r="M258" s="76">
        <f t="shared" si="44"/>
        <v>170039.02599999978</v>
      </c>
      <c r="N258" s="76">
        <f t="shared" si="44"/>
        <v>175806.15779999999</v>
      </c>
      <c r="O258" s="76">
        <f t="shared" si="44"/>
        <v>181793.64859999996</v>
      </c>
      <c r="P258" s="76">
        <f t="shared" si="44"/>
        <v>150623.35200000033</v>
      </c>
      <c r="Q258" s="76">
        <f t="shared" si="44"/>
        <v>173934.51240000036</v>
      </c>
      <c r="R258" s="76">
        <f t="shared" si="44"/>
        <v>195980.66900000023</v>
      </c>
      <c r="S258" s="76">
        <f t="shared" si="44"/>
        <v>294925.60640000063</v>
      </c>
      <c r="T258" s="76">
        <f t="shared" si="44"/>
        <v>206798.57900000032</v>
      </c>
      <c r="U258" s="76">
        <f t="shared" si="44"/>
        <v>150925.13979999995</v>
      </c>
      <c r="V258" s="76">
        <f t="shared" si="44"/>
        <v>214034.24920000019</v>
      </c>
      <c r="W258" s="77">
        <f t="shared" si="44"/>
        <v>255214.15539999987</v>
      </c>
      <c r="X258" s="76">
        <f t="shared" si="44"/>
        <v>152165.19920000009</v>
      </c>
      <c r="Y258" s="76">
        <f t="shared" si="44"/>
        <v>456147.89260000049</v>
      </c>
      <c r="Z258" s="76">
        <f t="shared" si="44"/>
        <v>300126.76919999992</v>
      </c>
      <c r="AA258" s="78">
        <f t="shared" si="44"/>
        <v>2103406.8816000046</v>
      </c>
      <c r="AB258" s="47">
        <f>D258+F258+H258+J258+L258+N258+P258+R258+T258+V258+X258+Z258</f>
        <v>1898878.8380000014</v>
      </c>
      <c r="AD258" s="31">
        <f t="shared" si="39"/>
        <v>2103406.8816000014</v>
      </c>
      <c r="AE258" s="31">
        <f t="shared" si="40"/>
        <v>1898878.8380000014</v>
      </c>
      <c r="AF258" s="17">
        <f t="shared" si="41"/>
        <v>0</v>
      </c>
      <c r="AG258" s="17">
        <f t="shared" si="42"/>
        <v>0</v>
      </c>
      <c r="BG258" s="21"/>
    </row>
    <row r="259" spans="1:123" s="19" customFormat="1" ht="22" customHeight="1" x14ac:dyDescent="0.25">
      <c r="A259" s="63" t="s">
        <v>191</v>
      </c>
      <c r="B259" s="53">
        <v>18</v>
      </c>
      <c r="C259" s="49">
        <f>'2025年安徽省区利润表'!C259+'2025年江西省区利润表'!C259</f>
        <v>0</v>
      </c>
      <c r="D259" s="49">
        <f>'2025年安徽省区利润表'!D259+'2025年江西省区利润表'!D259</f>
        <v>0</v>
      </c>
      <c r="E259" s="49">
        <f>'2025年安徽省区利润表'!E259+'2025年江西省区利润表'!E259</f>
        <v>0</v>
      </c>
      <c r="F259" s="49">
        <f>'2025年安徽省区利润表'!F259+'2025年江西省区利润表'!F259</f>
        <v>0</v>
      </c>
      <c r="G259" s="49">
        <f>'2025年安徽省区利润表'!G259+'2025年江西省区利润表'!G259</f>
        <v>0</v>
      </c>
      <c r="H259" s="49">
        <f>'2025年安徽省区利润表'!H259+'2025年江西省区利润表'!H259</f>
        <v>0</v>
      </c>
      <c r="I259" s="49">
        <f>'2025年安徽省区利润表'!I259+'2025年江西省区利润表'!I259</f>
        <v>0</v>
      </c>
      <c r="J259" s="49">
        <f>'2025年安徽省区利润表'!J259+'2025年江西省区利润表'!J259</f>
        <v>0</v>
      </c>
      <c r="K259" s="49">
        <f>'2025年安徽省区利润表'!K259+'2025年江西省区利润表'!K259</f>
        <v>0</v>
      </c>
      <c r="L259" s="49">
        <f>'2025年安徽省区利润表'!L259+'2025年江西省区利润表'!L259</f>
        <v>0</v>
      </c>
      <c r="M259" s="49">
        <f>'2025年安徽省区利润表'!M259+'2025年江西省区利润表'!M259</f>
        <v>0</v>
      </c>
      <c r="N259" s="49">
        <f>'2025年安徽省区利润表'!N259+'2025年江西省区利润表'!N259</f>
        <v>0</v>
      </c>
      <c r="O259" s="49">
        <f>'2025年安徽省区利润表'!O259+'2025年江西省区利润表'!O259</f>
        <v>0</v>
      </c>
      <c r="P259" s="49">
        <f>'2025年安徽省区利润表'!P259+'2025年江西省区利润表'!P259</f>
        <v>0</v>
      </c>
      <c r="Q259" s="49">
        <f>'2025年安徽省区利润表'!Q259+'2025年江西省区利润表'!Q259</f>
        <v>0</v>
      </c>
      <c r="R259" s="49">
        <f>'2025年安徽省区利润表'!R259+'2025年江西省区利润表'!R259</f>
        <v>0</v>
      </c>
      <c r="S259" s="49">
        <f>'2025年安徽省区利润表'!S259+'2025年江西省区利润表'!S259</f>
        <v>0</v>
      </c>
      <c r="T259" s="49">
        <f>'2025年安徽省区利润表'!T259+'2025年江西省区利润表'!T259</f>
        <v>0</v>
      </c>
      <c r="U259" s="49">
        <f>'2025年安徽省区利润表'!U259+'2025年江西省区利润表'!U259</f>
        <v>0</v>
      </c>
      <c r="V259" s="49">
        <f>'2025年安徽省区利润表'!V259+'2025年江西省区利润表'!V259</f>
        <v>0</v>
      </c>
      <c r="W259" s="49">
        <f>'2025年安徽省区利润表'!W259+'2025年江西省区利润表'!W259</f>
        <v>0</v>
      </c>
      <c r="X259" s="49">
        <f>'2025年安徽省区利润表'!X259+'2025年江西省区利润表'!X259</f>
        <v>0</v>
      </c>
      <c r="Y259" s="49">
        <f>'2025年安徽省区利润表'!Y259+'2025年江西省区利润表'!Y259</f>
        <v>0</v>
      </c>
      <c r="Z259" s="49">
        <f>'2025年安徽省区利润表'!Z259+'2025年江西省区利润表'!Z259</f>
        <v>0</v>
      </c>
      <c r="AA259" s="51">
        <f>C259+E259+G259+I259+K259+M259+O259+Q259+S259+U259+W259+Y259</f>
        <v>0</v>
      </c>
      <c r="AB259" s="51">
        <f>D259+F259+H259+J259+L259+N259+P259+R259+T259+V259+X259+Z259</f>
        <v>0</v>
      </c>
      <c r="AD259" s="31">
        <f t="shared" si="39"/>
        <v>0</v>
      </c>
      <c r="AE259" s="31">
        <f t="shared" si="40"/>
        <v>0</v>
      </c>
      <c r="AF259" s="17">
        <f t="shared" si="41"/>
        <v>0</v>
      </c>
      <c r="AG259" s="17">
        <f t="shared" si="42"/>
        <v>0</v>
      </c>
      <c r="BG259" s="21"/>
    </row>
    <row r="260" spans="1:123" s="19" customFormat="1" ht="22" customHeight="1" x14ac:dyDescent="0.25">
      <c r="A260" s="63" t="s">
        <v>192</v>
      </c>
      <c r="B260" s="53">
        <v>19</v>
      </c>
      <c r="C260" s="49">
        <f>'2025年安徽省区利润表'!C260+'2025年江西省区利润表'!C260</f>
        <v>0</v>
      </c>
      <c r="D260" s="49">
        <f>'2025年安徽省区利润表'!D260+'2025年江西省区利润表'!D260</f>
        <v>0</v>
      </c>
      <c r="E260" s="49">
        <f>'2025年安徽省区利润表'!E260+'2025年江西省区利润表'!E260</f>
        <v>0</v>
      </c>
      <c r="F260" s="49">
        <f>'2025年安徽省区利润表'!F260+'2025年江西省区利润表'!F260</f>
        <v>0</v>
      </c>
      <c r="G260" s="49">
        <f>'2025年安徽省区利润表'!G260+'2025年江西省区利润表'!G260</f>
        <v>0</v>
      </c>
      <c r="H260" s="49">
        <f>'2025年安徽省区利润表'!H260+'2025年江西省区利润表'!H260</f>
        <v>0</v>
      </c>
      <c r="I260" s="49">
        <f>'2025年安徽省区利润表'!I260+'2025年江西省区利润表'!I260</f>
        <v>0</v>
      </c>
      <c r="J260" s="49">
        <f>'2025年安徽省区利润表'!J260+'2025年江西省区利润表'!J260</f>
        <v>0</v>
      </c>
      <c r="K260" s="49">
        <f>'2025年安徽省区利润表'!K260+'2025年江西省区利润表'!K260</f>
        <v>0</v>
      </c>
      <c r="L260" s="49">
        <f>'2025年安徽省区利润表'!L260+'2025年江西省区利润表'!L260</f>
        <v>0</v>
      </c>
      <c r="M260" s="49">
        <f>'2025年安徽省区利润表'!M260+'2025年江西省区利润表'!M260</f>
        <v>0</v>
      </c>
      <c r="N260" s="49">
        <f>'2025年安徽省区利润表'!N260+'2025年江西省区利润表'!N260</f>
        <v>0</v>
      </c>
      <c r="O260" s="49">
        <f>'2025年安徽省区利润表'!O260+'2025年江西省区利润表'!O260</f>
        <v>0</v>
      </c>
      <c r="P260" s="49">
        <f>'2025年安徽省区利润表'!P260+'2025年江西省区利润表'!P260</f>
        <v>0</v>
      </c>
      <c r="Q260" s="49">
        <f>'2025年安徽省区利润表'!Q260+'2025年江西省区利润表'!Q260</f>
        <v>0</v>
      </c>
      <c r="R260" s="49">
        <f>'2025年安徽省区利润表'!R260+'2025年江西省区利润表'!R260</f>
        <v>0</v>
      </c>
      <c r="S260" s="49">
        <f>'2025年安徽省区利润表'!S260+'2025年江西省区利润表'!S260</f>
        <v>0</v>
      </c>
      <c r="T260" s="49">
        <f>'2025年安徽省区利润表'!T260+'2025年江西省区利润表'!T260</f>
        <v>0</v>
      </c>
      <c r="U260" s="49">
        <f>'2025年安徽省区利润表'!U260+'2025年江西省区利润表'!U260</f>
        <v>0</v>
      </c>
      <c r="V260" s="49">
        <f>'2025年安徽省区利润表'!V260+'2025年江西省区利润表'!V260</f>
        <v>0</v>
      </c>
      <c r="W260" s="49">
        <f>'2025年安徽省区利润表'!W260+'2025年江西省区利润表'!W260</f>
        <v>0</v>
      </c>
      <c r="X260" s="49">
        <f>'2025年安徽省区利润表'!X260+'2025年江西省区利润表'!X260</f>
        <v>0</v>
      </c>
      <c r="Y260" s="49">
        <f>'2025年安徽省区利润表'!Y260+'2025年江西省区利润表'!Y260</f>
        <v>0</v>
      </c>
      <c r="Z260" s="49">
        <f>'2025年安徽省区利润表'!Z260+'2025年江西省区利润表'!Z260</f>
        <v>0</v>
      </c>
      <c r="AA260" s="51">
        <f>C260+E260+G260+I260+K260+M260+O260+Q260+S260+U260+W260+Y260</f>
        <v>0</v>
      </c>
      <c r="AB260" s="51">
        <f>D260+F260+H260+J260+L260+N260+P260+R260+T260+V260+X260+Z260</f>
        <v>0</v>
      </c>
      <c r="AD260" s="31">
        <f t="shared" si="39"/>
        <v>0</v>
      </c>
      <c r="AE260" s="31">
        <f t="shared" si="40"/>
        <v>0</v>
      </c>
      <c r="AF260" s="17">
        <f t="shared" si="41"/>
        <v>0</v>
      </c>
      <c r="AG260" s="17">
        <f t="shared" si="42"/>
        <v>0</v>
      </c>
      <c r="BG260" s="21"/>
    </row>
    <row r="261" spans="1:123" s="17" customFormat="1" ht="22" customHeight="1" x14ac:dyDescent="0.25">
      <c r="A261" s="44" t="s">
        <v>193</v>
      </c>
      <c r="B261" s="45">
        <v>20</v>
      </c>
      <c r="C261" s="76">
        <f t="shared" ref="C261:AB261" si="45">C258+C259-C260</f>
        <v>28385.019599999941</v>
      </c>
      <c r="D261" s="76">
        <f t="shared" si="45"/>
        <v>203946.75360000005</v>
      </c>
      <c r="E261" s="76">
        <f t="shared" si="45"/>
        <v>14933.285600000047</v>
      </c>
      <c r="F261" s="76">
        <f t="shared" si="45"/>
        <v>66296.761400000076</v>
      </c>
      <c r="G261" s="76">
        <f t="shared" si="45"/>
        <v>77576.080200000113</v>
      </c>
      <c r="H261" s="76">
        <f t="shared" si="45"/>
        <v>6519.5442000001785</v>
      </c>
      <c r="I261" s="76">
        <f t="shared" si="45"/>
        <v>173706.62940000027</v>
      </c>
      <c r="J261" s="76">
        <f t="shared" si="45"/>
        <v>188278.88659999982</v>
      </c>
      <c r="K261" s="76">
        <f t="shared" si="45"/>
        <v>125825.88560000001</v>
      </c>
      <c r="L261" s="76">
        <f t="shared" si="45"/>
        <v>38301.916800000152</v>
      </c>
      <c r="M261" s="76">
        <f t="shared" si="45"/>
        <v>170039.02599999978</v>
      </c>
      <c r="N261" s="76">
        <f t="shared" si="45"/>
        <v>175806.15779999999</v>
      </c>
      <c r="O261" s="76">
        <f t="shared" si="45"/>
        <v>181793.64859999996</v>
      </c>
      <c r="P261" s="76">
        <f t="shared" si="45"/>
        <v>150623.35200000033</v>
      </c>
      <c r="Q261" s="76">
        <f t="shared" si="45"/>
        <v>173934.51240000036</v>
      </c>
      <c r="R261" s="76">
        <f t="shared" si="45"/>
        <v>195980.66900000023</v>
      </c>
      <c r="S261" s="76">
        <f t="shared" si="45"/>
        <v>294925.60640000063</v>
      </c>
      <c r="T261" s="76">
        <f t="shared" si="45"/>
        <v>206798.57900000032</v>
      </c>
      <c r="U261" s="76">
        <f t="shared" si="45"/>
        <v>150925.13979999995</v>
      </c>
      <c r="V261" s="76">
        <f t="shared" si="45"/>
        <v>214034.24920000019</v>
      </c>
      <c r="W261" s="77">
        <f t="shared" si="45"/>
        <v>255214.15539999987</v>
      </c>
      <c r="X261" s="76">
        <f t="shared" si="45"/>
        <v>152165.19920000009</v>
      </c>
      <c r="Y261" s="76">
        <f t="shared" si="45"/>
        <v>456147.89260000049</v>
      </c>
      <c r="Z261" s="76">
        <f t="shared" si="45"/>
        <v>300126.76919999992</v>
      </c>
      <c r="AA261" s="78">
        <f t="shared" si="45"/>
        <v>2103406.8816000046</v>
      </c>
      <c r="AB261" s="78">
        <f t="shared" si="45"/>
        <v>1898878.8380000014</v>
      </c>
      <c r="AD261" s="31">
        <f t="shared" si="39"/>
        <v>2103406.8816000014</v>
      </c>
      <c r="AE261" s="31">
        <f t="shared" si="40"/>
        <v>1898878.8380000014</v>
      </c>
      <c r="AF261" s="55">
        <f>AD26-AD28-AD29-AD102-AD176-AD250-AD251-AD252+AD257+AD259-AD260-AA261</f>
        <v>0</v>
      </c>
      <c r="AG261" s="55">
        <f>AE26-AE28-AE29-AE102-AE176-AE250-AE251-AE252+AE257+AE259-AE260-AB261</f>
        <v>0</v>
      </c>
      <c r="BG261" s="21"/>
    </row>
    <row r="262" spans="1:123" s="19" customFormat="1" ht="22" customHeight="1" x14ac:dyDescent="0.25">
      <c r="A262" s="63" t="s">
        <v>194</v>
      </c>
      <c r="B262" s="53">
        <v>21</v>
      </c>
      <c r="C262" s="49">
        <f>'2025年安徽省区利润表'!C262+'2025年江西省区利润表'!C262</f>
        <v>0</v>
      </c>
      <c r="D262" s="49">
        <f>'2025年安徽省区利润表'!D262+'2025年江西省区利润表'!D262</f>
        <v>0</v>
      </c>
      <c r="E262" s="49">
        <f>'2025年安徽省区利润表'!E262+'2025年江西省区利润表'!E262</f>
        <v>0</v>
      </c>
      <c r="F262" s="49">
        <f>'2025年安徽省区利润表'!F262+'2025年江西省区利润表'!F262</f>
        <v>0</v>
      </c>
      <c r="G262" s="49">
        <f>'2025年安徽省区利润表'!G262+'2025年江西省区利润表'!G262</f>
        <v>0</v>
      </c>
      <c r="H262" s="49">
        <f>'2025年安徽省区利润表'!H262+'2025年江西省区利润表'!H262</f>
        <v>0</v>
      </c>
      <c r="I262" s="49">
        <f>'2025年安徽省区利润表'!I262+'2025年江西省区利润表'!I262</f>
        <v>6134.02</v>
      </c>
      <c r="J262" s="49">
        <f>'2025年安徽省区利润表'!J262+'2025年江西省区利润表'!J262</f>
        <v>0</v>
      </c>
      <c r="K262" s="49">
        <f>'2025年安徽省区利润表'!K262+'2025年江西省区利润表'!K262</f>
        <v>3291.5</v>
      </c>
      <c r="L262" s="49">
        <f>'2025年安徽省区利润表'!L262+'2025年江西省区利润表'!L262</f>
        <v>0</v>
      </c>
      <c r="M262" s="49">
        <f>'2025年安徽省区利润表'!M262+'2025年江西省区利润表'!M262</f>
        <v>6030.93</v>
      </c>
      <c r="N262" s="49">
        <f>'2025年安徽省区利润表'!N262+'2025年江西省区利润表'!N262</f>
        <v>0</v>
      </c>
      <c r="O262" s="49">
        <f>'2025年安徽省区利润表'!O262+'2025年江西省区利润表'!O262</f>
        <v>6800.41</v>
      </c>
      <c r="P262" s="49">
        <f>'2025年安徽省区利润表'!P262+'2025年江西省区利润表'!P262</f>
        <v>0</v>
      </c>
      <c r="Q262" s="49">
        <f>'2025年安徽省区利润表'!Q262+'2025年江西省区利润表'!Q262</f>
        <v>6038.19</v>
      </c>
      <c r="R262" s="49">
        <f>'2025年安徽省区利润表'!R262+'2025年江西省区利润表'!R262</f>
        <v>0</v>
      </c>
      <c r="S262" s="49">
        <f>'2025年安徽省区利润表'!S262+'2025年江西省区利润表'!S262</f>
        <v>12146.11</v>
      </c>
      <c r="T262" s="49">
        <f>'2025年安徽省区利润表'!T262+'2025年江西省区利润表'!T262</f>
        <v>0</v>
      </c>
      <c r="U262" s="49">
        <f>'2025年安徽省区利润表'!U262+'2025年江西省区利润表'!U262</f>
        <v>4357.7299999999996</v>
      </c>
      <c r="V262" s="49">
        <f>'2025年安徽省区利润表'!V262+'2025年江西省区利润表'!V262</f>
        <v>0</v>
      </c>
      <c r="W262" s="49">
        <f>'2025年安徽省区利润表'!W262+'2025年江西省区利润表'!W262</f>
        <v>11190.01</v>
      </c>
      <c r="X262" s="49">
        <f>'2025年安徽省区利润表'!X262+'2025年江西省区利润表'!X262</f>
        <v>0</v>
      </c>
      <c r="Y262" s="49">
        <f>'2025年安徽省区利润表'!Y262+'2025年江西省区利润表'!Y262</f>
        <v>23300.2</v>
      </c>
      <c r="Z262" s="49">
        <f>'2025年安徽省区利润表'!Z262+'2025年江西省区利润表'!Z262</f>
        <v>0</v>
      </c>
      <c r="AA262" s="51">
        <f>C262+E262+G262+I262+K262+M262+O262+Q262+S262+U262+W262+Y262</f>
        <v>79289.100000000006</v>
      </c>
      <c r="AB262" s="51">
        <f>D262+F262+H262+J262+L262+N262+P262+R262+T262+V262+X262+Z262</f>
        <v>0</v>
      </c>
      <c r="AD262" s="31">
        <f t="shared" si="39"/>
        <v>79289.100000000006</v>
      </c>
      <c r="AE262" s="31">
        <f t="shared" si="40"/>
        <v>0</v>
      </c>
      <c r="AF262" s="17">
        <f>AA262-AD262</f>
        <v>0</v>
      </c>
      <c r="AG262" s="17" t="e">
        <f>IF(AB262-AE262=AB262-#REF!,0,AE262-#REF!)</f>
        <v>#REF!</v>
      </c>
      <c r="BG262" s="21"/>
    </row>
    <row r="263" spans="1:123" s="17" customFormat="1" ht="22" customHeight="1" x14ac:dyDescent="0.25">
      <c r="A263" s="44" t="s">
        <v>196</v>
      </c>
      <c r="B263" s="45">
        <v>22</v>
      </c>
      <c r="C263" s="76">
        <f t="shared" ref="C263:AB263" si="46">C261-C262</f>
        <v>28385.019599999941</v>
      </c>
      <c r="D263" s="76">
        <f t="shared" si="46"/>
        <v>203946.75360000005</v>
      </c>
      <c r="E263" s="76">
        <f t="shared" si="46"/>
        <v>14933.285600000047</v>
      </c>
      <c r="F263" s="76">
        <f t="shared" si="46"/>
        <v>66296.761400000076</v>
      </c>
      <c r="G263" s="76">
        <f t="shared" si="46"/>
        <v>77576.080200000113</v>
      </c>
      <c r="H263" s="76">
        <f t="shared" si="46"/>
        <v>6519.5442000001785</v>
      </c>
      <c r="I263" s="76">
        <f t="shared" si="46"/>
        <v>167572.60940000028</v>
      </c>
      <c r="J263" s="76">
        <f t="shared" si="46"/>
        <v>188278.88659999982</v>
      </c>
      <c r="K263" s="76">
        <f t="shared" si="46"/>
        <v>122534.38560000001</v>
      </c>
      <c r="L263" s="76">
        <f t="shared" si="46"/>
        <v>38301.916800000152</v>
      </c>
      <c r="M263" s="76">
        <f t="shared" si="46"/>
        <v>164008.09599999979</v>
      </c>
      <c r="N263" s="76">
        <f t="shared" si="46"/>
        <v>175806.15779999999</v>
      </c>
      <c r="O263" s="76">
        <f t="shared" si="46"/>
        <v>174993.23859999995</v>
      </c>
      <c r="P263" s="76">
        <f t="shared" si="46"/>
        <v>150623.35200000033</v>
      </c>
      <c r="Q263" s="76">
        <f t="shared" si="46"/>
        <v>167896.32240000035</v>
      </c>
      <c r="R263" s="76">
        <f t="shared" si="46"/>
        <v>195980.66900000023</v>
      </c>
      <c r="S263" s="76">
        <f t="shared" si="46"/>
        <v>282779.49640000064</v>
      </c>
      <c r="T263" s="76">
        <f t="shared" si="46"/>
        <v>206798.57900000032</v>
      </c>
      <c r="U263" s="76">
        <f t="shared" si="46"/>
        <v>146567.40979999994</v>
      </c>
      <c r="V263" s="76">
        <f t="shared" si="46"/>
        <v>214034.24920000019</v>
      </c>
      <c r="W263" s="77">
        <f t="shared" si="46"/>
        <v>244024.14539999986</v>
      </c>
      <c r="X263" s="76">
        <f t="shared" si="46"/>
        <v>152165.19920000009</v>
      </c>
      <c r="Y263" s="76">
        <f t="shared" si="46"/>
        <v>432847.69260000048</v>
      </c>
      <c r="Z263" s="76">
        <f t="shared" si="46"/>
        <v>300126.76919999992</v>
      </c>
      <c r="AA263" s="78">
        <f t="shared" si="46"/>
        <v>2024117.7816000045</v>
      </c>
      <c r="AB263" s="78">
        <f t="shared" si="46"/>
        <v>1898878.8380000014</v>
      </c>
      <c r="AD263" s="31">
        <f t="shared" si="39"/>
        <v>2024117.7816000015</v>
      </c>
      <c r="AE263" s="31">
        <f t="shared" si="40"/>
        <v>1898878.8380000014</v>
      </c>
      <c r="AF263" s="17">
        <f>AA263-AD263</f>
        <v>3.0267983675003052E-9</v>
      </c>
      <c r="AG263" s="17">
        <f>AB263-AE263</f>
        <v>0</v>
      </c>
      <c r="BG263" s="21"/>
    </row>
    <row r="264" spans="1:123" s="17" customFormat="1" ht="22" customHeight="1" x14ac:dyDescent="0.25">
      <c r="A264" s="79" t="s">
        <v>197</v>
      </c>
      <c r="B264" s="45">
        <v>23</v>
      </c>
      <c r="C264" s="49">
        <f>'2025年安徽省区利润表'!C264+'2025年江西省区利润表'!C264</f>
        <v>0</v>
      </c>
      <c r="D264" s="49">
        <f>'2025年安徽省区利润表'!D264+'2025年江西省区利润表'!D264</f>
        <v>0</v>
      </c>
      <c r="E264" s="49">
        <f>'2025年安徽省区利润表'!E264+'2025年江西省区利润表'!E264</f>
        <v>0</v>
      </c>
      <c r="F264" s="49">
        <f>'2025年安徽省区利润表'!F264+'2025年江西省区利润表'!F264</f>
        <v>1081</v>
      </c>
      <c r="G264" s="49">
        <f>'2025年安徽省区利润表'!G264+'2025年江西省区利润表'!G264</f>
        <v>0</v>
      </c>
      <c r="H264" s="49">
        <f>'2025年安徽省区利润表'!H264+'2025年江西省区利润表'!H264</f>
        <v>0</v>
      </c>
      <c r="I264" s="49">
        <f>'2025年安徽省区利润表'!I264+'2025年江西省区利润表'!I264</f>
        <v>0</v>
      </c>
      <c r="J264" s="49">
        <f>'2025年安徽省区利润表'!J264+'2025年江西省区利润表'!J264</f>
        <v>0</v>
      </c>
      <c r="K264" s="49">
        <f>'2025年安徽省区利润表'!K264+'2025年江西省区利润表'!K264</f>
        <v>0</v>
      </c>
      <c r="L264" s="49">
        <f>'2025年安徽省区利润表'!L264+'2025年江西省区利润表'!L264</f>
        <v>9114</v>
      </c>
      <c r="M264" s="49">
        <f>'2025年安徽省区利润表'!M264+'2025年江西省区利润表'!M264</f>
        <v>0</v>
      </c>
      <c r="N264" s="49">
        <f>'2025年安徽省区利润表'!N264+'2025年江西省区利润表'!N264</f>
        <v>34408</v>
      </c>
      <c r="O264" s="49">
        <f>'2025年安徽省区利润表'!O264+'2025年江西省区利润表'!O264</f>
        <v>0</v>
      </c>
      <c r="P264" s="49">
        <f>'2025年安徽省区利润表'!P264+'2025年江西省区利润表'!P264</f>
        <v>12435</v>
      </c>
      <c r="Q264" s="49">
        <f>'2025年安徽省区利润表'!Q264+'2025年江西省区利润表'!Q264</f>
        <v>0</v>
      </c>
      <c r="R264" s="49">
        <f>'2025年安徽省区利润表'!R264+'2025年江西省区利润表'!R264</f>
        <v>9599</v>
      </c>
      <c r="S264" s="49">
        <f>'2025年安徽省区利润表'!S264+'2025年江西省区利润表'!S264</f>
        <v>0</v>
      </c>
      <c r="T264" s="49">
        <f>'2025年安徽省区利润表'!T264+'2025年江西省区利润表'!T264</f>
        <v>13435</v>
      </c>
      <c r="U264" s="49">
        <f>'2025年安徽省区利润表'!U264+'2025年江西省区利润表'!U264</f>
        <v>0</v>
      </c>
      <c r="V264" s="49">
        <f>'2025年安徽省区利润表'!V264+'2025年江西省区利润表'!V264</f>
        <v>19415</v>
      </c>
      <c r="W264" s="49">
        <f>'2025年安徽省区利润表'!W264+'2025年江西省区利润表'!W264</f>
        <v>0</v>
      </c>
      <c r="X264" s="49">
        <f>'2025年安徽省区利润表'!X264+'2025年江西省区利润表'!X264</f>
        <v>9708</v>
      </c>
      <c r="Y264" s="49">
        <f>'2025年安徽省区利润表'!Y264+'2025年江西省区利润表'!Y264</f>
        <v>0</v>
      </c>
      <c r="Z264" s="49">
        <f>'2025年安徽省区利润表'!Z264+'2025年江西省区利润表'!Z264</f>
        <v>-460</v>
      </c>
      <c r="AA264" s="51">
        <f>C264+E264+G264+I264+K264+M264+O264+Q264+S264+U264+W264+Y264</f>
        <v>0</v>
      </c>
      <c r="AB264" s="51">
        <f>D264+F264+H264+J264+L264+N264+P264+R264+T264+V264+X264+Z264</f>
        <v>108735</v>
      </c>
      <c r="AD264" s="80">
        <f>SUMIF($C$5:$Z$263,$AD$5,$A264:Z523)</f>
        <v>0</v>
      </c>
      <c r="AE264" s="80">
        <f>SUMIF($C$5:$Z$263,$AE$5,$C264:Z523)</f>
        <v>108735</v>
      </c>
      <c r="BG264" s="21"/>
    </row>
    <row r="265" spans="1:123" s="17" customFormat="1" ht="22" customHeight="1" x14ac:dyDescent="0.25">
      <c r="A265" s="81" t="s">
        <v>198</v>
      </c>
      <c r="B265" s="45">
        <v>24</v>
      </c>
      <c r="C265" s="77">
        <f t="shared" ref="C265:Z265" si="47">C263-C264</f>
        <v>28385.019599999941</v>
      </c>
      <c r="D265" s="77">
        <f t="shared" si="47"/>
        <v>203946.75360000005</v>
      </c>
      <c r="E265" s="77">
        <f t="shared" si="47"/>
        <v>14933.285600000047</v>
      </c>
      <c r="F265" s="77">
        <f t="shared" si="47"/>
        <v>65215.761400000076</v>
      </c>
      <c r="G265" s="77">
        <f t="shared" si="47"/>
        <v>77576.080200000113</v>
      </c>
      <c r="H265" s="77">
        <f t="shared" si="47"/>
        <v>6519.5442000001785</v>
      </c>
      <c r="I265" s="77">
        <f t="shared" si="47"/>
        <v>167572.60940000028</v>
      </c>
      <c r="J265" s="77">
        <f t="shared" si="47"/>
        <v>188278.88659999982</v>
      </c>
      <c r="K265" s="77">
        <f t="shared" si="47"/>
        <v>122534.38560000001</v>
      </c>
      <c r="L265" s="77">
        <f t="shared" si="47"/>
        <v>29187.916800000152</v>
      </c>
      <c r="M265" s="77">
        <f t="shared" si="47"/>
        <v>164008.09599999979</v>
      </c>
      <c r="N265" s="77">
        <f t="shared" si="47"/>
        <v>141398.15779999999</v>
      </c>
      <c r="O265" s="77">
        <f t="shared" si="47"/>
        <v>174993.23859999995</v>
      </c>
      <c r="P265" s="77">
        <f t="shared" si="47"/>
        <v>138188.35200000033</v>
      </c>
      <c r="Q265" s="77">
        <f t="shared" si="47"/>
        <v>167896.32240000035</v>
      </c>
      <c r="R265" s="77">
        <f t="shared" si="47"/>
        <v>186381.66900000023</v>
      </c>
      <c r="S265" s="77">
        <f t="shared" si="47"/>
        <v>282779.49640000064</v>
      </c>
      <c r="T265" s="77">
        <f t="shared" si="47"/>
        <v>193363.57900000032</v>
      </c>
      <c r="U265" s="77">
        <f t="shared" si="47"/>
        <v>146567.40979999994</v>
      </c>
      <c r="V265" s="77">
        <f t="shared" si="47"/>
        <v>194619.24920000019</v>
      </c>
      <c r="W265" s="77">
        <f t="shared" si="47"/>
        <v>244024.14539999986</v>
      </c>
      <c r="X265" s="77">
        <f t="shared" si="47"/>
        <v>142457.19920000009</v>
      </c>
      <c r="Y265" s="77">
        <f t="shared" si="47"/>
        <v>432847.69260000048</v>
      </c>
      <c r="Z265" s="77">
        <f t="shared" si="47"/>
        <v>300586.76919999992</v>
      </c>
      <c r="AA265" s="47">
        <f>C265+E265+G265+I265+K265+M265+O265+Q265+S265+U265+W265+Y265</f>
        <v>2024117.7816000015</v>
      </c>
      <c r="AB265" s="47">
        <f>D265+F265+H265+J265+L265+N265+P265+R265+T265+V265+X265+Z265</f>
        <v>1790143.8380000014</v>
      </c>
      <c r="AD265" s="80">
        <f>SUMIF($C$5:$Z$263,$AD$5,$A265:Z524)</f>
        <v>1591270.0890000011</v>
      </c>
      <c r="AE265" s="80">
        <f>SUMIF($C$5:$Z$263,$AE$5,$C265:Z524)</f>
        <v>1790143.8380000014</v>
      </c>
      <c r="BG265" s="21"/>
    </row>
    <row r="266" spans="1:123" s="20" customFormat="1" ht="22" customHeight="1" x14ac:dyDescent="0.25">
      <c r="A266" s="82" t="s">
        <v>211</v>
      </c>
      <c r="B266" s="83"/>
      <c r="C266" s="84">
        <f t="shared" ref="C266:AB266" si="48">C263/C6</f>
        <v>3.3623299711715127E-2</v>
      </c>
      <c r="D266" s="84">
        <f t="shared" si="48"/>
        <v>0.15131411812904211</v>
      </c>
      <c r="E266" s="84">
        <f t="shared" si="48"/>
        <v>1.7313653211828255E-2</v>
      </c>
      <c r="F266" s="84">
        <f t="shared" si="48"/>
        <v>9.3422793158688414E-2</v>
      </c>
      <c r="G266" s="84">
        <f t="shared" si="48"/>
        <v>5.6386598639972071E-2</v>
      </c>
      <c r="H266" s="84">
        <f t="shared" si="48"/>
        <v>8.7123241194740388E-3</v>
      </c>
      <c r="I266" s="84">
        <f t="shared" si="48"/>
        <v>9.6386749800137519E-2</v>
      </c>
      <c r="J266" s="84">
        <f t="shared" si="48"/>
        <v>0.13797863315737915</v>
      </c>
      <c r="K266" s="84">
        <f t="shared" si="48"/>
        <v>8.1709174454933364E-2</v>
      </c>
      <c r="L266" s="84">
        <f t="shared" si="48"/>
        <v>5.1654935537667188E-2</v>
      </c>
      <c r="M266" s="84">
        <f t="shared" si="48"/>
        <v>9.6755342336185768E-2</v>
      </c>
      <c r="N266" s="84">
        <f t="shared" si="48"/>
        <v>0.15068441875348443</v>
      </c>
      <c r="O266" s="84">
        <f t="shared" si="48"/>
        <v>0.10095824185009351</v>
      </c>
      <c r="P266" s="84">
        <f t="shared" si="48"/>
        <v>0.15869364474897504</v>
      </c>
      <c r="Q266" s="84">
        <f t="shared" si="48"/>
        <v>9.6471654053598047E-2</v>
      </c>
      <c r="R266" s="84">
        <f t="shared" si="48"/>
        <v>0.1532666949453052</v>
      </c>
      <c r="S266" s="84">
        <f t="shared" si="48"/>
        <v>0.11317018985115583</v>
      </c>
      <c r="T266" s="84">
        <f t="shared" si="48"/>
        <v>0.14672861389051062</v>
      </c>
      <c r="U266" s="84">
        <f t="shared" si="48"/>
        <v>8.6671729673471795E-2</v>
      </c>
      <c r="V266" s="84">
        <f t="shared" si="48"/>
        <v>0.17975644303370855</v>
      </c>
      <c r="W266" s="84">
        <f t="shared" si="48"/>
        <v>0.11820892112252072</v>
      </c>
      <c r="X266" s="84">
        <f t="shared" si="48"/>
        <v>0.15031644955089796</v>
      </c>
      <c r="Y266" s="84">
        <f t="shared" si="48"/>
        <v>0.14404228630193797</v>
      </c>
      <c r="Z266" s="84">
        <f t="shared" si="48"/>
        <v>0.19051810875029143</v>
      </c>
      <c r="AA266" s="85">
        <f t="shared" si="48"/>
        <v>9.7554459982042277E-2</v>
      </c>
      <c r="AB266" s="85">
        <f t="shared" si="48"/>
        <v>0.14071923717794993</v>
      </c>
      <c r="AC266" s="61"/>
      <c r="AD266" s="61">
        <f>SUM(AD6,-AD16,-AD28,-AD29,-AD102,-AD176,-AD250,-AD251,-AD252,AD257,AD259,-AD260,-AD262)/AD6</f>
        <v>9.7554459982042277E-2</v>
      </c>
      <c r="AE266" s="61">
        <f>SUM(AE6,-AE16,-AE28,-AE29,-AE102,-AE176,-AE250,-AE251,-AE252,AE257,AE259,-AE260,-AE262)/AE6</f>
        <v>0.14071923717794987</v>
      </c>
      <c r="AF266" s="17">
        <f>AA266-AD266</f>
        <v>0</v>
      </c>
      <c r="AG266" s="17">
        <f>AB266-AE266</f>
        <v>0</v>
      </c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61"/>
      <c r="AX266" s="61"/>
      <c r="AY266" s="61"/>
      <c r="AZ266" s="61"/>
      <c r="BA266" s="61"/>
      <c r="BB266" s="61"/>
      <c r="BC266" s="61"/>
      <c r="BD266" s="61"/>
      <c r="BE266" s="61"/>
      <c r="BF266" s="61"/>
      <c r="BG266" s="61"/>
      <c r="BH266" s="61"/>
      <c r="BI266" s="6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  <c r="BV266" s="61"/>
      <c r="BW266" s="61"/>
      <c r="BX266" s="61"/>
      <c r="BY266" s="61"/>
      <c r="BZ266" s="61"/>
      <c r="CA266" s="61"/>
      <c r="CB266" s="61"/>
      <c r="CC266" s="61"/>
      <c r="CD266" s="61"/>
      <c r="CE266" s="61"/>
      <c r="CF266" s="61"/>
      <c r="CG266" s="61"/>
      <c r="CH266" s="61"/>
      <c r="CI266" s="61"/>
      <c r="CJ266" s="61"/>
      <c r="CK266" s="61"/>
      <c r="CL266" s="61"/>
      <c r="CM266" s="61"/>
      <c r="CN266" s="61"/>
      <c r="CO266" s="61"/>
      <c r="CP266" s="61"/>
      <c r="CQ266" s="61"/>
      <c r="CR266" s="61"/>
      <c r="CS266" s="61"/>
      <c r="CT266" s="61"/>
      <c r="CU266" s="61"/>
      <c r="CV266" s="61"/>
      <c r="CW266" s="61"/>
      <c r="CX266" s="61"/>
      <c r="CY266" s="61"/>
      <c r="CZ266" s="61"/>
      <c r="DA266" s="61"/>
      <c r="DB266" s="61"/>
      <c r="DC266" s="61"/>
      <c r="DD266" s="61"/>
      <c r="DE266" s="61"/>
      <c r="DF266" s="61"/>
      <c r="DG266" s="61"/>
      <c r="DH266" s="61"/>
      <c r="DI266" s="61"/>
      <c r="DJ266" s="61"/>
      <c r="DK266" s="61"/>
      <c r="DL266" s="61"/>
      <c r="DM266" s="61"/>
      <c r="DN266" s="61"/>
      <c r="DO266" s="61"/>
      <c r="DP266" s="61"/>
      <c r="DQ266" s="61"/>
      <c r="DR266" s="61"/>
      <c r="DS266" s="61"/>
    </row>
    <row r="267" spans="1:123" s="19" customFormat="1" ht="21" customHeight="1" x14ac:dyDescent="0.25">
      <c r="A267" s="82" t="s">
        <v>212</v>
      </c>
      <c r="B267" s="83"/>
      <c r="C267" s="84"/>
      <c r="D267" s="84">
        <f>D6/C6</f>
        <v>1.5965718913151663</v>
      </c>
      <c r="E267" s="84"/>
      <c r="F267" s="84">
        <f>F6/E6</f>
        <v>0.82275931757708565</v>
      </c>
      <c r="G267" s="84"/>
      <c r="H267" s="84">
        <f>H6/G6</f>
        <v>0.54391530121777654</v>
      </c>
      <c r="I267" s="84"/>
      <c r="J267" s="84">
        <f>J6/I6</f>
        <v>0.78488148876573738</v>
      </c>
      <c r="K267" s="84"/>
      <c r="L267" s="84">
        <f>L6/K6</f>
        <v>0.49444903061032341</v>
      </c>
      <c r="M267" s="84"/>
      <c r="N267" s="84">
        <f>N6/M6</f>
        <v>0.68829624848735804</v>
      </c>
      <c r="O267" s="84"/>
      <c r="P267" s="84">
        <f>P6/O6</f>
        <v>0.54758719471413464</v>
      </c>
      <c r="Q267" s="84"/>
      <c r="R267" s="84">
        <f>R6/Q6</f>
        <v>0.7347235912227098</v>
      </c>
      <c r="S267" s="84"/>
      <c r="T267" s="84">
        <f>T6/S6</f>
        <v>0.56404903826178154</v>
      </c>
      <c r="U267" s="84"/>
      <c r="V267" s="84">
        <f>V6/U6</f>
        <v>0.70410731877664479</v>
      </c>
      <c r="W267" s="84"/>
      <c r="X267" s="84">
        <f>X6/W6</f>
        <v>0.49037269837487102</v>
      </c>
      <c r="Y267" s="84"/>
      <c r="Z267" s="84">
        <f>Z6/Y6</f>
        <v>0.52423181088804549</v>
      </c>
      <c r="AA267" s="85"/>
      <c r="AB267" s="86">
        <f>AB6/AA6</f>
        <v>0.65036196031289806</v>
      </c>
      <c r="AD267" s="61"/>
      <c r="AE267" s="61">
        <f>AE6/AD6</f>
        <v>0.65036196031289806</v>
      </c>
      <c r="AF267" s="17"/>
      <c r="AG267" s="87">
        <f>AB267-AE267</f>
        <v>0</v>
      </c>
    </row>
    <row r="268" spans="1:123" s="19" customFormat="1" ht="21" customHeight="1" x14ac:dyDescent="0.25">
      <c r="A268" s="88" t="s">
        <v>201</v>
      </c>
      <c r="B268" s="89"/>
      <c r="C268" s="90"/>
      <c r="D268" s="90">
        <f>2-(D263/C263)</f>
        <v>-5.1850136612201059</v>
      </c>
      <c r="E268" s="90"/>
      <c r="F268" s="90">
        <f>2-(F263/E263)</f>
        <v>-2.4395294629602393</v>
      </c>
      <c r="G268" s="90"/>
      <c r="H268" s="90">
        <f>2-(H263/G263)</f>
        <v>1.9159593500574914</v>
      </c>
      <c r="I268" s="90"/>
      <c r="J268" s="90">
        <f>J263/I263</f>
        <v>1.1235660008765103</v>
      </c>
      <c r="K268" s="90"/>
      <c r="L268" s="90">
        <f>L263/K263</f>
        <v>0.31258096747661129</v>
      </c>
      <c r="M268" s="90"/>
      <c r="N268" s="90">
        <f>N263/M263</f>
        <v>1.0719358500448675</v>
      </c>
      <c r="O268" s="90"/>
      <c r="P268" s="90">
        <f>P263/O263</f>
        <v>0.86073812454146081</v>
      </c>
      <c r="Q268" s="90"/>
      <c r="R268" s="90">
        <f>R263/Q263</f>
        <v>1.1672719580664253</v>
      </c>
      <c r="S268" s="90"/>
      <c r="T268" s="90">
        <f>T263/S263</f>
        <v>0.7313068367144876</v>
      </c>
      <c r="U268" s="90"/>
      <c r="V268" s="90">
        <f>V263/U263</f>
        <v>1.4603126949712957</v>
      </c>
      <c r="W268" s="90"/>
      <c r="X268" s="90">
        <f>X263/W263</f>
        <v>0.62356615961331907</v>
      </c>
      <c r="Y268" s="90"/>
      <c r="Z268" s="90">
        <f>Z263/Y263</f>
        <v>0.69337731107498479</v>
      </c>
      <c r="AA268" s="91"/>
      <c r="AB268" s="92">
        <f>AB263/AA263</f>
        <v>0.93812665214520985</v>
      </c>
      <c r="AD268" s="22"/>
      <c r="AE268" s="66">
        <f>ROUND(AE263/AD263,4)</f>
        <v>0.93810000000000004</v>
      </c>
      <c r="AF268" s="17"/>
      <c r="AG268" s="87"/>
    </row>
    <row r="269" spans="1:123" s="19" customFormat="1" ht="27" customHeight="1" x14ac:dyDescent="0.25">
      <c r="A269" s="206"/>
      <c r="B269" s="207"/>
      <c r="C269" s="207"/>
      <c r="D269" s="207"/>
      <c r="E269" s="207"/>
      <c r="F269" s="207"/>
      <c r="G269" s="207"/>
      <c r="H269" s="207"/>
      <c r="I269" s="207"/>
      <c r="J269" s="207"/>
      <c r="K269" s="207"/>
      <c r="L269" s="207"/>
      <c r="M269" s="207"/>
      <c r="N269" s="207"/>
      <c r="O269" s="207"/>
      <c r="P269" s="207"/>
      <c r="Q269" s="207"/>
      <c r="R269" s="207"/>
      <c r="S269" s="207"/>
      <c r="T269" s="207"/>
      <c r="U269" s="207"/>
      <c r="V269" s="207"/>
      <c r="W269" s="207"/>
      <c r="X269" s="207"/>
      <c r="Y269" s="207"/>
      <c r="Z269" s="207"/>
      <c r="AA269" s="207"/>
      <c r="AB269" s="207"/>
      <c r="AD269" s="61"/>
      <c r="AE269" s="66"/>
      <c r="AF269" s="17"/>
      <c r="AG269" s="87"/>
    </row>
    <row r="270" spans="1:123" s="19" customFormat="1" ht="83" customHeight="1" x14ac:dyDescent="0.25">
      <c r="A270" s="93" t="s">
        <v>72</v>
      </c>
      <c r="B270" s="204" t="str">
        <f>索引!C7</f>
        <v>1、营业收入的取数来源为2025年1-12月销售明细表中的金额-2025年1-12月客户计提返利的金额；
2、营业成本的取数来源为2025年1-12月销售明细表中销售结算成本+运费核对表中的运费+销售的原材料的成本；
3、税金及附加核算的是城建税、教育费附加、印花税，城建和教育费附加为当月收入的0.85%，印花税为收入的0.03%；
4、销售费用为分部人员的费用及后台职能协助挂到分部的费用（如有）；
5、所得税与所得税分摊表中数据一致。</v>
      </c>
      <c r="C270" s="204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  <c r="AA270" s="204"/>
      <c r="AB270" s="204"/>
      <c r="AD270" s="22"/>
      <c r="AE270" s="22"/>
      <c r="AF270" s="22"/>
      <c r="AG270" s="22"/>
    </row>
    <row r="271" spans="1:123" s="19" customFormat="1" ht="21" customHeight="1" x14ac:dyDescent="0.25">
      <c r="B271" s="94"/>
      <c r="C271" s="95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5"/>
      <c r="AD271" s="22"/>
      <c r="AE271" s="22"/>
      <c r="AF271" s="22"/>
      <c r="AG271" s="22"/>
    </row>
    <row r="272" spans="1:123" s="19" customFormat="1" ht="21" customHeight="1" x14ac:dyDescent="0.25">
      <c r="B272" s="94"/>
      <c r="C272" s="95"/>
      <c r="D272" s="96"/>
      <c r="E272" s="96"/>
      <c r="F272" s="97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6"/>
      <c r="AB272" s="95"/>
      <c r="AD272" s="22"/>
      <c r="AE272" s="22"/>
      <c r="AF272" s="22"/>
      <c r="AG272" s="22"/>
    </row>
    <row r="273" spans="2:33" s="19" customFormat="1" ht="21" customHeight="1" x14ac:dyDescent="0.25">
      <c r="B273" s="94"/>
      <c r="C273" s="95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6"/>
      <c r="AB273" s="95"/>
      <c r="AD273" s="22"/>
      <c r="AE273" s="22"/>
      <c r="AF273" s="22"/>
      <c r="AG273" s="22"/>
    </row>
    <row r="274" spans="2:33" s="19" customFormat="1" ht="21" customHeight="1" x14ac:dyDescent="0.25">
      <c r="B274" s="94"/>
      <c r="C274" s="95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6"/>
      <c r="AB274" s="95"/>
      <c r="AD274" s="22"/>
      <c r="AE274" s="22"/>
      <c r="AF274" s="22"/>
      <c r="AG274" s="22"/>
    </row>
    <row r="275" spans="2:33" s="19" customFormat="1" ht="21" customHeight="1" x14ac:dyDescent="0.25">
      <c r="B275" s="94"/>
      <c r="C275" s="95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6"/>
      <c r="AB275" s="95"/>
      <c r="AD275" s="22"/>
      <c r="AE275" s="22"/>
      <c r="AF275" s="22"/>
      <c r="AG275" s="22"/>
    </row>
    <row r="276" spans="2:33" s="19" customFormat="1" ht="21" customHeight="1" x14ac:dyDescent="0.25">
      <c r="B276" s="94"/>
      <c r="C276" s="95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  <c r="AA276" s="96"/>
      <c r="AB276" s="95"/>
      <c r="AD276" s="22"/>
      <c r="AE276" s="22"/>
      <c r="AF276" s="22"/>
      <c r="AG276" s="22"/>
    </row>
    <row r="277" spans="2:33" s="19" customFormat="1" ht="21" customHeight="1" x14ac:dyDescent="0.25">
      <c r="B277" s="94"/>
      <c r="C277" s="95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  <c r="AA277" s="96"/>
      <c r="AB277" s="95"/>
      <c r="AD277" s="22"/>
      <c r="AE277" s="22"/>
      <c r="AF277" s="22"/>
      <c r="AG277" s="22"/>
    </row>
    <row r="278" spans="2:33" s="19" customFormat="1" ht="21" customHeight="1" x14ac:dyDescent="0.25">
      <c r="B278" s="94"/>
      <c r="C278" s="95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6"/>
      <c r="AB278" s="95"/>
      <c r="AD278" s="22"/>
      <c r="AE278" s="22"/>
      <c r="AF278" s="22"/>
      <c r="AG278" s="22"/>
    </row>
    <row r="279" spans="2:33" s="19" customFormat="1" ht="21" customHeight="1" x14ac:dyDescent="0.25">
      <c r="B279" s="94"/>
      <c r="C279" s="95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95"/>
      <c r="AD279" s="22"/>
      <c r="AE279" s="22"/>
      <c r="AF279" s="22"/>
      <c r="AG279" s="22"/>
    </row>
    <row r="280" spans="2:33" s="19" customFormat="1" ht="21" customHeight="1" x14ac:dyDescent="0.25">
      <c r="B280" s="94"/>
      <c r="C280" s="95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  <c r="AA280" s="96"/>
      <c r="AB280" s="95"/>
      <c r="AD280" s="22"/>
      <c r="AE280" s="22"/>
      <c r="AF280" s="22"/>
      <c r="AG280" s="22"/>
    </row>
    <row r="281" spans="2:33" s="19" customFormat="1" ht="21" customHeight="1" x14ac:dyDescent="0.25">
      <c r="B281" s="94"/>
      <c r="C281" s="95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  <c r="AA281" s="96"/>
      <c r="AB281" s="95"/>
      <c r="AD281" s="22"/>
      <c r="AE281" s="22"/>
      <c r="AF281" s="22"/>
      <c r="AG281" s="22"/>
    </row>
    <row r="282" spans="2:33" s="19" customFormat="1" ht="21" customHeight="1" x14ac:dyDescent="0.25">
      <c r="B282" s="94"/>
      <c r="C282" s="95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  <c r="AA282" s="96"/>
      <c r="AB282" s="95"/>
      <c r="AD282" s="22"/>
      <c r="AE282" s="22"/>
      <c r="AF282" s="22"/>
      <c r="AG282" s="22"/>
    </row>
    <row r="283" spans="2:33" s="19" customFormat="1" ht="21" customHeight="1" x14ac:dyDescent="0.25">
      <c r="B283" s="94"/>
      <c r="C283" s="95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6"/>
      <c r="AB283" s="95"/>
      <c r="AD283" s="22"/>
      <c r="AE283" s="22"/>
      <c r="AF283" s="22"/>
      <c r="AG283" s="22"/>
    </row>
    <row r="284" spans="2:33" s="19" customFormat="1" ht="21" customHeight="1" x14ac:dyDescent="0.25">
      <c r="B284" s="94"/>
      <c r="C284" s="95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  <c r="AA284" s="96"/>
      <c r="AB284" s="95"/>
      <c r="AD284" s="22"/>
      <c r="AE284" s="22"/>
      <c r="AF284" s="22"/>
      <c r="AG284" s="22"/>
    </row>
    <row r="285" spans="2:33" s="19" customFormat="1" ht="21" customHeight="1" x14ac:dyDescent="0.25">
      <c r="B285" s="94"/>
      <c r="C285" s="95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  <c r="AB285" s="95"/>
      <c r="AD285" s="22"/>
      <c r="AE285" s="22"/>
      <c r="AF285" s="22"/>
      <c r="AG285" s="22"/>
    </row>
    <row r="286" spans="2:33" s="19" customFormat="1" ht="21" customHeight="1" x14ac:dyDescent="0.25">
      <c r="B286" s="94"/>
      <c r="C286" s="95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6"/>
      <c r="AB286" s="95"/>
      <c r="AD286" s="22"/>
      <c r="AE286" s="22"/>
      <c r="AF286" s="22"/>
      <c r="AG286" s="22"/>
    </row>
    <row r="287" spans="2:33" s="19" customFormat="1" ht="21" customHeight="1" x14ac:dyDescent="0.25">
      <c r="B287" s="94"/>
      <c r="C287" s="95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6"/>
      <c r="AB287" s="95"/>
      <c r="AD287" s="22"/>
      <c r="AE287" s="22"/>
      <c r="AF287" s="22"/>
      <c r="AG287" s="22"/>
    </row>
  </sheetData>
  <mergeCells count="20">
    <mergeCell ref="AD4:AE4"/>
    <mergeCell ref="AF4:AG4"/>
    <mergeCell ref="A269:AB269"/>
    <mergeCell ref="B270:AB270"/>
    <mergeCell ref="A4:A5"/>
    <mergeCell ref="B4:B5"/>
    <mergeCell ref="A1:AB1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</mergeCells>
  <phoneticPr fontId="40" type="noConversion"/>
  <hyperlinks>
    <hyperlink ref="A1" location="'索引'!A1" tooltip="返回索引" display="赣皖区域利润表 " xr:uid="{00000000-0004-0000-0800-000000000000}"/>
  </hyperlinks>
  <pageMargins left="0.27916666666666701" right="0.156944444444444" top="0.27916666666666701" bottom="0.35416666666666702" header="0.23958333333333301" footer="0.118055555555556"/>
  <pageSetup paperSize="9" scale="36" orientation="landscape" r:id="rId1"/>
  <headerFooter>
    <oddFooter>&amp;C第 &amp;P 页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S287"/>
  <sheetViews>
    <sheetView showZeros="0" view="pageBreakPreview" zoomScale="85" zoomScaleNormal="100" workbookViewId="0">
      <pane xSplit="2" ySplit="5" topLeftCell="Q260" activePane="bottomRight" state="frozen"/>
      <selection activeCell="A269" sqref="A269:AB269"/>
      <selection pane="topRight" activeCell="A269" sqref="A269:AB269"/>
      <selection pane="bottomLeft" activeCell="A269" sqref="A269:AB269"/>
      <selection pane="bottomRight" activeCell="A269" sqref="A269:AB269"/>
    </sheetView>
  </sheetViews>
  <sheetFormatPr defaultColWidth="8.6640625" defaultRowHeight="21" customHeight="1" outlineLevelRow="2" outlineLevelCol="1" x14ac:dyDescent="0.25"/>
  <cols>
    <col min="1" max="1" width="20.08203125" style="22" customWidth="1"/>
    <col min="2" max="2" width="5.58203125" style="23" customWidth="1"/>
    <col min="3" max="3" width="13.1640625" style="24" customWidth="1"/>
    <col min="4" max="5" width="12.83203125" style="25" customWidth="1"/>
    <col min="6" max="10" width="13.25" style="25" customWidth="1"/>
    <col min="11" max="11" width="13.33203125" style="25" customWidth="1"/>
    <col min="12" max="12" width="13.5" style="25" customWidth="1"/>
    <col min="13" max="26" width="12.83203125" style="25" customWidth="1"/>
    <col min="27" max="27" width="13.08203125" style="25" customWidth="1"/>
    <col min="28" max="28" width="14.58203125" style="24" customWidth="1"/>
    <col min="29" max="29" width="16.33203125" style="22" customWidth="1"/>
    <col min="30" max="30" width="22.33203125" style="22" hidden="1" customWidth="1" outlineLevel="1"/>
    <col min="31" max="31" width="15.75" style="22" hidden="1" customWidth="1" outlineLevel="1"/>
    <col min="32" max="32" width="15" style="22" hidden="1" customWidth="1" outlineLevel="1"/>
    <col min="33" max="33" width="13.08203125" style="22" hidden="1" customWidth="1" outlineLevel="1"/>
    <col min="34" max="34" width="8.6640625" style="22" customWidth="1" collapsed="1"/>
    <col min="35" max="58" width="8.6640625" style="22" customWidth="1"/>
    <col min="59" max="59" width="15.25" style="22" customWidth="1"/>
    <col min="60" max="60" width="8.6640625" style="22"/>
    <col min="61" max="61" width="14.33203125" style="22"/>
    <col min="62" max="16384" width="8.6640625" style="22"/>
  </cols>
  <sheetData>
    <row r="1" spans="1:123" s="16" customFormat="1" ht="28" customHeight="1" x14ac:dyDescent="0.25">
      <c r="A1" s="189" t="s">
        <v>217</v>
      </c>
      <c r="B1" s="20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</row>
    <row r="2" spans="1:123" s="16" customFormat="1" ht="21" customHeight="1" x14ac:dyDescent="0.25">
      <c r="A2" s="26">
        <v>46021</v>
      </c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9" t="s">
        <v>203</v>
      </c>
    </row>
    <row r="3" spans="1:123" s="17" customFormat="1" ht="22" customHeight="1" x14ac:dyDescent="0.25">
      <c r="A3" s="30" t="s">
        <v>204</v>
      </c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29" t="s">
        <v>205</v>
      </c>
      <c r="AC3" s="27"/>
    </row>
    <row r="4" spans="1:123" s="17" customFormat="1" ht="24" customHeight="1" x14ac:dyDescent="0.25">
      <c r="A4" s="200" t="s">
        <v>206</v>
      </c>
      <c r="B4" s="200" t="s">
        <v>207</v>
      </c>
      <c r="C4" s="193">
        <v>45658</v>
      </c>
      <c r="D4" s="193"/>
      <c r="E4" s="193">
        <v>45689</v>
      </c>
      <c r="F4" s="193"/>
      <c r="G4" s="193">
        <v>45717</v>
      </c>
      <c r="H4" s="193"/>
      <c r="I4" s="193">
        <v>45748</v>
      </c>
      <c r="J4" s="193"/>
      <c r="K4" s="193">
        <v>45778</v>
      </c>
      <c r="L4" s="193"/>
      <c r="M4" s="193">
        <v>45809</v>
      </c>
      <c r="N4" s="193"/>
      <c r="O4" s="193">
        <v>45839</v>
      </c>
      <c r="P4" s="193"/>
      <c r="Q4" s="193">
        <v>45870</v>
      </c>
      <c r="R4" s="193"/>
      <c r="S4" s="193">
        <v>45901</v>
      </c>
      <c r="T4" s="193"/>
      <c r="U4" s="193">
        <v>45931</v>
      </c>
      <c r="V4" s="193"/>
      <c r="W4" s="193">
        <v>45962</v>
      </c>
      <c r="X4" s="193"/>
      <c r="Y4" s="193">
        <v>45992</v>
      </c>
      <c r="Z4" s="193"/>
      <c r="AA4" s="194" t="s">
        <v>79</v>
      </c>
      <c r="AB4" s="194"/>
      <c r="AD4" s="195" t="s">
        <v>80</v>
      </c>
      <c r="AE4" s="195"/>
      <c r="AF4" s="196" t="s">
        <v>81</v>
      </c>
      <c r="AG4" s="195"/>
    </row>
    <row r="5" spans="1:123" s="18" customFormat="1" ht="24" customHeight="1" x14ac:dyDescent="0.25">
      <c r="A5" s="201"/>
      <c r="B5" s="201"/>
      <c r="C5" s="37" t="s">
        <v>84</v>
      </c>
      <c r="D5" s="38" t="s">
        <v>85</v>
      </c>
      <c r="E5" s="37" t="s">
        <v>84</v>
      </c>
      <c r="F5" s="38" t="s">
        <v>85</v>
      </c>
      <c r="G5" s="37" t="s">
        <v>84</v>
      </c>
      <c r="H5" s="38" t="s">
        <v>85</v>
      </c>
      <c r="I5" s="37" t="s">
        <v>84</v>
      </c>
      <c r="J5" s="38" t="s">
        <v>85</v>
      </c>
      <c r="K5" s="37" t="s">
        <v>84</v>
      </c>
      <c r="L5" s="38" t="s">
        <v>85</v>
      </c>
      <c r="M5" s="37" t="s">
        <v>84</v>
      </c>
      <c r="N5" s="38" t="s">
        <v>85</v>
      </c>
      <c r="O5" s="37" t="s">
        <v>84</v>
      </c>
      <c r="P5" s="38" t="s">
        <v>85</v>
      </c>
      <c r="Q5" s="37" t="s">
        <v>84</v>
      </c>
      <c r="R5" s="38" t="s">
        <v>85</v>
      </c>
      <c r="S5" s="37" t="s">
        <v>84</v>
      </c>
      <c r="T5" s="38" t="s">
        <v>85</v>
      </c>
      <c r="U5" s="37" t="s">
        <v>84</v>
      </c>
      <c r="V5" s="38" t="s">
        <v>85</v>
      </c>
      <c r="W5" s="37" t="s">
        <v>84</v>
      </c>
      <c r="X5" s="38" t="s">
        <v>85</v>
      </c>
      <c r="Y5" s="37" t="s">
        <v>84</v>
      </c>
      <c r="Z5" s="38" t="s">
        <v>85</v>
      </c>
      <c r="AA5" s="39" t="s">
        <v>84</v>
      </c>
      <c r="AB5" s="40" t="s">
        <v>208</v>
      </c>
      <c r="AD5" s="41" t="s">
        <v>84</v>
      </c>
      <c r="AE5" s="42" t="s">
        <v>85</v>
      </c>
      <c r="AF5" s="41" t="s">
        <v>84</v>
      </c>
      <c r="AG5" s="42" t="s">
        <v>85</v>
      </c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</row>
    <row r="6" spans="1:123" s="17" customFormat="1" ht="18" customHeight="1" x14ac:dyDescent="0.25">
      <c r="A6" s="44" t="s">
        <v>209</v>
      </c>
      <c r="B6" s="45" t="s">
        <v>88</v>
      </c>
      <c r="C6" s="46">
        <f t="shared" ref="C6:Z6" si="0">SUM(C7:C13,C15,-C14)</f>
        <v>406870.56000000006</v>
      </c>
      <c r="D6" s="46">
        <f t="shared" si="0"/>
        <v>759268.0584000001</v>
      </c>
      <c r="E6" s="46">
        <f t="shared" si="0"/>
        <v>570273.48</v>
      </c>
      <c r="F6" s="46">
        <f t="shared" si="0"/>
        <v>437482.23119999998</v>
      </c>
      <c r="G6" s="46">
        <f t="shared" si="0"/>
        <v>839721.60000000009</v>
      </c>
      <c r="H6" s="46">
        <f t="shared" si="0"/>
        <v>453887.65799999994</v>
      </c>
      <c r="I6" s="46">
        <f t="shared" si="0"/>
        <v>1109049.8400000001</v>
      </c>
      <c r="J6" s="46">
        <f t="shared" si="0"/>
        <v>650478.42720000003</v>
      </c>
      <c r="K6" s="46">
        <f t="shared" si="0"/>
        <v>901507.32000000007</v>
      </c>
      <c r="L6" s="46">
        <f t="shared" si="0"/>
        <v>389385.93240000011</v>
      </c>
      <c r="M6" s="46">
        <f t="shared" si="0"/>
        <v>1048111.92</v>
      </c>
      <c r="N6" s="46">
        <f t="shared" si="0"/>
        <v>584672.74199999997</v>
      </c>
      <c r="O6" s="46">
        <f t="shared" si="0"/>
        <v>971710.56</v>
      </c>
      <c r="P6" s="46">
        <f t="shared" si="0"/>
        <v>306804.20760000002</v>
      </c>
      <c r="Q6" s="46">
        <f t="shared" si="0"/>
        <v>1022894.5900000001</v>
      </c>
      <c r="R6" s="46">
        <f t="shared" si="0"/>
        <v>534860.90640000009</v>
      </c>
      <c r="S6" s="46">
        <f t="shared" si="0"/>
        <v>1435345.6700000002</v>
      </c>
      <c r="T6" s="46">
        <f t="shared" si="0"/>
        <v>576805.57920000004</v>
      </c>
      <c r="U6" s="46">
        <f t="shared" si="0"/>
        <v>1001275.9900000001</v>
      </c>
      <c r="V6" s="46">
        <f t="shared" si="0"/>
        <v>428556.91680000006</v>
      </c>
      <c r="W6" s="46">
        <f t="shared" si="0"/>
        <v>1164901.07</v>
      </c>
      <c r="X6" s="46">
        <f t="shared" si="0"/>
        <v>449608.78440000006</v>
      </c>
      <c r="Y6" s="46">
        <f t="shared" si="0"/>
        <v>1749435.36</v>
      </c>
      <c r="Z6" s="46">
        <f t="shared" si="0"/>
        <v>622597.84920000006</v>
      </c>
      <c r="AA6" s="47">
        <f t="shared" ref="AA6:AA26" si="1">C6+E6+G6+I6+K6+M6+O6+Q6+S6+U6+W6+Y6</f>
        <v>12221097.960000001</v>
      </c>
      <c r="AB6" s="47">
        <f t="shared" ref="AB6:AB26" si="2">D6+F6+H6+J6+L6+N6+P6+R6+T6+V6+X6+Z6</f>
        <v>6194409.2928000009</v>
      </c>
      <c r="AD6" s="31">
        <f t="shared" ref="AD6:AD26" si="3">SUMIF($C$5:$Z$5,$AD$5,C6:Z6)</f>
        <v>12221097.960000001</v>
      </c>
      <c r="AE6" s="31">
        <f t="shared" ref="AE6:AE26" si="4">SUMIF($C$5:$Z$5,$AD$5,D6:AA6)</f>
        <v>6194409.2928000009</v>
      </c>
      <c r="AF6" s="17">
        <f t="shared" ref="AF6:AF13" si="5">AA6-AD6</f>
        <v>0</v>
      </c>
      <c r="AG6" s="17">
        <f t="shared" ref="AG6:AG13" si="6">AB6-AE6</f>
        <v>0</v>
      </c>
      <c r="BG6" s="21"/>
    </row>
    <row r="7" spans="1:123" s="17" customFormat="1" ht="18" customHeight="1" outlineLevel="1" x14ac:dyDescent="0.25">
      <c r="A7" s="48" t="s">
        <v>89</v>
      </c>
      <c r="B7" s="45"/>
      <c r="C7" s="49">
        <v>0</v>
      </c>
      <c r="D7" s="50">
        <v>114679.30319999999</v>
      </c>
      <c r="E7" s="50">
        <v>0</v>
      </c>
      <c r="F7" s="50">
        <v>32559.4836</v>
      </c>
      <c r="G7" s="50">
        <v>0</v>
      </c>
      <c r="H7" s="50">
        <v>37810.346400000002</v>
      </c>
      <c r="I7" s="50">
        <v>0</v>
      </c>
      <c r="J7" s="50">
        <v>69512.072400000005</v>
      </c>
      <c r="K7" s="50">
        <v>0</v>
      </c>
      <c r="L7" s="50">
        <v>73617.897600000011</v>
      </c>
      <c r="M7" s="50">
        <v>0</v>
      </c>
      <c r="N7" s="50">
        <v>97379.204400000002</v>
      </c>
      <c r="O7" s="50">
        <v>0</v>
      </c>
      <c r="P7" s="50">
        <v>42225.094799999999</v>
      </c>
      <c r="Q7" s="50">
        <v>0</v>
      </c>
      <c r="R7" s="50">
        <v>102243.51360000001</v>
      </c>
      <c r="S7" s="50">
        <v>0</v>
      </c>
      <c r="T7" s="50">
        <v>105469.80840000001</v>
      </c>
      <c r="U7" s="50">
        <v>0</v>
      </c>
      <c r="V7" s="50">
        <v>66283.812000000005</v>
      </c>
      <c r="W7" s="50">
        <v>0</v>
      </c>
      <c r="X7" s="50">
        <v>108013.34880000001</v>
      </c>
      <c r="Y7" s="50">
        <v>0</v>
      </c>
      <c r="Z7" s="50">
        <v>88568.380799999999</v>
      </c>
      <c r="AA7" s="51">
        <f t="shared" si="1"/>
        <v>0</v>
      </c>
      <c r="AB7" s="51">
        <f t="shared" si="2"/>
        <v>938362.26600000006</v>
      </c>
      <c r="AC7" s="17">
        <v>1.08</v>
      </c>
      <c r="AD7" s="31">
        <f t="shared" si="3"/>
        <v>0</v>
      </c>
      <c r="AE7" s="31">
        <f t="shared" si="4"/>
        <v>938362.26600000006</v>
      </c>
      <c r="AF7" s="17">
        <f t="shared" si="5"/>
        <v>0</v>
      </c>
      <c r="AG7" s="17">
        <f t="shared" si="6"/>
        <v>0</v>
      </c>
      <c r="BG7" s="21"/>
    </row>
    <row r="8" spans="1:123" s="17" customFormat="1" ht="18" customHeight="1" outlineLevel="1" x14ac:dyDescent="0.25">
      <c r="A8" s="48" t="s">
        <v>90</v>
      </c>
      <c r="B8" s="45"/>
      <c r="C8" s="49">
        <v>0</v>
      </c>
      <c r="D8" s="50">
        <v>505738.98720000003</v>
      </c>
      <c r="E8" s="50">
        <v>0</v>
      </c>
      <c r="F8" s="50">
        <v>359658.2844</v>
      </c>
      <c r="G8" s="50">
        <v>0</v>
      </c>
      <c r="H8" s="50">
        <v>381913.9632</v>
      </c>
      <c r="I8" s="50">
        <v>0</v>
      </c>
      <c r="J8" s="50">
        <v>521413.4376</v>
      </c>
      <c r="K8" s="50">
        <v>0</v>
      </c>
      <c r="L8" s="50">
        <v>282846.83760000003</v>
      </c>
      <c r="M8" s="50">
        <v>0</v>
      </c>
      <c r="N8" s="50">
        <v>433412.13240000006</v>
      </c>
      <c r="O8" s="50">
        <v>0</v>
      </c>
      <c r="P8" s="50">
        <v>229499.08199999999</v>
      </c>
      <c r="Q8" s="50">
        <v>0</v>
      </c>
      <c r="R8" s="50">
        <v>381327.89040000003</v>
      </c>
      <c r="S8" s="50">
        <v>0</v>
      </c>
      <c r="T8" s="50">
        <v>414793.46160000004</v>
      </c>
      <c r="U8" s="50">
        <v>0</v>
      </c>
      <c r="V8" s="50">
        <v>284676.5196</v>
      </c>
      <c r="W8" s="50">
        <v>0</v>
      </c>
      <c r="X8" s="50">
        <v>293175.09360000002</v>
      </c>
      <c r="Y8" s="50">
        <v>0</v>
      </c>
      <c r="Z8" s="50">
        <v>463933.01880000002</v>
      </c>
      <c r="AA8" s="51">
        <f t="shared" si="1"/>
        <v>0</v>
      </c>
      <c r="AB8" s="51">
        <f t="shared" si="2"/>
        <v>4552388.7083999999</v>
      </c>
      <c r="AD8" s="31">
        <f t="shared" si="3"/>
        <v>0</v>
      </c>
      <c r="AE8" s="31">
        <f t="shared" si="4"/>
        <v>4552388.7083999999</v>
      </c>
      <c r="AF8" s="17">
        <f t="shared" si="5"/>
        <v>0</v>
      </c>
      <c r="AG8" s="17">
        <f t="shared" si="6"/>
        <v>0</v>
      </c>
      <c r="BG8" s="21"/>
    </row>
    <row r="9" spans="1:123" s="17" customFormat="1" ht="18" customHeight="1" outlineLevel="1" x14ac:dyDescent="0.25">
      <c r="A9" s="48" t="s">
        <v>91</v>
      </c>
      <c r="B9" s="45"/>
      <c r="C9" s="49">
        <v>0</v>
      </c>
      <c r="D9" s="50">
        <v>135925.17120000001</v>
      </c>
      <c r="E9" s="50">
        <v>0</v>
      </c>
      <c r="F9" s="50">
        <v>44834.374799999998</v>
      </c>
      <c r="G9" s="50">
        <v>0</v>
      </c>
      <c r="H9" s="50">
        <v>29160.939600000002</v>
      </c>
      <c r="I9" s="50">
        <v>0</v>
      </c>
      <c r="J9" s="50">
        <v>58727.1492</v>
      </c>
      <c r="K9" s="50">
        <v>0</v>
      </c>
      <c r="L9" s="50">
        <v>31269.661200000002</v>
      </c>
      <c r="M9" s="50">
        <v>0</v>
      </c>
      <c r="N9" s="50">
        <v>47292.4548</v>
      </c>
      <c r="O9" s="50">
        <v>0</v>
      </c>
      <c r="P9" s="50">
        <v>32793.8652</v>
      </c>
      <c r="Q9" s="50">
        <v>0</v>
      </c>
      <c r="R9" s="50">
        <v>46090.209600000009</v>
      </c>
      <c r="S9" s="50">
        <v>0</v>
      </c>
      <c r="T9" s="50">
        <v>53977.071600000003</v>
      </c>
      <c r="U9" s="50">
        <v>0</v>
      </c>
      <c r="V9" s="50">
        <v>76679.060400000017</v>
      </c>
      <c r="W9" s="50">
        <v>0</v>
      </c>
      <c r="X9" s="50">
        <v>42274.850400000003</v>
      </c>
      <c r="Y9" s="50">
        <v>0</v>
      </c>
      <c r="Z9" s="50">
        <v>69637.6872</v>
      </c>
      <c r="AA9" s="51">
        <f t="shared" si="1"/>
        <v>0</v>
      </c>
      <c r="AB9" s="51">
        <f t="shared" si="2"/>
        <v>668662.49520000012</v>
      </c>
      <c r="AD9" s="31">
        <f t="shared" si="3"/>
        <v>0</v>
      </c>
      <c r="AE9" s="31">
        <f t="shared" si="4"/>
        <v>668662.49520000012</v>
      </c>
      <c r="AF9" s="17">
        <f t="shared" si="5"/>
        <v>0</v>
      </c>
      <c r="AG9" s="17">
        <f t="shared" si="6"/>
        <v>0</v>
      </c>
      <c r="BG9" s="21"/>
    </row>
    <row r="10" spans="1:123" s="17" customFormat="1" ht="18" customHeight="1" outlineLevel="1" x14ac:dyDescent="0.25">
      <c r="A10" s="48" t="s">
        <v>92</v>
      </c>
      <c r="B10" s="45"/>
      <c r="C10" s="49">
        <v>0</v>
      </c>
      <c r="D10" s="50">
        <v>0</v>
      </c>
      <c r="E10" s="50">
        <v>0</v>
      </c>
      <c r="F10" s="50">
        <v>0</v>
      </c>
      <c r="G10" s="50">
        <v>0</v>
      </c>
      <c r="H10" s="50">
        <v>4268.3868000000002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227.46960000000001</v>
      </c>
      <c r="O10" s="50">
        <v>0</v>
      </c>
      <c r="P10" s="50">
        <v>1873.2816</v>
      </c>
      <c r="Q10" s="50">
        <v>0</v>
      </c>
      <c r="R10" s="50">
        <v>0</v>
      </c>
      <c r="S10" s="50">
        <v>0</v>
      </c>
      <c r="T10" s="50">
        <v>883.1160000000001</v>
      </c>
      <c r="U10" s="50">
        <v>0</v>
      </c>
      <c r="V10" s="50">
        <v>0</v>
      </c>
      <c r="W10" s="50">
        <v>0</v>
      </c>
      <c r="X10" s="50">
        <v>1592.2872</v>
      </c>
      <c r="Y10" s="50">
        <v>0</v>
      </c>
      <c r="Z10" s="50">
        <v>0</v>
      </c>
      <c r="AA10" s="51">
        <f t="shared" si="1"/>
        <v>0</v>
      </c>
      <c r="AB10" s="51">
        <f t="shared" si="2"/>
        <v>8844.5412000000015</v>
      </c>
      <c r="AD10" s="31">
        <f t="shared" si="3"/>
        <v>0</v>
      </c>
      <c r="AE10" s="31">
        <f t="shared" si="4"/>
        <v>8844.5412000000015</v>
      </c>
      <c r="AF10" s="17">
        <f t="shared" si="5"/>
        <v>0</v>
      </c>
      <c r="AG10" s="17">
        <f t="shared" si="6"/>
        <v>0</v>
      </c>
      <c r="BG10" s="21"/>
    </row>
    <row r="11" spans="1:123" s="17" customFormat="1" ht="18" customHeight="1" outlineLevel="1" x14ac:dyDescent="0.25">
      <c r="A11" s="48" t="s">
        <v>93</v>
      </c>
      <c r="B11" s="45"/>
      <c r="C11" s="49">
        <v>0</v>
      </c>
      <c r="D11" s="50">
        <v>2924.5968000000003</v>
      </c>
      <c r="E11" s="50">
        <v>0</v>
      </c>
      <c r="F11" s="50">
        <v>430.08840000000004</v>
      </c>
      <c r="G11" s="50">
        <v>0</v>
      </c>
      <c r="H11" s="50">
        <v>734.02200000000005</v>
      </c>
      <c r="I11" s="50">
        <v>0</v>
      </c>
      <c r="J11" s="50">
        <v>825.76800000000003</v>
      </c>
      <c r="K11" s="50">
        <v>0</v>
      </c>
      <c r="L11" s="50">
        <v>1651.5360000000001</v>
      </c>
      <c r="M11" s="50">
        <v>0</v>
      </c>
      <c r="N11" s="50">
        <v>6361.4808000000003</v>
      </c>
      <c r="O11" s="50">
        <v>0</v>
      </c>
      <c r="P11" s="50">
        <v>412.88400000000001</v>
      </c>
      <c r="Q11" s="50">
        <v>0</v>
      </c>
      <c r="R11" s="50">
        <v>5199.2928000000002</v>
      </c>
      <c r="S11" s="50">
        <v>0</v>
      </c>
      <c r="T11" s="50">
        <v>1682.1216000000002</v>
      </c>
      <c r="U11" s="50">
        <v>0</v>
      </c>
      <c r="V11" s="50">
        <v>917.52480000000003</v>
      </c>
      <c r="W11" s="50">
        <v>0</v>
      </c>
      <c r="X11" s="50">
        <v>4553.2044000000005</v>
      </c>
      <c r="Y11" s="50">
        <v>0</v>
      </c>
      <c r="Z11" s="50">
        <v>458.76240000000001</v>
      </c>
      <c r="AA11" s="51">
        <f t="shared" si="1"/>
        <v>0</v>
      </c>
      <c r="AB11" s="51">
        <f t="shared" si="2"/>
        <v>26151.281999999999</v>
      </c>
      <c r="AD11" s="31">
        <f t="shared" si="3"/>
        <v>0</v>
      </c>
      <c r="AE11" s="31">
        <f t="shared" si="4"/>
        <v>26151.281999999999</v>
      </c>
      <c r="AF11" s="17">
        <f t="shared" si="5"/>
        <v>0</v>
      </c>
      <c r="AG11" s="17">
        <f t="shared" si="6"/>
        <v>0</v>
      </c>
      <c r="BG11" s="21"/>
    </row>
    <row r="12" spans="1:123" s="17" customFormat="1" ht="18" customHeight="1" outlineLevel="1" x14ac:dyDescent="0.25">
      <c r="A12" s="48" t="s">
        <v>94</v>
      </c>
      <c r="B12" s="45"/>
      <c r="C12" s="49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1">
        <f t="shared" si="1"/>
        <v>0</v>
      </c>
      <c r="AB12" s="51">
        <f t="shared" si="2"/>
        <v>0</v>
      </c>
      <c r="AD12" s="31">
        <f t="shared" si="3"/>
        <v>0</v>
      </c>
      <c r="AE12" s="31">
        <f t="shared" si="4"/>
        <v>0</v>
      </c>
      <c r="AF12" s="17">
        <f t="shared" si="5"/>
        <v>0</v>
      </c>
      <c r="AG12" s="17">
        <f t="shared" si="6"/>
        <v>0</v>
      </c>
      <c r="BG12" s="21"/>
    </row>
    <row r="13" spans="1:123" s="17" customFormat="1" ht="18" customHeight="1" outlineLevel="1" x14ac:dyDescent="0.25">
      <c r="A13" s="48" t="s">
        <v>95</v>
      </c>
      <c r="B13" s="45"/>
      <c r="C13" s="49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1">
        <f t="shared" si="1"/>
        <v>0</v>
      </c>
      <c r="AB13" s="51">
        <f t="shared" si="2"/>
        <v>0</v>
      </c>
      <c r="AD13" s="31">
        <f t="shared" si="3"/>
        <v>0</v>
      </c>
      <c r="AE13" s="31">
        <f t="shared" si="4"/>
        <v>0</v>
      </c>
      <c r="AF13" s="17">
        <f t="shared" si="5"/>
        <v>0</v>
      </c>
      <c r="AG13" s="17">
        <f t="shared" si="6"/>
        <v>0</v>
      </c>
      <c r="BG13" s="21"/>
    </row>
    <row r="14" spans="1:123" s="17" customFormat="1" ht="18" customHeight="1" outlineLevel="1" x14ac:dyDescent="0.25">
      <c r="A14" s="48" t="s">
        <v>96</v>
      </c>
      <c r="B14" s="45"/>
      <c r="C14" s="49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>
        <v>2145.29</v>
      </c>
      <c r="R14" s="50"/>
      <c r="S14" s="50">
        <v>818.89</v>
      </c>
      <c r="T14" s="50"/>
      <c r="U14" s="50">
        <v>332.21</v>
      </c>
      <c r="V14" s="50"/>
      <c r="W14" s="50">
        <v>455.65</v>
      </c>
      <c r="X14" s="50"/>
      <c r="Y14" s="50">
        <v>750</v>
      </c>
      <c r="Z14" s="50"/>
      <c r="AA14" s="51">
        <f t="shared" si="1"/>
        <v>4502.04</v>
      </c>
      <c r="AB14" s="51">
        <f t="shared" si="2"/>
        <v>0</v>
      </c>
      <c r="AD14" s="31">
        <f t="shared" si="3"/>
        <v>4502.04</v>
      </c>
      <c r="AE14" s="31">
        <f t="shared" si="4"/>
        <v>0</v>
      </c>
      <c r="BG14" s="21"/>
    </row>
    <row r="15" spans="1:123" s="17" customFormat="1" ht="18" customHeight="1" outlineLevel="1" x14ac:dyDescent="0.25">
      <c r="A15" s="48" t="s">
        <v>97</v>
      </c>
      <c r="B15" s="45"/>
      <c r="C15" s="49">
        <v>406870.56000000006</v>
      </c>
      <c r="D15" s="50">
        <v>0</v>
      </c>
      <c r="E15" s="50">
        <v>570273.48</v>
      </c>
      <c r="F15" s="50">
        <v>0</v>
      </c>
      <c r="G15" s="50">
        <v>839721.60000000009</v>
      </c>
      <c r="H15" s="50">
        <v>0</v>
      </c>
      <c r="I15" s="50">
        <v>1109049.8400000001</v>
      </c>
      <c r="J15" s="50">
        <v>0</v>
      </c>
      <c r="K15" s="50">
        <v>901507.32000000007</v>
      </c>
      <c r="L15" s="50">
        <v>0</v>
      </c>
      <c r="M15" s="50">
        <v>1048111.92</v>
      </c>
      <c r="N15" s="50">
        <v>0</v>
      </c>
      <c r="O15" s="50">
        <v>971710.56</v>
      </c>
      <c r="P15" s="50">
        <v>0</v>
      </c>
      <c r="Q15" s="50">
        <v>1025039.8800000001</v>
      </c>
      <c r="R15" s="50">
        <v>0</v>
      </c>
      <c r="S15" s="50">
        <v>1436164.56</v>
      </c>
      <c r="T15" s="50">
        <v>0</v>
      </c>
      <c r="U15" s="50">
        <v>1001608.2000000001</v>
      </c>
      <c r="V15" s="50">
        <v>0</v>
      </c>
      <c r="W15" s="50">
        <v>1165356.72</v>
      </c>
      <c r="X15" s="50">
        <v>0</v>
      </c>
      <c r="Y15" s="50">
        <v>1750185.36</v>
      </c>
      <c r="Z15" s="50">
        <v>0</v>
      </c>
      <c r="AA15" s="51">
        <f t="shared" si="1"/>
        <v>12225600</v>
      </c>
      <c r="AB15" s="51">
        <f t="shared" si="2"/>
        <v>0</v>
      </c>
      <c r="AD15" s="31">
        <f t="shared" si="3"/>
        <v>12225600</v>
      </c>
      <c r="AE15" s="31">
        <f t="shared" si="4"/>
        <v>0</v>
      </c>
      <c r="AF15" s="17">
        <f t="shared" ref="AF15:AF25" si="7">AA15-AD15</f>
        <v>0</v>
      </c>
      <c r="AG15" s="17">
        <f t="shared" ref="AG15:AG25" si="8">AB15-AE15</f>
        <v>0</v>
      </c>
      <c r="BG15" s="21"/>
    </row>
    <row r="16" spans="1:123" s="17" customFormat="1" ht="18" customHeight="1" x14ac:dyDescent="0.25">
      <c r="A16" s="52" t="s">
        <v>98</v>
      </c>
      <c r="B16" s="45" t="s">
        <v>99</v>
      </c>
      <c r="C16" s="46">
        <f t="shared" ref="C16:Z16" si="9">SUM(C17:C25)</f>
        <v>377445.22000000003</v>
      </c>
      <c r="D16" s="46">
        <f t="shared" si="9"/>
        <v>634291.67579999997</v>
      </c>
      <c r="E16" s="46">
        <f t="shared" si="9"/>
        <v>524440.38520000002</v>
      </c>
      <c r="F16" s="46">
        <f t="shared" si="9"/>
        <v>385698.22600000002</v>
      </c>
      <c r="G16" s="46">
        <f t="shared" si="9"/>
        <v>757092.43280000007</v>
      </c>
      <c r="H16" s="46">
        <f t="shared" si="9"/>
        <v>430283.54479999997</v>
      </c>
      <c r="I16" s="46">
        <f t="shared" si="9"/>
        <v>974803.92899999989</v>
      </c>
      <c r="J16" s="46">
        <f t="shared" si="9"/>
        <v>573907.90800000005</v>
      </c>
      <c r="K16" s="46">
        <f t="shared" si="9"/>
        <v>806509.46979999996</v>
      </c>
      <c r="L16" s="46">
        <f t="shared" si="9"/>
        <v>322701.34180000005</v>
      </c>
      <c r="M16" s="46">
        <f t="shared" si="9"/>
        <v>923267.0610000001</v>
      </c>
      <c r="N16" s="46">
        <f t="shared" si="9"/>
        <v>484996.6370000001</v>
      </c>
      <c r="O16" s="46">
        <f t="shared" si="9"/>
        <v>867333.47340000002</v>
      </c>
      <c r="P16" s="46">
        <f t="shared" si="9"/>
        <v>244551.43919999999</v>
      </c>
      <c r="Q16" s="46">
        <f t="shared" si="9"/>
        <v>906683.57920000004</v>
      </c>
      <c r="R16" s="46">
        <f t="shared" si="9"/>
        <v>442661.77320000005</v>
      </c>
      <c r="S16" s="46">
        <f t="shared" si="9"/>
        <v>1242285.3683999998</v>
      </c>
      <c r="T16" s="46">
        <f t="shared" si="9"/>
        <v>463393.93839999998</v>
      </c>
      <c r="U16" s="46">
        <f t="shared" si="9"/>
        <v>893589.64100000006</v>
      </c>
      <c r="V16" s="46">
        <f t="shared" si="9"/>
        <v>343405.01520000002</v>
      </c>
      <c r="W16" s="46">
        <f t="shared" si="9"/>
        <v>1014789.7936000001</v>
      </c>
      <c r="X16" s="46">
        <f t="shared" si="9"/>
        <v>353736.15419999999</v>
      </c>
      <c r="Y16" s="46">
        <f t="shared" si="9"/>
        <v>1491749.4240000001</v>
      </c>
      <c r="Z16" s="46">
        <f t="shared" si="9"/>
        <v>494789.64519999991</v>
      </c>
      <c r="AA16" s="47">
        <f t="shared" si="1"/>
        <v>10779989.7774</v>
      </c>
      <c r="AB16" s="47">
        <f t="shared" si="2"/>
        <v>5174417.2988</v>
      </c>
      <c r="AC16" s="87"/>
      <c r="AD16" s="31">
        <f t="shared" si="3"/>
        <v>10779989.7774</v>
      </c>
      <c r="AE16" s="31">
        <f t="shared" si="4"/>
        <v>5174417.2988</v>
      </c>
      <c r="AF16" s="17">
        <f t="shared" si="7"/>
        <v>0</v>
      </c>
      <c r="AG16" s="17">
        <f t="shared" si="8"/>
        <v>0</v>
      </c>
      <c r="BG16" s="21"/>
    </row>
    <row r="17" spans="1:123" s="19" customFormat="1" ht="18" customHeight="1" outlineLevel="1" x14ac:dyDescent="0.25">
      <c r="A17" s="48" t="s">
        <v>89</v>
      </c>
      <c r="B17" s="53"/>
      <c r="C17" s="49">
        <v>0</v>
      </c>
      <c r="D17" s="50">
        <v>71551.368000000002</v>
      </c>
      <c r="E17" s="50">
        <v>0</v>
      </c>
      <c r="F17" s="50">
        <v>19844.212200000002</v>
      </c>
      <c r="G17" s="50">
        <v>0</v>
      </c>
      <c r="H17" s="50">
        <v>25189.104000000003</v>
      </c>
      <c r="I17" s="50">
        <v>0</v>
      </c>
      <c r="J17" s="50">
        <v>38110.871999999996</v>
      </c>
      <c r="K17" s="50">
        <v>0</v>
      </c>
      <c r="L17" s="50">
        <v>49034.511000000006</v>
      </c>
      <c r="M17" s="50">
        <v>0</v>
      </c>
      <c r="N17" s="50">
        <v>67332.005400000009</v>
      </c>
      <c r="O17" s="50">
        <v>0</v>
      </c>
      <c r="P17" s="50">
        <v>25338.228000000003</v>
      </c>
      <c r="Q17" s="50">
        <v>0</v>
      </c>
      <c r="R17" s="50">
        <v>64902.661200000002</v>
      </c>
      <c r="S17" s="50">
        <v>0</v>
      </c>
      <c r="T17" s="50">
        <v>61692.394800000002</v>
      </c>
      <c r="U17" s="50">
        <v>0</v>
      </c>
      <c r="V17" s="50">
        <v>40409.605200000005</v>
      </c>
      <c r="W17" s="50">
        <v>0</v>
      </c>
      <c r="X17" s="50">
        <v>64179.246600000006</v>
      </c>
      <c r="Y17" s="50">
        <v>0</v>
      </c>
      <c r="Z17" s="50">
        <v>51746.558400000002</v>
      </c>
      <c r="AA17" s="51">
        <f t="shared" si="1"/>
        <v>0</v>
      </c>
      <c r="AB17" s="51">
        <f t="shared" si="2"/>
        <v>579330.76679999998</v>
      </c>
      <c r="AC17" s="19">
        <v>1.02</v>
      </c>
      <c r="AD17" s="31">
        <f t="shared" si="3"/>
        <v>0</v>
      </c>
      <c r="AE17" s="31">
        <f t="shared" si="4"/>
        <v>579330.76679999998</v>
      </c>
      <c r="AF17" s="17">
        <f t="shared" si="7"/>
        <v>0</v>
      </c>
      <c r="AG17" s="17">
        <f t="shared" si="8"/>
        <v>0</v>
      </c>
      <c r="BG17" s="21"/>
    </row>
    <row r="18" spans="1:123" s="19" customFormat="1" ht="18" customHeight="1" outlineLevel="1" x14ac:dyDescent="0.25">
      <c r="A18" s="48" t="s">
        <v>90</v>
      </c>
      <c r="B18" s="53"/>
      <c r="C18" s="49">
        <v>0</v>
      </c>
      <c r="D18" s="50">
        <v>446019.33720000001</v>
      </c>
      <c r="E18" s="50">
        <v>0</v>
      </c>
      <c r="F18" s="50">
        <v>329947.54979999998</v>
      </c>
      <c r="G18" s="50">
        <v>0</v>
      </c>
      <c r="H18" s="50">
        <v>374389.82699999999</v>
      </c>
      <c r="I18" s="50">
        <v>0</v>
      </c>
      <c r="J18" s="50">
        <v>483783.96</v>
      </c>
      <c r="K18" s="50">
        <v>0</v>
      </c>
      <c r="L18" s="50">
        <v>258583.62719999999</v>
      </c>
      <c r="M18" s="50">
        <v>0</v>
      </c>
      <c r="N18" s="50">
        <v>395832.69540000003</v>
      </c>
      <c r="O18" s="50">
        <v>0</v>
      </c>
      <c r="P18" s="50">
        <v>196017.56159999999</v>
      </c>
      <c r="Q18" s="50">
        <v>0</v>
      </c>
      <c r="R18" s="50">
        <v>331673.92019999999</v>
      </c>
      <c r="S18" s="50">
        <v>0</v>
      </c>
      <c r="T18" s="50">
        <v>361620.63060000003</v>
      </c>
      <c r="U18" s="50">
        <v>0</v>
      </c>
      <c r="V18" s="50">
        <v>247547.2476</v>
      </c>
      <c r="W18" s="50">
        <v>0</v>
      </c>
      <c r="X18" s="50">
        <v>253415.57280000002</v>
      </c>
      <c r="Y18" s="50">
        <v>0</v>
      </c>
      <c r="Z18" s="50">
        <v>391646.4828</v>
      </c>
      <c r="AA18" s="51">
        <f t="shared" si="1"/>
        <v>0</v>
      </c>
      <c r="AB18" s="51">
        <f t="shared" si="2"/>
        <v>4070478.4122000001</v>
      </c>
      <c r="AD18" s="31">
        <f t="shared" si="3"/>
        <v>0</v>
      </c>
      <c r="AE18" s="31">
        <f t="shared" si="4"/>
        <v>4070478.4122000001</v>
      </c>
      <c r="AF18" s="17">
        <f t="shared" si="7"/>
        <v>0</v>
      </c>
      <c r="AG18" s="17">
        <f t="shared" si="8"/>
        <v>0</v>
      </c>
      <c r="BG18" s="21"/>
    </row>
    <row r="19" spans="1:123" s="19" customFormat="1" ht="18" customHeight="1" outlineLevel="1" x14ac:dyDescent="0.25">
      <c r="A19" s="48" t="s">
        <v>91</v>
      </c>
      <c r="B19" s="53"/>
      <c r="C19" s="49">
        <v>0</v>
      </c>
      <c r="D19" s="50">
        <v>104503.68179999999</v>
      </c>
      <c r="E19" s="50">
        <v>0</v>
      </c>
      <c r="F19" s="50">
        <v>31088.457600000002</v>
      </c>
      <c r="G19" s="50">
        <v>0</v>
      </c>
      <c r="H19" s="50">
        <v>22354.993200000001</v>
      </c>
      <c r="I19" s="50">
        <v>0</v>
      </c>
      <c r="J19" s="50">
        <v>42781.095000000001</v>
      </c>
      <c r="K19" s="50">
        <v>0</v>
      </c>
      <c r="L19" s="50">
        <v>23828.373000000003</v>
      </c>
      <c r="M19" s="50">
        <v>0</v>
      </c>
      <c r="N19" s="50">
        <v>33440.445</v>
      </c>
      <c r="O19" s="50">
        <v>0</v>
      </c>
      <c r="P19" s="50">
        <v>25471.695</v>
      </c>
      <c r="Q19" s="50">
        <v>0</v>
      </c>
      <c r="R19" s="50">
        <v>39968.893800000005</v>
      </c>
      <c r="S19" s="50">
        <v>0</v>
      </c>
      <c r="T19" s="50">
        <v>40341.214200000002</v>
      </c>
      <c r="U19" s="50">
        <v>0</v>
      </c>
      <c r="V19" s="50">
        <v>57375.265200000002</v>
      </c>
      <c r="W19" s="50">
        <v>0</v>
      </c>
      <c r="X19" s="50">
        <v>34719.616799999996</v>
      </c>
      <c r="Y19" s="50">
        <v>0</v>
      </c>
      <c r="Z19" s="50">
        <v>53877.766799999998</v>
      </c>
      <c r="AA19" s="51">
        <f t="shared" si="1"/>
        <v>0</v>
      </c>
      <c r="AB19" s="51">
        <f t="shared" si="2"/>
        <v>509751.49739999999</v>
      </c>
      <c r="AD19" s="31">
        <f t="shared" si="3"/>
        <v>0</v>
      </c>
      <c r="AE19" s="31">
        <f t="shared" si="4"/>
        <v>509751.49739999999</v>
      </c>
      <c r="AF19" s="17">
        <f t="shared" si="7"/>
        <v>0</v>
      </c>
      <c r="AG19" s="17">
        <f t="shared" si="8"/>
        <v>0</v>
      </c>
      <c r="BG19" s="21"/>
    </row>
    <row r="20" spans="1:123" s="19" customFormat="1" ht="18" customHeight="1" outlineLevel="1" x14ac:dyDescent="0.25">
      <c r="A20" s="48" t="s">
        <v>92</v>
      </c>
      <c r="B20" s="53"/>
      <c r="C20" s="49">
        <v>0</v>
      </c>
      <c r="D20" s="50">
        <v>0</v>
      </c>
      <c r="E20" s="50">
        <v>0</v>
      </c>
      <c r="F20" s="50">
        <v>0</v>
      </c>
      <c r="G20" s="50">
        <v>0</v>
      </c>
      <c r="H20" s="50">
        <v>3087.54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194.51399999999998</v>
      </c>
      <c r="O20" s="50">
        <v>0</v>
      </c>
      <c r="P20" s="50">
        <v>1242.4823999999999</v>
      </c>
      <c r="Q20" s="50">
        <v>0</v>
      </c>
      <c r="R20" s="50">
        <v>0</v>
      </c>
      <c r="S20" s="50">
        <v>0</v>
      </c>
      <c r="T20" s="50">
        <v>595.18020000000001</v>
      </c>
      <c r="U20" s="50">
        <v>0</v>
      </c>
      <c r="V20" s="50">
        <v>0</v>
      </c>
      <c r="W20" s="50">
        <v>0</v>
      </c>
      <c r="X20" s="50">
        <v>1356.1002000000001</v>
      </c>
      <c r="Y20" s="50">
        <v>0</v>
      </c>
      <c r="Z20" s="50">
        <v>0</v>
      </c>
      <c r="AA20" s="51">
        <f t="shared" si="1"/>
        <v>0</v>
      </c>
      <c r="AB20" s="51">
        <f t="shared" si="2"/>
        <v>6475.8167999999996</v>
      </c>
      <c r="AD20" s="31">
        <f t="shared" si="3"/>
        <v>0</v>
      </c>
      <c r="AE20" s="31">
        <f t="shared" si="4"/>
        <v>6475.8167999999996</v>
      </c>
      <c r="AF20" s="17">
        <f t="shared" si="7"/>
        <v>0</v>
      </c>
      <c r="AG20" s="17">
        <f t="shared" si="8"/>
        <v>0</v>
      </c>
      <c r="BG20" s="21"/>
    </row>
    <row r="21" spans="1:123" s="19" customFormat="1" ht="18" customHeight="1" outlineLevel="1" x14ac:dyDescent="0.25">
      <c r="A21" s="48" t="s">
        <v>93</v>
      </c>
      <c r="B21" s="53"/>
      <c r="C21" s="49">
        <v>0</v>
      </c>
      <c r="D21" s="50">
        <v>1671.2088000000001</v>
      </c>
      <c r="E21" s="50">
        <v>0</v>
      </c>
      <c r="F21" s="50">
        <v>219.62639999999999</v>
      </c>
      <c r="G21" s="50">
        <v>0</v>
      </c>
      <c r="H21" s="50">
        <v>513.60059999999999</v>
      </c>
      <c r="I21" s="50">
        <v>0</v>
      </c>
      <c r="J21" s="50">
        <v>498.83100000000002</v>
      </c>
      <c r="K21" s="50">
        <v>0</v>
      </c>
      <c r="L21" s="50">
        <v>998.98799999999994</v>
      </c>
      <c r="M21" s="50">
        <v>0</v>
      </c>
      <c r="N21" s="50">
        <v>3952.3572000000004</v>
      </c>
      <c r="O21" s="50">
        <v>0</v>
      </c>
      <c r="P21" s="50">
        <v>248.11500000000001</v>
      </c>
      <c r="Q21" s="50">
        <v>0</v>
      </c>
      <c r="R21" s="50">
        <v>3128.9010000000003</v>
      </c>
      <c r="S21" s="50">
        <v>0</v>
      </c>
      <c r="T21" s="50">
        <v>977.38440000000003</v>
      </c>
      <c r="U21" s="50">
        <v>0</v>
      </c>
      <c r="V21" s="50">
        <v>613.28520000000003</v>
      </c>
      <c r="W21" s="50">
        <v>0</v>
      </c>
      <c r="X21" s="50">
        <v>2763.4860000000003</v>
      </c>
      <c r="Y21" s="50">
        <v>0</v>
      </c>
      <c r="Z21" s="50">
        <v>299.29860000000002</v>
      </c>
      <c r="AA21" s="51">
        <f t="shared" si="1"/>
        <v>0</v>
      </c>
      <c r="AB21" s="51">
        <f t="shared" si="2"/>
        <v>15885.082200000003</v>
      </c>
      <c r="AD21" s="31">
        <f t="shared" si="3"/>
        <v>0</v>
      </c>
      <c r="AE21" s="31">
        <f t="shared" si="4"/>
        <v>15885.082200000003</v>
      </c>
      <c r="AF21" s="17">
        <f t="shared" si="7"/>
        <v>0</v>
      </c>
      <c r="AG21" s="17">
        <f t="shared" si="8"/>
        <v>0</v>
      </c>
      <c r="BG21" s="21"/>
    </row>
    <row r="22" spans="1:123" s="19" customFormat="1" ht="18" customHeight="1" outlineLevel="1" x14ac:dyDescent="0.25">
      <c r="A22" s="48" t="s">
        <v>94</v>
      </c>
      <c r="B22" s="53"/>
      <c r="C22" s="49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1">
        <f t="shared" si="1"/>
        <v>0</v>
      </c>
      <c r="AB22" s="51">
        <f t="shared" si="2"/>
        <v>0</v>
      </c>
      <c r="AD22" s="31">
        <f t="shared" si="3"/>
        <v>0</v>
      </c>
      <c r="AE22" s="31">
        <f t="shared" si="4"/>
        <v>0</v>
      </c>
      <c r="AF22" s="17">
        <f t="shared" si="7"/>
        <v>0</v>
      </c>
      <c r="AG22" s="17">
        <f t="shared" si="8"/>
        <v>0</v>
      </c>
      <c r="BG22" s="21"/>
    </row>
    <row r="23" spans="1:123" s="19" customFormat="1" ht="18" customHeight="1" outlineLevel="1" x14ac:dyDescent="0.25">
      <c r="A23" s="48" t="s">
        <v>95</v>
      </c>
      <c r="B23" s="53"/>
      <c r="C23" s="49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1">
        <f t="shared" si="1"/>
        <v>0</v>
      </c>
      <c r="AB23" s="51">
        <f t="shared" si="2"/>
        <v>0</v>
      </c>
      <c r="AD23" s="31">
        <f t="shared" si="3"/>
        <v>0</v>
      </c>
      <c r="AE23" s="31">
        <f t="shared" si="4"/>
        <v>0</v>
      </c>
      <c r="AF23" s="17">
        <f t="shared" si="7"/>
        <v>0</v>
      </c>
      <c r="AG23" s="17">
        <f t="shared" si="8"/>
        <v>0</v>
      </c>
      <c r="BG23" s="21"/>
    </row>
    <row r="24" spans="1:123" s="19" customFormat="1" ht="18" customHeight="1" outlineLevel="1" x14ac:dyDescent="0.25">
      <c r="A24" s="48" t="s">
        <v>97</v>
      </c>
      <c r="B24" s="53"/>
      <c r="C24" s="49">
        <v>372170.97000000003</v>
      </c>
      <c r="D24" s="50">
        <v>0</v>
      </c>
      <c r="E24" s="50">
        <v>517047.95520000003</v>
      </c>
      <c r="F24" s="50">
        <v>0</v>
      </c>
      <c r="G24" s="50">
        <v>746207.15280000004</v>
      </c>
      <c r="H24" s="50">
        <v>0</v>
      </c>
      <c r="I24" s="50">
        <v>960427.35899999994</v>
      </c>
      <c r="J24" s="50">
        <v>0</v>
      </c>
      <c r="K24" s="50">
        <v>794823.2598</v>
      </c>
      <c r="L24" s="50">
        <v>-15111.6774</v>
      </c>
      <c r="M24" s="50">
        <v>909680.42100000009</v>
      </c>
      <c r="N24" s="50">
        <v>-21347.07</v>
      </c>
      <c r="O24" s="50">
        <v>854737.22340000002</v>
      </c>
      <c r="P24" s="50">
        <f>(-9181.14)*1.02</f>
        <v>-9364.7628000000004</v>
      </c>
      <c r="Q24" s="50">
        <v>893396.02919999999</v>
      </c>
      <c r="R24" s="50">
        <f>(-14996.71+9108.06)*1.02</f>
        <v>-6006.4229999999998</v>
      </c>
      <c r="S24" s="50">
        <v>1223668.4183999998</v>
      </c>
      <c r="T24" s="50">
        <f>(-20369.15+0.85+9724.01)*1.02</f>
        <v>-10857.175800000003</v>
      </c>
      <c r="U24" s="50">
        <v>880605.83100000001</v>
      </c>
      <c r="V24" s="50">
        <f>(-11926.03+3339.13)*1.02</f>
        <v>-8758.6380000000008</v>
      </c>
      <c r="W24" s="50">
        <v>999683.31360000011</v>
      </c>
      <c r="X24" s="50">
        <f>(-12250.82+2557.41)*1.02</f>
        <v>-9887.2782000000007</v>
      </c>
      <c r="Y24" s="50">
        <v>1469061.834</v>
      </c>
      <c r="Z24" s="50">
        <f>(-14737.58+2887.01)*1.02</f>
        <v>-12087.581399999999</v>
      </c>
      <c r="AA24" s="51">
        <f t="shared" si="1"/>
        <v>10621509.7674</v>
      </c>
      <c r="AB24" s="51">
        <f t="shared" si="2"/>
        <v>-93420.606600000014</v>
      </c>
      <c r="AD24" s="31">
        <f t="shared" si="3"/>
        <v>10621509.7674</v>
      </c>
      <c r="AE24" s="31">
        <f t="shared" si="4"/>
        <v>-93420.606600000014</v>
      </c>
      <c r="AF24" s="17">
        <f t="shared" si="7"/>
        <v>0</v>
      </c>
      <c r="AG24" s="17">
        <f t="shared" si="8"/>
        <v>0</v>
      </c>
      <c r="BG24" s="21"/>
    </row>
    <row r="25" spans="1:123" s="19" customFormat="1" ht="18" customHeight="1" outlineLevel="1" x14ac:dyDescent="0.25">
      <c r="A25" s="48" t="s">
        <v>100</v>
      </c>
      <c r="B25" s="53"/>
      <c r="C25" s="49">
        <v>5274.25</v>
      </c>
      <c r="D25" s="50">
        <v>10546.08</v>
      </c>
      <c r="E25" s="50">
        <v>7392.43</v>
      </c>
      <c r="F25" s="50">
        <v>4598.38</v>
      </c>
      <c r="G25" s="50">
        <v>10885.28</v>
      </c>
      <c r="H25" s="50">
        <v>4748.4799999999996</v>
      </c>
      <c r="I25" s="50">
        <v>14376.57</v>
      </c>
      <c r="J25" s="50">
        <v>8733.15</v>
      </c>
      <c r="K25" s="50">
        <v>11686.21</v>
      </c>
      <c r="L25" s="50">
        <v>5367.52</v>
      </c>
      <c r="M25" s="50">
        <v>13586.64</v>
      </c>
      <c r="N25" s="50">
        <v>5591.69</v>
      </c>
      <c r="O25" s="50">
        <v>12596.25</v>
      </c>
      <c r="P25" s="50">
        <v>5598.12</v>
      </c>
      <c r="Q25" s="50">
        <v>13287.55</v>
      </c>
      <c r="R25" s="50">
        <v>8993.82</v>
      </c>
      <c r="S25" s="50">
        <v>18616.95</v>
      </c>
      <c r="T25" s="50">
        <v>9024.31</v>
      </c>
      <c r="U25" s="50">
        <v>12983.81</v>
      </c>
      <c r="V25" s="50">
        <v>6218.25</v>
      </c>
      <c r="W25" s="50">
        <v>15106.48</v>
      </c>
      <c r="X25" s="50">
        <v>7189.41</v>
      </c>
      <c r="Y25" s="50">
        <v>22687.59</v>
      </c>
      <c r="Z25" s="50">
        <v>9307.1200000000008</v>
      </c>
      <c r="AA25" s="51">
        <f t="shared" si="1"/>
        <v>158480.01</v>
      </c>
      <c r="AB25" s="51">
        <f t="shared" si="2"/>
        <v>85916.33</v>
      </c>
      <c r="AC25" s="20"/>
      <c r="AD25" s="31">
        <f t="shared" si="3"/>
        <v>158480.01</v>
      </c>
      <c r="AE25" s="31">
        <f t="shared" si="4"/>
        <v>85916.33</v>
      </c>
      <c r="AF25" s="17">
        <f t="shared" si="7"/>
        <v>0</v>
      </c>
      <c r="AG25" s="17">
        <f t="shared" si="8"/>
        <v>0</v>
      </c>
      <c r="BG25" s="21"/>
    </row>
    <row r="26" spans="1:123" s="19" customFormat="1" ht="18" customHeight="1" x14ac:dyDescent="0.25">
      <c r="A26" s="52" t="s">
        <v>101</v>
      </c>
      <c r="B26" s="45" t="s">
        <v>102</v>
      </c>
      <c r="C26" s="46">
        <f t="shared" ref="C26:Z26" si="10">C6-C16</f>
        <v>29425.340000000026</v>
      </c>
      <c r="D26" s="46">
        <f t="shared" si="10"/>
        <v>124976.38260000013</v>
      </c>
      <c r="E26" s="46">
        <f t="shared" si="10"/>
        <v>45833.094799999963</v>
      </c>
      <c r="F26" s="46">
        <f t="shared" si="10"/>
        <v>51784.005199999956</v>
      </c>
      <c r="G26" s="46">
        <f t="shared" si="10"/>
        <v>82629.167200000025</v>
      </c>
      <c r="H26" s="46">
        <f t="shared" si="10"/>
        <v>23604.113199999963</v>
      </c>
      <c r="I26" s="46">
        <f t="shared" si="10"/>
        <v>134245.9110000002</v>
      </c>
      <c r="J26" s="46">
        <f t="shared" si="10"/>
        <v>76570.519199999981</v>
      </c>
      <c r="K26" s="46">
        <f t="shared" si="10"/>
        <v>94997.850200000103</v>
      </c>
      <c r="L26" s="46">
        <f t="shared" si="10"/>
        <v>66684.590600000054</v>
      </c>
      <c r="M26" s="46">
        <f t="shared" si="10"/>
        <v>124844.85899999994</v>
      </c>
      <c r="N26" s="46">
        <f t="shared" si="10"/>
        <v>99676.104999999865</v>
      </c>
      <c r="O26" s="46">
        <f t="shared" si="10"/>
        <v>104377.08660000004</v>
      </c>
      <c r="P26" s="46">
        <f t="shared" si="10"/>
        <v>62252.76840000003</v>
      </c>
      <c r="Q26" s="46">
        <f t="shared" si="10"/>
        <v>116211.01080000005</v>
      </c>
      <c r="R26" s="46">
        <f t="shared" si="10"/>
        <v>92199.13320000004</v>
      </c>
      <c r="S26" s="46">
        <f t="shared" si="10"/>
        <v>193060.30160000036</v>
      </c>
      <c r="T26" s="46">
        <f t="shared" si="10"/>
        <v>113411.64080000005</v>
      </c>
      <c r="U26" s="46">
        <f t="shared" si="10"/>
        <v>107686.34900000005</v>
      </c>
      <c r="V26" s="46">
        <f t="shared" si="10"/>
        <v>85151.901600000041</v>
      </c>
      <c r="W26" s="54">
        <f t="shared" si="10"/>
        <v>150111.27639999997</v>
      </c>
      <c r="X26" s="46">
        <f t="shared" si="10"/>
        <v>95872.630200000072</v>
      </c>
      <c r="Y26" s="46">
        <f t="shared" si="10"/>
        <v>257685.93599999999</v>
      </c>
      <c r="Z26" s="46">
        <f t="shared" si="10"/>
        <v>127808.20400000014</v>
      </c>
      <c r="AA26" s="47">
        <f t="shared" si="1"/>
        <v>1441108.1826000006</v>
      </c>
      <c r="AB26" s="47">
        <f t="shared" si="2"/>
        <v>1019991.9940000002</v>
      </c>
      <c r="AD26" s="31">
        <f t="shared" si="3"/>
        <v>1441108.1826000006</v>
      </c>
      <c r="AE26" s="31">
        <f t="shared" si="4"/>
        <v>1019991.9940000002</v>
      </c>
      <c r="AF26" s="55">
        <f>AD6-AD16-AA26</f>
        <v>0</v>
      </c>
      <c r="AG26" s="55">
        <f>AE6-AE16-AB26</f>
        <v>0</v>
      </c>
      <c r="BG26" s="21"/>
    </row>
    <row r="27" spans="1:123" s="20" customFormat="1" ht="18" customHeight="1" x14ac:dyDescent="0.25">
      <c r="A27" s="56" t="s">
        <v>210</v>
      </c>
      <c r="B27" s="57" t="s">
        <v>104</v>
      </c>
      <c r="C27" s="58">
        <f t="shared" ref="C27:AB27" si="11">C26/C6</f>
        <v>7.2321133286222583E-2</v>
      </c>
      <c r="D27" s="58">
        <f t="shared" si="11"/>
        <v>0.16460113291656431</v>
      </c>
      <c r="E27" s="58">
        <f t="shared" si="11"/>
        <v>8.0370377384548844E-2</v>
      </c>
      <c r="F27" s="58">
        <f t="shared" si="11"/>
        <v>0.11836824791251079</v>
      </c>
      <c r="G27" s="58">
        <f t="shared" si="11"/>
        <v>9.8400668983625067E-2</v>
      </c>
      <c r="H27" s="58">
        <f t="shared" si="11"/>
        <v>5.2004307197971812E-2</v>
      </c>
      <c r="I27" s="58">
        <f t="shared" si="11"/>
        <v>0.12104587743324519</v>
      </c>
      <c r="J27" s="58">
        <f t="shared" si="11"/>
        <v>0.11771415622436492</v>
      </c>
      <c r="K27" s="58">
        <f t="shared" si="11"/>
        <v>0.10537668202183882</v>
      </c>
      <c r="L27" s="58">
        <f t="shared" si="11"/>
        <v>0.17125577749813961</v>
      </c>
      <c r="M27" s="58">
        <f t="shared" si="11"/>
        <v>0.11911405320149392</v>
      </c>
      <c r="N27" s="58">
        <f t="shared" si="11"/>
        <v>0.17048187445687329</v>
      </c>
      <c r="O27" s="58">
        <f t="shared" si="11"/>
        <v>0.10741581999479355</v>
      </c>
      <c r="P27" s="58">
        <f t="shared" si="11"/>
        <v>0.20290715335026593</v>
      </c>
      <c r="Q27" s="58">
        <f t="shared" si="11"/>
        <v>0.11360995740528849</v>
      </c>
      <c r="R27" s="58">
        <f t="shared" si="11"/>
        <v>0.17237964505681813</v>
      </c>
      <c r="S27" s="58">
        <f t="shared" si="11"/>
        <v>0.13450439544642953</v>
      </c>
      <c r="T27" s="58">
        <f t="shared" si="11"/>
        <v>0.19662022159580395</v>
      </c>
      <c r="U27" s="58">
        <f t="shared" si="11"/>
        <v>0.10754911740168666</v>
      </c>
      <c r="V27" s="58">
        <f t="shared" si="11"/>
        <v>0.19869449835466996</v>
      </c>
      <c r="W27" s="59">
        <f t="shared" si="11"/>
        <v>0.12886182377701821</v>
      </c>
      <c r="X27" s="58">
        <f t="shared" si="11"/>
        <v>0.21323566960094309</v>
      </c>
      <c r="Y27" s="58">
        <f t="shared" si="11"/>
        <v>0.14729663175437357</v>
      </c>
      <c r="Z27" s="58">
        <f t="shared" si="11"/>
        <v>0.20528211615929259</v>
      </c>
      <c r="AA27" s="60">
        <f t="shared" si="11"/>
        <v>0.11791969815779142</v>
      </c>
      <c r="AB27" s="60">
        <f t="shared" si="11"/>
        <v>0.16466331909736348</v>
      </c>
      <c r="AC27" s="61"/>
      <c r="AD27" s="62">
        <f>AD26/AD6</f>
        <v>0.11791969815779142</v>
      </c>
      <c r="AE27" s="62">
        <f>AE26/AE6</f>
        <v>0.16466331909736348</v>
      </c>
      <c r="AF27" s="17">
        <f>AA27-AD27</f>
        <v>0</v>
      </c>
      <c r="AG27" s="17">
        <f>AB27-AE27</f>
        <v>0</v>
      </c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</row>
    <row r="28" spans="1:123" s="19" customFormat="1" ht="18" customHeight="1" x14ac:dyDescent="0.25">
      <c r="A28" s="63" t="s">
        <v>105</v>
      </c>
      <c r="B28" s="53">
        <v>5</v>
      </c>
      <c r="C28" s="64">
        <f t="shared" ref="C28:P28" si="12">ROUND(C6*0.88%+C6*0.07%,2)</f>
        <v>3865.27</v>
      </c>
      <c r="D28" s="64">
        <f t="shared" si="12"/>
        <v>7213.05</v>
      </c>
      <c r="E28" s="64">
        <f t="shared" si="12"/>
        <v>5417.6</v>
      </c>
      <c r="F28" s="64">
        <f t="shared" si="12"/>
        <v>4156.08</v>
      </c>
      <c r="G28" s="64">
        <f t="shared" si="12"/>
        <v>7977.36</v>
      </c>
      <c r="H28" s="64">
        <f t="shared" si="12"/>
        <v>4311.93</v>
      </c>
      <c r="I28" s="64">
        <f t="shared" si="12"/>
        <v>10535.97</v>
      </c>
      <c r="J28" s="64">
        <f t="shared" si="12"/>
        <v>6179.55</v>
      </c>
      <c r="K28" s="64">
        <f t="shared" si="12"/>
        <v>8564.32</v>
      </c>
      <c r="L28" s="64">
        <f t="shared" si="12"/>
        <v>3699.17</v>
      </c>
      <c r="M28" s="64">
        <f t="shared" si="12"/>
        <v>9957.06</v>
      </c>
      <c r="N28" s="64">
        <f t="shared" si="12"/>
        <v>5554.39</v>
      </c>
      <c r="O28" s="64">
        <f t="shared" si="12"/>
        <v>9231.25</v>
      </c>
      <c r="P28" s="64">
        <f t="shared" si="12"/>
        <v>2914.64</v>
      </c>
      <c r="Q28" s="64">
        <v>9016.56</v>
      </c>
      <c r="R28" s="64">
        <f>ROUND(R6*0.88%+R6*0.07%,2)</f>
        <v>5081.18</v>
      </c>
      <c r="S28" s="64">
        <v>12632.93</v>
      </c>
      <c r="T28" s="64">
        <f>ROUND(T6*0.88%+T6*0.07%,2)</f>
        <v>5479.65</v>
      </c>
      <c r="U28" s="64">
        <v>8810.44</v>
      </c>
      <c r="V28" s="64">
        <f>ROUND(V6*0.88%+V6*0.07%,2)</f>
        <v>4071.29</v>
      </c>
      <c r="W28" s="64">
        <v>10250.82</v>
      </c>
      <c r="X28" s="64">
        <f>ROUND(X6*0.88%+X6*0.07%,2)</f>
        <v>4271.28</v>
      </c>
      <c r="Y28" s="64">
        <v>15395.15</v>
      </c>
      <c r="Z28" s="64">
        <f>ROUND(Z6*0.88%+Z6*0.07%,2)</f>
        <v>5914.68</v>
      </c>
      <c r="AA28" s="51">
        <f t="shared" ref="AA28:AA91" si="13">C28+E28+G28+I28+K28+M28+O28+Q28+S28+U28+W28+Y28</f>
        <v>111654.72999999998</v>
      </c>
      <c r="AB28" s="51">
        <f t="shared" ref="AB28:AB91" si="14">D28+F28+H28+J28+L28+N28+P28+R28+T28+V28+X28+Z28</f>
        <v>58846.89</v>
      </c>
      <c r="AD28" s="31">
        <f t="shared" ref="AD28:AD91" si="15">SUMIF($C$5:$Z$5,$AD$5,C28:Z28)</f>
        <v>111654.72999999998</v>
      </c>
      <c r="AE28" s="31">
        <f t="shared" ref="AE28:AE91" si="16">SUMIF($C$5:$Z$5,$AD$5,D28:AA28)</f>
        <v>58846.89</v>
      </c>
      <c r="AF28" s="17">
        <f>AA28-AD28</f>
        <v>0</v>
      </c>
      <c r="AG28" s="17">
        <f>AB28-AE28</f>
        <v>0</v>
      </c>
      <c r="BG28" s="21"/>
    </row>
    <row r="29" spans="1:123" s="21" customFormat="1" ht="18" customHeight="1" x14ac:dyDescent="0.25">
      <c r="A29" s="52" t="s">
        <v>106</v>
      </c>
      <c r="B29" s="45">
        <v>6</v>
      </c>
      <c r="C29" s="65">
        <f t="shared" ref="C29:Z29" si="17">SUM(C30:C101)-C30-C33-C42-C53-C65</f>
        <v>52416.009999999995</v>
      </c>
      <c r="D29" s="65">
        <f t="shared" si="17"/>
        <v>38858.51</v>
      </c>
      <c r="E29" s="65">
        <f t="shared" si="17"/>
        <v>44173.710000000006</v>
      </c>
      <c r="F29" s="65">
        <f t="shared" si="17"/>
        <v>25985.989999999998</v>
      </c>
      <c r="G29" s="65">
        <f t="shared" si="17"/>
        <v>61053.14</v>
      </c>
      <c r="H29" s="65">
        <f t="shared" si="17"/>
        <v>35833.169999999991</v>
      </c>
      <c r="I29" s="65">
        <f t="shared" si="17"/>
        <v>53128.210000000006</v>
      </c>
      <c r="J29" s="65">
        <f t="shared" si="17"/>
        <v>36849.049999999988</v>
      </c>
      <c r="K29" s="65">
        <f t="shared" si="17"/>
        <v>51680.770000000004</v>
      </c>
      <c r="L29" s="65">
        <f t="shared" si="17"/>
        <v>27283.979999999989</v>
      </c>
      <c r="M29" s="65">
        <f t="shared" si="17"/>
        <v>52980.03</v>
      </c>
      <c r="N29" s="65">
        <f t="shared" si="17"/>
        <v>33679.33</v>
      </c>
      <c r="O29" s="65">
        <f t="shared" si="17"/>
        <v>54351.930000000008</v>
      </c>
      <c r="P29" s="65">
        <f t="shared" si="17"/>
        <v>28412.749999999996</v>
      </c>
      <c r="Q29" s="65">
        <f t="shared" si="17"/>
        <v>56514.94</v>
      </c>
      <c r="R29" s="65">
        <f t="shared" si="17"/>
        <v>28661.590000000004</v>
      </c>
      <c r="S29" s="65">
        <f t="shared" si="17"/>
        <v>61851.3</v>
      </c>
      <c r="T29" s="65">
        <f t="shared" si="17"/>
        <v>42646.73</v>
      </c>
      <c r="U29" s="65">
        <f t="shared" si="17"/>
        <v>56966.5</v>
      </c>
      <c r="V29" s="65">
        <f t="shared" si="17"/>
        <v>29124.950000000004</v>
      </c>
      <c r="W29" s="65">
        <f t="shared" si="17"/>
        <v>58611.090000000011</v>
      </c>
      <c r="X29" s="65">
        <f t="shared" si="17"/>
        <v>30893.499999999993</v>
      </c>
      <c r="Y29" s="65">
        <f t="shared" si="17"/>
        <v>68509.760000000024</v>
      </c>
      <c r="Z29" s="65">
        <f t="shared" si="17"/>
        <v>7755.4900000000016</v>
      </c>
      <c r="AA29" s="47">
        <f t="shared" si="13"/>
        <v>672237.39</v>
      </c>
      <c r="AB29" s="47">
        <f t="shared" si="14"/>
        <v>365985.04</v>
      </c>
      <c r="AD29" s="31">
        <f t="shared" si="15"/>
        <v>672237.39</v>
      </c>
      <c r="AE29" s="31">
        <f t="shared" si="16"/>
        <v>365985.04</v>
      </c>
      <c r="AF29" s="17">
        <f>AD29-(SUM(AA30:AA101)-SUM(AA30,AA33,AA42,AA53,AA65))</f>
        <v>0</v>
      </c>
      <c r="AG29" s="17">
        <f>AE29-(SUM(AB30:AB101)-SUM(AB30,AB33,AB42,AB53,AB65))</f>
        <v>0</v>
      </c>
      <c r="BG29" s="66"/>
    </row>
    <row r="30" spans="1:123" s="17" customFormat="1" ht="18" customHeight="1" outlineLevel="1" x14ac:dyDescent="0.25">
      <c r="A30" s="67" t="s">
        <v>107</v>
      </c>
      <c r="B30" s="45"/>
      <c r="C30" s="65">
        <f t="shared" ref="C30:Z30" si="18">SUM(C31:C32)</f>
        <v>32656.21</v>
      </c>
      <c r="D30" s="65">
        <f t="shared" si="18"/>
        <v>22027.129999999997</v>
      </c>
      <c r="E30" s="65">
        <f t="shared" si="18"/>
        <v>24813.91</v>
      </c>
      <c r="F30" s="65">
        <f t="shared" si="18"/>
        <v>9883</v>
      </c>
      <c r="G30" s="65">
        <f t="shared" si="18"/>
        <v>30983.34</v>
      </c>
      <c r="H30" s="65">
        <f t="shared" si="18"/>
        <v>9064.5</v>
      </c>
      <c r="I30" s="65">
        <f t="shared" si="18"/>
        <v>33768.410000000003</v>
      </c>
      <c r="J30" s="65">
        <f t="shared" si="18"/>
        <v>10380.5</v>
      </c>
      <c r="K30" s="65">
        <f t="shared" si="18"/>
        <v>32320.97</v>
      </c>
      <c r="L30" s="65">
        <f t="shared" si="18"/>
        <v>7671.5</v>
      </c>
      <c r="M30" s="65">
        <f t="shared" si="18"/>
        <v>33620.229999999996</v>
      </c>
      <c r="N30" s="65">
        <f t="shared" si="18"/>
        <v>10887.5</v>
      </c>
      <c r="O30" s="65">
        <f t="shared" si="18"/>
        <v>34992.130000000005</v>
      </c>
      <c r="P30" s="65">
        <f t="shared" si="18"/>
        <v>5165.5</v>
      </c>
      <c r="Q30" s="65">
        <f t="shared" si="18"/>
        <v>37155.14</v>
      </c>
      <c r="R30" s="65">
        <f t="shared" si="18"/>
        <v>7127.5</v>
      </c>
      <c r="S30" s="65">
        <f t="shared" si="18"/>
        <v>42491.5</v>
      </c>
      <c r="T30" s="65">
        <f t="shared" si="18"/>
        <v>6993.5</v>
      </c>
      <c r="U30" s="65">
        <f t="shared" si="18"/>
        <v>37206.699999999997</v>
      </c>
      <c r="V30" s="65">
        <f t="shared" si="18"/>
        <v>7091.5</v>
      </c>
      <c r="W30" s="65">
        <f t="shared" si="18"/>
        <v>39251.29</v>
      </c>
      <c r="X30" s="65">
        <f t="shared" si="18"/>
        <v>6464.5</v>
      </c>
      <c r="Y30" s="65">
        <f t="shared" si="18"/>
        <v>49149.96</v>
      </c>
      <c r="Z30" s="65">
        <f t="shared" si="18"/>
        <v>-16812.5</v>
      </c>
      <c r="AA30" s="47">
        <f t="shared" si="13"/>
        <v>428409.79000000004</v>
      </c>
      <c r="AB30" s="47">
        <f t="shared" si="14"/>
        <v>85944.13</v>
      </c>
      <c r="AC30" s="21"/>
      <c r="AD30" s="31">
        <f t="shared" si="15"/>
        <v>428409.79000000004</v>
      </c>
      <c r="AE30" s="31">
        <f t="shared" si="16"/>
        <v>85944.13</v>
      </c>
      <c r="AF30" s="17">
        <f t="shared" ref="AF30:AF93" si="19">AA30-AD30</f>
        <v>0</v>
      </c>
      <c r="AG30" s="17">
        <f t="shared" ref="AG30:AG93" si="20">AB30-AE30</f>
        <v>0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66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</row>
    <row r="31" spans="1:123" s="19" customFormat="1" ht="18" customHeight="1" outlineLevel="2" x14ac:dyDescent="0.25">
      <c r="A31" s="48" t="s">
        <v>108</v>
      </c>
      <c r="B31" s="53"/>
      <c r="C31" s="49">
        <v>13331</v>
      </c>
      <c r="D31" s="68">
        <v>9847.1299999999992</v>
      </c>
      <c r="E31" s="68">
        <v>13331</v>
      </c>
      <c r="F31" s="68">
        <v>7300</v>
      </c>
      <c r="G31" s="68">
        <v>13331</v>
      </c>
      <c r="H31" s="50">
        <v>7165.5</v>
      </c>
      <c r="I31" s="68">
        <v>13331</v>
      </c>
      <c r="J31" s="68">
        <v>7165.5</v>
      </c>
      <c r="K31" s="68">
        <v>13331</v>
      </c>
      <c r="L31" s="68">
        <v>7165.5</v>
      </c>
      <c r="M31" s="68">
        <v>13331</v>
      </c>
      <c r="N31" s="68">
        <v>7165.5</v>
      </c>
      <c r="O31" s="68">
        <v>13331</v>
      </c>
      <c r="P31" s="68">
        <v>5165.5</v>
      </c>
      <c r="Q31" s="68">
        <v>13331</v>
      </c>
      <c r="R31" s="68">
        <v>6165.5</v>
      </c>
      <c r="S31" s="68">
        <v>13331</v>
      </c>
      <c r="T31" s="68">
        <v>6165.5</v>
      </c>
      <c r="U31" s="68">
        <v>13331</v>
      </c>
      <c r="V31" s="68">
        <v>6165.5</v>
      </c>
      <c r="W31" s="68">
        <v>13331</v>
      </c>
      <c r="X31" s="68">
        <v>6165.5</v>
      </c>
      <c r="Y31" s="68">
        <v>13331</v>
      </c>
      <c r="Z31" s="68">
        <v>6165.5</v>
      </c>
      <c r="AA31" s="51">
        <f t="shared" si="13"/>
        <v>159972</v>
      </c>
      <c r="AB31" s="51">
        <f t="shared" si="14"/>
        <v>81802.13</v>
      </c>
      <c r="AC31" s="22"/>
      <c r="AD31" s="31">
        <f t="shared" si="15"/>
        <v>159972</v>
      </c>
      <c r="AE31" s="31">
        <f t="shared" si="16"/>
        <v>81802.13</v>
      </c>
      <c r="AF31" s="17">
        <f t="shared" si="19"/>
        <v>0</v>
      </c>
      <c r="AG31" s="17">
        <f t="shared" si="20"/>
        <v>0</v>
      </c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61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</row>
    <row r="32" spans="1:123" s="19" customFormat="1" ht="18" customHeight="1" outlineLevel="2" x14ac:dyDescent="0.25">
      <c r="A32" s="48" t="s">
        <v>109</v>
      </c>
      <c r="B32" s="53"/>
      <c r="C32" s="49">
        <v>19325.21</v>
      </c>
      <c r="D32" s="68">
        <v>12180</v>
      </c>
      <c r="E32" s="68">
        <v>11482.91</v>
      </c>
      <c r="F32" s="68">
        <v>2583</v>
      </c>
      <c r="G32" s="68">
        <v>17652.34</v>
      </c>
      <c r="H32" s="50">
        <v>1899</v>
      </c>
      <c r="I32" s="68">
        <v>20437.41</v>
      </c>
      <c r="J32" s="68">
        <v>3215</v>
      </c>
      <c r="K32" s="68">
        <v>18989.97</v>
      </c>
      <c r="L32" s="68">
        <v>506</v>
      </c>
      <c r="M32" s="68">
        <v>20289.23</v>
      </c>
      <c r="N32" s="68">
        <v>3722</v>
      </c>
      <c r="O32" s="68">
        <v>21661.13</v>
      </c>
      <c r="P32" s="68">
        <v>0</v>
      </c>
      <c r="Q32" s="68">
        <v>23824.14</v>
      </c>
      <c r="R32" s="68">
        <v>962</v>
      </c>
      <c r="S32" s="68">
        <v>29160.5</v>
      </c>
      <c r="T32" s="68">
        <v>828</v>
      </c>
      <c r="U32" s="68">
        <v>23875.7</v>
      </c>
      <c r="V32" s="68">
        <v>926</v>
      </c>
      <c r="W32" s="68">
        <v>25920.29</v>
      </c>
      <c r="X32" s="68">
        <v>299</v>
      </c>
      <c r="Y32" s="68">
        <v>35818.959999999999</v>
      </c>
      <c r="Z32" s="68">
        <v>-22978</v>
      </c>
      <c r="AA32" s="51">
        <f t="shared" si="13"/>
        <v>268437.79000000004</v>
      </c>
      <c r="AB32" s="51">
        <f t="shared" si="14"/>
        <v>4142</v>
      </c>
      <c r="AC32" s="22"/>
      <c r="AD32" s="31">
        <f t="shared" si="15"/>
        <v>268437.79000000004</v>
      </c>
      <c r="AE32" s="31">
        <f t="shared" si="16"/>
        <v>4142</v>
      </c>
      <c r="AF32" s="17">
        <f t="shared" si="19"/>
        <v>0</v>
      </c>
      <c r="AG32" s="17">
        <f t="shared" si="20"/>
        <v>0</v>
      </c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61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</row>
    <row r="33" spans="1:123" s="17" customFormat="1" ht="18" customHeight="1" outlineLevel="1" x14ac:dyDescent="0.25">
      <c r="A33" s="67" t="s">
        <v>110</v>
      </c>
      <c r="B33" s="45"/>
      <c r="C33" s="65">
        <f t="shared" ref="C33:Z33" si="21">SUM(C34:C38)</f>
        <v>2516.8000000000002</v>
      </c>
      <c r="D33" s="65">
        <f t="shared" si="21"/>
        <v>2425.2399999999998</v>
      </c>
      <c r="E33" s="65">
        <f t="shared" si="21"/>
        <v>2516.8000000000002</v>
      </c>
      <c r="F33" s="65">
        <f t="shared" si="21"/>
        <v>1212.6199999999999</v>
      </c>
      <c r="G33" s="65">
        <f t="shared" si="21"/>
        <v>2516.8000000000002</v>
      </c>
      <c r="H33" s="65">
        <f t="shared" si="21"/>
        <v>1212.6199999999999</v>
      </c>
      <c r="I33" s="65">
        <f t="shared" si="21"/>
        <v>2516.8000000000002</v>
      </c>
      <c r="J33" s="65">
        <f t="shared" si="21"/>
        <v>1212.6199999999999</v>
      </c>
      <c r="K33" s="65">
        <f t="shared" si="21"/>
        <v>2516.8000000000002</v>
      </c>
      <c r="L33" s="65">
        <f t="shared" si="21"/>
        <v>1212.6199999999999</v>
      </c>
      <c r="M33" s="65">
        <f t="shared" si="21"/>
        <v>2516.8000000000002</v>
      </c>
      <c r="N33" s="65">
        <f t="shared" si="21"/>
        <v>1212.6199999999999</v>
      </c>
      <c r="O33" s="65">
        <f t="shared" si="21"/>
        <v>2516.8000000000002</v>
      </c>
      <c r="P33" s="65">
        <f t="shared" si="21"/>
        <v>1212.6199999999999</v>
      </c>
      <c r="Q33" s="65">
        <f t="shared" si="21"/>
        <v>2516.8000000000002</v>
      </c>
      <c r="R33" s="65">
        <f t="shared" si="21"/>
        <v>1212.6199999999999</v>
      </c>
      <c r="S33" s="65">
        <f t="shared" si="21"/>
        <v>2516.8000000000002</v>
      </c>
      <c r="T33" s="65">
        <f t="shared" si="21"/>
        <v>1488.95</v>
      </c>
      <c r="U33" s="65">
        <f t="shared" si="21"/>
        <v>2516.8000000000002</v>
      </c>
      <c r="V33" s="65">
        <f t="shared" si="21"/>
        <v>1256.47</v>
      </c>
      <c r="W33" s="65">
        <f t="shared" si="21"/>
        <v>2516.8000000000002</v>
      </c>
      <c r="X33" s="65">
        <f t="shared" si="21"/>
        <v>1256.47</v>
      </c>
      <c r="Y33" s="65">
        <f t="shared" si="21"/>
        <v>2516.8000000000002</v>
      </c>
      <c r="Z33" s="65">
        <f t="shared" si="21"/>
        <v>1256.47</v>
      </c>
      <c r="AA33" s="47">
        <f t="shared" si="13"/>
        <v>30201.599999999995</v>
      </c>
      <c r="AB33" s="51">
        <f t="shared" si="14"/>
        <v>16171.939999999997</v>
      </c>
      <c r="AC33" s="21"/>
      <c r="AD33" s="31">
        <f t="shared" si="15"/>
        <v>30201.599999999995</v>
      </c>
      <c r="AE33" s="31">
        <f t="shared" si="16"/>
        <v>16171.939999999997</v>
      </c>
      <c r="AF33" s="17">
        <f t="shared" si="19"/>
        <v>0</v>
      </c>
      <c r="AG33" s="17">
        <f t="shared" si="20"/>
        <v>0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66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</row>
    <row r="34" spans="1:123" s="19" customFormat="1" ht="18" customHeight="1" outlineLevel="2" x14ac:dyDescent="0.25">
      <c r="A34" s="48" t="s">
        <v>111</v>
      </c>
      <c r="B34" s="53"/>
      <c r="C34" s="49">
        <v>1560</v>
      </c>
      <c r="D34" s="68">
        <v>1539.84</v>
      </c>
      <c r="E34" s="68">
        <v>1560</v>
      </c>
      <c r="F34" s="68">
        <v>769.92</v>
      </c>
      <c r="G34" s="68">
        <v>1560</v>
      </c>
      <c r="H34" s="50">
        <v>769.92</v>
      </c>
      <c r="I34" s="68">
        <v>1560</v>
      </c>
      <c r="J34" s="68">
        <v>769.92</v>
      </c>
      <c r="K34" s="68">
        <v>1560</v>
      </c>
      <c r="L34" s="68">
        <v>769.92</v>
      </c>
      <c r="M34" s="68">
        <v>1560</v>
      </c>
      <c r="N34" s="68">
        <v>769.92</v>
      </c>
      <c r="O34" s="68">
        <v>1560</v>
      </c>
      <c r="P34" s="68">
        <v>769.92</v>
      </c>
      <c r="Q34" s="68">
        <v>1560</v>
      </c>
      <c r="R34" s="68">
        <v>769.92</v>
      </c>
      <c r="S34" s="68">
        <v>1560</v>
      </c>
      <c r="T34" s="68">
        <v>1020.48</v>
      </c>
      <c r="U34" s="68">
        <v>1560</v>
      </c>
      <c r="V34" s="68">
        <v>797.76</v>
      </c>
      <c r="W34" s="68">
        <v>1560</v>
      </c>
      <c r="X34" s="68">
        <v>797.76</v>
      </c>
      <c r="Y34" s="68">
        <v>1560</v>
      </c>
      <c r="Z34" s="68">
        <v>797.76</v>
      </c>
      <c r="AA34" s="51">
        <f t="shared" si="13"/>
        <v>18720</v>
      </c>
      <c r="AB34" s="51">
        <f t="shared" si="14"/>
        <v>10343.040000000001</v>
      </c>
      <c r="AC34" s="22"/>
      <c r="AD34" s="31">
        <f t="shared" si="15"/>
        <v>18720</v>
      </c>
      <c r="AE34" s="31">
        <f t="shared" si="16"/>
        <v>10343.040000000001</v>
      </c>
      <c r="AF34" s="17">
        <f t="shared" si="19"/>
        <v>0</v>
      </c>
      <c r="AG34" s="17">
        <f t="shared" si="20"/>
        <v>0</v>
      </c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61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</row>
    <row r="35" spans="1:123" s="19" customFormat="1" ht="18" customHeight="1" outlineLevel="2" x14ac:dyDescent="0.25">
      <c r="A35" s="48" t="s">
        <v>112</v>
      </c>
      <c r="B35" s="53"/>
      <c r="C35" s="49">
        <v>832</v>
      </c>
      <c r="D35" s="68">
        <v>818.04</v>
      </c>
      <c r="E35" s="68">
        <v>832</v>
      </c>
      <c r="F35" s="68">
        <v>409.02</v>
      </c>
      <c r="G35" s="68">
        <v>832</v>
      </c>
      <c r="H35" s="50">
        <v>409.02</v>
      </c>
      <c r="I35" s="68">
        <v>832</v>
      </c>
      <c r="J35" s="68">
        <v>409.02</v>
      </c>
      <c r="K35" s="68">
        <v>832</v>
      </c>
      <c r="L35" s="68">
        <v>409.02</v>
      </c>
      <c r="M35" s="68">
        <v>832</v>
      </c>
      <c r="N35" s="68">
        <v>409.02</v>
      </c>
      <c r="O35" s="68">
        <v>832</v>
      </c>
      <c r="P35" s="68">
        <v>409.02</v>
      </c>
      <c r="Q35" s="68">
        <v>832</v>
      </c>
      <c r="R35" s="68">
        <v>409.02</v>
      </c>
      <c r="S35" s="68">
        <v>832</v>
      </c>
      <c r="T35" s="68">
        <v>423.81</v>
      </c>
      <c r="U35" s="68">
        <v>832</v>
      </c>
      <c r="V35" s="68">
        <v>423.81</v>
      </c>
      <c r="W35" s="68">
        <v>832</v>
      </c>
      <c r="X35" s="68">
        <v>423.81</v>
      </c>
      <c r="Y35" s="68">
        <v>832</v>
      </c>
      <c r="Z35" s="68">
        <v>423.81</v>
      </c>
      <c r="AA35" s="51">
        <f t="shared" si="13"/>
        <v>9984</v>
      </c>
      <c r="AB35" s="51">
        <f t="shared" si="14"/>
        <v>5376.420000000001</v>
      </c>
      <c r="AC35" s="22"/>
      <c r="AD35" s="31">
        <f t="shared" si="15"/>
        <v>9984</v>
      </c>
      <c r="AE35" s="31">
        <f t="shared" si="16"/>
        <v>5376.420000000001</v>
      </c>
      <c r="AF35" s="17">
        <f t="shared" si="19"/>
        <v>0</v>
      </c>
      <c r="AG35" s="17">
        <f t="shared" si="20"/>
        <v>0</v>
      </c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61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</row>
    <row r="36" spans="1:123" s="19" customFormat="1" ht="18" customHeight="1" outlineLevel="2" x14ac:dyDescent="0.25">
      <c r="A36" s="48" t="s">
        <v>113</v>
      </c>
      <c r="B36" s="53"/>
      <c r="C36" s="49">
        <v>20.8</v>
      </c>
      <c r="D36" s="68">
        <v>19.239999999999998</v>
      </c>
      <c r="E36" s="68">
        <v>20.8</v>
      </c>
      <c r="F36" s="68">
        <v>9.6199999999999992</v>
      </c>
      <c r="G36" s="68">
        <v>20.8</v>
      </c>
      <c r="H36" s="50">
        <v>9.6199999999999992</v>
      </c>
      <c r="I36" s="68">
        <v>20.8</v>
      </c>
      <c r="J36" s="68">
        <v>9.6199999999999992</v>
      </c>
      <c r="K36" s="68">
        <v>20.8</v>
      </c>
      <c r="L36" s="68">
        <v>9.6199999999999992</v>
      </c>
      <c r="M36" s="68">
        <v>20.8</v>
      </c>
      <c r="N36" s="68">
        <v>9.6199999999999992</v>
      </c>
      <c r="O36" s="68">
        <v>20.8</v>
      </c>
      <c r="P36" s="68">
        <v>9.6199999999999992</v>
      </c>
      <c r="Q36" s="68">
        <v>20.8</v>
      </c>
      <c r="R36" s="68">
        <v>9.6199999999999992</v>
      </c>
      <c r="S36" s="68">
        <v>20.8</v>
      </c>
      <c r="T36" s="68">
        <v>12.77</v>
      </c>
      <c r="U36" s="68">
        <v>20.8</v>
      </c>
      <c r="V36" s="68">
        <v>9.9700000000000006</v>
      </c>
      <c r="W36" s="68">
        <v>20.8</v>
      </c>
      <c r="X36" s="68">
        <v>9.9700000000000006</v>
      </c>
      <c r="Y36" s="68">
        <v>20.8</v>
      </c>
      <c r="Z36" s="68">
        <v>9.9700000000000006</v>
      </c>
      <c r="AA36" s="51">
        <f t="shared" si="13"/>
        <v>249.60000000000005</v>
      </c>
      <c r="AB36" s="51">
        <f t="shared" si="14"/>
        <v>129.26</v>
      </c>
      <c r="AC36" s="22"/>
      <c r="AD36" s="31">
        <f t="shared" si="15"/>
        <v>249.60000000000005</v>
      </c>
      <c r="AE36" s="31">
        <f t="shared" si="16"/>
        <v>129.26</v>
      </c>
      <c r="AF36" s="17">
        <f t="shared" si="19"/>
        <v>0</v>
      </c>
      <c r="AG36" s="17">
        <f t="shared" si="20"/>
        <v>0</v>
      </c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61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</row>
    <row r="37" spans="1:123" s="19" customFormat="1" ht="18" customHeight="1" outlineLevel="2" x14ac:dyDescent="0.25">
      <c r="A37" s="48" t="s">
        <v>114</v>
      </c>
      <c r="B37" s="53"/>
      <c r="C37" s="49">
        <v>52</v>
      </c>
      <c r="D37" s="68">
        <v>48.12</v>
      </c>
      <c r="E37" s="68">
        <v>52</v>
      </c>
      <c r="F37" s="68">
        <v>24.06</v>
      </c>
      <c r="G37" s="68">
        <v>52</v>
      </c>
      <c r="H37" s="50">
        <v>24.06</v>
      </c>
      <c r="I37" s="68">
        <v>52</v>
      </c>
      <c r="J37" s="68">
        <v>24.06</v>
      </c>
      <c r="K37" s="68">
        <v>52</v>
      </c>
      <c r="L37" s="68">
        <v>24.06</v>
      </c>
      <c r="M37" s="68">
        <v>52</v>
      </c>
      <c r="N37" s="68">
        <v>24.06</v>
      </c>
      <c r="O37" s="68">
        <v>52</v>
      </c>
      <c r="P37" s="68">
        <v>24.06</v>
      </c>
      <c r="Q37" s="68">
        <v>52</v>
      </c>
      <c r="R37" s="68">
        <v>24.06</v>
      </c>
      <c r="S37" s="68">
        <v>52</v>
      </c>
      <c r="T37" s="68">
        <v>31.89</v>
      </c>
      <c r="U37" s="68">
        <v>52</v>
      </c>
      <c r="V37" s="68">
        <v>24.93</v>
      </c>
      <c r="W37" s="68">
        <v>52</v>
      </c>
      <c r="X37" s="68">
        <v>24.93</v>
      </c>
      <c r="Y37" s="68">
        <v>52</v>
      </c>
      <c r="Z37" s="68">
        <v>24.93</v>
      </c>
      <c r="AA37" s="51">
        <f t="shared" si="13"/>
        <v>624</v>
      </c>
      <c r="AB37" s="51">
        <f t="shared" si="14"/>
        <v>323.22000000000003</v>
      </c>
      <c r="AC37" s="22"/>
      <c r="AD37" s="31">
        <f t="shared" si="15"/>
        <v>624</v>
      </c>
      <c r="AE37" s="31">
        <f t="shared" si="16"/>
        <v>323.22000000000003</v>
      </c>
      <c r="AF37" s="17">
        <f t="shared" si="19"/>
        <v>0</v>
      </c>
      <c r="AG37" s="17">
        <f t="shared" si="20"/>
        <v>0</v>
      </c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61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</row>
    <row r="38" spans="1:123" s="19" customFormat="1" ht="18" customHeight="1" outlineLevel="2" x14ac:dyDescent="0.25">
      <c r="A38" s="48" t="s">
        <v>115</v>
      </c>
      <c r="B38" s="53"/>
      <c r="C38" s="49">
        <v>52</v>
      </c>
      <c r="D38" s="68">
        <v>0</v>
      </c>
      <c r="E38" s="68">
        <v>52</v>
      </c>
      <c r="F38" s="68">
        <v>0</v>
      </c>
      <c r="G38" s="68">
        <v>52</v>
      </c>
      <c r="H38" s="50">
        <v>0</v>
      </c>
      <c r="I38" s="68">
        <v>52</v>
      </c>
      <c r="J38" s="68">
        <v>0</v>
      </c>
      <c r="K38" s="68">
        <v>52</v>
      </c>
      <c r="L38" s="68">
        <v>0</v>
      </c>
      <c r="M38" s="68">
        <v>52</v>
      </c>
      <c r="N38" s="68">
        <v>0</v>
      </c>
      <c r="O38" s="68">
        <v>52</v>
      </c>
      <c r="P38" s="68">
        <v>0</v>
      </c>
      <c r="Q38" s="68">
        <v>52</v>
      </c>
      <c r="R38" s="68">
        <v>0</v>
      </c>
      <c r="S38" s="68">
        <v>52</v>
      </c>
      <c r="T38" s="68">
        <v>0</v>
      </c>
      <c r="U38" s="68">
        <v>52</v>
      </c>
      <c r="V38" s="68">
        <v>0</v>
      </c>
      <c r="W38" s="68">
        <v>52</v>
      </c>
      <c r="X38" s="68">
        <v>0</v>
      </c>
      <c r="Y38" s="68">
        <v>52</v>
      </c>
      <c r="Z38" s="68">
        <v>0</v>
      </c>
      <c r="AA38" s="51">
        <f t="shared" si="13"/>
        <v>624</v>
      </c>
      <c r="AB38" s="51">
        <f t="shared" si="14"/>
        <v>0</v>
      </c>
      <c r="AC38" s="22"/>
      <c r="AD38" s="31">
        <f t="shared" si="15"/>
        <v>624</v>
      </c>
      <c r="AE38" s="31">
        <f t="shared" si="16"/>
        <v>0</v>
      </c>
      <c r="AF38" s="17">
        <f t="shared" si="19"/>
        <v>0</v>
      </c>
      <c r="AG38" s="17">
        <f t="shared" si="20"/>
        <v>0</v>
      </c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61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</row>
    <row r="39" spans="1:123" s="19" customFormat="1" ht="18" customHeight="1" outlineLevel="1" x14ac:dyDescent="0.25">
      <c r="A39" s="48" t="s">
        <v>116</v>
      </c>
      <c r="B39" s="53"/>
      <c r="C39" s="49">
        <v>538</v>
      </c>
      <c r="D39" s="68">
        <v>538</v>
      </c>
      <c r="E39" s="68">
        <v>538</v>
      </c>
      <c r="F39" s="68">
        <v>269</v>
      </c>
      <c r="G39" s="68">
        <v>538</v>
      </c>
      <c r="H39" s="50">
        <v>269</v>
      </c>
      <c r="I39" s="68">
        <v>538</v>
      </c>
      <c r="J39" s="68">
        <v>269</v>
      </c>
      <c r="K39" s="68">
        <v>538</v>
      </c>
      <c r="L39" s="68">
        <v>269</v>
      </c>
      <c r="M39" s="68">
        <v>538</v>
      </c>
      <c r="N39" s="68">
        <v>269</v>
      </c>
      <c r="O39" s="68">
        <v>538</v>
      </c>
      <c r="P39" s="68">
        <v>269</v>
      </c>
      <c r="Q39" s="68">
        <v>538</v>
      </c>
      <c r="R39" s="68">
        <v>269</v>
      </c>
      <c r="S39" s="68">
        <v>538</v>
      </c>
      <c r="T39" s="68">
        <v>269</v>
      </c>
      <c r="U39" s="68">
        <v>538</v>
      </c>
      <c r="V39" s="68">
        <v>269</v>
      </c>
      <c r="W39" s="68">
        <v>538</v>
      </c>
      <c r="X39" s="68">
        <v>269</v>
      </c>
      <c r="Y39" s="68">
        <v>538</v>
      </c>
      <c r="Z39" s="68">
        <v>269</v>
      </c>
      <c r="AA39" s="51">
        <f t="shared" si="13"/>
        <v>6456</v>
      </c>
      <c r="AB39" s="51">
        <f t="shared" si="14"/>
        <v>3497</v>
      </c>
      <c r="AC39" s="22"/>
      <c r="AD39" s="31">
        <f t="shared" si="15"/>
        <v>6456</v>
      </c>
      <c r="AE39" s="31">
        <f t="shared" si="16"/>
        <v>3497</v>
      </c>
      <c r="AF39" s="17">
        <f t="shared" si="19"/>
        <v>0</v>
      </c>
      <c r="AG39" s="17">
        <f t="shared" si="20"/>
        <v>0</v>
      </c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61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</row>
    <row r="40" spans="1:123" s="19" customFormat="1" ht="18" customHeight="1" outlineLevel="1" x14ac:dyDescent="0.25">
      <c r="A40" s="48" t="s">
        <v>117</v>
      </c>
      <c r="B40" s="53"/>
      <c r="C40" s="49"/>
      <c r="D40" s="68">
        <v>0</v>
      </c>
      <c r="E40" s="68"/>
      <c r="F40" s="68">
        <v>0</v>
      </c>
      <c r="G40" s="68"/>
      <c r="H40" s="50">
        <v>0</v>
      </c>
      <c r="I40" s="68"/>
      <c r="J40" s="68">
        <v>0</v>
      </c>
      <c r="K40" s="68"/>
      <c r="L40" s="68">
        <v>0</v>
      </c>
      <c r="M40" s="68"/>
      <c r="N40" s="68">
        <v>0</v>
      </c>
      <c r="O40" s="68"/>
      <c r="P40" s="68">
        <v>0</v>
      </c>
      <c r="Q40" s="68"/>
      <c r="R40" s="68">
        <v>0</v>
      </c>
      <c r="S40" s="68"/>
      <c r="T40" s="68">
        <v>0</v>
      </c>
      <c r="U40" s="68"/>
      <c r="V40" s="68">
        <v>0</v>
      </c>
      <c r="W40" s="68"/>
      <c r="X40" s="68">
        <v>0</v>
      </c>
      <c r="Y40" s="68"/>
      <c r="Z40" s="68">
        <v>0</v>
      </c>
      <c r="AA40" s="51">
        <f t="shared" si="13"/>
        <v>0</v>
      </c>
      <c r="AB40" s="51">
        <f t="shared" si="14"/>
        <v>0</v>
      </c>
      <c r="AC40" s="22"/>
      <c r="AD40" s="31">
        <f t="shared" si="15"/>
        <v>0</v>
      </c>
      <c r="AE40" s="31">
        <f t="shared" si="16"/>
        <v>0</v>
      </c>
      <c r="AF40" s="17">
        <f t="shared" si="19"/>
        <v>0</v>
      </c>
      <c r="AG40" s="17">
        <f t="shared" si="20"/>
        <v>0</v>
      </c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61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</row>
    <row r="41" spans="1:123" s="19" customFormat="1" ht="18" customHeight="1" outlineLevel="1" x14ac:dyDescent="0.25">
      <c r="A41" s="48" t="s">
        <v>118</v>
      </c>
      <c r="B41" s="53"/>
      <c r="C41" s="49"/>
      <c r="D41" s="68"/>
      <c r="E41" s="68"/>
      <c r="F41" s="68">
        <v>0</v>
      </c>
      <c r="G41" s="68"/>
      <c r="H41" s="50">
        <v>0</v>
      </c>
      <c r="I41" s="68"/>
      <c r="J41" s="68">
        <v>0</v>
      </c>
      <c r="K41" s="68"/>
      <c r="L41" s="68">
        <v>0</v>
      </c>
      <c r="M41" s="68"/>
      <c r="N41" s="68">
        <v>0</v>
      </c>
      <c r="O41" s="68"/>
      <c r="P41" s="68">
        <v>0</v>
      </c>
      <c r="Q41" s="68"/>
      <c r="R41" s="68">
        <v>0</v>
      </c>
      <c r="S41" s="68"/>
      <c r="T41" s="68">
        <v>0</v>
      </c>
      <c r="U41" s="68"/>
      <c r="V41" s="68">
        <v>0</v>
      </c>
      <c r="W41" s="68"/>
      <c r="X41" s="68">
        <v>0</v>
      </c>
      <c r="Y41" s="68"/>
      <c r="Z41" s="68">
        <v>0</v>
      </c>
      <c r="AA41" s="51">
        <f t="shared" si="13"/>
        <v>0</v>
      </c>
      <c r="AB41" s="51">
        <f t="shared" si="14"/>
        <v>0</v>
      </c>
      <c r="AC41" s="22"/>
      <c r="AD41" s="31">
        <f t="shared" si="15"/>
        <v>0</v>
      </c>
      <c r="AE41" s="31">
        <f t="shared" si="16"/>
        <v>0</v>
      </c>
      <c r="AF41" s="17">
        <f t="shared" si="19"/>
        <v>0</v>
      </c>
      <c r="AG41" s="17">
        <f t="shared" si="20"/>
        <v>0</v>
      </c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61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</row>
    <row r="42" spans="1:123" s="17" customFormat="1" ht="18" customHeight="1" outlineLevel="1" x14ac:dyDescent="0.25">
      <c r="A42" s="67" t="s">
        <v>119</v>
      </c>
      <c r="B42" s="45"/>
      <c r="C42" s="65">
        <f t="shared" ref="C42:Z42" si="22">SUM(C43:C49)</f>
        <v>400</v>
      </c>
      <c r="D42" s="65">
        <f t="shared" si="22"/>
        <v>400</v>
      </c>
      <c r="E42" s="65">
        <f t="shared" si="22"/>
        <v>0</v>
      </c>
      <c r="F42" s="65">
        <f t="shared" si="22"/>
        <v>0</v>
      </c>
      <c r="G42" s="65">
        <f t="shared" si="22"/>
        <v>110</v>
      </c>
      <c r="H42" s="65">
        <f t="shared" si="22"/>
        <v>0</v>
      </c>
      <c r="I42" s="65">
        <f t="shared" si="22"/>
        <v>0</v>
      </c>
      <c r="J42" s="65">
        <f t="shared" si="22"/>
        <v>0</v>
      </c>
      <c r="K42" s="65">
        <f t="shared" si="22"/>
        <v>0</v>
      </c>
      <c r="L42" s="65">
        <f t="shared" si="22"/>
        <v>0</v>
      </c>
      <c r="M42" s="65">
        <f t="shared" si="22"/>
        <v>0</v>
      </c>
      <c r="N42" s="65">
        <f t="shared" si="22"/>
        <v>0</v>
      </c>
      <c r="O42" s="65">
        <f t="shared" si="22"/>
        <v>0</v>
      </c>
      <c r="P42" s="65">
        <f t="shared" si="22"/>
        <v>0</v>
      </c>
      <c r="Q42" s="65">
        <f t="shared" si="22"/>
        <v>0</v>
      </c>
      <c r="R42" s="65">
        <f t="shared" si="22"/>
        <v>0</v>
      </c>
      <c r="S42" s="65">
        <f t="shared" si="22"/>
        <v>0</v>
      </c>
      <c r="T42" s="65">
        <f t="shared" si="22"/>
        <v>400</v>
      </c>
      <c r="U42" s="65">
        <f t="shared" si="22"/>
        <v>400</v>
      </c>
      <c r="V42" s="65">
        <f t="shared" si="22"/>
        <v>0</v>
      </c>
      <c r="W42" s="65">
        <f t="shared" si="22"/>
        <v>0</v>
      </c>
      <c r="X42" s="65">
        <f t="shared" si="22"/>
        <v>0</v>
      </c>
      <c r="Y42" s="65">
        <f t="shared" si="22"/>
        <v>0</v>
      </c>
      <c r="Z42" s="65">
        <f t="shared" si="22"/>
        <v>0</v>
      </c>
      <c r="AA42" s="47">
        <f t="shared" si="13"/>
        <v>910</v>
      </c>
      <c r="AB42" s="51">
        <f t="shared" si="14"/>
        <v>800</v>
      </c>
      <c r="AC42" s="21"/>
      <c r="AD42" s="31">
        <f t="shared" si="15"/>
        <v>910</v>
      </c>
      <c r="AE42" s="31">
        <f t="shared" si="16"/>
        <v>800</v>
      </c>
      <c r="AF42" s="17">
        <f t="shared" si="19"/>
        <v>0</v>
      </c>
      <c r="AG42" s="17">
        <f t="shared" si="20"/>
        <v>0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66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</row>
    <row r="43" spans="1:123" s="19" customFormat="1" ht="18" customHeight="1" outlineLevel="2" x14ac:dyDescent="0.25">
      <c r="A43" s="48" t="s">
        <v>120</v>
      </c>
      <c r="B43" s="53"/>
      <c r="C43" s="49"/>
      <c r="D43" s="68">
        <v>0</v>
      </c>
      <c r="E43" s="68"/>
      <c r="F43" s="68"/>
      <c r="G43" s="68"/>
      <c r="H43" s="50"/>
      <c r="I43" s="68"/>
      <c r="J43" s="68">
        <v>0</v>
      </c>
      <c r="K43" s="68"/>
      <c r="L43" s="68"/>
      <c r="M43" s="68"/>
      <c r="N43" s="68"/>
      <c r="O43" s="68"/>
      <c r="P43" s="68"/>
      <c r="Q43" s="68"/>
      <c r="R43" s="68"/>
      <c r="S43" s="68"/>
      <c r="T43" s="68">
        <v>0</v>
      </c>
      <c r="U43" s="68"/>
      <c r="V43" s="68"/>
      <c r="W43" s="68"/>
      <c r="X43" s="68"/>
      <c r="Y43" s="68"/>
      <c r="Z43" s="68"/>
      <c r="AA43" s="51">
        <f t="shared" si="13"/>
        <v>0</v>
      </c>
      <c r="AB43" s="51">
        <f t="shared" si="14"/>
        <v>0</v>
      </c>
      <c r="AC43" s="22"/>
      <c r="AD43" s="31">
        <f t="shared" si="15"/>
        <v>0</v>
      </c>
      <c r="AE43" s="31">
        <f t="shared" si="16"/>
        <v>0</v>
      </c>
      <c r="AF43" s="17">
        <f t="shared" si="19"/>
        <v>0</v>
      </c>
      <c r="AG43" s="17">
        <f t="shared" si="20"/>
        <v>0</v>
      </c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61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</row>
    <row r="44" spans="1:123" s="19" customFormat="1" ht="18" customHeight="1" outlineLevel="2" x14ac:dyDescent="0.25">
      <c r="A44" s="48" t="s">
        <v>121</v>
      </c>
      <c r="B44" s="53"/>
      <c r="C44" s="49"/>
      <c r="D44" s="68">
        <v>0</v>
      </c>
      <c r="E44" s="68"/>
      <c r="F44" s="68"/>
      <c r="G44" s="68"/>
      <c r="H44" s="50"/>
      <c r="I44" s="68"/>
      <c r="J44" s="68">
        <v>0</v>
      </c>
      <c r="K44" s="68"/>
      <c r="L44" s="68"/>
      <c r="M44" s="68"/>
      <c r="N44" s="68"/>
      <c r="O44" s="68"/>
      <c r="P44" s="68"/>
      <c r="Q44" s="68"/>
      <c r="R44" s="68"/>
      <c r="S44" s="68"/>
      <c r="T44" s="68">
        <v>0</v>
      </c>
      <c r="U44" s="68"/>
      <c r="V44" s="68"/>
      <c r="W44" s="68"/>
      <c r="X44" s="68"/>
      <c r="Y44" s="68"/>
      <c r="Z44" s="68"/>
      <c r="AA44" s="51">
        <f t="shared" si="13"/>
        <v>0</v>
      </c>
      <c r="AB44" s="51">
        <f t="shared" si="14"/>
        <v>0</v>
      </c>
      <c r="AC44" s="22"/>
      <c r="AD44" s="31">
        <f t="shared" si="15"/>
        <v>0</v>
      </c>
      <c r="AE44" s="31">
        <f t="shared" si="16"/>
        <v>0</v>
      </c>
      <c r="AF44" s="17">
        <f t="shared" si="19"/>
        <v>0</v>
      </c>
      <c r="AG44" s="17">
        <f t="shared" si="20"/>
        <v>0</v>
      </c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61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</row>
    <row r="45" spans="1:123" s="19" customFormat="1" ht="18" customHeight="1" outlineLevel="2" x14ac:dyDescent="0.25">
      <c r="A45" s="48" t="s">
        <v>122</v>
      </c>
      <c r="B45" s="53"/>
      <c r="C45" s="49"/>
      <c r="D45" s="68">
        <v>0</v>
      </c>
      <c r="E45" s="68"/>
      <c r="F45" s="68"/>
      <c r="G45" s="68"/>
      <c r="H45" s="50"/>
      <c r="I45" s="68"/>
      <c r="J45" s="68">
        <v>0</v>
      </c>
      <c r="K45" s="68"/>
      <c r="L45" s="68"/>
      <c r="M45" s="68"/>
      <c r="N45" s="68"/>
      <c r="O45" s="68"/>
      <c r="P45" s="68"/>
      <c r="Q45" s="68"/>
      <c r="R45" s="68"/>
      <c r="S45" s="68"/>
      <c r="T45" s="68">
        <v>0</v>
      </c>
      <c r="U45" s="68"/>
      <c r="V45" s="68"/>
      <c r="W45" s="68"/>
      <c r="X45" s="68"/>
      <c r="Y45" s="68"/>
      <c r="Z45" s="68"/>
      <c r="AA45" s="51">
        <f t="shared" si="13"/>
        <v>0</v>
      </c>
      <c r="AB45" s="51">
        <f t="shared" si="14"/>
        <v>0</v>
      </c>
      <c r="AC45" s="22"/>
      <c r="AD45" s="31">
        <f t="shared" si="15"/>
        <v>0</v>
      </c>
      <c r="AE45" s="31">
        <f t="shared" si="16"/>
        <v>0</v>
      </c>
      <c r="AF45" s="17">
        <f t="shared" si="19"/>
        <v>0</v>
      </c>
      <c r="AG45" s="17">
        <f t="shared" si="20"/>
        <v>0</v>
      </c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61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</row>
    <row r="46" spans="1:123" s="19" customFormat="1" ht="18" customHeight="1" outlineLevel="2" x14ac:dyDescent="0.25">
      <c r="A46" s="48" t="s">
        <v>123</v>
      </c>
      <c r="B46" s="53"/>
      <c r="C46" s="49">
        <v>400</v>
      </c>
      <c r="D46" s="68">
        <v>400</v>
      </c>
      <c r="E46" s="68"/>
      <c r="F46" s="68"/>
      <c r="G46" s="68"/>
      <c r="H46" s="50"/>
      <c r="I46" s="68"/>
      <c r="J46" s="68">
        <v>0</v>
      </c>
      <c r="K46" s="68"/>
      <c r="L46" s="68"/>
      <c r="M46" s="68"/>
      <c r="N46" s="68"/>
      <c r="O46" s="68"/>
      <c r="P46" s="68"/>
      <c r="Q46" s="68"/>
      <c r="R46" s="68"/>
      <c r="S46" s="68"/>
      <c r="T46" s="68">
        <v>400</v>
      </c>
      <c r="U46" s="68">
        <v>400</v>
      </c>
      <c r="V46" s="68"/>
      <c r="W46" s="68"/>
      <c r="X46" s="68"/>
      <c r="Y46" s="68"/>
      <c r="Z46" s="68"/>
      <c r="AA46" s="51">
        <f t="shared" si="13"/>
        <v>800</v>
      </c>
      <c r="AB46" s="51">
        <f t="shared" si="14"/>
        <v>800</v>
      </c>
      <c r="AC46" s="22"/>
      <c r="AD46" s="31">
        <f t="shared" si="15"/>
        <v>800</v>
      </c>
      <c r="AE46" s="31">
        <f t="shared" si="16"/>
        <v>800</v>
      </c>
      <c r="AF46" s="17">
        <f t="shared" si="19"/>
        <v>0</v>
      </c>
      <c r="AG46" s="17">
        <f t="shared" si="20"/>
        <v>0</v>
      </c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61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</row>
    <row r="47" spans="1:123" s="19" customFormat="1" ht="18" customHeight="1" outlineLevel="2" x14ac:dyDescent="0.25">
      <c r="A47" s="48" t="s">
        <v>124</v>
      </c>
      <c r="B47" s="53"/>
      <c r="C47" s="49"/>
      <c r="D47" s="68">
        <v>0</v>
      </c>
      <c r="E47" s="68"/>
      <c r="F47" s="68"/>
      <c r="G47" s="68">
        <v>110</v>
      </c>
      <c r="H47" s="50"/>
      <c r="I47" s="68"/>
      <c r="J47" s="68">
        <v>0</v>
      </c>
      <c r="K47" s="68"/>
      <c r="L47" s="68"/>
      <c r="M47" s="68"/>
      <c r="N47" s="68"/>
      <c r="O47" s="68"/>
      <c r="P47" s="68"/>
      <c r="Q47" s="68"/>
      <c r="R47" s="68"/>
      <c r="S47" s="68"/>
      <c r="T47" s="68">
        <v>0</v>
      </c>
      <c r="U47" s="68"/>
      <c r="V47" s="68"/>
      <c r="W47" s="68"/>
      <c r="X47" s="68"/>
      <c r="Y47" s="68"/>
      <c r="Z47" s="68"/>
      <c r="AA47" s="51">
        <f t="shared" si="13"/>
        <v>110</v>
      </c>
      <c r="AB47" s="51">
        <f t="shared" si="14"/>
        <v>0</v>
      </c>
      <c r="AC47" s="22"/>
      <c r="AD47" s="31">
        <f t="shared" si="15"/>
        <v>110</v>
      </c>
      <c r="AE47" s="31">
        <f t="shared" si="16"/>
        <v>0</v>
      </c>
      <c r="AF47" s="17">
        <f t="shared" si="19"/>
        <v>0</v>
      </c>
      <c r="AG47" s="17">
        <f t="shared" si="20"/>
        <v>0</v>
      </c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61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</row>
    <row r="48" spans="1:123" s="19" customFormat="1" ht="18" customHeight="1" outlineLevel="2" x14ac:dyDescent="0.25">
      <c r="A48" s="48" t="s">
        <v>125</v>
      </c>
      <c r="B48" s="53"/>
      <c r="C48" s="49"/>
      <c r="D48" s="68">
        <v>0</v>
      </c>
      <c r="E48" s="68"/>
      <c r="F48" s="68"/>
      <c r="G48" s="68"/>
      <c r="H48" s="50"/>
      <c r="I48" s="68"/>
      <c r="J48" s="68">
        <v>0</v>
      </c>
      <c r="K48" s="68"/>
      <c r="L48" s="68"/>
      <c r="M48" s="68"/>
      <c r="N48" s="68"/>
      <c r="O48" s="68"/>
      <c r="P48" s="68"/>
      <c r="Q48" s="68"/>
      <c r="R48" s="68"/>
      <c r="S48" s="68"/>
      <c r="T48" s="68">
        <v>0</v>
      </c>
      <c r="U48" s="68"/>
      <c r="V48" s="68"/>
      <c r="W48" s="68"/>
      <c r="X48" s="68"/>
      <c r="Y48" s="68"/>
      <c r="Z48" s="68"/>
      <c r="AA48" s="51">
        <f t="shared" si="13"/>
        <v>0</v>
      </c>
      <c r="AB48" s="51">
        <f t="shared" si="14"/>
        <v>0</v>
      </c>
      <c r="AC48" s="22"/>
      <c r="AD48" s="31">
        <f t="shared" si="15"/>
        <v>0</v>
      </c>
      <c r="AE48" s="31">
        <f t="shared" si="16"/>
        <v>0</v>
      </c>
      <c r="AF48" s="17">
        <f t="shared" si="19"/>
        <v>0</v>
      </c>
      <c r="AG48" s="17">
        <f t="shared" si="20"/>
        <v>0</v>
      </c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61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</row>
    <row r="49" spans="1:123" s="19" customFormat="1" ht="18" customHeight="1" outlineLevel="2" x14ac:dyDescent="0.25">
      <c r="A49" s="48" t="s">
        <v>126</v>
      </c>
      <c r="B49" s="53"/>
      <c r="C49" s="49"/>
      <c r="D49" s="68">
        <v>0</v>
      </c>
      <c r="E49" s="68"/>
      <c r="F49" s="68"/>
      <c r="G49" s="68"/>
      <c r="H49" s="50"/>
      <c r="I49" s="68"/>
      <c r="J49" s="68">
        <v>0</v>
      </c>
      <c r="K49" s="68"/>
      <c r="L49" s="68"/>
      <c r="M49" s="68"/>
      <c r="N49" s="68"/>
      <c r="O49" s="68"/>
      <c r="P49" s="68"/>
      <c r="Q49" s="68"/>
      <c r="R49" s="68"/>
      <c r="S49" s="68"/>
      <c r="T49" s="68">
        <v>0</v>
      </c>
      <c r="U49" s="68"/>
      <c r="V49" s="68"/>
      <c r="W49" s="68"/>
      <c r="X49" s="68"/>
      <c r="Y49" s="68"/>
      <c r="Z49" s="68"/>
      <c r="AA49" s="51">
        <f t="shared" si="13"/>
        <v>0</v>
      </c>
      <c r="AB49" s="51">
        <f t="shared" si="14"/>
        <v>0</v>
      </c>
      <c r="AC49" s="22"/>
      <c r="AD49" s="31">
        <f t="shared" si="15"/>
        <v>0</v>
      </c>
      <c r="AE49" s="31">
        <f t="shared" si="16"/>
        <v>0</v>
      </c>
      <c r="AF49" s="17">
        <f t="shared" si="19"/>
        <v>0</v>
      </c>
      <c r="AG49" s="17">
        <f t="shared" si="20"/>
        <v>0</v>
      </c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61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</row>
    <row r="50" spans="1:123" s="19" customFormat="1" ht="18" customHeight="1" outlineLevel="1" x14ac:dyDescent="0.25">
      <c r="A50" s="48" t="s">
        <v>127</v>
      </c>
      <c r="B50" s="53"/>
      <c r="C50" s="49"/>
      <c r="D50" s="68">
        <v>0</v>
      </c>
      <c r="E50" s="68"/>
      <c r="F50" s="68"/>
      <c r="G50" s="68"/>
      <c r="H50" s="50"/>
      <c r="I50" s="68"/>
      <c r="J50" s="68">
        <v>0</v>
      </c>
      <c r="K50" s="68"/>
      <c r="L50" s="68"/>
      <c r="M50" s="68"/>
      <c r="N50" s="68"/>
      <c r="O50" s="68"/>
      <c r="P50" s="68"/>
      <c r="Q50" s="68"/>
      <c r="R50" s="68"/>
      <c r="S50" s="68"/>
      <c r="T50" s="68">
        <v>0</v>
      </c>
      <c r="U50" s="68"/>
      <c r="V50" s="68"/>
      <c r="W50" s="68"/>
      <c r="X50" s="68"/>
      <c r="Y50" s="68"/>
      <c r="Z50" s="68"/>
      <c r="AA50" s="51">
        <f t="shared" si="13"/>
        <v>0</v>
      </c>
      <c r="AB50" s="51">
        <f t="shared" si="14"/>
        <v>0</v>
      </c>
      <c r="AC50" s="22"/>
      <c r="AD50" s="31">
        <f t="shared" si="15"/>
        <v>0</v>
      </c>
      <c r="AE50" s="31">
        <f t="shared" si="16"/>
        <v>0</v>
      </c>
      <c r="AF50" s="17">
        <f t="shared" si="19"/>
        <v>0</v>
      </c>
      <c r="AG50" s="17">
        <f t="shared" si="20"/>
        <v>0</v>
      </c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61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</row>
    <row r="51" spans="1:123" s="19" customFormat="1" ht="18" customHeight="1" outlineLevel="1" x14ac:dyDescent="0.25">
      <c r="A51" s="48" t="s">
        <v>128</v>
      </c>
      <c r="B51" s="53"/>
      <c r="C51" s="49"/>
      <c r="D51" s="68">
        <v>0</v>
      </c>
      <c r="E51" s="68"/>
      <c r="F51" s="68"/>
      <c r="G51" s="68"/>
      <c r="H51" s="50"/>
      <c r="I51" s="68"/>
      <c r="J51" s="68">
        <v>0</v>
      </c>
      <c r="K51" s="68"/>
      <c r="L51" s="68"/>
      <c r="M51" s="68"/>
      <c r="N51" s="68"/>
      <c r="O51" s="68"/>
      <c r="P51" s="68"/>
      <c r="Q51" s="68"/>
      <c r="R51" s="68"/>
      <c r="S51" s="68"/>
      <c r="T51" s="68">
        <v>0</v>
      </c>
      <c r="U51" s="68"/>
      <c r="V51" s="68"/>
      <c r="W51" s="68"/>
      <c r="X51" s="68"/>
      <c r="Y51" s="68"/>
      <c r="Z51" s="68"/>
      <c r="AA51" s="51">
        <f t="shared" si="13"/>
        <v>0</v>
      </c>
      <c r="AB51" s="51">
        <f t="shared" si="14"/>
        <v>0</v>
      </c>
      <c r="AC51" s="22"/>
      <c r="AD51" s="31">
        <f t="shared" si="15"/>
        <v>0</v>
      </c>
      <c r="AE51" s="31">
        <f t="shared" si="16"/>
        <v>0</v>
      </c>
      <c r="AF51" s="17">
        <f t="shared" si="19"/>
        <v>0</v>
      </c>
      <c r="AG51" s="17">
        <f t="shared" si="20"/>
        <v>0</v>
      </c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61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</row>
    <row r="52" spans="1:123" s="19" customFormat="1" ht="18" customHeight="1" outlineLevel="1" x14ac:dyDescent="0.25">
      <c r="A52" s="48" t="s">
        <v>129</v>
      </c>
      <c r="B52" s="53"/>
      <c r="C52" s="49"/>
      <c r="D52" s="68">
        <v>0</v>
      </c>
      <c r="E52" s="68"/>
      <c r="F52" s="68"/>
      <c r="G52" s="68"/>
      <c r="H52" s="50"/>
      <c r="I52" s="68"/>
      <c r="J52" s="68">
        <v>0</v>
      </c>
      <c r="K52" s="68"/>
      <c r="L52" s="68"/>
      <c r="M52" s="68"/>
      <c r="N52" s="68"/>
      <c r="O52" s="68"/>
      <c r="P52" s="68"/>
      <c r="Q52" s="68"/>
      <c r="R52" s="68"/>
      <c r="S52" s="68"/>
      <c r="T52" s="68">
        <v>0</v>
      </c>
      <c r="U52" s="68"/>
      <c r="V52" s="68"/>
      <c r="W52" s="68"/>
      <c r="X52" s="68"/>
      <c r="Y52" s="68"/>
      <c r="Z52" s="68"/>
      <c r="AA52" s="51">
        <f t="shared" si="13"/>
        <v>0</v>
      </c>
      <c r="AB52" s="51">
        <f t="shared" si="14"/>
        <v>0</v>
      </c>
      <c r="AC52" s="22"/>
      <c r="AD52" s="31">
        <f t="shared" si="15"/>
        <v>0</v>
      </c>
      <c r="AE52" s="31">
        <f t="shared" si="16"/>
        <v>0</v>
      </c>
      <c r="AF52" s="17">
        <f t="shared" si="19"/>
        <v>0</v>
      </c>
      <c r="AG52" s="17">
        <f t="shared" si="20"/>
        <v>0</v>
      </c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61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</row>
    <row r="53" spans="1:123" s="17" customFormat="1" ht="18" customHeight="1" outlineLevel="1" x14ac:dyDescent="0.25">
      <c r="A53" s="67" t="s">
        <v>130</v>
      </c>
      <c r="B53" s="45"/>
      <c r="C53" s="65">
        <f t="shared" ref="C53:Z53" si="23">SUM(C54:C58)</f>
        <v>11880</v>
      </c>
      <c r="D53" s="65">
        <f t="shared" si="23"/>
        <v>4687.74</v>
      </c>
      <c r="E53" s="65">
        <f t="shared" si="23"/>
        <v>11880</v>
      </c>
      <c r="F53" s="65">
        <f t="shared" si="23"/>
        <v>7114.8600000000006</v>
      </c>
      <c r="G53" s="65">
        <f t="shared" si="23"/>
        <v>11880</v>
      </c>
      <c r="H53" s="65">
        <f t="shared" si="23"/>
        <v>13037.12</v>
      </c>
      <c r="I53" s="65">
        <f t="shared" si="23"/>
        <v>11880</v>
      </c>
      <c r="J53" s="65">
        <f t="shared" si="23"/>
        <v>11303.02</v>
      </c>
      <c r="K53" s="65">
        <f t="shared" si="23"/>
        <v>11880</v>
      </c>
      <c r="L53" s="65">
        <f t="shared" si="23"/>
        <v>9392.9499999999989</v>
      </c>
      <c r="M53" s="65">
        <f t="shared" si="23"/>
        <v>11880</v>
      </c>
      <c r="N53" s="65">
        <f t="shared" si="23"/>
        <v>13162.39</v>
      </c>
      <c r="O53" s="65">
        <f t="shared" si="23"/>
        <v>11880</v>
      </c>
      <c r="P53" s="65">
        <f t="shared" si="23"/>
        <v>12244.27</v>
      </c>
      <c r="Q53" s="65">
        <f t="shared" si="23"/>
        <v>11880</v>
      </c>
      <c r="R53" s="65">
        <f t="shared" si="23"/>
        <v>11397.11</v>
      </c>
      <c r="S53" s="65">
        <f t="shared" si="23"/>
        <v>11880</v>
      </c>
      <c r="T53" s="65">
        <f t="shared" si="23"/>
        <v>12706.6</v>
      </c>
      <c r="U53" s="65">
        <f t="shared" si="23"/>
        <v>11880</v>
      </c>
      <c r="V53" s="65">
        <f t="shared" si="23"/>
        <v>11532.18</v>
      </c>
      <c r="W53" s="65">
        <f t="shared" si="23"/>
        <v>11880</v>
      </c>
      <c r="X53" s="65">
        <f t="shared" si="23"/>
        <v>14068.289999999999</v>
      </c>
      <c r="Y53" s="65">
        <f t="shared" si="23"/>
        <v>11880</v>
      </c>
      <c r="Z53" s="65">
        <f t="shared" si="23"/>
        <v>14708.689999999999</v>
      </c>
      <c r="AA53" s="47">
        <f t="shared" si="13"/>
        <v>142560</v>
      </c>
      <c r="AB53" s="51">
        <f t="shared" si="14"/>
        <v>135355.22</v>
      </c>
      <c r="AC53" s="21"/>
      <c r="AD53" s="31">
        <f t="shared" si="15"/>
        <v>142560</v>
      </c>
      <c r="AE53" s="31">
        <f t="shared" si="16"/>
        <v>135355.22</v>
      </c>
      <c r="AF53" s="17">
        <f t="shared" si="19"/>
        <v>0</v>
      </c>
      <c r="AG53" s="17">
        <f t="shared" si="20"/>
        <v>0</v>
      </c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66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</row>
    <row r="54" spans="1:123" s="19" customFormat="1" ht="18" customHeight="1" outlineLevel="2" x14ac:dyDescent="0.25">
      <c r="A54" s="48" t="s">
        <v>131</v>
      </c>
      <c r="B54" s="53"/>
      <c r="C54" s="49">
        <v>2500</v>
      </c>
      <c r="D54" s="68">
        <v>807.76</v>
      </c>
      <c r="E54" s="68">
        <v>2500</v>
      </c>
      <c r="F54" s="68">
        <v>1281.3800000000001</v>
      </c>
      <c r="G54" s="68">
        <v>2500</v>
      </c>
      <c r="H54" s="50">
        <v>3035.65</v>
      </c>
      <c r="I54" s="68">
        <v>2500</v>
      </c>
      <c r="J54" s="68">
        <v>2554.11</v>
      </c>
      <c r="K54" s="68">
        <v>2500</v>
      </c>
      <c r="L54" s="68">
        <v>674.35</v>
      </c>
      <c r="M54" s="68">
        <v>2500</v>
      </c>
      <c r="N54" s="68">
        <v>2151.3000000000002</v>
      </c>
      <c r="O54" s="68">
        <v>2500</v>
      </c>
      <c r="P54" s="68">
        <v>1832.12</v>
      </c>
      <c r="Q54" s="68">
        <v>2500</v>
      </c>
      <c r="R54" s="68">
        <v>573.13</v>
      </c>
      <c r="S54" s="68">
        <v>2500</v>
      </c>
      <c r="T54" s="68">
        <v>798.27</v>
      </c>
      <c r="U54" s="68">
        <v>2500</v>
      </c>
      <c r="V54" s="68">
        <v>332.1</v>
      </c>
      <c r="W54" s="68">
        <v>2500</v>
      </c>
      <c r="X54" s="68">
        <v>1415.31</v>
      </c>
      <c r="Y54" s="68">
        <v>2500</v>
      </c>
      <c r="Z54" s="68">
        <v>865.38</v>
      </c>
      <c r="AA54" s="51">
        <f t="shared" si="13"/>
        <v>30000</v>
      </c>
      <c r="AB54" s="51">
        <f t="shared" si="14"/>
        <v>16320.86</v>
      </c>
      <c r="AC54" s="22"/>
      <c r="AD54" s="31">
        <f t="shared" si="15"/>
        <v>30000</v>
      </c>
      <c r="AE54" s="31">
        <f t="shared" si="16"/>
        <v>16320.86</v>
      </c>
      <c r="AF54" s="17">
        <f t="shared" si="19"/>
        <v>0</v>
      </c>
      <c r="AG54" s="17">
        <f t="shared" si="20"/>
        <v>0</v>
      </c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61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</row>
    <row r="55" spans="1:123" s="19" customFormat="1" ht="18" customHeight="1" outlineLevel="2" x14ac:dyDescent="0.25">
      <c r="A55" s="48" t="s">
        <v>132</v>
      </c>
      <c r="B55" s="53"/>
      <c r="C55" s="49">
        <v>6240</v>
      </c>
      <c r="D55" s="68">
        <v>2019.98</v>
      </c>
      <c r="E55" s="68">
        <v>6240</v>
      </c>
      <c r="F55" s="68">
        <v>3503.48</v>
      </c>
      <c r="G55" s="68">
        <v>6240</v>
      </c>
      <c r="H55" s="50">
        <v>5666.47</v>
      </c>
      <c r="I55" s="68">
        <v>6240</v>
      </c>
      <c r="J55" s="68">
        <v>4398.91</v>
      </c>
      <c r="K55" s="68">
        <v>6240</v>
      </c>
      <c r="L55" s="68">
        <v>4460.2</v>
      </c>
      <c r="M55" s="68">
        <v>6240</v>
      </c>
      <c r="N55" s="68">
        <v>6393.73</v>
      </c>
      <c r="O55" s="68">
        <v>6240</v>
      </c>
      <c r="P55" s="68">
        <v>6077.15</v>
      </c>
      <c r="Q55" s="68">
        <v>6240</v>
      </c>
      <c r="R55" s="68">
        <v>6200.78</v>
      </c>
      <c r="S55" s="68">
        <v>6240</v>
      </c>
      <c r="T55" s="68">
        <v>7198.33</v>
      </c>
      <c r="U55" s="68">
        <v>6240</v>
      </c>
      <c r="V55" s="68">
        <v>6850.08</v>
      </c>
      <c r="W55" s="68">
        <v>6240</v>
      </c>
      <c r="X55" s="68">
        <v>8035.98</v>
      </c>
      <c r="Y55" s="68">
        <v>6240</v>
      </c>
      <c r="Z55" s="68">
        <v>9001.31</v>
      </c>
      <c r="AA55" s="51">
        <f t="shared" si="13"/>
        <v>74880</v>
      </c>
      <c r="AB55" s="51">
        <f t="shared" si="14"/>
        <v>69806.399999999994</v>
      </c>
      <c r="AC55" s="22"/>
      <c r="AD55" s="31">
        <f t="shared" si="15"/>
        <v>74880</v>
      </c>
      <c r="AE55" s="31">
        <f t="shared" si="16"/>
        <v>69806.399999999994</v>
      </c>
      <c r="AF55" s="17">
        <f t="shared" si="19"/>
        <v>0</v>
      </c>
      <c r="AG55" s="17">
        <f t="shared" si="20"/>
        <v>0</v>
      </c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61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</row>
    <row r="56" spans="1:123" s="19" customFormat="1" ht="18" customHeight="1" outlineLevel="2" x14ac:dyDescent="0.25">
      <c r="A56" s="48" t="s">
        <v>180</v>
      </c>
      <c r="B56" s="53"/>
      <c r="C56" s="49">
        <v>2340</v>
      </c>
      <c r="D56" s="68">
        <v>1260</v>
      </c>
      <c r="E56" s="68">
        <v>2340</v>
      </c>
      <c r="F56" s="68">
        <v>1530</v>
      </c>
      <c r="G56" s="68">
        <v>2340</v>
      </c>
      <c r="H56" s="50">
        <v>3225</v>
      </c>
      <c r="I56" s="68">
        <v>2340</v>
      </c>
      <c r="J56" s="68">
        <v>3150</v>
      </c>
      <c r="K56" s="68">
        <v>2340</v>
      </c>
      <c r="L56" s="68">
        <v>3060</v>
      </c>
      <c r="M56" s="68">
        <v>2340</v>
      </c>
      <c r="N56" s="68">
        <v>3420</v>
      </c>
      <c r="O56" s="68">
        <v>2340</v>
      </c>
      <c r="P56" s="68">
        <v>3135</v>
      </c>
      <c r="Q56" s="68">
        <v>2340</v>
      </c>
      <c r="R56" s="68">
        <v>3425</v>
      </c>
      <c r="S56" s="68">
        <v>2340</v>
      </c>
      <c r="T56" s="68">
        <v>3510</v>
      </c>
      <c r="U56" s="68">
        <v>2340</v>
      </c>
      <c r="V56" s="68">
        <v>3150</v>
      </c>
      <c r="W56" s="68">
        <v>2340</v>
      </c>
      <c r="X56" s="68">
        <v>3420</v>
      </c>
      <c r="Y56" s="68">
        <v>2340</v>
      </c>
      <c r="Z56" s="68">
        <v>3645</v>
      </c>
      <c r="AA56" s="51">
        <f t="shared" si="13"/>
        <v>28080</v>
      </c>
      <c r="AB56" s="51">
        <f t="shared" si="14"/>
        <v>35930</v>
      </c>
      <c r="AC56" s="22"/>
      <c r="AD56" s="31">
        <f t="shared" si="15"/>
        <v>28080</v>
      </c>
      <c r="AE56" s="31">
        <f t="shared" si="16"/>
        <v>35930</v>
      </c>
      <c r="AF56" s="17">
        <f t="shared" si="19"/>
        <v>0</v>
      </c>
      <c r="AG56" s="17">
        <f t="shared" si="20"/>
        <v>0</v>
      </c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61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</row>
    <row r="57" spans="1:123" s="19" customFormat="1" ht="18" customHeight="1" outlineLevel="2" x14ac:dyDescent="0.25">
      <c r="A57" s="48" t="s">
        <v>134</v>
      </c>
      <c r="B57" s="53"/>
      <c r="C57" s="49">
        <v>600</v>
      </c>
      <c r="D57" s="68">
        <v>450</v>
      </c>
      <c r="E57" s="68">
        <v>600</v>
      </c>
      <c r="F57" s="68">
        <v>600</v>
      </c>
      <c r="G57" s="68">
        <v>600</v>
      </c>
      <c r="H57" s="50">
        <v>810</v>
      </c>
      <c r="I57" s="68">
        <v>600</v>
      </c>
      <c r="J57" s="68">
        <v>900</v>
      </c>
      <c r="K57" s="68">
        <v>600</v>
      </c>
      <c r="L57" s="68">
        <v>900</v>
      </c>
      <c r="M57" s="68">
        <v>600</v>
      </c>
      <c r="N57" s="68">
        <v>897.36</v>
      </c>
      <c r="O57" s="68">
        <v>600</v>
      </c>
      <c r="P57" s="68">
        <v>900</v>
      </c>
      <c r="Q57" s="68">
        <v>600</v>
      </c>
      <c r="R57" s="68">
        <v>900</v>
      </c>
      <c r="S57" s="68">
        <v>600</v>
      </c>
      <c r="T57" s="68">
        <v>900</v>
      </c>
      <c r="U57" s="68">
        <v>600</v>
      </c>
      <c r="V57" s="68">
        <v>900</v>
      </c>
      <c r="W57" s="68">
        <v>600</v>
      </c>
      <c r="X57" s="68">
        <v>900</v>
      </c>
      <c r="Y57" s="68">
        <v>600</v>
      </c>
      <c r="Z57" s="68">
        <v>900</v>
      </c>
      <c r="AA57" s="51">
        <f t="shared" si="13"/>
        <v>7200</v>
      </c>
      <c r="AB57" s="51">
        <f t="shared" si="14"/>
        <v>9957.36</v>
      </c>
      <c r="AC57" s="22"/>
      <c r="AD57" s="31">
        <f t="shared" si="15"/>
        <v>7200</v>
      </c>
      <c r="AE57" s="31">
        <f t="shared" si="16"/>
        <v>9957.36</v>
      </c>
      <c r="AF57" s="17">
        <f t="shared" si="19"/>
        <v>0</v>
      </c>
      <c r="AG57" s="17">
        <f t="shared" si="20"/>
        <v>0</v>
      </c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61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</row>
    <row r="58" spans="1:123" s="19" customFormat="1" ht="18" customHeight="1" outlineLevel="2" x14ac:dyDescent="0.25">
      <c r="A58" s="48" t="s">
        <v>135</v>
      </c>
      <c r="B58" s="53"/>
      <c r="C58" s="49">
        <v>200</v>
      </c>
      <c r="D58" s="68">
        <v>150</v>
      </c>
      <c r="E58" s="68">
        <v>200</v>
      </c>
      <c r="F58" s="68">
        <v>200</v>
      </c>
      <c r="G58" s="68">
        <v>200</v>
      </c>
      <c r="H58" s="50">
        <v>300</v>
      </c>
      <c r="I58" s="68">
        <v>200</v>
      </c>
      <c r="J58" s="68">
        <v>300</v>
      </c>
      <c r="K58" s="68">
        <v>200</v>
      </c>
      <c r="L58" s="68">
        <v>298.39999999999998</v>
      </c>
      <c r="M58" s="68">
        <v>200</v>
      </c>
      <c r="N58" s="68">
        <v>300</v>
      </c>
      <c r="O58" s="68">
        <v>200</v>
      </c>
      <c r="P58" s="68">
        <v>300</v>
      </c>
      <c r="Q58" s="68">
        <v>200</v>
      </c>
      <c r="R58" s="68">
        <v>298.2</v>
      </c>
      <c r="S58" s="68">
        <v>200</v>
      </c>
      <c r="T58" s="68">
        <v>300</v>
      </c>
      <c r="U58" s="68">
        <v>200</v>
      </c>
      <c r="V58" s="68">
        <v>300</v>
      </c>
      <c r="W58" s="68">
        <v>200</v>
      </c>
      <c r="X58" s="68">
        <v>297</v>
      </c>
      <c r="Y58" s="68">
        <v>200</v>
      </c>
      <c r="Z58" s="68">
        <v>297</v>
      </c>
      <c r="AA58" s="51">
        <f t="shared" si="13"/>
        <v>2400</v>
      </c>
      <c r="AB58" s="51">
        <f t="shared" si="14"/>
        <v>3340.6</v>
      </c>
      <c r="AC58" s="22"/>
      <c r="AD58" s="31">
        <f t="shared" si="15"/>
        <v>2400</v>
      </c>
      <c r="AE58" s="31">
        <f t="shared" si="16"/>
        <v>3340.6</v>
      </c>
      <c r="AF58" s="17">
        <f t="shared" si="19"/>
        <v>0</v>
      </c>
      <c r="AG58" s="17">
        <f t="shared" si="20"/>
        <v>0</v>
      </c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61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</row>
    <row r="59" spans="1:123" s="19" customFormat="1" ht="18" customHeight="1" outlineLevel="1" x14ac:dyDescent="0.25">
      <c r="A59" s="48" t="s">
        <v>136</v>
      </c>
      <c r="B59" s="53"/>
      <c r="C59" s="49">
        <v>833.33</v>
      </c>
      <c r="D59" s="68">
        <v>1060</v>
      </c>
      <c r="E59" s="68">
        <v>833.33</v>
      </c>
      <c r="F59" s="68">
        <v>0</v>
      </c>
      <c r="G59" s="68">
        <v>8833.33</v>
      </c>
      <c r="H59" s="50">
        <v>0</v>
      </c>
      <c r="I59" s="68">
        <v>833.33</v>
      </c>
      <c r="J59" s="68">
        <v>0</v>
      </c>
      <c r="K59" s="68">
        <v>833.33</v>
      </c>
      <c r="L59" s="68">
        <v>0</v>
      </c>
      <c r="M59" s="68">
        <v>833.33</v>
      </c>
      <c r="N59" s="68">
        <v>0</v>
      </c>
      <c r="O59" s="68">
        <v>833.33</v>
      </c>
      <c r="P59" s="68">
        <v>0</v>
      </c>
      <c r="Q59" s="68">
        <v>833.33</v>
      </c>
      <c r="R59" s="68">
        <v>0</v>
      </c>
      <c r="S59" s="68">
        <v>833.33</v>
      </c>
      <c r="T59" s="68">
        <v>3579.59</v>
      </c>
      <c r="U59" s="68">
        <v>833.33</v>
      </c>
      <c r="V59" s="68">
        <v>406</v>
      </c>
      <c r="W59" s="68">
        <v>833.33</v>
      </c>
      <c r="X59" s="68">
        <v>0</v>
      </c>
      <c r="Y59" s="68">
        <v>833.37</v>
      </c>
      <c r="Z59" s="68">
        <v>0</v>
      </c>
      <c r="AA59" s="51">
        <f t="shared" si="13"/>
        <v>18000</v>
      </c>
      <c r="AB59" s="51">
        <f t="shared" si="14"/>
        <v>5045.59</v>
      </c>
      <c r="AC59" s="22"/>
      <c r="AD59" s="31">
        <f t="shared" si="15"/>
        <v>18000</v>
      </c>
      <c r="AE59" s="31">
        <f t="shared" si="16"/>
        <v>5045.59</v>
      </c>
      <c r="AF59" s="17">
        <f t="shared" si="19"/>
        <v>0</v>
      </c>
      <c r="AG59" s="17">
        <f t="shared" si="20"/>
        <v>0</v>
      </c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61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</row>
    <row r="60" spans="1:123" s="19" customFormat="1" ht="18" customHeight="1" outlineLevel="1" x14ac:dyDescent="0.25">
      <c r="A60" s="48" t="s">
        <v>137</v>
      </c>
      <c r="B60" s="53"/>
      <c r="C60" s="49"/>
      <c r="D60" s="68">
        <v>0</v>
      </c>
      <c r="E60" s="68"/>
      <c r="F60" s="68">
        <v>0</v>
      </c>
      <c r="G60" s="68"/>
      <c r="H60" s="50">
        <v>0</v>
      </c>
      <c r="I60" s="68"/>
      <c r="J60" s="68">
        <v>0</v>
      </c>
      <c r="K60" s="68"/>
      <c r="L60" s="68">
        <v>0</v>
      </c>
      <c r="M60" s="68"/>
      <c r="N60" s="68">
        <v>0</v>
      </c>
      <c r="O60" s="68"/>
      <c r="P60" s="68">
        <v>0</v>
      </c>
      <c r="Q60" s="68"/>
      <c r="R60" s="68">
        <v>0</v>
      </c>
      <c r="S60" s="68"/>
      <c r="T60" s="68">
        <v>0</v>
      </c>
      <c r="U60" s="68"/>
      <c r="V60" s="68">
        <v>0</v>
      </c>
      <c r="W60" s="68"/>
      <c r="X60" s="68">
        <v>0</v>
      </c>
      <c r="Y60" s="68"/>
      <c r="Z60" s="68">
        <v>0</v>
      </c>
      <c r="AA60" s="51">
        <f t="shared" si="13"/>
        <v>0</v>
      </c>
      <c r="AB60" s="51">
        <f t="shared" si="14"/>
        <v>0</v>
      </c>
      <c r="AC60" s="22"/>
      <c r="AD60" s="31">
        <f t="shared" si="15"/>
        <v>0</v>
      </c>
      <c r="AE60" s="31">
        <f t="shared" si="16"/>
        <v>0</v>
      </c>
      <c r="AF60" s="17">
        <f t="shared" si="19"/>
        <v>0</v>
      </c>
      <c r="AG60" s="17">
        <f t="shared" si="20"/>
        <v>0</v>
      </c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61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</row>
    <row r="61" spans="1:123" s="19" customFormat="1" ht="18" customHeight="1" outlineLevel="1" x14ac:dyDescent="0.25">
      <c r="A61" s="48" t="s">
        <v>138</v>
      </c>
      <c r="B61" s="53"/>
      <c r="C61" s="49"/>
      <c r="D61" s="68">
        <v>0</v>
      </c>
      <c r="E61" s="68"/>
      <c r="F61" s="68">
        <v>0</v>
      </c>
      <c r="G61" s="68"/>
      <c r="H61" s="50">
        <v>0</v>
      </c>
      <c r="I61" s="68"/>
      <c r="J61" s="68">
        <v>0</v>
      </c>
      <c r="K61" s="68"/>
      <c r="L61" s="68">
        <v>0</v>
      </c>
      <c r="M61" s="68"/>
      <c r="N61" s="68">
        <v>0</v>
      </c>
      <c r="O61" s="68"/>
      <c r="P61" s="68">
        <v>0</v>
      </c>
      <c r="Q61" s="68"/>
      <c r="R61" s="68">
        <v>0</v>
      </c>
      <c r="S61" s="68"/>
      <c r="T61" s="68">
        <v>0</v>
      </c>
      <c r="U61" s="68"/>
      <c r="V61" s="68">
        <v>0</v>
      </c>
      <c r="W61" s="68"/>
      <c r="X61" s="68">
        <v>0</v>
      </c>
      <c r="Y61" s="68"/>
      <c r="Z61" s="68">
        <v>0</v>
      </c>
      <c r="AA61" s="51">
        <f t="shared" si="13"/>
        <v>0</v>
      </c>
      <c r="AB61" s="51">
        <f t="shared" si="14"/>
        <v>0</v>
      </c>
      <c r="AC61" s="22"/>
      <c r="AD61" s="31">
        <f t="shared" si="15"/>
        <v>0</v>
      </c>
      <c r="AE61" s="31">
        <f t="shared" si="16"/>
        <v>0</v>
      </c>
      <c r="AF61" s="17">
        <f t="shared" si="19"/>
        <v>0</v>
      </c>
      <c r="AG61" s="17">
        <f t="shared" si="20"/>
        <v>0</v>
      </c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61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</row>
    <row r="62" spans="1:123" s="19" customFormat="1" ht="18" customHeight="1" outlineLevel="1" x14ac:dyDescent="0.25">
      <c r="A62" s="48" t="s">
        <v>139</v>
      </c>
      <c r="B62" s="53"/>
      <c r="C62" s="49"/>
      <c r="D62" s="68">
        <v>0</v>
      </c>
      <c r="E62" s="68"/>
      <c r="F62" s="68">
        <v>0</v>
      </c>
      <c r="G62" s="68"/>
      <c r="H62" s="50">
        <v>0</v>
      </c>
      <c r="I62" s="68"/>
      <c r="J62" s="68">
        <v>0</v>
      </c>
      <c r="K62" s="68"/>
      <c r="L62" s="68">
        <v>0</v>
      </c>
      <c r="M62" s="68"/>
      <c r="N62" s="68">
        <v>0</v>
      </c>
      <c r="O62" s="68"/>
      <c r="P62" s="68">
        <v>0</v>
      </c>
      <c r="Q62" s="68"/>
      <c r="R62" s="68">
        <v>0</v>
      </c>
      <c r="S62" s="68"/>
      <c r="T62" s="68">
        <v>0</v>
      </c>
      <c r="U62" s="68"/>
      <c r="V62" s="68">
        <v>0</v>
      </c>
      <c r="W62" s="68"/>
      <c r="X62" s="68">
        <v>0</v>
      </c>
      <c r="Y62" s="68"/>
      <c r="Z62" s="68">
        <v>0</v>
      </c>
      <c r="AA62" s="51">
        <f t="shared" si="13"/>
        <v>0</v>
      </c>
      <c r="AB62" s="51">
        <f t="shared" si="14"/>
        <v>0</v>
      </c>
      <c r="AC62" s="22"/>
      <c r="AD62" s="31">
        <f t="shared" si="15"/>
        <v>0</v>
      </c>
      <c r="AE62" s="31">
        <f t="shared" si="16"/>
        <v>0</v>
      </c>
      <c r="AF62" s="17">
        <f t="shared" si="19"/>
        <v>0</v>
      </c>
      <c r="AG62" s="17">
        <f t="shared" si="20"/>
        <v>0</v>
      </c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61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</row>
    <row r="63" spans="1:123" s="19" customFormat="1" ht="18" customHeight="1" outlineLevel="1" x14ac:dyDescent="0.25">
      <c r="A63" s="48" t="s">
        <v>140</v>
      </c>
      <c r="B63" s="53"/>
      <c r="C63" s="49"/>
      <c r="D63" s="68">
        <v>0</v>
      </c>
      <c r="E63" s="68"/>
      <c r="F63" s="68">
        <v>0</v>
      </c>
      <c r="G63" s="68"/>
      <c r="H63" s="50">
        <v>0</v>
      </c>
      <c r="I63" s="68"/>
      <c r="J63" s="68">
        <v>0</v>
      </c>
      <c r="K63" s="68"/>
      <c r="L63" s="68">
        <v>0</v>
      </c>
      <c r="M63" s="68"/>
      <c r="N63" s="68">
        <v>0</v>
      </c>
      <c r="O63" s="68"/>
      <c r="P63" s="68">
        <v>0</v>
      </c>
      <c r="Q63" s="68"/>
      <c r="R63" s="68">
        <v>0</v>
      </c>
      <c r="S63" s="68"/>
      <c r="T63" s="68">
        <v>0</v>
      </c>
      <c r="U63" s="68"/>
      <c r="V63" s="68">
        <v>0</v>
      </c>
      <c r="W63" s="68"/>
      <c r="X63" s="68">
        <v>0</v>
      </c>
      <c r="Y63" s="68"/>
      <c r="Z63" s="68">
        <v>0</v>
      </c>
      <c r="AA63" s="51">
        <f t="shared" si="13"/>
        <v>0</v>
      </c>
      <c r="AB63" s="51">
        <f t="shared" si="14"/>
        <v>0</v>
      </c>
      <c r="AC63" s="22"/>
      <c r="AD63" s="31">
        <f t="shared" si="15"/>
        <v>0</v>
      </c>
      <c r="AE63" s="31">
        <f t="shared" si="16"/>
        <v>0</v>
      </c>
      <c r="AF63" s="17">
        <f t="shared" si="19"/>
        <v>0</v>
      </c>
      <c r="AG63" s="17">
        <f t="shared" si="20"/>
        <v>0</v>
      </c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61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</row>
    <row r="64" spans="1:123" s="19" customFormat="1" ht="18" customHeight="1" outlineLevel="1" x14ac:dyDescent="0.25">
      <c r="A64" s="48" t="s">
        <v>141</v>
      </c>
      <c r="B64" s="53"/>
      <c r="C64" s="49"/>
      <c r="D64" s="68">
        <v>0</v>
      </c>
      <c r="E64" s="68"/>
      <c r="F64" s="68">
        <v>0</v>
      </c>
      <c r="G64" s="68"/>
      <c r="H64" s="50">
        <v>0</v>
      </c>
      <c r="I64" s="68"/>
      <c r="J64" s="68">
        <v>0</v>
      </c>
      <c r="K64" s="68"/>
      <c r="L64" s="68">
        <v>0</v>
      </c>
      <c r="M64" s="68"/>
      <c r="N64" s="68">
        <v>0</v>
      </c>
      <c r="O64" s="68"/>
      <c r="P64" s="68">
        <v>0</v>
      </c>
      <c r="Q64" s="68"/>
      <c r="R64" s="68">
        <v>0</v>
      </c>
      <c r="S64" s="68"/>
      <c r="T64" s="68">
        <v>0</v>
      </c>
      <c r="U64" s="68"/>
      <c r="V64" s="68">
        <v>0</v>
      </c>
      <c r="W64" s="68"/>
      <c r="X64" s="68">
        <v>0</v>
      </c>
      <c r="Y64" s="68"/>
      <c r="Z64" s="68">
        <v>0</v>
      </c>
      <c r="AA64" s="51">
        <f t="shared" si="13"/>
        <v>0</v>
      </c>
      <c r="AB64" s="51">
        <f t="shared" si="14"/>
        <v>0</v>
      </c>
      <c r="AC64" s="22"/>
      <c r="AD64" s="31">
        <f t="shared" si="15"/>
        <v>0</v>
      </c>
      <c r="AE64" s="31">
        <f t="shared" si="16"/>
        <v>0</v>
      </c>
      <c r="AF64" s="17">
        <f t="shared" si="19"/>
        <v>0</v>
      </c>
      <c r="AG64" s="17">
        <f t="shared" si="20"/>
        <v>0</v>
      </c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61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</row>
    <row r="65" spans="1:123" s="17" customFormat="1" ht="18" customHeight="1" outlineLevel="1" x14ac:dyDescent="0.25">
      <c r="A65" s="67" t="s">
        <v>142</v>
      </c>
      <c r="B65" s="45"/>
      <c r="C65" s="65">
        <f t="shared" ref="C65:Z65" si="24">SUM(C66:C69)</f>
        <v>0</v>
      </c>
      <c r="D65" s="65">
        <f t="shared" si="24"/>
        <v>0</v>
      </c>
      <c r="E65" s="65">
        <f t="shared" si="24"/>
        <v>0</v>
      </c>
      <c r="F65" s="65">
        <f t="shared" si="24"/>
        <v>0</v>
      </c>
      <c r="G65" s="65">
        <f t="shared" si="24"/>
        <v>0</v>
      </c>
      <c r="H65" s="65">
        <f t="shared" si="24"/>
        <v>0</v>
      </c>
      <c r="I65" s="65">
        <f t="shared" si="24"/>
        <v>0</v>
      </c>
      <c r="J65" s="65">
        <f t="shared" si="24"/>
        <v>0</v>
      </c>
      <c r="K65" s="65">
        <f t="shared" si="24"/>
        <v>0</v>
      </c>
      <c r="L65" s="65">
        <f t="shared" si="24"/>
        <v>0</v>
      </c>
      <c r="M65" s="65">
        <f t="shared" si="24"/>
        <v>0</v>
      </c>
      <c r="N65" s="65">
        <f t="shared" si="24"/>
        <v>0</v>
      </c>
      <c r="O65" s="65">
        <f t="shared" si="24"/>
        <v>0</v>
      </c>
      <c r="P65" s="65">
        <f t="shared" si="24"/>
        <v>0</v>
      </c>
      <c r="Q65" s="65">
        <f t="shared" si="24"/>
        <v>0</v>
      </c>
      <c r="R65" s="65">
        <f t="shared" si="24"/>
        <v>0</v>
      </c>
      <c r="S65" s="65">
        <f t="shared" si="24"/>
        <v>0</v>
      </c>
      <c r="T65" s="65">
        <f t="shared" si="24"/>
        <v>0</v>
      </c>
      <c r="U65" s="65">
        <f t="shared" si="24"/>
        <v>0</v>
      </c>
      <c r="V65" s="65">
        <f t="shared" si="24"/>
        <v>0</v>
      </c>
      <c r="W65" s="65">
        <f t="shared" si="24"/>
        <v>0</v>
      </c>
      <c r="X65" s="65">
        <f t="shared" si="24"/>
        <v>0</v>
      </c>
      <c r="Y65" s="65">
        <f t="shared" si="24"/>
        <v>0</v>
      </c>
      <c r="Z65" s="65">
        <f t="shared" si="24"/>
        <v>0</v>
      </c>
      <c r="AA65" s="47">
        <f t="shared" si="13"/>
        <v>0</v>
      </c>
      <c r="AB65" s="51">
        <f t="shared" si="14"/>
        <v>0</v>
      </c>
      <c r="AC65" s="21"/>
      <c r="AD65" s="31">
        <f t="shared" si="15"/>
        <v>0</v>
      </c>
      <c r="AE65" s="31">
        <f t="shared" si="16"/>
        <v>0</v>
      </c>
      <c r="AF65" s="17">
        <f t="shared" si="19"/>
        <v>0</v>
      </c>
      <c r="AG65" s="17">
        <f t="shared" si="20"/>
        <v>0</v>
      </c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66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</row>
    <row r="66" spans="1:123" s="19" customFormat="1" ht="18" customHeight="1" outlineLevel="2" x14ac:dyDescent="0.25">
      <c r="A66" s="48" t="s">
        <v>143</v>
      </c>
      <c r="B66" s="53"/>
      <c r="C66" s="49"/>
      <c r="D66" s="68">
        <v>0</v>
      </c>
      <c r="E66" s="68"/>
      <c r="F66" s="68">
        <v>0</v>
      </c>
      <c r="G66" s="68"/>
      <c r="H66" s="50">
        <v>0</v>
      </c>
      <c r="I66" s="68"/>
      <c r="J66" s="68">
        <v>0</v>
      </c>
      <c r="K66" s="68"/>
      <c r="L66" s="68">
        <v>0</v>
      </c>
      <c r="M66" s="68"/>
      <c r="N66" s="68">
        <v>0</v>
      </c>
      <c r="O66" s="68"/>
      <c r="P66" s="68">
        <v>0</v>
      </c>
      <c r="Q66" s="68"/>
      <c r="R66" s="68">
        <v>0</v>
      </c>
      <c r="S66" s="68"/>
      <c r="T66" s="68">
        <v>0</v>
      </c>
      <c r="U66" s="68"/>
      <c r="V66" s="68">
        <v>0</v>
      </c>
      <c r="W66" s="68"/>
      <c r="X66" s="68">
        <v>0</v>
      </c>
      <c r="Y66" s="68"/>
      <c r="Z66" s="68">
        <v>0</v>
      </c>
      <c r="AA66" s="51">
        <f t="shared" si="13"/>
        <v>0</v>
      </c>
      <c r="AB66" s="51">
        <f t="shared" si="14"/>
        <v>0</v>
      </c>
      <c r="AC66" s="22"/>
      <c r="AD66" s="31">
        <f t="shared" si="15"/>
        <v>0</v>
      </c>
      <c r="AE66" s="31">
        <f t="shared" si="16"/>
        <v>0</v>
      </c>
      <c r="AF66" s="17">
        <f t="shared" si="19"/>
        <v>0</v>
      </c>
      <c r="AG66" s="17">
        <f t="shared" si="20"/>
        <v>0</v>
      </c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61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</row>
    <row r="67" spans="1:123" s="19" customFormat="1" ht="18" customHeight="1" outlineLevel="2" x14ac:dyDescent="0.25">
      <c r="A67" s="48" t="s">
        <v>144</v>
      </c>
      <c r="B67" s="53"/>
      <c r="C67" s="49"/>
      <c r="D67" s="68">
        <v>0</v>
      </c>
      <c r="E67" s="68"/>
      <c r="F67" s="68">
        <v>0</v>
      </c>
      <c r="G67" s="68"/>
      <c r="H67" s="50">
        <v>0</v>
      </c>
      <c r="I67" s="68"/>
      <c r="J67" s="68">
        <v>0</v>
      </c>
      <c r="K67" s="68"/>
      <c r="L67" s="68">
        <v>0</v>
      </c>
      <c r="M67" s="68"/>
      <c r="N67" s="68">
        <v>0</v>
      </c>
      <c r="O67" s="68"/>
      <c r="P67" s="68">
        <v>0</v>
      </c>
      <c r="Q67" s="68"/>
      <c r="R67" s="68">
        <v>0</v>
      </c>
      <c r="S67" s="68"/>
      <c r="T67" s="68">
        <v>0</v>
      </c>
      <c r="U67" s="68"/>
      <c r="V67" s="68">
        <v>0</v>
      </c>
      <c r="W67" s="68"/>
      <c r="X67" s="68">
        <v>0</v>
      </c>
      <c r="Y67" s="68"/>
      <c r="Z67" s="68">
        <v>0</v>
      </c>
      <c r="AA67" s="51">
        <f t="shared" si="13"/>
        <v>0</v>
      </c>
      <c r="AB67" s="51">
        <f t="shared" si="14"/>
        <v>0</v>
      </c>
      <c r="AC67" s="22"/>
      <c r="AD67" s="31">
        <f t="shared" si="15"/>
        <v>0</v>
      </c>
      <c r="AE67" s="31">
        <f t="shared" si="16"/>
        <v>0</v>
      </c>
      <c r="AF67" s="17">
        <f t="shared" si="19"/>
        <v>0</v>
      </c>
      <c r="AG67" s="17">
        <f t="shared" si="20"/>
        <v>0</v>
      </c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61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</row>
    <row r="68" spans="1:123" s="19" customFormat="1" ht="18" customHeight="1" outlineLevel="2" x14ac:dyDescent="0.25">
      <c r="A68" s="48" t="s">
        <v>145</v>
      </c>
      <c r="B68" s="53"/>
      <c r="C68" s="49"/>
      <c r="D68" s="68">
        <v>0</v>
      </c>
      <c r="E68" s="68"/>
      <c r="F68" s="68">
        <v>0</v>
      </c>
      <c r="G68" s="68"/>
      <c r="H68" s="50">
        <v>0</v>
      </c>
      <c r="I68" s="68"/>
      <c r="J68" s="68">
        <v>0</v>
      </c>
      <c r="K68" s="68"/>
      <c r="L68" s="68">
        <v>0</v>
      </c>
      <c r="M68" s="68"/>
      <c r="N68" s="68">
        <v>0</v>
      </c>
      <c r="O68" s="68"/>
      <c r="P68" s="68">
        <v>0</v>
      </c>
      <c r="Q68" s="68"/>
      <c r="R68" s="68">
        <v>0</v>
      </c>
      <c r="S68" s="68"/>
      <c r="T68" s="68">
        <v>0</v>
      </c>
      <c r="U68" s="68"/>
      <c r="V68" s="68">
        <v>0</v>
      </c>
      <c r="W68" s="68"/>
      <c r="X68" s="68">
        <v>0</v>
      </c>
      <c r="Y68" s="68"/>
      <c r="Z68" s="68">
        <v>0</v>
      </c>
      <c r="AA68" s="51">
        <f t="shared" si="13"/>
        <v>0</v>
      </c>
      <c r="AB68" s="51">
        <f t="shared" si="14"/>
        <v>0</v>
      </c>
      <c r="AC68" s="22"/>
      <c r="AD68" s="31">
        <f t="shared" si="15"/>
        <v>0</v>
      </c>
      <c r="AE68" s="31">
        <f t="shared" si="16"/>
        <v>0</v>
      </c>
      <c r="AF68" s="17">
        <f t="shared" si="19"/>
        <v>0</v>
      </c>
      <c r="AG68" s="17">
        <f t="shared" si="20"/>
        <v>0</v>
      </c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61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</row>
    <row r="69" spans="1:123" s="19" customFormat="1" ht="18" customHeight="1" outlineLevel="2" x14ac:dyDescent="0.25">
      <c r="A69" s="48" t="s">
        <v>146</v>
      </c>
      <c r="B69" s="53"/>
      <c r="C69" s="49"/>
      <c r="D69" s="68">
        <v>0</v>
      </c>
      <c r="E69" s="68"/>
      <c r="F69" s="68">
        <v>0</v>
      </c>
      <c r="G69" s="68"/>
      <c r="H69" s="50">
        <v>0</v>
      </c>
      <c r="I69" s="68"/>
      <c r="J69" s="68">
        <v>0</v>
      </c>
      <c r="K69" s="68"/>
      <c r="L69" s="68">
        <v>0</v>
      </c>
      <c r="M69" s="68"/>
      <c r="N69" s="68">
        <v>0</v>
      </c>
      <c r="O69" s="68"/>
      <c r="P69" s="68">
        <v>0</v>
      </c>
      <c r="Q69" s="68"/>
      <c r="R69" s="68">
        <v>0</v>
      </c>
      <c r="S69" s="68"/>
      <c r="T69" s="68">
        <v>0</v>
      </c>
      <c r="U69" s="68"/>
      <c r="V69" s="68">
        <v>0</v>
      </c>
      <c r="W69" s="68"/>
      <c r="X69" s="68">
        <v>0</v>
      </c>
      <c r="Y69" s="68"/>
      <c r="Z69" s="68">
        <v>0</v>
      </c>
      <c r="AA69" s="51">
        <f t="shared" si="13"/>
        <v>0</v>
      </c>
      <c r="AB69" s="51">
        <f t="shared" si="14"/>
        <v>0</v>
      </c>
      <c r="AC69" s="22"/>
      <c r="AD69" s="31">
        <f t="shared" si="15"/>
        <v>0</v>
      </c>
      <c r="AE69" s="31">
        <f t="shared" si="16"/>
        <v>0</v>
      </c>
      <c r="AF69" s="17">
        <f t="shared" si="19"/>
        <v>0</v>
      </c>
      <c r="AG69" s="17">
        <f t="shared" si="20"/>
        <v>0</v>
      </c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61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</row>
    <row r="70" spans="1:123" s="19" customFormat="1" ht="18" customHeight="1" outlineLevel="1" x14ac:dyDescent="0.25">
      <c r="A70" s="48" t="s">
        <v>147</v>
      </c>
      <c r="B70" s="53"/>
      <c r="C70" s="49"/>
      <c r="D70" s="68">
        <v>0</v>
      </c>
      <c r="E70" s="68"/>
      <c r="F70" s="68">
        <v>0</v>
      </c>
      <c r="G70" s="68"/>
      <c r="H70" s="50">
        <v>0</v>
      </c>
      <c r="I70" s="68"/>
      <c r="J70" s="68">
        <v>0</v>
      </c>
      <c r="K70" s="68"/>
      <c r="L70" s="68">
        <v>0</v>
      </c>
      <c r="M70" s="68"/>
      <c r="N70" s="68">
        <v>0</v>
      </c>
      <c r="O70" s="68"/>
      <c r="P70" s="68">
        <v>0</v>
      </c>
      <c r="Q70" s="68"/>
      <c r="R70" s="68">
        <v>0</v>
      </c>
      <c r="S70" s="68"/>
      <c r="T70" s="68">
        <v>0</v>
      </c>
      <c r="U70" s="68"/>
      <c r="V70" s="68">
        <v>0</v>
      </c>
      <c r="W70" s="68"/>
      <c r="X70" s="68">
        <v>0</v>
      </c>
      <c r="Y70" s="68"/>
      <c r="Z70" s="68">
        <v>0</v>
      </c>
      <c r="AA70" s="51">
        <f t="shared" si="13"/>
        <v>0</v>
      </c>
      <c r="AB70" s="51">
        <f t="shared" si="14"/>
        <v>0</v>
      </c>
      <c r="AC70" s="22"/>
      <c r="AD70" s="31">
        <f t="shared" si="15"/>
        <v>0</v>
      </c>
      <c r="AE70" s="31">
        <f t="shared" si="16"/>
        <v>0</v>
      </c>
      <c r="AF70" s="17">
        <f t="shared" si="19"/>
        <v>0</v>
      </c>
      <c r="AG70" s="17">
        <f t="shared" si="20"/>
        <v>0</v>
      </c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61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</row>
    <row r="71" spans="1:123" s="19" customFormat="1" ht="18" customHeight="1" outlineLevel="1" x14ac:dyDescent="0.25">
      <c r="A71" s="48" t="s">
        <v>148</v>
      </c>
      <c r="B71" s="53"/>
      <c r="C71" s="49"/>
      <c r="D71" s="68">
        <v>0</v>
      </c>
      <c r="E71" s="68"/>
      <c r="F71" s="68">
        <v>0</v>
      </c>
      <c r="G71" s="68">
        <v>600</v>
      </c>
      <c r="H71" s="50">
        <v>0</v>
      </c>
      <c r="I71" s="68"/>
      <c r="J71" s="68">
        <v>0</v>
      </c>
      <c r="K71" s="68"/>
      <c r="L71" s="68">
        <v>0</v>
      </c>
      <c r="M71" s="68"/>
      <c r="N71" s="68">
        <v>0</v>
      </c>
      <c r="O71" s="68"/>
      <c r="P71" s="68">
        <v>0</v>
      </c>
      <c r="Q71" s="68"/>
      <c r="R71" s="68">
        <v>0</v>
      </c>
      <c r="S71" s="68"/>
      <c r="T71" s="68">
        <v>0</v>
      </c>
      <c r="U71" s="68"/>
      <c r="V71" s="68">
        <v>0</v>
      </c>
      <c r="W71" s="68"/>
      <c r="X71" s="68">
        <v>0</v>
      </c>
      <c r="Y71" s="68"/>
      <c r="Z71" s="68">
        <v>0</v>
      </c>
      <c r="AA71" s="51">
        <f t="shared" si="13"/>
        <v>600</v>
      </c>
      <c r="AB71" s="51">
        <f t="shared" si="14"/>
        <v>0</v>
      </c>
      <c r="AC71" s="22"/>
      <c r="AD71" s="31">
        <f t="shared" si="15"/>
        <v>600</v>
      </c>
      <c r="AE71" s="31">
        <f t="shared" si="16"/>
        <v>0</v>
      </c>
      <c r="AF71" s="17">
        <f t="shared" si="19"/>
        <v>0</v>
      </c>
      <c r="AG71" s="17">
        <f t="shared" si="20"/>
        <v>0</v>
      </c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61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</row>
    <row r="72" spans="1:123" s="19" customFormat="1" ht="18" customHeight="1" outlineLevel="1" x14ac:dyDescent="0.25">
      <c r="A72" s="48" t="s">
        <v>149</v>
      </c>
      <c r="B72" s="53"/>
      <c r="C72" s="49"/>
      <c r="D72" s="68">
        <v>0</v>
      </c>
      <c r="E72" s="68"/>
      <c r="F72" s="68">
        <v>0</v>
      </c>
      <c r="G72" s="68"/>
      <c r="H72" s="50">
        <v>0</v>
      </c>
      <c r="I72" s="68"/>
      <c r="J72" s="68">
        <v>0</v>
      </c>
      <c r="K72" s="68"/>
      <c r="L72" s="68">
        <v>0</v>
      </c>
      <c r="M72" s="68"/>
      <c r="N72" s="68">
        <v>0</v>
      </c>
      <c r="O72" s="68"/>
      <c r="P72" s="68">
        <v>0</v>
      </c>
      <c r="Q72" s="68"/>
      <c r="R72" s="68">
        <v>0</v>
      </c>
      <c r="S72" s="68"/>
      <c r="T72" s="68">
        <v>0</v>
      </c>
      <c r="U72" s="68"/>
      <c r="V72" s="68">
        <v>0</v>
      </c>
      <c r="W72" s="68"/>
      <c r="X72" s="68">
        <v>0</v>
      </c>
      <c r="Y72" s="68"/>
      <c r="Z72" s="68">
        <v>0</v>
      </c>
      <c r="AA72" s="51">
        <f t="shared" si="13"/>
        <v>0</v>
      </c>
      <c r="AB72" s="51">
        <f t="shared" si="14"/>
        <v>0</v>
      </c>
      <c r="AC72" s="22"/>
      <c r="AD72" s="31">
        <f t="shared" si="15"/>
        <v>0</v>
      </c>
      <c r="AE72" s="31">
        <f t="shared" si="16"/>
        <v>0</v>
      </c>
      <c r="AF72" s="17">
        <f t="shared" si="19"/>
        <v>0</v>
      </c>
      <c r="AG72" s="17">
        <f t="shared" si="20"/>
        <v>0</v>
      </c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61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</row>
    <row r="73" spans="1:123" s="19" customFormat="1" ht="18" customHeight="1" outlineLevel="1" x14ac:dyDescent="0.25">
      <c r="A73" s="48" t="s">
        <v>150</v>
      </c>
      <c r="B73" s="53"/>
      <c r="C73" s="49">
        <v>375</v>
      </c>
      <c r="D73" s="68">
        <v>198.77</v>
      </c>
      <c r="E73" s="68">
        <v>375</v>
      </c>
      <c r="F73" s="68">
        <v>190.18</v>
      </c>
      <c r="G73" s="68">
        <v>375</v>
      </c>
      <c r="H73" s="50">
        <v>457.53</v>
      </c>
      <c r="I73" s="68">
        <v>375</v>
      </c>
      <c r="J73" s="68">
        <v>521.71</v>
      </c>
      <c r="K73" s="68">
        <v>375</v>
      </c>
      <c r="L73" s="68">
        <v>398.34</v>
      </c>
      <c r="M73" s="68">
        <v>375</v>
      </c>
      <c r="N73" s="68">
        <v>243.97</v>
      </c>
      <c r="O73" s="68">
        <v>375</v>
      </c>
      <c r="P73" s="68">
        <v>618.23</v>
      </c>
      <c r="Q73" s="68">
        <v>375</v>
      </c>
      <c r="R73" s="68">
        <v>357.76</v>
      </c>
      <c r="S73" s="68">
        <v>375</v>
      </c>
      <c r="T73" s="68">
        <v>231.8</v>
      </c>
      <c r="U73" s="68">
        <v>375</v>
      </c>
      <c r="V73" s="68">
        <v>505.37</v>
      </c>
      <c r="W73" s="68">
        <v>375</v>
      </c>
      <c r="X73" s="68">
        <v>458.68</v>
      </c>
      <c r="Y73" s="68">
        <v>375</v>
      </c>
      <c r="Z73" s="68">
        <v>293.83999999999997</v>
      </c>
      <c r="AA73" s="51">
        <f t="shared" si="13"/>
        <v>4500</v>
      </c>
      <c r="AB73" s="51">
        <f t="shared" si="14"/>
        <v>4476.18</v>
      </c>
      <c r="AC73" s="22"/>
      <c r="AD73" s="31">
        <f t="shared" si="15"/>
        <v>4500</v>
      </c>
      <c r="AE73" s="31">
        <f t="shared" si="16"/>
        <v>4476.18</v>
      </c>
      <c r="AF73" s="17">
        <f t="shared" si="19"/>
        <v>0</v>
      </c>
      <c r="AG73" s="17">
        <f t="shared" si="20"/>
        <v>0</v>
      </c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61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</row>
    <row r="74" spans="1:123" s="19" customFormat="1" ht="18" customHeight="1" outlineLevel="1" x14ac:dyDescent="0.25">
      <c r="A74" s="48" t="s">
        <v>151</v>
      </c>
      <c r="B74" s="53"/>
      <c r="C74" s="49"/>
      <c r="D74" s="68">
        <v>0</v>
      </c>
      <c r="E74" s="68"/>
      <c r="F74" s="68">
        <v>0</v>
      </c>
      <c r="G74" s="68"/>
      <c r="H74" s="50">
        <v>0</v>
      </c>
      <c r="I74" s="68"/>
      <c r="J74" s="68">
        <v>0</v>
      </c>
      <c r="K74" s="68"/>
      <c r="L74" s="68">
        <v>0</v>
      </c>
      <c r="M74" s="68"/>
      <c r="N74" s="68">
        <v>0</v>
      </c>
      <c r="O74" s="68"/>
      <c r="P74" s="68">
        <v>0</v>
      </c>
      <c r="Q74" s="68"/>
      <c r="R74" s="68">
        <v>0</v>
      </c>
      <c r="S74" s="68"/>
      <c r="T74" s="68">
        <v>0</v>
      </c>
      <c r="U74" s="68"/>
      <c r="V74" s="68">
        <v>0</v>
      </c>
      <c r="W74" s="68"/>
      <c r="X74" s="68">
        <v>0</v>
      </c>
      <c r="Y74" s="68"/>
      <c r="Z74" s="68">
        <v>0</v>
      </c>
      <c r="AA74" s="51">
        <f t="shared" si="13"/>
        <v>0</v>
      </c>
      <c r="AB74" s="51">
        <f t="shared" si="14"/>
        <v>0</v>
      </c>
      <c r="AC74" s="22"/>
      <c r="AD74" s="31">
        <f t="shared" si="15"/>
        <v>0</v>
      </c>
      <c r="AE74" s="31">
        <f t="shared" si="16"/>
        <v>0</v>
      </c>
      <c r="AF74" s="17">
        <f t="shared" si="19"/>
        <v>0</v>
      </c>
      <c r="AG74" s="17">
        <f t="shared" si="20"/>
        <v>0</v>
      </c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61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</row>
    <row r="75" spans="1:123" s="19" customFormat="1" ht="18" customHeight="1" outlineLevel="1" x14ac:dyDescent="0.25">
      <c r="A75" s="48" t="s">
        <v>152</v>
      </c>
      <c r="B75" s="53"/>
      <c r="C75" s="49"/>
      <c r="D75" s="68">
        <v>0</v>
      </c>
      <c r="E75" s="68"/>
      <c r="F75" s="68">
        <v>0</v>
      </c>
      <c r="G75" s="68"/>
      <c r="H75" s="50">
        <v>0</v>
      </c>
      <c r="I75" s="68"/>
      <c r="J75" s="68">
        <v>0</v>
      </c>
      <c r="K75" s="68"/>
      <c r="L75" s="68">
        <v>0</v>
      </c>
      <c r="M75" s="68"/>
      <c r="N75" s="68">
        <v>0</v>
      </c>
      <c r="O75" s="68"/>
      <c r="P75" s="68">
        <v>0</v>
      </c>
      <c r="Q75" s="68"/>
      <c r="R75" s="68">
        <v>0</v>
      </c>
      <c r="S75" s="68"/>
      <c r="T75" s="68">
        <v>0</v>
      </c>
      <c r="U75" s="68"/>
      <c r="V75" s="68">
        <v>0</v>
      </c>
      <c r="W75" s="68"/>
      <c r="X75" s="68">
        <v>0</v>
      </c>
      <c r="Y75" s="68"/>
      <c r="Z75" s="68">
        <v>0</v>
      </c>
      <c r="AA75" s="51">
        <f t="shared" si="13"/>
        <v>0</v>
      </c>
      <c r="AB75" s="51">
        <f t="shared" si="14"/>
        <v>0</v>
      </c>
      <c r="AC75" s="22"/>
      <c r="AD75" s="31">
        <f t="shared" si="15"/>
        <v>0</v>
      </c>
      <c r="AE75" s="31">
        <f t="shared" si="16"/>
        <v>0</v>
      </c>
      <c r="AF75" s="17">
        <f t="shared" si="19"/>
        <v>0</v>
      </c>
      <c r="AG75" s="17">
        <f t="shared" si="20"/>
        <v>0</v>
      </c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61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</row>
    <row r="76" spans="1:123" s="19" customFormat="1" ht="18" customHeight="1" outlineLevel="1" x14ac:dyDescent="0.25">
      <c r="A76" s="48" t="s">
        <v>153</v>
      </c>
      <c r="B76" s="53"/>
      <c r="C76" s="49"/>
      <c r="D76" s="68">
        <v>0</v>
      </c>
      <c r="E76" s="68"/>
      <c r="F76" s="68">
        <v>0</v>
      </c>
      <c r="G76" s="68"/>
      <c r="H76" s="50">
        <v>0</v>
      </c>
      <c r="I76" s="68"/>
      <c r="J76" s="68">
        <v>0</v>
      </c>
      <c r="K76" s="68"/>
      <c r="L76" s="68">
        <v>0</v>
      </c>
      <c r="M76" s="68"/>
      <c r="N76" s="68">
        <v>0</v>
      </c>
      <c r="O76" s="68"/>
      <c r="P76" s="68">
        <v>0</v>
      </c>
      <c r="Q76" s="68"/>
      <c r="R76" s="68">
        <v>0</v>
      </c>
      <c r="S76" s="68"/>
      <c r="T76" s="68">
        <v>0</v>
      </c>
      <c r="U76" s="68"/>
      <c r="V76" s="68">
        <v>80</v>
      </c>
      <c r="W76" s="68"/>
      <c r="X76" s="68">
        <v>0</v>
      </c>
      <c r="Y76" s="68"/>
      <c r="Z76" s="68">
        <v>0</v>
      </c>
      <c r="AA76" s="51">
        <f t="shared" si="13"/>
        <v>0</v>
      </c>
      <c r="AB76" s="51">
        <f t="shared" si="14"/>
        <v>80</v>
      </c>
      <c r="AC76" s="22"/>
      <c r="AD76" s="31">
        <f t="shared" si="15"/>
        <v>0</v>
      </c>
      <c r="AE76" s="31">
        <f t="shared" si="16"/>
        <v>80</v>
      </c>
      <c r="AF76" s="17">
        <f t="shared" si="19"/>
        <v>0</v>
      </c>
      <c r="AG76" s="17">
        <f t="shared" si="20"/>
        <v>0</v>
      </c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61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</row>
    <row r="77" spans="1:123" s="19" customFormat="1" ht="18" customHeight="1" outlineLevel="1" x14ac:dyDescent="0.25">
      <c r="A77" s="48" t="s">
        <v>154</v>
      </c>
      <c r="B77" s="53"/>
      <c r="C77" s="49"/>
      <c r="D77" s="68">
        <v>0</v>
      </c>
      <c r="E77" s="68"/>
      <c r="F77" s="68">
        <v>0</v>
      </c>
      <c r="G77" s="68"/>
      <c r="H77" s="50">
        <v>0</v>
      </c>
      <c r="I77" s="68"/>
      <c r="J77" s="68">
        <v>0</v>
      </c>
      <c r="K77" s="68"/>
      <c r="L77" s="68">
        <v>0</v>
      </c>
      <c r="M77" s="68"/>
      <c r="N77" s="68">
        <v>0</v>
      </c>
      <c r="O77" s="68"/>
      <c r="P77" s="68">
        <v>0</v>
      </c>
      <c r="Q77" s="68"/>
      <c r="R77" s="68">
        <v>0</v>
      </c>
      <c r="S77" s="68"/>
      <c r="T77" s="68">
        <v>3809.93</v>
      </c>
      <c r="U77" s="68"/>
      <c r="V77" s="68">
        <v>-98.5</v>
      </c>
      <c r="W77" s="68"/>
      <c r="X77" s="68">
        <v>0</v>
      </c>
      <c r="Y77" s="68"/>
      <c r="Z77" s="68">
        <v>0</v>
      </c>
      <c r="AA77" s="51">
        <f t="shared" si="13"/>
        <v>0</v>
      </c>
      <c r="AB77" s="51">
        <f t="shared" si="14"/>
        <v>3711.43</v>
      </c>
      <c r="AC77" s="22"/>
      <c r="AD77" s="31">
        <f t="shared" si="15"/>
        <v>0</v>
      </c>
      <c r="AE77" s="31">
        <f t="shared" si="16"/>
        <v>3711.43</v>
      </c>
      <c r="AF77" s="17">
        <f t="shared" si="19"/>
        <v>0</v>
      </c>
      <c r="AG77" s="17">
        <f t="shared" si="20"/>
        <v>0</v>
      </c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61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</row>
    <row r="78" spans="1:123" s="19" customFormat="1" ht="18" customHeight="1" outlineLevel="1" x14ac:dyDescent="0.25">
      <c r="A78" s="48" t="s">
        <v>155</v>
      </c>
      <c r="B78" s="53"/>
      <c r="C78" s="49"/>
      <c r="D78" s="68">
        <v>0</v>
      </c>
      <c r="E78" s="68"/>
      <c r="F78" s="68">
        <v>0</v>
      </c>
      <c r="G78" s="68"/>
      <c r="H78" s="50">
        <v>0</v>
      </c>
      <c r="I78" s="68"/>
      <c r="J78" s="68">
        <v>0</v>
      </c>
      <c r="K78" s="68"/>
      <c r="L78" s="68">
        <v>0</v>
      </c>
      <c r="M78" s="68"/>
      <c r="N78" s="68">
        <v>0</v>
      </c>
      <c r="O78" s="68"/>
      <c r="P78" s="68">
        <v>0</v>
      </c>
      <c r="Q78" s="68"/>
      <c r="R78" s="68">
        <v>0</v>
      </c>
      <c r="S78" s="68"/>
      <c r="T78" s="68">
        <v>0</v>
      </c>
      <c r="U78" s="68"/>
      <c r="V78" s="68">
        <v>0</v>
      </c>
      <c r="W78" s="68"/>
      <c r="X78" s="68">
        <v>0</v>
      </c>
      <c r="Y78" s="68"/>
      <c r="Z78" s="68">
        <v>0</v>
      </c>
      <c r="AA78" s="51">
        <f t="shared" si="13"/>
        <v>0</v>
      </c>
      <c r="AB78" s="51">
        <f t="shared" si="14"/>
        <v>0</v>
      </c>
      <c r="AC78" s="22"/>
      <c r="AD78" s="31">
        <f t="shared" si="15"/>
        <v>0</v>
      </c>
      <c r="AE78" s="31">
        <f t="shared" si="16"/>
        <v>0</v>
      </c>
      <c r="AF78" s="17">
        <f t="shared" si="19"/>
        <v>0</v>
      </c>
      <c r="AG78" s="17">
        <f t="shared" si="20"/>
        <v>0</v>
      </c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61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</row>
    <row r="79" spans="1:123" s="19" customFormat="1" ht="18" customHeight="1" outlineLevel="1" x14ac:dyDescent="0.25">
      <c r="A79" s="48" t="s">
        <v>156</v>
      </c>
      <c r="B79" s="53"/>
      <c r="C79" s="49">
        <v>416.67</v>
      </c>
      <c r="D79" s="68">
        <v>0</v>
      </c>
      <c r="E79" s="68">
        <v>416.67</v>
      </c>
      <c r="F79" s="68">
        <v>0</v>
      </c>
      <c r="G79" s="68">
        <v>416.67</v>
      </c>
      <c r="H79" s="50">
        <v>0</v>
      </c>
      <c r="I79" s="68">
        <v>416.67</v>
      </c>
      <c r="J79" s="68">
        <v>0</v>
      </c>
      <c r="K79" s="68">
        <v>416.67</v>
      </c>
      <c r="L79" s="68">
        <v>0</v>
      </c>
      <c r="M79" s="68">
        <v>416.67</v>
      </c>
      <c r="N79" s="68">
        <v>0</v>
      </c>
      <c r="O79" s="68">
        <v>416.67</v>
      </c>
      <c r="P79" s="68">
        <v>0</v>
      </c>
      <c r="Q79" s="68">
        <v>416.67</v>
      </c>
      <c r="R79" s="68">
        <v>0</v>
      </c>
      <c r="S79" s="68">
        <v>416.67</v>
      </c>
      <c r="T79" s="68">
        <v>0</v>
      </c>
      <c r="U79" s="68">
        <v>416.67</v>
      </c>
      <c r="V79" s="68">
        <v>0</v>
      </c>
      <c r="W79" s="68">
        <v>416.67</v>
      </c>
      <c r="X79" s="68">
        <v>0</v>
      </c>
      <c r="Y79" s="68">
        <v>416.63</v>
      </c>
      <c r="Z79" s="68">
        <v>0</v>
      </c>
      <c r="AA79" s="51">
        <f t="shared" si="13"/>
        <v>5000</v>
      </c>
      <c r="AB79" s="51">
        <f t="shared" si="14"/>
        <v>0</v>
      </c>
      <c r="AC79" s="22"/>
      <c r="AD79" s="31">
        <f t="shared" si="15"/>
        <v>5000</v>
      </c>
      <c r="AE79" s="31">
        <f t="shared" si="16"/>
        <v>0</v>
      </c>
      <c r="AF79" s="17">
        <f t="shared" si="19"/>
        <v>0</v>
      </c>
      <c r="AG79" s="17">
        <f t="shared" si="20"/>
        <v>0</v>
      </c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61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</row>
    <row r="80" spans="1:123" s="19" customFormat="1" ht="18" customHeight="1" outlineLevel="1" x14ac:dyDescent="0.25">
      <c r="A80" s="48" t="s">
        <v>157</v>
      </c>
      <c r="B80" s="53"/>
      <c r="C80" s="49"/>
      <c r="D80" s="68">
        <v>0</v>
      </c>
      <c r="E80" s="68"/>
      <c r="F80" s="68">
        <v>0</v>
      </c>
      <c r="G80" s="68"/>
      <c r="H80" s="50">
        <v>168.14</v>
      </c>
      <c r="I80" s="68"/>
      <c r="J80" s="68">
        <v>0</v>
      </c>
      <c r="K80" s="68"/>
      <c r="L80" s="68">
        <v>0</v>
      </c>
      <c r="M80" s="68"/>
      <c r="N80" s="68">
        <v>0</v>
      </c>
      <c r="O80" s="68"/>
      <c r="P80" s="68">
        <v>0</v>
      </c>
      <c r="Q80" s="68"/>
      <c r="R80" s="68">
        <v>0</v>
      </c>
      <c r="S80" s="68"/>
      <c r="T80" s="68">
        <v>990.09</v>
      </c>
      <c r="U80" s="68"/>
      <c r="V80" s="68">
        <v>0</v>
      </c>
      <c r="W80" s="68"/>
      <c r="X80" s="68">
        <v>0</v>
      </c>
      <c r="Y80" s="68"/>
      <c r="Z80" s="68">
        <v>0</v>
      </c>
      <c r="AA80" s="51">
        <f t="shared" si="13"/>
        <v>0</v>
      </c>
      <c r="AB80" s="51">
        <f t="shared" si="14"/>
        <v>1158.23</v>
      </c>
      <c r="AC80" s="22"/>
      <c r="AD80" s="31">
        <f t="shared" si="15"/>
        <v>0</v>
      </c>
      <c r="AE80" s="31">
        <f t="shared" si="16"/>
        <v>1158.23</v>
      </c>
      <c r="AF80" s="17">
        <f t="shared" si="19"/>
        <v>0</v>
      </c>
      <c r="AG80" s="17">
        <f t="shared" si="20"/>
        <v>0</v>
      </c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61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</row>
    <row r="81" spans="1:123" s="19" customFormat="1" ht="18" customHeight="1" outlineLevel="1" x14ac:dyDescent="0.25">
      <c r="A81" s="48" t="s">
        <v>158</v>
      </c>
      <c r="B81" s="53"/>
      <c r="C81" s="49"/>
      <c r="D81" s="68">
        <v>0</v>
      </c>
      <c r="E81" s="68"/>
      <c r="F81" s="68">
        <v>0</v>
      </c>
      <c r="G81" s="68"/>
      <c r="H81" s="50">
        <v>0</v>
      </c>
      <c r="I81" s="68"/>
      <c r="J81" s="68">
        <v>0</v>
      </c>
      <c r="K81" s="68"/>
      <c r="L81" s="68">
        <v>0</v>
      </c>
      <c r="M81" s="68"/>
      <c r="N81" s="68">
        <v>0</v>
      </c>
      <c r="O81" s="68"/>
      <c r="P81" s="68">
        <v>0</v>
      </c>
      <c r="Q81" s="68"/>
      <c r="R81" s="68">
        <v>0</v>
      </c>
      <c r="S81" s="68"/>
      <c r="T81" s="68">
        <v>0</v>
      </c>
      <c r="U81" s="68"/>
      <c r="V81" s="68">
        <v>0</v>
      </c>
      <c r="W81" s="68"/>
      <c r="X81" s="68">
        <v>0</v>
      </c>
      <c r="Y81" s="68"/>
      <c r="Z81" s="68">
        <v>0</v>
      </c>
      <c r="AA81" s="51">
        <f t="shared" si="13"/>
        <v>0</v>
      </c>
      <c r="AB81" s="51">
        <f t="shared" si="14"/>
        <v>0</v>
      </c>
      <c r="AC81" s="22"/>
      <c r="AD81" s="31">
        <f t="shared" si="15"/>
        <v>0</v>
      </c>
      <c r="AE81" s="31">
        <f t="shared" si="16"/>
        <v>0</v>
      </c>
      <c r="AF81" s="17">
        <f t="shared" si="19"/>
        <v>0</v>
      </c>
      <c r="AG81" s="17">
        <f t="shared" si="20"/>
        <v>0</v>
      </c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61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</row>
    <row r="82" spans="1:123" s="19" customFormat="1" ht="18" customHeight="1" outlineLevel="1" x14ac:dyDescent="0.25">
      <c r="A82" s="48" t="s">
        <v>159</v>
      </c>
      <c r="B82" s="53"/>
      <c r="C82" s="49"/>
      <c r="D82" s="68">
        <v>0</v>
      </c>
      <c r="E82" s="68"/>
      <c r="F82" s="68">
        <v>0</v>
      </c>
      <c r="G82" s="68"/>
      <c r="H82" s="50">
        <v>0</v>
      </c>
      <c r="I82" s="68"/>
      <c r="J82" s="68">
        <v>0</v>
      </c>
      <c r="K82" s="68"/>
      <c r="L82" s="68">
        <v>0</v>
      </c>
      <c r="M82" s="68"/>
      <c r="N82" s="68">
        <v>0</v>
      </c>
      <c r="O82" s="68"/>
      <c r="P82" s="68">
        <v>0</v>
      </c>
      <c r="Q82" s="68"/>
      <c r="R82" s="68">
        <v>0</v>
      </c>
      <c r="S82" s="68"/>
      <c r="T82" s="68">
        <v>0</v>
      </c>
      <c r="U82" s="68"/>
      <c r="V82" s="68">
        <v>0</v>
      </c>
      <c r="W82" s="68"/>
      <c r="X82" s="68">
        <v>0</v>
      </c>
      <c r="Y82" s="68"/>
      <c r="Z82" s="68">
        <v>0</v>
      </c>
      <c r="AA82" s="51">
        <f t="shared" si="13"/>
        <v>0</v>
      </c>
      <c r="AB82" s="51">
        <f t="shared" si="14"/>
        <v>0</v>
      </c>
      <c r="AC82" s="22"/>
      <c r="AD82" s="31">
        <f t="shared" si="15"/>
        <v>0</v>
      </c>
      <c r="AE82" s="31">
        <f t="shared" si="16"/>
        <v>0</v>
      </c>
      <c r="AF82" s="17">
        <f t="shared" si="19"/>
        <v>0</v>
      </c>
      <c r="AG82" s="17">
        <f t="shared" si="20"/>
        <v>0</v>
      </c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61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</row>
    <row r="83" spans="1:123" s="19" customFormat="1" ht="18" customHeight="1" outlineLevel="1" x14ac:dyDescent="0.25">
      <c r="A83" s="48" t="s">
        <v>160</v>
      </c>
      <c r="B83" s="53"/>
      <c r="C83" s="49"/>
      <c r="D83" s="68">
        <v>0</v>
      </c>
      <c r="E83" s="68"/>
      <c r="F83" s="68">
        <v>0</v>
      </c>
      <c r="G83" s="68"/>
      <c r="H83" s="50">
        <v>0</v>
      </c>
      <c r="I83" s="68"/>
      <c r="J83" s="68">
        <v>0</v>
      </c>
      <c r="K83" s="68"/>
      <c r="L83" s="68">
        <v>0</v>
      </c>
      <c r="M83" s="68"/>
      <c r="N83" s="68">
        <v>0</v>
      </c>
      <c r="O83" s="68"/>
      <c r="P83" s="68">
        <v>0</v>
      </c>
      <c r="Q83" s="68"/>
      <c r="R83" s="68">
        <v>0</v>
      </c>
      <c r="S83" s="68"/>
      <c r="T83" s="68">
        <v>0</v>
      </c>
      <c r="U83" s="68"/>
      <c r="V83" s="68">
        <v>0</v>
      </c>
      <c r="W83" s="68"/>
      <c r="X83" s="68">
        <v>0</v>
      </c>
      <c r="Y83" s="68"/>
      <c r="Z83" s="68">
        <v>0</v>
      </c>
      <c r="AA83" s="51">
        <f t="shared" si="13"/>
        <v>0</v>
      </c>
      <c r="AB83" s="51">
        <f t="shared" si="14"/>
        <v>0</v>
      </c>
      <c r="AC83" s="22"/>
      <c r="AD83" s="31">
        <f t="shared" si="15"/>
        <v>0</v>
      </c>
      <c r="AE83" s="31">
        <f t="shared" si="16"/>
        <v>0</v>
      </c>
      <c r="AF83" s="17">
        <f t="shared" si="19"/>
        <v>0</v>
      </c>
      <c r="AG83" s="17">
        <f t="shared" si="20"/>
        <v>0</v>
      </c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61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</row>
    <row r="84" spans="1:123" s="19" customFormat="1" ht="18" customHeight="1" outlineLevel="1" x14ac:dyDescent="0.25">
      <c r="A84" s="48" t="s">
        <v>161</v>
      </c>
      <c r="B84" s="53"/>
      <c r="C84" s="49">
        <v>2800</v>
      </c>
      <c r="D84" s="68">
        <v>750.36</v>
      </c>
      <c r="E84" s="68">
        <v>2800</v>
      </c>
      <c r="F84" s="68">
        <v>1358.5</v>
      </c>
      <c r="G84" s="68">
        <v>2800</v>
      </c>
      <c r="H84" s="50">
        <v>1911.53</v>
      </c>
      <c r="I84" s="68">
        <v>2800</v>
      </c>
      <c r="J84" s="68">
        <v>2229.92</v>
      </c>
      <c r="K84" s="68">
        <v>2800</v>
      </c>
      <c r="L84" s="68">
        <v>2244.7800000000002</v>
      </c>
      <c r="M84" s="68">
        <v>2800</v>
      </c>
      <c r="N84" s="68">
        <v>1792.47</v>
      </c>
      <c r="O84" s="68">
        <v>2800</v>
      </c>
      <c r="P84" s="68">
        <v>2785.86</v>
      </c>
      <c r="Q84" s="68">
        <v>2800</v>
      </c>
      <c r="R84" s="68">
        <v>2180.33</v>
      </c>
      <c r="S84" s="68">
        <v>2800</v>
      </c>
      <c r="T84" s="68">
        <v>3936.49</v>
      </c>
      <c r="U84" s="68">
        <v>2800</v>
      </c>
      <c r="V84" s="68">
        <v>1965.66</v>
      </c>
      <c r="W84" s="68">
        <v>2800</v>
      </c>
      <c r="X84" s="68">
        <v>2259.29</v>
      </c>
      <c r="Y84" s="68">
        <v>2800</v>
      </c>
      <c r="Z84" s="68">
        <v>1922.71</v>
      </c>
      <c r="AA84" s="51">
        <f t="shared" si="13"/>
        <v>33600</v>
      </c>
      <c r="AB84" s="51">
        <f t="shared" si="14"/>
        <v>25337.899999999998</v>
      </c>
      <c r="AC84" s="22"/>
      <c r="AD84" s="31">
        <f t="shared" si="15"/>
        <v>33600</v>
      </c>
      <c r="AE84" s="31">
        <f t="shared" si="16"/>
        <v>25337.899999999998</v>
      </c>
      <c r="AF84" s="17">
        <f t="shared" si="19"/>
        <v>0</v>
      </c>
      <c r="AG84" s="17">
        <f t="shared" si="20"/>
        <v>0</v>
      </c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61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</row>
    <row r="85" spans="1:123" s="19" customFormat="1" ht="18" customHeight="1" outlineLevel="1" x14ac:dyDescent="0.25">
      <c r="A85" s="48" t="s">
        <v>162</v>
      </c>
      <c r="B85" s="53"/>
      <c r="C85" s="49"/>
      <c r="D85" s="68">
        <v>6000</v>
      </c>
      <c r="E85" s="68">
        <v>0</v>
      </c>
      <c r="F85" s="68">
        <v>6000</v>
      </c>
      <c r="G85" s="68">
        <v>0</v>
      </c>
      <c r="H85" s="50">
        <v>9677.42</v>
      </c>
      <c r="I85" s="68"/>
      <c r="J85" s="68">
        <v>10902.81</v>
      </c>
      <c r="K85" s="68">
        <v>0</v>
      </c>
      <c r="L85" s="68">
        <v>6094.79</v>
      </c>
      <c r="M85" s="68">
        <v>0</v>
      </c>
      <c r="N85" s="68">
        <v>6111.38</v>
      </c>
      <c r="O85" s="68">
        <v>0</v>
      </c>
      <c r="P85" s="68">
        <v>6117.27</v>
      </c>
      <c r="Q85" s="68">
        <v>0</v>
      </c>
      <c r="R85" s="68">
        <v>6117.27</v>
      </c>
      <c r="S85" s="68">
        <v>0</v>
      </c>
      <c r="T85" s="68">
        <v>8114.69</v>
      </c>
      <c r="U85" s="68">
        <v>0</v>
      </c>
      <c r="V85" s="68">
        <v>6117.27</v>
      </c>
      <c r="W85" s="68">
        <v>0</v>
      </c>
      <c r="X85" s="68">
        <v>6117.27</v>
      </c>
      <c r="Y85" s="68">
        <v>0</v>
      </c>
      <c r="Z85" s="68">
        <v>6117.28</v>
      </c>
      <c r="AA85" s="51">
        <f t="shared" si="13"/>
        <v>0</v>
      </c>
      <c r="AB85" s="51">
        <f t="shared" si="14"/>
        <v>83487.450000000012</v>
      </c>
      <c r="AC85" s="22"/>
      <c r="AD85" s="31">
        <f t="shared" si="15"/>
        <v>0</v>
      </c>
      <c r="AE85" s="31">
        <f t="shared" si="16"/>
        <v>83487.450000000012</v>
      </c>
      <c r="AF85" s="17">
        <f t="shared" si="19"/>
        <v>0</v>
      </c>
      <c r="AG85" s="17">
        <f t="shared" si="20"/>
        <v>0</v>
      </c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61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</row>
    <row r="86" spans="1:123" s="19" customFormat="1" ht="18" customHeight="1" outlineLevel="1" x14ac:dyDescent="0.25">
      <c r="A86" s="48" t="s">
        <v>163</v>
      </c>
      <c r="B86" s="53"/>
      <c r="C86" s="49"/>
      <c r="D86" s="68">
        <v>0</v>
      </c>
      <c r="E86" s="68"/>
      <c r="F86" s="68">
        <v>0</v>
      </c>
      <c r="G86" s="68"/>
      <c r="H86" s="50">
        <v>0</v>
      </c>
      <c r="I86" s="68"/>
      <c r="J86" s="68">
        <v>0</v>
      </c>
      <c r="K86" s="68"/>
      <c r="L86" s="68">
        <v>0</v>
      </c>
      <c r="M86" s="68"/>
      <c r="N86" s="68">
        <v>0</v>
      </c>
      <c r="O86" s="68"/>
      <c r="P86" s="68">
        <v>0</v>
      </c>
      <c r="Q86" s="68"/>
      <c r="R86" s="68">
        <v>0</v>
      </c>
      <c r="S86" s="68"/>
      <c r="T86" s="68">
        <v>0</v>
      </c>
      <c r="U86" s="68"/>
      <c r="V86" s="68">
        <v>0</v>
      </c>
      <c r="W86" s="68"/>
      <c r="X86" s="68">
        <v>0</v>
      </c>
      <c r="Y86" s="68"/>
      <c r="Z86" s="68">
        <v>0</v>
      </c>
      <c r="AA86" s="51">
        <f t="shared" si="13"/>
        <v>0</v>
      </c>
      <c r="AB86" s="51">
        <f t="shared" si="14"/>
        <v>0</v>
      </c>
      <c r="AC86" s="22"/>
      <c r="AD86" s="31">
        <f t="shared" si="15"/>
        <v>0</v>
      </c>
      <c r="AE86" s="31">
        <f t="shared" si="16"/>
        <v>0</v>
      </c>
      <c r="AF86" s="17">
        <f t="shared" si="19"/>
        <v>0</v>
      </c>
      <c r="AG86" s="17">
        <f t="shared" si="20"/>
        <v>0</v>
      </c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61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</row>
    <row r="87" spans="1:123" s="19" customFormat="1" ht="18" customHeight="1" outlineLevel="1" x14ac:dyDescent="0.25">
      <c r="A87" s="48" t="s">
        <v>164</v>
      </c>
      <c r="B87" s="53"/>
      <c r="C87" s="49"/>
      <c r="D87" s="68">
        <v>745</v>
      </c>
      <c r="E87" s="68"/>
      <c r="F87" s="68">
        <v>-42.17</v>
      </c>
      <c r="G87" s="68">
        <v>2000</v>
      </c>
      <c r="H87" s="50">
        <v>0</v>
      </c>
      <c r="I87" s="68"/>
      <c r="J87" s="68">
        <v>0</v>
      </c>
      <c r="K87" s="68"/>
      <c r="L87" s="68">
        <v>0</v>
      </c>
      <c r="M87" s="68"/>
      <c r="N87" s="68">
        <v>0</v>
      </c>
      <c r="O87" s="68"/>
      <c r="P87" s="68">
        <v>0</v>
      </c>
      <c r="Q87" s="68"/>
      <c r="R87" s="68">
        <v>0</v>
      </c>
      <c r="S87" s="68"/>
      <c r="T87" s="68">
        <v>0</v>
      </c>
      <c r="U87" s="68"/>
      <c r="V87" s="68">
        <v>0</v>
      </c>
      <c r="W87" s="68"/>
      <c r="X87" s="68">
        <v>0</v>
      </c>
      <c r="Y87" s="68"/>
      <c r="Z87" s="68">
        <v>0</v>
      </c>
      <c r="AA87" s="51">
        <f t="shared" si="13"/>
        <v>2000</v>
      </c>
      <c r="AB87" s="51">
        <f t="shared" si="14"/>
        <v>702.83</v>
      </c>
      <c r="AC87" s="22"/>
      <c r="AD87" s="31">
        <f t="shared" si="15"/>
        <v>2000</v>
      </c>
      <c r="AE87" s="31">
        <f t="shared" si="16"/>
        <v>702.83</v>
      </c>
      <c r="AF87" s="17">
        <f t="shared" si="19"/>
        <v>0</v>
      </c>
      <c r="AG87" s="17">
        <f t="shared" si="20"/>
        <v>0</v>
      </c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61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</row>
    <row r="88" spans="1:123" s="19" customFormat="1" ht="18" customHeight="1" outlineLevel="1" x14ac:dyDescent="0.25">
      <c r="A88" s="48" t="s">
        <v>165</v>
      </c>
      <c r="B88" s="53"/>
      <c r="C88" s="49"/>
      <c r="D88" s="68">
        <v>0</v>
      </c>
      <c r="E88" s="68"/>
      <c r="F88" s="68">
        <v>0</v>
      </c>
      <c r="G88" s="68"/>
      <c r="H88" s="50">
        <v>0</v>
      </c>
      <c r="I88" s="68"/>
      <c r="J88" s="68">
        <v>0</v>
      </c>
      <c r="K88" s="68"/>
      <c r="L88" s="68">
        <v>0</v>
      </c>
      <c r="M88" s="68"/>
      <c r="N88" s="68">
        <v>0</v>
      </c>
      <c r="O88" s="68"/>
      <c r="P88" s="68">
        <v>0</v>
      </c>
      <c r="Q88" s="68"/>
      <c r="R88" s="68">
        <v>0</v>
      </c>
      <c r="S88" s="68"/>
      <c r="T88" s="68">
        <v>0</v>
      </c>
      <c r="U88" s="68"/>
      <c r="V88" s="68">
        <v>0</v>
      </c>
      <c r="W88" s="68"/>
      <c r="X88" s="68">
        <v>0</v>
      </c>
      <c r="Y88" s="68"/>
      <c r="Z88" s="68">
        <v>0</v>
      </c>
      <c r="AA88" s="51">
        <f t="shared" si="13"/>
        <v>0</v>
      </c>
      <c r="AB88" s="51">
        <f t="shared" si="14"/>
        <v>0</v>
      </c>
      <c r="AC88" s="22"/>
      <c r="AD88" s="31">
        <f t="shared" si="15"/>
        <v>0</v>
      </c>
      <c r="AE88" s="31">
        <f t="shared" si="16"/>
        <v>0</v>
      </c>
      <c r="AF88" s="17">
        <f t="shared" si="19"/>
        <v>0</v>
      </c>
      <c r="AG88" s="17">
        <f t="shared" si="20"/>
        <v>0</v>
      </c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61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</row>
    <row r="89" spans="1:123" s="19" customFormat="1" ht="18" customHeight="1" outlineLevel="1" x14ac:dyDescent="0.25">
      <c r="A89" s="48" t="s">
        <v>166</v>
      </c>
      <c r="B89" s="53"/>
      <c r="C89" s="49"/>
      <c r="D89" s="68">
        <v>0</v>
      </c>
      <c r="E89" s="68"/>
      <c r="F89" s="68">
        <v>0</v>
      </c>
      <c r="G89" s="68"/>
      <c r="H89" s="50">
        <v>0</v>
      </c>
      <c r="I89" s="68"/>
      <c r="J89" s="68">
        <v>0</v>
      </c>
      <c r="K89" s="68"/>
      <c r="L89" s="68">
        <v>0</v>
      </c>
      <c r="M89" s="68"/>
      <c r="N89" s="68">
        <v>0</v>
      </c>
      <c r="O89" s="68"/>
      <c r="P89" s="68">
        <v>0</v>
      </c>
      <c r="Q89" s="68"/>
      <c r="R89" s="68">
        <v>0</v>
      </c>
      <c r="S89" s="68"/>
      <c r="T89" s="68">
        <v>0</v>
      </c>
      <c r="U89" s="68"/>
      <c r="V89" s="68">
        <v>0</v>
      </c>
      <c r="W89" s="68"/>
      <c r="X89" s="68">
        <v>0</v>
      </c>
      <c r="Y89" s="68"/>
      <c r="Z89" s="68">
        <v>0</v>
      </c>
      <c r="AA89" s="51">
        <f t="shared" si="13"/>
        <v>0</v>
      </c>
      <c r="AB89" s="51">
        <f t="shared" si="14"/>
        <v>0</v>
      </c>
      <c r="AC89" s="22"/>
      <c r="AD89" s="31">
        <f t="shared" si="15"/>
        <v>0</v>
      </c>
      <c r="AE89" s="31">
        <f t="shared" si="16"/>
        <v>0</v>
      </c>
      <c r="AF89" s="17">
        <f t="shared" si="19"/>
        <v>0</v>
      </c>
      <c r="AG89" s="17">
        <f t="shared" si="20"/>
        <v>0</v>
      </c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61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</row>
    <row r="90" spans="1:123" s="19" customFormat="1" ht="18" customHeight="1" outlineLevel="1" x14ac:dyDescent="0.25">
      <c r="A90" s="48" t="s">
        <v>167</v>
      </c>
      <c r="B90" s="53"/>
      <c r="C90" s="49"/>
      <c r="D90" s="68">
        <v>0</v>
      </c>
      <c r="E90" s="68"/>
      <c r="F90" s="68">
        <v>0</v>
      </c>
      <c r="G90" s="68"/>
      <c r="H90" s="50">
        <v>0</v>
      </c>
      <c r="I90" s="68"/>
      <c r="J90" s="68">
        <v>0</v>
      </c>
      <c r="K90" s="68"/>
      <c r="L90" s="68">
        <v>0</v>
      </c>
      <c r="M90" s="68"/>
      <c r="N90" s="68">
        <v>0</v>
      </c>
      <c r="O90" s="68"/>
      <c r="P90" s="68">
        <v>0</v>
      </c>
      <c r="Q90" s="68"/>
      <c r="R90" s="68">
        <v>0</v>
      </c>
      <c r="S90" s="68"/>
      <c r="T90" s="68">
        <v>0</v>
      </c>
      <c r="U90" s="68"/>
      <c r="V90" s="68">
        <v>0</v>
      </c>
      <c r="W90" s="68"/>
      <c r="X90" s="68">
        <v>0</v>
      </c>
      <c r="Y90" s="68"/>
      <c r="Z90" s="68">
        <v>0</v>
      </c>
      <c r="AA90" s="51">
        <f t="shared" si="13"/>
        <v>0</v>
      </c>
      <c r="AB90" s="51">
        <f t="shared" si="14"/>
        <v>0</v>
      </c>
      <c r="AC90" s="22"/>
      <c r="AD90" s="31">
        <f t="shared" si="15"/>
        <v>0</v>
      </c>
      <c r="AE90" s="31">
        <f t="shared" si="16"/>
        <v>0</v>
      </c>
      <c r="AF90" s="17">
        <f t="shared" si="19"/>
        <v>0</v>
      </c>
      <c r="AG90" s="17">
        <f t="shared" si="20"/>
        <v>0</v>
      </c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61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</row>
    <row r="91" spans="1:123" s="19" customFormat="1" ht="18" customHeight="1" outlineLevel="1" x14ac:dyDescent="0.25">
      <c r="A91" s="48" t="s">
        <v>168</v>
      </c>
      <c r="B91" s="53"/>
      <c r="C91" s="49"/>
      <c r="D91" s="68">
        <v>0</v>
      </c>
      <c r="E91" s="68"/>
      <c r="F91" s="68">
        <v>0</v>
      </c>
      <c r="G91" s="68"/>
      <c r="H91" s="50">
        <v>0</v>
      </c>
      <c r="I91" s="68"/>
      <c r="J91" s="68">
        <v>0</v>
      </c>
      <c r="K91" s="68"/>
      <c r="L91" s="68">
        <v>0</v>
      </c>
      <c r="M91" s="68"/>
      <c r="N91" s="68">
        <v>0</v>
      </c>
      <c r="O91" s="68"/>
      <c r="P91" s="68">
        <v>0</v>
      </c>
      <c r="Q91" s="68"/>
      <c r="R91" s="68">
        <v>0</v>
      </c>
      <c r="S91" s="68"/>
      <c r="T91" s="68">
        <v>0</v>
      </c>
      <c r="U91" s="68"/>
      <c r="V91" s="68">
        <v>0</v>
      </c>
      <c r="W91" s="68"/>
      <c r="X91" s="68">
        <v>0</v>
      </c>
      <c r="Y91" s="68"/>
      <c r="Z91" s="68">
        <v>0</v>
      </c>
      <c r="AA91" s="51">
        <f t="shared" si="13"/>
        <v>0</v>
      </c>
      <c r="AB91" s="51">
        <f t="shared" si="14"/>
        <v>0</v>
      </c>
      <c r="AC91" s="22"/>
      <c r="AD91" s="31">
        <f t="shared" si="15"/>
        <v>0</v>
      </c>
      <c r="AE91" s="31">
        <f t="shared" si="16"/>
        <v>0</v>
      </c>
      <c r="AF91" s="17">
        <f t="shared" si="19"/>
        <v>0</v>
      </c>
      <c r="AG91" s="17">
        <f t="shared" si="20"/>
        <v>0</v>
      </c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61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</row>
    <row r="92" spans="1:123" s="19" customFormat="1" ht="18" customHeight="1" outlineLevel="1" x14ac:dyDescent="0.25">
      <c r="A92" s="48" t="s">
        <v>169</v>
      </c>
      <c r="B92" s="53"/>
      <c r="C92" s="49"/>
      <c r="D92" s="68">
        <v>26.27</v>
      </c>
      <c r="E92" s="68"/>
      <c r="F92" s="68">
        <v>0</v>
      </c>
      <c r="G92" s="68"/>
      <c r="H92" s="50">
        <v>35.31</v>
      </c>
      <c r="I92" s="68"/>
      <c r="J92" s="68">
        <v>29.47</v>
      </c>
      <c r="K92" s="68"/>
      <c r="L92" s="68">
        <v>0</v>
      </c>
      <c r="M92" s="68"/>
      <c r="N92" s="68">
        <v>0</v>
      </c>
      <c r="O92" s="68"/>
      <c r="P92" s="68">
        <v>0</v>
      </c>
      <c r="Q92" s="68"/>
      <c r="R92" s="68">
        <v>0</v>
      </c>
      <c r="S92" s="68"/>
      <c r="T92" s="68">
        <v>126.09</v>
      </c>
      <c r="U92" s="68"/>
      <c r="V92" s="68">
        <v>0</v>
      </c>
      <c r="W92" s="68"/>
      <c r="X92" s="68">
        <v>0</v>
      </c>
      <c r="Y92" s="68"/>
      <c r="Z92" s="68">
        <v>0</v>
      </c>
      <c r="AA92" s="51">
        <f t="shared" ref="AA92:AA155" si="25">C92+E92+G92+I92+K92+M92+O92+Q92+S92+U92+W92+Y92</f>
        <v>0</v>
      </c>
      <c r="AB92" s="51">
        <f t="shared" ref="AB92:AB101" si="26">D92+F92+H92+J92+L92+N92+P92+R92+T92+V92+X92+Z92</f>
        <v>217.14</v>
      </c>
      <c r="AC92" s="22"/>
      <c r="AD92" s="31">
        <f t="shared" ref="AD92:AD155" si="27">SUMIF($C$5:$Z$5,$AD$5,C92:Z92)</f>
        <v>0</v>
      </c>
      <c r="AE92" s="31">
        <f t="shared" ref="AE92:AE155" si="28">SUMIF($C$5:$Z$5,$AD$5,D92:AA92)</f>
        <v>217.14</v>
      </c>
      <c r="AF92" s="17">
        <f t="shared" si="19"/>
        <v>0</v>
      </c>
      <c r="AG92" s="17">
        <f t="shared" si="20"/>
        <v>0</v>
      </c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61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</row>
    <row r="93" spans="1:123" s="19" customFormat="1" ht="18" customHeight="1" outlineLevel="1" x14ac:dyDescent="0.25">
      <c r="A93" s="48" t="s">
        <v>170</v>
      </c>
      <c r="B93" s="53"/>
      <c r="C93" s="49"/>
      <c r="D93" s="68">
        <v>0</v>
      </c>
      <c r="E93" s="68"/>
      <c r="F93" s="68">
        <v>0</v>
      </c>
      <c r="G93" s="68"/>
      <c r="H93" s="50">
        <v>0</v>
      </c>
      <c r="I93" s="68"/>
      <c r="J93" s="68">
        <v>0</v>
      </c>
      <c r="K93" s="68"/>
      <c r="L93" s="68">
        <v>0</v>
      </c>
      <c r="M93" s="68"/>
      <c r="N93" s="68">
        <v>0</v>
      </c>
      <c r="O93" s="68"/>
      <c r="P93" s="68">
        <v>0</v>
      </c>
      <c r="Q93" s="68"/>
      <c r="R93" s="68">
        <v>0</v>
      </c>
      <c r="S93" s="68"/>
      <c r="T93" s="68">
        <v>0</v>
      </c>
      <c r="U93" s="68"/>
      <c r="V93" s="68">
        <v>0</v>
      </c>
      <c r="W93" s="68"/>
      <c r="X93" s="68">
        <v>0</v>
      </c>
      <c r="Y93" s="68"/>
      <c r="Z93" s="68">
        <v>0</v>
      </c>
      <c r="AA93" s="51">
        <f t="shared" si="25"/>
        <v>0</v>
      </c>
      <c r="AB93" s="51">
        <f t="shared" si="26"/>
        <v>0</v>
      </c>
      <c r="AC93" s="22"/>
      <c r="AD93" s="31">
        <f t="shared" si="27"/>
        <v>0</v>
      </c>
      <c r="AE93" s="31">
        <f t="shared" si="28"/>
        <v>0</v>
      </c>
      <c r="AF93" s="17">
        <f t="shared" si="19"/>
        <v>0</v>
      </c>
      <c r="AG93" s="17">
        <f t="shared" si="20"/>
        <v>0</v>
      </c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61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</row>
    <row r="94" spans="1:123" s="19" customFormat="1" ht="18" customHeight="1" outlineLevel="1" x14ac:dyDescent="0.25">
      <c r="A94" s="48" t="s">
        <v>171</v>
      </c>
      <c r="B94" s="53"/>
      <c r="C94" s="49"/>
      <c r="D94" s="68">
        <v>0</v>
      </c>
      <c r="E94" s="68"/>
      <c r="F94" s="68">
        <v>0</v>
      </c>
      <c r="G94" s="68"/>
      <c r="H94" s="50">
        <v>0</v>
      </c>
      <c r="I94" s="68"/>
      <c r="J94" s="68">
        <v>0</v>
      </c>
      <c r="K94" s="68"/>
      <c r="L94" s="68">
        <v>0</v>
      </c>
      <c r="M94" s="68"/>
      <c r="N94" s="68">
        <v>0</v>
      </c>
      <c r="O94" s="68"/>
      <c r="P94" s="68">
        <v>0</v>
      </c>
      <c r="Q94" s="68"/>
      <c r="R94" s="68">
        <v>0</v>
      </c>
      <c r="S94" s="68"/>
      <c r="T94" s="68">
        <v>0</v>
      </c>
      <c r="U94" s="68"/>
      <c r="V94" s="68">
        <v>0</v>
      </c>
      <c r="W94" s="68"/>
      <c r="X94" s="68">
        <v>0</v>
      </c>
      <c r="Y94" s="68"/>
      <c r="Z94" s="68">
        <v>0</v>
      </c>
      <c r="AA94" s="51">
        <f t="shared" si="25"/>
        <v>0</v>
      </c>
      <c r="AB94" s="51">
        <f t="shared" si="26"/>
        <v>0</v>
      </c>
      <c r="AC94" s="22"/>
      <c r="AD94" s="31">
        <f t="shared" si="27"/>
        <v>0</v>
      </c>
      <c r="AE94" s="31">
        <f t="shared" si="28"/>
        <v>0</v>
      </c>
      <c r="AF94" s="17">
        <f t="shared" ref="AF94:AF157" si="29">AA94-AD94</f>
        <v>0</v>
      </c>
      <c r="AG94" s="17">
        <f t="shared" ref="AG94:AG157" si="30">AB94-AE94</f>
        <v>0</v>
      </c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61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</row>
    <row r="95" spans="1:123" s="19" customFormat="1" ht="18" customHeight="1" outlineLevel="1" x14ac:dyDescent="0.25">
      <c r="A95" s="48" t="s">
        <v>172</v>
      </c>
      <c r="B95" s="53"/>
      <c r="C95" s="49"/>
      <c r="D95" s="68">
        <v>0</v>
      </c>
      <c r="E95" s="68"/>
      <c r="F95" s="68">
        <v>0</v>
      </c>
      <c r="G95" s="68"/>
      <c r="H95" s="50">
        <v>0</v>
      </c>
      <c r="I95" s="68"/>
      <c r="J95" s="68">
        <v>0</v>
      </c>
      <c r="K95" s="68"/>
      <c r="L95" s="68">
        <v>0</v>
      </c>
      <c r="M95" s="68"/>
      <c r="N95" s="68">
        <v>0</v>
      </c>
      <c r="O95" s="68"/>
      <c r="P95" s="68">
        <v>0</v>
      </c>
      <c r="Q95" s="68"/>
      <c r="R95" s="68">
        <v>0</v>
      </c>
      <c r="S95" s="68"/>
      <c r="T95" s="68">
        <v>0</v>
      </c>
      <c r="U95" s="68"/>
      <c r="V95" s="68">
        <v>0</v>
      </c>
      <c r="W95" s="68"/>
      <c r="X95" s="68">
        <v>0</v>
      </c>
      <c r="Y95" s="68"/>
      <c r="Z95" s="68">
        <v>0</v>
      </c>
      <c r="AA95" s="51">
        <f t="shared" si="25"/>
        <v>0</v>
      </c>
      <c r="AB95" s="51">
        <f t="shared" si="26"/>
        <v>0</v>
      </c>
      <c r="AC95" s="22"/>
      <c r="AD95" s="31">
        <f t="shared" si="27"/>
        <v>0</v>
      </c>
      <c r="AE95" s="31">
        <f t="shared" si="28"/>
        <v>0</v>
      </c>
      <c r="AF95" s="17">
        <f t="shared" si="29"/>
        <v>0</v>
      </c>
      <c r="AG95" s="17">
        <f t="shared" si="30"/>
        <v>0</v>
      </c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61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</row>
    <row r="96" spans="1:123" s="19" customFormat="1" ht="18" customHeight="1" outlineLevel="1" x14ac:dyDescent="0.25">
      <c r="A96" s="48" t="s">
        <v>173</v>
      </c>
      <c r="B96" s="53"/>
      <c r="C96" s="49"/>
      <c r="D96" s="68">
        <v>0</v>
      </c>
      <c r="E96" s="68"/>
      <c r="F96" s="68">
        <v>0</v>
      </c>
      <c r="G96" s="68"/>
      <c r="H96" s="50">
        <v>0</v>
      </c>
      <c r="I96" s="68"/>
      <c r="J96" s="68">
        <v>0</v>
      </c>
      <c r="K96" s="68"/>
      <c r="L96" s="68">
        <v>0</v>
      </c>
      <c r="M96" s="68"/>
      <c r="N96" s="68">
        <v>0</v>
      </c>
      <c r="O96" s="68"/>
      <c r="P96" s="68">
        <v>0</v>
      </c>
      <c r="Q96" s="68"/>
      <c r="R96" s="68">
        <v>0</v>
      </c>
      <c r="S96" s="68"/>
      <c r="T96" s="68">
        <v>0</v>
      </c>
      <c r="U96" s="68"/>
      <c r="V96" s="68">
        <v>0</v>
      </c>
      <c r="W96" s="68"/>
      <c r="X96" s="68">
        <v>0</v>
      </c>
      <c r="Y96" s="68"/>
      <c r="Z96" s="68">
        <v>0</v>
      </c>
      <c r="AA96" s="51">
        <f t="shared" si="25"/>
        <v>0</v>
      </c>
      <c r="AB96" s="51">
        <f t="shared" si="26"/>
        <v>0</v>
      </c>
      <c r="AC96" s="22"/>
      <c r="AD96" s="31">
        <f t="shared" si="27"/>
        <v>0</v>
      </c>
      <c r="AE96" s="31">
        <f t="shared" si="28"/>
        <v>0</v>
      </c>
      <c r="AF96" s="17">
        <f t="shared" si="29"/>
        <v>0</v>
      </c>
      <c r="AG96" s="17">
        <f t="shared" si="30"/>
        <v>0</v>
      </c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61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</row>
    <row r="97" spans="1:123" s="19" customFormat="1" ht="18" customHeight="1" outlineLevel="1" x14ac:dyDescent="0.25">
      <c r="A97" s="48" t="s">
        <v>174</v>
      </c>
      <c r="B97" s="53"/>
      <c r="C97" s="49"/>
      <c r="D97" s="68">
        <v>0</v>
      </c>
      <c r="E97" s="68"/>
      <c r="F97" s="68">
        <v>0</v>
      </c>
      <c r="G97" s="68"/>
      <c r="H97" s="50">
        <v>0</v>
      </c>
      <c r="I97" s="68"/>
      <c r="J97" s="68">
        <v>0</v>
      </c>
      <c r="K97" s="68"/>
      <c r="L97" s="68">
        <v>0</v>
      </c>
      <c r="M97" s="68"/>
      <c r="N97" s="68">
        <v>0</v>
      </c>
      <c r="O97" s="68"/>
      <c r="P97" s="68">
        <v>0</v>
      </c>
      <c r="Q97" s="68"/>
      <c r="R97" s="68">
        <v>0</v>
      </c>
      <c r="S97" s="68"/>
      <c r="T97" s="68">
        <v>0</v>
      </c>
      <c r="U97" s="68"/>
      <c r="V97" s="68">
        <v>0</v>
      </c>
      <c r="W97" s="68"/>
      <c r="X97" s="68">
        <v>0</v>
      </c>
      <c r="Y97" s="68"/>
      <c r="Z97" s="68">
        <v>0</v>
      </c>
      <c r="AA97" s="51">
        <f t="shared" si="25"/>
        <v>0</v>
      </c>
      <c r="AB97" s="51">
        <f t="shared" si="26"/>
        <v>0</v>
      </c>
      <c r="AC97" s="22"/>
      <c r="AD97" s="31">
        <f t="shared" si="27"/>
        <v>0</v>
      </c>
      <c r="AE97" s="31">
        <f t="shared" si="28"/>
        <v>0</v>
      </c>
      <c r="AF97" s="17">
        <f t="shared" si="29"/>
        <v>0</v>
      </c>
      <c r="AG97" s="17">
        <f t="shared" si="30"/>
        <v>0</v>
      </c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61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</row>
    <row r="98" spans="1:123" s="19" customFormat="1" ht="18" customHeight="1" outlineLevel="1" x14ac:dyDescent="0.25">
      <c r="A98" s="48" t="s">
        <v>175</v>
      </c>
      <c r="B98" s="53"/>
      <c r="C98" s="49"/>
      <c r="D98" s="68">
        <v>0</v>
      </c>
      <c r="E98" s="68"/>
      <c r="F98" s="68">
        <v>0</v>
      </c>
      <c r="G98" s="68"/>
      <c r="H98" s="50">
        <v>0</v>
      </c>
      <c r="I98" s="68"/>
      <c r="J98" s="68">
        <v>0</v>
      </c>
      <c r="K98" s="68"/>
      <c r="L98" s="68">
        <v>0</v>
      </c>
      <c r="M98" s="68"/>
      <c r="N98" s="68">
        <v>0</v>
      </c>
      <c r="O98" s="68"/>
      <c r="P98" s="68">
        <v>0</v>
      </c>
      <c r="Q98" s="68"/>
      <c r="R98" s="68">
        <v>0</v>
      </c>
      <c r="S98" s="68"/>
      <c r="T98" s="68">
        <v>0</v>
      </c>
      <c r="U98" s="68"/>
      <c r="V98" s="68">
        <v>0</v>
      </c>
      <c r="W98" s="68"/>
      <c r="X98" s="68">
        <v>0</v>
      </c>
      <c r="Y98" s="68"/>
      <c r="Z98" s="68">
        <v>0</v>
      </c>
      <c r="AA98" s="51">
        <f t="shared" si="25"/>
        <v>0</v>
      </c>
      <c r="AB98" s="51">
        <f t="shared" si="26"/>
        <v>0</v>
      </c>
      <c r="AC98" s="22"/>
      <c r="AD98" s="31">
        <f t="shared" si="27"/>
        <v>0</v>
      </c>
      <c r="AE98" s="31">
        <f t="shared" si="28"/>
        <v>0</v>
      </c>
      <c r="AF98" s="17">
        <f t="shared" si="29"/>
        <v>0</v>
      </c>
      <c r="AG98" s="17">
        <f t="shared" si="30"/>
        <v>0</v>
      </c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61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</row>
    <row r="99" spans="1:123" s="19" customFormat="1" ht="18" customHeight="1" outlineLevel="1" x14ac:dyDescent="0.25">
      <c r="A99" s="48" t="s">
        <v>176</v>
      </c>
      <c r="B99" s="53"/>
      <c r="C99" s="49"/>
      <c r="D99" s="68">
        <v>0</v>
      </c>
      <c r="E99" s="68"/>
      <c r="F99" s="68">
        <v>0</v>
      </c>
      <c r="G99" s="68"/>
      <c r="H99" s="50">
        <v>0</v>
      </c>
      <c r="I99" s="68"/>
      <c r="J99" s="68">
        <v>0</v>
      </c>
      <c r="K99" s="68"/>
      <c r="L99" s="68">
        <v>0</v>
      </c>
      <c r="M99" s="68"/>
      <c r="N99" s="68">
        <v>0</v>
      </c>
      <c r="O99" s="68"/>
      <c r="P99" s="68">
        <v>0</v>
      </c>
      <c r="Q99" s="68"/>
      <c r="R99" s="68">
        <v>0</v>
      </c>
      <c r="S99" s="68"/>
      <c r="T99" s="68">
        <v>0</v>
      </c>
      <c r="U99" s="68"/>
      <c r="V99" s="68">
        <v>0</v>
      </c>
      <c r="W99" s="68"/>
      <c r="X99" s="68">
        <v>0</v>
      </c>
      <c r="Y99" s="68"/>
      <c r="Z99" s="68">
        <v>0</v>
      </c>
      <c r="AA99" s="51">
        <f t="shared" si="25"/>
        <v>0</v>
      </c>
      <c r="AB99" s="51">
        <f t="shared" si="26"/>
        <v>0</v>
      </c>
      <c r="AC99" s="22"/>
      <c r="AD99" s="31">
        <f t="shared" si="27"/>
        <v>0</v>
      </c>
      <c r="AE99" s="31">
        <f t="shared" si="28"/>
        <v>0</v>
      </c>
      <c r="AF99" s="17">
        <f t="shared" si="29"/>
        <v>0</v>
      </c>
      <c r="AG99" s="17">
        <f t="shared" si="30"/>
        <v>0</v>
      </c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61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</row>
    <row r="100" spans="1:123" s="19" customFormat="1" ht="18" customHeight="1" outlineLevel="1" x14ac:dyDescent="0.25">
      <c r="A100" s="48" t="s">
        <v>177</v>
      </c>
      <c r="B100" s="53"/>
      <c r="C100" s="49"/>
      <c r="D100" s="68">
        <v>0</v>
      </c>
      <c r="E100" s="68"/>
      <c r="F100" s="68">
        <v>0</v>
      </c>
      <c r="G100" s="68"/>
      <c r="H100" s="50">
        <v>0</v>
      </c>
      <c r="I100" s="68"/>
      <c r="J100" s="68">
        <v>0</v>
      </c>
      <c r="K100" s="68"/>
      <c r="L100" s="68">
        <v>0</v>
      </c>
      <c r="M100" s="68"/>
      <c r="N100" s="68">
        <v>0</v>
      </c>
      <c r="O100" s="68"/>
      <c r="P100" s="68">
        <v>0</v>
      </c>
      <c r="Q100" s="68"/>
      <c r="R100" s="68">
        <v>0</v>
      </c>
      <c r="S100" s="68"/>
      <c r="T100" s="68">
        <v>0</v>
      </c>
      <c r="U100" s="68"/>
      <c r="V100" s="68">
        <v>0</v>
      </c>
      <c r="W100" s="68"/>
      <c r="X100" s="68">
        <v>0</v>
      </c>
      <c r="Y100" s="68"/>
      <c r="Z100" s="68">
        <v>0</v>
      </c>
      <c r="AA100" s="51">
        <f t="shared" si="25"/>
        <v>0</v>
      </c>
      <c r="AB100" s="51">
        <f t="shared" si="26"/>
        <v>0</v>
      </c>
      <c r="AC100" s="22"/>
      <c r="AD100" s="31">
        <f t="shared" si="27"/>
        <v>0</v>
      </c>
      <c r="AE100" s="31">
        <f t="shared" si="28"/>
        <v>0</v>
      </c>
      <c r="AF100" s="17">
        <f t="shared" si="29"/>
        <v>0</v>
      </c>
      <c r="AG100" s="17">
        <f t="shared" si="30"/>
        <v>0</v>
      </c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61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</row>
    <row r="101" spans="1:123" s="19" customFormat="1" ht="18" customHeight="1" outlineLevel="1" x14ac:dyDescent="0.25">
      <c r="A101" s="48" t="s">
        <v>178</v>
      </c>
      <c r="B101" s="53"/>
      <c r="C101" s="49"/>
      <c r="D101" s="68">
        <v>0</v>
      </c>
      <c r="E101" s="68"/>
      <c r="F101" s="68">
        <v>0</v>
      </c>
      <c r="G101" s="68"/>
      <c r="H101" s="50">
        <v>0</v>
      </c>
      <c r="I101" s="68"/>
      <c r="J101" s="68">
        <v>0</v>
      </c>
      <c r="K101" s="68"/>
      <c r="L101" s="68">
        <v>0</v>
      </c>
      <c r="M101" s="68"/>
      <c r="N101" s="68">
        <v>0</v>
      </c>
      <c r="O101" s="68"/>
      <c r="P101" s="68">
        <v>0</v>
      </c>
      <c r="Q101" s="68"/>
      <c r="R101" s="68">
        <v>0</v>
      </c>
      <c r="S101" s="68"/>
      <c r="T101" s="68">
        <v>0</v>
      </c>
      <c r="U101" s="68"/>
      <c r="V101" s="68">
        <v>0</v>
      </c>
      <c r="W101" s="68"/>
      <c r="X101" s="68">
        <v>0</v>
      </c>
      <c r="Y101" s="68"/>
      <c r="Z101" s="68">
        <v>0</v>
      </c>
      <c r="AA101" s="51">
        <f t="shared" si="25"/>
        <v>0</v>
      </c>
      <c r="AB101" s="51">
        <f t="shared" si="26"/>
        <v>0</v>
      </c>
      <c r="AC101" s="22"/>
      <c r="AD101" s="31">
        <f t="shared" si="27"/>
        <v>0</v>
      </c>
      <c r="AE101" s="31">
        <f t="shared" si="28"/>
        <v>0</v>
      </c>
      <c r="AF101" s="17">
        <f t="shared" si="29"/>
        <v>0</v>
      </c>
      <c r="AG101" s="17">
        <f t="shared" si="30"/>
        <v>0</v>
      </c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61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</row>
    <row r="102" spans="1:123" s="17" customFormat="1" ht="18" customHeight="1" x14ac:dyDescent="0.25">
      <c r="A102" s="52" t="s">
        <v>179</v>
      </c>
      <c r="B102" s="45">
        <v>7</v>
      </c>
      <c r="C102" s="69"/>
      <c r="D102" s="65"/>
      <c r="E102" s="65"/>
      <c r="F102" s="65">
        <f>SUM(F103:F175)-F103-F106-F115-F126-F138-F172</f>
        <v>0</v>
      </c>
      <c r="G102" s="65"/>
      <c r="H102" s="65">
        <f>SUM(H103:H175)-H103-H106-H115-H126-H138-H172</f>
        <v>0</v>
      </c>
      <c r="I102" s="65"/>
      <c r="J102" s="65">
        <f>SUM(J103:J175)-J103-J106-J115-J126-J138-J172</f>
        <v>0</v>
      </c>
      <c r="K102" s="65"/>
      <c r="L102" s="65">
        <f>SUM(L103:L175)-L103-L106-L115-L126-L138-L172</f>
        <v>0</v>
      </c>
      <c r="M102" s="65"/>
      <c r="N102" s="65">
        <f>SUM(N103:N175)-N103-N106-N115-N126-N138-N172</f>
        <v>0</v>
      </c>
      <c r="O102" s="65"/>
      <c r="P102" s="65">
        <f>SUM(P103:P175)-P103-P106-P115-P126-P138-P172</f>
        <v>0</v>
      </c>
      <c r="Q102" s="65"/>
      <c r="R102" s="65">
        <f>SUM(R103:R175)-R103-R106-R115-R126-R138-R172</f>
        <v>0</v>
      </c>
      <c r="S102" s="65"/>
      <c r="T102" s="65">
        <f>SUM(T103:T175)-T103-T106-T115-T126-T138-T172</f>
        <v>0</v>
      </c>
      <c r="U102" s="65"/>
      <c r="V102" s="65">
        <f>SUM(V103:V175)-V103-V106-V115-V126-V138-V172</f>
        <v>0</v>
      </c>
      <c r="W102" s="65"/>
      <c r="X102" s="65">
        <f>SUM(X103:X175)-X103-X106-X115-X126-X138-X172</f>
        <v>0</v>
      </c>
      <c r="Y102" s="65"/>
      <c r="Z102" s="65">
        <f>SUM(Z103:Z175)-Z103-Z106-Z115-Z126-Z138-Z172</f>
        <v>0</v>
      </c>
      <c r="AA102" s="51">
        <f t="shared" si="25"/>
        <v>0</v>
      </c>
      <c r="AB102" s="70">
        <f>SUM(D102:Z102)</f>
        <v>0</v>
      </c>
      <c r="AC102" s="21"/>
      <c r="AD102" s="31">
        <f t="shared" si="27"/>
        <v>0</v>
      </c>
      <c r="AE102" s="31">
        <f t="shared" si="28"/>
        <v>0</v>
      </c>
      <c r="AF102" s="17">
        <f t="shared" si="29"/>
        <v>0</v>
      </c>
      <c r="AG102" s="17">
        <f t="shared" si="30"/>
        <v>0</v>
      </c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66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</row>
    <row r="103" spans="1:123" s="17" customFormat="1" ht="18" customHeight="1" outlineLevel="1" x14ac:dyDescent="0.25">
      <c r="A103" s="67" t="s">
        <v>107</v>
      </c>
      <c r="B103" s="45"/>
      <c r="C103" s="69"/>
      <c r="D103" s="65"/>
      <c r="E103" s="65"/>
      <c r="F103" s="65">
        <f>SUM(F104:F105)</f>
        <v>0</v>
      </c>
      <c r="G103" s="65"/>
      <c r="H103" s="65">
        <f>SUM(H104:H105)</f>
        <v>0</v>
      </c>
      <c r="I103" s="65"/>
      <c r="J103" s="65">
        <f>SUM(J104:J105)</f>
        <v>0</v>
      </c>
      <c r="K103" s="65"/>
      <c r="L103" s="65">
        <f>SUM(L104:L105)</f>
        <v>0</v>
      </c>
      <c r="M103" s="65"/>
      <c r="N103" s="65">
        <f>SUM(N104:N105)</f>
        <v>0</v>
      </c>
      <c r="O103" s="65"/>
      <c r="P103" s="65">
        <f>SUM(P104:P105)</f>
        <v>0</v>
      </c>
      <c r="Q103" s="65"/>
      <c r="R103" s="65">
        <f>SUM(R104:R105)</f>
        <v>0</v>
      </c>
      <c r="S103" s="65"/>
      <c r="T103" s="65">
        <f>SUM(T104:T105)</f>
        <v>0</v>
      </c>
      <c r="U103" s="65"/>
      <c r="V103" s="65">
        <f>SUM(V104:V105)</f>
        <v>0</v>
      </c>
      <c r="W103" s="65"/>
      <c r="X103" s="65">
        <f>SUM(X104:X105)</f>
        <v>0</v>
      </c>
      <c r="Y103" s="65"/>
      <c r="Z103" s="65">
        <f>SUM(Z104:Z105)</f>
        <v>0</v>
      </c>
      <c r="AA103" s="51">
        <f t="shared" si="25"/>
        <v>0</v>
      </c>
      <c r="AB103" s="51">
        <f t="shared" ref="AB103:AB166" si="31">D103+F103+H103+J103+L103+N103+P103+R103+T103+V103+X103+Z103</f>
        <v>0</v>
      </c>
      <c r="AC103" s="21"/>
      <c r="AD103" s="31">
        <f t="shared" si="27"/>
        <v>0</v>
      </c>
      <c r="AE103" s="31">
        <f t="shared" si="28"/>
        <v>0</v>
      </c>
      <c r="AF103" s="17">
        <f t="shared" si="29"/>
        <v>0</v>
      </c>
      <c r="AG103" s="17">
        <f t="shared" si="30"/>
        <v>0</v>
      </c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66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</row>
    <row r="104" spans="1:123" s="19" customFormat="1" ht="18" customHeight="1" outlineLevel="2" x14ac:dyDescent="0.25">
      <c r="A104" s="48" t="s">
        <v>108</v>
      </c>
      <c r="B104" s="53"/>
      <c r="C104" s="49"/>
      <c r="D104" s="68"/>
      <c r="E104" s="68"/>
      <c r="F104" s="68">
        <v>0</v>
      </c>
      <c r="G104" s="68"/>
      <c r="H104" s="68">
        <v>0</v>
      </c>
      <c r="I104" s="68"/>
      <c r="J104" s="68">
        <v>0</v>
      </c>
      <c r="K104" s="68"/>
      <c r="L104" s="68">
        <v>0</v>
      </c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51">
        <f t="shared" si="25"/>
        <v>0</v>
      </c>
      <c r="AB104" s="51">
        <f t="shared" si="31"/>
        <v>0</v>
      </c>
      <c r="AD104" s="31">
        <f t="shared" si="27"/>
        <v>0</v>
      </c>
      <c r="AE104" s="31">
        <f t="shared" si="28"/>
        <v>0</v>
      </c>
      <c r="AF104" s="17">
        <f t="shared" si="29"/>
        <v>0</v>
      </c>
      <c r="AG104" s="17">
        <f t="shared" si="30"/>
        <v>0</v>
      </c>
      <c r="BG104" s="66"/>
    </row>
    <row r="105" spans="1:123" s="19" customFormat="1" ht="18" customHeight="1" outlineLevel="2" x14ac:dyDescent="0.25">
      <c r="A105" s="48" t="s">
        <v>109</v>
      </c>
      <c r="B105" s="53"/>
      <c r="C105" s="49"/>
      <c r="D105" s="68"/>
      <c r="E105" s="68"/>
      <c r="F105" s="68">
        <v>0</v>
      </c>
      <c r="G105" s="68"/>
      <c r="H105" s="68">
        <v>0</v>
      </c>
      <c r="I105" s="68"/>
      <c r="J105" s="68">
        <v>0</v>
      </c>
      <c r="K105" s="68"/>
      <c r="L105" s="68">
        <v>0</v>
      </c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51">
        <f t="shared" si="25"/>
        <v>0</v>
      </c>
      <c r="AB105" s="51">
        <f t="shared" si="31"/>
        <v>0</v>
      </c>
      <c r="AD105" s="31">
        <f t="shared" si="27"/>
        <v>0</v>
      </c>
      <c r="AE105" s="31">
        <f t="shared" si="28"/>
        <v>0</v>
      </c>
      <c r="AF105" s="17">
        <f t="shared" si="29"/>
        <v>0</v>
      </c>
      <c r="AG105" s="17">
        <f t="shared" si="30"/>
        <v>0</v>
      </c>
      <c r="BG105" s="66"/>
    </row>
    <row r="106" spans="1:123" s="17" customFormat="1" ht="18" customHeight="1" outlineLevel="1" x14ac:dyDescent="0.25">
      <c r="A106" s="67" t="s">
        <v>110</v>
      </c>
      <c r="B106" s="45"/>
      <c r="C106" s="69"/>
      <c r="D106" s="65"/>
      <c r="E106" s="65"/>
      <c r="F106" s="65">
        <f>SUM(F107:F111)</f>
        <v>0</v>
      </c>
      <c r="G106" s="65"/>
      <c r="H106" s="65">
        <f>SUM(H107:H111)</f>
        <v>0</v>
      </c>
      <c r="I106" s="65"/>
      <c r="J106" s="65">
        <f>SUM(J107:J111)</f>
        <v>0</v>
      </c>
      <c r="K106" s="65"/>
      <c r="L106" s="65">
        <f>SUM(L107:L111)</f>
        <v>0</v>
      </c>
      <c r="M106" s="65"/>
      <c r="N106" s="65">
        <f>SUM(N107:N111)</f>
        <v>0</v>
      </c>
      <c r="O106" s="65"/>
      <c r="P106" s="65">
        <f>SUM(P107:P111)</f>
        <v>0</v>
      </c>
      <c r="Q106" s="65"/>
      <c r="R106" s="65">
        <f>SUM(R107:R111)</f>
        <v>0</v>
      </c>
      <c r="S106" s="65"/>
      <c r="T106" s="65">
        <f>SUM(T107:T111)</f>
        <v>0</v>
      </c>
      <c r="U106" s="65"/>
      <c r="V106" s="65">
        <f>SUM(V107:V111)</f>
        <v>0</v>
      </c>
      <c r="W106" s="65"/>
      <c r="X106" s="65">
        <f>SUM(X107:X111)</f>
        <v>0</v>
      </c>
      <c r="Y106" s="65"/>
      <c r="Z106" s="65">
        <f>SUM(Z107:Z111)</f>
        <v>0</v>
      </c>
      <c r="AA106" s="51">
        <f t="shared" si="25"/>
        <v>0</v>
      </c>
      <c r="AB106" s="51">
        <f t="shared" si="31"/>
        <v>0</v>
      </c>
      <c r="AC106" s="21"/>
      <c r="AD106" s="31">
        <f t="shared" si="27"/>
        <v>0</v>
      </c>
      <c r="AE106" s="31">
        <f t="shared" si="28"/>
        <v>0</v>
      </c>
      <c r="AF106" s="17">
        <f t="shared" si="29"/>
        <v>0</v>
      </c>
      <c r="AG106" s="17">
        <f t="shared" si="30"/>
        <v>0</v>
      </c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66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</row>
    <row r="107" spans="1:123" s="19" customFormat="1" ht="18" customHeight="1" outlineLevel="2" x14ac:dyDescent="0.25">
      <c r="A107" s="48" t="s">
        <v>111</v>
      </c>
      <c r="B107" s="53"/>
      <c r="C107" s="49"/>
      <c r="D107" s="68"/>
      <c r="E107" s="68"/>
      <c r="F107" s="68">
        <v>0</v>
      </c>
      <c r="G107" s="68"/>
      <c r="H107" s="68">
        <v>0</v>
      </c>
      <c r="I107" s="68"/>
      <c r="J107" s="68">
        <v>0</v>
      </c>
      <c r="K107" s="68"/>
      <c r="L107" s="68">
        <v>0</v>
      </c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51">
        <f t="shared" si="25"/>
        <v>0</v>
      </c>
      <c r="AB107" s="51">
        <f t="shared" si="31"/>
        <v>0</v>
      </c>
      <c r="AD107" s="31">
        <f t="shared" si="27"/>
        <v>0</v>
      </c>
      <c r="AE107" s="31">
        <f t="shared" si="28"/>
        <v>0</v>
      </c>
      <c r="AF107" s="17">
        <f t="shared" si="29"/>
        <v>0</v>
      </c>
      <c r="AG107" s="17">
        <f t="shared" si="30"/>
        <v>0</v>
      </c>
      <c r="BG107" s="20"/>
    </row>
    <row r="108" spans="1:123" s="19" customFormat="1" ht="18" customHeight="1" outlineLevel="2" x14ac:dyDescent="0.25">
      <c r="A108" s="48" t="s">
        <v>112</v>
      </c>
      <c r="B108" s="53"/>
      <c r="C108" s="49"/>
      <c r="D108" s="68"/>
      <c r="E108" s="68"/>
      <c r="F108" s="68">
        <v>0</v>
      </c>
      <c r="G108" s="68"/>
      <c r="H108" s="68">
        <v>0</v>
      </c>
      <c r="I108" s="68"/>
      <c r="J108" s="68">
        <v>0</v>
      </c>
      <c r="K108" s="68"/>
      <c r="L108" s="68">
        <v>0</v>
      </c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51">
        <f t="shared" si="25"/>
        <v>0</v>
      </c>
      <c r="AB108" s="51">
        <f t="shared" si="31"/>
        <v>0</v>
      </c>
      <c r="AD108" s="31">
        <f t="shared" si="27"/>
        <v>0</v>
      </c>
      <c r="AE108" s="31">
        <f t="shared" si="28"/>
        <v>0</v>
      </c>
      <c r="AF108" s="17">
        <f t="shared" si="29"/>
        <v>0</v>
      </c>
      <c r="AG108" s="17">
        <f t="shared" si="30"/>
        <v>0</v>
      </c>
      <c r="BG108" s="20"/>
    </row>
    <row r="109" spans="1:123" s="19" customFormat="1" ht="18" customHeight="1" outlineLevel="2" x14ac:dyDescent="0.25">
      <c r="A109" s="48" t="s">
        <v>113</v>
      </c>
      <c r="B109" s="53"/>
      <c r="C109" s="49"/>
      <c r="D109" s="68"/>
      <c r="E109" s="68"/>
      <c r="F109" s="68">
        <v>0</v>
      </c>
      <c r="G109" s="68"/>
      <c r="H109" s="68">
        <v>0</v>
      </c>
      <c r="I109" s="68"/>
      <c r="J109" s="68">
        <v>0</v>
      </c>
      <c r="K109" s="68"/>
      <c r="L109" s="68">
        <v>0</v>
      </c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51">
        <f t="shared" si="25"/>
        <v>0</v>
      </c>
      <c r="AB109" s="51">
        <f t="shared" si="31"/>
        <v>0</v>
      </c>
      <c r="AD109" s="31">
        <f t="shared" si="27"/>
        <v>0</v>
      </c>
      <c r="AE109" s="31">
        <f t="shared" si="28"/>
        <v>0</v>
      </c>
      <c r="AF109" s="17">
        <f t="shared" si="29"/>
        <v>0</v>
      </c>
      <c r="AG109" s="17">
        <f t="shared" si="30"/>
        <v>0</v>
      </c>
      <c r="BG109" s="20"/>
    </row>
    <row r="110" spans="1:123" s="19" customFormat="1" ht="18" customHeight="1" outlineLevel="2" x14ac:dyDescent="0.25">
      <c r="A110" s="48" t="s">
        <v>114</v>
      </c>
      <c r="B110" s="53"/>
      <c r="C110" s="49"/>
      <c r="D110" s="68"/>
      <c r="E110" s="68"/>
      <c r="F110" s="68">
        <v>0</v>
      </c>
      <c r="G110" s="68"/>
      <c r="H110" s="68">
        <v>0</v>
      </c>
      <c r="I110" s="68"/>
      <c r="J110" s="68">
        <v>0</v>
      </c>
      <c r="K110" s="68"/>
      <c r="L110" s="68">
        <v>0</v>
      </c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51">
        <f t="shared" si="25"/>
        <v>0</v>
      </c>
      <c r="AB110" s="51">
        <f t="shared" si="31"/>
        <v>0</v>
      </c>
      <c r="AD110" s="31">
        <f t="shared" si="27"/>
        <v>0</v>
      </c>
      <c r="AE110" s="31">
        <f t="shared" si="28"/>
        <v>0</v>
      </c>
      <c r="AF110" s="17">
        <f t="shared" si="29"/>
        <v>0</v>
      </c>
      <c r="AG110" s="17">
        <f t="shared" si="30"/>
        <v>0</v>
      </c>
      <c r="BG110" s="20"/>
    </row>
    <row r="111" spans="1:123" s="19" customFormat="1" ht="18" customHeight="1" outlineLevel="2" x14ac:dyDescent="0.25">
      <c r="A111" s="48" t="s">
        <v>115</v>
      </c>
      <c r="B111" s="53"/>
      <c r="C111" s="49"/>
      <c r="D111" s="68"/>
      <c r="E111" s="68"/>
      <c r="F111" s="68">
        <v>0</v>
      </c>
      <c r="G111" s="68"/>
      <c r="H111" s="68">
        <v>0</v>
      </c>
      <c r="I111" s="68"/>
      <c r="J111" s="68">
        <v>0</v>
      </c>
      <c r="K111" s="68"/>
      <c r="L111" s="68">
        <v>0</v>
      </c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51">
        <f t="shared" si="25"/>
        <v>0</v>
      </c>
      <c r="AB111" s="51">
        <f t="shared" si="31"/>
        <v>0</v>
      </c>
      <c r="AD111" s="31">
        <f t="shared" si="27"/>
        <v>0</v>
      </c>
      <c r="AE111" s="31">
        <f t="shared" si="28"/>
        <v>0</v>
      </c>
      <c r="AF111" s="17">
        <f t="shared" si="29"/>
        <v>0</v>
      </c>
      <c r="AG111" s="17">
        <f t="shared" si="30"/>
        <v>0</v>
      </c>
      <c r="BG111" s="20"/>
    </row>
    <row r="112" spans="1:123" s="19" customFormat="1" ht="18" customHeight="1" outlineLevel="1" x14ac:dyDescent="0.25">
      <c r="A112" s="48" t="s">
        <v>116</v>
      </c>
      <c r="B112" s="53"/>
      <c r="C112" s="49"/>
      <c r="D112" s="68"/>
      <c r="E112" s="68"/>
      <c r="F112" s="68">
        <v>0</v>
      </c>
      <c r="G112" s="68"/>
      <c r="H112" s="68">
        <v>0</v>
      </c>
      <c r="I112" s="68"/>
      <c r="J112" s="68">
        <v>0</v>
      </c>
      <c r="K112" s="68"/>
      <c r="L112" s="68">
        <v>0</v>
      </c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51">
        <f t="shared" si="25"/>
        <v>0</v>
      </c>
      <c r="AB112" s="51">
        <f t="shared" si="31"/>
        <v>0</v>
      </c>
      <c r="AD112" s="31">
        <f t="shared" si="27"/>
        <v>0</v>
      </c>
      <c r="AE112" s="31">
        <f t="shared" si="28"/>
        <v>0</v>
      </c>
      <c r="AF112" s="17">
        <f t="shared" si="29"/>
        <v>0</v>
      </c>
      <c r="AG112" s="17">
        <f t="shared" si="30"/>
        <v>0</v>
      </c>
      <c r="BG112" s="20"/>
    </row>
    <row r="113" spans="1:123" s="19" customFormat="1" ht="18" customHeight="1" outlineLevel="1" x14ac:dyDescent="0.25">
      <c r="A113" s="48" t="s">
        <v>117</v>
      </c>
      <c r="B113" s="53"/>
      <c r="C113" s="49"/>
      <c r="D113" s="68"/>
      <c r="E113" s="68"/>
      <c r="F113" s="68">
        <v>0</v>
      </c>
      <c r="G113" s="68"/>
      <c r="H113" s="68">
        <v>0</v>
      </c>
      <c r="I113" s="68"/>
      <c r="J113" s="68">
        <v>0</v>
      </c>
      <c r="K113" s="68"/>
      <c r="L113" s="68">
        <v>0</v>
      </c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51">
        <f t="shared" si="25"/>
        <v>0</v>
      </c>
      <c r="AB113" s="51">
        <f t="shared" si="31"/>
        <v>0</v>
      </c>
      <c r="AD113" s="31">
        <f t="shared" si="27"/>
        <v>0</v>
      </c>
      <c r="AE113" s="31">
        <f t="shared" si="28"/>
        <v>0</v>
      </c>
      <c r="AF113" s="17">
        <f t="shared" si="29"/>
        <v>0</v>
      </c>
      <c r="AG113" s="17">
        <f t="shared" si="30"/>
        <v>0</v>
      </c>
      <c r="BG113" s="20"/>
    </row>
    <row r="114" spans="1:123" s="19" customFormat="1" ht="18" customHeight="1" outlineLevel="1" x14ac:dyDescent="0.25">
      <c r="A114" s="48" t="s">
        <v>118</v>
      </c>
      <c r="B114" s="53"/>
      <c r="C114" s="49"/>
      <c r="D114" s="68"/>
      <c r="E114" s="68"/>
      <c r="F114" s="68">
        <v>0</v>
      </c>
      <c r="G114" s="68"/>
      <c r="H114" s="68">
        <v>0</v>
      </c>
      <c r="I114" s="68"/>
      <c r="J114" s="68">
        <v>0</v>
      </c>
      <c r="K114" s="68"/>
      <c r="L114" s="68">
        <v>0</v>
      </c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51">
        <f t="shared" si="25"/>
        <v>0</v>
      </c>
      <c r="AB114" s="51">
        <f t="shared" si="31"/>
        <v>0</v>
      </c>
      <c r="AD114" s="31">
        <f t="shared" si="27"/>
        <v>0</v>
      </c>
      <c r="AE114" s="31">
        <f t="shared" si="28"/>
        <v>0</v>
      </c>
      <c r="AF114" s="17">
        <f t="shared" si="29"/>
        <v>0</v>
      </c>
      <c r="AG114" s="17">
        <f t="shared" si="30"/>
        <v>0</v>
      </c>
      <c r="BG114" s="20"/>
    </row>
    <row r="115" spans="1:123" s="17" customFormat="1" ht="18" customHeight="1" outlineLevel="1" x14ac:dyDescent="0.25">
      <c r="A115" s="67" t="s">
        <v>119</v>
      </c>
      <c r="B115" s="45"/>
      <c r="C115" s="69"/>
      <c r="D115" s="65"/>
      <c r="E115" s="65"/>
      <c r="F115" s="65">
        <f>SUM(F116:F122)</f>
        <v>0</v>
      </c>
      <c r="G115" s="65"/>
      <c r="H115" s="65">
        <f>SUM(H116:H122)</f>
        <v>0</v>
      </c>
      <c r="I115" s="65"/>
      <c r="J115" s="65">
        <f>SUM(J116:J122)</f>
        <v>0</v>
      </c>
      <c r="K115" s="65"/>
      <c r="L115" s="65">
        <f>SUM(L116:L122)</f>
        <v>0</v>
      </c>
      <c r="M115" s="65"/>
      <c r="N115" s="65">
        <f>SUM(N116:N122)</f>
        <v>0</v>
      </c>
      <c r="O115" s="65"/>
      <c r="P115" s="65">
        <f>SUM(P116:P122)</f>
        <v>0</v>
      </c>
      <c r="Q115" s="65"/>
      <c r="R115" s="65">
        <f>SUM(R116:R122)</f>
        <v>0</v>
      </c>
      <c r="S115" s="65"/>
      <c r="T115" s="65">
        <f>SUM(T116:T122)</f>
        <v>0</v>
      </c>
      <c r="U115" s="65"/>
      <c r="V115" s="65">
        <f>SUM(V116:V122)</f>
        <v>0</v>
      </c>
      <c r="W115" s="65"/>
      <c r="X115" s="65">
        <f>SUM(X116:X122)</f>
        <v>0</v>
      </c>
      <c r="Y115" s="65"/>
      <c r="Z115" s="65">
        <f>SUM(Z116:Z122)</f>
        <v>0</v>
      </c>
      <c r="AA115" s="51">
        <f t="shared" si="25"/>
        <v>0</v>
      </c>
      <c r="AB115" s="51">
        <f t="shared" si="31"/>
        <v>0</v>
      </c>
      <c r="AC115" s="21"/>
      <c r="AD115" s="31">
        <f t="shared" si="27"/>
        <v>0</v>
      </c>
      <c r="AE115" s="31">
        <f t="shared" si="28"/>
        <v>0</v>
      </c>
      <c r="AF115" s="17">
        <f t="shared" si="29"/>
        <v>0</v>
      </c>
      <c r="AG115" s="17">
        <f t="shared" si="30"/>
        <v>0</v>
      </c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66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</row>
    <row r="116" spans="1:123" s="19" customFormat="1" ht="18" customHeight="1" outlineLevel="2" x14ac:dyDescent="0.25">
      <c r="A116" s="48" t="s">
        <v>120</v>
      </c>
      <c r="B116" s="53"/>
      <c r="C116" s="49"/>
      <c r="D116" s="68"/>
      <c r="E116" s="68"/>
      <c r="F116" s="68">
        <v>0</v>
      </c>
      <c r="G116" s="68"/>
      <c r="H116" s="68">
        <v>0</v>
      </c>
      <c r="I116" s="68"/>
      <c r="J116" s="68">
        <v>0</v>
      </c>
      <c r="K116" s="68"/>
      <c r="L116" s="68">
        <v>0</v>
      </c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51">
        <f t="shared" si="25"/>
        <v>0</v>
      </c>
      <c r="AB116" s="51">
        <f t="shared" si="31"/>
        <v>0</v>
      </c>
      <c r="AD116" s="31">
        <f t="shared" si="27"/>
        <v>0</v>
      </c>
      <c r="AE116" s="31">
        <f t="shared" si="28"/>
        <v>0</v>
      </c>
      <c r="AF116" s="17">
        <f t="shared" si="29"/>
        <v>0</v>
      </c>
      <c r="AG116" s="17">
        <f t="shared" si="30"/>
        <v>0</v>
      </c>
      <c r="BG116" s="20"/>
    </row>
    <row r="117" spans="1:123" s="19" customFormat="1" ht="18" customHeight="1" outlineLevel="2" x14ac:dyDescent="0.25">
      <c r="A117" s="48" t="s">
        <v>121</v>
      </c>
      <c r="B117" s="53"/>
      <c r="C117" s="49"/>
      <c r="D117" s="68"/>
      <c r="E117" s="68"/>
      <c r="F117" s="68">
        <v>0</v>
      </c>
      <c r="G117" s="68"/>
      <c r="H117" s="68">
        <v>0</v>
      </c>
      <c r="I117" s="68"/>
      <c r="J117" s="68">
        <v>0</v>
      </c>
      <c r="K117" s="68"/>
      <c r="L117" s="68">
        <v>0</v>
      </c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51">
        <f t="shared" si="25"/>
        <v>0</v>
      </c>
      <c r="AB117" s="51">
        <f t="shared" si="31"/>
        <v>0</v>
      </c>
      <c r="AD117" s="31">
        <f t="shared" si="27"/>
        <v>0</v>
      </c>
      <c r="AE117" s="31">
        <f t="shared" si="28"/>
        <v>0</v>
      </c>
      <c r="AF117" s="17">
        <f t="shared" si="29"/>
        <v>0</v>
      </c>
      <c r="AG117" s="17">
        <f t="shared" si="30"/>
        <v>0</v>
      </c>
      <c r="BG117" s="20"/>
    </row>
    <row r="118" spans="1:123" s="19" customFormat="1" ht="18" customHeight="1" outlineLevel="2" x14ac:dyDescent="0.25">
      <c r="A118" s="48" t="s">
        <v>122</v>
      </c>
      <c r="B118" s="53"/>
      <c r="C118" s="49"/>
      <c r="D118" s="68"/>
      <c r="E118" s="68"/>
      <c r="F118" s="68">
        <v>0</v>
      </c>
      <c r="G118" s="68"/>
      <c r="H118" s="68">
        <v>0</v>
      </c>
      <c r="I118" s="68"/>
      <c r="J118" s="68">
        <v>0</v>
      </c>
      <c r="K118" s="68"/>
      <c r="L118" s="68">
        <v>0</v>
      </c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51">
        <f t="shared" si="25"/>
        <v>0</v>
      </c>
      <c r="AB118" s="51">
        <f t="shared" si="31"/>
        <v>0</v>
      </c>
      <c r="AD118" s="31">
        <f t="shared" si="27"/>
        <v>0</v>
      </c>
      <c r="AE118" s="31">
        <f t="shared" si="28"/>
        <v>0</v>
      </c>
      <c r="AF118" s="17">
        <f t="shared" si="29"/>
        <v>0</v>
      </c>
      <c r="AG118" s="17">
        <f t="shared" si="30"/>
        <v>0</v>
      </c>
      <c r="BG118" s="20"/>
    </row>
    <row r="119" spans="1:123" s="19" customFormat="1" ht="18" customHeight="1" outlineLevel="2" x14ac:dyDescent="0.25">
      <c r="A119" s="48" t="s">
        <v>123</v>
      </c>
      <c r="B119" s="53"/>
      <c r="C119" s="49"/>
      <c r="D119" s="68"/>
      <c r="E119" s="68"/>
      <c r="F119" s="68">
        <v>0</v>
      </c>
      <c r="G119" s="68"/>
      <c r="H119" s="68">
        <v>0</v>
      </c>
      <c r="I119" s="68"/>
      <c r="J119" s="68">
        <v>0</v>
      </c>
      <c r="K119" s="68"/>
      <c r="L119" s="68">
        <v>0</v>
      </c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51">
        <f t="shared" si="25"/>
        <v>0</v>
      </c>
      <c r="AB119" s="51">
        <f t="shared" si="31"/>
        <v>0</v>
      </c>
      <c r="AD119" s="31">
        <f t="shared" si="27"/>
        <v>0</v>
      </c>
      <c r="AE119" s="31">
        <f t="shared" si="28"/>
        <v>0</v>
      </c>
      <c r="AF119" s="17">
        <f t="shared" si="29"/>
        <v>0</v>
      </c>
      <c r="AG119" s="17">
        <f t="shared" si="30"/>
        <v>0</v>
      </c>
      <c r="BG119" s="20"/>
    </row>
    <row r="120" spans="1:123" s="19" customFormat="1" ht="18" customHeight="1" outlineLevel="2" x14ac:dyDescent="0.25">
      <c r="A120" s="48" t="s">
        <v>124</v>
      </c>
      <c r="B120" s="53"/>
      <c r="C120" s="49"/>
      <c r="D120" s="68"/>
      <c r="E120" s="68"/>
      <c r="F120" s="68">
        <v>0</v>
      </c>
      <c r="G120" s="68"/>
      <c r="H120" s="68">
        <v>0</v>
      </c>
      <c r="I120" s="68"/>
      <c r="J120" s="68">
        <v>0</v>
      </c>
      <c r="K120" s="68"/>
      <c r="L120" s="68">
        <v>0</v>
      </c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51">
        <f t="shared" si="25"/>
        <v>0</v>
      </c>
      <c r="AB120" s="51">
        <f t="shared" si="31"/>
        <v>0</v>
      </c>
      <c r="AD120" s="31">
        <f t="shared" si="27"/>
        <v>0</v>
      </c>
      <c r="AE120" s="31">
        <f t="shared" si="28"/>
        <v>0</v>
      </c>
      <c r="AF120" s="17">
        <f t="shared" si="29"/>
        <v>0</v>
      </c>
      <c r="AG120" s="17">
        <f t="shared" si="30"/>
        <v>0</v>
      </c>
      <c r="BG120" s="20"/>
    </row>
    <row r="121" spans="1:123" s="19" customFormat="1" ht="18" customHeight="1" outlineLevel="2" x14ac:dyDescent="0.25">
      <c r="A121" s="48" t="s">
        <v>125</v>
      </c>
      <c r="B121" s="53"/>
      <c r="C121" s="49"/>
      <c r="D121" s="68"/>
      <c r="E121" s="68"/>
      <c r="F121" s="68">
        <v>0</v>
      </c>
      <c r="G121" s="68"/>
      <c r="H121" s="68">
        <v>0</v>
      </c>
      <c r="I121" s="68"/>
      <c r="J121" s="68">
        <v>0</v>
      </c>
      <c r="K121" s="68"/>
      <c r="L121" s="68">
        <v>0</v>
      </c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51">
        <f t="shared" si="25"/>
        <v>0</v>
      </c>
      <c r="AB121" s="51">
        <f t="shared" si="31"/>
        <v>0</v>
      </c>
      <c r="AD121" s="31">
        <f t="shared" si="27"/>
        <v>0</v>
      </c>
      <c r="AE121" s="31">
        <f t="shared" si="28"/>
        <v>0</v>
      </c>
      <c r="AF121" s="17">
        <f t="shared" si="29"/>
        <v>0</v>
      </c>
      <c r="AG121" s="17">
        <f t="shared" si="30"/>
        <v>0</v>
      </c>
      <c r="BG121" s="20"/>
    </row>
    <row r="122" spans="1:123" s="19" customFormat="1" ht="18" customHeight="1" outlineLevel="2" x14ac:dyDescent="0.25">
      <c r="A122" s="48" t="s">
        <v>126</v>
      </c>
      <c r="B122" s="53"/>
      <c r="C122" s="49"/>
      <c r="D122" s="68"/>
      <c r="E122" s="68"/>
      <c r="F122" s="68">
        <v>0</v>
      </c>
      <c r="G122" s="68"/>
      <c r="H122" s="68">
        <v>0</v>
      </c>
      <c r="I122" s="68"/>
      <c r="J122" s="68">
        <v>0</v>
      </c>
      <c r="K122" s="68"/>
      <c r="L122" s="68">
        <v>0</v>
      </c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51">
        <f t="shared" si="25"/>
        <v>0</v>
      </c>
      <c r="AB122" s="51">
        <f t="shared" si="31"/>
        <v>0</v>
      </c>
      <c r="AD122" s="31">
        <f t="shared" si="27"/>
        <v>0</v>
      </c>
      <c r="AE122" s="31">
        <f t="shared" si="28"/>
        <v>0</v>
      </c>
      <c r="AF122" s="17">
        <f t="shared" si="29"/>
        <v>0</v>
      </c>
      <c r="AG122" s="17">
        <f t="shared" si="30"/>
        <v>0</v>
      </c>
      <c r="BG122" s="20"/>
    </row>
    <row r="123" spans="1:123" s="19" customFormat="1" ht="18" customHeight="1" outlineLevel="1" x14ac:dyDescent="0.25">
      <c r="A123" s="48" t="s">
        <v>127</v>
      </c>
      <c r="B123" s="53"/>
      <c r="C123" s="49"/>
      <c r="D123" s="68"/>
      <c r="E123" s="68"/>
      <c r="F123" s="68">
        <v>0</v>
      </c>
      <c r="G123" s="68"/>
      <c r="H123" s="68">
        <v>0</v>
      </c>
      <c r="I123" s="68"/>
      <c r="J123" s="68">
        <v>0</v>
      </c>
      <c r="K123" s="68"/>
      <c r="L123" s="68">
        <v>0</v>
      </c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51">
        <f t="shared" si="25"/>
        <v>0</v>
      </c>
      <c r="AB123" s="51">
        <f t="shared" si="31"/>
        <v>0</v>
      </c>
      <c r="AD123" s="31">
        <f t="shared" si="27"/>
        <v>0</v>
      </c>
      <c r="AE123" s="31">
        <f t="shared" si="28"/>
        <v>0</v>
      </c>
      <c r="AF123" s="17">
        <f t="shared" si="29"/>
        <v>0</v>
      </c>
      <c r="AG123" s="17">
        <f t="shared" si="30"/>
        <v>0</v>
      </c>
      <c r="BG123" s="20"/>
    </row>
    <row r="124" spans="1:123" s="19" customFormat="1" ht="18" customHeight="1" outlineLevel="1" x14ac:dyDescent="0.25">
      <c r="A124" s="48" t="s">
        <v>128</v>
      </c>
      <c r="B124" s="53"/>
      <c r="C124" s="49"/>
      <c r="D124" s="68"/>
      <c r="E124" s="68"/>
      <c r="F124" s="68">
        <v>0</v>
      </c>
      <c r="G124" s="68"/>
      <c r="H124" s="68">
        <v>0</v>
      </c>
      <c r="I124" s="68"/>
      <c r="J124" s="68">
        <v>0</v>
      </c>
      <c r="K124" s="68"/>
      <c r="L124" s="68">
        <v>0</v>
      </c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51">
        <f t="shared" si="25"/>
        <v>0</v>
      </c>
      <c r="AB124" s="51">
        <f t="shared" si="31"/>
        <v>0</v>
      </c>
      <c r="AD124" s="31">
        <f t="shared" si="27"/>
        <v>0</v>
      </c>
      <c r="AE124" s="31">
        <f t="shared" si="28"/>
        <v>0</v>
      </c>
      <c r="AF124" s="17">
        <f t="shared" si="29"/>
        <v>0</v>
      </c>
      <c r="AG124" s="17">
        <f t="shared" si="30"/>
        <v>0</v>
      </c>
      <c r="BG124" s="20"/>
    </row>
    <row r="125" spans="1:123" s="19" customFormat="1" ht="18" customHeight="1" outlineLevel="1" x14ac:dyDescent="0.25">
      <c r="A125" s="48" t="s">
        <v>129</v>
      </c>
      <c r="B125" s="53"/>
      <c r="C125" s="49"/>
      <c r="D125" s="68"/>
      <c r="E125" s="68"/>
      <c r="F125" s="68">
        <v>0</v>
      </c>
      <c r="G125" s="68"/>
      <c r="H125" s="68">
        <v>0</v>
      </c>
      <c r="I125" s="68"/>
      <c r="J125" s="68">
        <v>0</v>
      </c>
      <c r="K125" s="68"/>
      <c r="L125" s="68">
        <v>0</v>
      </c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51">
        <f t="shared" si="25"/>
        <v>0</v>
      </c>
      <c r="AB125" s="51">
        <f t="shared" si="31"/>
        <v>0</v>
      </c>
      <c r="AD125" s="31">
        <f t="shared" si="27"/>
        <v>0</v>
      </c>
      <c r="AE125" s="31">
        <f t="shared" si="28"/>
        <v>0</v>
      </c>
      <c r="AF125" s="17">
        <f t="shared" si="29"/>
        <v>0</v>
      </c>
      <c r="AG125" s="17">
        <f t="shared" si="30"/>
        <v>0</v>
      </c>
      <c r="BG125" s="20"/>
    </row>
    <row r="126" spans="1:123" s="17" customFormat="1" ht="18" customHeight="1" outlineLevel="1" x14ac:dyDescent="0.25">
      <c r="A126" s="67" t="s">
        <v>130</v>
      </c>
      <c r="B126" s="45"/>
      <c r="C126" s="69"/>
      <c r="D126" s="65"/>
      <c r="E126" s="65"/>
      <c r="F126" s="65">
        <f>SUM(F127:F131)</f>
        <v>0</v>
      </c>
      <c r="G126" s="65"/>
      <c r="H126" s="65">
        <f>SUM(H127:H131)</f>
        <v>0</v>
      </c>
      <c r="I126" s="65"/>
      <c r="J126" s="65">
        <f>SUM(J127:J131)</f>
        <v>0</v>
      </c>
      <c r="K126" s="65"/>
      <c r="L126" s="65">
        <f>SUM(L127:L131)</f>
        <v>0</v>
      </c>
      <c r="M126" s="65"/>
      <c r="N126" s="65">
        <f>SUM(N127:N131)</f>
        <v>0</v>
      </c>
      <c r="O126" s="65"/>
      <c r="P126" s="65">
        <f>SUM(P127:P131)</f>
        <v>0</v>
      </c>
      <c r="Q126" s="65"/>
      <c r="R126" s="65">
        <f>SUM(R127:R131)</f>
        <v>0</v>
      </c>
      <c r="S126" s="65"/>
      <c r="T126" s="65">
        <f>SUM(T127:T131)</f>
        <v>0</v>
      </c>
      <c r="U126" s="65"/>
      <c r="V126" s="65">
        <f>SUM(V127:V131)</f>
        <v>0</v>
      </c>
      <c r="W126" s="65"/>
      <c r="X126" s="65">
        <f>SUM(X127:X131)</f>
        <v>0</v>
      </c>
      <c r="Y126" s="65"/>
      <c r="Z126" s="65">
        <f>SUM(Z127:Z131)</f>
        <v>0</v>
      </c>
      <c r="AA126" s="51">
        <f t="shared" si="25"/>
        <v>0</v>
      </c>
      <c r="AB126" s="51">
        <f t="shared" si="31"/>
        <v>0</v>
      </c>
      <c r="AC126" s="21"/>
      <c r="AD126" s="31">
        <f t="shared" si="27"/>
        <v>0</v>
      </c>
      <c r="AE126" s="31">
        <f t="shared" si="28"/>
        <v>0</v>
      </c>
      <c r="AF126" s="17">
        <f t="shared" si="29"/>
        <v>0</v>
      </c>
      <c r="AG126" s="17">
        <f t="shared" si="30"/>
        <v>0</v>
      </c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66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</row>
    <row r="127" spans="1:123" s="19" customFormat="1" ht="18" customHeight="1" outlineLevel="2" x14ac:dyDescent="0.25">
      <c r="A127" s="48" t="s">
        <v>131</v>
      </c>
      <c r="B127" s="53"/>
      <c r="C127" s="49"/>
      <c r="D127" s="68"/>
      <c r="E127" s="68"/>
      <c r="F127" s="68">
        <v>0</v>
      </c>
      <c r="G127" s="68"/>
      <c r="H127" s="68">
        <v>0</v>
      </c>
      <c r="I127" s="68"/>
      <c r="J127" s="68">
        <v>0</v>
      </c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51">
        <f t="shared" si="25"/>
        <v>0</v>
      </c>
      <c r="AB127" s="51">
        <f t="shared" si="31"/>
        <v>0</v>
      </c>
      <c r="AD127" s="31">
        <f t="shared" si="27"/>
        <v>0</v>
      </c>
      <c r="AE127" s="31">
        <f t="shared" si="28"/>
        <v>0</v>
      </c>
      <c r="AF127" s="17">
        <f t="shared" si="29"/>
        <v>0</v>
      </c>
      <c r="AG127" s="17">
        <f t="shared" si="30"/>
        <v>0</v>
      </c>
      <c r="BG127" s="20"/>
    </row>
    <row r="128" spans="1:123" s="19" customFormat="1" ht="18" customHeight="1" outlineLevel="2" x14ac:dyDescent="0.25">
      <c r="A128" s="48" t="s">
        <v>132</v>
      </c>
      <c r="B128" s="53"/>
      <c r="C128" s="49"/>
      <c r="D128" s="68"/>
      <c r="E128" s="68"/>
      <c r="F128" s="68">
        <v>0</v>
      </c>
      <c r="G128" s="68"/>
      <c r="H128" s="68">
        <v>0</v>
      </c>
      <c r="I128" s="68"/>
      <c r="J128" s="68">
        <v>0</v>
      </c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51">
        <f t="shared" si="25"/>
        <v>0</v>
      </c>
      <c r="AB128" s="51">
        <f t="shared" si="31"/>
        <v>0</v>
      </c>
      <c r="AD128" s="31">
        <f t="shared" si="27"/>
        <v>0</v>
      </c>
      <c r="AE128" s="31">
        <f t="shared" si="28"/>
        <v>0</v>
      </c>
      <c r="AF128" s="17">
        <f t="shared" si="29"/>
        <v>0</v>
      </c>
      <c r="AG128" s="17">
        <f t="shared" si="30"/>
        <v>0</v>
      </c>
      <c r="BG128" s="20"/>
    </row>
    <row r="129" spans="1:123" s="19" customFormat="1" ht="18" customHeight="1" outlineLevel="2" x14ac:dyDescent="0.25">
      <c r="A129" s="48" t="s">
        <v>180</v>
      </c>
      <c r="B129" s="53"/>
      <c r="C129" s="49"/>
      <c r="D129" s="68"/>
      <c r="E129" s="68"/>
      <c r="F129" s="68">
        <v>0</v>
      </c>
      <c r="G129" s="68"/>
      <c r="H129" s="68">
        <v>0</v>
      </c>
      <c r="I129" s="68"/>
      <c r="J129" s="68">
        <v>0</v>
      </c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51">
        <f t="shared" si="25"/>
        <v>0</v>
      </c>
      <c r="AB129" s="51">
        <f t="shared" si="31"/>
        <v>0</v>
      </c>
      <c r="AD129" s="31">
        <f t="shared" si="27"/>
        <v>0</v>
      </c>
      <c r="AE129" s="31">
        <f t="shared" si="28"/>
        <v>0</v>
      </c>
      <c r="AF129" s="17">
        <f t="shared" si="29"/>
        <v>0</v>
      </c>
      <c r="AG129" s="17">
        <f t="shared" si="30"/>
        <v>0</v>
      </c>
      <c r="BG129" s="20"/>
    </row>
    <row r="130" spans="1:123" s="19" customFormat="1" ht="18" customHeight="1" outlineLevel="2" x14ac:dyDescent="0.25">
      <c r="A130" s="48" t="s">
        <v>134</v>
      </c>
      <c r="B130" s="53"/>
      <c r="C130" s="49"/>
      <c r="D130" s="68"/>
      <c r="E130" s="68"/>
      <c r="F130" s="68">
        <v>0</v>
      </c>
      <c r="G130" s="68"/>
      <c r="H130" s="68">
        <v>0</v>
      </c>
      <c r="I130" s="68"/>
      <c r="J130" s="68">
        <v>0</v>
      </c>
      <c r="K130" s="68"/>
      <c r="L130" s="68">
        <v>0</v>
      </c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51">
        <f t="shared" si="25"/>
        <v>0</v>
      </c>
      <c r="AB130" s="51">
        <f t="shared" si="31"/>
        <v>0</v>
      </c>
      <c r="AD130" s="31">
        <f t="shared" si="27"/>
        <v>0</v>
      </c>
      <c r="AE130" s="31">
        <f t="shared" si="28"/>
        <v>0</v>
      </c>
      <c r="AF130" s="17">
        <f t="shared" si="29"/>
        <v>0</v>
      </c>
      <c r="AG130" s="17">
        <f t="shared" si="30"/>
        <v>0</v>
      </c>
      <c r="BG130" s="20"/>
    </row>
    <row r="131" spans="1:123" s="19" customFormat="1" ht="18" customHeight="1" outlineLevel="2" x14ac:dyDescent="0.25">
      <c r="A131" s="48" t="s">
        <v>135</v>
      </c>
      <c r="B131" s="53"/>
      <c r="C131" s="49"/>
      <c r="D131" s="68"/>
      <c r="E131" s="68"/>
      <c r="F131" s="68">
        <v>0</v>
      </c>
      <c r="G131" s="68"/>
      <c r="H131" s="68">
        <v>0</v>
      </c>
      <c r="I131" s="68"/>
      <c r="J131" s="68">
        <v>0</v>
      </c>
      <c r="K131" s="68"/>
      <c r="L131" s="68">
        <v>0</v>
      </c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51">
        <f t="shared" si="25"/>
        <v>0</v>
      </c>
      <c r="AB131" s="51">
        <f t="shared" si="31"/>
        <v>0</v>
      </c>
      <c r="AD131" s="31">
        <f t="shared" si="27"/>
        <v>0</v>
      </c>
      <c r="AE131" s="31">
        <f t="shared" si="28"/>
        <v>0</v>
      </c>
      <c r="AF131" s="17">
        <f t="shared" si="29"/>
        <v>0</v>
      </c>
      <c r="AG131" s="17">
        <f t="shared" si="30"/>
        <v>0</v>
      </c>
      <c r="BG131" s="20"/>
    </row>
    <row r="132" spans="1:123" s="19" customFormat="1" ht="18" customHeight="1" outlineLevel="1" x14ac:dyDescent="0.25">
      <c r="A132" s="48" t="s">
        <v>136</v>
      </c>
      <c r="B132" s="53"/>
      <c r="C132" s="49"/>
      <c r="D132" s="68"/>
      <c r="E132" s="68"/>
      <c r="F132" s="68">
        <v>0</v>
      </c>
      <c r="G132" s="68"/>
      <c r="H132" s="68">
        <v>0</v>
      </c>
      <c r="I132" s="68"/>
      <c r="J132" s="68">
        <v>0</v>
      </c>
      <c r="K132" s="68"/>
      <c r="L132" s="68">
        <v>0</v>
      </c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51">
        <f t="shared" si="25"/>
        <v>0</v>
      </c>
      <c r="AB132" s="51">
        <f t="shared" si="31"/>
        <v>0</v>
      </c>
      <c r="AD132" s="31">
        <f t="shared" si="27"/>
        <v>0</v>
      </c>
      <c r="AE132" s="31">
        <f t="shared" si="28"/>
        <v>0</v>
      </c>
      <c r="AF132" s="17">
        <f t="shared" si="29"/>
        <v>0</v>
      </c>
      <c r="AG132" s="17">
        <f t="shared" si="30"/>
        <v>0</v>
      </c>
      <c r="BG132" s="20"/>
    </row>
    <row r="133" spans="1:123" s="19" customFormat="1" ht="18" customHeight="1" outlineLevel="1" x14ac:dyDescent="0.25">
      <c r="A133" s="48" t="s">
        <v>137</v>
      </c>
      <c r="B133" s="53"/>
      <c r="C133" s="49"/>
      <c r="D133" s="68"/>
      <c r="E133" s="68"/>
      <c r="F133" s="68">
        <v>0</v>
      </c>
      <c r="G133" s="68"/>
      <c r="H133" s="68">
        <v>0</v>
      </c>
      <c r="I133" s="68"/>
      <c r="J133" s="68">
        <v>0</v>
      </c>
      <c r="K133" s="68"/>
      <c r="L133" s="68">
        <v>0</v>
      </c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51">
        <f t="shared" si="25"/>
        <v>0</v>
      </c>
      <c r="AB133" s="51">
        <f t="shared" si="31"/>
        <v>0</v>
      </c>
      <c r="AD133" s="31">
        <f t="shared" si="27"/>
        <v>0</v>
      </c>
      <c r="AE133" s="31">
        <f t="shared" si="28"/>
        <v>0</v>
      </c>
      <c r="AF133" s="17">
        <f t="shared" si="29"/>
        <v>0</v>
      </c>
      <c r="AG133" s="17">
        <f t="shared" si="30"/>
        <v>0</v>
      </c>
      <c r="BG133" s="20"/>
    </row>
    <row r="134" spans="1:123" s="19" customFormat="1" ht="18" customHeight="1" outlineLevel="1" x14ac:dyDescent="0.25">
      <c r="A134" s="48" t="s">
        <v>138</v>
      </c>
      <c r="B134" s="53"/>
      <c r="C134" s="49"/>
      <c r="D134" s="68"/>
      <c r="E134" s="68"/>
      <c r="F134" s="68">
        <v>0</v>
      </c>
      <c r="G134" s="68"/>
      <c r="H134" s="68">
        <v>0</v>
      </c>
      <c r="I134" s="68"/>
      <c r="J134" s="68">
        <v>0</v>
      </c>
      <c r="K134" s="68"/>
      <c r="L134" s="68">
        <v>0</v>
      </c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51">
        <f t="shared" si="25"/>
        <v>0</v>
      </c>
      <c r="AB134" s="51">
        <f t="shared" si="31"/>
        <v>0</v>
      </c>
      <c r="AD134" s="31">
        <f t="shared" si="27"/>
        <v>0</v>
      </c>
      <c r="AE134" s="31">
        <f t="shared" si="28"/>
        <v>0</v>
      </c>
      <c r="AF134" s="17">
        <f t="shared" si="29"/>
        <v>0</v>
      </c>
      <c r="AG134" s="17">
        <f t="shared" si="30"/>
        <v>0</v>
      </c>
      <c r="BG134" s="20"/>
    </row>
    <row r="135" spans="1:123" s="19" customFormat="1" ht="18" customHeight="1" outlineLevel="1" x14ac:dyDescent="0.25">
      <c r="A135" s="48" t="s">
        <v>139</v>
      </c>
      <c r="B135" s="53"/>
      <c r="C135" s="49"/>
      <c r="D135" s="68"/>
      <c r="E135" s="68"/>
      <c r="F135" s="68">
        <v>0</v>
      </c>
      <c r="G135" s="68"/>
      <c r="H135" s="68">
        <v>0</v>
      </c>
      <c r="I135" s="68"/>
      <c r="J135" s="68">
        <v>0</v>
      </c>
      <c r="K135" s="68"/>
      <c r="L135" s="68">
        <v>0</v>
      </c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51">
        <f t="shared" si="25"/>
        <v>0</v>
      </c>
      <c r="AB135" s="51">
        <f t="shared" si="31"/>
        <v>0</v>
      </c>
      <c r="AD135" s="31">
        <f t="shared" si="27"/>
        <v>0</v>
      </c>
      <c r="AE135" s="31">
        <f t="shared" si="28"/>
        <v>0</v>
      </c>
      <c r="AF135" s="17">
        <f t="shared" si="29"/>
        <v>0</v>
      </c>
      <c r="AG135" s="17">
        <f t="shared" si="30"/>
        <v>0</v>
      </c>
      <c r="BG135" s="20"/>
    </row>
    <row r="136" spans="1:123" s="19" customFormat="1" ht="18" customHeight="1" outlineLevel="1" x14ac:dyDescent="0.25">
      <c r="A136" s="48" t="s">
        <v>140</v>
      </c>
      <c r="B136" s="53"/>
      <c r="C136" s="49"/>
      <c r="D136" s="68"/>
      <c r="E136" s="68"/>
      <c r="F136" s="68">
        <v>0</v>
      </c>
      <c r="G136" s="68"/>
      <c r="H136" s="68">
        <v>0</v>
      </c>
      <c r="I136" s="68"/>
      <c r="J136" s="68">
        <v>0</v>
      </c>
      <c r="K136" s="68"/>
      <c r="L136" s="68">
        <v>0</v>
      </c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51">
        <f t="shared" si="25"/>
        <v>0</v>
      </c>
      <c r="AB136" s="51">
        <f t="shared" si="31"/>
        <v>0</v>
      </c>
      <c r="AD136" s="31">
        <f t="shared" si="27"/>
        <v>0</v>
      </c>
      <c r="AE136" s="31">
        <f t="shared" si="28"/>
        <v>0</v>
      </c>
      <c r="AF136" s="17">
        <f t="shared" si="29"/>
        <v>0</v>
      </c>
      <c r="AG136" s="17">
        <f t="shared" si="30"/>
        <v>0</v>
      </c>
      <c r="BG136" s="20"/>
    </row>
    <row r="137" spans="1:123" s="19" customFormat="1" ht="18" customHeight="1" outlineLevel="1" x14ac:dyDescent="0.25">
      <c r="A137" s="48" t="s">
        <v>141</v>
      </c>
      <c r="B137" s="53"/>
      <c r="C137" s="49"/>
      <c r="D137" s="68"/>
      <c r="E137" s="68"/>
      <c r="F137" s="68">
        <v>0</v>
      </c>
      <c r="G137" s="68"/>
      <c r="H137" s="68">
        <v>0</v>
      </c>
      <c r="I137" s="68"/>
      <c r="J137" s="68">
        <v>0</v>
      </c>
      <c r="K137" s="68"/>
      <c r="L137" s="68">
        <v>0</v>
      </c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51">
        <f t="shared" si="25"/>
        <v>0</v>
      </c>
      <c r="AB137" s="51">
        <f t="shared" si="31"/>
        <v>0</v>
      </c>
      <c r="AD137" s="31">
        <f t="shared" si="27"/>
        <v>0</v>
      </c>
      <c r="AE137" s="31">
        <f t="shared" si="28"/>
        <v>0</v>
      </c>
      <c r="AF137" s="17">
        <f t="shared" si="29"/>
        <v>0</v>
      </c>
      <c r="AG137" s="17">
        <f t="shared" si="30"/>
        <v>0</v>
      </c>
      <c r="BG137" s="20"/>
    </row>
    <row r="138" spans="1:123" s="17" customFormat="1" ht="18" customHeight="1" outlineLevel="1" x14ac:dyDescent="0.25">
      <c r="A138" s="67" t="s">
        <v>142</v>
      </c>
      <c r="B138" s="45"/>
      <c r="C138" s="69"/>
      <c r="D138" s="65"/>
      <c r="E138" s="65"/>
      <c r="F138" s="65">
        <f>SUM(F139:F142)</f>
        <v>0</v>
      </c>
      <c r="G138" s="65"/>
      <c r="H138" s="65">
        <f>SUM(H139:H142)</f>
        <v>0</v>
      </c>
      <c r="I138" s="65"/>
      <c r="J138" s="65">
        <f>SUM(J139:J142)</f>
        <v>0</v>
      </c>
      <c r="K138" s="65"/>
      <c r="L138" s="65">
        <f>SUM(L139:L142)</f>
        <v>0</v>
      </c>
      <c r="M138" s="65"/>
      <c r="N138" s="65">
        <f>SUM(N139:N142)</f>
        <v>0</v>
      </c>
      <c r="O138" s="65"/>
      <c r="P138" s="65">
        <f>SUM(P139:P142)</f>
        <v>0</v>
      </c>
      <c r="Q138" s="65"/>
      <c r="R138" s="65">
        <f>SUM(R139:R142)</f>
        <v>0</v>
      </c>
      <c r="S138" s="65"/>
      <c r="T138" s="65">
        <f>SUM(T139:T142)</f>
        <v>0</v>
      </c>
      <c r="U138" s="65"/>
      <c r="V138" s="65">
        <f>SUM(V139:V142)</f>
        <v>0</v>
      </c>
      <c r="W138" s="65"/>
      <c r="X138" s="65">
        <f>SUM(X139:X142)</f>
        <v>0</v>
      </c>
      <c r="Y138" s="65"/>
      <c r="Z138" s="65">
        <f>SUM(Z139:Z142)</f>
        <v>0</v>
      </c>
      <c r="AA138" s="51">
        <f t="shared" si="25"/>
        <v>0</v>
      </c>
      <c r="AB138" s="51">
        <f t="shared" si="31"/>
        <v>0</v>
      </c>
      <c r="AC138" s="21"/>
      <c r="AD138" s="31">
        <f t="shared" si="27"/>
        <v>0</v>
      </c>
      <c r="AE138" s="31">
        <f t="shared" si="28"/>
        <v>0</v>
      </c>
      <c r="AF138" s="17">
        <f t="shared" si="29"/>
        <v>0</v>
      </c>
      <c r="AG138" s="17">
        <f t="shared" si="30"/>
        <v>0</v>
      </c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66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</row>
    <row r="139" spans="1:123" s="19" customFormat="1" ht="18" customHeight="1" outlineLevel="2" x14ac:dyDescent="0.25">
      <c r="A139" s="48" t="s">
        <v>143</v>
      </c>
      <c r="B139" s="53"/>
      <c r="C139" s="49"/>
      <c r="D139" s="68"/>
      <c r="E139" s="68"/>
      <c r="F139" s="68">
        <v>0</v>
      </c>
      <c r="G139" s="68"/>
      <c r="H139" s="68">
        <v>0</v>
      </c>
      <c r="I139" s="68"/>
      <c r="J139" s="68">
        <v>0</v>
      </c>
      <c r="K139" s="68"/>
      <c r="L139" s="68">
        <v>0</v>
      </c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51">
        <f t="shared" si="25"/>
        <v>0</v>
      </c>
      <c r="AB139" s="51">
        <f t="shared" si="31"/>
        <v>0</v>
      </c>
      <c r="AD139" s="31">
        <f t="shared" si="27"/>
        <v>0</v>
      </c>
      <c r="AE139" s="31">
        <f t="shared" si="28"/>
        <v>0</v>
      </c>
      <c r="AF139" s="17">
        <f t="shared" si="29"/>
        <v>0</v>
      </c>
      <c r="AG139" s="17">
        <f t="shared" si="30"/>
        <v>0</v>
      </c>
      <c r="BG139" s="20"/>
    </row>
    <row r="140" spans="1:123" s="19" customFormat="1" ht="18" customHeight="1" outlineLevel="2" x14ac:dyDescent="0.25">
      <c r="A140" s="48" t="s">
        <v>144</v>
      </c>
      <c r="B140" s="53"/>
      <c r="C140" s="49"/>
      <c r="D140" s="68"/>
      <c r="E140" s="68"/>
      <c r="F140" s="68">
        <v>0</v>
      </c>
      <c r="G140" s="68"/>
      <c r="H140" s="68">
        <v>0</v>
      </c>
      <c r="I140" s="68"/>
      <c r="J140" s="68">
        <v>0</v>
      </c>
      <c r="K140" s="68"/>
      <c r="L140" s="68">
        <v>0</v>
      </c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51">
        <f t="shared" si="25"/>
        <v>0</v>
      </c>
      <c r="AB140" s="51">
        <f t="shared" si="31"/>
        <v>0</v>
      </c>
      <c r="AD140" s="31">
        <f t="shared" si="27"/>
        <v>0</v>
      </c>
      <c r="AE140" s="31">
        <f t="shared" si="28"/>
        <v>0</v>
      </c>
      <c r="AF140" s="17">
        <f t="shared" si="29"/>
        <v>0</v>
      </c>
      <c r="AG140" s="17">
        <f t="shared" si="30"/>
        <v>0</v>
      </c>
      <c r="BG140" s="20"/>
    </row>
    <row r="141" spans="1:123" s="19" customFormat="1" ht="18" customHeight="1" outlineLevel="2" x14ac:dyDescent="0.25">
      <c r="A141" s="48" t="s">
        <v>145</v>
      </c>
      <c r="B141" s="53"/>
      <c r="C141" s="49"/>
      <c r="D141" s="68"/>
      <c r="E141" s="68"/>
      <c r="F141" s="68">
        <v>0</v>
      </c>
      <c r="G141" s="68"/>
      <c r="H141" s="68">
        <v>0</v>
      </c>
      <c r="I141" s="68"/>
      <c r="J141" s="68">
        <v>0</v>
      </c>
      <c r="K141" s="68"/>
      <c r="L141" s="68">
        <v>0</v>
      </c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51">
        <f t="shared" si="25"/>
        <v>0</v>
      </c>
      <c r="AB141" s="51">
        <f t="shared" si="31"/>
        <v>0</v>
      </c>
      <c r="AD141" s="31">
        <f t="shared" si="27"/>
        <v>0</v>
      </c>
      <c r="AE141" s="31">
        <f t="shared" si="28"/>
        <v>0</v>
      </c>
      <c r="AF141" s="17">
        <f t="shared" si="29"/>
        <v>0</v>
      </c>
      <c r="AG141" s="17">
        <f t="shared" si="30"/>
        <v>0</v>
      </c>
      <c r="BG141" s="20"/>
    </row>
    <row r="142" spans="1:123" s="19" customFormat="1" ht="18" customHeight="1" outlineLevel="2" x14ac:dyDescent="0.25">
      <c r="A142" s="48" t="s">
        <v>146</v>
      </c>
      <c r="B142" s="53"/>
      <c r="C142" s="49"/>
      <c r="D142" s="68"/>
      <c r="E142" s="68"/>
      <c r="F142" s="68">
        <v>0</v>
      </c>
      <c r="G142" s="68"/>
      <c r="H142" s="68">
        <v>0</v>
      </c>
      <c r="I142" s="68"/>
      <c r="J142" s="68">
        <v>0</v>
      </c>
      <c r="K142" s="68"/>
      <c r="L142" s="68">
        <v>0</v>
      </c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51">
        <f t="shared" si="25"/>
        <v>0</v>
      </c>
      <c r="AB142" s="51">
        <f t="shared" si="31"/>
        <v>0</v>
      </c>
      <c r="AD142" s="31">
        <f t="shared" si="27"/>
        <v>0</v>
      </c>
      <c r="AE142" s="31">
        <f t="shared" si="28"/>
        <v>0</v>
      </c>
      <c r="AF142" s="17">
        <f t="shared" si="29"/>
        <v>0</v>
      </c>
      <c r="AG142" s="17">
        <f t="shared" si="30"/>
        <v>0</v>
      </c>
      <c r="BG142" s="20"/>
    </row>
    <row r="143" spans="1:123" s="19" customFormat="1" ht="18" customHeight="1" outlineLevel="1" x14ac:dyDescent="0.25">
      <c r="A143" s="48" t="s">
        <v>147</v>
      </c>
      <c r="B143" s="53"/>
      <c r="C143" s="49"/>
      <c r="D143" s="68"/>
      <c r="E143" s="68"/>
      <c r="F143" s="68">
        <v>0</v>
      </c>
      <c r="G143" s="68"/>
      <c r="H143" s="68">
        <v>0</v>
      </c>
      <c r="I143" s="68"/>
      <c r="J143" s="68">
        <v>0</v>
      </c>
      <c r="K143" s="68"/>
      <c r="L143" s="68">
        <v>0</v>
      </c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51">
        <f t="shared" si="25"/>
        <v>0</v>
      </c>
      <c r="AB143" s="51">
        <f t="shared" si="31"/>
        <v>0</v>
      </c>
      <c r="AD143" s="31">
        <f t="shared" si="27"/>
        <v>0</v>
      </c>
      <c r="AE143" s="31">
        <f t="shared" si="28"/>
        <v>0</v>
      </c>
      <c r="AF143" s="17">
        <f t="shared" si="29"/>
        <v>0</v>
      </c>
      <c r="AG143" s="17">
        <f t="shared" si="30"/>
        <v>0</v>
      </c>
      <c r="BG143" s="20"/>
    </row>
    <row r="144" spans="1:123" s="19" customFormat="1" ht="18" customHeight="1" outlineLevel="1" x14ac:dyDescent="0.25">
      <c r="A144" s="48" t="s">
        <v>148</v>
      </c>
      <c r="B144" s="53"/>
      <c r="C144" s="49"/>
      <c r="D144" s="68"/>
      <c r="E144" s="68"/>
      <c r="F144" s="68">
        <v>0</v>
      </c>
      <c r="G144" s="68"/>
      <c r="H144" s="68">
        <v>0</v>
      </c>
      <c r="I144" s="68"/>
      <c r="J144" s="68">
        <v>0</v>
      </c>
      <c r="K144" s="68"/>
      <c r="L144" s="68">
        <v>0</v>
      </c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51">
        <f t="shared" si="25"/>
        <v>0</v>
      </c>
      <c r="AB144" s="51">
        <f t="shared" si="31"/>
        <v>0</v>
      </c>
      <c r="AD144" s="31">
        <f t="shared" si="27"/>
        <v>0</v>
      </c>
      <c r="AE144" s="31">
        <f t="shared" si="28"/>
        <v>0</v>
      </c>
      <c r="AF144" s="17">
        <f t="shared" si="29"/>
        <v>0</v>
      </c>
      <c r="AG144" s="17">
        <f t="shared" si="30"/>
        <v>0</v>
      </c>
      <c r="BG144" s="20"/>
    </row>
    <row r="145" spans="1:59" s="19" customFormat="1" ht="18" customHeight="1" outlineLevel="1" x14ac:dyDescent="0.25">
      <c r="A145" s="48" t="s">
        <v>149</v>
      </c>
      <c r="B145" s="53"/>
      <c r="C145" s="49"/>
      <c r="D145" s="68"/>
      <c r="E145" s="68"/>
      <c r="F145" s="68">
        <v>0</v>
      </c>
      <c r="G145" s="68"/>
      <c r="H145" s="68">
        <v>0</v>
      </c>
      <c r="I145" s="68"/>
      <c r="J145" s="68">
        <v>0</v>
      </c>
      <c r="K145" s="68"/>
      <c r="L145" s="68">
        <v>0</v>
      </c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51">
        <f t="shared" si="25"/>
        <v>0</v>
      </c>
      <c r="AB145" s="51">
        <f t="shared" si="31"/>
        <v>0</v>
      </c>
      <c r="AD145" s="31">
        <f t="shared" si="27"/>
        <v>0</v>
      </c>
      <c r="AE145" s="31">
        <f t="shared" si="28"/>
        <v>0</v>
      </c>
      <c r="AF145" s="17">
        <f t="shared" si="29"/>
        <v>0</v>
      </c>
      <c r="AG145" s="17">
        <f t="shared" si="30"/>
        <v>0</v>
      </c>
      <c r="BG145" s="20"/>
    </row>
    <row r="146" spans="1:59" s="19" customFormat="1" ht="18" customHeight="1" outlineLevel="1" x14ac:dyDescent="0.25">
      <c r="A146" s="48" t="s">
        <v>150</v>
      </c>
      <c r="B146" s="53"/>
      <c r="C146" s="49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51">
        <f t="shared" si="25"/>
        <v>0</v>
      </c>
      <c r="AB146" s="51">
        <f t="shared" si="31"/>
        <v>0</v>
      </c>
      <c r="AD146" s="31">
        <f t="shared" si="27"/>
        <v>0</v>
      </c>
      <c r="AE146" s="31">
        <f t="shared" si="28"/>
        <v>0</v>
      </c>
      <c r="AF146" s="17">
        <f t="shared" si="29"/>
        <v>0</v>
      </c>
      <c r="AG146" s="17">
        <f t="shared" si="30"/>
        <v>0</v>
      </c>
      <c r="BG146" s="20"/>
    </row>
    <row r="147" spans="1:59" s="19" customFormat="1" ht="18" customHeight="1" outlineLevel="1" x14ac:dyDescent="0.25">
      <c r="A147" s="48" t="s">
        <v>151</v>
      </c>
      <c r="B147" s="53"/>
      <c r="C147" s="49"/>
      <c r="D147" s="68"/>
      <c r="E147" s="68"/>
      <c r="F147" s="68">
        <v>0</v>
      </c>
      <c r="G147" s="68"/>
      <c r="H147" s="68">
        <v>0</v>
      </c>
      <c r="I147" s="68"/>
      <c r="J147" s="68">
        <v>0</v>
      </c>
      <c r="K147" s="68"/>
      <c r="L147" s="68">
        <v>0</v>
      </c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51">
        <f t="shared" si="25"/>
        <v>0</v>
      </c>
      <c r="AB147" s="51">
        <f t="shared" si="31"/>
        <v>0</v>
      </c>
      <c r="AD147" s="31">
        <f t="shared" si="27"/>
        <v>0</v>
      </c>
      <c r="AE147" s="31">
        <f t="shared" si="28"/>
        <v>0</v>
      </c>
      <c r="AF147" s="17">
        <f t="shared" si="29"/>
        <v>0</v>
      </c>
      <c r="AG147" s="17">
        <f t="shared" si="30"/>
        <v>0</v>
      </c>
      <c r="BG147" s="20"/>
    </row>
    <row r="148" spans="1:59" s="19" customFormat="1" ht="18" customHeight="1" outlineLevel="1" x14ac:dyDescent="0.25">
      <c r="A148" s="48" t="s">
        <v>152</v>
      </c>
      <c r="B148" s="53"/>
      <c r="C148" s="49"/>
      <c r="D148" s="68"/>
      <c r="E148" s="68"/>
      <c r="F148" s="68">
        <v>0</v>
      </c>
      <c r="G148" s="68"/>
      <c r="H148" s="68">
        <v>0</v>
      </c>
      <c r="I148" s="68"/>
      <c r="J148" s="68">
        <v>0</v>
      </c>
      <c r="K148" s="68"/>
      <c r="L148" s="68">
        <v>0</v>
      </c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51">
        <f t="shared" si="25"/>
        <v>0</v>
      </c>
      <c r="AB148" s="51">
        <f t="shared" si="31"/>
        <v>0</v>
      </c>
      <c r="AD148" s="31">
        <f t="shared" si="27"/>
        <v>0</v>
      </c>
      <c r="AE148" s="31">
        <f t="shared" si="28"/>
        <v>0</v>
      </c>
      <c r="AF148" s="17">
        <f t="shared" si="29"/>
        <v>0</v>
      </c>
      <c r="AG148" s="17">
        <f t="shared" si="30"/>
        <v>0</v>
      </c>
      <c r="BG148" s="20"/>
    </row>
    <row r="149" spans="1:59" s="19" customFormat="1" ht="18" customHeight="1" outlineLevel="1" x14ac:dyDescent="0.25">
      <c r="A149" s="48" t="s">
        <v>153</v>
      </c>
      <c r="B149" s="53"/>
      <c r="C149" s="49"/>
      <c r="D149" s="68"/>
      <c r="E149" s="68"/>
      <c r="F149" s="68">
        <v>0</v>
      </c>
      <c r="G149" s="68"/>
      <c r="H149" s="68">
        <v>0</v>
      </c>
      <c r="I149" s="68"/>
      <c r="J149" s="68">
        <v>0</v>
      </c>
      <c r="K149" s="68"/>
      <c r="L149" s="68">
        <v>0</v>
      </c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51">
        <f t="shared" si="25"/>
        <v>0</v>
      </c>
      <c r="AB149" s="51">
        <f t="shared" si="31"/>
        <v>0</v>
      </c>
      <c r="AD149" s="31">
        <f t="shared" si="27"/>
        <v>0</v>
      </c>
      <c r="AE149" s="31">
        <f t="shared" si="28"/>
        <v>0</v>
      </c>
      <c r="AF149" s="17">
        <f t="shared" si="29"/>
        <v>0</v>
      </c>
      <c r="AG149" s="17">
        <f t="shared" si="30"/>
        <v>0</v>
      </c>
      <c r="BG149" s="20"/>
    </row>
    <row r="150" spans="1:59" s="19" customFormat="1" ht="18" customHeight="1" outlineLevel="1" x14ac:dyDescent="0.25">
      <c r="A150" s="48" t="s">
        <v>154</v>
      </c>
      <c r="B150" s="53"/>
      <c r="C150" s="49"/>
      <c r="D150" s="68"/>
      <c r="E150" s="68"/>
      <c r="F150" s="68">
        <v>0</v>
      </c>
      <c r="G150" s="68"/>
      <c r="H150" s="68">
        <v>0</v>
      </c>
      <c r="I150" s="68"/>
      <c r="J150" s="68">
        <v>0</v>
      </c>
      <c r="K150" s="68"/>
      <c r="L150" s="68">
        <v>0</v>
      </c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51">
        <f t="shared" si="25"/>
        <v>0</v>
      </c>
      <c r="AB150" s="51">
        <f t="shared" si="31"/>
        <v>0</v>
      </c>
      <c r="AD150" s="31">
        <f t="shared" si="27"/>
        <v>0</v>
      </c>
      <c r="AE150" s="31">
        <f t="shared" si="28"/>
        <v>0</v>
      </c>
      <c r="AF150" s="17">
        <f t="shared" si="29"/>
        <v>0</v>
      </c>
      <c r="AG150" s="17">
        <f t="shared" si="30"/>
        <v>0</v>
      </c>
      <c r="BG150" s="20"/>
    </row>
    <row r="151" spans="1:59" s="19" customFormat="1" ht="18" customHeight="1" outlineLevel="1" x14ac:dyDescent="0.25">
      <c r="A151" s="48" t="s">
        <v>155</v>
      </c>
      <c r="B151" s="53"/>
      <c r="C151" s="49"/>
      <c r="D151" s="68"/>
      <c r="E151" s="68"/>
      <c r="F151" s="68">
        <v>0</v>
      </c>
      <c r="G151" s="68"/>
      <c r="H151" s="68">
        <v>0</v>
      </c>
      <c r="I151" s="68"/>
      <c r="J151" s="68">
        <v>0</v>
      </c>
      <c r="K151" s="68"/>
      <c r="L151" s="68">
        <v>0</v>
      </c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51">
        <f t="shared" si="25"/>
        <v>0</v>
      </c>
      <c r="AB151" s="51">
        <f t="shared" si="31"/>
        <v>0</v>
      </c>
      <c r="AD151" s="31">
        <f t="shared" si="27"/>
        <v>0</v>
      </c>
      <c r="AE151" s="31">
        <f t="shared" si="28"/>
        <v>0</v>
      </c>
      <c r="AF151" s="17">
        <f t="shared" si="29"/>
        <v>0</v>
      </c>
      <c r="AG151" s="17">
        <f t="shared" si="30"/>
        <v>0</v>
      </c>
      <c r="BG151" s="20"/>
    </row>
    <row r="152" spans="1:59" s="19" customFormat="1" ht="18" customHeight="1" outlineLevel="1" x14ac:dyDescent="0.25">
      <c r="A152" s="48" t="s">
        <v>156</v>
      </c>
      <c r="B152" s="53"/>
      <c r="C152" s="49"/>
      <c r="D152" s="68"/>
      <c r="E152" s="68"/>
      <c r="F152" s="68">
        <v>0</v>
      </c>
      <c r="G152" s="68"/>
      <c r="H152" s="68">
        <v>0</v>
      </c>
      <c r="I152" s="68"/>
      <c r="J152" s="68">
        <v>0</v>
      </c>
      <c r="K152" s="68"/>
      <c r="L152" s="68">
        <v>0</v>
      </c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51">
        <f t="shared" si="25"/>
        <v>0</v>
      </c>
      <c r="AB152" s="51">
        <f t="shared" si="31"/>
        <v>0</v>
      </c>
      <c r="AD152" s="31">
        <f t="shared" si="27"/>
        <v>0</v>
      </c>
      <c r="AE152" s="31">
        <f t="shared" si="28"/>
        <v>0</v>
      </c>
      <c r="AF152" s="17">
        <f t="shared" si="29"/>
        <v>0</v>
      </c>
      <c r="AG152" s="17">
        <f t="shared" si="30"/>
        <v>0</v>
      </c>
      <c r="BG152" s="20"/>
    </row>
    <row r="153" spans="1:59" s="19" customFormat="1" ht="18" customHeight="1" outlineLevel="1" x14ac:dyDescent="0.25">
      <c r="A153" s="48" t="s">
        <v>157</v>
      </c>
      <c r="B153" s="53"/>
      <c r="C153" s="49"/>
      <c r="D153" s="68"/>
      <c r="E153" s="68"/>
      <c r="F153" s="68">
        <v>0</v>
      </c>
      <c r="G153" s="68"/>
      <c r="H153" s="68">
        <v>0</v>
      </c>
      <c r="I153" s="68"/>
      <c r="J153" s="68">
        <v>0</v>
      </c>
      <c r="K153" s="68"/>
      <c r="L153" s="68">
        <v>0</v>
      </c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51">
        <f t="shared" si="25"/>
        <v>0</v>
      </c>
      <c r="AB153" s="51">
        <f t="shared" si="31"/>
        <v>0</v>
      </c>
      <c r="AD153" s="31">
        <f t="shared" si="27"/>
        <v>0</v>
      </c>
      <c r="AE153" s="31">
        <f t="shared" si="28"/>
        <v>0</v>
      </c>
      <c r="AF153" s="17">
        <f t="shared" si="29"/>
        <v>0</v>
      </c>
      <c r="AG153" s="17">
        <f t="shared" si="30"/>
        <v>0</v>
      </c>
      <c r="BG153" s="20"/>
    </row>
    <row r="154" spans="1:59" s="19" customFormat="1" ht="18" customHeight="1" outlineLevel="1" x14ac:dyDescent="0.25">
      <c r="A154" s="48" t="s">
        <v>158</v>
      </c>
      <c r="B154" s="53"/>
      <c r="C154" s="49"/>
      <c r="D154" s="68"/>
      <c r="E154" s="68"/>
      <c r="F154" s="68">
        <v>0</v>
      </c>
      <c r="G154" s="68"/>
      <c r="H154" s="68">
        <v>0</v>
      </c>
      <c r="I154" s="68"/>
      <c r="J154" s="68">
        <v>0</v>
      </c>
      <c r="K154" s="68"/>
      <c r="L154" s="68">
        <v>0</v>
      </c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51">
        <f t="shared" si="25"/>
        <v>0</v>
      </c>
      <c r="AB154" s="51">
        <f t="shared" si="31"/>
        <v>0</v>
      </c>
      <c r="AD154" s="31">
        <f t="shared" si="27"/>
        <v>0</v>
      </c>
      <c r="AE154" s="31">
        <f t="shared" si="28"/>
        <v>0</v>
      </c>
      <c r="AF154" s="17">
        <f t="shared" si="29"/>
        <v>0</v>
      </c>
      <c r="AG154" s="17">
        <f t="shared" si="30"/>
        <v>0</v>
      </c>
      <c r="BG154" s="20"/>
    </row>
    <row r="155" spans="1:59" s="19" customFormat="1" ht="18" customHeight="1" outlineLevel="1" x14ac:dyDescent="0.25">
      <c r="A155" s="48" t="s">
        <v>100</v>
      </c>
      <c r="B155" s="53"/>
      <c r="C155" s="49"/>
      <c r="D155" s="68"/>
      <c r="E155" s="68"/>
      <c r="F155" s="68">
        <v>0</v>
      </c>
      <c r="G155" s="68"/>
      <c r="H155" s="68">
        <v>0</v>
      </c>
      <c r="I155" s="68"/>
      <c r="J155" s="68">
        <v>0</v>
      </c>
      <c r="K155" s="68"/>
      <c r="L155" s="68">
        <v>0</v>
      </c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51">
        <f t="shared" si="25"/>
        <v>0</v>
      </c>
      <c r="AB155" s="51">
        <f t="shared" si="31"/>
        <v>0</v>
      </c>
      <c r="AD155" s="31">
        <f t="shared" si="27"/>
        <v>0</v>
      </c>
      <c r="AE155" s="31">
        <f t="shared" si="28"/>
        <v>0</v>
      </c>
      <c r="AF155" s="17">
        <f t="shared" si="29"/>
        <v>0</v>
      </c>
      <c r="AG155" s="17">
        <f t="shared" si="30"/>
        <v>0</v>
      </c>
      <c r="BG155" s="20"/>
    </row>
    <row r="156" spans="1:59" s="19" customFormat="1" ht="18" customHeight="1" outlineLevel="1" x14ac:dyDescent="0.25">
      <c r="A156" s="48" t="s">
        <v>159</v>
      </c>
      <c r="B156" s="53"/>
      <c r="C156" s="49"/>
      <c r="D156" s="68"/>
      <c r="E156" s="68"/>
      <c r="F156" s="68">
        <v>0</v>
      </c>
      <c r="G156" s="68"/>
      <c r="H156" s="68">
        <v>0</v>
      </c>
      <c r="I156" s="68"/>
      <c r="J156" s="68">
        <v>0</v>
      </c>
      <c r="K156" s="68"/>
      <c r="L156" s="68">
        <v>0</v>
      </c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51">
        <f t="shared" ref="AA156:AA219" si="32">C156+E156+G156+I156+K156+M156+O156+Q156+S156+U156+W156+Y156</f>
        <v>0</v>
      </c>
      <c r="AB156" s="51">
        <f t="shared" si="31"/>
        <v>0</v>
      </c>
      <c r="AD156" s="31">
        <f t="shared" ref="AD156:AD219" si="33">SUMIF($C$5:$Z$5,$AD$5,C156:Z156)</f>
        <v>0</v>
      </c>
      <c r="AE156" s="31">
        <f t="shared" ref="AE156:AE219" si="34">SUMIF($C$5:$Z$5,$AD$5,D156:AA156)</f>
        <v>0</v>
      </c>
      <c r="AF156" s="17">
        <f t="shared" si="29"/>
        <v>0</v>
      </c>
      <c r="AG156" s="17">
        <f t="shared" si="30"/>
        <v>0</v>
      </c>
      <c r="BG156" s="20"/>
    </row>
    <row r="157" spans="1:59" s="19" customFormat="1" ht="18" customHeight="1" outlineLevel="1" x14ac:dyDescent="0.25">
      <c r="A157" s="48" t="s">
        <v>160</v>
      </c>
      <c r="B157" s="53"/>
      <c r="C157" s="49"/>
      <c r="D157" s="68"/>
      <c r="E157" s="68"/>
      <c r="F157" s="68">
        <v>0</v>
      </c>
      <c r="G157" s="68"/>
      <c r="H157" s="68">
        <v>0</v>
      </c>
      <c r="I157" s="68"/>
      <c r="J157" s="68">
        <v>0</v>
      </c>
      <c r="K157" s="68"/>
      <c r="L157" s="68">
        <v>0</v>
      </c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51">
        <f t="shared" si="32"/>
        <v>0</v>
      </c>
      <c r="AB157" s="51">
        <f t="shared" si="31"/>
        <v>0</v>
      </c>
      <c r="AD157" s="31">
        <f t="shared" si="33"/>
        <v>0</v>
      </c>
      <c r="AE157" s="31">
        <f t="shared" si="34"/>
        <v>0</v>
      </c>
      <c r="AF157" s="17">
        <f t="shared" si="29"/>
        <v>0</v>
      </c>
      <c r="AG157" s="17">
        <f t="shared" si="30"/>
        <v>0</v>
      </c>
      <c r="BG157" s="20"/>
    </row>
    <row r="158" spans="1:59" s="19" customFormat="1" ht="18" customHeight="1" outlineLevel="1" x14ac:dyDescent="0.25">
      <c r="A158" s="48" t="s">
        <v>161</v>
      </c>
      <c r="B158" s="53"/>
      <c r="C158" s="49"/>
      <c r="D158" s="68"/>
      <c r="E158" s="68"/>
      <c r="F158" s="68">
        <v>0</v>
      </c>
      <c r="G158" s="68"/>
      <c r="H158" s="68">
        <v>0</v>
      </c>
      <c r="I158" s="68"/>
      <c r="J158" s="68">
        <v>0</v>
      </c>
      <c r="K158" s="68"/>
      <c r="L158" s="68">
        <v>0</v>
      </c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51">
        <f t="shared" si="32"/>
        <v>0</v>
      </c>
      <c r="AB158" s="51">
        <f t="shared" si="31"/>
        <v>0</v>
      </c>
      <c r="AD158" s="31">
        <f t="shared" si="33"/>
        <v>0</v>
      </c>
      <c r="AE158" s="31">
        <f t="shared" si="34"/>
        <v>0</v>
      </c>
      <c r="AF158" s="17">
        <f t="shared" ref="AF158:AF221" si="35">AA158-AD158</f>
        <v>0</v>
      </c>
      <c r="AG158" s="17">
        <f t="shared" ref="AG158:AG221" si="36">AB158-AE158</f>
        <v>0</v>
      </c>
      <c r="BG158" s="20"/>
    </row>
    <row r="159" spans="1:59" s="19" customFormat="1" ht="18" customHeight="1" outlineLevel="1" x14ac:dyDescent="0.25">
      <c r="A159" s="48" t="s">
        <v>162</v>
      </c>
      <c r="B159" s="53"/>
      <c r="C159" s="49"/>
      <c r="D159" s="68"/>
      <c r="E159" s="68"/>
      <c r="F159" s="68">
        <v>0</v>
      </c>
      <c r="G159" s="68"/>
      <c r="H159" s="68">
        <v>0</v>
      </c>
      <c r="I159" s="68"/>
      <c r="J159" s="68">
        <v>0</v>
      </c>
      <c r="K159" s="68"/>
      <c r="L159" s="68">
        <v>0</v>
      </c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51">
        <f t="shared" si="32"/>
        <v>0</v>
      </c>
      <c r="AB159" s="51">
        <f t="shared" si="31"/>
        <v>0</v>
      </c>
      <c r="AD159" s="31">
        <f t="shared" si="33"/>
        <v>0</v>
      </c>
      <c r="AE159" s="31">
        <f t="shared" si="34"/>
        <v>0</v>
      </c>
      <c r="AF159" s="17">
        <f t="shared" si="35"/>
        <v>0</v>
      </c>
      <c r="AG159" s="17">
        <f t="shared" si="36"/>
        <v>0</v>
      </c>
      <c r="BG159" s="20"/>
    </row>
    <row r="160" spans="1:59" s="19" customFormat="1" ht="18" customHeight="1" outlineLevel="1" x14ac:dyDescent="0.25">
      <c r="A160" s="48" t="s">
        <v>163</v>
      </c>
      <c r="B160" s="53"/>
      <c r="C160" s="49"/>
      <c r="D160" s="68"/>
      <c r="E160" s="68"/>
      <c r="F160" s="68">
        <v>0</v>
      </c>
      <c r="G160" s="68"/>
      <c r="H160" s="68">
        <v>0</v>
      </c>
      <c r="I160" s="68"/>
      <c r="J160" s="68">
        <v>0</v>
      </c>
      <c r="K160" s="68"/>
      <c r="L160" s="68">
        <v>0</v>
      </c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51">
        <f t="shared" si="32"/>
        <v>0</v>
      </c>
      <c r="AB160" s="51">
        <f t="shared" si="31"/>
        <v>0</v>
      </c>
      <c r="AD160" s="31">
        <f t="shared" si="33"/>
        <v>0</v>
      </c>
      <c r="AE160" s="31">
        <f t="shared" si="34"/>
        <v>0</v>
      </c>
      <c r="AF160" s="17">
        <f t="shared" si="35"/>
        <v>0</v>
      </c>
      <c r="AG160" s="17">
        <f t="shared" si="36"/>
        <v>0</v>
      </c>
      <c r="BG160" s="20"/>
    </row>
    <row r="161" spans="1:59" s="19" customFormat="1" ht="18" customHeight="1" outlineLevel="1" x14ac:dyDescent="0.25">
      <c r="A161" s="48" t="s">
        <v>164</v>
      </c>
      <c r="B161" s="53"/>
      <c r="C161" s="49"/>
      <c r="D161" s="68"/>
      <c r="E161" s="68"/>
      <c r="F161" s="68">
        <v>0</v>
      </c>
      <c r="G161" s="68"/>
      <c r="H161" s="68">
        <v>0</v>
      </c>
      <c r="I161" s="68"/>
      <c r="J161" s="68">
        <v>0</v>
      </c>
      <c r="K161" s="68"/>
      <c r="L161" s="68">
        <v>0</v>
      </c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51">
        <f t="shared" si="32"/>
        <v>0</v>
      </c>
      <c r="AB161" s="51">
        <f t="shared" si="31"/>
        <v>0</v>
      </c>
      <c r="AD161" s="31">
        <f t="shared" si="33"/>
        <v>0</v>
      </c>
      <c r="AE161" s="31">
        <f t="shared" si="34"/>
        <v>0</v>
      </c>
      <c r="AF161" s="17">
        <f t="shared" si="35"/>
        <v>0</v>
      </c>
      <c r="AG161" s="17">
        <f t="shared" si="36"/>
        <v>0</v>
      </c>
      <c r="BG161" s="20"/>
    </row>
    <row r="162" spans="1:59" s="19" customFormat="1" ht="18" customHeight="1" outlineLevel="1" x14ac:dyDescent="0.25">
      <c r="A162" s="48" t="s">
        <v>165</v>
      </c>
      <c r="B162" s="53"/>
      <c r="C162" s="49"/>
      <c r="D162" s="68"/>
      <c r="E162" s="68"/>
      <c r="F162" s="68">
        <v>0</v>
      </c>
      <c r="G162" s="68"/>
      <c r="H162" s="68">
        <v>0</v>
      </c>
      <c r="I162" s="68"/>
      <c r="J162" s="68">
        <v>0</v>
      </c>
      <c r="K162" s="68"/>
      <c r="L162" s="68">
        <v>0</v>
      </c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51">
        <f t="shared" si="32"/>
        <v>0</v>
      </c>
      <c r="AB162" s="51">
        <f t="shared" si="31"/>
        <v>0</v>
      </c>
      <c r="AD162" s="31">
        <f t="shared" si="33"/>
        <v>0</v>
      </c>
      <c r="AE162" s="31">
        <f t="shared" si="34"/>
        <v>0</v>
      </c>
      <c r="AF162" s="17">
        <f t="shared" si="35"/>
        <v>0</v>
      </c>
      <c r="AG162" s="17">
        <f t="shared" si="36"/>
        <v>0</v>
      </c>
      <c r="BG162" s="20"/>
    </row>
    <row r="163" spans="1:59" s="19" customFormat="1" ht="18" customHeight="1" outlineLevel="1" x14ac:dyDescent="0.25">
      <c r="A163" s="48" t="s">
        <v>166</v>
      </c>
      <c r="B163" s="53"/>
      <c r="C163" s="49"/>
      <c r="D163" s="68"/>
      <c r="E163" s="68"/>
      <c r="F163" s="68">
        <v>0</v>
      </c>
      <c r="G163" s="68"/>
      <c r="H163" s="68">
        <v>0</v>
      </c>
      <c r="I163" s="68"/>
      <c r="J163" s="68">
        <v>0</v>
      </c>
      <c r="K163" s="68"/>
      <c r="L163" s="68">
        <v>0</v>
      </c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51">
        <f t="shared" si="32"/>
        <v>0</v>
      </c>
      <c r="AB163" s="51">
        <f t="shared" si="31"/>
        <v>0</v>
      </c>
      <c r="AD163" s="31">
        <f t="shared" si="33"/>
        <v>0</v>
      </c>
      <c r="AE163" s="31">
        <f t="shared" si="34"/>
        <v>0</v>
      </c>
      <c r="AF163" s="17">
        <f t="shared" si="35"/>
        <v>0</v>
      </c>
      <c r="AG163" s="17">
        <f t="shared" si="36"/>
        <v>0</v>
      </c>
      <c r="BG163" s="20"/>
    </row>
    <row r="164" spans="1:59" s="19" customFormat="1" ht="18" customHeight="1" outlineLevel="1" x14ac:dyDescent="0.25">
      <c r="A164" s="48" t="s">
        <v>167</v>
      </c>
      <c r="B164" s="53"/>
      <c r="C164" s="49"/>
      <c r="D164" s="68"/>
      <c r="E164" s="68"/>
      <c r="F164" s="68">
        <v>0</v>
      </c>
      <c r="G164" s="68"/>
      <c r="H164" s="68">
        <v>0</v>
      </c>
      <c r="I164" s="68"/>
      <c r="J164" s="68">
        <v>0</v>
      </c>
      <c r="K164" s="68"/>
      <c r="L164" s="68">
        <v>0</v>
      </c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51">
        <f t="shared" si="32"/>
        <v>0</v>
      </c>
      <c r="AB164" s="51">
        <f t="shared" si="31"/>
        <v>0</v>
      </c>
      <c r="AD164" s="31">
        <f t="shared" si="33"/>
        <v>0</v>
      </c>
      <c r="AE164" s="31">
        <f t="shared" si="34"/>
        <v>0</v>
      </c>
      <c r="AF164" s="17">
        <f t="shared" si="35"/>
        <v>0</v>
      </c>
      <c r="AG164" s="17">
        <f t="shared" si="36"/>
        <v>0</v>
      </c>
      <c r="BG164" s="20"/>
    </row>
    <row r="165" spans="1:59" s="19" customFormat="1" ht="18" customHeight="1" outlineLevel="1" x14ac:dyDescent="0.25">
      <c r="A165" s="48" t="s">
        <v>168</v>
      </c>
      <c r="B165" s="53"/>
      <c r="C165" s="49"/>
      <c r="D165" s="68"/>
      <c r="E165" s="68"/>
      <c r="F165" s="68">
        <v>0</v>
      </c>
      <c r="G165" s="68"/>
      <c r="H165" s="68">
        <v>0</v>
      </c>
      <c r="I165" s="68"/>
      <c r="J165" s="68">
        <v>0</v>
      </c>
      <c r="K165" s="68"/>
      <c r="L165" s="68">
        <v>0</v>
      </c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51">
        <f t="shared" si="32"/>
        <v>0</v>
      </c>
      <c r="AB165" s="51">
        <f t="shared" si="31"/>
        <v>0</v>
      </c>
      <c r="AD165" s="31">
        <f t="shared" si="33"/>
        <v>0</v>
      </c>
      <c r="AE165" s="31">
        <f t="shared" si="34"/>
        <v>0</v>
      </c>
      <c r="AF165" s="17">
        <f t="shared" si="35"/>
        <v>0</v>
      </c>
      <c r="AG165" s="17">
        <f t="shared" si="36"/>
        <v>0</v>
      </c>
      <c r="BG165" s="20"/>
    </row>
    <row r="166" spans="1:59" s="19" customFormat="1" ht="18" customHeight="1" outlineLevel="1" x14ac:dyDescent="0.25">
      <c r="A166" s="48" t="s">
        <v>169</v>
      </c>
      <c r="B166" s="53"/>
      <c r="C166" s="49"/>
      <c r="D166" s="68"/>
      <c r="E166" s="68"/>
      <c r="F166" s="68">
        <v>0</v>
      </c>
      <c r="G166" s="68"/>
      <c r="H166" s="68">
        <v>0</v>
      </c>
      <c r="I166" s="68"/>
      <c r="J166" s="68">
        <v>0</v>
      </c>
      <c r="K166" s="68"/>
      <c r="L166" s="68">
        <v>0</v>
      </c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51">
        <f t="shared" si="32"/>
        <v>0</v>
      </c>
      <c r="AB166" s="51">
        <f t="shared" si="31"/>
        <v>0</v>
      </c>
      <c r="AD166" s="31">
        <f t="shared" si="33"/>
        <v>0</v>
      </c>
      <c r="AE166" s="31">
        <f t="shared" si="34"/>
        <v>0</v>
      </c>
      <c r="AF166" s="17">
        <f t="shared" si="35"/>
        <v>0</v>
      </c>
      <c r="AG166" s="17">
        <f t="shared" si="36"/>
        <v>0</v>
      </c>
      <c r="BG166" s="20"/>
    </row>
    <row r="167" spans="1:59" s="19" customFormat="1" ht="18" customHeight="1" outlineLevel="1" x14ac:dyDescent="0.25">
      <c r="A167" s="48" t="s">
        <v>170</v>
      </c>
      <c r="B167" s="53"/>
      <c r="C167" s="49"/>
      <c r="D167" s="68"/>
      <c r="E167" s="68"/>
      <c r="F167" s="68">
        <v>0</v>
      </c>
      <c r="G167" s="68"/>
      <c r="H167" s="68">
        <v>0</v>
      </c>
      <c r="I167" s="68"/>
      <c r="J167" s="68">
        <v>0</v>
      </c>
      <c r="K167" s="68"/>
      <c r="L167" s="68">
        <v>0</v>
      </c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51">
        <f t="shared" si="32"/>
        <v>0</v>
      </c>
      <c r="AB167" s="51">
        <f t="shared" ref="AB167:AB175" si="37">D167+F167+H167+J167+L167+N167+P167+R167+T167+V167+X167+Z167</f>
        <v>0</v>
      </c>
      <c r="AD167" s="31">
        <f t="shared" si="33"/>
        <v>0</v>
      </c>
      <c r="AE167" s="31">
        <f t="shared" si="34"/>
        <v>0</v>
      </c>
      <c r="AF167" s="17">
        <f t="shared" si="35"/>
        <v>0</v>
      </c>
      <c r="AG167" s="17">
        <f t="shared" si="36"/>
        <v>0</v>
      </c>
      <c r="BG167" s="20"/>
    </row>
    <row r="168" spans="1:59" s="19" customFormat="1" ht="18" customHeight="1" outlineLevel="1" x14ac:dyDescent="0.25">
      <c r="A168" s="48" t="s">
        <v>171</v>
      </c>
      <c r="B168" s="53"/>
      <c r="C168" s="49"/>
      <c r="D168" s="68"/>
      <c r="E168" s="68"/>
      <c r="F168" s="68">
        <v>0</v>
      </c>
      <c r="G168" s="68"/>
      <c r="H168" s="68">
        <v>0</v>
      </c>
      <c r="I168" s="68"/>
      <c r="J168" s="68">
        <v>0</v>
      </c>
      <c r="K168" s="68"/>
      <c r="L168" s="68">
        <v>0</v>
      </c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51">
        <f t="shared" si="32"/>
        <v>0</v>
      </c>
      <c r="AB168" s="51">
        <f t="shared" si="37"/>
        <v>0</v>
      </c>
      <c r="AD168" s="31">
        <f t="shared" si="33"/>
        <v>0</v>
      </c>
      <c r="AE168" s="31">
        <f t="shared" si="34"/>
        <v>0</v>
      </c>
      <c r="AF168" s="17">
        <f t="shared" si="35"/>
        <v>0</v>
      </c>
      <c r="AG168" s="17">
        <f t="shared" si="36"/>
        <v>0</v>
      </c>
      <c r="BG168" s="20"/>
    </row>
    <row r="169" spans="1:59" s="19" customFormat="1" ht="18" customHeight="1" outlineLevel="1" x14ac:dyDescent="0.25">
      <c r="A169" s="48" t="s">
        <v>172</v>
      </c>
      <c r="B169" s="53"/>
      <c r="C169" s="49"/>
      <c r="D169" s="68"/>
      <c r="E169" s="68"/>
      <c r="F169" s="68">
        <v>0</v>
      </c>
      <c r="G169" s="68"/>
      <c r="H169" s="68">
        <v>0</v>
      </c>
      <c r="I169" s="68"/>
      <c r="J169" s="68">
        <v>0</v>
      </c>
      <c r="K169" s="68"/>
      <c r="L169" s="68">
        <v>0</v>
      </c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51">
        <f t="shared" si="32"/>
        <v>0</v>
      </c>
      <c r="AB169" s="51">
        <f t="shared" si="37"/>
        <v>0</v>
      </c>
      <c r="AD169" s="31">
        <f t="shared" si="33"/>
        <v>0</v>
      </c>
      <c r="AE169" s="31">
        <f t="shared" si="34"/>
        <v>0</v>
      </c>
      <c r="AF169" s="17">
        <f t="shared" si="35"/>
        <v>0</v>
      </c>
      <c r="AG169" s="17">
        <f t="shared" si="36"/>
        <v>0</v>
      </c>
      <c r="BG169" s="20"/>
    </row>
    <row r="170" spans="1:59" s="19" customFormat="1" ht="18" customHeight="1" outlineLevel="1" x14ac:dyDescent="0.25">
      <c r="A170" s="48" t="s">
        <v>173</v>
      </c>
      <c r="B170" s="53"/>
      <c r="C170" s="49"/>
      <c r="D170" s="68"/>
      <c r="E170" s="68"/>
      <c r="F170" s="68">
        <v>0</v>
      </c>
      <c r="G170" s="68"/>
      <c r="H170" s="68">
        <v>0</v>
      </c>
      <c r="I170" s="68"/>
      <c r="J170" s="68">
        <v>0</v>
      </c>
      <c r="K170" s="68"/>
      <c r="L170" s="68">
        <v>0</v>
      </c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51">
        <f t="shared" si="32"/>
        <v>0</v>
      </c>
      <c r="AB170" s="51">
        <f t="shared" si="37"/>
        <v>0</v>
      </c>
      <c r="AD170" s="31">
        <f t="shared" si="33"/>
        <v>0</v>
      </c>
      <c r="AE170" s="31">
        <f t="shared" si="34"/>
        <v>0</v>
      </c>
      <c r="AF170" s="17">
        <f t="shared" si="35"/>
        <v>0</v>
      </c>
      <c r="AG170" s="17">
        <f t="shared" si="36"/>
        <v>0</v>
      </c>
      <c r="BG170" s="20"/>
    </row>
    <row r="171" spans="1:59" s="19" customFormat="1" ht="18" customHeight="1" outlineLevel="1" x14ac:dyDescent="0.25">
      <c r="A171" s="48" t="s">
        <v>174</v>
      </c>
      <c r="B171" s="53"/>
      <c r="C171" s="49"/>
      <c r="D171" s="68"/>
      <c r="E171" s="68"/>
      <c r="F171" s="68">
        <v>0</v>
      </c>
      <c r="G171" s="68"/>
      <c r="H171" s="68">
        <v>0</v>
      </c>
      <c r="I171" s="68"/>
      <c r="J171" s="68">
        <v>0</v>
      </c>
      <c r="K171" s="68"/>
      <c r="L171" s="68">
        <v>0</v>
      </c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51">
        <f t="shared" si="32"/>
        <v>0</v>
      </c>
      <c r="AB171" s="51">
        <f t="shared" si="37"/>
        <v>0</v>
      </c>
      <c r="AD171" s="31">
        <f t="shared" si="33"/>
        <v>0</v>
      </c>
      <c r="AE171" s="31">
        <f t="shared" si="34"/>
        <v>0</v>
      </c>
      <c r="AF171" s="17">
        <f t="shared" si="35"/>
        <v>0</v>
      </c>
      <c r="AG171" s="17">
        <f t="shared" si="36"/>
        <v>0</v>
      </c>
      <c r="BG171" s="20"/>
    </row>
    <row r="172" spans="1:59" s="19" customFormat="1" ht="18" customHeight="1" outlineLevel="1" x14ac:dyDescent="0.25">
      <c r="A172" s="48" t="s">
        <v>175</v>
      </c>
      <c r="B172" s="53"/>
      <c r="C172" s="49"/>
      <c r="D172" s="68"/>
      <c r="E172" s="68"/>
      <c r="F172" s="68">
        <v>0</v>
      </c>
      <c r="G172" s="68"/>
      <c r="H172" s="68">
        <v>0</v>
      </c>
      <c r="I172" s="68"/>
      <c r="J172" s="68">
        <v>0</v>
      </c>
      <c r="K172" s="68"/>
      <c r="L172" s="68">
        <v>0</v>
      </c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51">
        <f t="shared" si="32"/>
        <v>0</v>
      </c>
      <c r="AB172" s="51">
        <f t="shared" si="37"/>
        <v>0</v>
      </c>
      <c r="AD172" s="31">
        <f t="shared" si="33"/>
        <v>0</v>
      </c>
      <c r="AE172" s="31">
        <f t="shared" si="34"/>
        <v>0</v>
      </c>
      <c r="AF172" s="17">
        <f t="shared" si="35"/>
        <v>0</v>
      </c>
      <c r="AG172" s="17">
        <f t="shared" si="36"/>
        <v>0</v>
      </c>
      <c r="BG172" s="20"/>
    </row>
    <row r="173" spans="1:59" s="19" customFormat="1" ht="18" customHeight="1" outlineLevel="1" x14ac:dyDescent="0.25">
      <c r="A173" s="48" t="s">
        <v>176</v>
      </c>
      <c r="B173" s="53"/>
      <c r="C173" s="49"/>
      <c r="D173" s="68"/>
      <c r="E173" s="68"/>
      <c r="F173" s="68">
        <v>0</v>
      </c>
      <c r="G173" s="68"/>
      <c r="H173" s="68">
        <v>0</v>
      </c>
      <c r="I173" s="68"/>
      <c r="J173" s="68">
        <v>0</v>
      </c>
      <c r="K173" s="68"/>
      <c r="L173" s="68">
        <v>0</v>
      </c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51">
        <f t="shared" si="32"/>
        <v>0</v>
      </c>
      <c r="AB173" s="51">
        <f t="shared" si="37"/>
        <v>0</v>
      </c>
      <c r="AD173" s="31">
        <f t="shared" si="33"/>
        <v>0</v>
      </c>
      <c r="AE173" s="31">
        <f t="shared" si="34"/>
        <v>0</v>
      </c>
      <c r="AF173" s="17">
        <f t="shared" si="35"/>
        <v>0</v>
      </c>
      <c r="AG173" s="17">
        <f t="shared" si="36"/>
        <v>0</v>
      </c>
      <c r="BG173" s="20"/>
    </row>
    <row r="174" spans="1:59" s="19" customFormat="1" ht="18" customHeight="1" outlineLevel="1" x14ac:dyDescent="0.25">
      <c r="A174" s="48" t="s">
        <v>177</v>
      </c>
      <c r="B174" s="53"/>
      <c r="C174" s="49"/>
      <c r="D174" s="68"/>
      <c r="E174" s="68"/>
      <c r="F174" s="68">
        <v>0</v>
      </c>
      <c r="G174" s="68"/>
      <c r="H174" s="68">
        <v>0</v>
      </c>
      <c r="I174" s="68"/>
      <c r="J174" s="68">
        <v>0</v>
      </c>
      <c r="K174" s="68"/>
      <c r="L174" s="68">
        <v>0</v>
      </c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51">
        <f t="shared" si="32"/>
        <v>0</v>
      </c>
      <c r="AB174" s="51">
        <f t="shared" si="37"/>
        <v>0</v>
      </c>
      <c r="AD174" s="31">
        <f t="shared" si="33"/>
        <v>0</v>
      </c>
      <c r="AE174" s="31">
        <f t="shared" si="34"/>
        <v>0</v>
      </c>
      <c r="AF174" s="17">
        <f t="shared" si="35"/>
        <v>0</v>
      </c>
      <c r="AG174" s="17">
        <f t="shared" si="36"/>
        <v>0</v>
      </c>
      <c r="BG174" s="20"/>
    </row>
    <row r="175" spans="1:59" s="19" customFormat="1" ht="18" customHeight="1" outlineLevel="1" x14ac:dyDescent="0.25">
      <c r="A175" s="48" t="s">
        <v>178</v>
      </c>
      <c r="B175" s="53"/>
      <c r="C175" s="49"/>
      <c r="D175" s="68"/>
      <c r="E175" s="68"/>
      <c r="F175" s="68">
        <v>0</v>
      </c>
      <c r="G175" s="68"/>
      <c r="H175" s="68">
        <v>0</v>
      </c>
      <c r="I175" s="68"/>
      <c r="J175" s="68">
        <v>0</v>
      </c>
      <c r="K175" s="68"/>
      <c r="L175" s="68">
        <v>0</v>
      </c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51">
        <f t="shared" si="32"/>
        <v>0</v>
      </c>
      <c r="AB175" s="51">
        <f t="shared" si="37"/>
        <v>0</v>
      </c>
      <c r="AD175" s="31">
        <f t="shared" si="33"/>
        <v>0</v>
      </c>
      <c r="AE175" s="31">
        <f t="shared" si="34"/>
        <v>0</v>
      </c>
      <c r="AF175" s="17">
        <f t="shared" si="35"/>
        <v>0</v>
      </c>
      <c r="AG175" s="17">
        <f t="shared" si="36"/>
        <v>0</v>
      </c>
      <c r="BG175" s="20"/>
    </row>
    <row r="176" spans="1:59" s="21" customFormat="1" ht="18" customHeight="1" x14ac:dyDescent="0.25">
      <c r="A176" s="52" t="s">
        <v>181</v>
      </c>
      <c r="B176" s="45">
        <v>8</v>
      </c>
      <c r="C176" s="69"/>
      <c r="D176" s="65"/>
      <c r="E176" s="65"/>
      <c r="F176" s="65">
        <f>SUM(F177:F249)-F177-F180-F189-F200-F212</f>
        <v>0</v>
      </c>
      <c r="G176" s="65"/>
      <c r="H176" s="65">
        <f>SUM(H177:H249)-H177-H180-H189-H200-H212</f>
        <v>0</v>
      </c>
      <c r="I176" s="65"/>
      <c r="J176" s="65">
        <f>SUM(J177:J249)-J177-J180-J189-J200-J212</f>
        <v>0</v>
      </c>
      <c r="K176" s="65"/>
      <c r="L176" s="65">
        <f>SUM(L177:L249)-L177-L180-L189-L200-L212</f>
        <v>0</v>
      </c>
      <c r="M176" s="65"/>
      <c r="N176" s="65">
        <f>SUM(N177:N249)-N177-N180-N189-N200-N212</f>
        <v>0</v>
      </c>
      <c r="O176" s="65"/>
      <c r="P176" s="65">
        <f>SUM(P177:P249)-P177-P180-P189-P200-P212</f>
        <v>0</v>
      </c>
      <c r="Q176" s="65"/>
      <c r="R176" s="65">
        <f>SUM(R177:R249)-R177-R180-R189-R200-R212</f>
        <v>0</v>
      </c>
      <c r="S176" s="65"/>
      <c r="T176" s="65">
        <f>SUM(T177:T249)-T177-T180-T189-T200-T212</f>
        <v>0</v>
      </c>
      <c r="U176" s="65"/>
      <c r="V176" s="65">
        <f>SUM(V177:V249)-V177-V180-V189-V200-V212</f>
        <v>0</v>
      </c>
      <c r="W176" s="65"/>
      <c r="X176" s="65">
        <f>SUM(X177:X249)-X177-X180-X189-X200-X212</f>
        <v>0</v>
      </c>
      <c r="Y176" s="65"/>
      <c r="Z176" s="65">
        <f>SUM(Z177:Z249)-Z177-Z180-Z189-Z200-Z212</f>
        <v>0</v>
      </c>
      <c r="AA176" s="51">
        <f t="shared" si="32"/>
        <v>0</v>
      </c>
      <c r="AB176" s="70">
        <f>SUM(D176:Z176)</f>
        <v>0</v>
      </c>
      <c r="AD176" s="31">
        <f t="shared" si="33"/>
        <v>0</v>
      </c>
      <c r="AE176" s="31">
        <f t="shared" si="34"/>
        <v>0</v>
      </c>
      <c r="AF176" s="17">
        <f t="shared" si="35"/>
        <v>0</v>
      </c>
      <c r="AG176" s="17">
        <f t="shared" si="36"/>
        <v>0</v>
      </c>
      <c r="BG176" s="66"/>
    </row>
    <row r="177" spans="1:123" s="17" customFormat="1" ht="18" customHeight="1" outlineLevel="1" x14ac:dyDescent="0.25">
      <c r="A177" s="67" t="s">
        <v>107</v>
      </c>
      <c r="B177" s="45"/>
      <c r="C177" s="69"/>
      <c r="D177" s="65"/>
      <c r="E177" s="65"/>
      <c r="F177" s="65">
        <f>SUM(F178:F179)</f>
        <v>0</v>
      </c>
      <c r="G177" s="65"/>
      <c r="H177" s="65">
        <f>SUM(H178:H179)</f>
        <v>0</v>
      </c>
      <c r="I177" s="65"/>
      <c r="J177" s="65">
        <f>SUM(J178:J179)</f>
        <v>0</v>
      </c>
      <c r="K177" s="65"/>
      <c r="L177" s="65">
        <f>SUM(L178:L179)</f>
        <v>0</v>
      </c>
      <c r="M177" s="65"/>
      <c r="N177" s="65">
        <f>SUM(N178:N179)</f>
        <v>0</v>
      </c>
      <c r="O177" s="65"/>
      <c r="P177" s="65">
        <f>SUM(P178:P179)</f>
        <v>0</v>
      </c>
      <c r="Q177" s="65"/>
      <c r="R177" s="65">
        <f>SUM(R178:R179)</f>
        <v>0</v>
      </c>
      <c r="S177" s="65"/>
      <c r="T177" s="65">
        <f>SUM(T178:T179)</f>
        <v>0</v>
      </c>
      <c r="U177" s="65"/>
      <c r="V177" s="65">
        <f>SUM(V178:V179)</f>
        <v>0</v>
      </c>
      <c r="W177" s="65"/>
      <c r="X177" s="65">
        <f>SUM(X178:X179)</f>
        <v>0</v>
      </c>
      <c r="Y177" s="65"/>
      <c r="Z177" s="65">
        <f>SUM(Z178:Z179)</f>
        <v>0</v>
      </c>
      <c r="AA177" s="51">
        <f t="shared" si="32"/>
        <v>0</v>
      </c>
      <c r="AB177" s="51">
        <f t="shared" ref="AB177:AB240" si="38">D177+F177+H177+J177+L177+N177+P177+R177+T177+V177+X177+Z177</f>
        <v>0</v>
      </c>
      <c r="AC177" s="21"/>
      <c r="AD177" s="31">
        <f t="shared" si="33"/>
        <v>0</v>
      </c>
      <c r="AE177" s="31">
        <f t="shared" si="34"/>
        <v>0</v>
      </c>
      <c r="AF177" s="17">
        <f t="shared" si="35"/>
        <v>0</v>
      </c>
      <c r="AG177" s="17">
        <f t="shared" si="36"/>
        <v>0</v>
      </c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</row>
    <row r="178" spans="1:123" s="19" customFormat="1" ht="18" customHeight="1" outlineLevel="2" x14ac:dyDescent="0.25">
      <c r="A178" s="48" t="s">
        <v>108</v>
      </c>
      <c r="B178" s="53"/>
      <c r="C178" s="49"/>
      <c r="D178" s="68"/>
      <c r="E178" s="68"/>
      <c r="F178" s="68">
        <v>0</v>
      </c>
      <c r="G178" s="68"/>
      <c r="H178" s="68">
        <v>0</v>
      </c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51">
        <f t="shared" si="32"/>
        <v>0</v>
      </c>
      <c r="AB178" s="51">
        <f t="shared" si="38"/>
        <v>0</v>
      </c>
      <c r="AD178" s="31">
        <f t="shared" si="33"/>
        <v>0</v>
      </c>
      <c r="AE178" s="31">
        <f t="shared" si="34"/>
        <v>0</v>
      </c>
      <c r="AF178" s="17">
        <f t="shared" si="35"/>
        <v>0</v>
      </c>
      <c r="AG178" s="17">
        <f t="shared" si="36"/>
        <v>0</v>
      </c>
    </row>
    <row r="179" spans="1:123" s="19" customFormat="1" ht="18" customHeight="1" outlineLevel="2" x14ac:dyDescent="0.25">
      <c r="A179" s="48" t="s">
        <v>109</v>
      </c>
      <c r="B179" s="53"/>
      <c r="C179" s="49"/>
      <c r="D179" s="68"/>
      <c r="E179" s="68"/>
      <c r="F179" s="68">
        <v>0</v>
      </c>
      <c r="G179" s="68"/>
      <c r="H179" s="68">
        <v>0</v>
      </c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51">
        <f t="shared" si="32"/>
        <v>0</v>
      </c>
      <c r="AB179" s="51">
        <f t="shared" si="38"/>
        <v>0</v>
      </c>
      <c r="AD179" s="31">
        <f t="shared" si="33"/>
        <v>0</v>
      </c>
      <c r="AE179" s="31">
        <f t="shared" si="34"/>
        <v>0</v>
      </c>
      <c r="AF179" s="17">
        <f t="shared" si="35"/>
        <v>0</v>
      </c>
      <c r="AG179" s="17">
        <f t="shared" si="36"/>
        <v>0</v>
      </c>
    </row>
    <row r="180" spans="1:123" s="17" customFormat="1" ht="18" customHeight="1" outlineLevel="1" x14ac:dyDescent="0.25">
      <c r="A180" s="67" t="s">
        <v>110</v>
      </c>
      <c r="B180" s="45"/>
      <c r="C180" s="69"/>
      <c r="D180" s="65"/>
      <c r="E180" s="65"/>
      <c r="F180" s="65">
        <f>SUM(F181:F185)</f>
        <v>0</v>
      </c>
      <c r="G180" s="65"/>
      <c r="H180" s="65">
        <f>SUM(H181:H185)</f>
        <v>0</v>
      </c>
      <c r="I180" s="65"/>
      <c r="J180" s="65">
        <f>SUM(J181:J185)</f>
        <v>0</v>
      </c>
      <c r="K180" s="65"/>
      <c r="L180" s="65">
        <f>SUM(L181:L185)</f>
        <v>0</v>
      </c>
      <c r="M180" s="65"/>
      <c r="N180" s="65">
        <f>SUM(N181:N185)</f>
        <v>0</v>
      </c>
      <c r="O180" s="65"/>
      <c r="P180" s="65">
        <f>SUM(P181:P185)</f>
        <v>0</v>
      </c>
      <c r="Q180" s="65"/>
      <c r="R180" s="65">
        <f>SUM(R181:R185)</f>
        <v>0</v>
      </c>
      <c r="S180" s="65"/>
      <c r="T180" s="65">
        <f>SUM(T181:T185)</f>
        <v>0</v>
      </c>
      <c r="U180" s="65"/>
      <c r="V180" s="65">
        <f>SUM(V181:V185)</f>
        <v>0</v>
      </c>
      <c r="W180" s="65"/>
      <c r="X180" s="65">
        <f>SUM(X181:X185)</f>
        <v>0</v>
      </c>
      <c r="Y180" s="65"/>
      <c r="Z180" s="65">
        <f>SUM(Z181:Z185)</f>
        <v>0</v>
      </c>
      <c r="AA180" s="51">
        <f t="shared" si="32"/>
        <v>0</v>
      </c>
      <c r="AB180" s="51">
        <f t="shared" si="38"/>
        <v>0</v>
      </c>
      <c r="AC180" s="21"/>
      <c r="AD180" s="31">
        <f t="shared" si="33"/>
        <v>0</v>
      </c>
      <c r="AE180" s="31">
        <f t="shared" si="34"/>
        <v>0</v>
      </c>
      <c r="AF180" s="17">
        <f t="shared" si="35"/>
        <v>0</v>
      </c>
      <c r="AG180" s="17">
        <f t="shared" si="36"/>
        <v>0</v>
      </c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</row>
    <row r="181" spans="1:123" s="19" customFormat="1" ht="18" customHeight="1" outlineLevel="2" x14ac:dyDescent="0.25">
      <c r="A181" s="48" t="s">
        <v>111</v>
      </c>
      <c r="B181" s="53"/>
      <c r="C181" s="49"/>
      <c r="D181" s="68"/>
      <c r="E181" s="68"/>
      <c r="F181" s="68">
        <v>0</v>
      </c>
      <c r="G181" s="68"/>
      <c r="H181" s="68">
        <v>0</v>
      </c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51">
        <f t="shared" si="32"/>
        <v>0</v>
      </c>
      <c r="AB181" s="51">
        <f t="shared" si="38"/>
        <v>0</v>
      </c>
      <c r="AD181" s="31">
        <f t="shared" si="33"/>
        <v>0</v>
      </c>
      <c r="AE181" s="31">
        <f t="shared" si="34"/>
        <v>0</v>
      </c>
      <c r="AF181" s="17">
        <f t="shared" si="35"/>
        <v>0</v>
      </c>
      <c r="AG181" s="17">
        <f t="shared" si="36"/>
        <v>0</v>
      </c>
    </row>
    <row r="182" spans="1:123" s="19" customFormat="1" ht="18" customHeight="1" outlineLevel="2" x14ac:dyDescent="0.25">
      <c r="A182" s="48" t="s">
        <v>112</v>
      </c>
      <c r="B182" s="53"/>
      <c r="C182" s="49"/>
      <c r="D182" s="68"/>
      <c r="E182" s="68"/>
      <c r="F182" s="68">
        <v>0</v>
      </c>
      <c r="G182" s="68"/>
      <c r="H182" s="68">
        <v>0</v>
      </c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51">
        <f t="shared" si="32"/>
        <v>0</v>
      </c>
      <c r="AB182" s="51">
        <f t="shared" si="38"/>
        <v>0</v>
      </c>
      <c r="AD182" s="31">
        <f t="shared" si="33"/>
        <v>0</v>
      </c>
      <c r="AE182" s="31">
        <f t="shared" si="34"/>
        <v>0</v>
      </c>
      <c r="AF182" s="17">
        <f t="shared" si="35"/>
        <v>0</v>
      </c>
      <c r="AG182" s="17">
        <f t="shared" si="36"/>
        <v>0</v>
      </c>
    </row>
    <row r="183" spans="1:123" s="19" customFormat="1" ht="18" customHeight="1" outlineLevel="2" x14ac:dyDescent="0.25">
      <c r="A183" s="48" t="s">
        <v>113</v>
      </c>
      <c r="B183" s="53"/>
      <c r="C183" s="49"/>
      <c r="D183" s="68"/>
      <c r="E183" s="68"/>
      <c r="F183" s="68">
        <v>0</v>
      </c>
      <c r="G183" s="68"/>
      <c r="H183" s="68">
        <v>0</v>
      </c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51">
        <f t="shared" si="32"/>
        <v>0</v>
      </c>
      <c r="AB183" s="51">
        <f t="shared" si="38"/>
        <v>0</v>
      </c>
      <c r="AD183" s="31">
        <f t="shared" si="33"/>
        <v>0</v>
      </c>
      <c r="AE183" s="31">
        <f t="shared" si="34"/>
        <v>0</v>
      </c>
      <c r="AF183" s="17">
        <f t="shared" si="35"/>
        <v>0</v>
      </c>
      <c r="AG183" s="17">
        <f t="shared" si="36"/>
        <v>0</v>
      </c>
    </row>
    <row r="184" spans="1:123" s="19" customFormat="1" ht="18" customHeight="1" outlineLevel="2" x14ac:dyDescent="0.25">
      <c r="A184" s="48" t="s">
        <v>114</v>
      </c>
      <c r="B184" s="53"/>
      <c r="C184" s="49"/>
      <c r="D184" s="68"/>
      <c r="E184" s="68"/>
      <c r="F184" s="68">
        <v>0</v>
      </c>
      <c r="G184" s="68"/>
      <c r="H184" s="68">
        <v>0</v>
      </c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51">
        <f t="shared" si="32"/>
        <v>0</v>
      </c>
      <c r="AB184" s="51">
        <f t="shared" si="38"/>
        <v>0</v>
      </c>
      <c r="AD184" s="31">
        <f t="shared" si="33"/>
        <v>0</v>
      </c>
      <c r="AE184" s="31">
        <f t="shared" si="34"/>
        <v>0</v>
      </c>
      <c r="AF184" s="17">
        <f t="shared" si="35"/>
        <v>0</v>
      </c>
      <c r="AG184" s="17">
        <f t="shared" si="36"/>
        <v>0</v>
      </c>
    </row>
    <row r="185" spans="1:123" s="19" customFormat="1" ht="18" customHeight="1" outlineLevel="2" x14ac:dyDescent="0.25">
      <c r="A185" s="48" t="s">
        <v>115</v>
      </c>
      <c r="B185" s="53"/>
      <c r="C185" s="49"/>
      <c r="D185" s="68"/>
      <c r="E185" s="68"/>
      <c r="F185" s="68">
        <v>0</v>
      </c>
      <c r="G185" s="68"/>
      <c r="H185" s="68">
        <v>0</v>
      </c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51">
        <f t="shared" si="32"/>
        <v>0</v>
      </c>
      <c r="AB185" s="51">
        <f t="shared" si="38"/>
        <v>0</v>
      </c>
      <c r="AD185" s="31">
        <f t="shared" si="33"/>
        <v>0</v>
      </c>
      <c r="AE185" s="31">
        <f t="shared" si="34"/>
        <v>0</v>
      </c>
      <c r="AF185" s="17">
        <f t="shared" si="35"/>
        <v>0</v>
      </c>
      <c r="AG185" s="17">
        <f t="shared" si="36"/>
        <v>0</v>
      </c>
    </row>
    <row r="186" spans="1:123" s="19" customFormat="1" ht="18" customHeight="1" outlineLevel="1" x14ac:dyDescent="0.25">
      <c r="A186" s="48" t="s">
        <v>116</v>
      </c>
      <c r="B186" s="53"/>
      <c r="C186" s="49"/>
      <c r="D186" s="68"/>
      <c r="E186" s="68"/>
      <c r="F186" s="68">
        <v>0</v>
      </c>
      <c r="G186" s="68"/>
      <c r="H186" s="68">
        <v>0</v>
      </c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51">
        <f t="shared" si="32"/>
        <v>0</v>
      </c>
      <c r="AB186" s="51">
        <f t="shared" si="38"/>
        <v>0</v>
      </c>
      <c r="AD186" s="31">
        <f t="shared" si="33"/>
        <v>0</v>
      </c>
      <c r="AE186" s="31">
        <f t="shared" si="34"/>
        <v>0</v>
      </c>
      <c r="AF186" s="17">
        <f t="shared" si="35"/>
        <v>0</v>
      </c>
      <c r="AG186" s="17">
        <f t="shared" si="36"/>
        <v>0</v>
      </c>
    </row>
    <row r="187" spans="1:123" s="19" customFormat="1" ht="18" customHeight="1" outlineLevel="1" x14ac:dyDescent="0.25">
      <c r="A187" s="48" t="s">
        <v>117</v>
      </c>
      <c r="B187" s="53"/>
      <c r="C187" s="49"/>
      <c r="D187" s="68"/>
      <c r="E187" s="68"/>
      <c r="F187" s="68">
        <v>0</v>
      </c>
      <c r="G187" s="68"/>
      <c r="H187" s="68">
        <v>0</v>
      </c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51">
        <f t="shared" si="32"/>
        <v>0</v>
      </c>
      <c r="AB187" s="51">
        <f t="shared" si="38"/>
        <v>0</v>
      </c>
      <c r="AD187" s="31">
        <f t="shared" si="33"/>
        <v>0</v>
      </c>
      <c r="AE187" s="31">
        <f t="shared" si="34"/>
        <v>0</v>
      </c>
      <c r="AF187" s="17">
        <f t="shared" si="35"/>
        <v>0</v>
      </c>
      <c r="AG187" s="17">
        <f t="shared" si="36"/>
        <v>0</v>
      </c>
    </row>
    <row r="188" spans="1:123" s="19" customFormat="1" ht="18" customHeight="1" outlineLevel="1" x14ac:dyDescent="0.25">
      <c r="A188" s="48" t="s">
        <v>118</v>
      </c>
      <c r="B188" s="53"/>
      <c r="C188" s="49"/>
      <c r="D188" s="68"/>
      <c r="E188" s="68"/>
      <c r="F188" s="68">
        <v>0</v>
      </c>
      <c r="G188" s="68"/>
      <c r="H188" s="68">
        <v>0</v>
      </c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51">
        <f t="shared" si="32"/>
        <v>0</v>
      </c>
      <c r="AB188" s="51">
        <f t="shared" si="38"/>
        <v>0</v>
      </c>
      <c r="AD188" s="31">
        <f t="shared" si="33"/>
        <v>0</v>
      </c>
      <c r="AE188" s="31">
        <f t="shared" si="34"/>
        <v>0</v>
      </c>
      <c r="AF188" s="17">
        <f t="shared" si="35"/>
        <v>0</v>
      </c>
      <c r="AG188" s="17">
        <f t="shared" si="36"/>
        <v>0</v>
      </c>
    </row>
    <row r="189" spans="1:123" s="17" customFormat="1" ht="18" customHeight="1" outlineLevel="1" x14ac:dyDescent="0.25">
      <c r="A189" s="67" t="s">
        <v>119</v>
      </c>
      <c r="B189" s="45"/>
      <c r="C189" s="69"/>
      <c r="D189" s="65"/>
      <c r="E189" s="65"/>
      <c r="F189" s="65">
        <f>SUM(F190:F196)</f>
        <v>0</v>
      </c>
      <c r="G189" s="65"/>
      <c r="H189" s="65">
        <f>SUM(H190:H196)</f>
        <v>0</v>
      </c>
      <c r="I189" s="65"/>
      <c r="J189" s="65">
        <f>SUM(J190:J196)</f>
        <v>0</v>
      </c>
      <c r="K189" s="65"/>
      <c r="L189" s="65">
        <f>SUM(L190:L196)</f>
        <v>0</v>
      </c>
      <c r="M189" s="65"/>
      <c r="N189" s="65">
        <f>SUM(N190:N196)</f>
        <v>0</v>
      </c>
      <c r="O189" s="65"/>
      <c r="P189" s="65">
        <f>SUM(P190:P196)</f>
        <v>0</v>
      </c>
      <c r="Q189" s="65"/>
      <c r="R189" s="65">
        <f>SUM(R190:R196)</f>
        <v>0</v>
      </c>
      <c r="S189" s="65"/>
      <c r="T189" s="65">
        <f>SUM(T190:T196)</f>
        <v>0</v>
      </c>
      <c r="U189" s="65"/>
      <c r="V189" s="65">
        <f>SUM(V190:V196)</f>
        <v>0</v>
      </c>
      <c r="W189" s="65"/>
      <c r="X189" s="65">
        <f>SUM(X190:X196)</f>
        <v>0</v>
      </c>
      <c r="Y189" s="65"/>
      <c r="Z189" s="65">
        <f>SUM(Z190:Z196)</f>
        <v>0</v>
      </c>
      <c r="AA189" s="51">
        <f t="shared" si="32"/>
        <v>0</v>
      </c>
      <c r="AB189" s="51">
        <f t="shared" si="38"/>
        <v>0</v>
      </c>
      <c r="AC189" s="21"/>
      <c r="AD189" s="31">
        <f t="shared" si="33"/>
        <v>0</v>
      </c>
      <c r="AE189" s="31">
        <f t="shared" si="34"/>
        <v>0</v>
      </c>
      <c r="AF189" s="17">
        <f t="shared" si="35"/>
        <v>0</v>
      </c>
      <c r="AG189" s="17">
        <f t="shared" si="36"/>
        <v>0</v>
      </c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</row>
    <row r="190" spans="1:123" s="19" customFormat="1" ht="18" customHeight="1" outlineLevel="2" x14ac:dyDescent="0.25">
      <c r="A190" s="48" t="s">
        <v>120</v>
      </c>
      <c r="B190" s="53"/>
      <c r="C190" s="49"/>
      <c r="D190" s="68"/>
      <c r="E190" s="68"/>
      <c r="F190" s="68">
        <v>0</v>
      </c>
      <c r="G190" s="68"/>
      <c r="H190" s="68">
        <v>0</v>
      </c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51">
        <f t="shared" si="32"/>
        <v>0</v>
      </c>
      <c r="AB190" s="51">
        <f t="shared" si="38"/>
        <v>0</v>
      </c>
      <c r="AD190" s="31">
        <f t="shared" si="33"/>
        <v>0</v>
      </c>
      <c r="AE190" s="31">
        <f t="shared" si="34"/>
        <v>0</v>
      </c>
      <c r="AF190" s="17">
        <f t="shared" si="35"/>
        <v>0</v>
      </c>
      <c r="AG190" s="17">
        <f t="shared" si="36"/>
        <v>0</v>
      </c>
    </row>
    <row r="191" spans="1:123" s="19" customFormat="1" ht="18" customHeight="1" outlineLevel="2" x14ac:dyDescent="0.25">
      <c r="A191" s="48" t="s">
        <v>121</v>
      </c>
      <c r="B191" s="53"/>
      <c r="C191" s="49"/>
      <c r="D191" s="68"/>
      <c r="E191" s="68"/>
      <c r="F191" s="68">
        <v>0</v>
      </c>
      <c r="G191" s="68"/>
      <c r="H191" s="68">
        <v>0</v>
      </c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51">
        <f t="shared" si="32"/>
        <v>0</v>
      </c>
      <c r="AB191" s="51">
        <f t="shared" si="38"/>
        <v>0</v>
      </c>
      <c r="AD191" s="31">
        <f t="shared" si="33"/>
        <v>0</v>
      </c>
      <c r="AE191" s="31">
        <f t="shared" si="34"/>
        <v>0</v>
      </c>
      <c r="AF191" s="17">
        <f t="shared" si="35"/>
        <v>0</v>
      </c>
      <c r="AG191" s="17">
        <f t="shared" si="36"/>
        <v>0</v>
      </c>
    </row>
    <row r="192" spans="1:123" s="19" customFormat="1" ht="18" customHeight="1" outlineLevel="2" x14ac:dyDescent="0.25">
      <c r="A192" s="48" t="s">
        <v>122</v>
      </c>
      <c r="B192" s="53"/>
      <c r="C192" s="49"/>
      <c r="D192" s="68"/>
      <c r="E192" s="68"/>
      <c r="F192" s="68">
        <v>0</v>
      </c>
      <c r="G192" s="68"/>
      <c r="H192" s="68">
        <v>0</v>
      </c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51">
        <f t="shared" si="32"/>
        <v>0</v>
      </c>
      <c r="AB192" s="51">
        <f t="shared" si="38"/>
        <v>0</v>
      </c>
      <c r="AD192" s="31">
        <f t="shared" si="33"/>
        <v>0</v>
      </c>
      <c r="AE192" s="31">
        <f t="shared" si="34"/>
        <v>0</v>
      </c>
      <c r="AF192" s="17">
        <f t="shared" si="35"/>
        <v>0</v>
      </c>
      <c r="AG192" s="17">
        <f t="shared" si="36"/>
        <v>0</v>
      </c>
    </row>
    <row r="193" spans="1:123" s="19" customFormat="1" ht="18" customHeight="1" outlineLevel="2" x14ac:dyDescent="0.25">
      <c r="A193" s="48" t="s">
        <v>123</v>
      </c>
      <c r="B193" s="53"/>
      <c r="C193" s="49"/>
      <c r="D193" s="68"/>
      <c r="E193" s="68"/>
      <c r="F193" s="68">
        <v>0</v>
      </c>
      <c r="G193" s="68"/>
      <c r="H193" s="68">
        <v>0</v>
      </c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51">
        <f t="shared" si="32"/>
        <v>0</v>
      </c>
      <c r="AB193" s="51">
        <f t="shared" si="38"/>
        <v>0</v>
      </c>
      <c r="AD193" s="31">
        <f t="shared" si="33"/>
        <v>0</v>
      </c>
      <c r="AE193" s="31">
        <f t="shared" si="34"/>
        <v>0</v>
      </c>
      <c r="AF193" s="17">
        <f t="shared" si="35"/>
        <v>0</v>
      </c>
      <c r="AG193" s="17">
        <f t="shared" si="36"/>
        <v>0</v>
      </c>
    </row>
    <row r="194" spans="1:123" s="19" customFormat="1" ht="18" customHeight="1" outlineLevel="2" x14ac:dyDescent="0.25">
      <c r="A194" s="48" t="s">
        <v>124</v>
      </c>
      <c r="B194" s="53"/>
      <c r="C194" s="49"/>
      <c r="D194" s="68"/>
      <c r="E194" s="68"/>
      <c r="F194" s="68">
        <v>0</v>
      </c>
      <c r="G194" s="68"/>
      <c r="H194" s="68">
        <v>0</v>
      </c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51">
        <f t="shared" si="32"/>
        <v>0</v>
      </c>
      <c r="AB194" s="51">
        <f t="shared" si="38"/>
        <v>0</v>
      </c>
      <c r="AD194" s="31">
        <f t="shared" si="33"/>
        <v>0</v>
      </c>
      <c r="AE194" s="31">
        <f t="shared" si="34"/>
        <v>0</v>
      </c>
      <c r="AF194" s="17">
        <f t="shared" si="35"/>
        <v>0</v>
      </c>
      <c r="AG194" s="17">
        <f t="shared" si="36"/>
        <v>0</v>
      </c>
    </row>
    <row r="195" spans="1:123" s="19" customFormat="1" ht="18" customHeight="1" outlineLevel="2" x14ac:dyDescent="0.25">
      <c r="A195" s="48" t="s">
        <v>125</v>
      </c>
      <c r="B195" s="53"/>
      <c r="C195" s="49"/>
      <c r="D195" s="68"/>
      <c r="E195" s="68"/>
      <c r="F195" s="68">
        <v>0</v>
      </c>
      <c r="G195" s="68"/>
      <c r="H195" s="68">
        <v>0</v>
      </c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51">
        <f t="shared" si="32"/>
        <v>0</v>
      </c>
      <c r="AB195" s="51">
        <f t="shared" si="38"/>
        <v>0</v>
      </c>
      <c r="AD195" s="31">
        <f t="shared" si="33"/>
        <v>0</v>
      </c>
      <c r="AE195" s="31">
        <f t="shared" si="34"/>
        <v>0</v>
      </c>
      <c r="AF195" s="17">
        <f t="shared" si="35"/>
        <v>0</v>
      </c>
      <c r="AG195" s="17">
        <f t="shared" si="36"/>
        <v>0</v>
      </c>
    </row>
    <row r="196" spans="1:123" s="19" customFormat="1" ht="18" customHeight="1" outlineLevel="2" x14ac:dyDescent="0.25">
      <c r="A196" s="48" t="s">
        <v>126</v>
      </c>
      <c r="B196" s="53"/>
      <c r="C196" s="49"/>
      <c r="D196" s="68"/>
      <c r="E196" s="68"/>
      <c r="F196" s="68">
        <v>0</v>
      </c>
      <c r="G196" s="68"/>
      <c r="H196" s="68">
        <v>0</v>
      </c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51">
        <f t="shared" si="32"/>
        <v>0</v>
      </c>
      <c r="AB196" s="51">
        <f t="shared" si="38"/>
        <v>0</v>
      </c>
      <c r="AD196" s="31">
        <f t="shared" si="33"/>
        <v>0</v>
      </c>
      <c r="AE196" s="31">
        <f t="shared" si="34"/>
        <v>0</v>
      </c>
      <c r="AF196" s="17">
        <f t="shared" si="35"/>
        <v>0</v>
      </c>
      <c r="AG196" s="17">
        <f t="shared" si="36"/>
        <v>0</v>
      </c>
    </row>
    <row r="197" spans="1:123" s="19" customFormat="1" ht="18" customHeight="1" outlineLevel="1" x14ac:dyDescent="0.25">
      <c r="A197" s="48" t="s">
        <v>127</v>
      </c>
      <c r="B197" s="53"/>
      <c r="C197" s="49"/>
      <c r="D197" s="68"/>
      <c r="E197" s="68"/>
      <c r="F197" s="68">
        <v>0</v>
      </c>
      <c r="G197" s="68"/>
      <c r="H197" s="68">
        <v>0</v>
      </c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51">
        <f t="shared" si="32"/>
        <v>0</v>
      </c>
      <c r="AB197" s="51">
        <f t="shared" si="38"/>
        <v>0</v>
      </c>
      <c r="AD197" s="31">
        <f t="shared" si="33"/>
        <v>0</v>
      </c>
      <c r="AE197" s="31">
        <f t="shared" si="34"/>
        <v>0</v>
      </c>
      <c r="AF197" s="17">
        <f t="shared" si="35"/>
        <v>0</v>
      </c>
      <c r="AG197" s="17">
        <f t="shared" si="36"/>
        <v>0</v>
      </c>
    </row>
    <row r="198" spans="1:123" s="19" customFormat="1" ht="18" customHeight="1" outlineLevel="1" x14ac:dyDescent="0.25">
      <c r="A198" s="48" t="s">
        <v>128</v>
      </c>
      <c r="B198" s="53"/>
      <c r="C198" s="49"/>
      <c r="D198" s="68"/>
      <c r="E198" s="68"/>
      <c r="F198" s="68">
        <v>0</v>
      </c>
      <c r="G198" s="68"/>
      <c r="H198" s="68">
        <v>0</v>
      </c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51">
        <f t="shared" si="32"/>
        <v>0</v>
      </c>
      <c r="AB198" s="51">
        <f t="shared" si="38"/>
        <v>0</v>
      </c>
      <c r="AD198" s="31">
        <f t="shared" si="33"/>
        <v>0</v>
      </c>
      <c r="AE198" s="31">
        <f t="shared" si="34"/>
        <v>0</v>
      </c>
      <c r="AF198" s="17">
        <f t="shared" si="35"/>
        <v>0</v>
      </c>
      <c r="AG198" s="17">
        <f t="shared" si="36"/>
        <v>0</v>
      </c>
    </row>
    <row r="199" spans="1:123" s="19" customFormat="1" ht="18" customHeight="1" outlineLevel="1" x14ac:dyDescent="0.25">
      <c r="A199" s="48" t="s">
        <v>129</v>
      </c>
      <c r="B199" s="53"/>
      <c r="C199" s="49"/>
      <c r="D199" s="68"/>
      <c r="E199" s="68"/>
      <c r="F199" s="68">
        <v>0</v>
      </c>
      <c r="G199" s="68"/>
      <c r="H199" s="68">
        <v>0</v>
      </c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51">
        <f t="shared" si="32"/>
        <v>0</v>
      </c>
      <c r="AB199" s="51">
        <f t="shared" si="38"/>
        <v>0</v>
      </c>
      <c r="AD199" s="31">
        <f t="shared" si="33"/>
        <v>0</v>
      </c>
      <c r="AE199" s="31">
        <f t="shared" si="34"/>
        <v>0</v>
      </c>
      <c r="AF199" s="17">
        <f t="shared" si="35"/>
        <v>0</v>
      </c>
      <c r="AG199" s="17">
        <f t="shared" si="36"/>
        <v>0</v>
      </c>
    </row>
    <row r="200" spans="1:123" s="17" customFormat="1" ht="18" customHeight="1" outlineLevel="1" x14ac:dyDescent="0.25">
      <c r="A200" s="67" t="s">
        <v>130</v>
      </c>
      <c r="B200" s="45"/>
      <c r="C200" s="69"/>
      <c r="D200" s="65"/>
      <c r="E200" s="65"/>
      <c r="F200" s="65">
        <f>SUM(F201:F205)</f>
        <v>0</v>
      </c>
      <c r="G200" s="65"/>
      <c r="H200" s="65">
        <f>SUM(H201:H205)</f>
        <v>0</v>
      </c>
      <c r="I200" s="65"/>
      <c r="J200" s="65">
        <f>SUM(J201:J205)</f>
        <v>0</v>
      </c>
      <c r="K200" s="65"/>
      <c r="L200" s="65">
        <f>SUM(L201:L205)</f>
        <v>0</v>
      </c>
      <c r="M200" s="65"/>
      <c r="N200" s="65">
        <f>SUM(N201:N205)</f>
        <v>0</v>
      </c>
      <c r="O200" s="65"/>
      <c r="P200" s="65">
        <f>SUM(P201:P205)</f>
        <v>0</v>
      </c>
      <c r="Q200" s="65"/>
      <c r="R200" s="65">
        <f>SUM(R201:R205)</f>
        <v>0</v>
      </c>
      <c r="S200" s="65"/>
      <c r="T200" s="65">
        <f>SUM(T201:T205)</f>
        <v>0</v>
      </c>
      <c r="U200" s="65"/>
      <c r="V200" s="65">
        <f>SUM(V201:V205)</f>
        <v>0</v>
      </c>
      <c r="W200" s="65"/>
      <c r="X200" s="65">
        <f>SUM(X201:X205)</f>
        <v>0</v>
      </c>
      <c r="Y200" s="65"/>
      <c r="Z200" s="65">
        <f>SUM(Z201:Z205)</f>
        <v>0</v>
      </c>
      <c r="AA200" s="51">
        <f t="shared" si="32"/>
        <v>0</v>
      </c>
      <c r="AB200" s="51">
        <f t="shared" si="38"/>
        <v>0</v>
      </c>
      <c r="AC200" s="21"/>
      <c r="AD200" s="31">
        <f t="shared" si="33"/>
        <v>0</v>
      </c>
      <c r="AE200" s="31">
        <f t="shared" si="34"/>
        <v>0</v>
      </c>
      <c r="AF200" s="17">
        <f t="shared" si="35"/>
        <v>0</v>
      </c>
      <c r="AG200" s="17">
        <f t="shared" si="36"/>
        <v>0</v>
      </c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</row>
    <row r="201" spans="1:123" s="19" customFormat="1" ht="18" customHeight="1" outlineLevel="2" x14ac:dyDescent="0.25">
      <c r="A201" s="48" t="s">
        <v>131</v>
      </c>
      <c r="B201" s="53"/>
      <c r="C201" s="49"/>
      <c r="D201" s="68"/>
      <c r="E201" s="68"/>
      <c r="F201" s="68">
        <v>0</v>
      </c>
      <c r="G201" s="68"/>
      <c r="H201" s="68">
        <v>0</v>
      </c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51">
        <f t="shared" si="32"/>
        <v>0</v>
      </c>
      <c r="AB201" s="51">
        <f t="shared" si="38"/>
        <v>0</v>
      </c>
      <c r="AD201" s="31">
        <f t="shared" si="33"/>
        <v>0</v>
      </c>
      <c r="AE201" s="31">
        <f t="shared" si="34"/>
        <v>0</v>
      </c>
      <c r="AF201" s="17">
        <f t="shared" si="35"/>
        <v>0</v>
      </c>
      <c r="AG201" s="17">
        <f t="shared" si="36"/>
        <v>0</v>
      </c>
    </row>
    <row r="202" spans="1:123" s="19" customFormat="1" ht="18" customHeight="1" outlineLevel="2" x14ac:dyDescent="0.25">
      <c r="A202" s="48" t="s">
        <v>132</v>
      </c>
      <c r="B202" s="53"/>
      <c r="C202" s="49"/>
      <c r="D202" s="68"/>
      <c r="E202" s="68"/>
      <c r="F202" s="68">
        <v>0</v>
      </c>
      <c r="G202" s="68"/>
      <c r="H202" s="68">
        <v>0</v>
      </c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51">
        <f t="shared" si="32"/>
        <v>0</v>
      </c>
      <c r="AB202" s="51">
        <f t="shared" si="38"/>
        <v>0</v>
      </c>
      <c r="AD202" s="31">
        <f t="shared" si="33"/>
        <v>0</v>
      </c>
      <c r="AE202" s="31">
        <f t="shared" si="34"/>
        <v>0</v>
      </c>
      <c r="AF202" s="17">
        <f t="shared" si="35"/>
        <v>0</v>
      </c>
      <c r="AG202" s="17">
        <f t="shared" si="36"/>
        <v>0</v>
      </c>
    </row>
    <row r="203" spans="1:123" s="19" customFormat="1" ht="18" customHeight="1" outlineLevel="2" x14ac:dyDescent="0.25">
      <c r="A203" s="48" t="s">
        <v>180</v>
      </c>
      <c r="B203" s="53"/>
      <c r="C203" s="49"/>
      <c r="D203" s="68"/>
      <c r="E203" s="68"/>
      <c r="F203" s="68">
        <v>0</v>
      </c>
      <c r="G203" s="68"/>
      <c r="H203" s="68">
        <v>0</v>
      </c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51">
        <f t="shared" si="32"/>
        <v>0</v>
      </c>
      <c r="AB203" s="51">
        <f t="shared" si="38"/>
        <v>0</v>
      </c>
      <c r="AD203" s="31">
        <f t="shared" si="33"/>
        <v>0</v>
      </c>
      <c r="AE203" s="31">
        <f t="shared" si="34"/>
        <v>0</v>
      </c>
      <c r="AF203" s="17">
        <f t="shared" si="35"/>
        <v>0</v>
      </c>
      <c r="AG203" s="17">
        <f t="shared" si="36"/>
        <v>0</v>
      </c>
    </row>
    <row r="204" spans="1:123" s="19" customFormat="1" ht="18" customHeight="1" outlineLevel="2" x14ac:dyDescent="0.25">
      <c r="A204" s="48" t="s">
        <v>134</v>
      </c>
      <c r="B204" s="53"/>
      <c r="C204" s="49"/>
      <c r="D204" s="68"/>
      <c r="E204" s="68"/>
      <c r="F204" s="68">
        <v>0</v>
      </c>
      <c r="G204" s="68"/>
      <c r="H204" s="68">
        <v>0</v>
      </c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51">
        <f t="shared" si="32"/>
        <v>0</v>
      </c>
      <c r="AB204" s="51">
        <f t="shared" si="38"/>
        <v>0</v>
      </c>
      <c r="AD204" s="31">
        <f t="shared" si="33"/>
        <v>0</v>
      </c>
      <c r="AE204" s="31">
        <f t="shared" si="34"/>
        <v>0</v>
      </c>
      <c r="AF204" s="17">
        <f t="shared" si="35"/>
        <v>0</v>
      </c>
      <c r="AG204" s="17">
        <f t="shared" si="36"/>
        <v>0</v>
      </c>
    </row>
    <row r="205" spans="1:123" s="19" customFormat="1" ht="18" customHeight="1" outlineLevel="2" x14ac:dyDescent="0.25">
      <c r="A205" s="48" t="s">
        <v>135</v>
      </c>
      <c r="B205" s="53"/>
      <c r="C205" s="49"/>
      <c r="D205" s="68"/>
      <c r="E205" s="68"/>
      <c r="F205" s="68">
        <v>0</v>
      </c>
      <c r="G205" s="68"/>
      <c r="H205" s="68">
        <v>0</v>
      </c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51">
        <f t="shared" si="32"/>
        <v>0</v>
      </c>
      <c r="AB205" s="51">
        <f t="shared" si="38"/>
        <v>0</v>
      </c>
      <c r="AD205" s="31">
        <f t="shared" si="33"/>
        <v>0</v>
      </c>
      <c r="AE205" s="31">
        <f t="shared" si="34"/>
        <v>0</v>
      </c>
      <c r="AF205" s="17">
        <f t="shared" si="35"/>
        <v>0</v>
      </c>
      <c r="AG205" s="17">
        <f t="shared" si="36"/>
        <v>0</v>
      </c>
    </row>
    <row r="206" spans="1:123" s="19" customFormat="1" ht="18" customHeight="1" outlineLevel="1" x14ac:dyDescent="0.25">
      <c r="A206" s="48" t="s">
        <v>136</v>
      </c>
      <c r="B206" s="53"/>
      <c r="C206" s="49"/>
      <c r="D206" s="68"/>
      <c r="E206" s="68"/>
      <c r="F206" s="68">
        <v>0</v>
      </c>
      <c r="G206" s="68"/>
      <c r="H206" s="68">
        <v>0</v>
      </c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51">
        <f t="shared" si="32"/>
        <v>0</v>
      </c>
      <c r="AB206" s="51">
        <f t="shared" si="38"/>
        <v>0</v>
      </c>
      <c r="AD206" s="31">
        <f t="shared" si="33"/>
        <v>0</v>
      </c>
      <c r="AE206" s="31">
        <f t="shared" si="34"/>
        <v>0</v>
      </c>
      <c r="AF206" s="17">
        <f t="shared" si="35"/>
        <v>0</v>
      </c>
      <c r="AG206" s="17">
        <f t="shared" si="36"/>
        <v>0</v>
      </c>
    </row>
    <row r="207" spans="1:123" s="19" customFormat="1" ht="18" customHeight="1" outlineLevel="1" x14ac:dyDescent="0.25">
      <c r="A207" s="48" t="s">
        <v>137</v>
      </c>
      <c r="B207" s="53"/>
      <c r="C207" s="49"/>
      <c r="D207" s="68"/>
      <c r="E207" s="68"/>
      <c r="F207" s="68">
        <v>0</v>
      </c>
      <c r="G207" s="68"/>
      <c r="H207" s="68">
        <v>0</v>
      </c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51">
        <f t="shared" si="32"/>
        <v>0</v>
      </c>
      <c r="AB207" s="51">
        <f t="shared" si="38"/>
        <v>0</v>
      </c>
      <c r="AD207" s="31">
        <f t="shared" si="33"/>
        <v>0</v>
      </c>
      <c r="AE207" s="31">
        <f t="shared" si="34"/>
        <v>0</v>
      </c>
      <c r="AF207" s="17">
        <f t="shared" si="35"/>
        <v>0</v>
      </c>
      <c r="AG207" s="17">
        <f t="shared" si="36"/>
        <v>0</v>
      </c>
    </row>
    <row r="208" spans="1:123" s="19" customFormat="1" ht="18" customHeight="1" outlineLevel="1" x14ac:dyDescent="0.25">
      <c r="A208" s="48" t="s">
        <v>138</v>
      </c>
      <c r="B208" s="53"/>
      <c r="C208" s="49"/>
      <c r="D208" s="68"/>
      <c r="E208" s="68"/>
      <c r="F208" s="68">
        <v>0</v>
      </c>
      <c r="G208" s="68"/>
      <c r="H208" s="68">
        <v>0</v>
      </c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51">
        <f t="shared" si="32"/>
        <v>0</v>
      </c>
      <c r="AB208" s="51">
        <f t="shared" si="38"/>
        <v>0</v>
      </c>
      <c r="AD208" s="31">
        <f t="shared" si="33"/>
        <v>0</v>
      </c>
      <c r="AE208" s="31">
        <f t="shared" si="34"/>
        <v>0</v>
      </c>
      <c r="AF208" s="17">
        <f t="shared" si="35"/>
        <v>0</v>
      </c>
      <c r="AG208" s="17">
        <f t="shared" si="36"/>
        <v>0</v>
      </c>
    </row>
    <row r="209" spans="1:123" s="19" customFormat="1" ht="18" customHeight="1" outlineLevel="1" x14ac:dyDescent="0.25">
      <c r="A209" s="48" t="s">
        <v>139</v>
      </c>
      <c r="B209" s="53"/>
      <c r="C209" s="49"/>
      <c r="D209" s="68"/>
      <c r="E209" s="68"/>
      <c r="F209" s="68">
        <v>0</v>
      </c>
      <c r="G209" s="68"/>
      <c r="H209" s="68">
        <v>0</v>
      </c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51">
        <f t="shared" si="32"/>
        <v>0</v>
      </c>
      <c r="AB209" s="51">
        <f t="shared" si="38"/>
        <v>0</v>
      </c>
      <c r="AD209" s="31">
        <f t="shared" si="33"/>
        <v>0</v>
      </c>
      <c r="AE209" s="31">
        <f t="shared" si="34"/>
        <v>0</v>
      </c>
      <c r="AF209" s="17">
        <f t="shared" si="35"/>
        <v>0</v>
      </c>
      <c r="AG209" s="17">
        <f t="shared" si="36"/>
        <v>0</v>
      </c>
    </row>
    <row r="210" spans="1:123" s="19" customFormat="1" ht="18" customHeight="1" outlineLevel="1" x14ac:dyDescent="0.25">
      <c r="A210" s="48" t="s">
        <v>140</v>
      </c>
      <c r="B210" s="53"/>
      <c r="C210" s="49"/>
      <c r="D210" s="68"/>
      <c r="E210" s="68"/>
      <c r="F210" s="68">
        <v>0</v>
      </c>
      <c r="G210" s="68"/>
      <c r="H210" s="68">
        <v>0</v>
      </c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51">
        <f t="shared" si="32"/>
        <v>0</v>
      </c>
      <c r="AB210" s="51">
        <f t="shared" si="38"/>
        <v>0</v>
      </c>
      <c r="AD210" s="31">
        <f t="shared" si="33"/>
        <v>0</v>
      </c>
      <c r="AE210" s="31">
        <f t="shared" si="34"/>
        <v>0</v>
      </c>
      <c r="AF210" s="17">
        <f t="shared" si="35"/>
        <v>0</v>
      </c>
      <c r="AG210" s="17">
        <f t="shared" si="36"/>
        <v>0</v>
      </c>
    </row>
    <row r="211" spans="1:123" s="19" customFormat="1" ht="18" customHeight="1" outlineLevel="1" x14ac:dyDescent="0.25">
      <c r="A211" s="48" t="s">
        <v>141</v>
      </c>
      <c r="B211" s="53"/>
      <c r="C211" s="49"/>
      <c r="D211" s="68"/>
      <c r="E211" s="68"/>
      <c r="F211" s="68">
        <v>0</v>
      </c>
      <c r="G211" s="68"/>
      <c r="H211" s="68">
        <v>0</v>
      </c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51">
        <f t="shared" si="32"/>
        <v>0</v>
      </c>
      <c r="AB211" s="51">
        <f t="shared" si="38"/>
        <v>0</v>
      </c>
      <c r="AD211" s="31">
        <f t="shared" si="33"/>
        <v>0</v>
      </c>
      <c r="AE211" s="31">
        <f t="shared" si="34"/>
        <v>0</v>
      </c>
      <c r="AF211" s="17">
        <f t="shared" si="35"/>
        <v>0</v>
      </c>
      <c r="AG211" s="17">
        <f t="shared" si="36"/>
        <v>0</v>
      </c>
    </row>
    <row r="212" spans="1:123" s="17" customFormat="1" ht="18" customHeight="1" outlineLevel="1" x14ac:dyDescent="0.25">
      <c r="A212" s="67" t="s">
        <v>142</v>
      </c>
      <c r="B212" s="71"/>
      <c r="C212" s="69"/>
      <c r="D212" s="65"/>
      <c r="E212" s="65"/>
      <c r="F212" s="65">
        <f>SUM(F213:F216)</f>
        <v>0</v>
      </c>
      <c r="G212" s="65"/>
      <c r="H212" s="65">
        <f>SUM(H213:H216)</f>
        <v>0</v>
      </c>
      <c r="I212" s="65"/>
      <c r="J212" s="65">
        <f>SUM(J213:J216)</f>
        <v>0</v>
      </c>
      <c r="K212" s="65"/>
      <c r="L212" s="65">
        <f>SUM(L213:L216)</f>
        <v>0</v>
      </c>
      <c r="M212" s="65"/>
      <c r="N212" s="65">
        <f>SUM(N213:N216)</f>
        <v>0</v>
      </c>
      <c r="O212" s="65"/>
      <c r="P212" s="65">
        <f>SUM(P213:P216)</f>
        <v>0</v>
      </c>
      <c r="Q212" s="65"/>
      <c r="R212" s="65">
        <f>SUM(R213:R216)</f>
        <v>0</v>
      </c>
      <c r="S212" s="65"/>
      <c r="T212" s="65">
        <f>SUM(T213:T216)</f>
        <v>0</v>
      </c>
      <c r="U212" s="65"/>
      <c r="V212" s="65">
        <f>SUM(V213:V216)</f>
        <v>0</v>
      </c>
      <c r="W212" s="65"/>
      <c r="X212" s="65">
        <f>SUM(X213:X216)</f>
        <v>0</v>
      </c>
      <c r="Y212" s="65"/>
      <c r="Z212" s="65">
        <f>SUM(Z213:Z216)</f>
        <v>0</v>
      </c>
      <c r="AA212" s="51">
        <f t="shared" si="32"/>
        <v>0</v>
      </c>
      <c r="AB212" s="51">
        <f t="shared" si="38"/>
        <v>0</v>
      </c>
      <c r="AC212" s="21"/>
      <c r="AD212" s="31">
        <f t="shared" si="33"/>
        <v>0</v>
      </c>
      <c r="AE212" s="31">
        <f t="shared" si="34"/>
        <v>0</v>
      </c>
      <c r="AF212" s="17">
        <f t="shared" si="35"/>
        <v>0</v>
      </c>
      <c r="AG212" s="17">
        <f t="shared" si="36"/>
        <v>0</v>
      </c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</row>
    <row r="213" spans="1:123" s="19" customFormat="1" ht="18" customHeight="1" outlineLevel="2" x14ac:dyDescent="0.25">
      <c r="A213" s="48" t="s">
        <v>143</v>
      </c>
      <c r="B213" s="53"/>
      <c r="C213" s="49"/>
      <c r="D213" s="68"/>
      <c r="E213" s="68"/>
      <c r="F213" s="68">
        <v>0</v>
      </c>
      <c r="G213" s="68"/>
      <c r="H213" s="68">
        <v>0</v>
      </c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51">
        <f t="shared" si="32"/>
        <v>0</v>
      </c>
      <c r="AB213" s="51">
        <f t="shared" si="38"/>
        <v>0</v>
      </c>
      <c r="AD213" s="31">
        <f t="shared" si="33"/>
        <v>0</v>
      </c>
      <c r="AE213" s="31">
        <f t="shared" si="34"/>
        <v>0</v>
      </c>
      <c r="AF213" s="17">
        <f t="shared" si="35"/>
        <v>0</v>
      </c>
      <c r="AG213" s="17">
        <f t="shared" si="36"/>
        <v>0</v>
      </c>
    </row>
    <row r="214" spans="1:123" s="19" customFormat="1" ht="18" customHeight="1" outlineLevel="2" x14ac:dyDescent="0.25">
      <c r="A214" s="48" t="s">
        <v>144</v>
      </c>
      <c r="B214" s="53"/>
      <c r="C214" s="49"/>
      <c r="D214" s="68"/>
      <c r="E214" s="68"/>
      <c r="F214" s="68">
        <v>0</v>
      </c>
      <c r="G214" s="68"/>
      <c r="H214" s="68">
        <v>0</v>
      </c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51">
        <f t="shared" si="32"/>
        <v>0</v>
      </c>
      <c r="AB214" s="51">
        <f t="shared" si="38"/>
        <v>0</v>
      </c>
      <c r="AD214" s="31">
        <f t="shared" si="33"/>
        <v>0</v>
      </c>
      <c r="AE214" s="31">
        <f t="shared" si="34"/>
        <v>0</v>
      </c>
      <c r="AF214" s="17">
        <f t="shared" si="35"/>
        <v>0</v>
      </c>
      <c r="AG214" s="17">
        <f t="shared" si="36"/>
        <v>0</v>
      </c>
    </row>
    <row r="215" spans="1:123" s="19" customFormat="1" ht="18" customHeight="1" outlineLevel="2" x14ac:dyDescent="0.25">
      <c r="A215" s="48" t="s">
        <v>145</v>
      </c>
      <c r="B215" s="53"/>
      <c r="C215" s="49"/>
      <c r="D215" s="68"/>
      <c r="E215" s="68"/>
      <c r="F215" s="68">
        <v>0</v>
      </c>
      <c r="G215" s="68"/>
      <c r="H215" s="68">
        <v>0</v>
      </c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51">
        <f t="shared" si="32"/>
        <v>0</v>
      </c>
      <c r="AB215" s="51">
        <f t="shared" si="38"/>
        <v>0</v>
      </c>
      <c r="AD215" s="31">
        <f t="shared" si="33"/>
        <v>0</v>
      </c>
      <c r="AE215" s="31">
        <f t="shared" si="34"/>
        <v>0</v>
      </c>
      <c r="AF215" s="17">
        <f t="shared" si="35"/>
        <v>0</v>
      </c>
      <c r="AG215" s="17">
        <f t="shared" si="36"/>
        <v>0</v>
      </c>
    </row>
    <row r="216" spans="1:123" s="19" customFormat="1" ht="18" customHeight="1" outlineLevel="2" x14ac:dyDescent="0.25">
      <c r="A216" s="48" t="s">
        <v>146</v>
      </c>
      <c r="B216" s="53"/>
      <c r="C216" s="49"/>
      <c r="D216" s="68"/>
      <c r="E216" s="68"/>
      <c r="F216" s="68">
        <v>0</v>
      </c>
      <c r="G216" s="68"/>
      <c r="H216" s="68">
        <v>0</v>
      </c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51">
        <f t="shared" si="32"/>
        <v>0</v>
      </c>
      <c r="AB216" s="51">
        <f t="shared" si="38"/>
        <v>0</v>
      </c>
      <c r="AD216" s="31">
        <f t="shared" si="33"/>
        <v>0</v>
      </c>
      <c r="AE216" s="31">
        <f t="shared" si="34"/>
        <v>0</v>
      </c>
      <c r="AF216" s="17">
        <f t="shared" si="35"/>
        <v>0</v>
      </c>
      <c r="AG216" s="17">
        <f t="shared" si="36"/>
        <v>0</v>
      </c>
    </row>
    <row r="217" spans="1:123" s="19" customFormat="1" ht="18" customHeight="1" outlineLevel="1" x14ac:dyDescent="0.25">
      <c r="A217" s="48" t="s">
        <v>147</v>
      </c>
      <c r="B217" s="53"/>
      <c r="C217" s="49"/>
      <c r="D217" s="68"/>
      <c r="E217" s="68"/>
      <c r="F217" s="68">
        <v>0</v>
      </c>
      <c r="G217" s="68"/>
      <c r="H217" s="68">
        <v>0</v>
      </c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51">
        <f t="shared" si="32"/>
        <v>0</v>
      </c>
      <c r="AB217" s="51">
        <f t="shared" si="38"/>
        <v>0</v>
      </c>
      <c r="AD217" s="31">
        <f t="shared" si="33"/>
        <v>0</v>
      </c>
      <c r="AE217" s="31">
        <f t="shared" si="34"/>
        <v>0</v>
      </c>
      <c r="AF217" s="17">
        <f t="shared" si="35"/>
        <v>0</v>
      </c>
      <c r="AG217" s="17">
        <f t="shared" si="36"/>
        <v>0</v>
      </c>
    </row>
    <row r="218" spans="1:123" s="19" customFormat="1" ht="18" customHeight="1" outlineLevel="1" x14ac:dyDescent="0.25">
      <c r="A218" s="48" t="s">
        <v>148</v>
      </c>
      <c r="B218" s="53"/>
      <c r="C218" s="49"/>
      <c r="D218" s="68"/>
      <c r="E218" s="68"/>
      <c r="F218" s="68">
        <v>0</v>
      </c>
      <c r="G218" s="68"/>
      <c r="H218" s="68">
        <v>0</v>
      </c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51">
        <f t="shared" si="32"/>
        <v>0</v>
      </c>
      <c r="AB218" s="51">
        <f t="shared" si="38"/>
        <v>0</v>
      </c>
      <c r="AD218" s="31">
        <f t="shared" si="33"/>
        <v>0</v>
      </c>
      <c r="AE218" s="31">
        <f t="shared" si="34"/>
        <v>0</v>
      </c>
      <c r="AF218" s="17">
        <f t="shared" si="35"/>
        <v>0</v>
      </c>
      <c r="AG218" s="17">
        <f t="shared" si="36"/>
        <v>0</v>
      </c>
    </row>
    <row r="219" spans="1:123" s="19" customFormat="1" ht="18" customHeight="1" outlineLevel="1" x14ac:dyDescent="0.25">
      <c r="A219" s="48" t="s">
        <v>149</v>
      </c>
      <c r="B219" s="53"/>
      <c r="C219" s="49"/>
      <c r="D219" s="68"/>
      <c r="E219" s="68"/>
      <c r="F219" s="68">
        <v>0</v>
      </c>
      <c r="G219" s="68"/>
      <c r="H219" s="68">
        <v>0</v>
      </c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51">
        <f t="shared" si="32"/>
        <v>0</v>
      </c>
      <c r="AB219" s="51">
        <f t="shared" si="38"/>
        <v>0</v>
      </c>
      <c r="AD219" s="31">
        <f t="shared" si="33"/>
        <v>0</v>
      </c>
      <c r="AE219" s="31">
        <f t="shared" si="34"/>
        <v>0</v>
      </c>
      <c r="AF219" s="17">
        <f t="shared" si="35"/>
        <v>0</v>
      </c>
      <c r="AG219" s="17">
        <f t="shared" si="36"/>
        <v>0</v>
      </c>
    </row>
    <row r="220" spans="1:123" s="19" customFormat="1" ht="18" customHeight="1" outlineLevel="1" x14ac:dyDescent="0.25">
      <c r="A220" s="48" t="s">
        <v>150</v>
      </c>
      <c r="B220" s="53"/>
      <c r="C220" s="49"/>
      <c r="D220" s="68"/>
      <c r="E220" s="68"/>
      <c r="F220" s="68">
        <v>0</v>
      </c>
      <c r="G220" s="68"/>
      <c r="H220" s="68">
        <v>0</v>
      </c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51">
        <f t="shared" ref="AA220:AA257" si="39">C220+E220+G220+I220+K220+M220+O220+Q220+S220+U220+W220+Y220</f>
        <v>0</v>
      </c>
      <c r="AB220" s="51">
        <f t="shared" si="38"/>
        <v>0</v>
      </c>
      <c r="AD220" s="31">
        <f t="shared" ref="AD220:AD263" si="40">SUMIF($C$5:$Z$5,$AD$5,C220:Z220)</f>
        <v>0</v>
      </c>
      <c r="AE220" s="31">
        <f t="shared" ref="AE220:AE263" si="41">SUMIF($C$5:$Z$5,$AD$5,D220:AA220)</f>
        <v>0</v>
      </c>
      <c r="AF220" s="17">
        <f t="shared" si="35"/>
        <v>0</v>
      </c>
      <c r="AG220" s="17">
        <f t="shared" si="36"/>
        <v>0</v>
      </c>
    </row>
    <row r="221" spans="1:123" s="19" customFormat="1" ht="18" customHeight="1" outlineLevel="1" x14ac:dyDescent="0.25">
      <c r="A221" s="48" t="s">
        <v>151</v>
      </c>
      <c r="B221" s="53"/>
      <c r="C221" s="49"/>
      <c r="D221" s="68"/>
      <c r="E221" s="68"/>
      <c r="F221" s="68">
        <v>0</v>
      </c>
      <c r="G221" s="68"/>
      <c r="H221" s="68">
        <v>0</v>
      </c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51">
        <f t="shared" si="39"/>
        <v>0</v>
      </c>
      <c r="AB221" s="51">
        <f t="shared" si="38"/>
        <v>0</v>
      </c>
      <c r="AD221" s="31">
        <f t="shared" si="40"/>
        <v>0</v>
      </c>
      <c r="AE221" s="31">
        <f t="shared" si="41"/>
        <v>0</v>
      </c>
      <c r="AF221" s="17">
        <f t="shared" si="35"/>
        <v>0</v>
      </c>
      <c r="AG221" s="17">
        <f t="shared" si="36"/>
        <v>0</v>
      </c>
    </row>
    <row r="222" spans="1:123" s="19" customFormat="1" ht="18" customHeight="1" outlineLevel="1" x14ac:dyDescent="0.25">
      <c r="A222" s="48" t="s">
        <v>152</v>
      </c>
      <c r="B222" s="53"/>
      <c r="C222" s="49"/>
      <c r="D222" s="68"/>
      <c r="E222" s="68"/>
      <c r="F222" s="68">
        <v>0</v>
      </c>
      <c r="G222" s="68"/>
      <c r="H222" s="68">
        <v>0</v>
      </c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51">
        <f t="shared" si="39"/>
        <v>0</v>
      </c>
      <c r="AB222" s="51">
        <f t="shared" si="38"/>
        <v>0</v>
      </c>
      <c r="AD222" s="31">
        <f t="shared" si="40"/>
        <v>0</v>
      </c>
      <c r="AE222" s="31">
        <f t="shared" si="41"/>
        <v>0</v>
      </c>
      <c r="AF222" s="17">
        <f t="shared" ref="AF222:AF260" si="42">AA222-AD222</f>
        <v>0</v>
      </c>
      <c r="AG222" s="17">
        <f t="shared" ref="AG222:AG260" si="43">AB222-AE222</f>
        <v>0</v>
      </c>
    </row>
    <row r="223" spans="1:123" s="19" customFormat="1" ht="18" customHeight="1" outlineLevel="1" x14ac:dyDescent="0.25">
      <c r="A223" s="48" t="s">
        <v>153</v>
      </c>
      <c r="B223" s="53"/>
      <c r="C223" s="49"/>
      <c r="D223" s="68"/>
      <c r="E223" s="68"/>
      <c r="F223" s="68">
        <v>0</v>
      </c>
      <c r="G223" s="68"/>
      <c r="H223" s="68">
        <v>0</v>
      </c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51">
        <f t="shared" si="39"/>
        <v>0</v>
      </c>
      <c r="AB223" s="51">
        <f t="shared" si="38"/>
        <v>0</v>
      </c>
      <c r="AD223" s="31">
        <f t="shared" si="40"/>
        <v>0</v>
      </c>
      <c r="AE223" s="31">
        <f t="shared" si="41"/>
        <v>0</v>
      </c>
      <c r="AF223" s="17">
        <f t="shared" si="42"/>
        <v>0</v>
      </c>
      <c r="AG223" s="17">
        <f t="shared" si="43"/>
        <v>0</v>
      </c>
    </row>
    <row r="224" spans="1:123" s="19" customFormat="1" ht="18" customHeight="1" outlineLevel="1" x14ac:dyDescent="0.25">
      <c r="A224" s="48" t="s">
        <v>154</v>
      </c>
      <c r="B224" s="53"/>
      <c r="C224" s="49"/>
      <c r="D224" s="68"/>
      <c r="E224" s="68"/>
      <c r="F224" s="68">
        <v>0</v>
      </c>
      <c r="G224" s="68"/>
      <c r="H224" s="68">
        <v>0</v>
      </c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51">
        <f t="shared" si="39"/>
        <v>0</v>
      </c>
      <c r="AB224" s="51">
        <f t="shared" si="38"/>
        <v>0</v>
      </c>
      <c r="AD224" s="31">
        <f t="shared" si="40"/>
        <v>0</v>
      </c>
      <c r="AE224" s="31">
        <f t="shared" si="41"/>
        <v>0</v>
      </c>
      <c r="AF224" s="17">
        <f t="shared" si="42"/>
        <v>0</v>
      </c>
      <c r="AG224" s="17">
        <f t="shared" si="43"/>
        <v>0</v>
      </c>
    </row>
    <row r="225" spans="1:33" s="19" customFormat="1" ht="18" customHeight="1" outlineLevel="1" x14ac:dyDescent="0.25">
      <c r="A225" s="48" t="s">
        <v>155</v>
      </c>
      <c r="B225" s="53"/>
      <c r="C225" s="49"/>
      <c r="D225" s="68"/>
      <c r="E225" s="68"/>
      <c r="F225" s="68">
        <v>0</v>
      </c>
      <c r="G225" s="68"/>
      <c r="H225" s="68">
        <v>0</v>
      </c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51">
        <f t="shared" si="39"/>
        <v>0</v>
      </c>
      <c r="AB225" s="51">
        <f t="shared" si="38"/>
        <v>0</v>
      </c>
      <c r="AD225" s="31">
        <f t="shared" si="40"/>
        <v>0</v>
      </c>
      <c r="AE225" s="31">
        <f t="shared" si="41"/>
        <v>0</v>
      </c>
      <c r="AF225" s="17">
        <f t="shared" si="42"/>
        <v>0</v>
      </c>
      <c r="AG225" s="17">
        <f t="shared" si="43"/>
        <v>0</v>
      </c>
    </row>
    <row r="226" spans="1:33" s="19" customFormat="1" ht="18" customHeight="1" outlineLevel="1" x14ac:dyDescent="0.25">
      <c r="A226" s="48" t="s">
        <v>156</v>
      </c>
      <c r="B226" s="53"/>
      <c r="C226" s="49"/>
      <c r="D226" s="68"/>
      <c r="E226" s="68"/>
      <c r="F226" s="68">
        <v>0</v>
      </c>
      <c r="G226" s="68"/>
      <c r="H226" s="68">
        <v>0</v>
      </c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51">
        <f t="shared" si="39"/>
        <v>0</v>
      </c>
      <c r="AB226" s="51">
        <f t="shared" si="38"/>
        <v>0</v>
      </c>
      <c r="AD226" s="31">
        <f t="shared" si="40"/>
        <v>0</v>
      </c>
      <c r="AE226" s="31">
        <f t="shared" si="41"/>
        <v>0</v>
      </c>
      <c r="AF226" s="17">
        <f t="shared" si="42"/>
        <v>0</v>
      </c>
      <c r="AG226" s="17">
        <f t="shared" si="43"/>
        <v>0</v>
      </c>
    </row>
    <row r="227" spans="1:33" s="19" customFormat="1" ht="18" customHeight="1" outlineLevel="1" x14ac:dyDescent="0.25">
      <c r="A227" s="48" t="s">
        <v>157</v>
      </c>
      <c r="B227" s="53"/>
      <c r="C227" s="49"/>
      <c r="D227" s="68"/>
      <c r="E227" s="68"/>
      <c r="F227" s="68">
        <v>0</v>
      </c>
      <c r="G227" s="68"/>
      <c r="H227" s="68">
        <v>0</v>
      </c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51">
        <f t="shared" si="39"/>
        <v>0</v>
      </c>
      <c r="AB227" s="51">
        <f t="shared" si="38"/>
        <v>0</v>
      </c>
      <c r="AD227" s="31">
        <f t="shared" si="40"/>
        <v>0</v>
      </c>
      <c r="AE227" s="31">
        <f t="shared" si="41"/>
        <v>0</v>
      </c>
      <c r="AF227" s="17">
        <f t="shared" si="42"/>
        <v>0</v>
      </c>
      <c r="AG227" s="17">
        <f t="shared" si="43"/>
        <v>0</v>
      </c>
    </row>
    <row r="228" spans="1:33" s="19" customFormat="1" ht="18" customHeight="1" outlineLevel="1" x14ac:dyDescent="0.25">
      <c r="A228" s="48" t="s">
        <v>158</v>
      </c>
      <c r="B228" s="53"/>
      <c r="C228" s="49"/>
      <c r="D228" s="68"/>
      <c r="E228" s="68"/>
      <c r="F228" s="68">
        <v>0</v>
      </c>
      <c r="G228" s="68"/>
      <c r="H228" s="68">
        <v>0</v>
      </c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51">
        <f t="shared" si="39"/>
        <v>0</v>
      </c>
      <c r="AB228" s="51">
        <f t="shared" si="38"/>
        <v>0</v>
      </c>
      <c r="AD228" s="31">
        <f t="shared" si="40"/>
        <v>0</v>
      </c>
      <c r="AE228" s="31">
        <f t="shared" si="41"/>
        <v>0</v>
      </c>
      <c r="AF228" s="17">
        <f t="shared" si="42"/>
        <v>0</v>
      </c>
      <c r="AG228" s="17">
        <f t="shared" si="43"/>
        <v>0</v>
      </c>
    </row>
    <row r="229" spans="1:33" s="19" customFormat="1" ht="18" customHeight="1" outlineLevel="1" x14ac:dyDescent="0.25">
      <c r="A229" s="48" t="s">
        <v>100</v>
      </c>
      <c r="B229" s="53"/>
      <c r="C229" s="49"/>
      <c r="D229" s="68"/>
      <c r="E229" s="68"/>
      <c r="F229" s="68">
        <v>0</v>
      </c>
      <c r="G229" s="68"/>
      <c r="H229" s="68">
        <v>0</v>
      </c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51">
        <f t="shared" si="39"/>
        <v>0</v>
      </c>
      <c r="AB229" s="51">
        <f t="shared" si="38"/>
        <v>0</v>
      </c>
      <c r="AD229" s="31">
        <f t="shared" si="40"/>
        <v>0</v>
      </c>
      <c r="AE229" s="31">
        <f t="shared" si="41"/>
        <v>0</v>
      </c>
      <c r="AF229" s="17">
        <f t="shared" si="42"/>
        <v>0</v>
      </c>
      <c r="AG229" s="17">
        <f t="shared" si="43"/>
        <v>0</v>
      </c>
    </row>
    <row r="230" spans="1:33" s="19" customFormat="1" ht="18" customHeight="1" outlineLevel="1" x14ac:dyDescent="0.25">
      <c r="A230" s="48" t="s">
        <v>159</v>
      </c>
      <c r="B230" s="53"/>
      <c r="C230" s="49"/>
      <c r="D230" s="68"/>
      <c r="E230" s="68"/>
      <c r="F230" s="68">
        <v>0</v>
      </c>
      <c r="G230" s="68"/>
      <c r="H230" s="68">
        <v>0</v>
      </c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51">
        <f t="shared" si="39"/>
        <v>0</v>
      </c>
      <c r="AB230" s="51">
        <f t="shared" si="38"/>
        <v>0</v>
      </c>
      <c r="AD230" s="31">
        <f t="shared" si="40"/>
        <v>0</v>
      </c>
      <c r="AE230" s="31">
        <f t="shared" si="41"/>
        <v>0</v>
      </c>
      <c r="AF230" s="17">
        <f t="shared" si="42"/>
        <v>0</v>
      </c>
      <c r="AG230" s="17">
        <f t="shared" si="43"/>
        <v>0</v>
      </c>
    </row>
    <row r="231" spans="1:33" s="19" customFormat="1" ht="18" customHeight="1" outlineLevel="1" x14ac:dyDescent="0.25">
      <c r="A231" s="48" t="s">
        <v>160</v>
      </c>
      <c r="B231" s="53"/>
      <c r="C231" s="49"/>
      <c r="D231" s="68"/>
      <c r="E231" s="68"/>
      <c r="F231" s="68">
        <v>0</v>
      </c>
      <c r="G231" s="68"/>
      <c r="H231" s="68">
        <v>0</v>
      </c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51">
        <f t="shared" si="39"/>
        <v>0</v>
      </c>
      <c r="AB231" s="51">
        <f t="shared" si="38"/>
        <v>0</v>
      </c>
      <c r="AD231" s="31">
        <f t="shared" si="40"/>
        <v>0</v>
      </c>
      <c r="AE231" s="31">
        <f t="shared" si="41"/>
        <v>0</v>
      </c>
      <c r="AF231" s="17">
        <f t="shared" si="42"/>
        <v>0</v>
      </c>
      <c r="AG231" s="17">
        <f t="shared" si="43"/>
        <v>0</v>
      </c>
    </row>
    <row r="232" spans="1:33" s="19" customFormat="1" ht="18" customHeight="1" outlineLevel="1" x14ac:dyDescent="0.25">
      <c r="A232" s="48" t="s">
        <v>161</v>
      </c>
      <c r="B232" s="53"/>
      <c r="C232" s="49"/>
      <c r="D232" s="68"/>
      <c r="E232" s="68"/>
      <c r="F232" s="68">
        <v>0</v>
      </c>
      <c r="G232" s="68"/>
      <c r="H232" s="68">
        <v>0</v>
      </c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51">
        <f t="shared" si="39"/>
        <v>0</v>
      </c>
      <c r="AB232" s="51">
        <f t="shared" si="38"/>
        <v>0</v>
      </c>
      <c r="AD232" s="31">
        <f t="shared" si="40"/>
        <v>0</v>
      </c>
      <c r="AE232" s="31">
        <f t="shared" si="41"/>
        <v>0</v>
      </c>
      <c r="AF232" s="17">
        <f t="shared" si="42"/>
        <v>0</v>
      </c>
      <c r="AG232" s="17">
        <f t="shared" si="43"/>
        <v>0</v>
      </c>
    </row>
    <row r="233" spans="1:33" s="19" customFormat="1" ht="18" customHeight="1" outlineLevel="1" x14ac:dyDescent="0.25">
      <c r="A233" s="48" t="s">
        <v>162</v>
      </c>
      <c r="B233" s="53"/>
      <c r="C233" s="49"/>
      <c r="D233" s="68"/>
      <c r="E233" s="68"/>
      <c r="F233" s="68">
        <v>0</v>
      </c>
      <c r="G233" s="68"/>
      <c r="H233" s="68">
        <v>0</v>
      </c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51">
        <f t="shared" si="39"/>
        <v>0</v>
      </c>
      <c r="AB233" s="51">
        <f t="shared" si="38"/>
        <v>0</v>
      </c>
      <c r="AD233" s="31">
        <f t="shared" si="40"/>
        <v>0</v>
      </c>
      <c r="AE233" s="31">
        <f t="shared" si="41"/>
        <v>0</v>
      </c>
      <c r="AF233" s="17">
        <f t="shared" si="42"/>
        <v>0</v>
      </c>
      <c r="AG233" s="17">
        <f t="shared" si="43"/>
        <v>0</v>
      </c>
    </row>
    <row r="234" spans="1:33" s="19" customFormat="1" ht="18" customHeight="1" outlineLevel="1" x14ac:dyDescent="0.25">
      <c r="A234" s="48" t="s">
        <v>163</v>
      </c>
      <c r="B234" s="53"/>
      <c r="C234" s="49"/>
      <c r="D234" s="68"/>
      <c r="E234" s="68"/>
      <c r="F234" s="68">
        <v>0</v>
      </c>
      <c r="G234" s="68"/>
      <c r="H234" s="68">
        <v>0</v>
      </c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51">
        <f t="shared" si="39"/>
        <v>0</v>
      </c>
      <c r="AB234" s="51">
        <f t="shared" si="38"/>
        <v>0</v>
      </c>
      <c r="AD234" s="31">
        <f t="shared" si="40"/>
        <v>0</v>
      </c>
      <c r="AE234" s="31">
        <f t="shared" si="41"/>
        <v>0</v>
      </c>
      <c r="AF234" s="17">
        <f t="shared" si="42"/>
        <v>0</v>
      </c>
      <c r="AG234" s="17">
        <f t="shared" si="43"/>
        <v>0</v>
      </c>
    </row>
    <row r="235" spans="1:33" s="19" customFormat="1" ht="18" customHeight="1" outlineLevel="1" x14ac:dyDescent="0.25">
      <c r="A235" s="48" t="s">
        <v>164</v>
      </c>
      <c r="B235" s="53"/>
      <c r="C235" s="49"/>
      <c r="D235" s="68"/>
      <c r="E235" s="68"/>
      <c r="F235" s="68">
        <v>0</v>
      </c>
      <c r="G235" s="68"/>
      <c r="H235" s="68">
        <v>0</v>
      </c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51">
        <f t="shared" si="39"/>
        <v>0</v>
      </c>
      <c r="AB235" s="51">
        <f t="shared" si="38"/>
        <v>0</v>
      </c>
      <c r="AD235" s="31">
        <f t="shared" si="40"/>
        <v>0</v>
      </c>
      <c r="AE235" s="31">
        <f t="shared" si="41"/>
        <v>0</v>
      </c>
      <c r="AF235" s="17">
        <f t="shared" si="42"/>
        <v>0</v>
      </c>
      <c r="AG235" s="17">
        <f t="shared" si="43"/>
        <v>0</v>
      </c>
    </row>
    <row r="236" spans="1:33" s="19" customFormat="1" ht="18" customHeight="1" outlineLevel="1" x14ac:dyDescent="0.25">
      <c r="A236" s="48" t="s">
        <v>165</v>
      </c>
      <c r="B236" s="53"/>
      <c r="C236" s="49"/>
      <c r="D236" s="68"/>
      <c r="E236" s="68"/>
      <c r="F236" s="68">
        <v>0</v>
      </c>
      <c r="G236" s="68"/>
      <c r="H236" s="68">
        <v>0</v>
      </c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51">
        <f t="shared" si="39"/>
        <v>0</v>
      </c>
      <c r="AB236" s="51">
        <f t="shared" si="38"/>
        <v>0</v>
      </c>
      <c r="AD236" s="31">
        <f t="shared" si="40"/>
        <v>0</v>
      </c>
      <c r="AE236" s="31">
        <f t="shared" si="41"/>
        <v>0</v>
      </c>
      <c r="AF236" s="17">
        <f t="shared" si="42"/>
        <v>0</v>
      </c>
      <c r="AG236" s="17">
        <f t="shared" si="43"/>
        <v>0</v>
      </c>
    </row>
    <row r="237" spans="1:33" s="19" customFormat="1" ht="18" customHeight="1" outlineLevel="1" x14ac:dyDescent="0.25">
      <c r="A237" s="48" t="s">
        <v>166</v>
      </c>
      <c r="B237" s="53"/>
      <c r="C237" s="49"/>
      <c r="D237" s="68"/>
      <c r="E237" s="68"/>
      <c r="F237" s="68">
        <v>0</v>
      </c>
      <c r="G237" s="68"/>
      <c r="H237" s="68">
        <v>0</v>
      </c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51">
        <f t="shared" si="39"/>
        <v>0</v>
      </c>
      <c r="AB237" s="51">
        <f t="shared" si="38"/>
        <v>0</v>
      </c>
      <c r="AD237" s="31">
        <f t="shared" si="40"/>
        <v>0</v>
      </c>
      <c r="AE237" s="31">
        <f t="shared" si="41"/>
        <v>0</v>
      </c>
      <c r="AF237" s="17">
        <f t="shared" si="42"/>
        <v>0</v>
      </c>
      <c r="AG237" s="17">
        <f t="shared" si="43"/>
        <v>0</v>
      </c>
    </row>
    <row r="238" spans="1:33" s="19" customFormat="1" ht="18" customHeight="1" outlineLevel="1" x14ac:dyDescent="0.25">
      <c r="A238" s="48" t="s">
        <v>167</v>
      </c>
      <c r="B238" s="53"/>
      <c r="C238" s="49"/>
      <c r="D238" s="68"/>
      <c r="E238" s="68"/>
      <c r="F238" s="68">
        <v>0</v>
      </c>
      <c r="G238" s="68"/>
      <c r="H238" s="68">
        <v>0</v>
      </c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51">
        <f t="shared" si="39"/>
        <v>0</v>
      </c>
      <c r="AB238" s="51">
        <f t="shared" si="38"/>
        <v>0</v>
      </c>
      <c r="AD238" s="31">
        <f t="shared" si="40"/>
        <v>0</v>
      </c>
      <c r="AE238" s="31">
        <f t="shared" si="41"/>
        <v>0</v>
      </c>
      <c r="AF238" s="17">
        <f t="shared" si="42"/>
        <v>0</v>
      </c>
      <c r="AG238" s="17">
        <f t="shared" si="43"/>
        <v>0</v>
      </c>
    </row>
    <row r="239" spans="1:33" s="19" customFormat="1" ht="18" customHeight="1" outlineLevel="1" x14ac:dyDescent="0.25">
      <c r="A239" s="48" t="s">
        <v>168</v>
      </c>
      <c r="B239" s="53"/>
      <c r="C239" s="49"/>
      <c r="D239" s="68"/>
      <c r="E239" s="68"/>
      <c r="F239" s="68">
        <v>0</v>
      </c>
      <c r="G239" s="68"/>
      <c r="H239" s="68">
        <v>0</v>
      </c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51">
        <f t="shared" si="39"/>
        <v>0</v>
      </c>
      <c r="AB239" s="51">
        <f t="shared" si="38"/>
        <v>0</v>
      </c>
      <c r="AD239" s="31">
        <f t="shared" si="40"/>
        <v>0</v>
      </c>
      <c r="AE239" s="31">
        <f t="shared" si="41"/>
        <v>0</v>
      </c>
      <c r="AF239" s="17">
        <f t="shared" si="42"/>
        <v>0</v>
      </c>
      <c r="AG239" s="17">
        <f t="shared" si="43"/>
        <v>0</v>
      </c>
    </row>
    <row r="240" spans="1:33" s="19" customFormat="1" ht="18" customHeight="1" outlineLevel="1" x14ac:dyDescent="0.25">
      <c r="A240" s="48" t="s">
        <v>169</v>
      </c>
      <c r="B240" s="53"/>
      <c r="C240" s="49"/>
      <c r="D240" s="68"/>
      <c r="E240" s="68"/>
      <c r="F240" s="68">
        <v>0</v>
      </c>
      <c r="G240" s="68"/>
      <c r="H240" s="68">
        <v>0</v>
      </c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51">
        <f t="shared" si="39"/>
        <v>0</v>
      </c>
      <c r="AB240" s="51">
        <f t="shared" si="38"/>
        <v>0</v>
      </c>
      <c r="AD240" s="31">
        <f t="shared" si="40"/>
        <v>0</v>
      </c>
      <c r="AE240" s="31">
        <f t="shared" si="41"/>
        <v>0</v>
      </c>
      <c r="AF240" s="17">
        <f t="shared" si="42"/>
        <v>0</v>
      </c>
      <c r="AG240" s="17">
        <f t="shared" si="43"/>
        <v>0</v>
      </c>
    </row>
    <row r="241" spans="1:59" s="19" customFormat="1" ht="18" customHeight="1" outlineLevel="1" x14ac:dyDescent="0.25">
      <c r="A241" s="48" t="s">
        <v>170</v>
      </c>
      <c r="B241" s="53"/>
      <c r="C241" s="49"/>
      <c r="D241" s="68"/>
      <c r="E241" s="68"/>
      <c r="F241" s="68">
        <v>0</v>
      </c>
      <c r="G241" s="68"/>
      <c r="H241" s="68">
        <v>0</v>
      </c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51">
        <f t="shared" si="39"/>
        <v>0</v>
      </c>
      <c r="AB241" s="51">
        <f t="shared" ref="AB241:AB252" si="44">D241+F241+H241+J241+L241+N241+P241+R241+T241+V241+X241+Z241</f>
        <v>0</v>
      </c>
      <c r="AD241" s="31">
        <f t="shared" si="40"/>
        <v>0</v>
      </c>
      <c r="AE241" s="31">
        <f t="shared" si="41"/>
        <v>0</v>
      </c>
      <c r="AF241" s="17">
        <f t="shared" si="42"/>
        <v>0</v>
      </c>
      <c r="AG241" s="17">
        <f t="shared" si="43"/>
        <v>0</v>
      </c>
    </row>
    <row r="242" spans="1:59" s="19" customFormat="1" ht="18" customHeight="1" outlineLevel="1" x14ac:dyDescent="0.25">
      <c r="A242" s="48" t="s">
        <v>171</v>
      </c>
      <c r="B242" s="53"/>
      <c r="C242" s="49"/>
      <c r="D242" s="68"/>
      <c r="E242" s="68"/>
      <c r="F242" s="68">
        <v>0</v>
      </c>
      <c r="G242" s="68"/>
      <c r="H242" s="68">
        <v>0</v>
      </c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51">
        <f t="shared" si="39"/>
        <v>0</v>
      </c>
      <c r="AB242" s="51">
        <f t="shared" si="44"/>
        <v>0</v>
      </c>
      <c r="AD242" s="31">
        <f t="shared" si="40"/>
        <v>0</v>
      </c>
      <c r="AE242" s="31">
        <f t="shared" si="41"/>
        <v>0</v>
      </c>
      <c r="AF242" s="17">
        <f t="shared" si="42"/>
        <v>0</v>
      </c>
      <c r="AG242" s="17">
        <f t="shared" si="43"/>
        <v>0</v>
      </c>
    </row>
    <row r="243" spans="1:59" s="19" customFormat="1" ht="18" customHeight="1" outlineLevel="1" x14ac:dyDescent="0.25">
      <c r="A243" s="48" t="s">
        <v>172</v>
      </c>
      <c r="B243" s="53"/>
      <c r="C243" s="49"/>
      <c r="D243" s="68"/>
      <c r="E243" s="68"/>
      <c r="F243" s="68">
        <v>0</v>
      </c>
      <c r="G243" s="68"/>
      <c r="H243" s="68">
        <v>0</v>
      </c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51">
        <f t="shared" si="39"/>
        <v>0</v>
      </c>
      <c r="AB243" s="51">
        <f t="shared" si="44"/>
        <v>0</v>
      </c>
      <c r="AD243" s="31">
        <f t="shared" si="40"/>
        <v>0</v>
      </c>
      <c r="AE243" s="31">
        <f t="shared" si="41"/>
        <v>0</v>
      </c>
      <c r="AF243" s="17">
        <f t="shared" si="42"/>
        <v>0</v>
      </c>
      <c r="AG243" s="17">
        <f t="shared" si="43"/>
        <v>0</v>
      </c>
    </row>
    <row r="244" spans="1:59" s="19" customFormat="1" ht="18" customHeight="1" outlineLevel="1" x14ac:dyDescent="0.25">
      <c r="A244" s="48" t="s">
        <v>173</v>
      </c>
      <c r="B244" s="53"/>
      <c r="C244" s="49"/>
      <c r="D244" s="68"/>
      <c r="E244" s="68"/>
      <c r="F244" s="68">
        <v>0</v>
      </c>
      <c r="G244" s="68"/>
      <c r="H244" s="68">
        <v>0</v>
      </c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51">
        <f t="shared" si="39"/>
        <v>0</v>
      </c>
      <c r="AB244" s="51">
        <f t="shared" si="44"/>
        <v>0</v>
      </c>
      <c r="AD244" s="31">
        <f t="shared" si="40"/>
        <v>0</v>
      </c>
      <c r="AE244" s="31">
        <f t="shared" si="41"/>
        <v>0</v>
      </c>
      <c r="AF244" s="17">
        <f t="shared" si="42"/>
        <v>0</v>
      </c>
      <c r="AG244" s="17">
        <f t="shared" si="43"/>
        <v>0</v>
      </c>
    </row>
    <row r="245" spans="1:59" s="19" customFormat="1" ht="18" customHeight="1" outlineLevel="1" x14ac:dyDescent="0.25">
      <c r="A245" s="48" t="s">
        <v>174</v>
      </c>
      <c r="B245" s="53"/>
      <c r="C245" s="49"/>
      <c r="D245" s="68"/>
      <c r="E245" s="68"/>
      <c r="F245" s="68">
        <v>0</v>
      </c>
      <c r="G245" s="68"/>
      <c r="H245" s="68">
        <v>0</v>
      </c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51">
        <f t="shared" si="39"/>
        <v>0</v>
      </c>
      <c r="AB245" s="51">
        <f t="shared" si="44"/>
        <v>0</v>
      </c>
      <c r="AD245" s="31">
        <f t="shared" si="40"/>
        <v>0</v>
      </c>
      <c r="AE245" s="31">
        <f t="shared" si="41"/>
        <v>0</v>
      </c>
      <c r="AF245" s="17">
        <f t="shared" si="42"/>
        <v>0</v>
      </c>
      <c r="AG245" s="17">
        <f t="shared" si="43"/>
        <v>0</v>
      </c>
    </row>
    <row r="246" spans="1:59" s="19" customFormat="1" ht="18" customHeight="1" outlineLevel="1" x14ac:dyDescent="0.25">
      <c r="A246" s="48" t="s">
        <v>175</v>
      </c>
      <c r="B246" s="53"/>
      <c r="C246" s="49"/>
      <c r="D246" s="68"/>
      <c r="E246" s="68"/>
      <c r="F246" s="68">
        <v>0</v>
      </c>
      <c r="G246" s="68"/>
      <c r="H246" s="68">
        <v>0</v>
      </c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51">
        <f t="shared" si="39"/>
        <v>0</v>
      </c>
      <c r="AB246" s="51">
        <f t="shared" si="44"/>
        <v>0</v>
      </c>
      <c r="AD246" s="31">
        <f t="shared" si="40"/>
        <v>0</v>
      </c>
      <c r="AE246" s="31">
        <f t="shared" si="41"/>
        <v>0</v>
      </c>
      <c r="AF246" s="17">
        <f t="shared" si="42"/>
        <v>0</v>
      </c>
      <c r="AG246" s="17">
        <f t="shared" si="43"/>
        <v>0</v>
      </c>
    </row>
    <row r="247" spans="1:59" s="19" customFormat="1" ht="18" customHeight="1" outlineLevel="1" x14ac:dyDescent="0.25">
      <c r="A247" s="48" t="s">
        <v>176</v>
      </c>
      <c r="B247" s="53"/>
      <c r="C247" s="49"/>
      <c r="D247" s="68"/>
      <c r="E247" s="68"/>
      <c r="F247" s="68">
        <v>0</v>
      </c>
      <c r="G247" s="68"/>
      <c r="H247" s="68">
        <v>0</v>
      </c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51">
        <f t="shared" si="39"/>
        <v>0</v>
      </c>
      <c r="AB247" s="51">
        <f t="shared" si="44"/>
        <v>0</v>
      </c>
      <c r="AD247" s="31">
        <f t="shared" si="40"/>
        <v>0</v>
      </c>
      <c r="AE247" s="31">
        <f t="shared" si="41"/>
        <v>0</v>
      </c>
      <c r="AF247" s="17">
        <f t="shared" si="42"/>
        <v>0</v>
      </c>
      <c r="AG247" s="17">
        <f t="shared" si="43"/>
        <v>0</v>
      </c>
    </row>
    <row r="248" spans="1:59" s="19" customFormat="1" ht="18" customHeight="1" outlineLevel="1" x14ac:dyDescent="0.25">
      <c r="A248" s="48" t="s">
        <v>177</v>
      </c>
      <c r="B248" s="53"/>
      <c r="C248" s="49"/>
      <c r="D248" s="68"/>
      <c r="E248" s="68"/>
      <c r="F248" s="68">
        <v>0</v>
      </c>
      <c r="G248" s="68"/>
      <c r="H248" s="68">
        <v>0</v>
      </c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51">
        <f t="shared" si="39"/>
        <v>0</v>
      </c>
      <c r="AB248" s="51">
        <f t="shared" si="44"/>
        <v>0</v>
      </c>
      <c r="AD248" s="31">
        <f t="shared" si="40"/>
        <v>0</v>
      </c>
      <c r="AE248" s="31">
        <f t="shared" si="41"/>
        <v>0</v>
      </c>
      <c r="AF248" s="17">
        <f t="shared" si="42"/>
        <v>0</v>
      </c>
      <c r="AG248" s="17">
        <f t="shared" si="43"/>
        <v>0</v>
      </c>
    </row>
    <row r="249" spans="1:59" s="19" customFormat="1" ht="18" customHeight="1" outlineLevel="1" x14ac:dyDescent="0.25">
      <c r="A249" s="48" t="s">
        <v>178</v>
      </c>
      <c r="B249" s="53"/>
      <c r="C249" s="49"/>
      <c r="D249" s="68"/>
      <c r="E249" s="68"/>
      <c r="F249" s="68">
        <v>0</v>
      </c>
      <c r="G249" s="68"/>
      <c r="H249" s="68">
        <v>0</v>
      </c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51">
        <f t="shared" si="39"/>
        <v>0</v>
      </c>
      <c r="AB249" s="51">
        <f t="shared" si="44"/>
        <v>0</v>
      </c>
      <c r="AD249" s="31">
        <f t="shared" si="40"/>
        <v>0</v>
      </c>
      <c r="AE249" s="31">
        <f t="shared" si="41"/>
        <v>0</v>
      </c>
      <c r="AF249" s="17">
        <f t="shared" si="42"/>
        <v>0</v>
      </c>
      <c r="AG249" s="17">
        <f t="shared" si="43"/>
        <v>0</v>
      </c>
    </row>
    <row r="250" spans="1:59" s="19" customFormat="1" ht="18" customHeight="1" x14ac:dyDescent="0.25">
      <c r="A250" s="63" t="s">
        <v>182</v>
      </c>
      <c r="B250" s="53">
        <v>9</v>
      </c>
      <c r="C250" s="49"/>
      <c r="D250" s="68"/>
      <c r="E250" s="68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1">
        <f t="shared" si="39"/>
        <v>0</v>
      </c>
      <c r="AB250" s="51">
        <f t="shared" si="44"/>
        <v>0</v>
      </c>
      <c r="AD250" s="31">
        <f t="shared" si="40"/>
        <v>0</v>
      </c>
      <c r="AE250" s="31">
        <f t="shared" si="41"/>
        <v>0</v>
      </c>
      <c r="AF250" s="17">
        <f t="shared" si="42"/>
        <v>0</v>
      </c>
      <c r="AG250" s="17">
        <f t="shared" si="43"/>
        <v>0</v>
      </c>
      <c r="BG250" s="21"/>
    </row>
    <row r="251" spans="1:59" s="19" customFormat="1" ht="18" customHeight="1" x14ac:dyDescent="0.25">
      <c r="A251" s="63" t="s">
        <v>183</v>
      </c>
      <c r="B251" s="53">
        <v>10</v>
      </c>
      <c r="C251" s="49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1">
        <f t="shared" si="39"/>
        <v>0</v>
      </c>
      <c r="AB251" s="51">
        <f t="shared" si="44"/>
        <v>0</v>
      </c>
      <c r="AD251" s="31">
        <f t="shared" si="40"/>
        <v>0</v>
      </c>
      <c r="AE251" s="31">
        <f t="shared" si="41"/>
        <v>0</v>
      </c>
      <c r="AF251" s="17">
        <f t="shared" si="42"/>
        <v>0</v>
      </c>
      <c r="AG251" s="17">
        <f t="shared" si="43"/>
        <v>0</v>
      </c>
      <c r="BG251" s="21"/>
    </row>
    <row r="252" spans="1:59" s="19" customFormat="1" ht="18" customHeight="1" x14ac:dyDescent="0.25">
      <c r="A252" s="63" t="s">
        <v>184</v>
      </c>
      <c r="B252" s="53">
        <v>11</v>
      </c>
      <c r="C252" s="49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1">
        <f t="shared" si="39"/>
        <v>0</v>
      </c>
      <c r="AB252" s="51">
        <f t="shared" si="44"/>
        <v>0</v>
      </c>
      <c r="AD252" s="31">
        <f t="shared" si="40"/>
        <v>0</v>
      </c>
      <c r="AE252" s="31">
        <f t="shared" si="41"/>
        <v>0</v>
      </c>
      <c r="AF252" s="17">
        <f t="shared" si="42"/>
        <v>0</v>
      </c>
      <c r="AG252" s="17">
        <f t="shared" si="43"/>
        <v>0</v>
      </c>
      <c r="BG252" s="21"/>
    </row>
    <row r="253" spans="1:59" s="19" customFormat="1" ht="18" customHeight="1" outlineLevel="1" x14ac:dyDescent="0.25">
      <c r="A253" s="63" t="s">
        <v>185</v>
      </c>
      <c r="B253" s="53">
        <v>12</v>
      </c>
      <c r="C253" s="49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1">
        <f t="shared" si="39"/>
        <v>0</v>
      </c>
      <c r="AB253" s="70">
        <f>SUM(D253:Z253)</f>
        <v>0</v>
      </c>
      <c r="AD253" s="31">
        <f t="shared" si="40"/>
        <v>0</v>
      </c>
      <c r="AE253" s="31">
        <f t="shared" si="41"/>
        <v>0</v>
      </c>
      <c r="AF253" s="17">
        <f t="shared" si="42"/>
        <v>0</v>
      </c>
      <c r="AG253" s="17">
        <f t="shared" si="43"/>
        <v>0</v>
      </c>
      <c r="BG253" s="21"/>
    </row>
    <row r="254" spans="1:59" s="19" customFormat="1" ht="18" customHeight="1" outlineLevel="1" x14ac:dyDescent="0.25">
      <c r="A254" s="63" t="s">
        <v>186</v>
      </c>
      <c r="B254" s="53">
        <v>13</v>
      </c>
      <c r="C254" s="49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3"/>
      <c r="X254" s="72"/>
      <c r="Y254" s="72"/>
      <c r="Z254" s="72"/>
      <c r="AA254" s="51">
        <f t="shared" si="39"/>
        <v>0</v>
      </c>
      <c r="AB254" s="70">
        <f>SUM(D254:Z254)</f>
        <v>0</v>
      </c>
      <c r="AD254" s="31">
        <f t="shared" si="40"/>
        <v>0</v>
      </c>
      <c r="AE254" s="31">
        <f t="shared" si="41"/>
        <v>0</v>
      </c>
      <c r="AF254" s="17">
        <f t="shared" si="42"/>
        <v>0</v>
      </c>
      <c r="AG254" s="17">
        <f t="shared" si="43"/>
        <v>0</v>
      </c>
      <c r="BG254" s="21"/>
    </row>
    <row r="255" spans="1:59" s="19" customFormat="1" ht="18" customHeight="1" outlineLevel="1" x14ac:dyDescent="0.25">
      <c r="A255" s="63" t="s">
        <v>187</v>
      </c>
      <c r="B255" s="53">
        <v>14</v>
      </c>
      <c r="C255" s="49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5"/>
      <c r="X255" s="74"/>
      <c r="Y255" s="74"/>
      <c r="Z255" s="74"/>
      <c r="AA255" s="51">
        <f t="shared" si="39"/>
        <v>0</v>
      </c>
      <c r="AB255" s="70">
        <f>SUM(D255:Z255)</f>
        <v>0</v>
      </c>
      <c r="AD255" s="31">
        <f t="shared" si="40"/>
        <v>0</v>
      </c>
      <c r="AE255" s="31">
        <f t="shared" si="41"/>
        <v>0</v>
      </c>
      <c r="AF255" s="17">
        <f t="shared" si="42"/>
        <v>0</v>
      </c>
      <c r="AG255" s="17">
        <f t="shared" si="43"/>
        <v>0</v>
      </c>
    </row>
    <row r="256" spans="1:59" s="19" customFormat="1" ht="18" customHeight="1" outlineLevel="1" x14ac:dyDescent="0.25">
      <c r="A256" s="63" t="s">
        <v>188</v>
      </c>
      <c r="B256" s="53">
        <v>15</v>
      </c>
      <c r="C256" s="49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5"/>
      <c r="X256" s="74"/>
      <c r="Y256" s="74"/>
      <c r="Z256" s="74"/>
      <c r="AA256" s="51">
        <f t="shared" si="39"/>
        <v>0</v>
      </c>
      <c r="AB256" s="70">
        <f>SUM(D256:Z256)</f>
        <v>0</v>
      </c>
      <c r="AD256" s="31">
        <f t="shared" si="40"/>
        <v>0</v>
      </c>
      <c r="AE256" s="31">
        <f t="shared" si="41"/>
        <v>0</v>
      </c>
      <c r="AF256" s="17">
        <f t="shared" si="42"/>
        <v>0</v>
      </c>
      <c r="AG256" s="17">
        <f t="shared" si="43"/>
        <v>0</v>
      </c>
    </row>
    <row r="257" spans="1:123" s="19" customFormat="1" ht="18" customHeight="1" x14ac:dyDescent="0.25">
      <c r="A257" s="63" t="s">
        <v>189</v>
      </c>
      <c r="B257" s="53">
        <v>16</v>
      </c>
      <c r="C257" s="49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5"/>
      <c r="X257" s="74"/>
      <c r="Y257" s="74"/>
      <c r="Z257" s="74"/>
      <c r="AA257" s="51">
        <f t="shared" si="39"/>
        <v>0</v>
      </c>
      <c r="AB257" s="51">
        <f>D257+F257+H257+J257+L257+N257+P257+R257+T257+V257+X257+Z257</f>
        <v>0</v>
      </c>
      <c r="AD257" s="31">
        <f t="shared" si="40"/>
        <v>0</v>
      </c>
      <c r="AE257" s="31">
        <f t="shared" si="41"/>
        <v>0</v>
      </c>
      <c r="AF257" s="17">
        <f t="shared" si="42"/>
        <v>0</v>
      </c>
      <c r="AG257" s="17">
        <f t="shared" si="43"/>
        <v>0</v>
      </c>
      <c r="BG257" s="21"/>
    </row>
    <row r="258" spans="1:123" s="17" customFormat="1" ht="18" customHeight="1" x14ac:dyDescent="0.25">
      <c r="A258" s="44" t="s">
        <v>190</v>
      </c>
      <c r="B258" s="45">
        <v>17</v>
      </c>
      <c r="C258" s="76">
        <f t="shared" ref="C258:AA258" si="45">C6-C16-C28-C29-C102-C176-C250-C251-C252+C253+C254+C256+C257</f>
        <v>-26855.93999999997</v>
      </c>
      <c r="D258" s="76">
        <f t="shared" si="45"/>
        <v>78904.82260000013</v>
      </c>
      <c r="E258" s="76">
        <f t="shared" si="45"/>
        <v>-3758.2152000000424</v>
      </c>
      <c r="F258" s="76">
        <f t="shared" si="45"/>
        <v>21641.935199999956</v>
      </c>
      <c r="G258" s="76">
        <f t="shared" si="45"/>
        <v>13598.667200000025</v>
      </c>
      <c r="H258" s="76">
        <f t="shared" si="45"/>
        <v>-16540.986800000028</v>
      </c>
      <c r="I258" s="76">
        <f t="shared" si="45"/>
        <v>70581.731000000189</v>
      </c>
      <c r="J258" s="76">
        <f t="shared" si="45"/>
        <v>33541.919199999989</v>
      </c>
      <c r="K258" s="76">
        <f t="shared" si="45"/>
        <v>34752.760200000092</v>
      </c>
      <c r="L258" s="76">
        <f t="shared" si="45"/>
        <v>35701.440600000067</v>
      </c>
      <c r="M258" s="76">
        <f t="shared" si="45"/>
        <v>61907.768999999942</v>
      </c>
      <c r="N258" s="76">
        <f t="shared" si="45"/>
        <v>60442.384999999864</v>
      </c>
      <c r="O258" s="76">
        <f t="shared" si="45"/>
        <v>40793.906600000031</v>
      </c>
      <c r="P258" s="76">
        <f t="shared" si="45"/>
        <v>30925.378400000034</v>
      </c>
      <c r="Q258" s="76">
        <f t="shared" si="45"/>
        <v>50679.510800000047</v>
      </c>
      <c r="R258" s="76">
        <f t="shared" si="45"/>
        <v>58456.363200000043</v>
      </c>
      <c r="S258" s="76">
        <f t="shared" si="45"/>
        <v>118576.07160000036</v>
      </c>
      <c r="T258" s="76">
        <f t="shared" si="45"/>
        <v>65285.260800000055</v>
      </c>
      <c r="U258" s="76">
        <f t="shared" si="45"/>
        <v>41909.409000000043</v>
      </c>
      <c r="V258" s="76">
        <f t="shared" si="45"/>
        <v>51955.661600000043</v>
      </c>
      <c r="W258" s="77">
        <f t="shared" si="45"/>
        <v>81249.366399999955</v>
      </c>
      <c r="X258" s="76">
        <f t="shared" si="45"/>
        <v>60707.850200000081</v>
      </c>
      <c r="Y258" s="76">
        <f t="shared" si="45"/>
        <v>173781.02599999995</v>
      </c>
      <c r="Z258" s="76">
        <f t="shared" si="45"/>
        <v>114138.03400000015</v>
      </c>
      <c r="AA258" s="78">
        <f t="shared" si="45"/>
        <v>657216.06260000088</v>
      </c>
      <c r="AB258" s="47">
        <f>D258+F258+H258+J258+L258+N258+P258+R258+T258+V258+X258+Z258</f>
        <v>595160.06400000036</v>
      </c>
      <c r="AD258" s="31">
        <f t="shared" si="40"/>
        <v>657216.06260000065</v>
      </c>
      <c r="AE258" s="31">
        <f t="shared" si="41"/>
        <v>595160.06400000036</v>
      </c>
      <c r="AF258" s="17">
        <f t="shared" si="42"/>
        <v>0</v>
      </c>
      <c r="AG258" s="17">
        <f t="shared" si="43"/>
        <v>0</v>
      </c>
      <c r="BG258" s="21"/>
    </row>
    <row r="259" spans="1:123" s="19" customFormat="1" ht="22" customHeight="1" x14ac:dyDescent="0.25">
      <c r="A259" s="63" t="s">
        <v>191</v>
      </c>
      <c r="B259" s="53">
        <v>18</v>
      </c>
      <c r="C259" s="49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1">
        <f>C259+E259+G259+I259+K259+M259+O259+Q259+S259+U259+W259+Y259</f>
        <v>0</v>
      </c>
      <c r="AB259" s="51">
        <f>D259+F259+H259+J259+L259+N259+P259+R259+T259+V259+X259+Z259</f>
        <v>0</v>
      </c>
      <c r="AD259" s="31">
        <f t="shared" si="40"/>
        <v>0</v>
      </c>
      <c r="AE259" s="31">
        <f t="shared" si="41"/>
        <v>0</v>
      </c>
      <c r="AF259" s="17">
        <f t="shared" si="42"/>
        <v>0</v>
      </c>
      <c r="AG259" s="17">
        <f t="shared" si="43"/>
        <v>0</v>
      </c>
      <c r="BG259" s="21"/>
    </row>
    <row r="260" spans="1:123" s="19" customFormat="1" ht="22" customHeight="1" x14ac:dyDescent="0.25">
      <c r="A260" s="63" t="s">
        <v>192</v>
      </c>
      <c r="B260" s="53">
        <v>19</v>
      </c>
      <c r="C260" s="49"/>
      <c r="D260" s="68"/>
      <c r="E260" s="68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1">
        <f>C260+E260+G260+I260+K260+M260+O260+Q260+S260+U260+W260+Y260</f>
        <v>0</v>
      </c>
      <c r="AB260" s="51">
        <f>D260+F260+H260+J260+L260+N260+P260+R260+T260+V260+X260+Z260</f>
        <v>0</v>
      </c>
      <c r="AD260" s="31">
        <f t="shared" si="40"/>
        <v>0</v>
      </c>
      <c r="AE260" s="31">
        <f t="shared" si="41"/>
        <v>0</v>
      </c>
      <c r="AF260" s="17">
        <f t="shared" si="42"/>
        <v>0</v>
      </c>
      <c r="AG260" s="17">
        <f t="shared" si="43"/>
        <v>0</v>
      </c>
      <c r="BG260" s="21"/>
    </row>
    <row r="261" spans="1:123" s="17" customFormat="1" ht="22" customHeight="1" x14ac:dyDescent="0.25">
      <c r="A261" s="44" t="s">
        <v>193</v>
      </c>
      <c r="B261" s="45">
        <v>20</v>
      </c>
      <c r="C261" s="76">
        <f t="shared" ref="C261:AB261" si="46">C258+C259-C260</f>
        <v>-26855.93999999997</v>
      </c>
      <c r="D261" s="76">
        <f t="shared" si="46"/>
        <v>78904.82260000013</v>
      </c>
      <c r="E261" s="76">
        <f t="shared" si="46"/>
        <v>-3758.2152000000424</v>
      </c>
      <c r="F261" s="76">
        <f t="shared" si="46"/>
        <v>21641.935199999956</v>
      </c>
      <c r="G261" s="76">
        <f t="shared" si="46"/>
        <v>13598.667200000025</v>
      </c>
      <c r="H261" s="76">
        <f t="shared" si="46"/>
        <v>-16540.986800000028</v>
      </c>
      <c r="I261" s="76">
        <f t="shared" si="46"/>
        <v>70581.731000000189</v>
      </c>
      <c r="J261" s="76">
        <f t="shared" si="46"/>
        <v>33541.919199999989</v>
      </c>
      <c r="K261" s="76">
        <f t="shared" si="46"/>
        <v>34752.760200000092</v>
      </c>
      <c r="L261" s="76">
        <f t="shared" si="46"/>
        <v>35701.440600000067</v>
      </c>
      <c r="M261" s="76">
        <f t="shared" si="46"/>
        <v>61907.768999999942</v>
      </c>
      <c r="N261" s="76">
        <f t="shared" si="46"/>
        <v>60442.384999999864</v>
      </c>
      <c r="O261" s="76">
        <f t="shared" si="46"/>
        <v>40793.906600000031</v>
      </c>
      <c r="P261" s="76">
        <f t="shared" si="46"/>
        <v>30925.378400000034</v>
      </c>
      <c r="Q261" s="76">
        <f t="shared" si="46"/>
        <v>50679.510800000047</v>
      </c>
      <c r="R261" s="76">
        <f t="shared" si="46"/>
        <v>58456.363200000043</v>
      </c>
      <c r="S261" s="76">
        <f t="shared" si="46"/>
        <v>118576.07160000036</v>
      </c>
      <c r="T261" s="76">
        <f t="shared" si="46"/>
        <v>65285.260800000055</v>
      </c>
      <c r="U261" s="76">
        <f t="shared" si="46"/>
        <v>41909.409000000043</v>
      </c>
      <c r="V261" s="76">
        <f t="shared" si="46"/>
        <v>51955.661600000043</v>
      </c>
      <c r="W261" s="77">
        <f t="shared" si="46"/>
        <v>81249.366399999955</v>
      </c>
      <c r="X261" s="76">
        <f t="shared" si="46"/>
        <v>60707.850200000081</v>
      </c>
      <c r="Y261" s="76">
        <f t="shared" si="46"/>
        <v>173781.02599999995</v>
      </c>
      <c r="Z261" s="76">
        <f t="shared" si="46"/>
        <v>114138.03400000015</v>
      </c>
      <c r="AA261" s="78">
        <f t="shared" si="46"/>
        <v>657216.06260000088</v>
      </c>
      <c r="AB261" s="78">
        <f t="shared" si="46"/>
        <v>595160.06400000036</v>
      </c>
      <c r="AD261" s="31">
        <f t="shared" si="40"/>
        <v>657216.06260000065</v>
      </c>
      <c r="AE261" s="31">
        <f t="shared" si="41"/>
        <v>595160.06400000036</v>
      </c>
      <c r="AF261" s="55">
        <f>AD26-AD28-AD29-AD102-AD176-AD250-AD251-AD252+AD257+AD259-AD260-AA261</f>
        <v>0</v>
      </c>
      <c r="AG261" s="55">
        <f>AE26-AE28-AE29-AE102-AE176-AE250-AE251-AE252+AE257+AE259-AE260-AB261</f>
        <v>0</v>
      </c>
      <c r="BG261" s="21"/>
    </row>
    <row r="262" spans="1:123" s="19" customFormat="1" ht="22" customHeight="1" x14ac:dyDescent="0.25">
      <c r="A262" s="63" t="s">
        <v>194</v>
      </c>
      <c r="B262" s="53">
        <v>21</v>
      </c>
      <c r="C262" s="49"/>
      <c r="D262" s="68"/>
      <c r="E262" s="68"/>
      <c r="F262" s="74"/>
      <c r="G262" s="74"/>
      <c r="H262" s="74"/>
      <c r="I262" s="74"/>
      <c r="J262" s="74"/>
      <c r="K262" s="74"/>
      <c r="L262" s="74"/>
      <c r="M262" s="74"/>
      <c r="N262" s="74"/>
      <c r="O262" s="74"/>
      <c r="P262" s="74"/>
      <c r="Q262" s="74"/>
      <c r="R262" s="74"/>
      <c r="S262" s="74"/>
      <c r="T262" s="74"/>
      <c r="U262" s="74"/>
      <c r="V262" s="74"/>
      <c r="W262" s="75"/>
      <c r="X262" s="74"/>
      <c r="Y262" s="74"/>
      <c r="Z262" s="74"/>
      <c r="AA262" s="51">
        <f>C262+E262+G262+I262+K262+M262+O262+Q262+S262+U262+W262+Y262</f>
        <v>0</v>
      </c>
      <c r="AB262" s="51">
        <f>D262+F262+H262+J262+L262+N262+P262+R262+T262+V262+X262+Z262</f>
        <v>0</v>
      </c>
      <c r="AD262" s="31">
        <f t="shared" si="40"/>
        <v>0</v>
      </c>
      <c r="AE262" s="31">
        <f t="shared" si="41"/>
        <v>0</v>
      </c>
      <c r="AF262" s="17">
        <f>AA262-AD262</f>
        <v>0</v>
      </c>
      <c r="AG262" s="17" t="e">
        <f>IF(AB262-AE262=AB262-#REF!,0,AE262-#REF!)</f>
        <v>#REF!</v>
      </c>
      <c r="BG262" s="21"/>
    </row>
    <row r="263" spans="1:123" s="17" customFormat="1" ht="22" customHeight="1" x14ac:dyDescent="0.25">
      <c r="A263" s="44" t="s">
        <v>196</v>
      </c>
      <c r="B263" s="45">
        <v>22</v>
      </c>
      <c r="C263" s="76">
        <f t="shared" ref="C263:AB263" si="47">C261-C262</f>
        <v>-26855.93999999997</v>
      </c>
      <c r="D263" s="76">
        <f t="shared" si="47"/>
        <v>78904.82260000013</v>
      </c>
      <c r="E263" s="76">
        <f t="shared" si="47"/>
        <v>-3758.2152000000424</v>
      </c>
      <c r="F263" s="76">
        <f t="shared" si="47"/>
        <v>21641.935199999956</v>
      </c>
      <c r="G263" s="76">
        <f t="shared" si="47"/>
        <v>13598.667200000025</v>
      </c>
      <c r="H263" s="76">
        <f t="shared" si="47"/>
        <v>-16540.986800000028</v>
      </c>
      <c r="I263" s="76">
        <f t="shared" si="47"/>
        <v>70581.731000000189</v>
      </c>
      <c r="J263" s="76">
        <f t="shared" si="47"/>
        <v>33541.919199999989</v>
      </c>
      <c r="K263" s="76">
        <f t="shared" si="47"/>
        <v>34752.760200000092</v>
      </c>
      <c r="L263" s="76">
        <f t="shared" si="47"/>
        <v>35701.440600000067</v>
      </c>
      <c r="M263" s="76">
        <f t="shared" si="47"/>
        <v>61907.768999999942</v>
      </c>
      <c r="N263" s="76">
        <f t="shared" si="47"/>
        <v>60442.384999999864</v>
      </c>
      <c r="O263" s="76">
        <f t="shared" si="47"/>
        <v>40793.906600000031</v>
      </c>
      <c r="P263" s="76">
        <f t="shared" si="47"/>
        <v>30925.378400000034</v>
      </c>
      <c r="Q263" s="76">
        <f t="shared" si="47"/>
        <v>50679.510800000047</v>
      </c>
      <c r="R263" s="76">
        <f t="shared" si="47"/>
        <v>58456.363200000043</v>
      </c>
      <c r="S263" s="76">
        <f t="shared" si="47"/>
        <v>118576.07160000036</v>
      </c>
      <c r="T263" s="76">
        <f t="shared" si="47"/>
        <v>65285.260800000055</v>
      </c>
      <c r="U263" s="76">
        <f t="shared" si="47"/>
        <v>41909.409000000043</v>
      </c>
      <c r="V263" s="76">
        <f t="shared" si="47"/>
        <v>51955.661600000043</v>
      </c>
      <c r="W263" s="77">
        <f t="shared" si="47"/>
        <v>81249.366399999955</v>
      </c>
      <c r="X263" s="76">
        <f t="shared" si="47"/>
        <v>60707.850200000081</v>
      </c>
      <c r="Y263" s="76">
        <f t="shared" si="47"/>
        <v>173781.02599999995</v>
      </c>
      <c r="Z263" s="76">
        <f t="shared" si="47"/>
        <v>114138.03400000015</v>
      </c>
      <c r="AA263" s="78">
        <f t="shared" si="47"/>
        <v>657216.06260000088</v>
      </c>
      <c r="AB263" s="78">
        <f t="shared" si="47"/>
        <v>595160.06400000036</v>
      </c>
      <c r="AD263" s="31">
        <f t="shared" si="40"/>
        <v>657216.06260000065</v>
      </c>
      <c r="AE263" s="31">
        <f t="shared" si="41"/>
        <v>595160.06400000036</v>
      </c>
      <c r="AF263" s="17">
        <f>AA263-AD263</f>
        <v>0</v>
      </c>
      <c r="AG263" s="17">
        <f>AB263-AE263</f>
        <v>0</v>
      </c>
      <c r="BG263" s="21"/>
    </row>
    <row r="264" spans="1:123" s="17" customFormat="1" ht="22" customHeight="1" x14ac:dyDescent="0.25">
      <c r="A264" s="79" t="s">
        <v>197</v>
      </c>
      <c r="B264" s="45">
        <v>23</v>
      </c>
      <c r="C264" s="77"/>
      <c r="D264" s="77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77"/>
      <c r="Q264" s="77"/>
      <c r="R264" s="77"/>
      <c r="S264" s="77"/>
      <c r="T264" s="77"/>
      <c r="U264" s="77"/>
      <c r="V264" s="77"/>
      <c r="W264" s="77"/>
      <c r="X264" s="77"/>
      <c r="Y264" s="77"/>
      <c r="Z264" s="77"/>
      <c r="AA264" s="51">
        <f>C264+E264+G264+I264+K264+M264+O264+Q264+S264+U264+W264+Y264</f>
        <v>0</v>
      </c>
      <c r="AB264" s="51">
        <f>D264+F264+H264+J264+L264+N264+P264+R264+T264+V264+X264+Z264</f>
        <v>0</v>
      </c>
      <c r="AD264" s="80">
        <f>SUMIF($C$5:$Z$263,$AD$5,$A264:Z523)</f>
        <v>0</v>
      </c>
      <c r="AE264" s="80">
        <f>SUMIF($C$5:$Z$263,$AE$5,$C264:Z523)</f>
        <v>0</v>
      </c>
      <c r="BG264" s="21"/>
    </row>
    <row r="265" spans="1:123" s="17" customFormat="1" ht="22" customHeight="1" x14ac:dyDescent="0.25">
      <c r="A265" s="81" t="s">
        <v>198</v>
      </c>
      <c r="B265" s="45">
        <v>24</v>
      </c>
      <c r="C265" s="77">
        <f t="shared" ref="C265:Z265" si="48">C263-C264</f>
        <v>-26855.93999999997</v>
      </c>
      <c r="D265" s="77">
        <f t="shared" si="48"/>
        <v>78904.82260000013</v>
      </c>
      <c r="E265" s="77">
        <f t="shared" si="48"/>
        <v>-3758.2152000000424</v>
      </c>
      <c r="F265" s="77">
        <f t="shared" si="48"/>
        <v>21641.935199999956</v>
      </c>
      <c r="G265" s="77">
        <f t="shared" si="48"/>
        <v>13598.667200000025</v>
      </c>
      <c r="H265" s="77">
        <f t="shared" si="48"/>
        <v>-16540.986800000028</v>
      </c>
      <c r="I265" s="77">
        <f t="shared" si="48"/>
        <v>70581.731000000189</v>
      </c>
      <c r="J265" s="77">
        <f t="shared" si="48"/>
        <v>33541.919199999989</v>
      </c>
      <c r="K265" s="77">
        <f t="shared" si="48"/>
        <v>34752.760200000092</v>
      </c>
      <c r="L265" s="77">
        <f t="shared" si="48"/>
        <v>35701.440600000067</v>
      </c>
      <c r="M265" s="77">
        <f t="shared" si="48"/>
        <v>61907.768999999942</v>
      </c>
      <c r="N265" s="77">
        <f t="shared" si="48"/>
        <v>60442.384999999864</v>
      </c>
      <c r="O265" s="77">
        <f t="shared" si="48"/>
        <v>40793.906600000031</v>
      </c>
      <c r="P265" s="77">
        <f t="shared" si="48"/>
        <v>30925.378400000034</v>
      </c>
      <c r="Q265" s="77">
        <f t="shared" si="48"/>
        <v>50679.510800000047</v>
      </c>
      <c r="R265" s="77">
        <f t="shared" si="48"/>
        <v>58456.363200000043</v>
      </c>
      <c r="S265" s="77">
        <f t="shared" si="48"/>
        <v>118576.07160000036</v>
      </c>
      <c r="T265" s="77">
        <f t="shared" si="48"/>
        <v>65285.260800000055</v>
      </c>
      <c r="U265" s="77">
        <f t="shared" si="48"/>
        <v>41909.409000000043</v>
      </c>
      <c r="V265" s="77">
        <f t="shared" si="48"/>
        <v>51955.661600000043</v>
      </c>
      <c r="W265" s="77">
        <f t="shared" si="48"/>
        <v>81249.366399999955</v>
      </c>
      <c r="X265" s="77">
        <f t="shared" si="48"/>
        <v>60707.850200000081</v>
      </c>
      <c r="Y265" s="77">
        <f t="shared" si="48"/>
        <v>173781.02599999995</v>
      </c>
      <c r="Z265" s="77">
        <f t="shared" si="48"/>
        <v>114138.03400000015</v>
      </c>
      <c r="AA265" s="47">
        <f>C265+E265+G265+I265+K265+M265+O265+Q265+S265+U265+W265+Y265</f>
        <v>657216.06260000065</v>
      </c>
      <c r="AB265" s="47">
        <f>D265+F265+H265+J265+L265+N265+P265+R265+T265+V265+X265+Z265</f>
        <v>595160.06400000036</v>
      </c>
      <c r="AD265" s="80">
        <f>SUMIF($C$5:$Z$263,$AD$5,$A265:Z524)</f>
        <v>483435.03660000069</v>
      </c>
      <c r="AE265" s="80">
        <f>SUMIF($C$5:$Z$263,$AE$5,$C265:Z524)</f>
        <v>595160.06400000036</v>
      </c>
      <c r="BG265" s="21"/>
    </row>
    <row r="266" spans="1:123" s="20" customFormat="1" ht="22" customHeight="1" x14ac:dyDescent="0.25">
      <c r="A266" s="82" t="s">
        <v>211</v>
      </c>
      <c r="B266" s="83"/>
      <c r="C266" s="84">
        <f t="shared" ref="C266:AB266" si="49">C263/C6</f>
        <v>-6.6006102776273529E-2</v>
      </c>
      <c r="D266" s="84">
        <f t="shared" si="49"/>
        <v>0.10392222052153184</v>
      </c>
      <c r="E266" s="84">
        <f t="shared" si="49"/>
        <v>-6.5901980923258833E-3</v>
      </c>
      <c r="F266" s="84">
        <f t="shared" si="49"/>
        <v>4.9469289622659209E-2</v>
      </c>
      <c r="G266" s="84">
        <f t="shared" si="49"/>
        <v>1.6194256763193925E-2</v>
      </c>
      <c r="H266" s="84">
        <f t="shared" si="49"/>
        <v>-3.6442909403806768E-2</v>
      </c>
      <c r="I266" s="84">
        <f t="shared" si="49"/>
        <v>6.3641622273711507E-2</v>
      </c>
      <c r="J266" s="84">
        <f t="shared" si="49"/>
        <v>5.1564998618604439E-2</v>
      </c>
      <c r="K266" s="84">
        <f t="shared" si="49"/>
        <v>3.8549615104622875E-2</v>
      </c>
      <c r="L266" s="84">
        <f t="shared" si="49"/>
        <v>9.1686518770599676E-2</v>
      </c>
      <c r="M266" s="84">
        <f t="shared" si="49"/>
        <v>5.9065990777015437E-2</v>
      </c>
      <c r="N266" s="84">
        <f t="shared" si="49"/>
        <v>0.10337814756549719</v>
      </c>
      <c r="O266" s="84">
        <f t="shared" si="49"/>
        <v>4.198154088188568E-2</v>
      </c>
      <c r="P266" s="84">
        <f t="shared" si="49"/>
        <v>0.10079841682066955</v>
      </c>
      <c r="Q266" s="84">
        <f t="shared" si="49"/>
        <v>4.9545193899207196E-2</v>
      </c>
      <c r="R266" s="84">
        <f t="shared" si="49"/>
        <v>0.10929264506066363</v>
      </c>
      <c r="S266" s="84">
        <f t="shared" si="49"/>
        <v>8.2611508905726064E-2</v>
      </c>
      <c r="T266" s="84">
        <f t="shared" si="49"/>
        <v>0.11318417011594685</v>
      </c>
      <c r="U266" s="84">
        <f t="shared" si="49"/>
        <v>4.1856001161078515E-2</v>
      </c>
      <c r="V266" s="84">
        <f t="shared" si="49"/>
        <v>0.1212339821462894</v>
      </c>
      <c r="W266" s="84">
        <f t="shared" si="49"/>
        <v>6.9747868288935436E-2</v>
      </c>
      <c r="X266" s="84">
        <f t="shared" si="49"/>
        <v>0.13502371907838567</v>
      </c>
      <c r="Y266" s="84">
        <f t="shared" si="49"/>
        <v>9.9335494167672442E-2</v>
      </c>
      <c r="Z266" s="84">
        <f t="shared" si="49"/>
        <v>0.18332545502150466</v>
      </c>
      <c r="AA266" s="85">
        <f t="shared" si="49"/>
        <v>5.3777170001507855E-2</v>
      </c>
      <c r="AB266" s="85">
        <f t="shared" si="49"/>
        <v>9.6080196814210789E-2</v>
      </c>
      <c r="AC266" s="61"/>
      <c r="AD266" s="61">
        <f>SUM(AD6,-AD16,-AD28,-AD29,-AD102,-AD176,-AD250,-AD251,-AD252,AD257,AD259,-AD260,-AD262)/AD6</f>
        <v>5.3777170001507855E-2</v>
      </c>
      <c r="AE266" s="61">
        <f>SUM(AE6,-AE16,-AE28,-AE29,-AE102,-AE176,-AE250,-AE251,-AE252,AE257,AE259,-AE260,-AE262)/AE6</f>
        <v>9.6080196814210886E-2</v>
      </c>
      <c r="AF266" s="17">
        <f>AA266-AD266</f>
        <v>0</v>
      </c>
      <c r="AG266" s="17">
        <f>AB266-AE266</f>
        <v>0</v>
      </c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61"/>
      <c r="AX266" s="61"/>
      <c r="AY266" s="61"/>
      <c r="AZ266" s="61"/>
      <c r="BA266" s="61"/>
      <c r="BB266" s="61"/>
      <c r="BC266" s="61"/>
      <c r="BD266" s="61"/>
      <c r="BE266" s="61"/>
      <c r="BF266" s="61"/>
      <c r="BG266" s="61"/>
      <c r="BH266" s="61"/>
      <c r="BI266" s="6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  <c r="BV266" s="61"/>
      <c r="BW266" s="61"/>
      <c r="BX266" s="61"/>
      <c r="BY266" s="61"/>
      <c r="BZ266" s="61"/>
      <c r="CA266" s="61"/>
      <c r="CB266" s="61"/>
      <c r="CC266" s="61"/>
      <c r="CD266" s="61"/>
      <c r="CE266" s="61"/>
      <c r="CF266" s="61"/>
      <c r="CG266" s="61"/>
      <c r="CH266" s="61"/>
      <c r="CI266" s="61"/>
      <c r="CJ266" s="61"/>
      <c r="CK266" s="61"/>
      <c r="CL266" s="61"/>
      <c r="CM266" s="61"/>
      <c r="CN266" s="61"/>
      <c r="CO266" s="61"/>
      <c r="CP266" s="61"/>
      <c r="CQ266" s="61"/>
      <c r="CR266" s="61"/>
      <c r="CS266" s="61"/>
      <c r="CT266" s="61"/>
      <c r="CU266" s="61"/>
      <c r="CV266" s="61"/>
      <c r="CW266" s="61"/>
      <c r="CX266" s="61"/>
      <c r="CY266" s="61"/>
      <c r="CZ266" s="61"/>
      <c r="DA266" s="61"/>
      <c r="DB266" s="61"/>
      <c r="DC266" s="61"/>
      <c r="DD266" s="61"/>
      <c r="DE266" s="61"/>
      <c r="DF266" s="61"/>
      <c r="DG266" s="61"/>
      <c r="DH266" s="61"/>
      <c r="DI266" s="61"/>
      <c r="DJ266" s="61"/>
      <c r="DK266" s="61"/>
      <c r="DL266" s="61"/>
      <c r="DM266" s="61"/>
      <c r="DN266" s="61"/>
      <c r="DO266" s="61"/>
      <c r="DP266" s="61"/>
      <c r="DQ266" s="61"/>
      <c r="DR266" s="61"/>
      <c r="DS266" s="61"/>
    </row>
    <row r="267" spans="1:123" s="19" customFormat="1" ht="21" customHeight="1" x14ac:dyDescent="0.25">
      <c r="A267" s="82" t="s">
        <v>212</v>
      </c>
      <c r="B267" s="83"/>
      <c r="C267" s="84"/>
      <c r="D267" s="84">
        <f>D6/C6</f>
        <v>1.8661169744009003</v>
      </c>
      <c r="E267" s="84"/>
      <c r="F267" s="84">
        <f>F6/E6</f>
        <v>0.76714461840308612</v>
      </c>
      <c r="G267" s="84"/>
      <c r="H267" s="84">
        <f>H6/G6</f>
        <v>0.54052159429982494</v>
      </c>
      <c r="I267" s="84"/>
      <c r="J267" s="84">
        <f>J6/I6</f>
        <v>0.5865186610549441</v>
      </c>
      <c r="K267" s="84"/>
      <c r="L267" s="84">
        <f>L6/K6</f>
        <v>0.43192764358252805</v>
      </c>
      <c r="M267" s="84"/>
      <c r="N267" s="84">
        <f>N6/M6</f>
        <v>0.5578342644934331</v>
      </c>
      <c r="O267" s="84"/>
      <c r="P267" s="84">
        <f>P6/O6</f>
        <v>0.31573620811530545</v>
      </c>
      <c r="Q267" s="84"/>
      <c r="R267" s="84">
        <f>R6/Q6</f>
        <v>0.52288956421208566</v>
      </c>
      <c r="S267" s="84"/>
      <c r="T267" s="84">
        <f>T6/S6</f>
        <v>0.40185830581144955</v>
      </c>
      <c r="U267" s="84"/>
      <c r="V267" s="84">
        <f>V6/U6</f>
        <v>0.42801077932568821</v>
      </c>
      <c r="W267" s="84"/>
      <c r="X267" s="84">
        <f>X6/W6</f>
        <v>0.38596306242555006</v>
      </c>
      <c r="Y267" s="84"/>
      <c r="Z267" s="84">
        <f>Z6/Y6</f>
        <v>0.35588502635501779</v>
      </c>
      <c r="AA267" s="85"/>
      <c r="AB267" s="86">
        <f>AB6/AA6</f>
        <v>0.50686192951521025</v>
      </c>
      <c r="AD267" s="61"/>
      <c r="AE267" s="61">
        <f>AE6/AD6</f>
        <v>0.50686192951521025</v>
      </c>
      <c r="AF267" s="17"/>
      <c r="AG267" s="87">
        <f>AB267-AE267</f>
        <v>0</v>
      </c>
    </row>
    <row r="268" spans="1:123" s="19" customFormat="1" ht="21" customHeight="1" x14ac:dyDescent="0.25">
      <c r="A268" s="88" t="s">
        <v>201</v>
      </c>
      <c r="B268" s="89"/>
      <c r="C268" s="90"/>
      <c r="D268" s="90">
        <f>2-(D263/C263)</f>
        <v>4.9380771106876251</v>
      </c>
      <c r="E268" s="90"/>
      <c r="F268" s="90">
        <f>2-(F263/E263)</f>
        <v>7.7585673114194504</v>
      </c>
      <c r="G268" s="90"/>
      <c r="H268" s="90">
        <f>2-(H263/G263)</f>
        <v>3.2163682334986472</v>
      </c>
      <c r="I268" s="90"/>
      <c r="J268" s="90">
        <f>J263/I263</f>
        <v>0.47522097750762021</v>
      </c>
      <c r="K268" s="90"/>
      <c r="L268" s="90">
        <f>2-(L263/K263)</f>
        <v>0.97270201288932512</v>
      </c>
      <c r="M268" s="90"/>
      <c r="N268" s="90">
        <f>N263/M263</f>
        <v>0.97632956212652278</v>
      </c>
      <c r="O268" s="90"/>
      <c r="P268" s="90">
        <f>2-P263/O263</f>
        <v>1.241911820232485</v>
      </c>
      <c r="Q268" s="90"/>
      <c r="R268" s="90">
        <f>R263/Q263</f>
        <v>1.1534516075084131</v>
      </c>
      <c r="S268" s="90"/>
      <c r="T268" s="90">
        <f>T263/S263</f>
        <v>0.55057702552527343</v>
      </c>
      <c r="U268" s="90"/>
      <c r="V268" s="90">
        <f>V263/U263</f>
        <v>1.2397135354497599</v>
      </c>
      <c r="W268" s="90"/>
      <c r="X268" s="90">
        <f>X263/W263</f>
        <v>0.74717936754273706</v>
      </c>
      <c r="Y268" s="90"/>
      <c r="Z268" s="90">
        <f>Z263/Y263</f>
        <v>0.65679226683815395</v>
      </c>
      <c r="AA268" s="91"/>
      <c r="AB268" s="92">
        <f>2-(AB263/AA263)</f>
        <v>1.0944225227157443</v>
      </c>
      <c r="AD268" s="22"/>
      <c r="AE268" s="66">
        <f>ROUND(AE263/AD263,4)</f>
        <v>0.90559999999999996</v>
      </c>
      <c r="AF268" s="17"/>
      <c r="AG268" s="87"/>
    </row>
    <row r="269" spans="1:123" s="19" customFormat="1" ht="14.5" x14ac:dyDescent="0.25">
      <c r="A269" s="206"/>
      <c r="B269" s="207"/>
      <c r="C269" s="207"/>
      <c r="D269" s="207"/>
      <c r="E269" s="207"/>
      <c r="F269" s="207"/>
      <c r="G269" s="207"/>
      <c r="H269" s="207"/>
      <c r="I269" s="207"/>
      <c r="J269" s="207"/>
      <c r="K269" s="207"/>
      <c r="L269" s="207"/>
      <c r="M269" s="207"/>
      <c r="N269" s="207"/>
      <c r="O269" s="207"/>
      <c r="P269" s="207"/>
      <c r="Q269" s="207"/>
      <c r="R269" s="207"/>
      <c r="S269" s="207"/>
      <c r="T269" s="207"/>
      <c r="U269" s="207"/>
      <c r="V269" s="207"/>
      <c r="W269" s="207"/>
      <c r="X269" s="207"/>
      <c r="Y269" s="207"/>
      <c r="Z269" s="207"/>
      <c r="AA269" s="207"/>
      <c r="AB269" s="207"/>
      <c r="AD269" s="61"/>
      <c r="AE269" s="66"/>
      <c r="AF269" s="17"/>
      <c r="AG269" s="87"/>
    </row>
    <row r="270" spans="1:123" s="19" customFormat="1" ht="83" customHeight="1" x14ac:dyDescent="0.25">
      <c r="A270" s="93" t="s">
        <v>72</v>
      </c>
      <c r="B270" s="204" t="str">
        <f>索引!C7</f>
        <v>1、营业收入的取数来源为2025年1-12月销售明细表中的金额-2025年1-12月客户计提返利的金额；
2、营业成本的取数来源为2025年1-12月销售明细表中销售结算成本+运费核对表中的运费+销售的原材料的成本；
3、税金及附加核算的是城建税、教育费附加、印花税，城建和教育费附加为当月收入的0.85%，印花税为收入的0.03%；
4、销售费用为分部人员的费用及后台职能协助挂到分部的费用（如有）；
5、所得税与所得税分摊表中数据一致。</v>
      </c>
      <c r="C270" s="204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  <c r="AA270" s="204"/>
      <c r="AB270" s="204"/>
      <c r="AD270" s="22"/>
      <c r="AE270" s="22"/>
      <c r="AF270" s="22"/>
      <c r="AG270" s="22"/>
    </row>
    <row r="271" spans="1:123" s="19" customFormat="1" ht="21" customHeight="1" x14ac:dyDescent="0.25">
      <c r="B271" s="94"/>
      <c r="C271" s="95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5"/>
      <c r="AD271" s="22"/>
      <c r="AE271" s="22"/>
      <c r="AF271" s="22"/>
      <c r="AG271" s="22"/>
    </row>
    <row r="272" spans="1:123" s="19" customFormat="1" ht="21" customHeight="1" x14ac:dyDescent="0.25">
      <c r="B272" s="94"/>
      <c r="C272" s="95"/>
      <c r="D272" s="96"/>
      <c r="E272" s="96"/>
      <c r="F272" s="97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6"/>
      <c r="AB272" s="95"/>
      <c r="AD272" s="22"/>
      <c r="AE272" s="22"/>
      <c r="AF272" s="22"/>
      <c r="AG272" s="22"/>
    </row>
    <row r="273" spans="2:33" s="19" customFormat="1" ht="21" customHeight="1" x14ac:dyDescent="0.25">
      <c r="B273" s="94"/>
      <c r="C273" s="95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6"/>
      <c r="AB273" s="95"/>
      <c r="AD273" s="22"/>
      <c r="AE273" s="22"/>
      <c r="AF273" s="22"/>
      <c r="AG273" s="22"/>
    </row>
    <row r="274" spans="2:33" s="19" customFormat="1" ht="21" customHeight="1" x14ac:dyDescent="0.25">
      <c r="B274" s="94"/>
      <c r="C274" s="95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6"/>
      <c r="AB274" s="95"/>
      <c r="AD274" s="22"/>
      <c r="AE274" s="22"/>
      <c r="AF274" s="22"/>
      <c r="AG274" s="22"/>
    </row>
    <row r="275" spans="2:33" s="19" customFormat="1" ht="21" customHeight="1" x14ac:dyDescent="0.25">
      <c r="B275" s="94"/>
      <c r="C275" s="95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6"/>
      <c r="AB275" s="95"/>
      <c r="AD275" s="22"/>
      <c r="AE275" s="22"/>
      <c r="AF275" s="22"/>
      <c r="AG275" s="22"/>
    </row>
    <row r="276" spans="2:33" s="19" customFormat="1" ht="21" customHeight="1" x14ac:dyDescent="0.25">
      <c r="B276" s="94"/>
      <c r="C276" s="95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  <c r="AA276" s="96"/>
      <c r="AB276" s="95"/>
      <c r="AD276" s="22"/>
      <c r="AE276" s="22"/>
      <c r="AF276" s="22"/>
      <c r="AG276" s="22"/>
    </row>
    <row r="277" spans="2:33" s="19" customFormat="1" ht="21" customHeight="1" x14ac:dyDescent="0.25">
      <c r="B277" s="94"/>
      <c r="C277" s="95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  <c r="AA277" s="96"/>
      <c r="AB277" s="95"/>
      <c r="AD277" s="22"/>
      <c r="AE277" s="22"/>
      <c r="AF277" s="22"/>
      <c r="AG277" s="22"/>
    </row>
    <row r="278" spans="2:33" s="19" customFormat="1" ht="21" customHeight="1" x14ac:dyDescent="0.25">
      <c r="B278" s="94"/>
      <c r="C278" s="95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6"/>
      <c r="AB278" s="95"/>
      <c r="AD278" s="22"/>
      <c r="AE278" s="22"/>
      <c r="AF278" s="22"/>
      <c r="AG278" s="22"/>
    </row>
    <row r="279" spans="2:33" s="19" customFormat="1" ht="21" customHeight="1" x14ac:dyDescent="0.25">
      <c r="B279" s="94"/>
      <c r="C279" s="95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95"/>
      <c r="AD279" s="22"/>
      <c r="AE279" s="22"/>
      <c r="AF279" s="22"/>
      <c r="AG279" s="22"/>
    </row>
    <row r="280" spans="2:33" s="19" customFormat="1" ht="21" customHeight="1" x14ac:dyDescent="0.25">
      <c r="B280" s="94"/>
      <c r="C280" s="95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  <c r="AA280" s="96"/>
      <c r="AB280" s="95"/>
      <c r="AD280" s="22"/>
      <c r="AE280" s="22"/>
      <c r="AF280" s="22"/>
      <c r="AG280" s="22"/>
    </row>
    <row r="281" spans="2:33" s="19" customFormat="1" ht="21" customHeight="1" x14ac:dyDescent="0.25">
      <c r="B281" s="94"/>
      <c r="C281" s="95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  <c r="AA281" s="96"/>
      <c r="AB281" s="95"/>
      <c r="AD281" s="22"/>
      <c r="AE281" s="22"/>
      <c r="AF281" s="22"/>
      <c r="AG281" s="22"/>
    </row>
    <row r="282" spans="2:33" s="19" customFormat="1" ht="21" customHeight="1" x14ac:dyDescent="0.25">
      <c r="B282" s="94"/>
      <c r="C282" s="95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  <c r="AA282" s="96"/>
      <c r="AB282" s="95"/>
      <c r="AD282" s="22"/>
      <c r="AE282" s="22"/>
      <c r="AF282" s="22"/>
      <c r="AG282" s="22"/>
    </row>
    <row r="283" spans="2:33" s="19" customFormat="1" ht="21" customHeight="1" x14ac:dyDescent="0.25">
      <c r="B283" s="94"/>
      <c r="C283" s="95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6"/>
      <c r="AB283" s="95"/>
      <c r="AD283" s="22"/>
      <c r="AE283" s="22"/>
      <c r="AF283" s="22"/>
      <c r="AG283" s="22"/>
    </row>
    <row r="284" spans="2:33" s="19" customFormat="1" ht="21" customHeight="1" x14ac:dyDescent="0.25">
      <c r="B284" s="94"/>
      <c r="C284" s="95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  <c r="AA284" s="96"/>
      <c r="AB284" s="95"/>
      <c r="AD284" s="22"/>
      <c r="AE284" s="22"/>
      <c r="AF284" s="22"/>
      <c r="AG284" s="22"/>
    </row>
    <row r="285" spans="2:33" s="19" customFormat="1" ht="21" customHeight="1" x14ac:dyDescent="0.25">
      <c r="B285" s="94"/>
      <c r="C285" s="95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  <c r="AB285" s="95"/>
      <c r="AD285" s="22"/>
      <c r="AE285" s="22"/>
      <c r="AF285" s="22"/>
      <c r="AG285" s="22"/>
    </row>
    <row r="286" spans="2:33" s="19" customFormat="1" ht="21" customHeight="1" x14ac:dyDescent="0.25">
      <c r="B286" s="94"/>
      <c r="C286" s="95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6"/>
      <c r="AB286" s="95"/>
      <c r="AD286" s="22"/>
      <c r="AE286" s="22"/>
      <c r="AF286" s="22"/>
      <c r="AG286" s="22"/>
    </row>
    <row r="287" spans="2:33" s="19" customFormat="1" ht="21" customHeight="1" x14ac:dyDescent="0.25">
      <c r="B287" s="94"/>
      <c r="C287" s="95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6"/>
      <c r="AB287" s="95"/>
      <c r="AD287" s="22"/>
      <c r="AE287" s="22"/>
      <c r="AF287" s="22"/>
      <c r="AG287" s="22"/>
    </row>
  </sheetData>
  <autoFilter ref="C5:AB270" xr:uid="{00000000-0009-0000-0000-000009000000}"/>
  <mergeCells count="20">
    <mergeCell ref="AD4:AE4"/>
    <mergeCell ref="AF4:AG4"/>
    <mergeCell ref="A269:AB269"/>
    <mergeCell ref="B270:AB270"/>
    <mergeCell ref="A4:A5"/>
    <mergeCell ref="B4:B5"/>
    <mergeCell ref="A1:AB1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</mergeCells>
  <phoneticPr fontId="40" type="noConversion"/>
  <hyperlinks>
    <hyperlink ref="A1" location="'索引'!A1" tooltip="返回索引" display="安徽省区利润表 " xr:uid="{00000000-0004-0000-0900-000000000000}"/>
  </hyperlinks>
  <pageMargins left="0.27916666666666701" right="0.156944444444444" top="0.27916666666666701" bottom="0.35416666666666702" header="0.23958333333333301" footer="0.118055555555556"/>
  <pageSetup paperSize="9" scale="36" orientation="landscape" r:id="rId1"/>
  <headerFooter>
    <oddFooter>&amp;C第 &amp;P 页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S287"/>
  <sheetViews>
    <sheetView showZeros="0" tabSelected="1" view="pageBreakPreview" zoomScale="85" zoomScaleNormal="100" workbookViewId="0">
      <pane xSplit="2" ySplit="5" topLeftCell="T6" activePane="bottomRight" state="frozen"/>
      <selection activeCell="A269" sqref="A269:AB269"/>
      <selection pane="topRight" activeCell="A269" sqref="A269:AB269"/>
      <selection pane="bottomLeft" activeCell="A269" sqref="A269:AB269"/>
      <selection pane="bottomRight" activeCell="A269" sqref="A269:AB269"/>
    </sheetView>
  </sheetViews>
  <sheetFormatPr defaultColWidth="8.6640625" defaultRowHeight="21" customHeight="1" outlineLevelRow="2" outlineLevelCol="1" x14ac:dyDescent="0.25"/>
  <cols>
    <col min="1" max="1" width="20.08203125" style="22" customWidth="1"/>
    <col min="2" max="2" width="5.58203125" style="23" customWidth="1"/>
    <col min="3" max="3" width="13.1640625" style="24" customWidth="1"/>
    <col min="4" max="5" width="12.83203125" style="25" customWidth="1"/>
    <col min="6" max="10" width="13.25" style="25" customWidth="1"/>
    <col min="11" max="11" width="13.33203125" style="25" customWidth="1"/>
    <col min="12" max="12" width="11.5" style="25" customWidth="1"/>
    <col min="13" max="26" width="12.83203125" style="25" customWidth="1"/>
    <col min="27" max="27" width="13.08203125" style="25" customWidth="1"/>
    <col min="28" max="28" width="14.58203125" style="24" customWidth="1"/>
    <col min="29" max="29" width="16.33203125" style="22" customWidth="1"/>
    <col min="30" max="30" width="22.33203125" style="22" hidden="1" customWidth="1" outlineLevel="1"/>
    <col min="31" max="31" width="15.75" style="22" hidden="1" customWidth="1" outlineLevel="1"/>
    <col min="32" max="32" width="15" style="22" hidden="1" customWidth="1" outlineLevel="1"/>
    <col min="33" max="33" width="13.08203125" style="22" hidden="1" customWidth="1" outlineLevel="1"/>
    <col min="34" max="34" width="8.6640625" style="22" customWidth="1" collapsed="1"/>
    <col min="35" max="58" width="8.6640625" style="22" customWidth="1"/>
    <col min="59" max="59" width="15.25" style="22" customWidth="1"/>
    <col min="60" max="60" width="8.6640625" style="22"/>
    <col min="61" max="61" width="14.33203125" style="22"/>
    <col min="62" max="16384" width="8.6640625" style="22"/>
  </cols>
  <sheetData>
    <row r="1" spans="1:123" s="16" customFormat="1" ht="28" customHeight="1" x14ac:dyDescent="0.25">
      <c r="A1" s="189" t="s">
        <v>218</v>
      </c>
      <c r="B1" s="20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2"/>
      <c r="AB1" s="192"/>
    </row>
    <row r="2" spans="1:123" s="16" customFormat="1" ht="21" customHeight="1" x14ac:dyDescent="0.25">
      <c r="A2" s="26">
        <v>46021</v>
      </c>
      <c r="B2" s="27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9" t="s">
        <v>203</v>
      </c>
    </row>
    <row r="3" spans="1:123" s="17" customFormat="1" ht="22" customHeight="1" x14ac:dyDescent="0.25">
      <c r="A3" s="30" t="s">
        <v>204</v>
      </c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29" t="s">
        <v>205</v>
      </c>
      <c r="AC3" s="27"/>
    </row>
    <row r="4" spans="1:123" s="17" customFormat="1" ht="24" customHeight="1" x14ac:dyDescent="0.25">
      <c r="A4" s="200" t="s">
        <v>206</v>
      </c>
      <c r="B4" s="200" t="s">
        <v>207</v>
      </c>
      <c r="C4" s="193">
        <v>45658</v>
      </c>
      <c r="D4" s="193"/>
      <c r="E4" s="193">
        <v>45689</v>
      </c>
      <c r="F4" s="193"/>
      <c r="G4" s="193">
        <v>45717</v>
      </c>
      <c r="H4" s="193"/>
      <c r="I4" s="193">
        <v>45748</v>
      </c>
      <c r="J4" s="193"/>
      <c r="K4" s="193">
        <v>45778</v>
      </c>
      <c r="L4" s="193"/>
      <c r="M4" s="193">
        <v>45809</v>
      </c>
      <c r="N4" s="193"/>
      <c r="O4" s="193">
        <v>45839</v>
      </c>
      <c r="P4" s="193"/>
      <c r="Q4" s="193">
        <v>45870</v>
      </c>
      <c r="R4" s="193"/>
      <c r="S4" s="193">
        <v>45901</v>
      </c>
      <c r="T4" s="193"/>
      <c r="U4" s="193">
        <v>45931</v>
      </c>
      <c r="V4" s="193"/>
      <c r="W4" s="193">
        <v>45962</v>
      </c>
      <c r="X4" s="193"/>
      <c r="Y4" s="193">
        <v>45992</v>
      </c>
      <c r="Z4" s="193"/>
      <c r="AA4" s="194" t="s">
        <v>79</v>
      </c>
      <c r="AB4" s="194"/>
      <c r="AD4" s="195" t="s">
        <v>80</v>
      </c>
      <c r="AE4" s="195"/>
      <c r="AF4" s="196" t="s">
        <v>81</v>
      </c>
      <c r="AG4" s="195"/>
    </row>
    <row r="5" spans="1:123" s="18" customFormat="1" ht="24" customHeight="1" x14ac:dyDescent="0.25">
      <c r="A5" s="201"/>
      <c r="B5" s="201"/>
      <c r="C5" s="37" t="s">
        <v>84</v>
      </c>
      <c r="D5" s="38" t="s">
        <v>85</v>
      </c>
      <c r="E5" s="37" t="s">
        <v>84</v>
      </c>
      <c r="F5" s="38" t="s">
        <v>85</v>
      </c>
      <c r="G5" s="37" t="s">
        <v>84</v>
      </c>
      <c r="H5" s="38" t="s">
        <v>85</v>
      </c>
      <c r="I5" s="37" t="s">
        <v>84</v>
      </c>
      <c r="J5" s="38" t="s">
        <v>85</v>
      </c>
      <c r="K5" s="37" t="s">
        <v>84</v>
      </c>
      <c r="L5" s="38" t="s">
        <v>85</v>
      </c>
      <c r="M5" s="37" t="s">
        <v>84</v>
      </c>
      <c r="N5" s="38" t="s">
        <v>85</v>
      </c>
      <c r="O5" s="37" t="s">
        <v>84</v>
      </c>
      <c r="P5" s="38" t="s">
        <v>85</v>
      </c>
      <c r="Q5" s="37" t="s">
        <v>84</v>
      </c>
      <c r="R5" s="38" t="s">
        <v>85</v>
      </c>
      <c r="S5" s="37" t="s">
        <v>84</v>
      </c>
      <c r="T5" s="38" t="s">
        <v>85</v>
      </c>
      <c r="U5" s="37" t="s">
        <v>84</v>
      </c>
      <c r="V5" s="38" t="s">
        <v>85</v>
      </c>
      <c r="W5" s="37" t="s">
        <v>84</v>
      </c>
      <c r="X5" s="38" t="s">
        <v>85</v>
      </c>
      <c r="Y5" s="37" t="s">
        <v>84</v>
      </c>
      <c r="Z5" s="38" t="s">
        <v>85</v>
      </c>
      <c r="AA5" s="39" t="s">
        <v>84</v>
      </c>
      <c r="AB5" s="40" t="s">
        <v>208</v>
      </c>
      <c r="AD5" s="41" t="s">
        <v>84</v>
      </c>
      <c r="AE5" s="42" t="s">
        <v>85</v>
      </c>
      <c r="AF5" s="41" t="s">
        <v>84</v>
      </c>
      <c r="AG5" s="42" t="s">
        <v>85</v>
      </c>
      <c r="AH5" s="43"/>
      <c r="AI5" s="43"/>
      <c r="AJ5" s="43"/>
      <c r="AK5" s="43"/>
      <c r="AL5" s="43"/>
      <c r="AM5" s="43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43"/>
      <c r="BQ5" s="43"/>
      <c r="BR5" s="43"/>
      <c r="BS5" s="43"/>
      <c r="BT5" s="43"/>
      <c r="BU5" s="43"/>
      <c r="BV5" s="43"/>
      <c r="BW5" s="43"/>
      <c r="BX5" s="43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43"/>
      <c r="DB5" s="43"/>
      <c r="DC5" s="43"/>
      <c r="DD5" s="43"/>
      <c r="DE5" s="43"/>
      <c r="DF5" s="43"/>
      <c r="DG5" s="43"/>
      <c r="DH5" s="43"/>
      <c r="DI5" s="43"/>
      <c r="DJ5" s="43"/>
      <c r="DK5" s="43"/>
      <c r="DL5" s="43"/>
      <c r="DM5" s="43"/>
      <c r="DN5" s="43"/>
      <c r="DO5" s="43"/>
      <c r="DP5" s="43"/>
      <c r="DQ5" s="43"/>
      <c r="DR5" s="43"/>
      <c r="DS5" s="43"/>
    </row>
    <row r="6" spans="1:123" s="17" customFormat="1" ht="18" customHeight="1" x14ac:dyDescent="0.25">
      <c r="A6" s="44" t="s">
        <v>209</v>
      </c>
      <c r="B6" s="45" t="s">
        <v>88</v>
      </c>
      <c r="C6" s="46">
        <f t="shared" ref="C6:Z6" si="0">SUM(C7:C13,C15,-C14)</f>
        <v>437336.28</v>
      </c>
      <c r="D6" s="46">
        <f t="shared" si="0"/>
        <v>588568.85280000011</v>
      </c>
      <c r="E6" s="46">
        <f t="shared" si="0"/>
        <v>292241.52</v>
      </c>
      <c r="F6" s="46">
        <f t="shared" si="0"/>
        <v>272160.02160000004</v>
      </c>
      <c r="G6" s="46">
        <f t="shared" si="0"/>
        <v>536067.72000000009</v>
      </c>
      <c r="H6" s="46">
        <f t="shared" si="0"/>
        <v>294425.20439999999</v>
      </c>
      <c r="I6" s="46">
        <f t="shared" si="0"/>
        <v>629494.20000000007</v>
      </c>
      <c r="J6" s="46">
        <f t="shared" si="0"/>
        <v>714072.60719999997</v>
      </c>
      <c r="K6" s="46">
        <f t="shared" si="0"/>
        <v>598133.16</v>
      </c>
      <c r="L6" s="46">
        <f t="shared" si="0"/>
        <v>352109.84920000011</v>
      </c>
      <c r="M6" s="46">
        <f t="shared" si="0"/>
        <v>646968.60000000009</v>
      </c>
      <c r="N6" s="46">
        <f t="shared" si="0"/>
        <v>582044.82079999999</v>
      </c>
      <c r="O6" s="46">
        <f t="shared" si="0"/>
        <v>761612.4</v>
      </c>
      <c r="P6" s="46">
        <f t="shared" si="0"/>
        <v>642341.2496000001</v>
      </c>
      <c r="Q6" s="46">
        <f t="shared" si="0"/>
        <v>717474.89</v>
      </c>
      <c r="R6" s="46">
        <f t="shared" si="0"/>
        <v>743829.60799999989</v>
      </c>
      <c r="S6" s="46">
        <f t="shared" si="0"/>
        <v>1063364.4300000002</v>
      </c>
      <c r="T6" s="46">
        <f t="shared" si="0"/>
        <v>832589.44960000005</v>
      </c>
      <c r="U6" s="46">
        <f t="shared" si="0"/>
        <v>689787.64</v>
      </c>
      <c r="V6" s="46">
        <f t="shared" si="0"/>
        <v>762133.36159999983</v>
      </c>
      <c r="W6" s="46">
        <f t="shared" si="0"/>
        <v>899445.20000000007</v>
      </c>
      <c r="X6" s="46">
        <f t="shared" si="0"/>
        <v>562690.26640000008</v>
      </c>
      <c r="Y6" s="46">
        <f t="shared" si="0"/>
        <v>1255568.9600000002</v>
      </c>
      <c r="Z6" s="46">
        <f t="shared" si="0"/>
        <v>952721.00720000023</v>
      </c>
      <c r="AA6" s="47">
        <f t="shared" ref="AA6:AA26" si="1">C6+E6+G6+I6+K6+M6+O6+Q6+S6+U6+W6+Y6</f>
        <v>8527495.0000000019</v>
      </c>
      <c r="AB6" s="47">
        <f t="shared" ref="AB6:AB26" si="2">D6+F6+H6+J6+L6+N6+P6+R6+T6+V6+X6+Z6</f>
        <v>7299686.2983999997</v>
      </c>
      <c r="AD6" s="31">
        <f t="shared" ref="AD6:AD26" si="3">SUMIF($C$5:$Z$5,$AD$5,C6:Z6)</f>
        <v>8527495.0000000019</v>
      </c>
      <c r="AE6" s="31">
        <f t="shared" ref="AE6:AE26" si="4">SUMIF($C$5:$Z$5,$AD$5,D6:AA6)</f>
        <v>7299686.2983999997</v>
      </c>
      <c r="AF6" s="17">
        <f t="shared" ref="AF6:AF13" si="5">AA6-AD6</f>
        <v>0</v>
      </c>
      <c r="AG6" s="17">
        <f t="shared" ref="AG6:AG13" si="6">AB6-AE6</f>
        <v>0</v>
      </c>
      <c r="BG6" s="21"/>
    </row>
    <row r="7" spans="1:123" s="17" customFormat="1" ht="18" customHeight="1" outlineLevel="1" x14ac:dyDescent="0.25">
      <c r="A7" s="48" t="s">
        <v>89</v>
      </c>
      <c r="B7" s="45"/>
      <c r="C7" s="49">
        <v>0</v>
      </c>
      <c r="D7" s="50">
        <v>180729.87840000002</v>
      </c>
      <c r="E7" s="50">
        <v>0</v>
      </c>
      <c r="F7" s="50">
        <v>163469.95560000002</v>
      </c>
      <c r="G7" s="50">
        <v>0</v>
      </c>
      <c r="H7" s="50">
        <v>101430.20880000001</v>
      </c>
      <c r="I7" s="50">
        <v>0</v>
      </c>
      <c r="J7" s="50">
        <v>285452.61839999998</v>
      </c>
      <c r="K7" s="50">
        <v>0</v>
      </c>
      <c r="L7" s="50">
        <v>78655.546800000011</v>
      </c>
      <c r="M7" s="50">
        <v>0</v>
      </c>
      <c r="N7" s="50">
        <v>172516.04639999999</v>
      </c>
      <c r="O7" s="50">
        <v>0</v>
      </c>
      <c r="P7" s="50">
        <v>231904.63080000001</v>
      </c>
      <c r="Q7" s="50">
        <v>0</v>
      </c>
      <c r="R7" s="50">
        <v>167113.27080000003</v>
      </c>
      <c r="S7" s="50">
        <v>0</v>
      </c>
      <c r="T7" s="50">
        <v>308831.2488</v>
      </c>
      <c r="U7" s="50">
        <v>0</v>
      </c>
      <c r="V7" s="50">
        <v>231457.16520000002</v>
      </c>
      <c r="W7" s="50">
        <v>0</v>
      </c>
      <c r="X7" s="50">
        <v>162886.17240000001</v>
      </c>
      <c r="Y7" s="50">
        <v>0</v>
      </c>
      <c r="Z7" s="50">
        <v>195271.06320000003</v>
      </c>
      <c r="AA7" s="51">
        <f t="shared" si="1"/>
        <v>0</v>
      </c>
      <c r="AB7" s="51">
        <f t="shared" si="2"/>
        <v>2279717.8056000001</v>
      </c>
      <c r="AC7" s="17">
        <v>1.08</v>
      </c>
      <c r="AD7" s="31">
        <f t="shared" si="3"/>
        <v>0</v>
      </c>
      <c r="AE7" s="31">
        <f t="shared" si="4"/>
        <v>2279717.8056000001</v>
      </c>
      <c r="AF7" s="17">
        <f t="shared" si="5"/>
        <v>0</v>
      </c>
      <c r="AG7" s="17">
        <f t="shared" si="6"/>
        <v>0</v>
      </c>
      <c r="BG7" s="21"/>
    </row>
    <row r="8" spans="1:123" s="17" customFormat="1" ht="18" customHeight="1" outlineLevel="1" x14ac:dyDescent="0.25">
      <c r="A8" s="48" t="s">
        <v>90</v>
      </c>
      <c r="B8" s="45"/>
      <c r="C8" s="49">
        <v>0</v>
      </c>
      <c r="D8" s="50">
        <v>235514.95200000002</v>
      </c>
      <c r="E8" s="50">
        <v>0</v>
      </c>
      <c r="F8" s="50">
        <v>85230.165600000008</v>
      </c>
      <c r="G8" s="50">
        <v>0</v>
      </c>
      <c r="H8" s="50">
        <v>102544.542</v>
      </c>
      <c r="I8" s="50">
        <v>0</v>
      </c>
      <c r="J8" s="50">
        <v>203676.04440000001</v>
      </c>
      <c r="K8" s="50">
        <v>0</v>
      </c>
      <c r="L8" s="50">
        <v>135749.29320000001</v>
      </c>
      <c r="M8" s="50">
        <v>0</v>
      </c>
      <c r="N8" s="50">
        <v>253916.48879999999</v>
      </c>
      <c r="O8" s="50">
        <v>0</v>
      </c>
      <c r="P8" s="50">
        <v>215896.65480000002</v>
      </c>
      <c r="Q8" s="50">
        <v>0</v>
      </c>
      <c r="R8" s="50">
        <v>330549.67080000002</v>
      </c>
      <c r="S8" s="50">
        <v>0</v>
      </c>
      <c r="T8" s="50">
        <v>288223.22879999998</v>
      </c>
      <c r="U8" s="50">
        <v>0</v>
      </c>
      <c r="V8" s="50">
        <v>426945.02759999997</v>
      </c>
      <c r="W8" s="50">
        <v>0</v>
      </c>
      <c r="X8" s="50">
        <v>251251.56720000002</v>
      </c>
      <c r="Y8" s="50">
        <v>0</v>
      </c>
      <c r="Z8" s="50">
        <v>533232.23400000005</v>
      </c>
      <c r="AA8" s="51">
        <f t="shared" si="1"/>
        <v>0</v>
      </c>
      <c r="AB8" s="51">
        <f t="shared" si="2"/>
        <v>3062729.8692000001</v>
      </c>
      <c r="AD8" s="31">
        <f t="shared" si="3"/>
        <v>0</v>
      </c>
      <c r="AE8" s="31">
        <f t="shared" si="4"/>
        <v>3062729.8692000001</v>
      </c>
      <c r="AF8" s="17">
        <f t="shared" si="5"/>
        <v>0</v>
      </c>
      <c r="AG8" s="17">
        <f t="shared" si="6"/>
        <v>0</v>
      </c>
      <c r="BG8" s="21"/>
    </row>
    <row r="9" spans="1:123" s="17" customFormat="1" ht="18" customHeight="1" outlineLevel="1" x14ac:dyDescent="0.25">
      <c r="A9" s="48" t="s">
        <v>91</v>
      </c>
      <c r="B9" s="45"/>
      <c r="C9" s="49">
        <v>0</v>
      </c>
      <c r="D9" s="50">
        <v>78710.000400000004</v>
      </c>
      <c r="E9" s="50">
        <v>0</v>
      </c>
      <c r="F9" s="50">
        <v>22299.613200000003</v>
      </c>
      <c r="G9" s="50">
        <v>0</v>
      </c>
      <c r="H9" s="50">
        <v>77253.426000000007</v>
      </c>
      <c r="I9" s="50">
        <v>0</v>
      </c>
      <c r="J9" s="50">
        <v>150989.75639999998</v>
      </c>
      <c r="K9" s="50">
        <v>0</v>
      </c>
      <c r="L9" s="50">
        <v>149505.49080000003</v>
      </c>
      <c r="M9" s="50">
        <v>0</v>
      </c>
      <c r="N9" s="50">
        <v>152027.29080000002</v>
      </c>
      <c r="O9" s="50">
        <v>0</v>
      </c>
      <c r="P9" s="50">
        <v>137416.62960000001</v>
      </c>
      <c r="Q9" s="50">
        <v>0</v>
      </c>
      <c r="R9" s="50">
        <v>231186.90600000002</v>
      </c>
      <c r="S9" s="50">
        <v>0</v>
      </c>
      <c r="T9" s="50">
        <v>161410.33080000003</v>
      </c>
      <c r="U9" s="50">
        <v>0</v>
      </c>
      <c r="V9" s="50">
        <v>98474.054399999994</v>
      </c>
      <c r="W9" s="50">
        <v>0</v>
      </c>
      <c r="X9" s="50">
        <v>109084.7844</v>
      </c>
      <c r="Y9" s="50">
        <v>0</v>
      </c>
      <c r="Z9" s="50">
        <v>203257.8792</v>
      </c>
      <c r="AA9" s="51">
        <f t="shared" si="1"/>
        <v>0</v>
      </c>
      <c r="AB9" s="51">
        <f t="shared" si="2"/>
        <v>1571616.1620000002</v>
      </c>
      <c r="AD9" s="31">
        <f t="shared" si="3"/>
        <v>0</v>
      </c>
      <c r="AE9" s="31">
        <f t="shared" si="4"/>
        <v>1571616.1620000002</v>
      </c>
      <c r="AF9" s="17">
        <f t="shared" si="5"/>
        <v>0</v>
      </c>
      <c r="AG9" s="17">
        <f t="shared" si="6"/>
        <v>0</v>
      </c>
      <c r="BG9" s="21"/>
    </row>
    <row r="10" spans="1:123" s="17" customFormat="1" ht="18" customHeight="1" outlineLevel="1" x14ac:dyDescent="0.25">
      <c r="A10" s="48" t="s">
        <v>92</v>
      </c>
      <c r="B10" s="45"/>
      <c r="C10" s="49">
        <v>0</v>
      </c>
      <c r="D10" s="50">
        <v>7317.2268000000004</v>
      </c>
      <c r="E10" s="50">
        <v>0</v>
      </c>
      <c r="F10" s="50">
        <v>227.46960000000001</v>
      </c>
      <c r="G10" s="50">
        <v>0</v>
      </c>
      <c r="H10" s="50">
        <v>374.65199999999999</v>
      </c>
      <c r="I10" s="50">
        <v>0</v>
      </c>
      <c r="J10" s="50">
        <v>5325.4583999999995</v>
      </c>
      <c r="K10" s="50">
        <v>0</v>
      </c>
      <c r="L10" s="50">
        <v>1364.8176000000001</v>
      </c>
      <c r="M10" s="50">
        <v>0</v>
      </c>
      <c r="N10" s="50">
        <v>6453.2376000000004</v>
      </c>
      <c r="O10" s="50">
        <v>0</v>
      </c>
      <c r="P10" s="50">
        <v>2850.0552000000002</v>
      </c>
      <c r="Q10" s="50">
        <v>0</v>
      </c>
      <c r="R10" s="50">
        <v>6007.8672000000006</v>
      </c>
      <c r="S10" s="50">
        <v>0</v>
      </c>
      <c r="T10" s="50">
        <v>4121.2044000000005</v>
      </c>
      <c r="U10" s="50">
        <v>0</v>
      </c>
      <c r="V10" s="50">
        <v>3251.4695999999999</v>
      </c>
      <c r="W10" s="50">
        <v>0</v>
      </c>
      <c r="X10" s="50">
        <v>454.93920000000003</v>
      </c>
      <c r="Y10" s="50">
        <v>0</v>
      </c>
      <c r="Z10" s="50">
        <v>17186.331600000001</v>
      </c>
      <c r="AA10" s="51">
        <f t="shared" si="1"/>
        <v>0</v>
      </c>
      <c r="AB10" s="51">
        <f t="shared" si="2"/>
        <v>54934.729200000002</v>
      </c>
      <c r="AD10" s="31">
        <f t="shared" si="3"/>
        <v>0</v>
      </c>
      <c r="AE10" s="31">
        <f t="shared" si="4"/>
        <v>54934.729200000002</v>
      </c>
      <c r="AF10" s="17">
        <f t="shared" si="5"/>
        <v>0</v>
      </c>
      <c r="AG10" s="17">
        <f t="shared" si="6"/>
        <v>0</v>
      </c>
      <c r="BG10" s="21"/>
    </row>
    <row r="11" spans="1:123" s="17" customFormat="1" ht="18" customHeight="1" outlineLevel="1" x14ac:dyDescent="0.25">
      <c r="A11" s="48" t="s">
        <v>93</v>
      </c>
      <c r="B11" s="45"/>
      <c r="C11" s="49">
        <v>0</v>
      </c>
      <c r="D11" s="50">
        <v>82550.242800000007</v>
      </c>
      <c r="E11" s="50">
        <v>0</v>
      </c>
      <c r="F11" s="50">
        <v>932.81760000000008</v>
      </c>
      <c r="G11" s="50">
        <v>0</v>
      </c>
      <c r="H11" s="50">
        <v>3830.6628000000001</v>
      </c>
      <c r="I11" s="50">
        <v>0</v>
      </c>
      <c r="J11" s="50">
        <v>68628.729600000006</v>
      </c>
      <c r="K11" s="50">
        <v>0</v>
      </c>
      <c r="L11" s="50">
        <v>6095.8008000000009</v>
      </c>
      <c r="M11" s="50">
        <v>0</v>
      </c>
      <c r="N11" s="50">
        <v>4736.7072000000007</v>
      </c>
      <c r="O11" s="50">
        <v>0</v>
      </c>
      <c r="P11" s="50">
        <v>57238.099200000004</v>
      </c>
      <c r="Q11" s="50">
        <v>0</v>
      </c>
      <c r="R11" s="50">
        <v>13395.823200000003</v>
      </c>
      <c r="S11" s="50">
        <v>0</v>
      </c>
      <c r="T11" s="50">
        <v>75176.596800000014</v>
      </c>
      <c r="U11" s="50">
        <v>0</v>
      </c>
      <c r="V11" s="50">
        <v>27570.574800000002</v>
      </c>
      <c r="W11" s="50">
        <v>0</v>
      </c>
      <c r="X11" s="50">
        <v>58936.453200000004</v>
      </c>
      <c r="Y11" s="50">
        <v>0</v>
      </c>
      <c r="Z11" s="50">
        <v>20225.959200000005</v>
      </c>
      <c r="AA11" s="51">
        <f t="shared" si="1"/>
        <v>0</v>
      </c>
      <c r="AB11" s="51">
        <f t="shared" si="2"/>
        <v>419318.46720000001</v>
      </c>
      <c r="AD11" s="31">
        <f t="shared" si="3"/>
        <v>0</v>
      </c>
      <c r="AE11" s="31">
        <f t="shared" si="4"/>
        <v>419318.46720000001</v>
      </c>
      <c r="AF11" s="17">
        <f t="shared" si="5"/>
        <v>0</v>
      </c>
      <c r="AG11" s="17">
        <f t="shared" si="6"/>
        <v>0</v>
      </c>
      <c r="BG11" s="21"/>
    </row>
    <row r="12" spans="1:123" s="17" customFormat="1" ht="18" customHeight="1" outlineLevel="1" x14ac:dyDescent="0.25">
      <c r="A12" s="48" t="s">
        <v>94</v>
      </c>
      <c r="B12" s="45"/>
      <c r="C12" s="49">
        <v>0</v>
      </c>
      <c r="D12" s="50">
        <v>3746.5524000000005</v>
      </c>
      <c r="E12" s="50">
        <v>0</v>
      </c>
      <c r="F12" s="50">
        <v>0</v>
      </c>
      <c r="G12" s="50">
        <v>0</v>
      </c>
      <c r="H12" s="50">
        <v>8991.7128000000012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1">
        <f t="shared" si="1"/>
        <v>0</v>
      </c>
      <c r="AB12" s="51">
        <f t="shared" si="2"/>
        <v>12738.265200000002</v>
      </c>
      <c r="AD12" s="31">
        <f t="shared" si="3"/>
        <v>0</v>
      </c>
      <c r="AE12" s="31">
        <f t="shared" si="4"/>
        <v>12738.265200000002</v>
      </c>
      <c r="AF12" s="17">
        <f t="shared" si="5"/>
        <v>0</v>
      </c>
      <c r="AG12" s="17">
        <f t="shared" si="6"/>
        <v>0</v>
      </c>
      <c r="BG12" s="21"/>
    </row>
    <row r="13" spans="1:123" s="17" customFormat="1" ht="18" customHeight="1" outlineLevel="1" x14ac:dyDescent="0.25">
      <c r="A13" s="48" t="s">
        <v>95</v>
      </c>
      <c r="B13" s="45"/>
      <c r="C13" s="49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1">
        <f t="shared" si="1"/>
        <v>0</v>
      </c>
      <c r="AB13" s="51">
        <f t="shared" si="2"/>
        <v>0</v>
      </c>
      <c r="AD13" s="31">
        <f t="shared" si="3"/>
        <v>0</v>
      </c>
      <c r="AE13" s="31">
        <f t="shared" si="4"/>
        <v>0</v>
      </c>
      <c r="AF13" s="17">
        <f t="shared" si="5"/>
        <v>0</v>
      </c>
      <c r="AG13" s="17">
        <f t="shared" si="6"/>
        <v>0</v>
      </c>
      <c r="BG13" s="21"/>
    </row>
    <row r="14" spans="1:123" s="17" customFormat="1" ht="18" customHeight="1" outlineLevel="1" x14ac:dyDescent="0.25">
      <c r="A14" s="48" t="s">
        <v>96</v>
      </c>
      <c r="B14" s="45"/>
      <c r="C14" s="49"/>
      <c r="D14" s="50"/>
      <c r="E14" s="50"/>
      <c r="F14" s="50"/>
      <c r="G14" s="50"/>
      <c r="H14" s="50"/>
      <c r="I14" s="50"/>
      <c r="J14" s="50"/>
      <c r="K14" s="50"/>
      <c r="L14" s="50">
        <v>19261.099999999999</v>
      </c>
      <c r="M14" s="50"/>
      <c r="N14" s="50">
        <v>7604.95</v>
      </c>
      <c r="O14" s="50">
        <v>2250</v>
      </c>
      <c r="P14" s="50">
        <v>2964.82</v>
      </c>
      <c r="Q14" s="50">
        <v>3484.51</v>
      </c>
      <c r="R14" s="50">
        <v>4423.93</v>
      </c>
      <c r="S14" s="50">
        <v>51545.49</v>
      </c>
      <c r="T14" s="50">
        <v>5173.1599999999899</v>
      </c>
      <c r="U14" s="50">
        <v>7550</v>
      </c>
      <c r="V14" s="50">
        <v>25564.93</v>
      </c>
      <c r="W14" s="50">
        <v>9850</v>
      </c>
      <c r="X14" s="50">
        <v>19923.650000000001</v>
      </c>
      <c r="Y14" s="50">
        <v>16225</v>
      </c>
      <c r="Z14" s="50">
        <v>16452.46</v>
      </c>
      <c r="AA14" s="51">
        <f t="shared" si="1"/>
        <v>90905</v>
      </c>
      <c r="AB14" s="51">
        <f t="shared" si="2"/>
        <v>101369</v>
      </c>
      <c r="AD14" s="31">
        <f t="shared" si="3"/>
        <v>90905</v>
      </c>
      <c r="AE14" s="31">
        <f t="shared" si="4"/>
        <v>101369</v>
      </c>
      <c r="BG14" s="21"/>
    </row>
    <row r="15" spans="1:123" s="17" customFormat="1" ht="18" customHeight="1" outlineLevel="1" x14ac:dyDescent="0.25">
      <c r="A15" s="48" t="s">
        <v>97</v>
      </c>
      <c r="B15" s="45"/>
      <c r="C15" s="49">
        <v>437336.28</v>
      </c>
      <c r="D15" s="50">
        <v>0</v>
      </c>
      <c r="E15" s="50">
        <v>292241.52</v>
      </c>
      <c r="F15" s="50">
        <v>0</v>
      </c>
      <c r="G15" s="50">
        <v>536067.72000000009</v>
      </c>
      <c r="H15" s="50">
        <v>0</v>
      </c>
      <c r="I15" s="50">
        <v>629494.20000000007</v>
      </c>
      <c r="J15" s="50">
        <v>0</v>
      </c>
      <c r="K15" s="50">
        <v>598133.16</v>
      </c>
      <c r="L15" s="50">
        <v>0</v>
      </c>
      <c r="M15" s="50">
        <v>646968.60000000009</v>
      </c>
      <c r="N15" s="50">
        <v>0</v>
      </c>
      <c r="O15" s="50">
        <v>763862.4</v>
      </c>
      <c r="P15" s="50">
        <v>0</v>
      </c>
      <c r="Q15" s="50">
        <v>720959.4</v>
      </c>
      <c r="R15" s="50">
        <v>0</v>
      </c>
      <c r="S15" s="50">
        <v>1114909.9200000002</v>
      </c>
      <c r="T15" s="50">
        <v>0</v>
      </c>
      <c r="U15" s="50">
        <v>697337.64</v>
      </c>
      <c r="V15" s="50">
        <v>0</v>
      </c>
      <c r="W15" s="50">
        <v>909295.20000000007</v>
      </c>
      <c r="X15" s="50">
        <v>0</v>
      </c>
      <c r="Y15" s="50">
        <v>1271793.9600000002</v>
      </c>
      <c r="Z15" s="50">
        <v>0</v>
      </c>
      <c r="AA15" s="51">
        <f t="shared" si="1"/>
        <v>8618400</v>
      </c>
      <c r="AB15" s="51">
        <f t="shared" si="2"/>
        <v>0</v>
      </c>
      <c r="AD15" s="31">
        <f t="shared" si="3"/>
        <v>8618400</v>
      </c>
      <c r="AE15" s="31">
        <f t="shared" si="4"/>
        <v>0</v>
      </c>
      <c r="AF15" s="17">
        <f t="shared" ref="AF15:AF25" si="7">AA15-AD15</f>
        <v>0</v>
      </c>
      <c r="AG15" s="17">
        <f t="shared" ref="AG15:AG25" si="8">AB15-AE15</f>
        <v>0</v>
      </c>
      <c r="BG15" s="21"/>
    </row>
    <row r="16" spans="1:123" s="17" customFormat="1" ht="18" customHeight="1" x14ac:dyDescent="0.25">
      <c r="A16" s="52" t="s">
        <v>98</v>
      </c>
      <c r="B16" s="45" t="s">
        <v>99</v>
      </c>
      <c r="C16" s="46">
        <f t="shared" ref="C16:Z16" si="9">SUM(C17:C25)</f>
        <v>317152.40040000004</v>
      </c>
      <c r="D16" s="46">
        <f t="shared" si="9"/>
        <v>414196.72179999994</v>
      </c>
      <c r="E16" s="46">
        <f t="shared" si="9"/>
        <v>215435.86920000002</v>
      </c>
      <c r="F16" s="46">
        <f t="shared" si="9"/>
        <v>187981.91540000003</v>
      </c>
      <c r="G16" s="46">
        <f t="shared" si="9"/>
        <v>394913.93699999998</v>
      </c>
      <c r="H16" s="46">
        <f t="shared" si="9"/>
        <v>225161.99339999998</v>
      </c>
      <c r="I16" s="46">
        <f t="shared" si="9"/>
        <v>455936.45160000003</v>
      </c>
      <c r="J16" s="46">
        <f t="shared" si="9"/>
        <v>504337.80980000005</v>
      </c>
      <c r="K16" s="46">
        <f t="shared" si="9"/>
        <v>438497.04459999996</v>
      </c>
      <c r="L16" s="46">
        <f t="shared" si="9"/>
        <v>277009.96299999999</v>
      </c>
      <c r="M16" s="46">
        <f t="shared" si="9"/>
        <v>468679.51300000004</v>
      </c>
      <c r="N16" s="46">
        <f t="shared" si="9"/>
        <v>441973.658</v>
      </c>
      <c r="O16" s="46">
        <f t="shared" si="9"/>
        <v>548760.86800000002</v>
      </c>
      <c r="P16" s="46">
        <f t="shared" si="9"/>
        <v>467976.01600000006</v>
      </c>
      <c r="Q16" s="46">
        <f t="shared" si="9"/>
        <v>520647.3884</v>
      </c>
      <c r="R16" s="46">
        <f t="shared" si="9"/>
        <v>549570.60219999996</v>
      </c>
      <c r="S16" s="46">
        <f t="shared" si="9"/>
        <v>784800.8652</v>
      </c>
      <c r="T16" s="46">
        <f t="shared" si="9"/>
        <v>617467.33140000014</v>
      </c>
      <c r="U16" s="46">
        <f t="shared" si="9"/>
        <v>506657.17920000001</v>
      </c>
      <c r="V16" s="46">
        <f t="shared" si="9"/>
        <v>543442.02399999998</v>
      </c>
      <c r="W16" s="46">
        <f t="shared" si="9"/>
        <v>648068.01100000006</v>
      </c>
      <c r="X16" s="46">
        <f t="shared" si="9"/>
        <v>421298.63740000001</v>
      </c>
      <c r="Y16" s="46">
        <f t="shared" si="9"/>
        <v>882949.38340000005</v>
      </c>
      <c r="Z16" s="46">
        <f t="shared" si="9"/>
        <v>722733.73199999996</v>
      </c>
      <c r="AA16" s="47">
        <f t="shared" si="1"/>
        <v>6182498.9109999994</v>
      </c>
      <c r="AB16" s="47">
        <f t="shared" si="2"/>
        <v>5373150.4044000003</v>
      </c>
      <c r="AD16" s="31">
        <f t="shared" si="3"/>
        <v>6182498.9109999994</v>
      </c>
      <c r="AE16" s="31">
        <f t="shared" si="4"/>
        <v>5373150.4044000003</v>
      </c>
      <c r="AF16" s="17">
        <f t="shared" si="7"/>
        <v>0</v>
      </c>
      <c r="AG16" s="17">
        <f t="shared" si="8"/>
        <v>0</v>
      </c>
      <c r="BG16" s="21"/>
    </row>
    <row r="17" spans="1:123" s="19" customFormat="1" ht="18" customHeight="1" outlineLevel="1" x14ac:dyDescent="0.25">
      <c r="A17" s="48" t="s">
        <v>89</v>
      </c>
      <c r="B17" s="53"/>
      <c r="C17" s="49">
        <v>0</v>
      </c>
      <c r="D17" s="50">
        <v>106722.7938</v>
      </c>
      <c r="E17" s="50">
        <v>0</v>
      </c>
      <c r="F17" s="50">
        <v>98497.146600000007</v>
      </c>
      <c r="G17" s="50">
        <v>0</v>
      </c>
      <c r="H17" s="50">
        <v>66164.370599999995</v>
      </c>
      <c r="I17" s="50">
        <v>0</v>
      </c>
      <c r="J17" s="50">
        <v>172471.10640000002</v>
      </c>
      <c r="K17" s="50">
        <v>0</v>
      </c>
      <c r="L17" s="50">
        <v>48684.895799999998</v>
      </c>
      <c r="M17" s="50">
        <v>0</v>
      </c>
      <c r="N17" s="50">
        <v>112113.79980000001</v>
      </c>
      <c r="O17" s="50">
        <v>0</v>
      </c>
      <c r="P17" s="50">
        <v>145810.28520000001</v>
      </c>
      <c r="Q17" s="50">
        <v>0</v>
      </c>
      <c r="R17" s="50">
        <v>110449.0986</v>
      </c>
      <c r="S17" s="50">
        <v>0</v>
      </c>
      <c r="T17" s="50">
        <v>189808.39320000002</v>
      </c>
      <c r="U17" s="50">
        <v>0</v>
      </c>
      <c r="V17" s="50">
        <v>134626.11780000001</v>
      </c>
      <c r="W17" s="50">
        <v>0</v>
      </c>
      <c r="X17" s="50">
        <v>105068.5374</v>
      </c>
      <c r="Y17" s="50">
        <v>0</v>
      </c>
      <c r="Z17" s="50">
        <v>127609.6296</v>
      </c>
      <c r="AA17" s="51">
        <f t="shared" si="1"/>
        <v>0</v>
      </c>
      <c r="AB17" s="51">
        <f t="shared" si="2"/>
        <v>1418026.1748000004</v>
      </c>
      <c r="AC17" s="19">
        <v>1.02</v>
      </c>
      <c r="AD17" s="31">
        <f t="shared" si="3"/>
        <v>0</v>
      </c>
      <c r="AE17" s="31">
        <f t="shared" si="4"/>
        <v>1418026.1748000004</v>
      </c>
      <c r="AF17" s="17">
        <f t="shared" si="7"/>
        <v>0</v>
      </c>
      <c r="AG17" s="17">
        <f t="shared" si="8"/>
        <v>0</v>
      </c>
      <c r="BG17" s="21"/>
    </row>
    <row r="18" spans="1:123" s="19" customFormat="1" ht="18" customHeight="1" outlineLevel="1" x14ac:dyDescent="0.25">
      <c r="A18" s="48" t="s">
        <v>90</v>
      </c>
      <c r="B18" s="53"/>
      <c r="C18" s="49">
        <v>0</v>
      </c>
      <c r="D18" s="50">
        <v>170346.3138</v>
      </c>
      <c r="E18" s="50">
        <v>0</v>
      </c>
      <c r="F18" s="50">
        <v>66525.052800000005</v>
      </c>
      <c r="G18" s="50">
        <v>0</v>
      </c>
      <c r="H18" s="50">
        <v>78258.714599999992</v>
      </c>
      <c r="I18" s="50">
        <v>0</v>
      </c>
      <c r="J18" s="50">
        <v>152931.16020000001</v>
      </c>
      <c r="K18" s="50">
        <v>0</v>
      </c>
      <c r="L18" s="50">
        <v>100805.9166</v>
      </c>
      <c r="M18" s="50">
        <v>0</v>
      </c>
      <c r="N18" s="50">
        <v>193049.14739999999</v>
      </c>
      <c r="O18" s="50">
        <v>0</v>
      </c>
      <c r="P18" s="50">
        <v>158174.61299999998</v>
      </c>
      <c r="Q18" s="50">
        <v>0</v>
      </c>
      <c r="R18" s="50">
        <v>233568.70859999998</v>
      </c>
      <c r="S18" s="50">
        <v>0</v>
      </c>
      <c r="T18" s="50">
        <v>212040.36419999998</v>
      </c>
      <c r="U18" s="50">
        <v>0</v>
      </c>
      <c r="V18" s="50">
        <v>288415.67939999996</v>
      </c>
      <c r="W18" s="50">
        <v>0</v>
      </c>
      <c r="X18" s="50">
        <v>172527.64499999999</v>
      </c>
      <c r="Y18" s="50">
        <v>0</v>
      </c>
      <c r="Z18" s="50">
        <v>377540.74979999999</v>
      </c>
      <c r="AA18" s="51">
        <f t="shared" si="1"/>
        <v>0</v>
      </c>
      <c r="AB18" s="51">
        <f t="shared" si="2"/>
        <v>2204184.0654000002</v>
      </c>
      <c r="AD18" s="31">
        <f t="shared" si="3"/>
        <v>0</v>
      </c>
      <c r="AE18" s="31">
        <f t="shared" si="4"/>
        <v>2204184.0654000002</v>
      </c>
      <c r="AF18" s="17">
        <f t="shared" si="7"/>
        <v>0</v>
      </c>
      <c r="AG18" s="17">
        <f t="shared" si="8"/>
        <v>0</v>
      </c>
      <c r="BG18" s="21"/>
    </row>
    <row r="19" spans="1:123" s="19" customFormat="1" ht="18" customHeight="1" outlineLevel="1" x14ac:dyDescent="0.25">
      <c r="A19" s="48" t="s">
        <v>91</v>
      </c>
      <c r="B19" s="53"/>
      <c r="C19" s="49">
        <v>0</v>
      </c>
      <c r="D19" s="50">
        <v>59328.1368</v>
      </c>
      <c r="E19" s="50">
        <v>0</v>
      </c>
      <c r="F19" s="50">
        <v>15430.5396</v>
      </c>
      <c r="G19" s="50">
        <v>0</v>
      </c>
      <c r="H19" s="50">
        <v>63788.749799999998</v>
      </c>
      <c r="I19" s="50">
        <v>0</v>
      </c>
      <c r="J19" s="50">
        <v>109865.4546</v>
      </c>
      <c r="K19" s="50">
        <v>0</v>
      </c>
      <c r="L19" s="50">
        <v>111799.0788</v>
      </c>
      <c r="M19" s="50">
        <v>0</v>
      </c>
      <c r="N19" s="50">
        <v>114806.77320000001</v>
      </c>
      <c r="O19" s="50">
        <v>0</v>
      </c>
      <c r="P19" s="50">
        <v>107535.1422</v>
      </c>
      <c r="Q19" s="50">
        <v>0</v>
      </c>
      <c r="R19" s="50">
        <v>162187.701</v>
      </c>
      <c r="S19" s="50">
        <v>0</v>
      </c>
      <c r="T19" s="50">
        <v>128434.8606</v>
      </c>
      <c r="U19" s="50">
        <v>0</v>
      </c>
      <c r="V19" s="50">
        <v>78898.091400000005</v>
      </c>
      <c r="W19" s="50">
        <v>0</v>
      </c>
      <c r="X19" s="50">
        <v>88611.225000000006</v>
      </c>
      <c r="Y19" s="50">
        <v>0</v>
      </c>
      <c r="Z19" s="50">
        <v>173579.7648</v>
      </c>
      <c r="AA19" s="51">
        <f t="shared" si="1"/>
        <v>0</v>
      </c>
      <c r="AB19" s="51">
        <f t="shared" si="2"/>
        <v>1214265.5178</v>
      </c>
      <c r="AD19" s="31">
        <f t="shared" si="3"/>
        <v>0</v>
      </c>
      <c r="AE19" s="31">
        <f t="shared" si="4"/>
        <v>1214265.5178</v>
      </c>
      <c r="AF19" s="17">
        <f t="shared" si="7"/>
        <v>0</v>
      </c>
      <c r="AG19" s="17">
        <f t="shared" si="8"/>
        <v>0</v>
      </c>
      <c r="BG19" s="21"/>
    </row>
    <row r="20" spans="1:123" s="19" customFormat="1" ht="18" customHeight="1" outlineLevel="1" x14ac:dyDescent="0.25">
      <c r="A20" s="48" t="s">
        <v>92</v>
      </c>
      <c r="B20" s="53"/>
      <c r="C20" s="49">
        <v>0</v>
      </c>
      <c r="D20" s="50">
        <v>5348.3292000000001</v>
      </c>
      <c r="E20" s="50">
        <v>0</v>
      </c>
      <c r="F20" s="50">
        <v>201.19499999999999</v>
      </c>
      <c r="G20" s="50">
        <v>0</v>
      </c>
      <c r="H20" s="50">
        <v>239.49600000000001</v>
      </c>
      <c r="I20" s="50">
        <v>0</v>
      </c>
      <c r="J20" s="50">
        <v>4575.3629999999994</v>
      </c>
      <c r="K20" s="50">
        <v>0</v>
      </c>
      <c r="L20" s="50">
        <v>1177.1004</v>
      </c>
      <c r="M20" s="50">
        <v>0</v>
      </c>
      <c r="N20" s="50">
        <v>3525.1710000000003</v>
      </c>
      <c r="O20" s="50">
        <v>0</v>
      </c>
      <c r="P20" s="50">
        <v>2463.2184000000002</v>
      </c>
      <c r="Q20" s="50">
        <v>0</v>
      </c>
      <c r="R20" s="50">
        <v>3660.6168000000002</v>
      </c>
      <c r="S20" s="50">
        <v>0</v>
      </c>
      <c r="T20" s="50">
        <v>3496.0398</v>
      </c>
      <c r="U20" s="50">
        <v>0</v>
      </c>
      <c r="V20" s="50">
        <v>2839.9043999999999</v>
      </c>
      <c r="W20" s="50">
        <v>0</v>
      </c>
      <c r="X20" s="50">
        <v>387.4572</v>
      </c>
      <c r="Y20" s="50">
        <v>0</v>
      </c>
      <c r="Z20" s="50">
        <v>12794.278200000001</v>
      </c>
      <c r="AA20" s="51">
        <f t="shared" si="1"/>
        <v>0</v>
      </c>
      <c r="AB20" s="51">
        <f t="shared" si="2"/>
        <v>40708.169399999999</v>
      </c>
      <c r="AD20" s="31">
        <f t="shared" si="3"/>
        <v>0</v>
      </c>
      <c r="AE20" s="31">
        <f t="shared" si="4"/>
        <v>40708.169399999999</v>
      </c>
      <c r="AF20" s="17">
        <f t="shared" si="7"/>
        <v>0</v>
      </c>
      <c r="AG20" s="17">
        <f t="shared" si="8"/>
        <v>0</v>
      </c>
      <c r="BG20" s="21"/>
    </row>
    <row r="21" spans="1:123" s="19" customFormat="1" ht="18" customHeight="1" outlineLevel="1" x14ac:dyDescent="0.25">
      <c r="A21" s="48" t="s">
        <v>93</v>
      </c>
      <c r="B21" s="53"/>
      <c r="C21" s="49">
        <v>0</v>
      </c>
      <c r="D21" s="50">
        <v>55139.598600000005</v>
      </c>
      <c r="E21" s="50">
        <v>0</v>
      </c>
      <c r="F21" s="50">
        <v>632.47140000000002</v>
      </c>
      <c r="G21" s="50">
        <v>0</v>
      </c>
      <c r="H21" s="50">
        <v>2539.6368000000002</v>
      </c>
      <c r="I21" s="50">
        <v>0</v>
      </c>
      <c r="J21" s="50">
        <v>45752.895599999996</v>
      </c>
      <c r="K21" s="50">
        <v>0</v>
      </c>
      <c r="L21" s="50">
        <v>3970.4214000000002</v>
      </c>
      <c r="M21" s="50">
        <v>0</v>
      </c>
      <c r="N21" s="50">
        <v>2877.2465999999999</v>
      </c>
      <c r="O21" s="50">
        <v>0</v>
      </c>
      <c r="P21" s="50">
        <v>36617.857199999999</v>
      </c>
      <c r="Q21" s="50">
        <v>0</v>
      </c>
      <c r="R21" s="50">
        <v>9477.3197999999993</v>
      </c>
      <c r="S21" s="50">
        <v>0</v>
      </c>
      <c r="T21" s="50">
        <v>50608.371000000006</v>
      </c>
      <c r="U21" s="50">
        <v>0</v>
      </c>
      <c r="V21" s="50">
        <v>19201.642800000001</v>
      </c>
      <c r="W21" s="50">
        <v>0</v>
      </c>
      <c r="X21" s="50">
        <v>38130.874199999998</v>
      </c>
      <c r="Y21" s="50">
        <v>0</v>
      </c>
      <c r="Z21" s="50">
        <v>13957.149600000001</v>
      </c>
      <c r="AA21" s="51">
        <f t="shared" si="1"/>
        <v>0</v>
      </c>
      <c r="AB21" s="51">
        <f t="shared" si="2"/>
        <v>278905.48500000004</v>
      </c>
      <c r="AD21" s="31">
        <f t="shared" si="3"/>
        <v>0</v>
      </c>
      <c r="AE21" s="31">
        <f t="shared" si="4"/>
        <v>278905.48500000004</v>
      </c>
      <c r="AF21" s="17">
        <f t="shared" si="7"/>
        <v>0</v>
      </c>
      <c r="AG21" s="17">
        <f t="shared" si="8"/>
        <v>0</v>
      </c>
      <c r="BG21" s="21"/>
    </row>
    <row r="22" spans="1:123" s="19" customFormat="1" ht="18" customHeight="1" outlineLevel="1" x14ac:dyDescent="0.25">
      <c r="A22" s="48" t="s">
        <v>94</v>
      </c>
      <c r="B22" s="53"/>
      <c r="C22" s="49">
        <v>0</v>
      </c>
      <c r="D22" s="50">
        <v>2322.0095999999999</v>
      </c>
      <c r="E22" s="50">
        <v>0</v>
      </c>
      <c r="F22" s="50">
        <v>0</v>
      </c>
      <c r="G22" s="50">
        <v>0</v>
      </c>
      <c r="H22" s="50">
        <v>5633.7456000000002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1">
        <f t="shared" si="1"/>
        <v>0</v>
      </c>
      <c r="AB22" s="51">
        <f t="shared" si="2"/>
        <v>7955.7551999999996</v>
      </c>
      <c r="AD22" s="31">
        <f t="shared" si="3"/>
        <v>0</v>
      </c>
      <c r="AE22" s="31">
        <f t="shared" si="4"/>
        <v>7955.7551999999996</v>
      </c>
      <c r="AF22" s="17">
        <f t="shared" si="7"/>
        <v>0</v>
      </c>
      <c r="AG22" s="17">
        <f t="shared" si="8"/>
        <v>0</v>
      </c>
      <c r="BG22" s="21"/>
    </row>
    <row r="23" spans="1:123" s="19" customFormat="1" ht="18" customHeight="1" outlineLevel="1" x14ac:dyDescent="0.25">
      <c r="A23" s="48" t="s">
        <v>95</v>
      </c>
      <c r="B23" s="53"/>
      <c r="C23" s="49">
        <v>0</v>
      </c>
      <c r="D23" s="50">
        <v>0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1">
        <f t="shared" si="1"/>
        <v>0</v>
      </c>
      <c r="AB23" s="51">
        <f t="shared" si="2"/>
        <v>0</v>
      </c>
      <c r="AD23" s="31">
        <f t="shared" si="3"/>
        <v>0</v>
      </c>
      <c r="AE23" s="31">
        <f t="shared" si="4"/>
        <v>0</v>
      </c>
      <c r="AF23" s="17">
        <f t="shared" si="7"/>
        <v>0</v>
      </c>
      <c r="AG23" s="17">
        <f t="shared" si="8"/>
        <v>0</v>
      </c>
      <c r="BG23" s="21"/>
    </row>
    <row r="24" spans="1:123" s="19" customFormat="1" ht="18" customHeight="1" outlineLevel="1" x14ac:dyDescent="0.25">
      <c r="A24" s="48" t="s">
        <v>97</v>
      </c>
      <c r="B24" s="53"/>
      <c r="C24" s="49">
        <v>313487.84040000004</v>
      </c>
      <c r="D24" s="50">
        <v>0</v>
      </c>
      <c r="E24" s="50">
        <v>208698.07920000001</v>
      </c>
      <c r="F24" s="50">
        <v>0</v>
      </c>
      <c r="G24" s="50">
        <v>382361.12699999998</v>
      </c>
      <c r="H24" s="50">
        <v>0</v>
      </c>
      <c r="I24" s="50">
        <v>438933.1116</v>
      </c>
      <c r="J24" s="50">
        <v>0</v>
      </c>
      <c r="K24" s="50">
        <v>422714.75459999999</v>
      </c>
      <c r="L24" s="50">
        <v>0</v>
      </c>
      <c r="M24" s="50">
        <v>452020.29300000001</v>
      </c>
      <c r="N24" s="50">
        <v>0</v>
      </c>
      <c r="O24" s="50">
        <v>531149.598</v>
      </c>
      <c r="P24" s="50">
        <v>0</v>
      </c>
      <c r="Q24" s="50">
        <v>504025.2684</v>
      </c>
      <c r="R24" s="50">
        <f>(-3292.62+11564.99)*1.02</f>
        <v>8437.8173999999999</v>
      </c>
      <c r="S24" s="50">
        <v>759095.9952</v>
      </c>
      <c r="T24" s="50">
        <f>(1.1+12744.03)*1.02</f>
        <v>13000.0326</v>
      </c>
      <c r="U24" s="50">
        <v>490579.6692</v>
      </c>
      <c r="V24" s="50">
        <f>(4574.41)*1.02</f>
        <v>4665.8981999999996</v>
      </c>
      <c r="W24" s="50">
        <v>627103.701</v>
      </c>
      <c r="X24" s="50">
        <f>(2696.43)*1.02</f>
        <v>2750.3586</v>
      </c>
      <c r="Y24" s="50">
        <v>853627.46340000001</v>
      </c>
      <c r="Z24" s="50">
        <f>(3816)*1.02</f>
        <v>3892.32</v>
      </c>
      <c r="AA24" s="51">
        <f t="shared" si="1"/>
        <v>5983796.9010000005</v>
      </c>
      <c r="AB24" s="51">
        <f t="shared" si="2"/>
        <v>32746.426799999997</v>
      </c>
      <c r="AD24" s="31">
        <f t="shared" si="3"/>
        <v>5983796.9010000005</v>
      </c>
      <c r="AE24" s="31">
        <f t="shared" si="4"/>
        <v>32746.426799999997</v>
      </c>
      <c r="AF24" s="17">
        <f t="shared" si="7"/>
        <v>0</v>
      </c>
      <c r="AG24" s="17">
        <f t="shared" si="8"/>
        <v>0</v>
      </c>
      <c r="BG24" s="21"/>
    </row>
    <row r="25" spans="1:123" s="19" customFormat="1" ht="18" customHeight="1" outlineLevel="1" x14ac:dyDescent="0.25">
      <c r="A25" s="48" t="s">
        <v>100</v>
      </c>
      <c r="B25" s="53"/>
      <c r="C25" s="49">
        <v>3664.56</v>
      </c>
      <c r="D25" s="50">
        <v>14989.54</v>
      </c>
      <c r="E25" s="50">
        <v>6737.79</v>
      </c>
      <c r="F25" s="50">
        <v>6695.51</v>
      </c>
      <c r="G25" s="50">
        <v>12552.81</v>
      </c>
      <c r="H25" s="50">
        <v>8537.2800000000007</v>
      </c>
      <c r="I25" s="50">
        <v>17003.34</v>
      </c>
      <c r="J25" s="50">
        <v>18741.830000000002</v>
      </c>
      <c r="K25" s="50">
        <v>15782.29</v>
      </c>
      <c r="L25" s="50">
        <v>10572.55</v>
      </c>
      <c r="M25" s="50">
        <v>16659.22</v>
      </c>
      <c r="N25" s="50">
        <v>15601.52</v>
      </c>
      <c r="O25" s="50">
        <v>17611.27</v>
      </c>
      <c r="P25" s="50">
        <v>17374.900000000001</v>
      </c>
      <c r="Q25" s="50">
        <v>16622.12</v>
      </c>
      <c r="R25" s="50">
        <v>21789.34</v>
      </c>
      <c r="S25" s="50">
        <v>25704.87</v>
      </c>
      <c r="T25" s="50">
        <v>20079.27</v>
      </c>
      <c r="U25" s="50">
        <v>16077.51</v>
      </c>
      <c r="V25" s="50">
        <v>14794.69</v>
      </c>
      <c r="W25" s="50">
        <v>20964.310000000001</v>
      </c>
      <c r="X25" s="50">
        <v>13822.54</v>
      </c>
      <c r="Y25" s="50">
        <v>29321.919999999998</v>
      </c>
      <c r="Z25" s="50">
        <v>13359.84</v>
      </c>
      <c r="AA25" s="51">
        <f t="shared" si="1"/>
        <v>198702.01</v>
      </c>
      <c r="AB25" s="51">
        <f t="shared" si="2"/>
        <v>176358.81</v>
      </c>
      <c r="AD25" s="31">
        <f t="shared" si="3"/>
        <v>198702.01</v>
      </c>
      <c r="AE25" s="31">
        <f t="shared" si="4"/>
        <v>176358.81</v>
      </c>
      <c r="AF25" s="17">
        <f t="shared" si="7"/>
        <v>0</v>
      </c>
      <c r="AG25" s="17">
        <f t="shared" si="8"/>
        <v>0</v>
      </c>
      <c r="BG25" s="21"/>
    </row>
    <row r="26" spans="1:123" s="19" customFormat="1" ht="18" customHeight="1" x14ac:dyDescent="0.25">
      <c r="A26" s="52" t="s">
        <v>101</v>
      </c>
      <c r="B26" s="45" t="s">
        <v>102</v>
      </c>
      <c r="C26" s="46">
        <f t="shared" ref="C26:Z26" si="10">C6-C16</f>
        <v>120183.87959999999</v>
      </c>
      <c r="D26" s="46">
        <f t="shared" si="10"/>
        <v>174372.13100000017</v>
      </c>
      <c r="E26" s="46">
        <f t="shared" si="10"/>
        <v>76805.650800000003</v>
      </c>
      <c r="F26" s="46">
        <f t="shared" si="10"/>
        <v>84178.106200000009</v>
      </c>
      <c r="G26" s="46">
        <f t="shared" si="10"/>
        <v>141153.78300000011</v>
      </c>
      <c r="H26" s="46">
        <f t="shared" si="10"/>
        <v>69263.21100000001</v>
      </c>
      <c r="I26" s="46">
        <f t="shared" si="10"/>
        <v>173557.74840000004</v>
      </c>
      <c r="J26" s="46">
        <f t="shared" si="10"/>
        <v>209734.79739999992</v>
      </c>
      <c r="K26" s="46">
        <f t="shared" si="10"/>
        <v>159636.11540000007</v>
      </c>
      <c r="L26" s="46">
        <f t="shared" si="10"/>
        <v>75099.886200000125</v>
      </c>
      <c r="M26" s="46">
        <f t="shared" si="10"/>
        <v>178289.08700000006</v>
      </c>
      <c r="N26" s="46">
        <f t="shared" si="10"/>
        <v>140071.16279999999</v>
      </c>
      <c r="O26" s="46">
        <f t="shared" si="10"/>
        <v>212851.53200000001</v>
      </c>
      <c r="P26" s="46">
        <f t="shared" si="10"/>
        <v>174365.23360000004</v>
      </c>
      <c r="Q26" s="46">
        <f t="shared" si="10"/>
        <v>196827.50160000002</v>
      </c>
      <c r="R26" s="46">
        <f t="shared" si="10"/>
        <v>194259.00579999993</v>
      </c>
      <c r="S26" s="46">
        <f t="shared" si="10"/>
        <v>278563.56480000017</v>
      </c>
      <c r="T26" s="46">
        <f t="shared" si="10"/>
        <v>215122.11819999991</v>
      </c>
      <c r="U26" s="46">
        <f t="shared" si="10"/>
        <v>183130.4608</v>
      </c>
      <c r="V26" s="46">
        <f t="shared" si="10"/>
        <v>218691.33759999985</v>
      </c>
      <c r="W26" s="54">
        <f t="shared" si="10"/>
        <v>251377.18900000001</v>
      </c>
      <c r="X26" s="46">
        <f t="shared" si="10"/>
        <v>141391.62900000007</v>
      </c>
      <c r="Y26" s="46">
        <f t="shared" si="10"/>
        <v>372619.57660000015</v>
      </c>
      <c r="Z26" s="46">
        <f t="shared" si="10"/>
        <v>229987.27520000027</v>
      </c>
      <c r="AA26" s="47">
        <f t="shared" si="1"/>
        <v>2344996.0890000006</v>
      </c>
      <c r="AB26" s="47">
        <f t="shared" si="2"/>
        <v>1926535.8940000006</v>
      </c>
      <c r="AC26" s="20"/>
      <c r="AD26" s="31">
        <f t="shared" si="3"/>
        <v>2344996.0890000006</v>
      </c>
      <c r="AE26" s="31">
        <f t="shared" si="4"/>
        <v>1926535.8940000006</v>
      </c>
      <c r="AF26" s="55">
        <f>AD6-AD16-AA26</f>
        <v>0</v>
      </c>
      <c r="AG26" s="55">
        <f>AE6-AE16-AB26</f>
        <v>0</v>
      </c>
      <c r="BG26" s="21"/>
    </row>
    <row r="27" spans="1:123" s="20" customFormat="1" ht="18" customHeight="1" x14ac:dyDescent="0.25">
      <c r="A27" s="56" t="s">
        <v>210</v>
      </c>
      <c r="B27" s="57" t="s">
        <v>104</v>
      </c>
      <c r="C27" s="58">
        <f t="shared" ref="C27:AB27" si="11">C26/C6</f>
        <v>0.2748088486964767</v>
      </c>
      <c r="D27" s="58">
        <f t="shared" si="11"/>
        <v>0.29626462591497865</v>
      </c>
      <c r="E27" s="58">
        <f t="shared" si="11"/>
        <v>0.26281566972413778</v>
      </c>
      <c r="F27" s="58">
        <f t="shared" si="11"/>
        <v>0.3092963680158673</v>
      </c>
      <c r="G27" s="58">
        <f t="shared" si="11"/>
        <v>0.26331334220236219</v>
      </c>
      <c r="H27" s="58">
        <f t="shared" si="11"/>
        <v>0.23524891879127455</v>
      </c>
      <c r="I27" s="58">
        <f t="shared" si="11"/>
        <v>0.27570984514233809</v>
      </c>
      <c r="J27" s="58">
        <f t="shared" si="11"/>
        <v>0.29371634660851326</v>
      </c>
      <c r="K27" s="58">
        <f t="shared" si="11"/>
        <v>0.26689059573289675</v>
      </c>
      <c r="L27" s="58">
        <f t="shared" si="11"/>
        <v>0.21328538912111777</v>
      </c>
      <c r="M27" s="58">
        <f t="shared" si="11"/>
        <v>0.27557610523911058</v>
      </c>
      <c r="N27" s="58">
        <f t="shared" si="11"/>
        <v>0.24065356789444006</v>
      </c>
      <c r="O27" s="58">
        <f t="shared" si="11"/>
        <v>0.27947487724727171</v>
      </c>
      <c r="P27" s="58">
        <f t="shared" si="11"/>
        <v>0.27145264874174135</v>
      </c>
      <c r="Q27" s="58">
        <f t="shared" si="11"/>
        <v>0.27433364476351224</v>
      </c>
      <c r="R27" s="58">
        <f t="shared" si="11"/>
        <v>0.26116062564694248</v>
      </c>
      <c r="S27" s="58">
        <f t="shared" si="11"/>
        <v>0.26196434349416797</v>
      </c>
      <c r="T27" s="58">
        <f t="shared" si="11"/>
        <v>0.25837718494193118</v>
      </c>
      <c r="U27" s="58">
        <f t="shared" si="11"/>
        <v>0.26548817372256772</v>
      </c>
      <c r="V27" s="58">
        <f t="shared" si="11"/>
        <v>0.28694628606847211</v>
      </c>
      <c r="W27" s="59">
        <f t="shared" si="11"/>
        <v>0.27948027183868457</v>
      </c>
      <c r="X27" s="58">
        <f t="shared" si="11"/>
        <v>0.25127790090381424</v>
      </c>
      <c r="Y27" s="58">
        <f t="shared" si="11"/>
        <v>0.29677348554395616</v>
      </c>
      <c r="Z27" s="58">
        <f t="shared" si="11"/>
        <v>0.24140044510608774</v>
      </c>
      <c r="AA27" s="60">
        <f t="shared" si="11"/>
        <v>0.27499237337576865</v>
      </c>
      <c r="AB27" s="60">
        <f t="shared" si="11"/>
        <v>0.26392036797831614</v>
      </c>
      <c r="AC27" s="61"/>
      <c r="AD27" s="62">
        <f>AD26/AD6</f>
        <v>0.27499237337576865</v>
      </c>
      <c r="AE27" s="62">
        <f>AE26/AE6</f>
        <v>0.26392036797831614</v>
      </c>
      <c r="AF27" s="17">
        <f>AA27-AD27</f>
        <v>0</v>
      </c>
      <c r="AG27" s="17">
        <f>AB27-AE27</f>
        <v>0</v>
      </c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</row>
    <row r="28" spans="1:123" s="19" customFormat="1" ht="18" customHeight="1" x14ac:dyDescent="0.25">
      <c r="A28" s="63" t="s">
        <v>105</v>
      </c>
      <c r="B28" s="53">
        <v>5</v>
      </c>
      <c r="C28" s="49">
        <v>1398.12</v>
      </c>
      <c r="D28" s="64">
        <f>ROUND(D6*0.88%+D6*0.07%,2)</f>
        <v>5591.4</v>
      </c>
      <c r="E28" s="64">
        <f>ROUND(E6*0.88%+E6*0.07%,2)+0.01</f>
        <v>2776.3</v>
      </c>
      <c r="F28" s="64">
        <f>ROUND(F6*0.88%+F6*0.07%,2)</f>
        <v>2585.52</v>
      </c>
      <c r="G28" s="64">
        <v>4789.2299999999996</v>
      </c>
      <c r="H28" s="64">
        <f>ROUND(H6*0.88%+H6*0.07%,2)</f>
        <v>2797.04</v>
      </c>
      <c r="I28" s="64">
        <v>6487.22</v>
      </c>
      <c r="J28" s="64">
        <f>ROUND(J6*0.88%+J6*0.07%,2)</f>
        <v>6783.69</v>
      </c>
      <c r="K28" s="64">
        <v>6021.36</v>
      </c>
      <c r="L28" s="64">
        <f>ROUND(L6*0.88%+L6*0.07%,2)</f>
        <v>3345.04</v>
      </c>
      <c r="M28" s="64">
        <v>6355.93</v>
      </c>
      <c r="N28" s="64">
        <f>ROUND(N6*0.88%+N6*0.07%,2)</f>
        <v>5529.43</v>
      </c>
      <c r="O28" s="64">
        <v>6719.16</v>
      </c>
      <c r="P28" s="64">
        <f>ROUND(P6*0.88%+P6*0.07%,2)</f>
        <v>6102.24</v>
      </c>
      <c r="Q28" s="64">
        <v>6341.77</v>
      </c>
      <c r="R28" s="64">
        <f>ROUND(R6*0.88%+R6*0.07%,2)</f>
        <v>7066.38</v>
      </c>
      <c r="S28" s="64">
        <v>9807.08</v>
      </c>
      <c r="T28" s="64">
        <f>ROUND(T6*0.88%+T6*0.07%,2)</f>
        <v>7909.6</v>
      </c>
      <c r="U28" s="64">
        <v>6133.99</v>
      </c>
      <c r="V28" s="64">
        <f>ROUND(V6*0.88%+V6*0.07%,2)</f>
        <v>7240.27</v>
      </c>
      <c r="W28" s="64">
        <v>7998.43</v>
      </c>
      <c r="X28" s="64">
        <f>ROUND(X6*0.88%+X6*0.07%,2)</f>
        <v>5345.56</v>
      </c>
      <c r="Y28" s="64">
        <v>11187.08</v>
      </c>
      <c r="Z28" s="64">
        <f>ROUND(Z6*0.88%+Z6*0.07%,2)</f>
        <v>9050.85</v>
      </c>
      <c r="AA28" s="51">
        <f t="shared" ref="AA28:AA91" si="12">C28+E28+G28+I28+K28+M28+O28+Q28+S28+U28+W28+Y28</f>
        <v>76015.67</v>
      </c>
      <c r="AB28" s="51">
        <f t="shared" ref="AB28:AB91" si="13">D28+F28+H28+J28+L28+N28+P28+R28+T28+V28+X28+Z28</f>
        <v>69347.02</v>
      </c>
      <c r="AD28" s="31">
        <f t="shared" ref="AD28:AD91" si="14">SUMIF($C$5:$Z$5,$AD$5,C28:Z28)</f>
        <v>76015.67</v>
      </c>
      <c r="AE28" s="31">
        <f t="shared" ref="AE28:AE91" si="15">SUMIF($C$5:$Z$5,$AD$5,D28:AA28)</f>
        <v>69347.02</v>
      </c>
      <c r="AF28" s="17">
        <f>AA28-AD28</f>
        <v>0</v>
      </c>
      <c r="AG28" s="17">
        <f>AB28-AE28</f>
        <v>0</v>
      </c>
      <c r="BG28" s="21"/>
    </row>
    <row r="29" spans="1:123" s="21" customFormat="1" ht="18" customHeight="1" x14ac:dyDescent="0.25">
      <c r="A29" s="52" t="s">
        <v>106</v>
      </c>
      <c r="B29" s="45">
        <v>6</v>
      </c>
      <c r="C29" s="65">
        <f t="shared" ref="C29:Z29" si="16">SUM(C30:C101)-C30-C33-C42-C53-C65</f>
        <v>63544.800000000003</v>
      </c>
      <c r="D29" s="65">
        <f t="shared" si="16"/>
        <v>43738.8</v>
      </c>
      <c r="E29" s="65">
        <f t="shared" si="16"/>
        <v>55337.849999999991</v>
      </c>
      <c r="F29" s="65">
        <f t="shared" si="16"/>
        <v>36937.759999999995</v>
      </c>
      <c r="G29" s="65">
        <f t="shared" si="16"/>
        <v>72387.14</v>
      </c>
      <c r="H29" s="65">
        <f t="shared" si="16"/>
        <v>43405.640000000014</v>
      </c>
      <c r="I29" s="65">
        <f t="shared" si="16"/>
        <v>63945.62999999999</v>
      </c>
      <c r="J29" s="65">
        <f t="shared" si="16"/>
        <v>48214.140000000014</v>
      </c>
      <c r="K29" s="65">
        <f t="shared" si="16"/>
        <v>62541.62999999999</v>
      </c>
      <c r="L29" s="65">
        <f t="shared" si="16"/>
        <v>69154.369999999981</v>
      </c>
      <c r="M29" s="65">
        <f t="shared" si="16"/>
        <v>63801.899999999994</v>
      </c>
      <c r="N29" s="65">
        <f t="shared" si="16"/>
        <v>19177.96</v>
      </c>
      <c r="O29" s="65">
        <f t="shared" si="16"/>
        <v>65132.62999999999</v>
      </c>
      <c r="P29" s="65">
        <f t="shared" si="16"/>
        <v>48565.020000000004</v>
      </c>
      <c r="Q29" s="65">
        <f t="shared" si="16"/>
        <v>67230.73</v>
      </c>
      <c r="R29" s="65">
        <f t="shared" si="16"/>
        <v>49668.32</v>
      </c>
      <c r="S29" s="65">
        <f t="shared" si="16"/>
        <v>92406.949999999983</v>
      </c>
      <c r="T29" s="65">
        <f t="shared" si="16"/>
        <v>65699.200000000012</v>
      </c>
      <c r="U29" s="65">
        <f t="shared" si="16"/>
        <v>67980.739999999976</v>
      </c>
      <c r="V29" s="65">
        <f t="shared" si="16"/>
        <v>49372.479999999981</v>
      </c>
      <c r="W29" s="65">
        <f t="shared" si="16"/>
        <v>69413.97</v>
      </c>
      <c r="X29" s="65">
        <f t="shared" si="16"/>
        <v>44588.72</v>
      </c>
      <c r="Y29" s="65">
        <f t="shared" si="16"/>
        <v>79065.62999999999</v>
      </c>
      <c r="Z29" s="65">
        <f t="shared" si="16"/>
        <v>34947.69000000001</v>
      </c>
      <c r="AA29" s="47">
        <f t="shared" si="12"/>
        <v>822789.59999999986</v>
      </c>
      <c r="AB29" s="47">
        <f t="shared" si="13"/>
        <v>553470.10000000009</v>
      </c>
      <c r="AD29" s="31">
        <f t="shared" si="14"/>
        <v>822789.59999999986</v>
      </c>
      <c r="AE29" s="31">
        <f t="shared" si="15"/>
        <v>553470.10000000009</v>
      </c>
      <c r="AF29" s="17">
        <f>AD29-(SUM(AA30:AA101)-SUM(AA30,AA33,AA42,AA53,AA65))</f>
        <v>0</v>
      </c>
      <c r="AG29" s="17">
        <f>AE29-(SUM(AB30:AB101)-SUM(AB30,AB33,AB42,AB53,AB65))</f>
        <v>0</v>
      </c>
      <c r="BG29" s="66"/>
    </row>
    <row r="30" spans="1:123" s="17" customFormat="1" ht="18" customHeight="1" outlineLevel="1" x14ac:dyDescent="0.25">
      <c r="A30" s="67" t="s">
        <v>107</v>
      </c>
      <c r="B30" s="45"/>
      <c r="C30" s="65">
        <f t="shared" ref="C30:Z30" si="17">SUM(C31:C32)</f>
        <v>34676.270000000004</v>
      </c>
      <c r="D30" s="65">
        <f t="shared" si="17"/>
        <v>28154</v>
      </c>
      <c r="E30" s="65">
        <f t="shared" si="17"/>
        <v>27069.32</v>
      </c>
      <c r="F30" s="65">
        <f t="shared" si="17"/>
        <v>21093</v>
      </c>
      <c r="G30" s="65">
        <f t="shared" si="17"/>
        <v>33053.61</v>
      </c>
      <c r="H30" s="65">
        <f t="shared" si="17"/>
        <v>26234</v>
      </c>
      <c r="I30" s="65">
        <f t="shared" si="17"/>
        <v>41395.1</v>
      </c>
      <c r="J30" s="65">
        <f t="shared" si="17"/>
        <v>25460</v>
      </c>
      <c r="K30" s="65">
        <f t="shared" si="17"/>
        <v>39991.1</v>
      </c>
      <c r="L30" s="65">
        <f t="shared" si="17"/>
        <v>49660</v>
      </c>
      <c r="M30" s="65">
        <f t="shared" si="17"/>
        <v>41251.369999999995</v>
      </c>
      <c r="N30" s="65">
        <f t="shared" si="17"/>
        <v>1832</v>
      </c>
      <c r="O30" s="65">
        <f t="shared" si="17"/>
        <v>42582.1</v>
      </c>
      <c r="P30" s="65">
        <f t="shared" si="17"/>
        <v>27939</v>
      </c>
      <c r="Q30" s="65">
        <f t="shared" si="17"/>
        <v>44680.2</v>
      </c>
      <c r="R30" s="65">
        <f t="shared" si="17"/>
        <v>29374</v>
      </c>
      <c r="S30" s="65">
        <f t="shared" si="17"/>
        <v>49856.42</v>
      </c>
      <c r="T30" s="65">
        <f t="shared" si="17"/>
        <v>31018</v>
      </c>
      <c r="U30" s="65">
        <f t="shared" si="17"/>
        <v>44830.21</v>
      </c>
      <c r="V30" s="65">
        <f t="shared" si="17"/>
        <v>31498</v>
      </c>
      <c r="W30" s="65">
        <f t="shared" si="17"/>
        <v>46863.44</v>
      </c>
      <c r="X30" s="65">
        <f t="shared" si="17"/>
        <v>23963</v>
      </c>
      <c r="Y30" s="65">
        <f t="shared" si="17"/>
        <v>56515.06</v>
      </c>
      <c r="Z30" s="65">
        <f t="shared" si="17"/>
        <v>17792</v>
      </c>
      <c r="AA30" s="47">
        <f t="shared" si="12"/>
        <v>502764.2</v>
      </c>
      <c r="AB30" s="47">
        <f t="shared" si="13"/>
        <v>314017</v>
      </c>
      <c r="AC30" s="21"/>
      <c r="AD30" s="31">
        <f t="shared" si="14"/>
        <v>502764.2</v>
      </c>
      <c r="AE30" s="31">
        <f t="shared" si="15"/>
        <v>314017</v>
      </c>
      <c r="AF30" s="17">
        <f t="shared" ref="AF30:AF93" si="18">AA30-AD30</f>
        <v>0</v>
      </c>
      <c r="AG30" s="17">
        <f t="shared" ref="AG30:AG93" si="19">AB30-AE30</f>
        <v>0</v>
      </c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66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</row>
    <row r="31" spans="1:123" s="19" customFormat="1" ht="18" customHeight="1" outlineLevel="2" x14ac:dyDescent="0.25">
      <c r="A31" s="48" t="s">
        <v>108</v>
      </c>
      <c r="B31" s="53"/>
      <c r="C31" s="49">
        <v>15931</v>
      </c>
      <c r="D31" s="68">
        <v>15531</v>
      </c>
      <c r="E31" s="68">
        <v>15931</v>
      </c>
      <c r="F31" s="68">
        <v>15931</v>
      </c>
      <c r="G31" s="68">
        <v>15931</v>
      </c>
      <c r="H31" s="50">
        <v>15931</v>
      </c>
      <c r="I31" s="68">
        <v>21571</v>
      </c>
      <c r="J31" s="68">
        <v>13931</v>
      </c>
      <c r="K31" s="68">
        <v>21571</v>
      </c>
      <c r="L31" s="68">
        <v>21262</v>
      </c>
      <c r="M31" s="68">
        <v>21571</v>
      </c>
      <c r="N31" s="68">
        <v>19931</v>
      </c>
      <c r="O31" s="68">
        <v>21571</v>
      </c>
      <c r="P31" s="68">
        <v>21731</v>
      </c>
      <c r="Q31" s="68">
        <v>21571</v>
      </c>
      <c r="R31" s="68">
        <v>21531</v>
      </c>
      <c r="S31" s="68">
        <v>21571</v>
      </c>
      <c r="T31" s="68">
        <v>19931</v>
      </c>
      <c r="U31" s="68">
        <v>21671</v>
      </c>
      <c r="V31" s="68">
        <v>20831</v>
      </c>
      <c r="W31" s="68">
        <v>21721</v>
      </c>
      <c r="X31" s="68">
        <v>20081</v>
      </c>
      <c r="Y31" s="68">
        <v>21771</v>
      </c>
      <c r="Z31" s="68">
        <v>20931</v>
      </c>
      <c r="AA31" s="51">
        <f t="shared" si="12"/>
        <v>242382</v>
      </c>
      <c r="AB31" s="51">
        <f t="shared" si="13"/>
        <v>227553</v>
      </c>
      <c r="AC31" s="22"/>
      <c r="AD31" s="31">
        <f t="shared" si="14"/>
        <v>242382</v>
      </c>
      <c r="AE31" s="31">
        <f t="shared" si="15"/>
        <v>227553</v>
      </c>
      <c r="AF31" s="17">
        <f t="shared" si="18"/>
        <v>0</v>
      </c>
      <c r="AG31" s="17">
        <f t="shared" si="19"/>
        <v>0</v>
      </c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61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</row>
    <row r="32" spans="1:123" s="19" customFormat="1" ht="18" customHeight="1" outlineLevel="2" x14ac:dyDescent="0.25">
      <c r="A32" s="48" t="s">
        <v>109</v>
      </c>
      <c r="B32" s="53"/>
      <c r="C32" s="49">
        <v>18745.27</v>
      </c>
      <c r="D32" s="68">
        <v>12623</v>
      </c>
      <c r="E32" s="68">
        <v>11138.32</v>
      </c>
      <c r="F32" s="68">
        <f>6243-1081</f>
        <v>5162</v>
      </c>
      <c r="G32" s="68">
        <v>17122.61</v>
      </c>
      <c r="H32" s="50">
        <v>10303</v>
      </c>
      <c r="I32" s="68">
        <v>19824.099999999999</v>
      </c>
      <c r="J32" s="68">
        <v>11529</v>
      </c>
      <c r="K32" s="68">
        <v>18420.099999999999</v>
      </c>
      <c r="L32" s="68">
        <f>37512-9114</f>
        <v>28398</v>
      </c>
      <c r="M32" s="68">
        <v>19680.37</v>
      </c>
      <c r="N32" s="68">
        <f>16309-5986-23962+9114-13574</f>
        <v>-18099</v>
      </c>
      <c r="O32" s="68">
        <v>21011.1</v>
      </c>
      <c r="P32" s="68">
        <f>18643-7907-4528</f>
        <v>6208</v>
      </c>
      <c r="Q32" s="68">
        <v>23109.200000000001</v>
      </c>
      <c r="R32" s="68">
        <f>17442-9599</f>
        <v>7843</v>
      </c>
      <c r="S32" s="68">
        <v>28285.42</v>
      </c>
      <c r="T32" s="68">
        <f>24522-2903-10532</f>
        <v>11087</v>
      </c>
      <c r="U32" s="68">
        <v>23159.21</v>
      </c>
      <c r="V32" s="68">
        <f>30082-768-18647</f>
        <v>10667</v>
      </c>
      <c r="W32" s="68">
        <v>25142.44</v>
      </c>
      <c r="X32" s="68">
        <f>13590-9708</f>
        <v>3882</v>
      </c>
      <c r="Y32" s="68">
        <v>34744.06</v>
      </c>
      <c r="Z32" s="68">
        <f>-3599-1978+33351-30913</f>
        <v>-3139</v>
      </c>
      <c r="AA32" s="51">
        <f t="shared" si="12"/>
        <v>260382.19999999998</v>
      </c>
      <c r="AB32" s="51">
        <f t="shared" si="13"/>
        <v>86464</v>
      </c>
      <c r="AC32" s="22"/>
      <c r="AD32" s="31">
        <f t="shared" si="14"/>
        <v>260382.19999999998</v>
      </c>
      <c r="AE32" s="31">
        <f t="shared" si="15"/>
        <v>86464</v>
      </c>
      <c r="AF32" s="17">
        <f t="shared" si="18"/>
        <v>0</v>
      </c>
      <c r="AG32" s="17">
        <f t="shared" si="19"/>
        <v>0</v>
      </c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61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</row>
    <row r="33" spans="1:123" s="17" customFormat="1" ht="18" customHeight="1" outlineLevel="1" x14ac:dyDescent="0.25">
      <c r="A33" s="67" t="s">
        <v>110</v>
      </c>
      <c r="B33" s="45"/>
      <c r="C33" s="65">
        <f t="shared" ref="C33:Z33" si="20">SUM(C34:C38)</f>
        <v>3775.2</v>
      </c>
      <c r="D33" s="65">
        <f t="shared" si="20"/>
        <v>2425.2399999999998</v>
      </c>
      <c r="E33" s="65">
        <f t="shared" si="20"/>
        <v>3775.2</v>
      </c>
      <c r="F33" s="65">
        <f t="shared" si="20"/>
        <v>2425.2399999999998</v>
      </c>
      <c r="G33" s="65">
        <f t="shared" si="20"/>
        <v>3775.2</v>
      </c>
      <c r="H33" s="65">
        <f t="shared" si="20"/>
        <v>2425.2399999999998</v>
      </c>
      <c r="I33" s="65">
        <f t="shared" si="20"/>
        <v>3775.2</v>
      </c>
      <c r="J33" s="65">
        <f t="shared" si="20"/>
        <v>2425.2399999999998</v>
      </c>
      <c r="K33" s="65">
        <f t="shared" si="20"/>
        <v>3775.2</v>
      </c>
      <c r="L33" s="65">
        <f t="shared" si="20"/>
        <v>3637.86</v>
      </c>
      <c r="M33" s="65">
        <f t="shared" si="20"/>
        <v>3775.2</v>
      </c>
      <c r="N33" s="65">
        <f t="shared" si="20"/>
        <v>3637.86</v>
      </c>
      <c r="O33" s="65">
        <f t="shared" si="20"/>
        <v>3775.2</v>
      </c>
      <c r="P33" s="65">
        <f t="shared" si="20"/>
        <v>3637.86</v>
      </c>
      <c r="Q33" s="65">
        <f t="shared" si="20"/>
        <v>3775.2</v>
      </c>
      <c r="R33" s="65">
        <f t="shared" si="20"/>
        <v>3637.86</v>
      </c>
      <c r="S33" s="65">
        <f t="shared" si="20"/>
        <v>3775.2</v>
      </c>
      <c r="T33" s="65">
        <f t="shared" si="20"/>
        <v>4350.6099999999997</v>
      </c>
      <c r="U33" s="65">
        <f t="shared" si="20"/>
        <v>3775.2</v>
      </c>
      <c r="V33" s="65">
        <f t="shared" si="20"/>
        <v>3769.41</v>
      </c>
      <c r="W33" s="65">
        <f t="shared" si="20"/>
        <v>3775.2</v>
      </c>
      <c r="X33" s="65">
        <f t="shared" si="20"/>
        <v>3769.41</v>
      </c>
      <c r="Y33" s="65">
        <f t="shared" si="20"/>
        <v>3775.2</v>
      </c>
      <c r="Z33" s="65">
        <f t="shared" si="20"/>
        <v>3769.41</v>
      </c>
      <c r="AA33" s="47">
        <f t="shared" si="12"/>
        <v>45302.399999999994</v>
      </c>
      <c r="AB33" s="51">
        <f t="shared" si="13"/>
        <v>39911.240000000005</v>
      </c>
      <c r="AC33" s="21"/>
      <c r="AD33" s="31">
        <f t="shared" si="14"/>
        <v>45302.399999999994</v>
      </c>
      <c r="AE33" s="31">
        <f t="shared" si="15"/>
        <v>39911.240000000005</v>
      </c>
      <c r="AF33" s="17">
        <f t="shared" si="18"/>
        <v>0</v>
      </c>
      <c r="AG33" s="17">
        <f t="shared" si="19"/>
        <v>0</v>
      </c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66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</row>
    <row r="34" spans="1:123" s="19" customFormat="1" ht="18" customHeight="1" outlineLevel="2" x14ac:dyDescent="0.25">
      <c r="A34" s="48" t="s">
        <v>111</v>
      </c>
      <c r="B34" s="53"/>
      <c r="C34" s="49">
        <v>2340</v>
      </c>
      <c r="D34" s="68">
        <v>1539.84</v>
      </c>
      <c r="E34" s="68">
        <v>2340</v>
      </c>
      <c r="F34" s="68">
        <v>1539.84</v>
      </c>
      <c r="G34" s="68">
        <v>2340</v>
      </c>
      <c r="H34" s="50">
        <v>1539.84</v>
      </c>
      <c r="I34" s="68">
        <v>2340</v>
      </c>
      <c r="J34" s="68">
        <v>1539.84</v>
      </c>
      <c r="K34" s="68">
        <v>2340</v>
      </c>
      <c r="L34" s="68">
        <v>2309.7600000000002</v>
      </c>
      <c r="M34" s="68">
        <v>2340</v>
      </c>
      <c r="N34" s="68">
        <v>2309.7600000000002</v>
      </c>
      <c r="O34" s="68">
        <v>2340</v>
      </c>
      <c r="P34" s="68">
        <v>2309.7600000000002</v>
      </c>
      <c r="Q34" s="68">
        <v>2340</v>
      </c>
      <c r="R34" s="68">
        <v>2309.7600000000002</v>
      </c>
      <c r="S34" s="68">
        <v>2340</v>
      </c>
      <c r="T34" s="68">
        <v>2950.08</v>
      </c>
      <c r="U34" s="68">
        <v>2340</v>
      </c>
      <c r="V34" s="68">
        <v>2393.2800000000002</v>
      </c>
      <c r="W34" s="68">
        <v>2340</v>
      </c>
      <c r="X34" s="68">
        <v>2393.2800000000002</v>
      </c>
      <c r="Y34" s="68">
        <v>2340</v>
      </c>
      <c r="Z34" s="68">
        <v>2393.2800000000002</v>
      </c>
      <c r="AA34" s="51">
        <f t="shared" si="12"/>
        <v>28080</v>
      </c>
      <c r="AB34" s="51">
        <f t="shared" si="13"/>
        <v>25528.319999999996</v>
      </c>
      <c r="AC34" s="22"/>
      <c r="AD34" s="31">
        <f t="shared" si="14"/>
        <v>28080</v>
      </c>
      <c r="AE34" s="31">
        <f t="shared" si="15"/>
        <v>25528.319999999996</v>
      </c>
      <c r="AF34" s="17">
        <f t="shared" si="18"/>
        <v>0</v>
      </c>
      <c r="AG34" s="17">
        <f t="shared" si="19"/>
        <v>0</v>
      </c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61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</row>
    <row r="35" spans="1:123" s="19" customFormat="1" ht="18" customHeight="1" outlineLevel="2" x14ac:dyDescent="0.25">
      <c r="A35" s="48" t="s">
        <v>112</v>
      </c>
      <c r="B35" s="53"/>
      <c r="C35" s="49">
        <v>1248</v>
      </c>
      <c r="D35" s="68">
        <v>818.04</v>
      </c>
      <c r="E35" s="68">
        <v>1248</v>
      </c>
      <c r="F35" s="68">
        <v>818.04</v>
      </c>
      <c r="G35" s="68">
        <v>1248</v>
      </c>
      <c r="H35" s="50">
        <v>818.04</v>
      </c>
      <c r="I35" s="68">
        <v>1248</v>
      </c>
      <c r="J35" s="68">
        <v>818.04</v>
      </c>
      <c r="K35" s="68">
        <v>1248</v>
      </c>
      <c r="L35" s="68">
        <v>1227.06</v>
      </c>
      <c r="M35" s="68">
        <v>1248</v>
      </c>
      <c r="N35" s="68">
        <v>1227.06</v>
      </c>
      <c r="O35" s="68">
        <v>1248</v>
      </c>
      <c r="P35" s="68">
        <v>1227.06</v>
      </c>
      <c r="Q35" s="68">
        <v>1248</v>
      </c>
      <c r="R35" s="68">
        <v>1227.06</v>
      </c>
      <c r="S35" s="68">
        <v>1248</v>
      </c>
      <c r="T35" s="68">
        <v>1271.43</v>
      </c>
      <c r="U35" s="68">
        <v>1248</v>
      </c>
      <c r="V35" s="68">
        <v>1271.43</v>
      </c>
      <c r="W35" s="68">
        <v>1248</v>
      </c>
      <c r="X35" s="68">
        <v>1271.43</v>
      </c>
      <c r="Y35" s="68">
        <v>1248</v>
      </c>
      <c r="Z35" s="68">
        <v>1271.43</v>
      </c>
      <c r="AA35" s="51">
        <f t="shared" si="12"/>
        <v>14976</v>
      </c>
      <c r="AB35" s="51">
        <f t="shared" si="13"/>
        <v>13266.119999999999</v>
      </c>
      <c r="AC35" s="22"/>
      <c r="AD35" s="31">
        <f t="shared" si="14"/>
        <v>14976</v>
      </c>
      <c r="AE35" s="31">
        <f t="shared" si="15"/>
        <v>13266.119999999999</v>
      </c>
      <c r="AF35" s="17">
        <f t="shared" si="18"/>
        <v>0</v>
      </c>
      <c r="AG35" s="17">
        <f t="shared" si="19"/>
        <v>0</v>
      </c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61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</row>
    <row r="36" spans="1:123" s="19" customFormat="1" ht="18" customHeight="1" outlineLevel="2" x14ac:dyDescent="0.25">
      <c r="A36" s="48" t="s">
        <v>113</v>
      </c>
      <c r="B36" s="53"/>
      <c r="C36" s="49">
        <v>31.2</v>
      </c>
      <c r="D36" s="68">
        <v>19.239999999999998</v>
      </c>
      <c r="E36" s="68">
        <v>31.2</v>
      </c>
      <c r="F36" s="68">
        <v>19.239999999999998</v>
      </c>
      <c r="G36" s="68">
        <v>31.2</v>
      </c>
      <c r="H36" s="50">
        <v>19.239999999999998</v>
      </c>
      <c r="I36" s="68">
        <v>31.2</v>
      </c>
      <c r="J36" s="68">
        <v>19.239999999999998</v>
      </c>
      <c r="K36" s="68">
        <v>31.2</v>
      </c>
      <c r="L36" s="68">
        <v>28.86</v>
      </c>
      <c r="M36" s="68">
        <v>31.2</v>
      </c>
      <c r="N36" s="68">
        <v>28.86</v>
      </c>
      <c r="O36" s="68">
        <v>31.2</v>
      </c>
      <c r="P36" s="68">
        <v>28.86</v>
      </c>
      <c r="Q36" s="68">
        <v>31.2</v>
      </c>
      <c r="R36" s="68">
        <v>28.86</v>
      </c>
      <c r="S36" s="68">
        <v>31.2</v>
      </c>
      <c r="T36" s="68">
        <v>38.99</v>
      </c>
      <c r="U36" s="68">
        <v>31.2</v>
      </c>
      <c r="V36" s="68">
        <v>29.91</v>
      </c>
      <c r="W36" s="68">
        <v>31.2</v>
      </c>
      <c r="X36" s="68">
        <v>29.91</v>
      </c>
      <c r="Y36" s="68">
        <v>31.2</v>
      </c>
      <c r="Z36" s="68">
        <v>29.91</v>
      </c>
      <c r="AA36" s="51">
        <f t="shared" si="12"/>
        <v>374.39999999999992</v>
      </c>
      <c r="AB36" s="51">
        <f t="shared" si="13"/>
        <v>321.12000000000012</v>
      </c>
      <c r="AC36" s="22"/>
      <c r="AD36" s="31">
        <f t="shared" si="14"/>
        <v>374.39999999999992</v>
      </c>
      <c r="AE36" s="31">
        <f t="shared" si="15"/>
        <v>321.12000000000012</v>
      </c>
      <c r="AF36" s="17">
        <f t="shared" si="18"/>
        <v>0</v>
      </c>
      <c r="AG36" s="17">
        <f t="shared" si="19"/>
        <v>0</v>
      </c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61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</row>
    <row r="37" spans="1:123" s="19" customFormat="1" ht="18" customHeight="1" outlineLevel="2" x14ac:dyDescent="0.25">
      <c r="A37" s="48" t="s">
        <v>114</v>
      </c>
      <c r="B37" s="53"/>
      <c r="C37" s="49">
        <v>78</v>
      </c>
      <c r="D37" s="68">
        <v>48.12</v>
      </c>
      <c r="E37" s="68">
        <v>78</v>
      </c>
      <c r="F37" s="68">
        <v>48.12</v>
      </c>
      <c r="G37" s="68">
        <v>78</v>
      </c>
      <c r="H37" s="50">
        <v>48.12</v>
      </c>
      <c r="I37" s="68">
        <v>78</v>
      </c>
      <c r="J37" s="68">
        <v>48.12</v>
      </c>
      <c r="K37" s="68">
        <v>78</v>
      </c>
      <c r="L37" s="68">
        <v>72.180000000000007</v>
      </c>
      <c r="M37" s="68">
        <v>78</v>
      </c>
      <c r="N37" s="68">
        <v>72.180000000000007</v>
      </c>
      <c r="O37" s="68">
        <v>78</v>
      </c>
      <c r="P37" s="68">
        <v>72.180000000000007</v>
      </c>
      <c r="Q37" s="68">
        <v>78</v>
      </c>
      <c r="R37" s="68">
        <v>72.180000000000007</v>
      </c>
      <c r="S37" s="68">
        <v>78</v>
      </c>
      <c r="T37" s="68">
        <v>90.11</v>
      </c>
      <c r="U37" s="68">
        <v>78</v>
      </c>
      <c r="V37" s="68">
        <v>74.790000000000006</v>
      </c>
      <c r="W37" s="68">
        <v>78</v>
      </c>
      <c r="X37" s="68">
        <v>74.790000000000006</v>
      </c>
      <c r="Y37" s="68">
        <v>78</v>
      </c>
      <c r="Z37" s="68">
        <v>74.790000000000006</v>
      </c>
      <c r="AA37" s="51">
        <f t="shared" si="12"/>
        <v>936</v>
      </c>
      <c r="AB37" s="51">
        <f t="shared" si="13"/>
        <v>795.67999999999984</v>
      </c>
      <c r="AC37" s="22"/>
      <c r="AD37" s="31">
        <f t="shared" si="14"/>
        <v>936</v>
      </c>
      <c r="AE37" s="31">
        <f t="shared" si="15"/>
        <v>795.67999999999984</v>
      </c>
      <c r="AF37" s="17">
        <f t="shared" si="18"/>
        <v>0</v>
      </c>
      <c r="AG37" s="17">
        <f t="shared" si="19"/>
        <v>0</v>
      </c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61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</row>
    <row r="38" spans="1:123" s="19" customFormat="1" ht="18" customHeight="1" outlineLevel="2" x14ac:dyDescent="0.25">
      <c r="A38" s="48" t="s">
        <v>115</v>
      </c>
      <c r="B38" s="53"/>
      <c r="C38" s="49">
        <v>78</v>
      </c>
      <c r="D38" s="68">
        <v>0</v>
      </c>
      <c r="E38" s="68">
        <v>78</v>
      </c>
      <c r="F38" s="68">
        <v>0</v>
      </c>
      <c r="G38" s="68">
        <v>78</v>
      </c>
      <c r="H38" s="50">
        <v>0</v>
      </c>
      <c r="I38" s="68">
        <v>78</v>
      </c>
      <c r="J38" s="68">
        <v>0</v>
      </c>
      <c r="K38" s="68">
        <v>78</v>
      </c>
      <c r="L38" s="68">
        <v>0</v>
      </c>
      <c r="M38" s="68">
        <v>78</v>
      </c>
      <c r="N38" s="68">
        <v>0</v>
      </c>
      <c r="O38" s="68">
        <v>78</v>
      </c>
      <c r="P38" s="68">
        <v>0</v>
      </c>
      <c r="Q38" s="68">
        <v>78</v>
      </c>
      <c r="R38" s="68">
        <v>0</v>
      </c>
      <c r="S38" s="68">
        <v>78</v>
      </c>
      <c r="T38" s="68">
        <v>0</v>
      </c>
      <c r="U38" s="68">
        <v>78</v>
      </c>
      <c r="V38" s="68">
        <v>0</v>
      </c>
      <c r="W38" s="68">
        <v>78</v>
      </c>
      <c r="X38" s="68">
        <v>0</v>
      </c>
      <c r="Y38" s="68">
        <v>78</v>
      </c>
      <c r="Z38" s="68">
        <v>0</v>
      </c>
      <c r="AA38" s="51">
        <f t="shared" si="12"/>
        <v>936</v>
      </c>
      <c r="AB38" s="51">
        <f t="shared" si="13"/>
        <v>0</v>
      </c>
      <c r="AC38" s="22"/>
      <c r="AD38" s="31">
        <f t="shared" si="14"/>
        <v>936</v>
      </c>
      <c r="AE38" s="31">
        <f t="shared" si="15"/>
        <v>0</v>
      </c>
      <c r="AF38" s="17">
        <f t="shared" si="18"/>
        <v>0</v>
      </c>
      <c r="AG38" s="17">
        <f t="shared" si="19"/>
        <v>0</v>
      </c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61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</row>
    <row r="39" spans="1:123" s="19" customFormat="1" ht="18" customHeight="1" outlineLevel="1" x14ac:dyDescent="0.25">
      <c r="A39" s="48" t="s">
        <v>116</v>
      </c>
      <c r="B39" s="53"/>
      <c r="C39" s="49">
        <v>807</v>
      </c>
      <c r="D39" s="68">
        <v>538</v>
      </c>
      <c r="E39" s="68">
        <v>807</v>
      </c>
      <c r="F39" s="68">
        <v>538</v>
      </c>
      <c r="G39" s="68">
        <v>807</v>
      </c>
      <c r="H39" s="50">
        <v>538</v>
      </c>
      <c r="I39" s="68">
        <v>807</v>
      </c>
      <c r="J39" s="68">
        <v>538</v>
      </c>
      <c r="K39" s="68">
        <v>807</v>
      </c>
      <c r="L39" s="68">
        <v>807</v>
      </c>
      <c r="M39" s="68">
        <v>807</v>
      </c>
      <c r="N39" s="68">
        <v>538</v>
      </c>
      <c r="O39" s="68">
        <v>807</v>
      </c>
      <c r="P39" s="68">
        <v>538</v>
      </c>
      <c r="Q39" s="68">
        <v>807</v>
      </c>
      <c r="R39" s="68">
        <v>538</v>
      </c>
      <c r="S39" s="68">
        <v>807</v>
      </c>
      <c r="T39" s="68">
        <v>538</v>
      </c>
      <c r="U39" s="68">
        <v>807</v>
      </c>
      <c r="V39" s="68">
        <v>538</v>
      </c>
      <c r="W39" s="68">
        <v>807</v>
      </c>
      <c r="X39" s="68">
        <v>538</v>
      </c>
      <c r="Y39" s="68">
        <v>807</v>
      </c>
      <c r="Z39" s="68">
        <v>538</v>
      </c>
      <c r="AA39" s="51">
        <f t="shared" si="12"/>
        <v>9684</v>
      </c>
      <c r="AB39" s="51">
        <f t="shared" si="13"/>
        <v>6725</v>
      </c>
      <c r="AC39" s="22"/>
      <c r="AD39" s="31">
        <f t="shared" si="14"/>
        <v>9684</v>
      </c>
      <c r="AE39" s="31">
        <f t="shared" si="15"/>
        <v>6725</v>
      </c>
      <c r="AF39" s="17">
        <f t="shared" si="18"/>
        <v>0</v>
      </c>
      <c r="AG39" s="17">
        <f t="shared" si="19"/>
        <v>0</v>
      </c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61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</row>
    <row r="40" spans="1:123" s="19" customFormat="1" ht="18" customHeight="1" outlineLevel="1" x14ac:dyDescent="0.25">
      <c r="A40" s="48" t="s">
        <v>117</v>
      </c>
      <c r="B40" s="53"/>
      <c r="C40" s="49"/>
      <c r="D40" s="68">
        <v>0</v>
      </c>
      <c r="E40" s="68"/>
      <c r="F40" s="68">
        <v>0</v>
      </c>
      <c r="G40" s="68"/>
      <c r="H40" s="50">
        <v>0</v>
      </c>
      <c r="I40" s="68"/>
      <c r="J40" s="68">
        <v>0</v>
      </c>
      <c r="K40" s="68"/>
      <c r="L40" s="68">
        <v>0</v>
      </c>
      <c r="M40" s="68"/>
      <c r="N40" s="68">
        <v>0</v>
      </c>
      <c r="O40" s="68"/>
      <c r="P40" s="68">
        <v>0</v>
      </c>
      <c r="Q40" s="68"/>
      <c r="R40" s="68">
        <v>0</v>
      </c>
      <c r="S40" s="68"/>
      <c r="T40" s="68">
        <v>0</v>
      </c>
      <c r="U40" s="68"/>
      <c r="V40" s="68">
        <v>0</v>
      </c>
      <c r="W40" s="68"/>
      <c r="X40" s="68">
        <v>0</v>
      </c>
      <c r="Y40" s="68"/>
      <c r="Z40" s="68">
        <v>0</v>
      </c>
      <c r="AA40" s="51">
        <f t="shared" si="12"/>
        <v>0</v>
      </c>
      <c r="AB40" s="51">
        <f t="shared" si="13"/>
        <v>0</v>
      </c>
      <c r="AC40" s="22"/>
      <c r="AD40" s="31">
        <f t="shared" si="14"/>
        <v>0</v>
      </c>
      <c r="AE40" s="31">
        <f t="shared" si="15"/>
        <v>0</v>
      </c>
      <c r="AF40" s="17">
        <f t="shared" si="18"/>
        <v>0</v>
      </c>
      <c r="AG40" s="17">
        <f t="shared" si="19"/>
        <v>0</v>
      </c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61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</row>
    <row r="41" spans="1:123" s="19" customFormat="1" ht="18" customHeight="1" outlineLevel="1" x14ac:dyDescent="0.25">
      <c r="A41" s="48" t="s">
        <v>118</v>
      </c>
      <c r="B41" s="53"/>
      <c r="C41" s="49"/>
      <c r="D41" s="68">
        <v>0</v>
      </c>
      <c r="E41" s="68"/>
      <c r="F41" s="68">
        <v>0</v>
      </c>
      <c r="G41" s="68"/>
      <c r="H41" s="50">
        <v>0</v>
      </c>
      <c r="I41" s="68"/>
      <c r="J41" s="68">
        <v>0</v>
      </c>
      <c r="K41" s="68"/>
      <c r="L41" s="68">
        <v>0</v>
      </c>
      <c r="M41" s="68"/>
      <c r="N41" s="68">
        <v>0</v>
      </c>
      <c r="O41" s="68"/>
      <c r="P41" s="68">
        <v>0</v>
      </c>
      <c r="Q41" s="68"/>
      <c r="R41" s="68">
        <v>0</v>
      </c>
      <c r="S41" s="68"/>
      <c r="T41" s="68">
        <v>0</v>
      </c>
      <c r="U41" s="68"/>
      <c r="V41" s="68">
        <v>0</v>
      </c>
      <c r="W41" s="68"/>
      <c r="X41" s="68">
        <v>0</v>
      </c>
      <c r="Y41" s="68"/>
      <c r="Z41" s="68">
        <v>0</v>
      </c>
      <c r="AA41" s="51">
        <f t="shared" si="12"/>
        <v>0</v>
      </c>
      <c r="AB41" s="51">
        <f t="shared" si="13"/>
        <v>0</v>
      </c>
      <c r="AC41" s="22"/>
      <c r="AD41" s="31">
        <f t="shared" si="14"/>
        <v>0</v>
      </c>
      <c r="AE41" s="31">
        <f t="shared" si="15"/>
        <v>0</v>
      </c>
      <c r="AF41" s="17">
        <f t="shared" si="18"/>
        <v>0</v>
      </c>
      <c r="AG41" s="17">
        <f t="shared" si="19"/>
        <v>0</v>
      </c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61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</row>
    <row r="42" spans="1:123" s="17" customFormat="1" ht="18" customHeight="1" outlineLevel="1" x14ac:dyDescent="0.25">
      <c r="A42" s="67" t="s">
        <v>119</v>
      </c>
      <c r="B42" s="45"/>
      <c r="C42" s="65">
        <f t="shared" ref="C42:Z42" si="21">SUM(C43:C49)</f>
        <v>800</v>
      </c>
      <c r="D42" s="65">
        <f t="shared" si="21"/>
        <v>700</v>
      </c>
      <c r="E42" s="65">
        <f t="shared" si="21"/>
        <v>200</v>
      </c>
      <c r="F42" s="65">
        <f t="shared" si="21"/>
        <v>1100</v>
      </c>
      <c r="G42" s="65">
        <f t="shared" si="21"/>
        <v>365</v>
      </c>
      <c r="H42" s="65">
        <f t="shared" si="21"/>
        <v>0</v>
      </c>
      <c r="I42" s="65">
        <f t="shared" si="21"/>
        <v>200</v>
      </c>
      <c r="J42" s="65">
        <f t="shared" si="21"/>
        <v>145</v>
      </c>
      <c r="K42" s="65">
        <f t="shared" si="21"/>
        <v>200</v>
      </c>
      <c r="L42" s="65">
        <f t="shared" si="21"/>
        <v>0</v>
      </c>
      <c r="M42" s="65">
        <f t="shared" si="21"/>
        <v>200</v>
      </c>
      <c r="N42" s="65">
        <f t="shared" si="21"/>
        <v>133</v>
      </c>
      <c r="O42" s="65">
        <f t="shared" si="21"/>
        <v>200</v>
      </c>
      <c r="P42" s="65">
        <f t="shared" si="21"/>
        <v>100</v>
      </c>
      <c r="Q42" s="65">
        <f t="shared" si="21"/>
        <v>200</v>
      </c>
      <c r="R42" s="65">
        <f t="shared" si="21"/>
        <v>124</v>
      </c>
      <c r="S42" s="65">
        <f t="shared" si="21"/>
        <v>200</v>
      </c>
      <c r="T42" s="65">
        <f t="shared" si="21"/>
        <v>600</v>
      </c>
      <c r="U42" s="65">
        <f t="shared" si="21"/>
        <v>800</v>
      </c>
      <c r="V42" s="65">
        <f t="shared" si="21"/>
        <v>306</v>
      </c>
      <c r="W42" s="65">
        <f t="shared" si="21"/>
        <v>200</v>
      </c>
      <c r="X42" s="65">
        <f t="shared" si="21"/>
        <v>0</v>
      </c>
      <c r="Y42" s="65">
        <f t="shared" si="21"/>
        <v>200</v>
      </c>
      <c r="Z42" s="65">
        <f t="shared" si="21"/>
        <v>50</v>
      </c>
      <c r="AA42" s="47">
        <f t="shared" si="12"/>
        <v>3765</v>
      </c>
      <c r="AB42" s="51">
        <f t="shared" si="13"/>
        <v>3258</v>
      </c>
      <c r="AC42" s="21"/>
      <c r="AD42" s="31">
        <f t="shared" si="14"/>
        <v>3765</v>
      </c>
      <c r="AE42" s="31">
        <f t="shared" si="15"/>
        <v>3258</v>
      </c>
      <c r="AF42" s="17">
        <f t="shared" si="18"/>
        <v>0</v>
      </c>
      <c r="AG42" s="17">
        <f t="shared" si="19"/>
        <v>0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66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</row>
    <row r="43" spans="1:123" s="19" customFormat="1" ht="18" customHeight="1" outlineLevel="2" x14ac:dyDescent="0.25">
      <c r="A43" s="48" t="s">
        <v>120</v>
      </c>
      <c r="B43" s="53"/>
      <c r="C43" s="49">
        <v>0</v>
      </c>
      <c r="D43" s="68">
        <v>0</v>
      </c>
      <c r="E43" s="68">
        <v>0</v>
      </c>
      <c r="F43" s="68">
        <v>0</v>
      </c>
      <c r="G43" s="68">
        <v>0</v>
      </c>
      <c r="H43" s="50"/>
      <c r="I43" s="68">
        <v>0</v>
      </c>
      <c r="J43" s="68">
        <v>0</v>
      </c>
      <c r="K43" s="68">
        <v>0</v>
      </c>
      <c r="L43" s="68"/>
      <c r="M43" s="68">
        <v>0</v>
      </c>
      <c r="N43" s="68">
        <v>0</v>
      </c>
      <c r="O43" s="68">
        <v>0</v>
      </c>
      <c r="P43" s="68">
        <v>0</v>
      </c>
      <c r="Q43" s="68">
        <v>0</v>
      </c>
      <c r="R43" s="68">
        <v>0</v>
      </c>
      <c r="S43" s="68">
        <v>0</v>
      </c>
      <c r="T43" s="68">
        <v>0</v>
      </c>
      <c r="U43" s="68">
        <v>0</v>
      </c>
      <c r="V43" s="68">
        <v>97</v>
      </c>
      <c r="W43" s="68">
        <v>0</v>
      </c>
      <c r="X43" s="68"/>
      <c r="Y43" s="68">
        <v>0</v>
      </c>
      <c r="Z43" s="68">
        <v>0</v>
      </c>
      <c r="AA43" s="51">
        <f t="shared" si="12"/>
        <v>0</v>
      </c>
      <c r="AB43" s="51">
        <f t="shared" si="13"/>
        <v>97</v>
      </c>
      <c r="AC43" s="22"/>
      <c r="AD43" s="31">
        <f t="shared" si="14"/>
        <v>0</v>
      </c>
      <c r="AE43" s="31">
        <f t="shared" si="15"/>
        <v>97</v>
      </c>
      <c r="AF43" s="17">
        <f t="shared" si="18"/>
        <v>0</v>
      </c>
      <c r="AG43" s="17">
        <f t="shared" si="19"/>
        <v>0</v>
      </c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61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</row>
    <row r="44" spans="1:123" s="19" customFormat="1" ht="18" customHeight="1" outlineLevel="2" x14ac:dyDescent="0.25">
      <c r="A44" s="48" t="s">
        <v>121</v>
      </c>
      <c r="B44" s="53"/>
      <c r="C44" s="49">
        <v>200</v>
      </c>
      <c r="D44" s="68">
        <v>100</v>
      </c>
      <c r="E44" s="68">
        <v>200</v>
      </c>
      <c r="F44" s="68">
        <v>100</v>
      </c>
      <c r="G44" s="68">
        <v>200</v>
      </c>
      <c r="H44" s="50"/>
      <c r="I44" s="68">
        <v>200</v>
      </c>
      <c r="J44" s="68">
        <v>145</v>
      </c>
      <c r="K44" s="68">
        <v>200</v>
      </c>
      <c r="L44" s="68"/>
      <c r="M44" s="68">
        <v>200</v>
      </c>
      <c r="N44" s="68">
        <v>133</v>
      </c>
      <c r="O44" s="68">
        <v>200</v>
      </c>
      <c r="P44" s="68">
        <v>100</v>
      </c>
      <c r="Q44" s="68">
        <v>200</v>
      </c>
      <c r="R44" s="68">
        <v>124</v>
      </c>
      <c r="S44" s="68">
        <v>200</v>
      </c>
      <c r="T44" s="68">
        <v>0</v>
      </c>
      <c r="U44" s="68">
        <v>200</v>
      </c>
      <c r="V44" s="68">
        <v>209</v>
      </c>
      <c r="W44" s="68">
        <v>200</v>
      </c>
      <c r="X44" s="68"/>
      <c r="Y44" s="68">
        <v>200</v>
      </c>
      <c r="Z44" s="68">
        <v>50</v>
      </c>
      <c r="AA44" s="51">
        <f t="shared" si="12"/>
        <v>2400</v>
      </c>
      <c r="AB44" s="51">
        <f t="shared" si="13"/>
        <v>961</v>
      </c>
      <c r="AC44" s="22"/>
      <c r="AD44" s="31">
        <f t="shared" si="14"/>
        <v>2400</v>
      </c>
      <c r="AE44" s="31">
        <f t="shared" si="15"/>
        <v>961</v>
      </c>
      <c r="AF44" s="17">
        <f t="shared" si="18"/>
        <v>0</v>
      </c>
      <c r="AG44" s="17">
        <f t="shared" si="19"/>
        <v>0</v>
      </c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61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</row>
    <row r="45" spans="1:123" s="19" customFormat="1" ht="18" customHeight="1" outlineLevel="2" x14ac:dyDescent="0.25">
      <c r="A45" s="48" t="s">
        <v>122</v>
      </c>
      <c r="B45" s="53"/>
      <c r="C45" s="49"/>
      <c r="D45" s="68">
        <v>0</v>
      </c>
      <c r="E45" s="68"/>
      <c r="F45" s="68">
        <v>0</v>
      </c>
      <c r="G45" s="68"/>
      <c r="H45" s="50"/>
      <c r="I45" s="68"/>
      <c r="J45" s="68">
        <v>0</v>
      </c>
      <c r="K45" s="68"/>
      <c r="L45" s="68"/>
      <c r="M45" s="68"/>
      <c r="N45" s="68">
        <v>0</v>
      </c>
      <c r="O45" s="68"/>
      <c r="P45" s="68">
        <v>0</v>
      </c>
      <c r="Q45" s="68"/>
      <c r="R45" s="68">
        <v>0</v>
      </c>
      <c r="S45" s="68"/>
      <c r="T45" s="68">
        <v>0</v>
      </c>
      <c r="U45" s="68"/>
      <c r="V45" s="68">
        <v>0</v>
      </c>
      <c r="W45" s="68"/>
      <c r="X45" s="68"/>
      <c r="Y45" s="68"/>
      <c r="Z45" s="68">
        <v>0</v>
      </c>
      <c r="AA45" s="51">
        <f t="shared" si="12"/>
        <v>0</v>
      </c>
      <c r="AB45" s="51">
        <f t="shared" si="13"/>
        <v>0</v>
      </c>
      <c r="AC45" s="22"/>
      <c r="AD45" s="31">
        <f t="shared" si="14"/>
        <v>0</v>
      </c>
      <c r="AE45" s="31">
        <f t="shared" si="15"/>
        <v>0</v>
      </c>
      <c r="AF45" s="17">
        <f t="shared" si="18"/>
        <v>0</v>
      </c>
      <c r="AG45" s="17">
        <f t="shared" si="19"/>
        <v>0</v>
      </c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61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</row>
    <row r="46" spans="1:123" s="19" customFormat="1" ht="18" customHeight="1" outlineLevel="2" x14ac:dyDescent="0.25">
      <c r="A46" s="48" t="s">
        <v>123</v>
      </c>
      <c r="B46" s="53"/>
      <c r="C46" s="49">
        <v>600</v>
      </c>
      <c r="D46" s="68">
        <v>600</v>
      </c>
      <c r="E46" s="68"/>
      <c r="F46" s="68">
        <v>0</v>
      </c>
      <c r="G46" s="68"/>
      <c r="H46" s="50"/>
      <c r="I46" s="68"/>
      <c r="J46" s="68">
        <v>0</v>
      </c>
      <c r="K46" s="68"/>
      <c r="L46" s="68"/>
      <c r="M46" s="68"/>
      <c r="N46" s="68">
        <v>0</v>
      </c>
      <c r="O46" s="68"/>
      <c r="P46" s="68">
        <v>0</v>
      </c>
      <c r="Q46" s="68"/>
      <c r="R46" s="68">
        <v>0</v>
      </c>
      <c r="S46" s="68"/>
      <c r="T46" s="68">
        <v>600</v>
      </c>
      <c r="U46" s="68">
        <v>600</v>
      </c>
      <c r="V46" s="68">
        <v>0</v>
      </c>
      <c r="W46" s="68"/>
      <c r="X46" s="68"/>
      <c r="Y46" s="68"/>
      <c r="Z46" s="68">
        <v>0</v>
      </c>
      <c r="AA46" s="51">
        <f t="shared" si="12"/>
        <v>1200</v>
      </c>
      <c r="AB46" s="51">
        <f t="shared" si="13"/>
        <v>1200</v>
      </c>
      <c r="AC46" s="22"/>
      <c r="AD46" s="31">
        <f t="shared" si="14"/>
        <v>1200</v>
      </c>
      <c r="AE46" s="31">
        <f t="shared" si="15"/>
        <v>1200</v>
      </c>
      <c r="AF46" s="17">
        <f t="shared" si="18"/>
        <v>0</v>
      </c>
      <c r="AG46" s="17">
        <f t="shared" si="19"/>
        <v>0</v>
      </c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61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</row>
    <row r="47" spans="1:123" s="19" customFormat="1" ht="18" customHeight="1" outlineLevel="2" x14ac:dyDescent="0.25">
      <c r="A47" s="48" t="s">
        <v>124</v>
      </c>
      <c r="B47" s="53"/>
      <c r="C47" s="49">
        <v>0</v>
      </c>
      <c r="D47" s="68">
        <v>0</v>
      </c>
      <c r="E47" s="68"/>
      <c r="F47" s="68">
        <v>0</v>
      </c>
      <c r="G47" s="68">
        <v>165</v>
      </c>
      <c r="H47" s="50"/>
      <c r="I47" s="68"/>
      <c r="J47" s="68">
        <v>0</v>
      </c>
      <c r="K47" s="68"/>
      <c r="L47" s="68"/>
      <c r="M47" s="68"/>
      <c r="N47" s="68">
        <v>0</v>
      </c>
      <c r="O47" s="68"/>
      <c r="P47" s="68">
        <v>0</v>
      </c>
      <c r="Q47" s="68"/>
      <c r="R47" s="68">
        <v>0</v>
      </c>
      <c r="S47" s="68"/>
      <c r="T47" s="68">
        <v>0</v>
      </c>
      <c r="U47" s="68"/>
      <c r="V47" s="68">
        <v>0</v>
      </c>
      <c r="W47" s="68"/>
      <c r="X47" s="68"/>
      <c r="Y47" s="68"/>
      <c r="Z47" s="68">
        <v>0</v>
      </c>
      <c r="AA47" s="51">
        <f t="shared" si="12"/>
        <v>165</v>
      </c>
      <c r="AB47" s="51">
        <f t="shared" si="13"/>
        <v>0</v>
      </c>
      <c r="AC47" s="22"/>
      <c r="AD47" s="31">
        <f t="shared" si="14"/>
        <v>165</v>
      </c>
      <c r="AE47" s="31">
        <f t="shared" si="15"/>
        <v>0</v>
      </c>
      <c r="AF47" s="17">
        <f t="shared" si="18"/>
        <v>0</v>
      </c>
      <c r="AG47" s="17">
        <f t="shared" si="19"/>
        <v>0</v>
      </c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61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</row>
    <row r="48" spans="1:123" s="19" customFormat="1" ht="18" customHeight="1" outlineLevel="2" x14ac:dyDescent="0.25">
      <c r="A48" s="48" t="s">
        <v>125</v>
      </c>
      <c r="B48" s="53"/>
      <c r="C48" s="49"/>
      <c r="D48" s="68">
        <v>0</v>
      </c>
      <c r="E48" s="68"/>
      <c r="F48" s="68">
        <v>1000</v>
      </c>
      <c r="G48" s="68"/>
      <c r="H48" s="50"/>
      <c r="I48" s="68"/>
      <c r="J48" s="68">
        <v>0</v>
      </c>
      <c r="K48" s="68"/>
      <c r="L48" s="68"/>
      <c r="M48" s="68"/>
      <c r="N48" s="68">
        <v>0</v>
      </c>
      <c r="O48" s="68"/>
      <c r="P48" s="68">
        <v>0</v>
      </c>
      <c r="Q48" s="68"/>
      <c r="R48" s="68">
        <v>0</v>
      </c>
      <c r="S48" s="68"/>
      <c r="T48" s="68">
        <v>0</v>
      </c>
      <c r="U48" s="68"/>
      <c r="V48" s="68">
        <v>0</v>
      </c>
      <c r="W48" s="68"/>
      <c r="X48" s="68"/>
      <c r="Y48" s="68"/>
      <c r="Z48" s="68">
        <v>0</v>
      </c>
      <c r="AA48" s="51">
        <f t="shared" si="12"/>
        <v>0</v>
      </c>
      <c r="AB48" s="51">
        <f t="shared" si="13"/>
        <v>1000</v>
      </c>
      <c r="AC48" s="22"/>
      <c r="AD48" s="31">
        <f t="shared" si="14"/>
        <v>0</v>
      </c>
      <c r="AE48" s="31">
        <f t="shared" si="15"/>
        <v>1000</v>
      </c>
      <c r="AF48" s="17">
        <f t="shared" si="18"/>
        <v>0</v>
      </c>
      <c r="AG48" s="17">
        <f t="shared" si="19"/>
        <v>0</v>
      </c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61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</row>
    <row r="49" spans="1:123" s="19" customFormat="1" ht="18" customHeight="1" outlineLevel="2" x14ac:dyDescent="0.25">
      <c r="A49" s="48" t="s">
        <v>126</v>
      </c>
      <c r="B49" s="53"/>
      <c r="C49" s="49"/>
      <c r="D49" s="68">
        <v>0</v>
      </c>
      <c r="E49" s="68"/>
      <c r="F49" s="68">
        <v>0</v>
      </c>
      <c r="G49" s="68"/>
      <c r="H49" s="50"/>
      <c r="I49" s="68"/>
      <c r="J49" s="68">
        <v>0</v>
      </c>
      <c r="K49" s="68"/>
      <c r="L49" s="68"/>
      <c r="M49" s="68"/>
      <c r="N49" s="68">
        <v>0</v>
      </c>
      <c r="O49" s="68"/>
      <c r="P49" s="68">
        <v>0</v>
      </c>
      <c r="Q49" s="68"/>
      <c r="R49" s="68">
        <v>0</v>
      </c>
      <c r="S49" s="68"/>
      <c r="T49" s="68">
        <v>0</v>
      </c>
      <c r="U49" s="68"/>
      <c r="V49" s="68">
        <v>0</v>
      </c>
      <c r="W49" s="68"/>
      <c r="X49" s="68"/>
      <c r="Y49" s="68"/>
      <c r="Z49" s="68">
        <v>0</v>
      </c>
      <c r="AA49" s="51">
        <f t="shared" si="12"/>
        <v>0</v>
      </c>
      <c r="AB49" s="51">
        <f t="shared" si="13"/>
        <v>0</v>
      </c>
      <c r="AC49" s="22"/>
      <c r="AD49" s="31">
        <f t="shared" si="14"/>
        <v>0</v>
      </c>
      <c r="AE49" s="31">
        <f t="shared" si="15"/>
        <v>0</v>
      </c>
      <c r="AF49" s="17">
        <f t="shared" si="18"/>
        <v>0</v>
      </c>
      <c r="AG49" s="17">
        <f t="shared" si="19"/>
        <v>0</v>
      </c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61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</row>
    <row r="50" spans="1:123" s="19" customFormat="1" ht="18" customHeight="1" outlineLevel="1" x14ac:dyDescent="0.25">
      <c r="A50" s="48" t="s">
        <v>127</v>
      </c>
      <c r="B50" s="53"/>
      <c r="C50" s="49"/>
      <c r="D50" s="68">
        <v>0</v>
      </c>
      <c r="E50" s="68"/>
      <c r="F50" s="68">
        <v>0</v>
      </c>
      <c r="G50" s="68"/>
      <c r="H50" s="50"/>
      <c r="I50" s="68"/>
      <c r="J50" s="68">
        <v>0</v>
      </c>
      <c r="K50" s="68"/>
      <c r="L50" s="68"/>
      <c r="M50" s="68"/>
      <c r="N50" s="68">
        <v>0</v>
      </c>
      <c r="O50" s="68"/>
      <c r="P50" s="68">
        <v>0</v>
      </c>
      <c r="Q50" s="68"/>
      <c r="R50" s="68">
        <v>0</v>
      </c>
      <c r="S50" s="68"/>
      <c r="T50" s="68">
        <v>0</v>
      </c>
      <c r="U50" s="68"/>
      <c r="V50" s="68">
        <v>0</v>
      </c>
      <c r="W50" s="68"/>
      <c r="X50" s="68"/>
      <c r="Y50" s="68"/>
      <c r="Z50" s="68">
        <v>0</v>
      </c>
      <c r="AA50" s="51">
        <f t="shared" si="12"/>
        <v>0</v>
      </c>
      <c r="AB50" s="51">
        <f t="shared" si="13"/>
        <v>0</v>
      </c>
      <c r="AC50" s="22"/>
      <c r="AD50" s="31">
        <f t="shared" si="14"/>
        <v>0</v>
      </c>
      <c r="AE50" s="31">
        <f t="shared" si="15"/>
        <v>0</v>
      </c>
      <c r="AF50" s="17">
        <f t="shared" si="18"/>
        <v>0</v>
      </c>
      <c r="AG50" s="17">
        <f t="shared" si="19"/>
        <v>0</v>
      </c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61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</row>
    <row r="51" spans="1:123" s="19" customFormat="1" ht="18" customHeight="1" outlineLevel="1" x14ac:dyDescent="0.25">
      <c r="A51" s="48" t="s">
        <v>128</v>
      </c>
      <c r="B51" s="53"/>
      <c r="C51" s="49"/>
      <c r="D51" s="68">
        <v>0</v>
      </c>
      <c r="E51" s="68"/>
      <c r="F51" s="68">
        <v>0</v>
      </c>
      <c r="G51" s="68"/>
      <c r="H51" s="50"/>
      <c r="I51" s="68"/>
      <c r="J51" s="68">
        <v>0</v>
      </c>
      <c r="K51" s="68"/>
      <c r="L51" s="68"/>
      <c r="M51" s="68"/>
      <c r="N51" s="68">
        <v>0</v>
      </c>
      <c r="O51" s="68"/>
      <c r="P51" s="68">
        <v>0</v>
      </c>
      <c r="Q51" s="68"/>
      <c r="R51" s="68">
        <v>0</v>
      </c>
      <c r="S51" s="68"/>
      <c r="T51" s="68">
        <v>0</v>
      </c>
      <c r="U51" s="68"/>
      <c r="V51" s="68">
        <v>0</v>
      </c>
      <c r="W51" s="68"/>
      <c r="X51" s="68"/>
      <c r="Y51" s="68"/>
      <c r="Z51" s="68">
        <v>0</v>
      </c>
      <c r="AA51" s="51">
        <f t="shared" si="12"/>
        <v>0</v>
      </c>
      <c r="AB51" s="51">
        <f t="shared" si="13"/>
        <v>0</v>
      </c>
      <c r="AC51" s="22"/>
      <c r="AD51" s="31">
        <f t="shared" si="14"/>
        <v>0</v>
      </c>
      <c r="AE51" s="31">
        <f t="shared" si="15"/>
        <v>0</v>
      </c>
      <c r="AF51" s="17">
        <f t="shared" si="18"/>
        <v>0</v>
      </c>
      <c r="AG51" s="17">
        <f t="shared" si="19"/>
        <v>0</v>
      </c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61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</row>
    <row r="52" spans="1:123" s="19" customFormat="1" ht="18" customHeight="1" outlineLevel="1" x14ac:dyDescent="0.25">
      <c r="A52" s="48" t="s">
        <v>129</v>
      </c>
      <c r="B52" s="53"/>
      <c r="C52" s="49">
        <v>0</v>
      </c>
      <c r="D52" s="68">
        <v>0</v>
      </c>
      <c r="E52" s="68">
        <v>0</v>
      </c>
      <c r="F52" s="68">
        <v>0</v>
      </c>
      <c r="G52" s="68">
        <v>0</v>
      </c>
      <c r="H52" s="50"/>
      <c r="I52" s="68">
        <v>0</v>
      </c>
      <c r="J52" s="68">
        <v>0</v>
      </c>
      <c r="K52" s="68">
        <v>0</v>
      </c>
      <c r="L52" s="68"/>
      <c r="M52" s="68">
        <v>0</v>
      </c>
      <c r="N52" s="68">
        <v>0</v>
      </c>
      <c r="O52" s="68"/>
      <c r="P52" s="68">
        <v>0</v>
      </c>
      <c r="Q52" s="68">
        <v>0</v>
      </c>
      <c r="R52" s="68">
        <v>0</v>
      </c>
      <c r="S52" s="68">
        <v>0</v>
      </c>
      <c r="T52" s="68">
        <v>0</v>
      </c>
      <c r="U52" s="68">
        <v>0</v>
      </c>
      <c r="V52" s="68">
        <v>0</v>
      </c>
      <c r="W52" s="68">
        <v>0</v>
      </c>
      <c r="X52" s="68"/>
      <c r="Y52" s="68">
        <v>0</v>
      </c>
      <c r="Z52" s="68">
        <v>0</v>
      </c>
      <c r="AA52" s="51">
        <f t="shared" si="12"/>
        <v>0</v>
      </c>
      <c r="AB52" s="51">
        <f t="shared" si="13"/>
        <v>0</v>
      </c>
      <c r="AC52" s="22"/>
      <c r="AD52" s="31">
        <f t="shared" si="14"/>
        <v>0</v>
      </c>
      <c r="AE52" s="31">
        <f t="shared" si="15"/>
        <v>0</v>
      </c>
      <c r="AF52" s="17">
        <f t="shared" si="18"/>
        <v>0</v>
      </c>
      <c r="AG52" s="17">
        <f t="shared" si="19"/>
        <v>0</v>
      </c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61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</row>
    <row r="53" spans="1:123" s="17" customFormat="1" ht="18" customHeight="1" outlineLevel="1" x14ac:dyDescent="0.25">
      <c r="A53" s="67" t="s">
        <v>130</v>
      </c>
      <c r="B53" s="45"/>
      <c r="C53" s="65">
        <f t="shared" ref="C53:Z53" si="22">SUM(C54:C58)</f>
        <v>9010</v>
      </c>
      <c r="D53" s="65">
        <f t="shared" si="22"/>
        <v>3921.62</v>
      </c>
      <c r="E53" s="65">
        <f t="shared" si="22"/>
        <v>9010</v>
      </c>
      <c r="F53" s="65">
        <f t="shared" si="22"/>
        <v>4156.26</v>
      </c>
      <c r="G53" s="65">
        <f t="shared" si="22"/>
        <v>9010</v>
      </c>
      <c r="H53" s="65">
        <f t="shared" si="22"/>
        <v>8541.7999999999993</v>
      </c>
      <c r="I53" s="65">
        <f t="shared" si="22"/>
        <v>9010</v>
      </c>
      <c r="J53" s="65">
        <f t="shared" si="22"/>
        <v>12716.490000000002</v>
      </c>
      <c r="K53" s="65">
        <f t="shared" si="22"/>
        <v>9010</v>
      </c>
      <c r="L53" s="65">
        <f t="shared" si="22"/>
        <v>10874.689999999999</v>
      </c>
      <c r="M53" s="65">
        <f t="shared" si="22"/>
        <v>9010</v>
      </c>
      <c r="N53" s="65">
        <f t="shared" si="22"/>
        <v>8153.11</v>
      </c>
      <c r="O53" s="65">
        <f t="shared" si="22"/>
        <v>9010</v>
      </c>
      <c r="P53" s="65">
        <f t="shared" si="22"/>
        <v>11247.81</v>
      </c>
      <c r="Q53" s="65">
        <f t="shared" si="22"/>
        <v>9010</v>
      </c>
      <c r="R53" s="65">
        <f t="shared" si="22"/>
        <v>8608.4</v>
      </c>
      <c r="S53" s="65">
        <f t="shared" si="22"/>
        <v>9010</v>
      </c>
      <c r="T53" s="65">
        <f t="shared" si="22"/>
        <v>12777.220000000001</v>
      </c>
      <c r="U53" s="65">
        <f t="shared" si="22"/>
        <v>9010</v>
      </c>
      <c r="V53" s="65">
        <f t="shared" si="22"/>
        <v>4059.2299999999996</v>
      </c>
      <c r="W53" s="65">
        <f t="shared" si="22"/>
        <v>9010</v>
      </c>
      <c r="X53" s="65">
        <f t="shared" si="22"/>
        <v>8934.130000000001</v>
      </c>
      <c r="Y53" s="65">
        <f t="shared" si="22"/>
        <v>9010</v>
      </c>
      <c r="Z53" s="65">
        <f t="shared" si="22"/>
        <v>8552.4599999999991</v>
      </c>
      <c r="AA53" s="47">
        <f t="shared" si="12"/>
        <v>108120</v>
      </c>
      <c r="AB53" s="51">
        <f t="shared" si="13"/>
        <v>102543.22</v>
      </c>
      <c r="AC53" s="21"/>
      <c r="AD53" s="31">
        <f t="shared" si="14"/>
        <v>108120</v>
      </c>
      <c r="AE53" s="31">
        <f t="shared" si="15"/>
        <v>102543.22</v>
      </c>
      <c r="AF53" s="17">
        <f t="shared" si="18"/>
        <v>0</v>
      </c>
      <c r="AG53" s="17">
        <f t="shared" si="19"/>
        <v>0</v>
      </c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66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</row>
    <row r="54" spans="1:123" s="19" customFormat="1" ht="18" customHeight="1" outlineLevel="2" x14ac:dyDescent="0.25">
      <c r="A54" s="48" t="s">
        <v>131</v>
      </c>
      <c r="B54" s="53"/>
      <c r="C54" s="49">
        <v>2900</v>
      </c>
      <c r="D54" s="68">
        <f>1438.91+1306.83</f>
        <v>2745.74</v>
      </c>
      <c r="E54" s="68">
        <v>2900</v>
      </c>
      <c r="F54" s="68">
        <v>1671.59</v>
      </c>
      <c r="G54" s="68">
        <v>2900</v>
      </c>
      <c r="H54" s="50">
        <f>3037.56+882.85</f>
        <v>3920.41</v>
      </c>
      <c r="I54" s="68">
        <v>2900</v>
      </c>
      <c r="J54" s="68">
        <f>2290.57+6240.97</f>
        <v>8531.5400000000009</v>
      </c>
      <c r="K54" s="68">
        <v>2900</v>
      </c>
      <c r="L54" s="68">
        <f>4963.25+1944.94</f>
        <v>6908.19</v>
      </c>
      <c r="M54" s="68">
        <v>2900</v>
      </c>
      <c r="N54" s="68">
        <f>2138.13+2701.83</f>
        <v>4839.96</v>
      </c>
      <c r="O54" s="68">
        <v>2900</v>
      </c>
      <c r="P54" s="68">
        <f>2784.63+2247.78</f>
        <v>5032.41</v>
      </c>
      <c r="Q54" s="68">
        <v>2900</v>
      </c>
      <c r="R54" s="68">
        <f>4045.26+538.22</f>
        <v>4583.4799999999996</v>
      </c>
      <c r="S54" s="68">
        <v>2900</v>
      </c>
      <c r="T54" s="68">
        <f>5534.35+3263</f>
        <v>8797.35</v>
      </c>
      <c r="U54" s="68">
        <v>2900</v>
      </c>
      <c r="V54" s="68">
        <v>24.209999999999798</v>
      </c>
      <c r="W54" s="68">
        <v>2900</v>
      </c>
      <c r="X54" s="68">
        <f>3111.98+1053.86</f>
        <v>4165.84</v>
      </c>
      <c r="Y54" s="68">
        <v>2900</v>
      </c>
      <c r="Z54" s="68">
        <v>4696.26</v>
      </c>
      <c r="AA54" s="51">
        <f t="shared" si="12"/>
        <v>34800</v>
      </c>
      <c r="AB54" s="51">
        <f t="shared" si="13"/>
        <v>55916.979999999989</v>
      </c>
      <c r="AC54" s="22"/>
      <c r="AD54" s="31">
        <f t="shared" si="14"/>
        <v>34800</v>
      </c>
      <c r="AE54" s="31">
        <f t="shared" si="15"/>
        <v>55916.979999999989</v>
      </c>
      <c r="AF54" s="17">
        <f t="shared" si="18"/>
        <v>0</v>
      </c>
      <c r="AG54" s="17">
        <f t="shared" si="19"/>
        <v>0</v>
      </c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61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</row>
    <row r="55" spans="1:123" s="19" customFormat="1" ht="18" customHeight="1" outlineLevel="2" x14ac:dyDescent="0.25">
      <c r="A55" s="48" t="s">
        <v>132</v>
      </c>
      <c r="B55" s="53"/>
      <c r="C55" s="49">
        <v>1400</v>
      </c>
      <c r="D55" s="68">
        <v>-47.12</v>
      </c>
      <c r="E55" s="68">
        <v>1400</v>
      </c>
      <c r="F55" s="68">
        <v>644.66999999999996</v>
      </c>
      <c r="G55" s="68">
        <v>1400</v>
      </c>
      <c r="H55" s="50">
        <v>1245.8599999999999</v>
      </c>
      <c r="I55" s="68">
        <v>1400</v>
      </c>
      <c r="J55" s="68">
        <v>882.67</v>
      </c>
      <c r="K55" s="68">
        <v>1400</v>
      </c>
      <c r="L55" s="68">
        <v>989.5</v>
      </c>
      <c r="M55" s="68">
        <v>1400</v>
      </c>
      <c r="N55" s="68">
        <v>205.15</v>
      </c>
      <c r="O55" s="68">
        <v>1400</v>
      </c>
      <c r="P55" s="68">
        <v>2878</v>
      </c>
      <c r="Q55" s="68">
        <v>1400</v>
      </c>
      <c r="R55" s="68">
        <v>1009.35</v>
      </c>
      <c r="S55" s="68">
        <v>1400</v>
      </c>
      <c r="T55" s="68">
        <v>834.87</v>
      </c>
      <c r="U55" s="68">
        <v>1400</v>
      </c>
      <c r="V55" s="68">
        <v>1140.02</v>
      </c>
      <c r="W55" s="68">
        <v>1400</v>
      </c>
      <c r="X55" s="68">
        <v>1458.29</v>
      </c>
      <c r="Y55" s="68">
        <v>1400</v>
      </c>
      <c r="Z55" s="68">
        <v>536.20000000000005</v>
      </c>
      <c r="AA55" s="51">
        <f t="shared" si="12"/>
        <v>16800</v>
      </c>
      <c r="AB55" s="51">
        <f t="shared" si="13"/>
        <v>11777.460000000003</v>
      </c>
      <c r="AC55" s="22"/>
      <c r="AD55" s="31">
        <f t="shared" si="14"/>
        <v>16800</v>
      </c>
      <c r="AE55" s="31">
        <f t="shared" si="15"/>
        <v>11777.460000000003</v>
      </c>
      <c r="AF55" s="17">
        <f t="shared" si="18"/>
        <v>0</v>
      </c>
      <c r="AG55" s="17">
        <f t="shared" si="19"/>
        <v>0</v>
      </c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61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</row>
    <row r="56" spans="1:123" s="19" customFormat="1" ht="18" customHeight="1" outlineLevel="2" x14ac:dyDescent="0.25">
      <c r="A56" s="48" t="s">
        <v>180</v>
      </c>
      <c r="B56" s="53"/>
      <c r="C56" s="49">
        <v>3510</v>
      </c>
      <c r="D56" s="68">
        <v>630</v>
      </c>
      <c r="E56" s="68">
        <v>3510</v>
      </c>
      <c r="F56" s="68">
        <v>1440</v>
      </c>
      <c r="G56" s="68">
        <v>3510</v>
      </c>
      <c r="H56" s="50">
        <v>2575.5300000000002</v>
      </c>
      <c r="I56" s="68">
        <v>3510</v>
      </c>
      <c r="J56" s="68">
        <v>2502.2800000000002</v>
      </c>
      <c r="K56" s="68">
        <v>3510</v>
      </c>
      <c r="L56" s="68">
        <v>2185</v>
      </c>
      <c r="M56" s="68">
        <v>3510</v>
      </c>
      <c r="N56" s="68">
        <v>2300</v>
      </c>
      <c r="O56" s="68">
        <v>3510</v>
      </c>
      <c r="P56" s="68">
        <v>2537.4</v>
      </c>
      <c r="Q56" s="68">
        <v>3510</v>
      </c>
      <c r="R56" s="68">
        <v>2215.5700000000002</v>
      </c>
      <c r="S56" s="68">
        <v>3510</v>
      </c>
      <c r="T56" s="68">
        <v>2345</v>
      </c>
      <c r="U56" s="68">
        <v>3510</v>
      </c>
      <c r="V56" s="68">
        <v>2095</v>
      </c>
      <c r="W56" s="68">
        <v>3510</v>
      </c>
      <c r="X56" s="68">
        <v>2510</v>
      </c>
      <c r="Y56" s="68">
        <v>3510</v>
      </c>
      <c r="Z56" s="68">
        <v>2520</v>
      </c>
      <c r="AA56" s="51">
        <f t="shared" si="12"/>
        <v>42120</v>
      </c>
      <c r="AB56" s="51">
        <f t="shared" si="13"/>
        <v>25855.780000000002</v>
      </c>
      <c r="AC56" s="22"/>
      <c r="AD56" s="31">
        <f t="shared" si="14"/>
        <v>42120</v>
      </c>
      <c r="AE56" s="31">
        <f t="shared" si="15"/>
        <v>25855.780000000002</v>
      </c>
      <c r="AF56" s="17">
        <f t="shared" si="18"/>
        <v>0</v>
      </c>
      <c r="AG56" s="17">
        <f t="shared" si="19"/>
        <v>0</v>
      </c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61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</row>
    <row r="57" spans="1:123" s="19" customFormat="1" ht="18" customHeight="1" outlineLevel="2" x14ac:dyDescent="0.25">
      <c r="A57" s="48" t="s">
        <v>134</v>
      </c>
      <c r="B57" s="53"/>
      <c r="C57" s="49">
        <v>900</v>
      </c>
      <c r="D57" s="68">
        <v>445</v>
      </c>
      <c r="E57" s="68">
        <v>900</v>
      </c>
      <c r="F57" s="68">
        <v>300</v>
      </c>
      <c r="G57" s="68">
        <v>900</v>
      </c>
      <c r="H57" s="50">
        <v>600</v>
      </c>
      <c r="I57" s="68">
        <v>900</v>
      </c>
      <c r="J57" s="68">
        <v>600</v>
      </c>
      <c r="K57" s="68">
        <v>900</v>
      </c>
      <c r="L57" s="68">
        <v>592</v>
      </c>
      <c r="M57" s="68">
        <v>900</v>
      </c>
      <c r="N57" s="68">
        <v>608</v>
      </c>
      <c r="O57" s="68">
        <v>900</v>
      </c>
      <c r="P57" s="68">
        <v>600</v>
      </c>
      <c r="Q57" s="68">
        <v>900</v>
      </c>
      <c r="R57" s="68">
        <v>600</v>
      </c>
      <c r="S57" s="68">
        <v>900</v>
      </c>
      <c r="T57" s="68">
        <v>600</v>
      </c>
      <c r="U57" s="68">
        <v>900</v>
      </c>
      <c r="V57" s="68">
        <v>600</v>
      </c>
      <c r="W57" s="68">
        <v>900</v>
      </c>
      <c r="X57" s="68">
        <v>600</v>
      </c>
      <c r="Y57" s="68">
        <v>900</v>
      </c>
      <c r="Z57" s="68">
        <v>600</v>
      </c>
      <c r="AA57" s="51">
        <f t="shared" si="12"/>
        <v>10800</v>
      </c>
      <c r="AB57" s="51">
        <f t="shared" si="13"/>
        <v>6745</v>
      </c>
      <c r="AC57" s="22"/>
      <c r="AD57" s="31">
        <f t="shared" si="14"/>
        <v>10800</v>
      </c>
      <c r="AE57" s="31">
        <f t="shared" si="15"/>
        <v>6745</v>
      </c>
      <c r="AF57" s="17">
        <f t="shared" si="18"/>
        <v>0</v>
      </c>
      <c r="AG57" s="17">
        <f t="shared" si="19"/>
        <v>0</v>
      </c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61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</row>
    <row r="58" spans="1:123" s="19" customFormat="1" ht="18" customHeight="1" outlineLevel="2" x14ac:dyDescent="0.25">
      <c r="A58" s="48" t="s">
        <v>135</v>
      </c>
      <c r="B58" s="53"/>
      <c r="C58" s="49">
        <v>300</v>
      </c>
      <c r="D58" s="68">
        <v>148</v>
      </c>
      <c r="E58" s="68">
        <v>300</v>
      </c>
      <c r="F58" s="68">
        <v>100</v>
      </c>
      <c r="G58" s="68">
        <v>300</v>
      </c>
      <c r="H58" s="50">
        <v>200</v>
      </c>
      <c r="I58" s="68">
        <v>300</v>
      </c>
      <c r="J58" s="68">
        <v>200</v>
      </c>
      <c r="K58" s="68">
        <v>300</v>
      </c>
      <c r="L58" s="68">
        <v>200</v>
      </c>
      <c r="M58" s="68">
        <v>300</v>
      </c>
      <c r="N58" s="68">
        <v>200</v>
      </c>
      <c r="O58" s="68">
        <v>300</v>
      </c>
      <c r="P58" s="68">
        <v>200</v>
      </c>
      <c r="Q58" s="68">
        <v>300</v>
      </c>
      <c r="R58" s="68">
        <v>200</v>
      </c>
      <c r="S58" s="68">
        <v>300</v>
      </c>
      <c r="T58" s="68">
        <v>200</v>
      </c>
      <c r="U58" s="68">
        <v>300</v>
      </c>
      <c r="V58" s="68">
        <v>200</v>
      </c>
      <c r="W58" s="68">
        <v>300</v>
      </c>
      <c r="X58" s="68">
        <v>200</v>
      </c>
      <c r="Y58" s="68">
        <v>300</v>
      </c>
      <c r="Z58" s="68">
        <v>200</v>
      </c>
      <c r="AA58" s="51">
        <f t="shared" si="12"/>
        <v>3600</v>
      </c>
      <c r="AB58" s="51">
        <f t="shared" si="13"/>
        <v>2248</v>
      </c>
      <c r="AC58" s="22"/>
      <c r="AD58" s="31">
        <f t="shared" si="14"/>
        <v>3600</v>
      </c>
      <c r="AE58" s="31">
        <f t="shared" si="15"/>
        <v>2248</v>
      </c>
      <c r="AF58" s="17">
        <f t="shared" si="18"/>
        <v>0</v>
      </c>
      <c r="AG58" s="17">
        <f t="shared" si="19"/>
        <v>0</v>
      </c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61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</row>
    <row r="59" spans="1:123" s="19" customFormat="1" ht="18" customHeight="1" outlineLevel="1" x14ac:dyDescent="0.25">
      <c r="A59" s="48" t="s">
        <v>136</v>
      </c>
      <c r="B59" s="53"/>
      <c r="C59" s="49">
        <v>2000</v>
      </c>
      <c r="D59" s="68">
        <v>3968.8</v>
      </c>
      <c r="E59" s="68">
        <v>2000</v>
      </c>
      <c r="F59" s="68">
        <v>0</v>
      </c>
      <c r="G59" s="68">
        <v>10000</v>
      </c>
      <c r="H59" s="50">
        <v>0</v>
      </c>
      <c r="I59" s="68">
        <v>2000</v>
      </c>
      <c r="J59" s="68">
        <v>-2231.8000000000002</v>
      </c>
      <c r="K59" s="68">
        <v>2000</v>
      </c>
      <c r="L59" s="68">
        <v>0</v>
      </c>
      <c r="M59" s="68">
        <v>2000</v>
      </c>
      <c r="N59" s="68">
        <v>0</v>
      </c>
      <c r="O59" s="68">
        <v>2000</v>
      </c>
      <c r="P59" s="68">
        <v>1154</v>
      </c>
      <c r="Q59" s="68">
        <v>2000</v>
      </c>
      <c r="R59" s="68">
        <v>827</v>
      </c>
      <c r="S59" s="68">
        <v>2000</v>
      </c>
      <c r="T59" s="68">
        <v>7151.68</v>
      </c>
      <c r="U59" s="68">
        <v>2000</v>
      </c>
      <c r="V59" s="68">
        <v>3659.7</v>
      </c>
      <c r="W59" s="68">
        <v>2000</v>
      </c>
      <c r="X59" s="68">
        <v>931.46</v>
      </c>
      <c r="Y59" s="68">
        <v>2000</v>
      </c>
      <c r="Z59" s="68">
        <v>904.8</v>
      </c>
      <c r="AA59" s="51">
        <f t="shared" si="12"/>
        <v>32000</v>
      </c>
      <c r="AB59" s="51">
        <f t="shared" si="13"/>
        <v>16365.64</v>
      </c>
      <c r="AC59" s="22"/>
      <c r="AD59" s="31">
        <f t="shared" si="14"/>
        <v>32000</v>
      </c>
      <c r="AE59" s="31">
        <f t="shared" si="15"/>
        <v>16365.64</v>
      </c>
      <c r="AF59" s="17">
        <f t="shared" si="18"/>
        <v>0</v>
      </c>
      <c r="AG59" s="17">
        <f t="shared" si="19"/>
        <v>0</v>
      </c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61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</row>
    <row r="60" spans="1:123" s="19" customFormat="1" ht="18" customHeight="1" outlineLevel="1" x14ac:dyDescent="0.25">
      <c r="A60" s="48" t="s">
        <v>137</v>
      </c>
      <c r="B60" s="53"/>
      <c r="C60" s="49"/>
      <c r="D60" s="68">
        <v>0</v>
      </c>
      <c r="E60" s="68"/>
      <c r="F60" s="68">
        <v>0</v>
      </c>
      <c r="G60" s="68"/>
      <c r="H60" s="50">
        <v>0</v>
      </c>
      <c r="I60" s="68"/>
      <c r="J60" s="68">
        <v>0</v>
      </c>
      <c r="K60" s="68"/>
      <c r="L60" s="68">
        <v>0</v>
      </c>
      <c r="M60" s="68"/>
      <c r="N60" s="68">
        <v>0</v>
      </c>
      <c r="O60" s="68"/>
      <c r="P60" s="68">
        <v>0</v>
      </c>
      <c r="Q60" s="68"/>
      <c r="R60" s="68">
        <v>0</v>
      </c>
      <c r="S60" s="68"/>
      <c r="T60" s="68">
        <v>0</v>
      </c>
      <c r="U60" s="68"/>
      <c r="V60" s="68">
        <v>0</v>
      </c>
      <c r="W60" s="68"/>
      <c r="X60" s="68">
        <v>0</v>
      </c>
      <c r="Y60" s="68"/>
      <c r="Z60" s="68">
        <v>0</v>
      </c>
      <c r="AA60" s="51">
        <f t="shared" si="12"/>
        <v>0</v>
      </c>
      <c r="AB60" s="51">
        <f t="shared" si="13"/>
        <v>0</v>
      </c>
      <c r="AC60" s="22"/>
      <c r="AD60" s="31">
        <f t="shared" si="14"/>
        <v>0</v>
      </c>
      <c r="AE60" s="31">
        <f t="shared" si="15"/>
        <v>0</v>
      </c>
      <c r="AF60" s="17">
        <f t="shared" si="18"/>
        <v>0</v>
      </c>
      <c r="AG60" s="17">
        <f t="shared" si="19"/>
        <v>0</v>
      </c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61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</row>
    <row r="61" spans="1:123" s="19" customFormat="1" ht="18" customHeight="1" outlineLevel="1" x14ac:dyDescent="0.25">
      <c r="A61" s="48" t="s">
        <v>138</v>
      </c>
      <c r="B61" s="53"/>
      <c r="C61" s="49"/>
      <c r="D61" s="68">
        <v>0</v>
      </c>
      <c r="E61" s="68"/>
      <c r="F61" s="68">
        <v>0</v>
      </c>
      <c r="G61" s="68"/>
      <c r="H61" s="50">
        <v>0</v>
      </c>
      <c r="I61" s="68"/>
      <c r="J61" s="68">
        <v>0</v>
      </c>
      <c r="K61" s="68"/>
      <c r="L61" s="68">
        <v>0</v>
      </c>
      <c r="M61" s="68"/>
      <c r="N61" s="68">
        <v>0</v>
      </c>
      <c r="O61" s="68"/>
      <c r="P61" s="68">
        <v>0</v>
      </c>
      <c r="Q61" s="68"/>
      <c r="R61" s="68">
        <v>0</v>
      </c>
      <c r="S61" s="68"/>
      <c r="T61" s="68">
        <v>0</v>
      </c>
      <c r="U61" s="68"/>
      <c r="V61" s="68">
        <v>0</v>
      </c>
      <c r="W61" s="68"/>
      <c r="X61" s="68">
        <v>0</v>
      </c>
      <c r="Y61" s="68"/>
      <c r="Z61" s="68">
        <v>0</v>
      </c>
      <c r="AA61" s="51">
        <f t="shared" si="12"/>
        <v>0</v>
      </c>
      <c r="AB61" s="51">
        <f t="shared" si="13"/>
        <v>0</v>
      </c>
      <c r="AC61" s="22"/>
      <c r="AD61" s="31">
        <f t="shared" si="14"/>
        <v>0</v>
      </c>
      <c r="AE61" s="31">
        <f t="shared" si="15"/>
        <v>0</v>
      </c>
      <c r="AF61" s="17">
        <f t="shared" si="18"/>
        <v>0</v>
      </c>
      <c r="AG61" s="17">
        <f t="shared" si="19"/>
        <v>0</v>
      </c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61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</row>
    <row r="62" spans="1:123" s="19" customFormat="1" ht="18" customHeight="1" outlineLevel="1" x14ac:dyDescent="0.25">
      <c r="A62" s="48" t="s">
        <v>139</v>
      </c>
      <c r="B62" s="53"/>
      <c r="C62" s="49"/>
      <c r="D62" s="68">
        <v>0</v>
      </c>
      <c r="E62" s="68"/>
      <c r="F62" s="68">
        <v>0</v>
      </c>
      <c r="G62" s="68"/>
      <c r="H62" s="50">
        <v>0</v>
      </c>
      <c r="I62" s="68"/>
      <c r="J62" s="68">
        <v>0</v>
      </c>
      <c r="K62" s="68"/>
      <c r="L62" s="68">
        <v>0</v>
      </c>
      <c r="M62" s="68"/>
      <c r="N62" s="68">
        <v>0</v>
      </c>
      <c r="O62" s="68"/>
      <c r="P62" s="68">
        <v>0</v>
      </c>
      <c r="Q62" s="68"/>
      <c r="R62" s="68">
        <v>0</v>
      </c>
      <c r="S62" s="68"/>
      <c r="T62" s="68">
        <v>0</v>
      </c>
      <c r="U62" s="68"/>
      <c r="V62" s="68">
        <v>0</v>
      </c>
      <c r="W62" s="68"/>
      <c r="X62" s="68">
        <v>0</v>
      </c>
      <c r="Y62" s="68"/>
      <c r="Z62" s="68">
        <v>0</v>
      </c>
      <c r="AA62" s="51">
        <f t="shared" si="12"/>
        <v>0</v>
      </c>
      <c r="AB62" s="51">
        <f t="shared" si="13"/>
        <v>0</v>
      </c>
      <c r="AC62" s="22"/>
      <c r="AD62" s="31">
        <f t="shared" si="14"/>
        <v>0</v>
      </c>
      <c r="AE62" s="31">
        <f t="shared" si="15"/>
        <v>0</v>
      </c>
      <c r="AF62" s="17">
        <f t="shared" si="18"/>
        <v>0</v>
      </c>
      <c r="AG62" s="17">
        <f t="shared" si="19"/>
        <v>0</v>
      </c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61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</row>
    <row r="63" spans="1:123" s="19" customFormat="1" ht="18" customHeight="1" outlineLevel="1" x14ac:dyDescent="0.25">
      <c r="A63" s="48" t="s">
        <v>140</v>
      </c>
      <c r="B63" s="53"/>
      <c r="C63" s="49"/>
      <c r="D63" s="68">
        <v>0</v>
      </c>
      <c r="E63" s="68"/>
      <c r="F63" s="68">
        <v>0</v>
      </c>
      <c r="G63" s="68"/>
      <c r="H63" s="50">
        <v>0</v>
      </c>
      <c r="I63" s="68"/>
      <c r="J63" s="68">
        <v>0</v>
      </c>
      <c r="K63" s="68"/>
      <c r="L63" s="68">
        <v>0</v>
      </c>
      <c r="M63" s="68"/>
      <c r="N63" s="68">
        <v>0</v>
      </c>
      <c r="O63" s="68"/>
      <c r="P63" s="68">
        <v>0</v>
      </c>
      <c r="Q63" s="68"/>
      <c r="R63" s="68">
        <v>0</v>
      </c>
      <c r="S63" s="68"/>
      <c r="T63" s="68">
        <v>0</v>
      </c>
      <c r="U63" s="68"/>
      <c r="V63" s="68">
        <v>0</v>
      </c>
      <c r="W63" s="68"/>
      <c r="X63" s="68">
        <v>0</v>
      </c>
      <c r="Y63" s="68"/>
      <c r="Z63" s="68">
        <v>0</v>
      </c>
      <c r="AA63" s="51">
        <f t="shared" si="12"/>
        <v>0</v>
      </c>
      <c r="AB63" s="51">
        <f t="shared" si="13"/>
        <v>0</v>
      </c>
      <c r="AC63" s="22"/>
      <c r="AD63" s="31">
        <f t="shared" si="14"/>
        <v>0</v>
      </c>
      <c r="AE63" s="31">
        <f t="shared" si="15"/>
        <v>0</v>
      </c>
      <c r="AF63" s="17">
        <f t="shared" si="18"/>
        <v>0</v>
      </c>
      <c r="AG63" s="17">
        <f t="shared" si="19"/>
        <v>0</v>
      </c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61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</row>
    <row r="64" spans="1:123" s="19" customFormat="1" ht="18" customHeight="1" outlineLevel="1" x14ac:dyDescent="0.25">
      <c r="A64" s="48" t="s">
        <v>141</v>
      </c>
      <c r="B64" s="53"/>
      <c r="C64" s="49">
        <v>2000</v>
      </c>
      <c r="D64" s="68">
        <v>1597</v>
      </c>
      <c r="E64" s="68">
        <v>2000</v>
      </c>
      <c r="F64" s="68">
        <v>1597</v>
      </c>
      <c r="G64" s="68">
        <v>2000</v>
      </c>
      <c r="H64" s="50">
        <v>1597</v>
      </c>
      <c r="I64" s="68">
        <v>2000</v>
      </c>
      <c r="J64" s="68">
        <v>1597</v>
      </c>
      <c r="K64" s="68">
        <v>2000</v>
      </c>
      <c r="L64" s="68">
        <v>1597</v>
      </c>
      <c r="M64" s="68">
        <v>2000</v>
      </c>
      <c r="N64" s="68">
        <v>1627</v>
      </c>
      <c r="O64" s="68">
        <v>2000</v>
      </c>
      <c r="P64" s="68">
        <v>1597</v>
      </c>
      <c r="Q64" s="68">
        <v>2000</v>
      </c>
      <c r="R64" s="68">
        <v>1597</v>
      </c>
      <c r="S64" s="68">
        <v>2000</v>
      </c>
      <c r="T64" s="68">
        <v>1500</v>
      </c>
      <c r="U64" s="68">
        <v>2000</v>
      </c>
      <c r="V64" s="68">
        <v>1597</v>
      </c>
      <c r="W64" s="68">
        <v>2000</v>
      </c>
      <c r="X64" s="68">
        <v>1597</v>
      </c>
      <c r="Y64" s="68">
        <v>2000</v>
      </c>
      <c r="Z64" s="68">
        <v>1597</v>
      </c>
      <c r="AA64" s="51">
        <f t="shared" si="12"/>
        <v>24000</v>
      </c>
      <c r="AB64" s="51">
        <f t="shared" si="13"/>
        <v>19097</v>
      </c>
      <c r="AC64" s="22"/>
      <c r="AD64" s="31">
        <f t="shared" si="14"/>
        <v>24000</v>
      </c>
      <c r="AE64" s="31">
        <f t="shared" si="15"/>
        <v>19097</v>
      </c>
      <c r="AF64" s="17">
        <f t="shared" si="18"/>
        <v>0</v>
      </c>
      <c r="AG64" s="17">
        <f t="shared" si="19"/>
        <v>0</v>
      </c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61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</row>
    <row r="65" spans="1:123" s="17" customFormat="1" ht="18" customHeight="1" outlineLevel="1" x14ac:dyDescent="0.25">
      <c r="A65" s="67" t="s">
        <v>142</v>
      </c>
      <c r="B65" s="45"/>
      <c r="C65" s="65">
        <f t="shared" ref="C65:Z65" si="23">SUM(C66:C69)</f>
        <v>0</v>
      </c>
      <c r="D65" s="65">
        <f t="shared" si="23"/>
        <v>0</v>
      </c>
      <c r="E65" s="65">
        <f t="shared" si="23"/>
        <v>0</v>
      </c>
      <c r="F65" s="65">
        <f t="shared" si="23"/>
        <v>0</v>
      </c>
      <c r="G65" s="65">
        <f t="shared" si="23"/>
        <v>0</v>
      </c>
      <c r="H65" s="65">
        <f t="shared" si="23"/>
        <v>0</v>
      </c>
      <c r="I65" s="65">
        <f t="shared" si="23"/>
        <v>0</v>
      </c>
      <c r="J65" s="65">
        <f t="shared" si="23"/>
        <v>0</v>
      </c>
      <c r="K65" s="65">
        <f t="shared" si="23"/>
        <v>0</v>
      </c>
      <c r="L65" s="65">
        <f t="shared" si="23"/>
        <v>0</v>
      </c>
      <c r="M65" s="65">
        <f t="shared" si="23"/>
        <v>0</v>
      </c>
      <c r="N65" s="65">
        <f t="shared" si="23"/>
        <v>0</v>
      </c>
      <c r="O65" s="65">
        <f t="shared" si="23"/>
        <v>0</v>
      </c>
      <c r="P65" s="65">
        <f t="shared" si="23"/>
        <v>0</v>
      </c>
      <c r="Q65" s="65">
        <f t="shared" si="23"/>
        <v>0</v>
      </c>
      <c r="R65" s="65">
        <f t="shared" si="23"/>
        <v>0</v>
      </c>
      <c r="S65" s="65">
        <f t="shared" si="23"/>
        <v>0</v>
      </c>
      <c r="T65" s="65">
        <f t="shared" si="23"/>
        <v>0</v>
      </c>
      <c r="U65" s="65">
        <f t="shared" si="23"/>
        <v>0</v>
      </c>
      <c r="V65" s="65">
        <f t="shared" si="23"/>
        <v>0</v>
      </c>
      <c r="W65" s="65">
        <f t="shared" si="23"/>
        <v>0</v>
      </c>
      <c r="X65" s="65">
        <f t="shared" si="23"/>
        <v>0</v>
      </c>
      <c r="Y65" s="65">
        <f t="shared" si="23"/>
        <v>0</v>
      </c>
      <c r="Z65" s="65">
        <f t="shared" si="23"/>
        <v>0</v>
      </c>
      <c r="AA65" s="47">
        <f t="shared" si="12"/>
        <v>0</v>
      </c>
      <c r="AB65" s="51">
        <f t="shared" si="13"/>
        <v>0</v>
      </c>
      <c r="AC65" s="21"/>
      <c r="AD65" s="31">
        <f t="shared" si="14"/>
        <v>0</v>
      </c>
      <c r="AE65" s="31">
        <f t="shared" si="15"/>
        <v>0</v>
      </c>
      <c r="AF65" s="17">
        <f t="shared" si="18"/>
        <v>0</v>
      </c>
      <c r="AG65" s="17">
        <f t="shared" si="19"/>
        <v>0</v>
      </c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66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</row>
    <row r="66" spans="1:123" s="19" customFormat="1" ht="18" customHeight="1" outlineLevel="2" x14ac:dyDescent="0.25">
      <c r="A66" s="48" t="s">
        <v>143</v>
      </c>
      <c r="B66" s="53"/>
      <c r="C66" s="49"/>
      <c r="D66" s="68">
        <v>0</v>
      </c>
      <c r="E66" s="68"/>
      <c r="F66" s="68">
        <v>0</v>
      </c>
      <c r="G66" s="68"/>
      <c r="H66" s="50">
        <v>0</v>
      </c>
      <c r="I66" s="68"/>
      <c r="J66" s="68">
        <v>0</v>
      </c>
      <c r="K66" s="68"/>
      <c r="L66" s="68">
        <v>0</v>
      </c>
      <c r="M66" s="68"/>
      <c r="N66" s="68">
        <v>0</v>
      </c>
      <c r="O66" s="68"/>
      <c r="P66" s="68">
        <v>0</v>
      </c>
      <c r="Q66" s="68"/>
      <c r="R66" s="68">
        <v>0</v>
      </c>
      <c r="S66" s="68"/>
      <c r="T66" s="68">
        <v>0</v>
      </c>
      <c r="U66" s="68"/>
      <c r="V66" s="68">
        <v>0</v>
      </c>
      <c r="W66" s="68"/>
      <c r="X66" s="68">
        <v>0</v>
      </c>
      <c r="Y66" s="68"/>
      <c r="Z66" s="68">
        <v>0</v>
      </c>
      <c r="AA66" s="51">
        <f t="shared" si="12"/>
        <v>0</v>
      </c>
      <c r="AB66" s="51">
        <f t="shared" si="13"/>
        <v>0</v>
      </c>
      <c r="AC66" s="22"/>
      <c r="AD66" s="31">
        <f t="shared" si="14"/>
        <v>0</v>
      </c>
      <c r="AE66" s="31">
        <f t="shared" si="15"/>
        <v>0</v>
      </c>
      <c r="AF66" s="17">
        <f t="shared" si="18"/>
        <v>0</v>
      </c>
      <c r="AG66" s="17">
        <f t="shared" si="19"/>
        <v>0</v>
      </c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61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</row>
    <row r="67" spans="1:123" s="19" customFormat="1" ht="18" customHeight="1" outlineLevel="2" x14ac:dyDescent="0.25">
      <c r="A67" s="48" t="s">
        <v>144</v>
      </c>
      <c r="B67" s="53"/>
      <c r="C67" s="49"/>
      <c r="D67" s="68">
        <v>0</v>
      </c>
      <c r="E67" s="68"/>
      <c r="F67" s="68">
        <v>0</v>
      </c>
      <c r="G67" s="68"/>
      <c r="H67" s="50">
        <v>0</v>
      </c>
      <c r="I67" s="68"/>
      <c r="J67" s="68">
        <v>0</v>
      </c>
      <c r="K67" s="68"/>
      <c r="L67" s="68">
        <v>0</v>
      </c>
      <c r="M67" s="68"/>
      <c r="N67" s="68">
        <v>0</v>
      </c>
      <c r="O67" s="68"/>
      <c r="P67" s="68">
        <v>0</v>
      </c>
      <c r="Q67" s="68"/>
      <c r="R67" s="68">
        <v>0</v>
      </c>
      <c r="S67" s="68"/>
      <c r="T67" s="68">
        <v>0</v>
      </c>
      <c r="U67" s="68"/>
      <c r="V67" s="68">
        <v>0</v>
      </c>
      <c r="W67" s="68"/>
      <c r="X67" s="68">
        <v>0</v>
      </c>
      <c r="Y67" s="68"/>
      <c r="Z67" s="68">
        <v>0</v>
      </c>
      <c r="AA67" s="51">
        <f t="shared" si="12"/>
        <v>0</v>
      </c>
      <c r="AB67" s="51">
        <f t="shared" si="13"/>
        <v>0</v>
      </c>
      <c r="AC67" s="22"/>
      <c r="AD67" s="31">
        <f t="shared" si="14"/>
        <v>0</v>
      </c>
      <c r="AE67" s="31">
        <f t="shared" si="15"/>
        <v>0</v>
      </c>
      <c r="AF67" s="17">
        <f t="shared" si="18"/>
        <v>0</v>
      </c>
      <c r="AG67" s="17">
        <f t="shared" si="19"/>
        <v>0</v>
      </c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61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</row>
    <row r="68" spans="1:123" s="19" customFormat="1" ht="18" customHeight="1" outlineLevel="2" x14ac:dyDescent="0.25">
      <c r="A68" s="48" t="s">
        <v>145</v>
      </c>
      <c r="B68" s="53"/>
      <c r="C68" s="49"/>
      <c r="D68" s="68">
        <v>0</v>
      </c>
      <c r="E68" s="68"/>
      <c r="F68" s="68">
        <v>0</v>
      </c>
      <c r="G68" s="68"/>
      <c r="H68" s="50">
        <v>0</v>
      </c>
      <c r="I68" s="68"/>
      <c r="J68" s="68">
        <v>0</v>
      </c>
      <c r="K68" s="68"/>
      <c r="L68" s="68">
        <v>0</v>
      </c>
      <c r="M68" s="68"/>
      <c r="N68" s="68">
        <v>0</v>
      </c>
      <c r="O68" s="68"/>
      <c r="P68" s="68">
        <v>0</v>
      </c>
      <c r="Q68" s="68"/>
      <c r="R68" s="68">
        <v>0</v>
      </c>
      <c r="S68" s="68"/>
      <c r="T68" s="68">
        <v>0</v>
      </c>
      <c r="U68" s="68"/>
      <c r="V68" s="68">
        <v>0</v>
      </c>
      <c r="W68" s="68"/>
      <c r="X68" s="68">
        <v>0</v>
      </c>
      <c r="Y68" s="68"/>
      <c r="Z68" s="68">
        <v>0</v>
      </c>
      <c r="AA68" s="51">
        <f t="shared" si="12"/>
        <v>0</v>
      </c>
      <c r="AB68" s="51">
        <f t="shared" si="13"/>
        <v>0</v>
      </c>
      <c r="AC68" s="22"/>
      <c r="AD68" s="31">
        <f t="shared" si="14"/>
        <v>0</v>
      </c>
      <c r="AE68" s="31">
        <f t="shared" si="15"/>
        <v>0</v>
      </c>
      <c r="AF68" s="17">
        <f t="shared" si="18"/>
        <v>0</v>
      </c>
      <c r="AG68" s="17">
        <f t="shared" si="19"/>
        <v>0</v>
      </c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61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</row>
    <row r="69" spans="1:123" s="19" customFormat="1" ht="18" customHeight="1" outlineLevel="2" x14ac:dyDescent="0.25">
      <c r="A69" s="48" t="s">
        <v>146</v>
      </c>
      <c r="B69" s="53"/>
      <c r="C69" s="49"/>
      <c r="D69" s="68">
        <v>0</v>
      </c>
      <c r="E69" s="68"/>
      <c r="F69" s="68">
        <v>0</v>
      </c>
      <c r="G69" s="68"/>
      <c r="H69" s="50">
        <v>0</v>
      </c>
      <c r="I69" s="68"/>
      <c r="J69" s="68">
        <v>0</v>
      </c>
      <c r="K69" s="68"/>
      <c r="L69" s="68">
        <v>0</v>
      </c>
      <c r="M69" s="68"/>
      <c r="N69" s="68">
        <v>0</v>
      </c>
      <c r="O69" s="68"/>
      <c r="P69" s="68">
        <v>0</v>
      </c>
      <c r="Q69" s="68"/>
      <c r="R69" s="68">
        <v>0</v>
      </c>
      <c r="S69" s="68"/>
      <c r="T69" s="68">
        <v>0</v>
      </c>
      <c r="U69" s="68"/>
      <c r="V69" s="68">
        <v>0</v>
      </c>
      <c r="W69" s="68"/>
      <c r="X69" s="68">
        <v>0</v>
      </c>
      <c r="Y69" s="68"/>
      <c r="Z69" s="68">
        <v>0</v>
      </c>
      <c r="AA69" s="51">
        <f t="shared" si="12"/>
        <v>0</v>
      </c>
      <c r="AB69" s="51">
        <f t="shared" si="13"/>
        <v>0</v>
      </c>
      <c r="AC69" s="22"/>
      <c r="AD69" s="31">
        <f t="shared" si="14"/>
        <v>0</v>
      </c>
      <c r="AE69" s="31">
        <f t="shared" si="15"/>
        <v>0</v>
      </c>
      <c r="AF69" s="17">
        <f t="shared" si="18"/>
        <v>0</v>
      </c>
      <c r="AG69" s="17">
        <f t="shared" si="19"/>
        <v>0</v>
      </c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61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</row>
    <row r="70" spans="1:123" s="19" customFormat="1" ht="18" customHeight="1" outlineLevel="1" x14ac:dyDescent="0.25">
      <c r="A70" s="48" t="s">
        <v>147</v>
      </c>
      <c r="B70" s="53"/>
      <c r="C70" s="49"/>
      <c r="D70" s="68">
        <v>0</v>
      </c>
      <c r="E70" s="68"/>
      <c r="F70" s="68">
        <v>0</v>
      </c>
      <c r="G70" s="68"/>
      <c r="H70" s="50">
        <v>0</v>
      </c>
      <c r="I70" s="68"/>
      <c r="J70" s="68">
        <v>0</v>
      </c>
      <c r="K70" s="68"/>
      <c r="L70" s="68">
        <v>0</v>
      </c>
      <c r="M70" s="68"/>
      <c r="N70" s="68">
        <v>0</v>
      </c>
      <c r="O70" s="68"/>
      <c r="P70" s="68">
        <v>0</v>
      </c>
      <c r="Q70" s="68"/>
      <c r="R70" s="68">
        <v>0</v>
      </c>
      <c r="S70" s="68"/>
      <c r="T70" s="68">
        <v>0</v>
      </c>
      <c r="U70" s="68"/>
      <c r="V70" s="68">
        <v>0</v>
      </c>
      <c r="W70" s="68"/>
      <c r="X70" s="68">
        <v>0</v>
      </c>
      <c r="Y70" s="68"/>
      <c r="Z70" s="68">
        <v>0</v>
      </c>
      <c r="AA70" s="51">
        <f t="shared" si="12"/>
        <v>0</v>
      </c>
      <c r="AB70" s="51">
        <f t="shared" si="13"/>
        <v>0</v>
      </c>
      <c r="AC70" s="22"/>
      <c r="AD70" s="31">
        <f t="shared" si="14"/>
        <v>0</v>
      </c>
      <c r="AE70" s="31">
        <f t="shared" si="15"/>
        <v>0</v>
      </c>
      <c r="AF70" s="17">
        <f t="shared" si="18"/>
        <v>0</v>
      </c>
      <c r="AG70" s="17">
        <f t="shared" si="19"/>
        <v>0</v>
      </c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61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</row>
    <row r="71" spans="1:123" s="19" customFormat="1" ht="18" customHeight="1" outlineLevel="1" x14ac:dyDescent="0.25">
      <c r="A71" s="48" t="s">
        <v>148</v>
      </c>
      <c r="B71" s="53"/>
      <c r="C71" s="49">
        <v>0</v>
      </c>
      <c r="D71" s="68">
        <v>0</v>
      </c>
      <c r="E71" s="68">
        <v>0</v>
      </c>
      <c r="F71" s="68">
        <v>0</v>
      </c>
      <c r="G71" s="68">
        <v>900</v>
      </c>
      <c r="H71" s="50">
        <v>0</v>
      </c>
      <c r="I71" s="68">
        <v>0</v>
      </c>
      <c r="J71" s="68">
        <v>0</v>
      </c>
      <c r="K71" s="68">
        <v>0</v>
      </c>
      <c r="L71" s="68">
        <v>0</v>
      </c>
      <c r="M71" s="68">
        <v>0</v>
      </c>
      <c r="N71" s="68">
        <v>0</v>
      </c>
      <c r="O71" s="68">
        <v>0</v>
      </c>
      <c r="P71" s="68">
        <v>0</v>
      </c>
      <c r="Q71" s="68">
        <v>0</v>
      </c>
      <c r="R71" s="68">
        <v>0</v>
      </c>
      <c r="S71" s="68">
        <v>0</v>
      </c>
      <c r="T71" s="68">
        <v>0</v>
      </c>
      <c r="U71" s="68">
        <v>0</v>
      </c>
      <c r="V71" s="68">
        <v>0</v>
      </c>
      <c r="W71" s="68">
        <v>0</v>
      </c>
      <c r="X71" s="68">
        <v>0</v>
      </c>
      <c r="Y71" s="68">
        <v>0</v>
      </c>
      <c r="Z71" s="68">
        <v>0</v>
      </c>
      <c r="AA71" s="51">
        <f t="shared" si="12"/>
        <v>900</v>
      </c>
      <c r="AB71" s="51">
        <f t="shared" si="13"/>
        <v>0</v>
      </c>
      <c r="AC71" s="22"/>
      <c r="AD71" s="31">
        <f t="shared" si="14"/>
        <v>900</v>
      </c>
      <c r="AE71" s="31">
        <f t="shared" si="15"/>
        <v>0</v>
      </c>
      <c r="AF71" s="17">
        <f t="shared" si="18"/>
        <v>0</v>
      </c>
      <c r="AG71" s="17">
        <f t="shared" si="19"/>
        <v>0</v>
      </c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61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</row>
    <row r="72" spans="1:123" s="19" customFormat="1" ht="18" customHeight="1" outlineLevel="1" x14ac:dyDescent="0.25">
      <c r="A72" s="48" t="s">
        <v>149</v>
      </c>
      <c r="B72" s="53"/>
      <c r="C72" s="49"/>
      <c r="D72" s="68">
        <v>0</v>
      </c>
      <c r="E72" s="68"/>
      <c r="F72" s="68">
        <v>0</v>
      </c>
      <c r="G72" s="68"/>
      <c r="H72" s="50">
        <v>0</v>
      </c>
      <c r="I72" s="68"/>
      <c r="J72" s="68">
        <v>0</v>
      </c>
      <c r="K72" s="68"/>
      <c r="L72" s="68">
        <v>0</v>
      </c>
      <c r="M72" s="68"/>
      <c r="N72" s="68">
        <v>0</v>
      </c>
      <c r="O72" s="68"/>
      <c r="P72" s="68">
        <v>0</v>
      </c>
      <c r="Q72" s="68"/>
      <c r="R72" s="68">
        <v>0</v>
      </c>
      <c r="S72" s="68"/>
      <c r="T72" s="68">
        <v>0</v>
      </c>
      <c r="U72" s="68"/>
      <c r="V72" s="68">
        <v>0</v>
      </c>
      <c r="W72" s="68"/>
      <c r="X72" s="68">
        <v>0</v>
      </c>
      <c r="Y72" s="68"/>
      <c r="Z72" s="68">
        <v>0</v>
      </c>
      <c r="AA72" s="51">
        <f t="shared" si="12"/>
        <v>0</v>
      </c>
      <c r="AB72" s="51">
        <f t="shared" si="13"/>
        <v>0</v>
      </c>
      <c r="AC72" s="22"/>
      <c r="AD72" s="31">
        <f t="shared" si="14"/>
        <v>0</v>
      </c>
      <c r="AE72" s="31">
        <f t="shared" si="15"/>
        <v>0</v>
      </c>
      <c r="AF72" s="17">
        <f t="shared" si="18"/>
        <v>0</v>
      </c>
      <c r="AG72" s="17">
        <f t="shared" si="19"/>
        <v>0</v>
      </c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61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</row>
    <row r="73" spans="1:123" s="19" customFormat="1" ht="18" customHeight="1" outlineLevel="1" x14ac:dyDescent="0.25">
      <c r="A73" s="48" t="s">
        <v>150</v>
      </c>
      <c r="B73" s="53"/>
      <c r="C73" s="49">
        <v>625</v>
      </c>
      <c r="D73" s="68">
        <v>148.61000000000001</v>
      </c>
      <c r="E73" s="68">
        <v>625</v>
      </c>
      <c r="F73" s="68">
        <v>581.44000000000005</v>
      </c>
      <c r="G73" s="68">
        <v>625</v>
      </c>
      <c r="H73" s="50">
        <v>842.99</v>
      </c>
      <c r="I73" s="68">
        <v>625</v>
      </c>
      <c r="J73" s="68">
        <v>1364.9</v>
      </c>
      <c r="K73" s="68">
        <v>625</v>
      </c>
      <c r="L73" s="68">
        <v>534.91999999999996</v>
      </c>
      <c r="M73" s="68">
        <v>625</v>
      </c>
      <c r="N73" s="68">
        <v>455.17</v>
      </c>
      <c r="O73" s="68">
        <v>625</v>
      </c>
      <c r="P73" s="68">
        <v>733.25</v>
      </c>
      <c r="Q73" s="68">
        <v>625</v>
      </c>
      <c r="R73" s="68">
        <v>593.12</v>
      </c>
      <c r="S73" s="68">
        <v>625</v>
      </c>
      <c r="T73" s="68">
        <v>386.21</v>
      </c>
      <c r="U73" s="68">
        <v>625</v>
      </c>
      <c r="V73" s="68">
        <v>330.65</v>
      </c>
      <c r="W73" s="68">
        <v>625</v>
      </c>
      <c r="X73" s="68">
        <v>299.49</v>
      </c>
      <c r="Y73" s="68">
        <v>625</v>
      </c>
      <c r="Z73" s="68">
        <v>426.39</v>
      </c>
      <c r="AA73" s="51">
        <f t="shared" si="12"/>
        <v>7500</v>
      </c>
      <c r="AB73" s="51">
        <f t="shared" si="13"/>
        <v>6697.14</v>
      </c>
      <c r="AC73" s="22"/>
      <c r="AD73" s="31">
        <f t="shared" si="14"/>
        <v>7500</v>
      </c>
      <c r="AE73" s="31">
        <f t="shared" si="15"/>
        <v>6697.14</v>
      </c>
      <c r="AF73" s="17">
        <f t="shared" si="18"/>
        <v>0</v>
      </c>
      <c r="AG73" s="17">
        <f t="shared" si="19"/>
        <v>0</v>
      </c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61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</row>
    <row r="74" spans="1:123" s="19" customFormat="1" ht="18" customHeight="1" outlineLevel="1" x14ac:dyDescent="0.25">
      <c r="A74" s="48" t="s">
        <v>151</v>
      </c>
      <c r="B74" s="53"/>
      <c r="C74" s="49"/>
      <c r="D74" s="68">
        <v>0</v>
      </c>
      <c r="E74" s="68"/>
      <c r="F74" s="68">
        <v>0</v>
      </c>
      <c r="G74" s="68"/>
      <c r="H74" s="50">
        <v>0</v>
      </c>
      <c r="I74" s="68"/>
      <c r="J74" s="68">
        <v>0</v>
      </c>
      <c r="K74" s="68"/>
      <c r="L74" s="68">
        <v>0</v>
      </c>
      <c r="M74" s="68"/>
      <c r="N74" s="68">
        <v>0</v>
      </c>
      <c r="O74" s="68"/>
      <c r="P74" s="68">
        <v>0</v>
      </c>
      <c r="Q74" s="68"/>
      <c r="R74" s="68">
        <v>0</v>
      </c>
      <c r="S74" s="68"/>
      <c r="T74" s="68">
        <v>0</v>
      </c>
      <c r="U74" s="68"/>
      <c r="V74" s="68">
        <v>0</v>
      </c>
      <c r="W74" s="68"/>
      <c r="X74" s="68">
        <v>0</v>
      </c>
      <c r="Y74" s="68"/>
      <c r="Z74" s="68">
        <v>0</v>
      </c>
      <c r="AA74" s="51">
        <f t="shared" si="12"/>
        <v>0</v>
      </c>
      <c r="AB74" s="51">
        <f t="shared" si="13"/>
        <v>0</v>
      </c>
      <c r="AC74" s="22"/>
      <c r="AD74" s="31">
        <f t="shared" si="14"/>
        <v>0</v>
      </c>
      <c r="AE74" s="31">
        <f t="shared" si="15"/>
        <v>0</v>
      </c>
      <c r="AF74" s="17">
        <f t="shared" si="18"/>
        <v>0</v>
      </c>
      <c r="AG74" s="17">
        <f t="shared" si="19"/>
        <v>0</v>
      </c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61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</row>
    <row r="75" spans="1:123" s="19" customFormat="1" ht="18" customHeight="1" outlineLevel="1" x14ac:dyDescent="0.25">
      <c r="A75" s="48" t="s">
        <v>152</v>
      </c>
      <c r="B75" s="53"/>
      <c r="C75" s="49"/>
      <c r="D75" s="68">
        <v>0</v>
      </c>
      <c r="E75" s="68"/>
      <c r="F75" s="68">
        <v>0</v>
      </c>
      <c r="G75" s="68"/>
      <c r="H75" s="50">
        <v>0</v>
      </c>
      <c r="I75" s="68"/>
      <c r="J75" s="68">
        <v>0</v>
      </c>
      <c r="K75" s="68"/>
      <c r="L75" s="68">
        <v>0</v>
      </c>
      <c r="M75" s="68"/>
      <c r="N75" s="68">
        <v>0</v>
      </c>
      <c r="O75" s="68"/>
      <c r="P75" s="68">
        <v>0</v>
      </c>
      <c r="Q75" s="68"/>
      <c r="R75" s="68">
        <v>0</v>
      </c>
      <c r="S75" s="68"/>
      <c r="T75" s="68">
        <v>0</v>
      </c>
      <c r="U75" s="68"/>
      <c r="V75" s="68">
        <v>0</v>
      </c>
      <c r="W75" s="68"/>
      <c r="X75" s="68">
        <v>0</v>
      </c>
      <c r="Y75" s="68"/>
      <c r="Z75" s="68">
        <v>0</v>
      </c>
      <c r="AA75" s="51">
        <f t="shared" si="12"/>
        <v>0</v>
      </c>
      <c r="AB75" s="51">
        <f t="shared" si="13"/>
        <v>0</v>
      </c>
      <c r="AC75" s="22"/>
      <c r="AD75" s="31">
        <f t="shared" si="14"/>
        <v>0</v>
      </c>
      <c r="AE75" s="31">
        <f t="shared" si="15"/>
        <v>0</v>
      </c>
      <c r="AF75" s="17">
        <f t="shared" si="18"/>
        <v>0</v>
      </c>
      <c r="AG75" s="17">
        <f t="shared" si="19"/>
        <v>0</v>
      </c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61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</row>
    <row r="76" spans="1:123" s="19" customFormat="1" ht="18" customHeight="1" outlineLevel="1" x14ac:dyDescent="0.25">
      <c r="A76" s="48" t="s">
        <v>153</v>
      </c>
      <c r="B76" s="53"/>
      <c r="C76" s="49"/>
      <c r="D76" s="68">
        <v>0</v>
      </c>
      <c r="E76" s="68"/>
      <c r="F76" s="68">
        <v>1450</v>
      </c>
      <c r="G76" s="68"/>
      <c r="H76" s="50">
        <v>0</v>
      </c>
      <c r="I76" s="68"/>
      <c r="J76" s="68">
        <v>248</v>
      </c>
      <c r="K76" s="68"/>
      <c r="L76" s="68">
        <v>0</v>
      </c>
      <c r="M76" s="68"/>
      <c r="N76" s="68">
        <v>0</v>
      </c>
      <c r="O76" s="68"/>
      <c r="P76" s="68">
        <v>0</v>
      </c>
      <c r="Q76" s="68"/>
      <c r="R76" s="68">
        <v>0</v>
      </c>
      <c r="S76" s="68"/>
      <c r="T76" s="68">
        <v>0</v>
      </c>
      <c r="U76" s="68"/>
      <c r="V76" s="68">
        <v>0</v>
      </c>
      <c r="W76" s="68"/>
      <c r="X76" s="68">
        <v>0</v>
      </c>
      <c r="Y76" s="68"/>
      <c r="Z76" s="68">
        <v>0</v>
      </c>
      <c r="AA76" s="51">
        <f t="shared" si="12"/>
        <v>0</v>
      </c>
      <c r="AB76" s="51">
        <f t="shared" si="13"/>
        <v>1698</v>
      </c>
      <c r="AC76" s="22"/>
      <c r="AD76" s="31">
        <f t="shared" si="14"/>
        <v>0</v>
      </c>
      <c r="AE76" s="31">
        <f t="shared" si="15"/>
        <v>1698</v>
      </c>
      <c r="AF76" s="17">
        <f t="shared" si="18"/>
        <v>0</v>
      </c>
      <c r="AG76" s="17">
        <f t="shared" si="19"/>
        <v>0</v>
      </c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61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</row>
    <row r="77" spans="1:123" s="19" customFormat="1" ht="18" customHeight="1" outlineLevel="1" x14ac:dyDescent="0.25">
      <c r="A77" s="48" t="s">
        <v>154</v>
      </c>
      <c r="B77" s="53"/>
      <c r="C77" s="49"/>
      <c r="D77" s="68">
        <v>0</v>
      </c>
      <c r="E77" s="68"/>
      <c r="F77" s="68">
        <v>0</v>
      </c>
      <c r="G77" s="68"/>
      <c r="H77" s="50">
        <v>0</v>
      </c>
      <c r="I77" s="68"/>
      <c r="J77" s="68">
        <v>0</v>
      </c>
      <c r="K77" s="68"/>
      <c r="L77" s="68">
        <v>0</v>
      </c>
      <c r="M77" s="68"/>
      <c r="N77" s="68">
        <v>0</v>
      </c>
      <c r="O77" s="68"/>
      <c r="P77" s="68">
        <v>0</v>
      </c>
      <c r="Q77" s="68"/>
      <c r="R77" s="68">
        <v>0</v>
      </c>
      <c r="S77" s="68">
        <v>20000</v>
      </c>
      <c r="T77" s="68">
        <v>3809.92</v>
      </c>
      <c r="U77" s="68"/>
      <c r="V77" s="68">
        <v>-98.5</v>
      </c>
      <c r="W77" s="68"/>
      <c r="X77" s="68">
        <v>0</v>
      </c>
      <c r="Y77" s="68"/>
      <c r="Z77" s="68">
        <v>0</v>
      </c>
      <c r="AA77" s="51">
        <f t="shared" si="12"/>
        <v>20000</v>
      </c>
      <c r="AB77" s="51">
        <f t="shared" si="13"/>
        <v>3711.42</v>
      </c>
      <c r="AC77" s="22"/>
      <c r="AD77" s="31">
        <f t="shared" si="14"/>
        <v>20000</v>
      </c>
      <c r="AE77" s="31">
        <f t="shared" si="15"/>
        <v>3711.42</v>
      </c>
      <c r="AF77" s="17">
        <f t="shared" si="18"/>
        <v>0</v>
      </c>
      <c r="AG77" s="17">
        <f t="shared" si="19"/>
        <v>0</v>
      </c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61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</row>
    <row r="78" spans="1:123" s="19" customFormat="1" ht="18" customHeight="1" outlineLevel="1" x14ac:dyDescent="0.25">
      <c r="A78" s="48" t="s">
        <v>155</v>
      </c>
      <c r="B78" s="53"/>
      <c r="C78" s="49"/>
      <c r="D78" s="68">
        <v>0</v>
      </c>
      <c r="E78" s="68"/>
      <c r="F78" s="68">
        <v>0</v>
      </c>
      <c r="G78" s="68"/>
      <c r="H78" s="50">
        <v>0</v>
      </c>
      <c r="I78" s="68"/>
      <c r="J78" s="68">
        <v>0</v>
      </c>
      <c r="K78" s="68"/>
      <c r="L78" s="68">
        <v>0</v>
      </c>
      <c r="M78" s="68"/>
      <c r="N78" s="68">
        <v>0</v>
      </c>
      <c r="O78" s="68"/>
      <c r="P78" s="68">
        <v>0</v>
      </c>
      <c r="Q78" s="68"/>
      <c r="R78" s="68">
        <v>0</v>
      </c>
      <c r="S78" s="68"/>
      <c r="T78" s="68">
        <v>0</v>
      </c>
      <c r="U78" s="68"/>
      <c r="V78" s="68">
        <v>0</v>
      </c>
      <c r="W78" s="68"/>
      <c r="X78" s="68">
        <v>0</v>
      </c>
      <c r="Y78" s="68"/>
      <c r="Z78" s="68">
        <v>0</v>
      </c>
      <c r="AA78" s="51">
        <f t="shared" si="12"/>
        <v>0</v>
      </c>
      <c r="AB78" s="51">
        <f t="shared" si="13"/>
        <v>0</v>
      </c>
      <c r="AC78" s="22"/>
      <c r="AD78" s="31">
        <f t="shared" si="14"/>
        <v>0</v>
      </c>
      <c r="AE78" s="31">
        <f t="shared" si="15"/>
        <v>0</v>
      </c>
      <c r="AF78" s="17">
        <f t="shared" si="18"/>
        <v>0</v>
      </c>
      <c r="AG78" s="17">
        <f t="shared" si="19"/>
        <v>0</v>
      </c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61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</row>
    <row r="79" spans="1:123" s="19" customFormat="1" ht="18" customHeight="1" outlineLevel="1" x14ac:dyDescent="0.25">
      <c r="A79" s="48" t="s">
        <v>156</v>
      </c>
      <c r="B79" s="53"/>
      <c r="C79" s="49">
        <v>833.33</v>
      </c>
      <c r="D79" s="68">
        <v>0</v>
      </c>
      <c r="E79" s="68">
        <v>833.33</v>
      </c>
      <c r="F79" s="68">
        <v>0</v>
      </c>
      <c r="G79" s="68">
        <v>833.33</v>
      </c>
      <c r="H79" s="50">
        <v>0</v>
      </c>
      <c r="I79" s="68">
        <v>833.33</v>
      </c>
      <c r="J79" s="68">
        <v>0</v>
      </c>
      <c r="K79" s="68">
        <v>833.33</v>
      </c>
      <c r="L79" s="68">
        <v>0</v>
      </c>
      <c r="M79" s="68">
        <v>833.33</v>
      </c>
      <c r="N79" s="68">
        <v>0</v>
      </c>
      <c r="O79" s="68">
        <v>833.33</v>
      </c>
      <c r="P79" s="68">
        <v>0</v>
      </c>
      <c r="Q79" s="68">
        <v>833.33</v>
      </c>
      <c r="R79" s="68">
        <v>0</v>
      </c>
      <c r="S79" s="68">
        <v>833.33</v>
      </c>
      <c r="T79" s="68">
        <v>0</v>
      </c>
      <c r="U79" s="68">
        <v>833.33</v>
      </c>
      <c r="V79" s="68">
        <v>0</v>
      </c>
      <c r="W79" s="68">
        <v>833.33</v>
      </c>
      <c r="X79" s="68">
        <v>0</v>
      </c>
      <c r="Y79" s="68">
        <v>833.37</v>
      </c>
      <c r="Z79" s="68">
        <v>0</v>
      </c>
      <c r="AA79" s="51">
        <f t="shared" si="12"/>
        <v>10000.000000000002</v>
      </c>
      <c r="AB79" s="51">
        <f t="shared" si="13"/>
        <v>0</v>
      </c>
      <c r="AC79" s="22"/>
      <c r="AD79" s="31">
        <f t="shared" si="14"/>
        <v>10000.000000000002</v>
      </c>
      <c r="AE79" s="31">
        <f t="shared" si="15"/>
        <v>0</v>
      </c>
      <c r="AF79" s="17">
        <f t="shared" si="18"/>
        <v>0</v>
      </c>
      <c r="AG79" s="17">
        <f t="shared" si="19"/>
        <v>0</v>
      </c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61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</row>
    <row r="80" spans="1:123" s="19" customFormat="1" ht="18" customHeight="1" outlineLevel="1" x14ac:dyDescent="0.25">
      <c r="A80" s="48" t="s">
        <v>157</v>
      </c>
      <c r="B80" s="53"/>
      <c r="C80" s="49"/>
      <c r="D80" s="68">
        <v>0</v>
      </c>
      <c r="E80" s="68"/>
      <c r="F80" s="68">
        <v>0</v>
      </c>
      <c r="G80" s="68"/>
      <c r="H80" s="50">
        <v>504.42</v>
      </c>
      <c r="I80" s="68"/>
      <c r="J80" s="68">
        <v>0</v>
      </c>
      <c r="K80" s="68"/>
      <c r="L80" s="68">
        <v>0</v>
      </c>
      <c r="M80" s="68"/>
      <c r="N80" s="68">
        <v>0</v>
      </c>
      <c r="O80" s="68"/>
      <c r="P80" s="68">
        <v>0</v>
      </c>
      <c r="Q80" s="68"/>
      <c r="R80" s="68">
        <v>0</v>
      </c>
      <c r="S80" s="68"/>
      <c r="T80" s="68">
        <v>990.1</v>
      </c>
      <c r="U80" s="68"/>
      <c r="V80" s="68">
        <v>0</v>
      </c>
      <c r="W80" s="68"/>
      <c r="X80" s="68">
        <v>0</v>
      </c>
      <c r="Y80" s="68"/>
      <c r="Z80" s="68">
        <v>0</v>
      </c>
      <c r="AA80" s="51">
        <f t="shared" si="12"/>
        <v>0</v>
      </c>
      <c r="AB80" s="51">
        <f t="shared" si="13"/>
        <v>1494.52</v>
      </c>
      <c r="AC80" s="22"/>
      <c r="AD80" s="31">
        <f t="shared" si="14"/>
        <v>0</v>
      </c>
      <c r="AE80" s="31">
        <f t="shared" si="15"/>
        <v>1494.52</v>
      </c>
      <c r="AF80" s="17">
        <f t="shared" si="18"/>
        <v>0</v>
      </c>
      <c r="AG80" s="17">
        <f t="shared" si="19"/>
        <v>0</v>
      </c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61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</row>
    <row r="81" spans="1:123" s="19" customFormat="1" ht="18" customHeight="1" outlineLevel="1" x14ac:dyDescent="0.25">
      <c r="A81" s="48" t="s">
        <v>158</v>
      </c>
      <c r="B81" s="53"/>
      <c r="C81" s="49"/>
      <c r="D81" s="68">
        <v>0</v>
      </c>
      <c r="E81" s="68"/>
      <c r="F81" s="68">
        <v>0</v>
      </c>
      <c r="G81" s="68"/>
      <c r="H81" s="50">
        <v>0</v>
      </c>
      <c r="I81" s="68"/>
      <c r="J81" s="68">
        <v>0</v>
      </c>
      <c r="K81" s="68"/>
      <c r="L81" s="68">
        <v>0</v>
      </c>
      <c r="M81" s="68"/>
      <c r="N81" s="68">
        <v>0</v>
      </c>
      <c r="O81" s="68"/>
      <c r="P81" s="68">
        <v>0</v>
      </c>
      <c r="Q81" s="68"/>
      <c r="R81" s="68">
        <v>0</v>
      </c>
      <c r="S81" s="68"/>
      <c r="T81" s="68">
        <v>0</v>
      </c>
      <c r="U81" s="68"/>
      <c r="V81" s="68">
        <v>0</v>
      </c>
      <c r="W81" s="68"/>
      <c r="X81" s="68">
        <v>0</v>
      </c>
      <c r="Y81" s="68"/>
      <c r="Z81" s="68">
        <v>0</v>
      </c>
      <c r="AA81" s="51">
        <f t="shared" si="12"/>
        <v>0</v>
      </c>
      <c r="AB81" s="51">
        <f t="shared" si="13"/>
        <v>0</v>
      </c>
      <c r="AC81" s="22"/>
      <c r="AD81" s="31">
        <f t="shared" si="14"/>
        <v>0</v>
      </c>
      <c r="AE81" s="31">
        <f t="shared" si="15"/>
        <v>0</v>
      </c>
      <c r="AF81" s="17">
        <f t="shared" si="18"/>
        <v>0</v>
      </c>
      <c r="AG81" s="17">
        <f t="shared" si="19"/>
        <v>0</v>
      </c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61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</row>
    <row r="82" spans="1:123" s="19" customFormat="1" ht="18" customHeight="1" outlineLevel="1" x14ac:dyDescent="0.25">
      <c r="A82" s="48" t="s">
        <v>159</v>
      </c>
      <c r="B82" s="53"/>
      <c r="C82" s="49"/>
      <c r="D82" s="68">
        <v>0</v>
      </c>
      <c r="E82" s="68"/>
      <c r="F82" s="68">
        <v>0</v>
      </c>
      <c r="G82" s="68"/>
      <c r="H82" s="50">
        <v>0</v>
      </c>
      <c r="I82" s="68"/>
      <c r="J82" s="68">
        <v>0</v>
      </c>
      <c r="K82" s="68"/>
      <c r="L82" s="68">
        <v>0</v>
      </c>
      <c r="M82" s="68"/>
      <c r="N82" s="68">
        <v>0</v>
      </c>
      <c r="O82" s="68"/>
      <c r="P82" s="68">
        <v>0</v>
      </c>
      <c r="Q82" s="68"/>
      <c r="R82" s="68">
        <v>0</v>
      </c>
      <c r="S82" s="68"/>
      <c r="T82" s="68">
        <v>0</v>
      </c>
      <c r="U82" s="68"/>
      <c r="V82" s="68">
        <v>0</v>
      </c>
      <c r="W82" s="68"/>
      <c r="X82" s="68">
        <v>0</v>
      </c>
      <c r="Y82" s="68"/>
      <c r="Z82" s="68">
        <v>0</v>
      </c>
      <c r="AA82" s="51">
        <f t="shared" si="12"/>
        <v>0</v>
      </c>
      <c r="AB82" s="51">
        <f t="shared" si="13"/>
        <v>0</v>
      </c>
      <c r="AC82" s="22"/>
      <c r="AD82" s="31">
        <f t="shared" si="14"/>
        <v>0</v>
      </c>
      <c r="AE82" s="31">
        <f t="shared" si="15"/>
        <v>0</v>
      </c>
      <c r="AF82" s="17">
        <f t="shared" si="18"/>
        <v>0</v>
      </c>
      <c r="AG82" s="17">
        <f t="shared" si="19"/>
        <v>0</v>
      </c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61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</row>
    <row r="83" spans="1:123" s="19" customFormat="1" ht="18" customHeight="1" outlineLevel="1" x14ac:dyDescent="0.25">
      <c r="A83" s="48" t="s">
        <v>160</v>
      </c>
      <c r="B83" s="53"/>
      <c r="C83" s="49"/>
      <c r="D83" s="68">
        <v>0</v>
      </c>
      <c r="E83" s="68"/>
      <c r="F83" s="68">
        <v>0</v>
      </c>
      <c r="G83" s="68"/>
      <c r="H83" s="50">
        <v>0</v>
      </c>
      <c r="I83" s="68"/>
      <c r="J83" s="68">
        <v>0</v>
      </c>
      <c r="K83" s="68"/>
      <c r="L83" s="68">
        <v>0</v>
      </c>
      <c r="M83" s="68"/>
      <c r="N83" s="68">
        <v>0</v>
      </c>
      <c r="O83" s="68"/>
      <c r="P83" s="68">
        <v>0</v>
      </c>
      <c r="Q83" s="68"/>
      <c r="R83" s="68">
        <v>0</v>
      </c>
      <c r="S83" s="68"/>
      <c r="T83" s="68">
        <v>0</v>
      </c>
      <c r="U83" s="68"/>
      <c r="V83" s="68">
        <v>0</v>
      </c>
      <c r="W83" s="68"/>
      <c r="X83" s="68">
        <v>0</v>
      </c>
      <c r="Y83" s="68"/>
      <c r="Z83" s="68">
        <v>0</v>
      </c>
      <c r="AA83" s="51">
        <f t="shared" si="12"/>
        <v>0</v>
      </c>
      <c r="AB83" s="51">
        <f t="shared" si="13"/>
        <v>0</v>
      </c>
      <c r="AC83" s="22"/>
      <c r="AD83" s="31">
        <f t="shared" si="14"/>
        <v>0</v>
      </c>
      <c r="AE83" s="31">
        <f t="shared" si="15"/>
        <v>0</v>
      </c>
      <c r="AF83" s="17">
        <f t="shared" si="18"/>
        <v>0</v>
      </c>
      <c r="AG83" s="17">
        <f t="shared" si="19"/>
        <v>0</v>
      </c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61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</row>
    <row r="84" spans="1:123" s="19" customFormat="1" ht="18" customHeight="1" outlineLevel="1" x14ac:dyDescent="0.25">
      <c r="A84" s="48" t="s">
        <v>161</v>
      </c>
      <c r="B84" s="53"/>
      <c r="C84" s="49">
        <v>2800</v>
      </c>
      <c r="D84" s="68">
        <v>1918.54</v>
      </c>
      <c r="E84" s="68">
        <v>2800</v>
      </c>
      <c r="F84" s="68">
        <v>3857.37</v>
      </c>
      <c r="G84" s="68">
        <v>2800</v>
      </c>
      <c r="H84" s="50">
        <v>2590.59</v>
      </c>
      <c r="I84" s="68">
        <v>2800</v>
      </c>
      <c r="J84" s="68">
        <v>5530.63</v>
      </c>
      <c r="K84" s="68">
        <v>2800</v>
      </c>
      <c r="L84" s="68">
        <v>1924.79</v>
      </c>
      <c r="M84" s="68">
        <v>2800</v>
      </c>
      <c r="N84" s="68">
        <v>2296.63</v>
      </c>
      <c r="O84" s="68">
        <v>2800</v>
      </c>
      <c r="P84" s="68">
        <v>1562.13</v>
      </c>
      <c r="Q84" s="68">
        <v>2800</v>
      </c>
      <c r="R84" s="68">
        <v>2833.33</v>
      </c>
      <c r="S84" s="68">
        <v>2800</v>
      </c>
      <c r="T84" s="68">
        <v>2332.9499999999998</v>
      </c>
      <c r="U84" s="68">
        <v>2800</v>
      </c>
      <c r="V84" s="68">
        <v>2617.59</v>
      </c>
      <c r="W84" s="68">
        <v>2800</v>
      </c>
      <c r="X84" s="68">
        <v>4480.2299999999996</v>
      </c>
      <c r="Y84" s="68">
        <v>2800</v>
      </c>
      <c r="Z84" s="68">
        <v>1321.94</v>
      </c>
      <c r="AA84" s="51">
        <f t="shared" si="12"/>
        <v>33600</v>
      </c>
      <c r="AB84" s="51">
        <f t="shared" si="13"/>
        <v>33266.720000000001</v>
      </c>
      <c r="AC84" s="22"/>
      <c r="AD84" s="31">
        <f t="shared" si="14"/>
        <v>33600</v>
      </c>
      <c r="AE84" s="31">
        <f t="shared" si="15"/>
        <v>33266.720000000001</v>
      </c>
      <c r="AF84" s="17">
        <f t="shared" si="18"/>
        <v>0</v>
      </c>
      <c r="AG84" s="17">
        <f t="shared" si="19"/>
        <v>0</v>
      </c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61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</row>
    <row r="85" spans="1:123" s="19" customFormat="1" ht="18" customHeight="1" outlineLevel="1" x14ac:dyDescent="0.25">
      <c r="A85" s="48" t="s">
        <v>162</v>
      </c>
      <c r="B85" s="53"/>
      <c r="C85" s="49">
        <v>5718</v>
      </c>
      <c r="D85" s="68">
        <v>126.42</v>
      </c>
      <c r="E85" s="68">
        <v>5718</v>
      </c>
      <c r="F85" s="68">
        <v>139.44999999999999</v>
      </c>
      <c r="G85" s="68">
        <v>5718</v>
      </c>
      <c r="H85" s="50">
        <v>131.6</v>
      </c>
      <c r="I85" s="68"/>
      <c r="J85" s="68">
        <v>115.96</v>
      </c>
      <c r="K85" s="68">
        <v>0</v>
      </c>
      <c r="L85" s="68">
        <v>118.11</v>
      </c>
      <c r="M85" s="68">
        <v>0</v>
      </c>
      <c r="N85" s="68">
        <v>0</v>
      </c>
      <c r="O85" s="68">
        <v>0</v>
      </c>
      <c r="P85" s="68">
        <v>0</v>
      </c>
      <c r="Q85" s="68">
        <v>0</v>
      </c>
      <c r="R85" s="68">
        <v>0</v>
      </c>
      <c r="S85" s="68">
        <v>0</v>
      </c>
      <c r="T85" s="68">
        <v>0</v>
      </c>
      <c r="U85" s="68">
        <v>0</v>
      </c>
      <c r="V85" s="68">
        <v>0</v>
      </c>
      <c r="W85" s="68">
        <v>0</v>
      </c>
      <c r="X85" s="68">
        <v>76</v>
      </c>
      <c r="Y85" s="68">
        <v>0</v>
      </c>
      <c r="Z85" s="68">
        <v>-4.3099999999999996</v>
      </c>
      <c r="AA85" s="51">
        <f t="shared" si="12"/>
        <v>17154</v>
      </c>
      <c r="AB85" s="51">
        <f t="shared" si="13"/>
        <v>703.23000000000013</v>
      </c>
      <c r="AC85" s="22"/>
      <c r="AD85" s="31">
        <f t="shared" si="14"/>
        <v>17154</v>
      </c>
      <c r="AE85" s="31">
        <f t="shared" si="15"/>
        <v>703.23000000000013</v>
      </c>
      <c r="AF85" s="17">
        <f t="shared" si="18"/>
        <v>0</v>
      </c>
      <c r="AG85" s="17">
        <f t="shared" si="19"/>
        <v>0</v>
      </c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61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</row>
    <row r="86" spans="1:123" s="19" customFormat="1" ht="18" customHeight="1" outlineLevel="1" x14ac:dyDescent="0.25">
      <c r="A86" s="48" t="s">
        <v>163</v>
      </c>
      <c r="B86" s="53"/>
      <c r="C86" s="49"/>
      <c r="D86" s="68">
        <v>0</v>
      </c>
      <c r="E86" s="68"/>
      <c r="F86" s="68">
        <v>0</v>
      </c>
      <c r="G86" s="68"/>
      <c r="H86" s="50">
        <v>0</v>
      </c>
      <c r="I86" s="68"/>
      <c r="J86" s="68">
        <v>0</v>
      </c>
      <c r="K86" s="68"/>
      <c r="L86" s="68">
        <v>0</v>
      </c>
      <c r="M86" s="68"/>
      <c r="N86" s="68">
        <v>0</v>
      </c>
      <c r="O86" s="68"/>
      <c r="P86" s="68">
        <v>0</v>
      </c>
      <c r="Q86" s="68"/>
      <c r="R86" s="68">
        <v>0</v>
      </c>
      <c r="S86" s="68"/>
      <c r="T86" s="68">
        <v>0</v>
      </c>
      <c r="U86" s="68"/>
      <c r="V86" s="68">
        <v>0</v>
      </c>
      <c r="W86" s="68"/>
      <c r="X86" s="68">
        <v>0</v>
      </c>
      <c r="Y86" s="68"/>
      <c r="Z86" s="68">
        <v>0</v>
      </c>
      <c r="AA86" s="51">
        <f t="shared" si="12"/>
        <v>0</v>
      </c>
      <c r="AB86" s="51">
        <f t="shared" si="13"/>
        <v>0</v>
      </c>
      <c r="AC86" s="22"/>
      <c r="AD86" s="31">
        <f t="shared" si="14"/>
        <v>0</v>
      </c>
      <c r="AE86" s="31">
        <f t="shared" si="15"/>
        <v>0</v>
      </c>
      <c r="AF86" s="17">
        <f t="shared" si="18"/>
        <v>0</v>
      </c>
      <c r="AG86" s="17">
        <f t="shared" si="19"/>
        <v>0</v>
      </c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61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</row>
    <row r="87" spans="1:123" s="19" customFormat="1" ht="18" customHeight="1" outlineLevel="1" x14ac:dyDescent="0.25">
      <c r="A87" s="48" t="s">
        <v>164</v>
      </c>
      <c r="B87" s="53"/>
      <c r="C87" s="49"/>
      <c r="D87" s="68">
        <v>240.57</v>
      </c>
      <c r="E87" s="68"/>
      <c r="F87" s="68">
        <v>0</v>
      </c>
      <c r="G87" s="68">
        <v>2000</v>
      </c>
      <c r="H87" s="50">
        <v>0</v>
      </c>
      <c r="I87" s="68"/>
      <c r="J87" s="68">
        <v>304.72000000000003</v>
      </c>
      <c r="K87" s="68"/>
      <c r="L87" s="68">
        <v>0</v>
      </c>
      <c r="M87" s="68"/>
      <c r="N87" s="68">
        <v>505.19</v>
      </c>
      <c r="O87" s="68"/>
      <c r="P87" s="68">
        <v>0</v>
      </c>
      <c r="Q87" s="68"/>
      <c r="R87" s="68">
        <v>1535.61</v>
      </c>
      <c r="S87" s="68"/>
      <c r="T87" s="68">
        <v>0.05</v>
      </c>
      <c r="U87" s="68"/>
      <c r="V87" s="68">
        <v>1094.3399999999999</v>
      </c>
      <c r="W87" s="68"/>
      <c r="X87" s="68">
        <v>0</v>
      </c>
      <c r="Y87" s="68"/>
      <c r="Z87" s="68">
        <v>0</v>
      </c>
      <c r="AA87" s="51">
        <f t="shared" si="12"/>
        <v>2000</v>
      </c>
      <c r="AB87" s="51">
        <f t="shared" si="13"/>
        <v>3680.4800000000005</v>
      </c>
      <c r="AC87" s="22"/>
      <c r="AD87" s="31">
        <f t="shared" si="14"/>
        <v>2000</v>
      </c>
      <c r="AE87" s="31">
        <f t="shared" si="15"/>
        <v>3680.4800000000005</v>
      </c>
      <c r="AF87" s="17">
        <f t="shared" si="18"/>
        <v>0</v>
      </c>
      <c r="AG87" s="17">
        <f t="shared" si="19"/>
        <v>0</v>
      </c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61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</row>
    <row r="88" spans="1:123" s="19" customFormat="1" ht="18" customHeight="1" outlineLevel="1" x14ac:dyDescent="0.25">
      <c r="A88" s="48" t="s">
        <v>165</v>
      </c>
      <c r="B88" s="53"/>
      <c r="C88" s="49"/>
      <c r="D88" s="68">
        <v>0</v>
      </c>
      <c r="E88" s="68"/>
      <c r="F88" s="68">
        <v>0</v>
      </c>
      <c r="G88" s="68"/>
      <c r="H88" s="50">
        <v>0</v>
      </c>
      <c r="I88" s="68"/>
      <c r="J88" s="68">
        <v>0</v>
      </c>
      <c r="K88" s="68"/>
      <c r="L88" s="68">
        <v>0</v>
      </c>
      <c r="M88" s="68"/>
      <c r="N88" s="68">
        <v>0</v>
      </c>
      <c r="O88" s="68"/>
      <c r="P88" s="68">
        <v>0</v>
      </c>
      <c r="Q88" s="68"/>
      <c r="R88" s="68">
        <v>0</v>
      </c>
      <c r="S88" s="68"/>
      <c r="T88" s="68">
        <v>0</v>
      </c>
      <c r="U88" s="68"/>
      <c r="V88" s="68">
        <v>0</v>
      </c>
      <c r="W88" s="68"/>
      <c r="X88" s="68">
        <v>0</v>
      </c>
      <c r="Y88" s="68"/>
      <c r="Z88" s="68">
        <v>0</v>
      </c>
      <c r="AA88" s="51">
        <f t="shared" si="12"/>
        <v>0</v>
      </c>
      <c r="AB88" s="51">
        <f t="shared" si="13"/>
        <v>0</v>
      </c>
      <c r="AC88" s="22"/>
      <c r="AD88" s="31">
        <f t="shared" si="14"/>
        <v>0</v>
      </c>
      <c r="AE88" s="31">
        <f t="shared" si="15"/>
        <v>0</v>
      </c>
      <c r="AF88" s="17">
        <f t="shared" si="18"/>
        <v>0</v>
      </c>
      <c r="AG88" s="17">
        <f t="shared" si="19"/>
        <v>0</v>
      </c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61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</row>
    <row r="89" spans="1:123" s="19" customFormat="1" ht="18" customHeight="1" outlineLevel="1" x14ac:dyDescent="0.25">
      <c r="A89" s="48" t="s">
        <v>166</v>
      </c>
      <c r="B89" s="53"/>
      <c r="C89" s="49"/>
      <c r="D89" s="68">
        <v>0</v>
      </c>
      <c r="E89" s="68"/>
      <c r="F89" s="68">
        <v>0</v>
      </c>
      <c r="G89" s="68"/>
      <c r="H89" s="50">
        <v>0</v>
      </c>
      <c r="I89" s="68"/>
      <c r="J89" s="68">
        <v>0</v>
      </c>
      <c r="K89" s="68"/>
      <c r="L89" s="68">
        <v>0</v>
      </c>
      <c r="M89" s="68"/>
      <c r="N89" s="68">
        <v>0</v>
      </c>
      <c r="O89" s="68"/>
      <c r="P89" s="68">
        <v>0</v>
      </c>
      <c r="Q89" s="68"/>
      <c r="R89" s="68">
        <v>0</v>
      </c>
      <c r="S89" s="68"/>
      <c r="T89" s="68">
        <v>0</v>
      </c>
      <c r="U89" s="68"/>
      <c r="V89" s="68">
        <v>0</v>
      </c>
      <c r="W89" s="68"/>
      <c r="X89" s="68">
        <v>0</v>
      </c>
      <c r="Y89" s="68"/>
      <c r="Z89" s="68">
        <v>0</v>
      </c>
      <c r="AA89" s="51">
        <f t="shared" si="12"/>
        <v>0</v>
      </c>
      <c r="AB89" s="51">
        <f t="shared" si="13"/>
        <v>0</v>
      </c>
      <c r="AC89" s="22"/>
      <c r="AD89" s="31">
        <f t="shared" si="14"/>
        <v>0</v>
      </c>
      <c r="AE89" s="31">
        <f t="shared" si="15"/>
        <v>0</v>
      </c>
      <c r="AF89" s="17">
        <f t="shared" si="18"/>
        <v>0</v>
      </c>
      <c r="AG89" s="17">
        <f t="shared" si="19"/>
        <v>0</v>
      </c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61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</row>
    <row r="90" spans="1:123" s="19" customFormat="1" ht="18" customHeight="1" outlineLevel="1" x14ac:dyDescent="0.25">
      <c r="A90" s="48" t="s">
        <v>167</v>
      </c>
      <c r="B90" s="53"/>
      <c r="C90" s="49"/>
      <c r="D90" s="68">
        <v>0</v>
      </c>
      <c r="E90" s="68"/>
      <c r="F90" s="68">
        <v>0</v>
      </c>
      <c r="G90" s="68"/>
      <c r="H90" s="50">
        <v>0</v>
      </c>
      <c r="I90" s="68"/>
      <c r="J90" s="68">
        <v>0</v>
      </c>
      <c r="K90" s="68"/>
      <c r="L90" s="68">
        <v>0</v>
      </c>
      <c r="M90" s="68"/>
      <c r="N90" s="68">
        <v>0</v>
      </c>
      <c r="O90" s="68"/>
      <c r="P90" s="68">
        <v>0</v>
      </c>
      <c r="Q90" s="68"/>
      <c r="R90" s="68">
        <v>0</v>
      </c>
      <c r="S90" s="68"/>
      <c r="T90" s="68">
        <v>0</v>
      </c>
      <c r="U90" s="68"/>
      <c r="V90" s="68">
        <v>0</v>
      </c>
      <c r="W90" s="68"/>
      <c r="X90" s="68">
        <v>0</v>
      </c>
      <c r="Y90" s="68"/>
      <c r="Z90" s="68">
        <v>0</v>
      </c>
      <c r="AA90" s="51">
        <f t="shared" si="12"/>
        <v>0</v>
      </c>
      <c r="AB90" s="51">
        <f t="shared" si="13"/>
        <v>0</v>
      </c>
      <c r="AC90" s="22"/>
      <c r="AD90" s="31">
        <f t="shared" si="14"/>
        <v>0</v>
      </c>
      <c r="AE90" s="31">
        <f t="shared" si="15"/>
        <v>0</v>
      </c>
      <c r="AF90" s="17">
        <f t="shared" si="18"/>
        <v>0</v>
      </c>
      <c r="AG90" s="17">
        <f t="shared" si="19"/>
        <v>0</v>
      </c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61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</row>
    <row r="91" spans="1:123" s="19" customFormat="1" ht="18" customHeight="1" outlineLevel="1" x14ac:dyDescent="0.25">
      <c r="A91" s="48" t="s">
        <v>168</v>
      </c>
      <c r="B91" s="53"/>
      <c r="C91" s="49"/>
      <c r="D91" s="68">
        <v>0</v>
      </c>
      <c r="E91" s="68"/>
      <c r="F91" s="68">
        <v>0</v>
      </c>
      <c r="G91" s="68"/>
      <c r="H91" s="50">
        <v>0</v>
      </c>
      <c r="I91" s="68"/>
      <c r="J91" s="68">
        <v>0</v>
      </c>
      <c r="K91" s="68"/>
      <c r="L91" s="68">
        <v>0</v>
      </c>
      <c r="M91" s="68"/>
      <c r="N91" s="68">
        <v>0</v>
      </c>
      <c r="O91" s="68"/>
      <c r="P91" s="68">
        <v>0</v>
      </c>
      <c r="Q91" s="68"/>
      <c r="R91" s="68">
        <v>0</v>
      </c>
      <c r="S91" s="68"/>
      <c r="T91" s="68">
        <v>0</v>
      </c>
      <c r="U91" s="68"/>
      <c r="V91" s="68">
        <v>0</v>
      </c>
      <c r="W91" s="68"/>
      <c r="X91" s="68">
        <v>0</v>
      </c>
      <c r="Y91" s="68"/>
      <c r="Z91" s="68">
        <v>0</v>
      </c>
      <c r="AA91" s="51">
        <f t="shared" si="12"/>
        <v>0</v>
      </c>
      <c r="AB91" s="51">
        <f t="shared" si="13"/>
        <v>0</v>
      </c>
      <c r="AC91" s="22"/>
      <c r="AD91" s="31">
        <f t="shared" si="14"/>
        <v>0</v>
      </c>
      <c r="AE91" s="31">
        <f t="shared" si="15"/>
        <v>0</v>
      </c>
      <c r="AF91" s="17">
        <f t="shared" si="18"/>
        <v>0</v>
      </c>
      <c r="AG91" s="17">
        <f t="shared" si="19"/>
        <v>0</v>
      </c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61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</row>
    <row r="92" spans="1:123" s="19" customFormat="1" ht="18" customHeight="1" outlineLevel="1" x14ac:dyDescent="0.25">
      <c r="A92" s="48" t="s">
        <v>169</v>
      </c>
      <c r="B92" s="53"/>
      <c r="C92" s="49"/>
      <c r="D92" s="68">
        <v>0</v>
      </c>
      <c r="E92" s="68"/>
      <c r="F92" s="68">
        <v>0</v>
      </c>
      <c r="G92" s="68"/>
      <c r="H92" s="50">
        <v>0</v>
      </c>
      <c r="I92" s="68"/>
      <c r="J92" s="68">
        <v>0</v>
      </c>
      <c r="K92" s="68"/>
      <c r="L92" s="68">
        <v>0</v>
      </c>
      <c r="M92" s="68"/>
      <c r="N92" s="68">
        <v>0</v>
      </c>
      <c r="O92" s="68"/>
      <c r="P92" s="68">
        <v>55.97</v>
      </c>
      <c r="Q92" s="68"/>
      <c r="R92" s="68">
        <v>0</v>
      </c>
      <c r="S92" s="68"/>
      <c r="T92" s="68">
        <v>244.46</v>
      </c>
      <c r="U92" s="68"/>
      <c r="V92" s="68">
        <v>1.06</v>
      </c>
      <c r="W92" s="68"/>
      <c r="X92" s="68">
        <v>0</v>
      </c>
      <c r="Y92" s="68"/>
      <c r="Z92" s="68">
        <v>0</v>
      </c>
      <c r="AA92" s="51">
        <f t="shared" ref="AA92:AA155" si="24">C92+E92+G92+I92+K92+M92+O92+Q92+S92+U92+W92+Y92</f>
        <v>0</v>
      </c>
      <c r="AB92" s="51">
        <f t="shared" ref="AB92:AB101" si="25">D92+F92+H92+J92+L92+N92+P92+R92+T92+V92+X92+Z92</f>
        <v>301.49</v>
      </c>
      <c r="AC92" s="22"/>
      <c r="AD92" s="31">
        <f t="shared" ref="AD92:AD155" si="26">SUMIF($C$5:$Z$5,$AD$5,C92:Z92)</f>
        <v>0</v>
      </c>
      <c r="AE92" s="31">
        <f t="shared" ref="AE92:AE155" si="27">SUMIF($C$5:$Z$5,$AD$5,D92:AA92)</f>
        <v>301.49</v>
      </c>
      <c r="AF92" s="17">
        <f t="shared" si="18"/>
        <v>0</v>
      </c>
      <c r="AG92" s="17">
        <f t="shared" si="19"/>
        <v>0</v>
      </c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61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</row>
    <row r="93" spans="1:123" s="19" customFormat="1" ht="18" customHeight="1" outlineLevel="1" x14ac:dyDescent="0.25">
      <c r="A93" s="48" t="s">
        <v>170</v>
      </c>
      <c r="B93" s="53"/>
      <c r="C93" s="49"/>
      <c r="D93" s="68">
        <v>0</v>
      </c>
      <c r="E93" s="68"/>
      <c r="F93" s="68">
        <v>0</v>
      </c>
      <c r="G93" s="68"/>
      <c r="H93" s="50">
        <v>0</v>
      </c>
      <c r="I93" s="68"/>
      <c r="J93" s="68">
        <v>0</v>
      </c>
      <c r="K93" s="68"/>
      <c r="L93" s="68">
        <v>0</v>
      </c>
      <c r="M93" s="68"/>
      <c r="N93" s="68">
        <v>0</v>
      </c>
      <c r="O93" s="68"/>
      <c r="P93" s="68">
        <v>0</v>
      </c>
      <c r="Q93" s="68"/>
      <c r="R93" s="68">
        <v>0</v>
      </c>
      <c r="S93" s="68"/>
      <c r="T93" s="68">
        <v>0</v>
      </c>
      <c r="U93" s="68"/>
      <c r="V93" s="68">
        <v>0</v>
      </c>
      <c r="W93" s="68"/>
      <c r="X93" s="68">
        <v>0</v>
      </c>
      <c r="Y93" s="68"/>
      <c r="Z93" s="68">
        <v>0</v>
      </c>
      <c r="AA93" s="51">
        <f t="shared" si="24"/>
        <v>0</v>
      </c>
      <c r="AB93" s="51">
        <f t="shared" si="25"/>
        <v>0</v>
      </c>
      <c r="AC93" s="22"/>
      <c r="AD93" s="31">
        <f t="shared" si="26"/>
        <v>0</v>
      </c>
      <c r="AE93" s="31">
        <f t="shared" si="27"/>
        <v>0</v>
      </c>
      <c r="AF93" s="17">
        <f t="shared" si="18"/>
        <v>0</v>
      </c>
      <c r="AG93" s="17">
        <f t="shared" si="19"/>
        <v>0</v>
      </c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61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</row>
    <row r="94" spans="1:123" s="19" customFormat="1" ht="18" customHeight="1" outlineLevel="1" x14ac:dyDescent="0.25">
      <c r="A94" s="48" t="s">
        <v>171</v>
      </c>
      <c r="B94" s="53"/>
      <c r="C94" s="49"/>
      <c r="D94" s="68">
        <v>0</v>
      </c>
      <c r="E94" s="68"/>
      <c r="F94" s="68">
        <v>0</v>
      </c>
      <c r="G94" s="68"/>
      <c r="H94" s="50">
        <v>0</v>
      </c>
      <c r="I94" s="68"/>
      <c r="J94" s="68">
        <v>0</v>
      </c>
      <c r="K94" s="68"/>
      <c r="L94" s="68">
        <v>0</v>
      </c>
      <c r="M94" s="68"/>
      <c r="N94" s="68">
        <v>0</v>
      </c>
      <c r="O94" s="68"/>
      <c r="P94" s="68">
        <v>0</v>
      </c>
      <c r="Q94" s="68"/>
      <c r="R94" s="68">
        <v>0</v>
      </c>
      <c r="S94" s="68"/>
      <c r="T94" s="68">
        <v>0</v>
      </c>
      <c r="U94" s="68"/>
      <c r="V94" s="68">
        <v>0</v>
      </c>
      <c r="W94" s="68"/>
      <c r="X94" s="68">
        <v>0</v>
      </c>
      <c r="Y94" s="68"/>
      <c r="Z94" s="68">
        <v>0</v>
      </c>
      <c r="AA94" s="51">
        <f t="shared" si="24"/>
        <v>0</v>
      </c>
      <c r="AB94" s="51">
        <f t="shared" si="25"/>
        <v>0</v>
      </c>
      <c r="AC94" s="22"/>
      <c r="AD94" s="31">
        <f t="shared" si="26"/>
        <v>0</v>
      </c>
      <c r="AE94" s="31">
        <f t="shared" si="27"/>
        <v>0</v>
      </c>
      <c r="AF94" s="17">
        <f t="shared" ref="AF94:AF157" si="28">AA94-AD94</f>
        <v>0</v>
      </c>
      <c r="AG94" s="17">
        <f t="shared" ref="AG94:AG157" si="29">AB94-AE94</f>
        <v>0</v>
      </c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61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</row>
    <row r="95" spans="1:123" s="19" customFormat="1" ht="18" customHeight="1" outlineLevel="1" x14ac:dyDescent="0.25">
      <c r="A95" s="48" t="s">
        <v>172</v>
      </c>
      <c r="B95" s="53"/>
      <c r="C95" s="49"/>
      <c r="D95" s="68">
        <v>0</v>
      </c>
      <c r="E95" s="68"/>
      <c r="F95" s="68">
        <v>0</v>
      </c>
      <c r="G95" s="68"/>
      <c r="H95" s="50">
        <v>0</v>
      </c>
      <c r="I95" s="68"/>
      <c r="J95" s="68">
        <v>0</v>
      </c>
      <c r="K95" s="68"/>
      <c r="L95" s="68">
        <v>0</v>
      </c>
      <c r="M95" s="68"/>
      <c r="N95" s="68">
        <v>0</v>
      </c>
      <c r="O95" s="68"/>
      <c r="P95" s="68">
        <v>0</v>
      </c>
      <c r="Q95" s="68"/>
      <c r="R95" s="68">
        <v>0</v>
      </c>
      <c r="S95" s="68"/>
      <c r="T95" s="68">
        <v>0</v>
      </c>
      <c r="U95" s="68"/>
      <c r="V95" s="68">
        <v>0</v>
      </c>
      <c r="W95" s="68"/>
      <c r="X95" s="68">
        <v>0</v>
      </c>
      <c r="Y95" s="68"/>
      <c r="Z95" s="68">
        <v>0</v>
      </c>
      <c r="AA95" s="51">
        <f t="shared" si="24"/>
        <v>0</v>
      </c>
      <c r="AB95" s="51">
        <f t="shared" si="25"/>
        <v>0</v>
      </c>
      <c r="AC95" s="22"/>
      <c r="AD95" s="31">
        <f t="shared" si="26"/>
        <v>0</v>
      </c>
      <c r="AE95" s="31">
        <f t="shared" si="27"/>
        <v>0</v>
      </c>
      <c r="AF95" s="17">
        <f t="shared" si="28"/>
        <v>0</v>
      </c>
      <c r="AG95" s="17">
        <f t="shared" si="29"/>
        <v>0</v>
      </c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61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</row>
    <row r="96" spans="1:123" s="19" customFormat="1" ht="18" customHeight="1" outlineLevel="1" x14ac:dyDescent="0.25">
      <c r="A96" s="48" t="s">
        <v>173</v>
      </c>
      <c r="B96" s="53"/>
      <c r="C96" s="49"/>
      <c r="D96" s="68">
        <v>0</v>
      </c>
      <c r="E96" s="68"/>
      <c r="F96" s="68">
        <v>0</v>
      </c>
      <c r="G96" s="68"/>
      <c r="H96" s="50">
        <v>0</v>
      </c>
      <c r="I96" s="68"/>
      <c r="J96" s="68">
        <v>0</v>
      </c>
      <c r="K96" s="68"/>
      <c r="L96" s="68">
        <v>0</v>
      </c>
      <c r="M96" s="68"/>
      <c r="N96" s="68">
        <v>0</v>
      </c>
      <c r="O96" s="68"/>
      <c r="P96" s="68">
        <v>0</v>
      </c>
      <c r="Q96" s="68"/>
      <c r="R96" s="68">
        <v>0</v>
      </c>
      <c r="S96" s="68"/>
      <c r="T96" s="68">
        <v>0</v>
      </c>
      <c r="U96" s="68"/>
      <c r="V96" s="68">
        <v>0</v>
      </c>
      <c r="W96" s="68"/>
      <c r="X96" s="68">
        <v>0</v>
      </c>
      <c r="Y96" s="68"/>
      <c r="Z96" s="68">
        <v>0</v>
      </c>
      <c r="AA96" s="51">
        <f t="shared" si="24"/>
        <v>0</v>
      </c>
      <c r="AB96" s="51">
        <f t="shared" si="25"/>
        <v>0</v>
      </c>
      <c r="AC96" s="22"/>
      <c r="AD96" s="31">
        <f t="shared" si="26"/>
        <v>0</v>
      </c>
      <c r="AE96" s="31">
        <f t="shared" si="27"/>
        <v>0</v>
      </c>
      <c r="AF96" s="17">
        <f t="shared" si="28"/>
        <v>0</v>
      </c>
      <c r="AG96" s="17">
        <f t="shared" si="29"/>
        <v>0</v>
      </c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61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</row>
    <row r="97" spans="1:123" s="19" customFormat="1" ht="18" customHeight="1" outlineLevel="1" x14ac:dyDescent="0.25">
      <c r="A97" s="48" t="s">
        <v>174</v>
      </c>
      <c r="B97" s="53"/>
      <c r="C97" s="49"/>
      <c r="D97" s="68">
        <v>0</v>
      </c>
      <c r="E97" s="68"/>
      <c r="F97" s="68">
        <v>0</v>
      </c>
      <c r="G97" s="68"/>
      <c r="H97" s="50">
        <v>0</v>
      </c>
      <c r="I97" s="68"/>
      <c r="J97" s="68">
        <v>0</v>
      </c>
      <c r="K97" s="68"/>
      <c r="L97" s="68">
        <v>0</v>
      </c>
      <c r="M97" s="68"/>
      <c r="N97" s="68">
        <v>0</v>
      </c>
      <c r="O97" s="68"/>
      <c r="P97" s="68">
        <v>0</v>
      </c>
      <c r="Q97" s="68"/>
      <c r="R97" s="68">
        <v>0</v>
      </c>
      <c r="S97" s="68"/>
      <c r="T97" s="68">
        <v>0</v>
      </c>
      <c r="U97" s="68"/>
      <c r="V97" s="68">
        <v>0</v>
      </c>
      <c r="W97" s="68"/>
      <c r="X97" s="68">
        <v>0</v>
      </c>
      <c r="Y97" s="68"/>
      <c r="Z97" s="68">
        <v>0</v>
      </c>
      <c r="AA97" s="51">
        <f t="shared" si="24"/>
        <v>0</v>
      </c>
      <c r="AB97" s="51">
        <f t="shared" si="25"/>
        <v>0</v>
      </c>
      <c r="AC97" s="22"/>
      <c r="AD97" s="31">
        <f t="shared" si="26"/>
        <v>0</v>
      </c>
      <c r="AE97" s="31">
        <f t="shared" si="27"/>
        <v>0</v>
      </c>
      <c r="AF97" s="17">
        <f t="shared" si="28"/>
        <v>0</v>
      </c>
      <c r="AG97" s="17">
        <f t="shared" si="29"/>
        <v>0</v>
      </c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61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</row>
    <row r="98" spans="1:123" s="19" customFormat="1" ht="18" customHeight="1" outlineLevel="1" x14ac:dyDescent="0.25">
      <c r="A98" s="48" t="s">
        <v>175</v>
      </c>
      <c r="B98" s="53"/>
      <c r="C98" s="49"/>
      <c r="D98" s="68">
        <v>0</v>
      </c>
      <c r="E98" s="68"/>
      <c r="F98" s="68">
        <v>0</v>
      </c>
      <c r="G98" s="68"/>
      <c r="H98" s="50">
        <v>0</v>
      </c>
      <c r="I98" s="68"/>
      <c r="J98" s="68">
        <v>0</v>
      </c>
      <c r="K98" s="68"/>
      <c r="L98" s="68">
        <v>0</v>
      </c>
      <c r="M98" s="68"/>
      <c r="N98" s="68">
        <v>0</v>
      </c>
      <c r="O98" s="68"/>
      <c r="P98" s="68">
        <v>0</v>
      </c>
      <c r="Q98" s="68"/>
      <c r="R98" s="68">
        <v>0</v>
      </c>
      <c r="S98" s="68"/>
      <c r="T98" s="68">
        <v>0</v>
      </c>
      <c r="U98" s="68"/>
      <c r="V98" s="68">
        <v>0</v>
      </c>
      <c r="W98" s="68"/>
      <c r="X98" s="68">
        <v>0</v>
      </c>
      <c r="Y98" s="68"/>
      <c r="Z98" s="68">
        <v>0</v>
      </c>
      <c r="AA98" s="51">
        <f t="shared" si="24"/>
        <v>0</v>
      </c>
      <c r="AB98" s="51">
        <f t="shared" si="25"/>
        <v>0</v>
      </c>
      <c r="AC98" s="22"/>
      <c r="AD98" s="31">
        <f t="shared" si="26"/>
        <v>0</v>
      </c>
      <c r="AE98" s="31">
        <f t="shared" si="27"/>
        <v>0</v>
      </c>
      <c r="AF98" s="17">
        <f t="shared" si="28"/>
        <v>0</v>
      </c>
      <c r="AG98" s="17">
        <f t="shared" si="29"/>
        <v>0</v>
      </c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61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</row>
    <row r="99" spans="1:123" s="19" customFormat="1" ht="18" customHeight="1" outlineLevel="1" x14ac:dyDescent="0.25">
      <c r="A99" s="48" t="s">
        <v>176</v>
      </c>
      <c r="B99" s="53"/>
      <c r="C99" s="49"/>
      <c r="D99" s="68">
        <v>0</v>
      </c>
      <c r="E99" s="68"/>
      <c r="F99" s="68">
        <v>0</v>
      </c>
      <c r="G99" s="68"/>
      <c r="H99" s="50">
        <v>0</v>
      </c>
      <c r="I99" s="68"/>
      <c r="J99" s="68">
        <v>0</v>
      </c>
      <c r="K99" s="68"/>
      <c r="L99" s="68">
        <v>0</v>
      </c>
      <c r="M99" s="68"/>
      <c r="N99" s="68">
        <v>0</v>
      </c>
      <c r="O99" s="68"/>
      <c r="P99" s="68">
        <v>0</v>
      </c>
      <c r="Q99" s="68"/>
      <c r="R99" s="68">
        <v>0</v>
      </c>
      <c r="S99" s="68"/>
      <c r="T99" s="68">
        <v>0</v>
      </c>
      <c r="U99" s="68"/>
      <c r="V99" s="68">
        <v>0</v>
      </c>
      <c r="W99" s="68"/>
      <c r="X99" s="68">
        <v>0</v>
      </c>
      <c r="Y99" s="68"/>
      <c r="Z99" s="68">
        <v>0</v>
      </c>
      <c r="AA99" s="51">
        <f t="shared" si="24"/>
        <v>0</v>
      </c>
      <c r="AB99" s="51">
        <f t="shared" si="25"/>
        <v>0</v>
      </c>
      <c r="AC99" s="22"/>
      <c r="AD99" s="31">
        <f t="shared" si="26"/>
        <v>0</v>
      </c>
      <c r="AE99" s="31">
        <f t="shared" si="27"/>
        <v>0</v>
      </c>
      <c r="AF99" s="17">
        <f t="shared" si="28"/>
        <v>0</v>
      </c>
      <c r="AG99" s="17">
        <f t="shared" si="29"/>
        <v>0</v>
      </c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61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</row>
    <row r="100" spans="1:123" s="19" customFormat="1" ht="18" customHeight="1" outlineLevel="1" x14ac:dyDescent="0.25">
      <c r="A100" s="48" t="s">
        <v>177</v>
      </c>
      <c r="B100" s="53"/>
      <c r="C100" s="49"/>
      <c r="D100" s="68">
        <v>0</v>
      </c>
      <c r="E100" s="68"/>
      <c r="F100" s="68">
        <v>0</v>
      </c>
      <c r="G100" s="68"/>
      <c r="H100" s="50">
        <v>0</v>
      </c>
      <c r="I100" s="68"/>
      <c r="J100" s="68">
        <v>0</v>
      </c>
      <c r="K100" s="68"/>
      <c r="L100" s="68">
        <v>0</v>
      </c>
      <c r="M100" s="68"/>
      <c r="N100" s="68">
        <v>0</v>
      </c>
      <c r="O100" s="68"/>
      <c r="P100" s="68">
        <v>0</v>
      </c>
      <c r="Q100" s="68"/>
      <c r="R100" s="68">
        <v>0</v>
      </c>
      <c r="S100" s="68"/>
      <c r="T100" s="68">
        <v>0</v>
      </c>
      <c r="U100" s="68"/>
      <c r="V100" s="68">
        <v>0</v>
      </c>
      <c r="W100" s="68"/>
      <c r="X100" s="68">
        <v>0</v>
      </c>
      <c r="Y100" s="68"/>
      <c r="Z100" s="68">
        <v>0</v>
      </c>
      <c r="AA100" s="51">
        <f t="shared" si="24"/>
        <v>0</v>
      </c>
      <c r="AB100" s="51">
        <f t="shared" si="25"/>
        <v>0</v>
      </c>
      <c r="AC100" s="22"/>
      <c r="AD100" s="31">
        <f t="shared" si="26"/>
        <v>0</v>
      </c>
      <c r="AE100" s="31">
        <f t="shared" si="27"/>
        <v>0</v>
      </c>
      <c r="AF100" s="17">
        <f t="shared" si="28"/>
        <v>0</v>
      </c>
      <c r="AG100" s="17">
        <f t="shared" si="29"/>
        <v>0</v>
      </c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61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</row>
    <row r="101" spans="1:123" s="19" customFormat="1" ht="18" customHeight="1" outlineLevel="1" x14ac:dyDescent="0.25">
      <c r="A101" s="48" t="s">
        <v>178</v>
      </c>
      <c r="B101" s="53"/>
      <c r="C101" s="49">
        <v>500</v>
      </c>
      <c r="D101" s="68">
        <v>0</v>
      </c>
      <c r="E101" s="68">
        <v>500</v>
      </c>
      <c r="F101" s="68">
        <v>0</v>
      </c>
      <c r="G101" s="68">
        <v>500</v>
      </c>
      <c r="H101" s="50">
        <v>0</v>
      </c>
      <c r="I101" s="68">
        <v>500</v>
      </c>
      <c r="J101" s="68">
        <v>0</v>
      </c>
      <c r="K101" s="68">
        <v>500</v>
      </c>
      <c r="L101" s="68">
        <v>0</v>
      </c>
      <c r="M101" s="68">
        <v>500</v>
      </c>
      <c r="N101" s="68">
        <v>0</v>
      </c>
      <c r="O101" s="68">
        <v>500</v>
      </c>
      <c r="P101" s="68">
        <v>0</v>
      </c>
      <c r="Q101" s="68">
        <v>500</v>
      </c>
      <c r="R101" s="68">
        <v>0</v>
      </c>
      <c r="S101" s="68">
        <v>500</v>
      </c>
      <c r="T101" s="68">
        <v>0</v>
      </c>
      <c r="U101" s="68">
        <v>500</v>
      </c>
      <c r="V101" s="68">
        <v>0</v>
      </c>
      <c r="W101" s="68">
        <v>500</v>
      </c>
      <c r="X101" s="68">
        <v>0</v>
      </c>
      <c r="Y101" s="68">
        <v>500</v>
      </c>
      <c r="Z101" s="68">
        <v>0</v>
      </c>
      <c r="AA101" s="51">
        <f t="shared" si="24"/>
        <v>6000</v>
      </c>
      <c r="AB101" s="51">
        <f t="shared" si="25"/>
        <v>0</v>
      </c>
      <c r="AC101" s="22"/>
      <c r="AD101" s="31">
        <f t="shared" si="26"/>
        <v>6000</v>
      </c>
      <c r="AE101" s="31">
        <f t="shared" si="27"/>
        <v>0</v>
      </c>
      <c r="AF101" s="17">
        <f t="shared" si="28"/>
        <v>0</v>
      </c>
      <c r="AG101" s="17">
        <f t="shared" si="29"/>
        <v>0</v>
      </c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61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</row>
    <row r="102" spans="1:123" s="17" customFormat="1" ht="18" customHeight="1" x14ac:dyDescent="0.25">
      <c r="A102" s="52" t="s">
        <v>179</v>
      </c>
      <c r="B102" s="45">
        <v>7</v>
      </c>
      <c r="C102" s="69"/>
      <c r="D102" s="65"/>
      <c r="E102" s="65"/>
      <c r="F102" s="65">
        <f>SUM(F103:F175)-F103-F106-F115-F126-F138-F172</f>
        <v>0</v>
      </c>
      <c r="G102" s="65"/>
      <c r="H102" s="65">
        <f>SUM(H103:H175)-H103-H106-H115-H126-H138-H172</f>
        <v>0</v>
      </c>
      <c r="I102" s="65"/>
      <c r="J102" s="65">
        <f>SUM(J103:J175)-J103-J106-J115-J126-J138-J172</f>
        <v>0</v>
      </c>
      <c r="K102" s="65"/>
      <c r="L102" s="65">
        <f>SUM(L103:L175)-L103-L106-L115-L126-L138-L172</f>
        <v>0</v>
      </c>
      <c r="M102" s="65"/>
      <c r="N102" s="65">
        <f>SUM(N103:N175)-N103-N106-N115-N126-N138-N172</f>
        <v>0</v>
      </c>
      <c r="O102" s="65"/>
      <c r="P102" s="65">
        <f>SUM(P103:P175)-P103-P106-P115-P126-P138-P172</f>
        <v>0</v>
      </c>
      <c r="Q102" s="65"/>
      <c r="R102" s="65">
        <f>SUM(R103:R175)-R103-R106-R115-R126-R138-R172</f>
        <v>0</v>
      </c>
      <c r="S102" s="65"/>
      <c r="T102" s="65">
        <f>SUM(T103:T175)-T103-T106-T115-T126-T138-T172</f>
        <v>0</v>
      </c>
      <c r="U102" s="65"/>
      <c r="V102" s="65">
        <f>SUM(V103:V175)-V103-V106-V115-V126-V138-V172</f>
        <v>0</v>
      </c>
      <c r="W102" s="65"/>
      <c r="X102" s="65">
        <f>SUM(X103:X175)-X103-X106-X115-X126-X138-X172</f>
        <v>0</v>
      </c>
      <c r="Y102" s="65"/>
      <c r="Z102" s="65">
        <f>SUM(Z103:Z175)-Z103-Z106-Z115-Z126-Z138-Z172</f>
        <v>0</v>
      </c>
      <c r="AA102" s="51">
        <f t="shared" si="24"/>
        <v>0</v>
      </c>
      <c r="AB102" s="70">
        <f>SUM(D102:Z102)</f>
        <v>0</v>
      </c>
      <c r="AC102" s="21"/>
      <c r="AD102" s="31">
        <f t="shared" si="26"/>
        <v>0</v>
      </c>
      <c r="AE102" s="31">
        <f t="shared" si="27"/>
        <v>0</v>
      </c>
      <c r="AF102" s="17">
        <f t="shared" si="28"/>
        <v>0</v>
      </c>
      <c r="AG102" s="17">
        <f t="shared" si="29"/>
        <v>0</v>
      </c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66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</row>
    <row r="103" spans="1:123" s="17" customFormat="1" ht="18" customHeight="1" outlineLevel="1" x14ac:dyDescent="0.25">
      <c r="A103" s="67" t="s">
        <v>107</v>
      </c>
      <c r="B103" s="45"/>
      <c r="C103" s="69"/>
      <c r="D103" s="65"/>
      <c r="E103" s="65"/>
      <c r="F103" s="65">
        <f>SUM(F104:F105)</f>
        <v>0</v>
      </c>
      <c r="G103" s="65"/>
      <c r="H103" s="65">
        <f>SUM(H104:H105)</f>
        <v>0</v>
      </c>
      <c r="I103" s="65"/>
      <c r="J103" s="65">
        <f>SUM(J104:J105)</f>
        <v>0</v>
      </c>
      <c r="K103" s="65"/>
      <c r="L103" s="65">
        <f>SUM(L104:L105)</f>
        <v>0</v>
      </c>
      <c r="M103" s="65"/>
      <c r="N103" s="65">
        <f>SUM(N104:N105)</f>
        <v>0</v>
      </c>
      <c r="O103" s="65"/>
      <c r="P103" s="65">
        <f>SUM(P104:P105)</f>
        <v>0</v>
      </c>
      <c r="Q103" s="65"/>
      <c r="R103" s="65">
        <f>SUM(R104:R105)</f>
        <v>0</v>
      </c>
      <c r="S103" s="65"/>
      <c r="T103" s="65">
        <f>SUM(T104:T105)</f>
        <v>0</v>
      </c>
      <c r="U103" s="65"/>
      <c r="V103" s="65">
        <f>SUM(V104:V105)</f>
        <v>0</v>
      </c>
      <c r="W103" s="65"/>
      <c r="X103" s="65">
        <f>SUM(X104:X105)</f>
        <v>0</v>
      </c>
      <c r="Y103" s="65"/>
      <c r="Z103" s="65">
        <f>SUM(Z104:Z105)</f>
        <v>0</v>
      </c>
      <c r="AA103" s="51">
        <f t="shared" si="24"/>
        <v>0</v>
      </c>
      <c r="AB103" s="51">
        <f t="shared" ref="AB103:AB166" si="30">D103+F103+H103+J103+L103+N103+P103+R103+T103+V103+X103+Z103</f>
        <v>0</v>
      </c>
      <c r="AC103" s="21"/>
      <c r="AD103" s="31">
        <f t="shared" si="26"/>
        <v>0</v>
      </c>
      <c r="AE103" s="31">
        <f t="shared" si="27"/>
        <v>0</v>
      </c>
      <c r="AF103" s="17">
        <f t="shared" si="28"/>
        <v>0</v>
      </c>
      <c r="AG103" s="17">
        <f t="shared" si="29"/>
        <v>0</v>
      </c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66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</row>
    <row r="104" spans="1:123" s="19" customFormat="1" ht="18" customHeight="1" outlineLevel="2" x14ac:dyDescent="0.25">
      <c r="A104" s="48" t="s">
        <v>108</v>
      </c>
      <c r="B104" s="53"/>
      <c r="C104" s="49"/>
      <c r="D104" s="68"/>
      <c r="E104" s="68"/>
      <c r="F104" s="68">
        <v>0</v>
      </c>
      <c r="G104" s="68"/>
      <c r="H104" s="68">
        <v>0</v>
      </c>
      <c r="I104" s="68"/>
      <c r="J104" s="68">
        <v>0</v>
      </c>
      <c r="K104" s="68"/>
      <c r="L104" s="68">
        <v>0</v>
      </c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51">
        <f t="shared" si="24"/>
        <v>0</v>
      </c>
      <c r="AB104" s="51">
        <f t="shared" si="30"/>
        <v>0</v>
      </c>
      <c r="AD104" s="31">
        <f t="shared" si="26"/>
        <v>0</v>
      </c>
      <c r="AE104" s="31">
        <f t="shared" si="27"/>
        <v>0</v>
      </c>
      <c r="AF104" s="17">
        <f t="shared" si="28"/>
        <v>0</v>
      </c>
      <c r="AG104" s="17">
        <f t="shared" si="29"/>
        <v>0</v>
      </c>
      <c r="BG104" s="66"/>
    </row>
    <row r="105" spans="1:123" s="19" customFormat="1" ht="18" customHeight="1" outlineLevel="2" x14ac:dyDescent="0.25">
      <c r="A105" s="48" t="s">
        <v>109</v>
      </c>
      <c r="B105" s="53"/>
      <c r="C105" s="49"/>
      <c r="D105" s="68"/>
      <c r="E105" s="68"/>
      <c r="F105" s="68">
        <v>0</v>
      </c>
      <c r="G105" s="68"/>
      <c r="H105" s="68">
        <v>0</v>
      </c>
      <c r="I105" s="68"/>
      <c r="J105" s="68">
        <v>0</v>
      </c>
      <c r="K105" s="68"/>
      <c r="L105" s="68">
        <v>0</v>
      </c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51">
        <f t="shared" si="24"/>
        <v>0</v>
      </c>
      <c r="AB105" s="51">
        <f t="shared" si="30"/>
        <v>0</v>
      </c>
      <c r="AD105" s="31">
        <f t="shared" si="26"/>
        <v>0</v>
      </c>
      <c r="AE105" s="31">
        <f t="shared" si="27"/>
        <v>0</v>
      </c>
      <c r="AF105" s="17">
        <f t="shared" si="28"/>
        <v>0</v>
      </c>
      <c r="AG105" s="17">
        <f t="shared" si="29"/>
        <v>0</v>
      </c>
      <c r="BG105" s="66"/>
    </row>
    <row r="106" spans="1:123" s="17" customFormat="1" ht="18" customHeight="1" outlineLevel="1" x14ac:dyDescent="0.25">
      <c r="A106" s="67" t="s">
        <v>110</v>
      </c>
      <c r="B106" s="45"/>
      <c r="C106" s="69"/>
      <c r="D106" s="65"/>
      <c r="E106" s="65"/>
      <c r="F106" s="65">
        <f>SUM(F107:F111)</f>
        <v>0</v>
      </c>
      <c r="G106" s="65"/>
      <c r="H106" s="65">
        <f>SUM(H107:H111)</f>
        <v>0</v>
      </c>
      <c r="I106" s="65"/>
      <c r="J106" s="65">
        <f>SUM(J107:J111)</f>
        <v>0</v>
      </c>
      <c r="K106" s="65"/>
      <c r="L106" s="65">
        <f>SUM(L107:L111)</f>
        <v>0</v>
      </c>
      <c r="M106" s="65"/>
      <c r="N106" s="65">
        <f>SUM(N107:N111)</f>
        <v>0</v>
      </c>
      <c r="O106" s="65"/>
      <c r="P106" s="65">
        <f>SUM(P107:P111)</f>
        <v>0</v>
      </c>
      <c r="Q106" s="65"/>
      <c r="R106" s="65">
        <f>SUM(R107:R111)</f>
        <v>0</v>
      </c>
      <c r="S106" s="65"/>
      <c r="T106" s="65">
        <f>SUM(T107:T111)</f>
        <v>0</v>
      </c>
      <c r="U106" s="65"/>
      <c r="V106" s="65">
        <f>SUM(V107:V111)</f>
        <v>0</v>
      </c>
      <c r="W106" s="65"/>
      <c r="X106" s="65">
        <f>SUM(X107:X111)</f>
        <v>0</v>
      </c>
      <c r="Y106" s="65"/>
      <c r="Z106" s="65">
        <f>SUM(Z107:Z111)</f>
        <v>0</v>
      </c>
      <c r="AA106" s="51">
        <f t="shared" si="24"/>
        <v>0</v>
      </c>
      <c r="AB106" s="51">
        <f t="shared" si="30"/>
        <v>0</v>
      </c>
      <c r="AC106" s="21"/>
      <c r="AD106" s="31">
        <f t="shared" si="26"/>
        <v>0</v>
      </c>
      <c r="AE106" s="31">
        <f t="shared" si="27"/>
        <v>0</v>
      </c>
      <c r="AF106" s="17">
        <f t="shared" si="28"/>
        <v>0</v>
      </c>
      <c r="AG106" s="17">
        <f t="shared" si="29"/>
        <v>0</v>
      </c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66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</row>
    <row r="107" spans="1:123" s="19" customFormat="1" ht="18" customHeight="1" outlineLevel="2" x14ac:dyDescent="0.25">
      <c r="A107" s="48" t="s">
        <v>111</v>
      </c>
      <c r="B107" s="53"/>
      <c r="C107" s="49"/>
      <c r="D107" s="68"/>
      <c r="E107" s="68"/>
      <c r="F107" s="68">
        <v>0</v>
      </c>
      <c r="G107" s="68"/>
      <c r="H107" s="68">
        <v>0</v>
      </c>
      <c r="I107" s="68"/>
      <c r="J107" s="68">
        <v>0</v>
      </c>
      <c r="K107" s="68"/>
      <c r="L107" s="68">
        <v>0</v>
      </c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51">
        <f t="shared" si="24"/>
        <v>0</v>
      </c>
      <c r="AB107" s="51">
        <f t="shared" si="30"/>
        <v>0</v>
      </c>
      <c r="AD107" s="31">
        <f t="shared" si="26"/>
        <v>0</v>
      </c>
      <c r="AE107" s="31">
        <f t="shared" si="27"/>
        <v>0</v>
      </c>
      <c r="AF107" s="17">
        <f t="shared" si="28"/>
        <v>0</v>
      </c>
      <c r="AG107" s="17">
        <f t="shared" si="29"/>
        <v>0</v>
      </c>
      <c r="BG107" s="20"/>
    </row>
    <row r="108" spans="1:123" s="19" customFormat="1" ht="18" customHeight="1" outlineLevel="2" x14ac:dyDescent="0.25">
      <c r="A108" s="48" t="s">
        <v>112</v>
      </c>
      <c r="B108" s="53"/>
      <c r="C108" s="49"/>
      <c r="D108" s="68"/>
      <c r="E108" s="68"/>
      <c r="F108" s="68">
        <v>0</v>
      </c>
      <c r="G108" s="68"/>
      <c r="H108" s="68">
        <v>0</v>
      </c>
      <c r="I108" s="68"/>
      <c r="J108" s="68">
        <v>0</v>
      </c>
      <c r="K108" s="68"/>
      <c r="L108" s="68">
        <v>0</v>
      </c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51">
        <f t="shared" si="24"/>
        <v>0</v>
      </c>
      <c r="AB108" s="51">
        <f t="shared" si="30"/>
        <v>0</v>
      </c>
      <c r="AD108" s="31">
        <f t="shared" si="26"/>
        <v>0</v>
      </c>
      <c r="AE108" s="31">
        <f t="shared" si="27"/>
        <v>0</v>
      </c>
      <c r="AF108" s="17">
        <f t="shared" si="28"/>
        <v>0</v>
      </c>
      <c r="AG108" s="17">
        <f t="shared" si="29"/>
        <v>0</v>
      </c>
      <c r="BG108" s="20"/>
    </row>
    <row r="109" spans="1:123" s="19" customFormat="1" ht="18" customHeight="1" outlineLevel="2" x14ac:dyDescent="0.25">
      <c r="A109" s="48" t="s">
        <v>113</v>
      </c>
      <c r="B109" s="53"/>
      <c r="C109" s="49"/>
      <c r="D109" s="68"/>
      <c r="E109" s="68"/>
      <c r="F109" s="68">
        <v>0</v>
      </c>
      <c r="G109" s="68"/>
      <c r="H109" s="68">
        <v>0</v>
      </c>
      <c r="I109" s="68"/>
      <c r="J109" s="68">
        <v>0</v>
      </c>
      <c r="K109" s="68"/>
      <c r="L109" s="68">
        <v>0</v>
      </c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51">
        <f t="shared" si="24"/>
        <v>0</v>
      </c>
      <c r="AB109" s="51">
        <f t="shared" si="30"/>
        <v>0</v>
      </c>
      <c r="AD109" s="31">
        <f t="shared" si="26"/>
        <v>0</v>
      </c>
      <c r="AE109" s="31">
        <f t="shared" si="27"/>
        <v>0</v>
      </c>
      <c r="AF109" s="17">
        <f t="shared" si="28"/>
        <v>0</v>
      </c>
      <c r="AG109" s="17">
        <f t="shared" si="29"/>
        <v>0</v>
      </c>
      <c r="BG109" s="20"/>
    </row>
    <row r="110" spans="1:123" s="19" customFormat="1" ht="18" customHeight="1" outlineLevel="2" x14ac:dyDescent="0.25">
      <c r="A110" s="48" t="s">
        <v>114</v>
      </c>
      <c r="B110" s="53"/>
      <c r="C110" s="49"/>
      <c r="D110" s="68"/>
      <c r="E110" s="68"/>
      <c r="F110" s="68">
        <v>0</v>
      </c>
      <c r="G110" s="68"/>
      <c r="H110" s="68">
        <v>0</v>
      </c>
      <c r="I110" s="68"/>
      <c r="J110" s="68">
        <v>0</v>
      </c>
      <c r="K110" s="68"/>
      <c r="L110" s="68">
        <v>0</v>
      </c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51">
        <f t="shared" si="24"/>
        <v>0</v>
      </c>
      <c r="AB110" s="51">
        <f t="shared" si="30"/>
        <v>0</v>
      </c>
      <c r="AD110" s="31">
        <f t="shared" si="26"/>
        <v>0</v>
      </c>
      <c r="AE110" s="31">
        <f t="shared" si="27"/>
        <v>0</v>
      </c>
      <c r="AF110" s="17">
        <f t="shared" si="28"/>
        <v>0</v>
      </c>
      <c r="AG110" s="17">
        <f t="shared" si="29"/>
        <v>0</v>
      </c>
      <c r="BG110" s="20"/>
    </row>
    <row r="111" spans="1:123" s="19" customFormat="1" ht="18" customHeight="1" outlineLevel="2" x14ac:dyDescent="0.25">
      <c r="A111" s="48" t="s">
        <v>115</v>
      </c>
      <c r="B111" s="53"/>
      <c r="C111" s="49"/>
      <c r="D111" s="68"/>
      <c r="E111" s="68"/>
      <c r="F111" s="68">
        <v>0</v>
      </c>
      <c r="G111" s="68"/>
      <c r="H111" s="68">
        <v>0</v>
      </c>
      <c r="I111" s="68"/>
      <c r="J111" s="68">
        <v>0</v>
      </c>
      <c r="K111" s="68"/>
      <c r="L111" s="68">
        <v>0</v>
      </c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51">
        <f t="shared" si="24"/>
        <v>0</v>
      </c>
      <c r="AB111" s="51">
        <f t="shared" si="30"/>
        <v>0</v>
      </c>
      <c r="AD111" s="31">
        <f t="shared" si="26"/>
        <v>0</v>
      </c>
      <c r="AE111" s="31">
        <f t="shared" si="27"/>
        <v>0</v>
      </c>
      <c r="AF111" s="17">
        <f t="shared" si="28"/>
        <v>0</v>
      </c>
      <c r="AG111" s="17">
        <f t="shared" si="29"/>
        <v>0</v>
      </c>
      <c r="BG111" s="20"/>
    </row>
    <row r="112" spans="1:123" s="19" customFormat="1" ht="18" customHeight="1" outlineLevel="1" x14ac:dyDescent="0.25">
      <c r="A112" s="48" t="s">
        <v>116</v>
      </c>
      <c r="B112" s="53"/>
      <c r="C112" s="49"/>
      <c r="D112" s="68"/>
      <c r="E112" s="68"/>
      <c r="F112" s="68">
        <v>0</v>
      </c>
      <c r="G112" s="68"/>
      <c r="H112" s="68">
        <v>0</v>
      </c>
      <c r="I112" s="68"/>
      <c r="J112" s="68">
        <v>0</v>
      </c>
      <c r="K112" s="68"/>
      <c r="L112" s="68">
        <v>0</v>
      </c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51">
        <f t="shared" si="24"/>
        <v>0</v>
      </c>
      <c r="AB112" s="51">
        <f t="shared" si="30"/>
        <v>0</v>
      </c>
      <c r="AD112" s="31">
        <f t="shared" si="26"/>
        <v>0</v>
      </c>
      <c r="AE112" s="31">
        <f t="shared" si="27"/>
        <v>0</v>
      </c>
      <c r="AF112" s="17">
        <f t="shared" si="28"/>
        <v>0</v>
      </c>
      <c r="AG112" s="17">
        <f t="shared" si="29"/>
        <v>0</v>
      </c>
      <c r="BG112" s="20"/>
    </row>
    <row r="113" spans="1:123" s="19" customFormat="1" ht="18" customHeight="1" outlineLevel="1" x14ac:dyDescent="0.25">
      <c r="A113" s="48" t="s">
        <v>117</v>
      </c>
      <c r="B113" s="53"/>
      <c r="C113" s="49"/>
      <c r="D113" s="68"/>
      <c r="E113" s="68"/>
      <c r="F113" s="68">
        <v>0</v>
      </c>
      <c r="G113" s="68"/>
      <c r="H113" s="68">
        <v>0</v>
      </c>
      <c r="I113" s="68"/>
      <c r="J113" s="68">
        <v>0</v>
      </c>
      <c r="K113" s="68"/>
      <c r="L113" s="68">
        <v>0</v>
      </c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51">
        <f t="shared" si="24"/>
        <v>0</v>
      </c>
      <c r="AB113" s="51">
        <f t="shared" si="30"/>
        <v>0</v>
      </c>
      <c r="AD113" s="31">
        <f t="shared" si="26"/>
        <v>0</v>
      </c>
      <c r="AE113" s="31">
        <f t="shared" si="27"/>
        <v>0</v>
      </c>
      <c r="AF113" s="17">
        <f t="shared" si="28"/>
        <v>0</v>
      </c>
      <c r="AG113" s="17">
        <f t="shared" si="29"/>
        <v>0</v>
      </c>
      <c r="BG113" s="20"/>
    </row>
    <row r="114" spans="1:123" s="19" customFormat="1" ht="18" customHeight="1" outlineLevel="1" x14ac:dyDescent="0.25">
      <c r="A114" s="48" t="s">
        <v>118</v>
      </c>
      <c r="B114" s="53"/>
      <c r="C114" s="49"/>
      <c r="D114" s="68"/>
      <c r="E114" s="68"/>
      <c r="F114" s="68">
        <v>0</v>
      </c>
      <c r="G114" s="68"/>
      <c r="H114" s="68">
        <v>0</v>
      </c>
      <c r="I114" s="68"/>
      <c r="J114" s="68">
        <v>0</v>
      </c>
      <c r="K114" s="68"/>
      <c r="L114" s="68">
        <v>0</v>
      </c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51">
        <f t="shared" si="24"/>
        <v>0</v>
      </c>
      <c r="AB114" s="51">
        <f t="shared" si="30"/>
        <v>0</v>
      </c>
      <c r="AD114" s="31">
        <f t="shared" si="26"/>
        <v>0</v>
      </c>
      <c r="AE114" s="31">
        <f t="shared" si="27"/>
        <v>0</v>
      </c>
      <c r="AF114" s="17">
        <f t="shared" si="28"/>
        <v>0</v>
      </c>
      <c r="AG114" s="17">
        <f t="shared" si="29"/>
        <v>0</v>
      </c>
      <c r="BG114" s="20"/>
    </row>
    <row r="115" spans="1:123" s="17" customFormat="1" ht="18" customHeight="1" outlineLevel="1" x14ac:dyDescent="0.25">
      <c r="A115" s="67" t="s">
        <v>119</v>
      </c>
      <c r="B115" s="45"/>
      <c r="C115" s="69"/>
      <c r="D115" s="65"/>
      <c r="E115" s="65"/>
      <c r="F115" s="65">
        <f>SUM(F116:F122)</f>
        <v>0</v>
      </c>
      <c r="G115" s="65"/>
      <c r="H115" s="65">
        <f>SUM(H116:H122)</f>
        <v>0</v>
      </c>
      <c r="I115" s="65"/>
      <c r="J115" s="65">
        <f>SUM(J116:J122)</f>
        <v>0</v>
      </c>
      <c r="K115" s="65"/>
      <c r="L115" s="65">
        <f>SUM(L116:L122)</f>
        <v>0</v>
      </c>
      <c r="M115" s="65"/>
      <c r="N115" s="65">
        <f>SUM(N116:N122)</f>
        <v>0</v>
      </c>
      <c r="O115" s="65"/>
      <c r="P115" s="65">
        <f>SUM(P116:P122)</f>
        <v>0</v>
      </c>
      <c r="Q115" s="65"/>
      <c r="R115" s="65">
        <f>SUM(R116:R122)</f>
        <v>0</v>
      </c>
      <c r="S115" s="65"/>
      <c r="T115" s="65">
        <f>SUM(T116:T122)</f>
        <v>0</v>
      </c>
      <c r="U115" s="65"/>
      <c r="V115" s="65">
        <f>SUM(V116:V122)</f>
        <v>0</v>
      </c>
      <c r="W115" s="65"/>
      <c r="X115" s="65">
        <f>SUM(X116:X122)</f>
        <v>0</v>
      </c>
      <c r="Y115" s="65"/>
      <c r="Z115" s="65">
        <f>SUM(Z116:Z122)</f>
        <v>0</v>
      </c>
      <c r="AA115" s="51">
        <f t="shared" si="24"/>
        <v>0</v>
      </c>
      <c r="AB115" s="51">
        <f t="shared" si="30"/>
        <v>0</v>
      </c>
      <c r="AC115" s="21"/>
      <c r="AD115" s="31">
        <f t="shared" si="26"/>
        <v>0</v>
      </c>
      <c r="AE115" s="31">
        <f t="shared" si="27"/>
        <v>0</v>
      </c>
      <c r="AF115" s="17">
        <f t="shared" si="28"/>
        <v>0</v>
      </c>
      <c r="AG115" s="17">
        <f t="shared" si="29"/>
        <v>0</v>
      </c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66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</row>
    <row r="116" spans="1:123" s="19" customFormat="1" ht="18" customHeight="1" outlineLevel="2" x14ac:dyDescent="0.25">
      <c r="A116" s="48" t="s">
        <v>120</v>
      </c>
      <c r="B116" s="53"/>
      <c r="C116" s="49"/>
      <c r="D116" s="68"/>
      <c r="E116" s="68"/>
      <c r="F116" s="68">
        <v>0</v>
      </c>
      <c r="G116" s="68"/>
      <c r="H116" s="68">
        <v>0</v>
      </c>
      <c r="I116" s="68"/>
      <c r="J116" s="68">
        <v>0</v>
      </c>
      <c r="K116" s="68"/>
      <c r="L116" s="68">
        <v>0</v>
      </c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51">
        <f t="shared" si="24"/>
        <v>0</v>
      </c>
      <c r="AB116" s="51">
        <f t="shared" si="30"/>
        <v>0</v>
      </c>
      <c r="AD116" s="31">
        <f t="shared" si="26"/>
        <v>0</v>
      </c>
      <c r="AE116" s="31">
        <f t="shared" si="27"/>
        <v>0</v>
      </c>
      <c r="AF116" s="17">
        <f t="shared" si="28"/>
        <v>0</v>
      </c>
      <c r="AG116" s="17">
        <f t="shared" si="29"/>
        <v>0</v>
      </c>
      <c r="BG116" s="20"/>
    </row>
    <row r="117" spans="1:123" s="19" customFormat="1" ht="18" customHeight="1" outlineLevel="2" x14ac:dyDescent="0.25">
      <c r="A117" s="48" t="s">
        <v>121</v>
      </c>
      <c r="B117" s="53"/>
      <c r="C117" s="49"/>
      <c r="D117" s="68"/>
      <c r="E117" s="68"/>
      <c r="F117" s="68">
        <v>0</v>
      </c>
      <c r="G117" s="68"/>
      <c r="H117" s="68">
        <v>0</v>
      </c>
      <c r="I117" s="68"/>
      <c r="J117" s="68">
        <v>0</v>
      </c>
      <c r="K117" s="68"/>
      <c r="L117" s="68">
        <v>0</v>
      </c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51">
        <f t="shared" si="24"/>
        <v>0</v>
      </c>
      <c r="AB117" s="51">
        <f t="shared" si="30"/>
        <v>0</v>
      </c>
      <c r="AD117" s="31">
        <f t="shared" si="26"/>
        <v>0</v>
      </c>
      <c r="AE117" s="31">
        <f t="shared" si="27"/>
        <v>0</v>
      </c>
      <c r="AF117" s="17">
        <f t="shared" si="28"/>
        <v>0</v>
      </c>
      <c r="AG117" s="17">
        <f t="shared" si="29"/>
        <v>0</v>
      </c>
      <c r="BG117" s="20"/>
    </row>
    <row r="118" spans="1:123" s="19" customFormat="1" ht="18" customHeight="1" outlineLevel="2" x14ac:dyDescent="0.25">
      <c r="A118" s="48" t="s">
        <v>122</v>
      </c>
      <c r="B118" s="53"/>
      <c r="C118" s="49"/>
      <c r="D118" s="68"/>
      <c r="E118" s="68"/>
      <c r="F118" s="68">
        <v>0</v>
      </c>
      <c r="G118" s="68"/>
      <c r="H118" s="68">
        <v>0</v>
      </c>
      <c r="I118" s="68"/>
      <c r="J118" s="68">
        <v>0</v>
      </c>
      <c r="K118" s="68"/>
      <c r="L118" s="68">
        <v>0</v>
      </c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51">
        <f t="shared" si="24"/>
        <v>0</v>
      </c>
      <c r="AB118" s="51">
        <f t="shared" si="30"/>
        <v>0</v>
      </c>
      <c r="AD118" s="31">
        <f t="shared" si="26"/>
        <v>0</v>
      </c>
      <c r="AE118" s="31">
        <f t="shared" si="27"/>
        <v>0</v>
      </c>
      <c r="AF118" s="17">
        <f t="shared" si="28"/>
        <v>0</v>
      </c>
      <c r="AG118" s="17">
        <f t="shared" si="29"/>
        <v>0</v>
      </c>
      <c r="BG118" s="20"/>
    </row>
    <row r="119" spans="1:123" s="19" customFormat="1" ht="18" customHeight="1" outlineLevel="2" x14ac:dyDescent="0.25">
      <c r="A119" s="48" t="s">
        <v>123</v>
      </c>
      <c r="B119" s="53"/>
      <c r="C119" s="49"/>
      <c r="D119" s="68"/>
      <c r="E119" s="68"/>
      <c r="F119" s="68">
        <v>0</v>
      </c>
      <c r="G119" s="68"/>
      <c r="H119" s="68">
        <v>0</v>
      </c>
      <c r="I119" s="68"/>
      <c r="J119" s="68">
        <v>0</v>
      </c>
      <c r="K119" s="68"/>
      <c r="L119" s="68">
        <v>0</v>
      </c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51">
        <f t="shared" si="24"/>
        <v>0</v>
      </c>
      <c r="AB119" s="51">
        <f t="shared" si="30"/>
        <v>0</v>
      </c>
      <c r="AD119" s="31">
        <f t="shared" si="26"/>
        <v>0</v>
      </c>
      <c r="AE119" s="31">
        <f t="shared" si="27"/>
        <v>0</v>
      </c>
      <c r="AF119" s="17">
        <f t="shared" si="28"/>
        <v>0</v>
      </c>
      <c r="AG119" s="17">
        <f t="shared" si="29"/>
        <v>0</v>
      </c>
      <c r="BG119" s="20"/>
    </row>
    <row r="120" spans="1:123" s="19" customFormat="1" ht="18" customHeight="1" outlineLevel="2" x14ac:dyDescent="0.25">
      <c r="A120" s="48" t="s">
        <v>124</v>
      </c>
      <c r="B120" s="53"/>
      <c r="C120" s="49"/>
      <c r="D120" s="68"/>
      <c r="E120" s="68"/>
      <c r="F120" s="68">
        <v>0</v>
      </c>
      <c r="G120" s="68"/>
      <c r="H120" s="68">
        <v>0</v>
      </c>
      <c r="I120" s="68"/>
      <c r="J120" s="68">
        <v>0</v>
      </c>
      <c r="K120" s="68"/>
      <c r="L120" s="68">
        <v>0</v>
      </c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51">
        <f t="shared" si="24"/>
        <v>0</v>
      </c>
      <c r="AB120" s="51">
        <f t="shared" si="30"/>
        <v>0</v>
      </c>
      <c r="AD120" s="31">
        <f t="shared" si="26"/>
        <v>0</v>
      </c>
      <c r="AE120" s="31">
        <f t="shared" si="27"/>
        <v>0</v>
      </c>
      <c r="AF120" s="17">
        <f t="shared" si="28"/>
        <v>0</v>
      </c>
      <c r="AG120" s="17">
        <f t="shared" si="29"/>
        <v>0</v>
      </c>
      <c r="BG120" s="20"/>
    </row>
    <row r="121" spans="1:123" s="19" customFormat="1" ht="18" customHeight="1" outlineLevel="2" x14ac:dyDescent="0.25">
      <c r="A121" s="48" t="s">
        <v>125</v>
      </c>
      <c r="B121" s="53"/>
      <c r="C121" s="49"/>
      <c r="D121" s="68"/>
      <c r="E121" s="68"/>
      <c r="F121" s="68">
        <v>0</v>
      </c>
      <c r="G121" s="68"/>
      <c r="H121" s="68">
        <v>0</v>
      </c>
      <c r="I121" s="68"/>
      <c r="J121" s="68">
        <v>0</v>
      </c>
      <c r="K121" s="68"/>
      <c r="L121" s="68">
        <v>0</v>
      </c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51">
        <f t="shared" si="24"/>
        <v>0</v>
      </c>
      <c r="AB121" s="51">
        <f t="shared" si="30"/>
        <v>0</v>
      </c>
      <c r="AD121" s="31">
        <f t="shared" si="26"/>
        <v>0</v>
      </c>
      <c r="AE121" s="31">
        <f t="shared" si="27"/>
        <v>0</v>
      </c>
      <c r="AF121" s="17">
        <f t="shared" si="28"/>
        <v>0</v>
      </c>
      <c r="AG121" s="17">
        <f t="shared" si="29"/>
        <v>0</v>
      </c>
      <c r="BG121" s="20"/>
    </row>
    <row r="122" spans="1:123" s="19" customFormat="1" ht="18" customHeight="1" outlineLevel="2" x14ac:dyDescent="0.25">
      <c r="A122" s="48" t="s">
        <v>126</v>
      </c>
      <c r="B122" s="53"/>
      <c r="C122" s="49"/>
      <c r="D122" s="68"/>
      <c r="E122" s="68"/>
      <c r="F122" s="68">
        <v>0</v>
      </c>
      <c r="G122" s="68"/>
      <c r="H122" s="68">
        <v>0</v>
      </c>
      <c r="I122" s="68"/>
      <c r="J122" s="68">
        <v>0</v>
      </c>
      <c r="K122" s="68"/>
      <c r="L122" s="68">
        <v>0</v>
      </c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51">
        <f t="shared" si="24"/>
        <v>0</v>
      </c>
      <c r="AB122" s="51">
        <f t="shared" si="30"/>
        <v>0</v>
      </c>
      <c r="AD122" s="31">
        <f t="shared" si="26"/>
        <v>0</v>
      </c>
      <c r="AE122" s="31">
        <f t="shared" si="27"/>
        <v>0</v>
      </c>
      <c r="AF122" s="17">
        <f t="shared" si="28"/>
        <v>0</v>
      </c>
      <c r="AG122" s="17">
        <f t="shared" si="29"/>
        <v>0</v>
      </c>
      <c r="BG122" s="20"/>
    </row>
    <row r="123" spans="1:123" s="19" customFormat="1" ht="18" customHeight="1" outlineLevel="1" x14ac:dyDescent="0.25">
      <c r="A123" s="48" t="s">
        <v>127</v>
      </c>
      <c r="B123" s="53"/>
      <c r="C123" s="49"/>
      <c r="D123" s="68"/>
      <c r="E123" s="68"/>
      <c r="F123" s="68">
        <v>0</v>
      </c>
      <c r="G123" s="68"/>
      <c r="H123" s="68">
        <v>0</v>
      </c>
      <c r="I123" s="68"/>
      <c r="J123" s="68">
        <v>0</v>
      </c>
      <c r="K123" s="68"/>
      <c r="L123" s="68">
        <v>0</v>
      </c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51">
        <f t="shared" si="24"/>
        <v>0</v>
      </c>
      <c r="AB123" s="51">
        <f t="shared" si="30"/>
        <v>0</v>
      </c>
      <c r="AD123" s="31">
        <f t="shared" si="26"/>
        <v>0</v>
      </c>
      <c r="AE123" s="31">
        <f t="shared" si="27"/>
        <v>0</v>
      </c>
      <c r="AF123" s="17">
        <f t="shared" si="28"/>
        <v>0</v>
      </c>
      <c r="AG123" s="17">
        <f t="shared" si="29"/>
        <v>0</v>
      </c>
      <c r="BG123" s="20"/>
    </row>
    <row r="124" spans="1:123" s="19" customFormat="1" ht="18" customHeight="1" outlineLevel="1" x14ac:dyDescent="0.25">
      <c r="A124" s="48" t="s">
        <v>128</v>
      </c>
      <c r="B124" s="53"/>
      <c r="C124" s="49"/>
      <c r="D124" s="68"/>
      <c r="E124" s="68"/>
      <c r="F124" s="68">
        <v>0</v>
      </c>
      <c r="G124" s="68"/>
      <c r="H124" s="68">
        <v>0</v>
      </c>
      <c r="I124" s="68"/>
      <c r="J124" s="68">
        <v>0</v>
      </c>
      <c r="K124" s="68"/>
      <c r="L124" s="68">
        <v>0</v>
      </c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51">
        <f t="shared" si="24"/>
        <v>0</v>
      </c>
      <c r="AB124" s="51">
        <f t="shared" si="30"/>
        <v>0</v>
      </c>
      <c r="AD124" s="31">
        <f t="shared" si="26"/>
        <v>0</v>
      </c>
      <c r="AE124" s="31">
        <f t="shared" si="27"/>
        <v>0</v>
      </c>
      <c r="AF124" s="17">
        <f t="shared" si="28"/>
        <v>0</v>
      </c>
      <c r="AG124" s="17">
        <f t="shared" si="29"/>
        <v>0</v>
      </c>
      <c r="BG124" s="20"/>
    </row>
    <row r="125" spans="1:123" s="19" customFormat="1" ht="18" customHeight="1" outlineLevel="1" x14ac:dyDescent="0.25">
      <c r="A125" s="48" t="s">
        <v>129</v>
      </c>
      <c r="B125" s="53"/>
      <c r="C125" s="49"/>
      <c r="D125" s="68"/>
      <c r="E125" s="68"/>
      <c r="F125" s="68">
        <v>0</v>
      </c>
      <c r="G125" s="68"/>
      <c r="H125" s="68">
        <v>0</v>
      </c>
      <c r="I125" s="68"/>
      <c r="J125" s="68">
        <v>0</v>
      </c>
      <c r="K125" s="68"/>
      <c r="L125" s="68">
        <v>0</v>
      </c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51">
        <f t="shared" si="24"/>
        <v>0</v>
      </c>
      <c r="AB125" s="51">
        <f t="shared" si="30"/>
        <v>0</v>
      </c>
      <c r="AD125" s="31">
        <f t="shared" si="26"/>
        <v>0</v>
      </c>
      <c r="AE125" s="31">
        <f t="shared" si="27"/>
        <v>0</v>
      </c>
      <c r="AF125" s="17">
        <f t="shared" si="28"/>
        <v>0</v>
      </c>
      <c r="AG125" s="17">
        <f t="shared" si="29"/>
        <v>0</v>
      </c>
      <c r="BG125" s="20"/>
    </row>
    <row r="126" spans="1:123" s="17" customFormat="1" ht="18" customHeight="1" outlineLevel="1" x14ac:dyDescent="0.25">
      <c r="A126" s="67" t="s">
        <v>130</v>
      </c>
      <c r="B126" s="45"/>
      <c r="C126" s="69"/>
      <c r="D126" s="65"/>
      <c r="E126" s="65"/>
      <c r="F126" s="65">
        <f>SUM(F127:F131)</f>
        <v>0</v>
      </c>
      <c r="G126" s="65"/>
      <c r="H126" s="65">
        <f>SUM(H127:H131)</f>
        <v>0</v>
      </c>
      <c r="I126" s="65"/>
      <c r="J126" s="65">
        <f>SUM(J127:J131)</f>
        <v>0</v>
      </c>
      <c r="K126" s="65"/>
      <c r="L126" s="65">
        <f>SUM(L127:L131)</f>
        <v>0</v>
      </c>
      <c r="M126" s="65"/>
      <c r="N126" s="65">
        <f>SUM(N127:N131)</f>
        <v>0</v>
      </c>
      <c r="O126" s="65"/>
      <c r="P126" s="65">
        <f>SUM(P127:P131)</f>
        <v>0</v>
      </c>
      <c r="Q126" s="65"/>
      <c r="R126" s="65">
        <f>SUM(R127:R131)</f>
        <v>0</v>
      </c>
      <c r="S126" s="65"/>
      <c r="T126" s="65">
        <f>SUM(T127:T131)</f>
        <v>0</v>
      </c>
      <c r="U126" s="65"/>
      <c r="V126" s="65">
        <f>SUM(V127:V131)</f>
        <v>0</v>
      </c>
      <c r="W126" s="65"/>
      <c r="X126" s="65">
        <f>SUM(X127:X131)</f>
        <v>0</v>
      </c>
      <c r="Y126" s="65"/>
      <c r="Z126" s="65">
        <f>SUM(Z127:Z131)</f>
        <v>0</v>
      </c>
      <c r="AA126" s="51">
        <f t="shared" si="24"/>
        <v>0</v>
      </c>
      <c r="AB126" s="51">
        <f t="shared" si="30"/>
        <v>0</v>
      </c>
      <c r="AC126" s="21"/>
      <c r="AD126" s="31">
        <f t="shared" si="26"/>
        <v>0</v>
      </c>
      <c r="AE126" s="31">
        <f t="shared" si="27"/>
        <v>0</v>
      </c>
      <c r="AF126" s="17">
        <f t="shared" si="28"/>
        <v>0</v>
      </c>
      <c r="AG126" s="17">
        <f t="shared" si="29"/>
        <v>0</v>
      </c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66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</row>
    <row r="127" spans="1:123" s="19" customFormat="1" ht="18" customHeight="1" outlineLevel="2" x14ac:dyDescent="0.25">
      <c r="A127" s="48" t="s">
        <v>131</v>
      </c>
      <c r="B127" s="53"/>
      <c r="C127" s="49"/>
      <c r="D127" s="68"/>
      <c r="E127" s="68"/>
      <c r="F127" s="68">
        <v>0</v>
      </c>
      <c r="G127" s="68"/>
      <c r="H127" s="68">
        <v>0</v>
      </c>
      <c r="I127" s="68"/>
      <c r="J127" s="68">
        <v>0</v>
      </c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51">
        <f t="shared" si="24"/>
        <v>0</v>
      </c>
      <c r="AB127" s="51">
        <f t="shared" si="30"/>
        <v>0</v>
      </c>
      <c r="AD127" s="31">
        <f t="shared" si="26"/>
        <v>0</v>
      </c>
      <c r="AE127" s="31">
        <f t="shared" si="27"/>
        <v>0</v>
      </c>
      <c r="AF127" s="17">
        <f t="shared" si="28"/>
        <v>0</v>
      </c>
      <c r="AG127" s="17">
        <f t="shared" si="29"/>
        <v>0</v>
      </c>
      <c r="BG127" s="20"/>
    </row>
    <row r="128" spans="1:123" s="19" customFormat="1" ht="18" customHeight="1" outlineLevel="2" x14ac:dyDescent="0.25">
      <c r="A128" s="48" t="s">
        <v>132</v>
      </c>
      <c r="B128" s="53"/>
      <c r="C128" s="49"/>
      <c r="D128" s="68"/>
      <c r="E128" s="68"/>
      <c r="F128" s="68">
        <v>0</v>
      </c>
      <c r="G128" s="68"/>
      <c r="H128" s="68">
        <v>0</v>
      </c>
      <c r="I128" s="68"/>
      <c r="J128" s="68">
        <v>0</v>
      </c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51">
        <f t="shared" si="24"/>
        <v>0</v>
      </c>
      <c r="AB128" s="51">
        <f t="shared" si="30"/>
        <v>0</v>
      </c>
      <c r="AD128" s="31">
        <f t="shared" si="26"/>
        <v>0</v>
      </c>
      <c r="AE128" s="31">
        <f t="shared" si="27"/>
        <v>0</v>
      </c>
      <c r="AF128" s="17">
        <f t="shared" si="28"/>
        <v>0</v>
      </c>
      <c r="AG128" s="17">
        <f t="shared" si="29"/>
        <v>0</v>
      </c>
      <c r="BG128" s="20"/>
    </row>
    <row r="129" spans="1:123" s="19" customFormat="1" ht="18" customHeight="1" outlineLevel="2" x14ac:dyDescent="0.25">
      <c r="A129" s="48" t="s">
        <v>180</v>
      </c>
      <c r="B129" s="53"/>
      <c r="C129" s="49"/>
      <c r="D129" s="68"/>
      <c r="E129" s="68"/>
      <c r="F129" s="68">
        <v>0</v>
      </c>
      <c r="G129" s="68"/>
      <c r="H129" s="68">
        <v>0</v>
      </c>
      <c r="I129" s="68"/>
      <c r="J129" s="68">
        <v>0</v>
      </c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51">
        <f t="shared" si="24"/>
        <v>0</v>
      </c>
      <c r="AB129" s="51">
        <f t="shared" si="30"/>
        <v>0</v>
      </c>
      <c r="AD129" s="31">
        <f t="shared" si="26"/>
        <v>0</v>
      </c>
      <c r="AE129" s="31">
        <f t="shared" si="27"/>
        <v>0</v>
      </c>
      <c r="AF129" s="17">
        <f t="shared" si="28"/>
        <v>0</v>
      </c>
      <c r="AG129" s="17">
        <f t="shared" si="29"/>
        <v>0</v>
      </c>
      <c r="BG129" s="20"/>
    </row>
    <row r="130" spans="1:123" s="19" customFormat="1" ht="18" customHeight="1" outlineLevel="2" x14ac:dyDescent="0.25">
      <c r="A130" s="48" t="s">
        <v>134</v>
      </c>
      <c r="B130" s="53"/>
      <c r="C130" s="49"/>
      <c r="D130" s="68"/>
      <c r="E130" s="68"/>
      <c r="F130" s="68">
        <v>0</v>
      </c>
      <c r="G130" s="68"/>
      <c r="H130" s="68">
        <v>0</v>
      </c>
      <c r="I130" s="68"/>
      <c r="J130" s="68">
        <v>0</v>
      </c>
      <c r="K130" s="68"/>
      <c r="L130" s="68">
        <v>0</v>
      </c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51">
        <f t="shared" si="24"/>
        <v>0</v>
      </c>
      <c r="AB130" s="51">
        <f t="shared" si="30"/>
        <v>0</v>
      </c>
      <c r="AD130" s="31">
        <f t="shared" si="26"/>
        <v>0</v>
      </c>
      <c r="AE130" s="31">
        <f t="shared" si="27"/>
        <v>0</v>
      </c>
      <c r="AF130" s="17">
        <f t="shared" si="28"/>
        <v>0</v>
      </c>
      <c r="AG130" s="17">
        <f t="shared" si="29"/>
        <v>0</v>
      </c>
      <c r="BG130" s="20"/>
    </row>
    <row r="131" spans="1:123" s="19" customFormat="1" ht="18" customHeight="1" outlineLevel="2" x14ac:dyDescent="0.25">
      <c r="A131" s="48" t="s">
        <v>135</v>
      </c>
      <c r="B131" s="53"/>
      <c r="C131" s="49"/>
      <c r="D131" s="68"/>
      <c r="E131" s="68"/>
      <c r="F131" s="68">
        <v>0</v>
      </c>
      <c r="G131" s="68"/>
      <c r="H131" s="68">
        <v>0</v>
      </c>
      <c r="I131" s="68"/>
      <c r="J131" s="68">
        <v>0</v>
      </c>
      <c r="K131" s="68"/>
      <c r="L131" s="68">
        <v>0</v>
      </c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51">
        <f t="shared" si="24"/>
        <v>0</v>
      </c>
      <c r="AB131" s="51">
        <f t="shared" si="30"/>
        <v>0</v>
      </c>
      <c r="AD131" s="31">
        <f t="shared" si="26"/>
        <v>0</v>
      </c>
      <c r="AE131" s="31">
        <f t="shared" si="27"/>
        <v>0</v>
      </c>
      <c r="AF131" s="17">
        <f t="shared" si="28"/>
        <v>0</v>
      </c>
      <c r="AG131" s="17">
        <f t="shared" si="29"/>
        <v>0</v>
      </c>
      <c r="BG131" s="20"/>
    </row>
    <row r="132" spans="1:123" s="19" customFormat="1" ht="18" customHeight="1" outlineLevel="1" x14ac:dyDescent="0.25">
      <c r="A132" s="48" t="s">
        <v>136</v>
      </c>
      <c r="B132" s="53"/>
      <c r="C132" s="49"/>
      <c r="D132" s="68"/>
      <c r="E132" s="68"/>
      <c r="F132" s="68">
        <v>0</v>
      </c>
      <c r="G132" s="68"/>
      <c r="H132" s="68">
        <v>0</v>
      </c>
      <c r="I132" s="68"/>
      <c r="J132" s="68">
        <v>0</v>
      </c>
      <c r="K132" s="68"/>
      <c r="L132" s="68">
        <v>0</v>
      </c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51">
        <f t="shared" si="24"/>
        <v>0</v>
      </c>
      <c r="AB132" s="51">
        <f t="shared" si="30"/>
        <v>0</v>
      </c>
      <c r="AD132" s="31">
        <f t="shared" si="26"/>
        <v>0</v>
      </c>
      <c r="AE132" s="31">
        <f t="shared" si="27"/>
        <v>0</v>
      </c>
      <c r="AF132" s="17">
        <f t="shared" si="28"/>
        <v>0</v>
      </c>
      <c r="AG132" s="17">
        <f t="shared" si="29"/>
        <v>0</v>
      </c>
      <c r="BG132" s="20"/>
    </row>
    <row r="133" spans="1:123" s="19" customFormat="1" ht="18" customHeight="1" outlineLevel="1" x14ac:dyDescent="0.25">
      <c r="A133" s="48" t="s">
        <v>137</v>
      </c>
      <c r="B133" s="53"/>
      <c r="C133" s="49"/>
      <c r="D133" s="68"/>
      <c r="E133" s="68"/>
      <c r="F133" s="68">
        <v>0</v>
      </c>
      <c r="G133" s="68"/>
      <c r="H133" s="68">
        <v>0</v>
      </c>
      <c r="I133" s="68"/>
      <c r="J133" s="68">
        <v>0</v>
      </c>
      <c r="K133" s="68"/>
      <c r="L133" s="68">
        <v>0</v>
      </c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51">
        <f t="shared" si="24"/>
        <v>0</v>
      </c>
      <c r="AB133" s="51">
        <f t="shared" si="30"/>
        <v>0</v>
      </c>
      <c r="AD133" s="31">
        <f t="shared" si="26"/>
        <v>0</v>
      </c>
      <c r="AE133" s="31">
        <f t="shared" si="27"/>
        <v>0</v>
      </c>
      <c r="AF133" s="17">
        <f t="shared" si="28"/>
        <v>0</v>
      </c>
      <c r="AG133" s="17">
        <f t="shared" si="29"/>
        <v>0</v>
      </c>
      <c r="BG133" s="20"/>
    </row>
    <row r="134" spans="1:123" s="19" customFormat="1" ht="18" customHeight="1" outlineLevel="1" x14ac:dyDescent="0.25">
      <c r="A134" s="48" t="s">
        <v>138</v>
      </c>
      <c r="B134" s="53"/>
      <c r="C134" s="49"/>
      <c r="D134" s="68"/>
      <c r="E134" s="68"/>
      <c r="F134" s="68">
        <v>0</v>
      </c>
      <c r="G134" s="68"/>
      <c r="H134" s="68">
        <v>0</v>
      </c>
      <c r="I134" s="68"/>
      <c r="J134" s="68">
        <v>0</v>
      </c>
      <c r="K134" s="68"/>
      <c r="L134" s="68">
        <v>0</v>
      </c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51">
        <f t="shared" si="24"/>
        <v>0</v>
      </c>
      <c r="AB134" s="51">
        <f t="shared" si="30"/>
        <v>0</v>
      </c>
      <c r="AD134" s="31">
        <f t="shared" si="26"/>
        <v>0</v>
      </c>
      <c r="AE134" s="31">
        <f t="shared" si="27"/>
        <v>0</v>
      </c>
      <c r="AF134" s="17">
        <f t="shared" si="28"/>
        <v>0</v>
      </c>
      <c r="AG134" s="17">
        <f t="shared" si="29"/>
        <v>0</v>
      </c>
      <c r="BG134" s="20"/>
    </row>
    <row r="135" spans="1:123" s="19" customFormat="1" ht="18" customHeight="1" outlineLevel="1" x14ac:dyDescent="0.25">
      <c r="A135" s="48" t="s">
        <v>139</v>
      </c>
      <c r="B135" s="53"/>
      <c r="C135" s="49"/>
      <c r="D135" s="68"/>
      <c r="E135" s="68"/>
      <c r="F135" s="68">
        <v>0</v>
      </c>
      <c r="G135" s="68"/>
      <c r="H135" s="68">
        <v>0</v>
      </c>
      <c r="I135" s="68"/>
      <c r="J135" s="68">
        <v>0</v>
      </c>
      <c r="K135" s="68"/>
      <c r="L135" s="68">
        <v>0</v>
      </c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51">
        <f t="shared" si="24"/>
        <v>0</v>
      </c>
      <c r="AB135" s="51">
        <f t="shared" si="30"/>
        <v>0</v>
      </c>
      <c r="AD135" s="31">
        <f t="shared" si="26"/>
        <v>0</v>
      </c>
      <c r="AE135" s="31">
        <f t="shared" si="27"/>
        <v>0</v>
      </c>
      <c r="AF135" s="17">
        <f t="shared" si="28"/>
        <v>0</v>
      </c>
      <c r="AG135" s="17">
        <f t="shared" si="29"/>
        <v>0</v>
      </c>
      <c r="BG135" s="20"/>
    </row>
    <row r="136" spans="1:123" s="19" customFormat="1" ht="18" customHeight="1" outlineLevel="1" x14ac:dyDescent="0.25">
      <c r="A136" s="48" t="s">
        <v>140</v>
      </c>
      <c r="B136" s="53"/>
      <c r="C136" s="49"/>
      <c r="D136" s="68"/>
      <c r="E136" s="68"/>
      <c r="F136" s="68">
        <v>0</v>
      </c>
      <c r="G136" s="68"/>
      <c r="H136" s="68">
        <v>0</v>
      </c>
      <c r="I136" s="68"/>
      <c r="J136" s="68">
        <v>0</v>
      </c>
      <c r="K136" s="68"/>
      <c r="L136" s="68">
        <v>0</v>
      </c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51">
        <f t="shared" si="24"/>
        <v>0</v>
      </c>
      <c r="AB136" s="51">
        <f t="shared" si="30"/>
        <v>0</v>
      </c>
      <c r="AD136" s="31">
        <f t="shared" si="26"/>
        <v>0</v>
      </c>
      <c r="AE136" s="31">
        <f t="shared" si="27"/>
        <v>0</v>
      </c>
      <c r="AF136" s="17">
        <f t="shared" si="28"/>
        <v>0</v>
      </c>
      <c r="AG136" s="17">
        <f t="shared" si="29"/>
        <v>0</v>
      </c>
      <c r="BG136" s="20"/>
    </row>
    <row r="137" spans="1:123" s="19" customFormat="1" ht="18" customHeight="1" outlineLevel="1" x14ac:dyDescent="0.25">
      <c r="A137" s="48" t="s">
        <v>141</v>
      </c>
      <c r="B137" s="53"/>
      <c r="C137" s="49"/>
      <c r="D137" s="68"/>
      <c r="E137" s="68"/>
      <c r="F137" s="68">
        <v>0</v>
      </c>
      <c r="G137" s="68"/>
      <c r="H137" s="68">
        <v>0</v>
      </c>
      <c r="I137" s="68"/>
      <c r="J137" s="68">
        <v>0</v>
      </c>
      <c r="K137" s="68"/>
      <c r="L137" s="68">
        <v>0</v>
      </c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51">
        <f t="shared" si="24"/>
        <v>0</v>
      </c>
      <c r="AB137" s="51">
        <f t="shared" si="30"/>
        <v>0</v>
      </c>
      <c r="AD137" s="31">
        <f t="shared" si="26"/>
        <v>0</v>
      </c>
      <c r="AE137" s="31">
        <f t="shared" si="27"/>
        <v>0</v>
      </c>
      <c r="AF137" s="17">
        <f t="shared" si="28"/>
        <v>0</v>
      </c>
      <c r="AG137" s="17">
        <f t="shared" si="29"/>
        <v>0</v>
      </c>
      <c r="BG137" s="20"/>
    </row>
    <row r="138" spans="1:123" s="17" customFormat="1" ht="18" customHeight="1" outlineLevel="1" x14ac:dyDescent="0.25">
      <c r="A138" s="67" t="s">
        <v>142</v>
      </c>
      <c r="B138" s="45"/>
      <c r="C138" s="69"/>
      <c r="D138" s="65"/>
      <c r="E138" s="65"/>
      <c r="F138" s="65">
        <f>SUM(F139:F142)</f>
        <v>0</v>
      </c>
      <c r="G138" s="65"/>
      <c r="H138" s="65">
        <f>SUM(H139:H142)</f>
        <v>0</v>
      </c>
      <c r="I138" s="65"/>
      <c r="J138" s="65">
        <f>SUM(J139:J142)</f>
        <v>0</v>
      </c>
      <c r="K138" s="65"/>
      <c r="L138" s="65">
        <f>SUM(L139:L142)</f>
        <v>0</v>
      </c>
      <c r="M138" s="65"/>
      <c r="N138" s="65">
        <f>SUM(N139:N142)</f>
        <v>0</v>
      </c>
      <c r="O138" s="65"/>
      <c r="P138" s="65">
        <f>SUM(P139:P142)</f>
        <v>0</v>
      </c>
      <c r="Q138" s="65"/>
      <c r="R138" s="65">
        <f>SUM(R139:R142)</f>
        <v>0</v>
      </c>
      <c r="S138" s="65"/>
      <c r="T138" s="65">
        <f>SUM(T139:T142)</f>
        <v>0</v>
      </c>
      <c r="U138" s="65"/>
      <c r="V138" s="65">
        <f>SUM(V139:V142)</f>
        <v>0</v>
      </c>
      <c r="W138" s="65"/>
      <c r="X138" s="65">
        <f>SUM(X139:X142)</f>
        <v>0</v>
      </c>
      <c r="Y138" s="65"/>
      <c r="Z138" s="65">
        <f>SUM(Z139:Z142)</f>
        <v>0</v>
      </c>
      <c r="AA138" s="51">
        <f t="shared" si="24"/>
        <v>0</v>
      </c>
      <c r="AB138" s="51">
        <f t="shared" si="30"/>
        <v>0</v>
      </c>
      <c r="AC138" s="21"/>
      <c r="AD138" s="31">
        <f t="shared" si="26"/>
        <v>0</v>
      </c>
      <c r="AE138" s="31">
        <f t="shared" si="27"/>
        <v>0</v>
      </c>
      <c r="AF138" s="17">
        <f t="shared" si="28"/>
        <v>0</v>
      </c>
      <c r="AG138" s="17">
        <f t="shared" si="29"/>
        <v>0</v>
      </c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66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</row>
    <row r="139" spans="1:123" s="19" customFormat="1" ht="18" customHeight="1" outlineLevel="2" x14ac:dyDescent="0.25">
      <c r="A139" s="48" t="s">
        <v>143</v>
      </c>
      <c r="B139" s="53"/>
      <c r="C139" s="49"/>
      <c r="D139" s="68"/>
      <c r="E139" s="68"/>
      <c r="F139" s="68">
        <v>0</v>
      </c>
      <c r="G139" s="68"/>
      <c r="H139" s="68">
        <v>0</v>
      </c>
      <c r="I139" s="68"/>
      <c r="J139" s="68">
        <v>0</v>
      </c>
      <c r="K139" s="68"/>
      <c r="L139" s="68">
        <v>0</v>
      </c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51">
        <f t="shared" si="24"/>
        <v>0</v>
      </c>
      <c r="AB139" s="51">
        <f t="shared" si="30"/>
        <v>0</v>
      </c>
      <c r="AD139" s="31">
        <f t="shared" si="26"/>
        <v>0</v>
      </c>
      <c r="AE139" s="31">
        <f t="shared" si="27"/>
        <v>0</v>
      </c>
      <c r="AF139" s="17">
        <f t="shared" si="28"/>
        <v>0</v>
      </c>
      <c r="AG139" s="17">
        <f t="shared" si="29"/>
        <v>0</v>
      </c>
      <c r="BG139" s="20"/>
    </row>
    <row r="140" spans="1:123" s="19" customFormat="1" ht="18" customHeight="1" outlineLevel="2" x14ac:dyDescent="0.25">
      <c r="A140" s="48" t="s">
        <v>144</v>
      </c>
      <c r="B140" s="53"/>
      <c r="C140" s="49"/>
      <c r="D140" s="68"/>
      <c r="E140" s="68"/>
      <c r="F140" s="68">
        <v>0</v>
      </c>
      <c r="G140" s="68"/>
      <c r="H140" s="68">
        <v>0</v>
      </c>
      <c r="I140" s="68"/>
      <c r="J140" s="68">
        <v>0</v>
      </c>
      <c r="K140" s="68"/>
      <c r="L140" s="68">
        <v>0</v>
      </c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51">
        <f t="shared" si="24"/>
        <v>0</v>
      </c>
      <c r="AB140" s="51">
        <f t="shared" si="30"/>
        <v>0</v>
      </c>
      <c r="AD140" s="31">
        <f t="shared" si="26"/>
        <v>0</v>
      </c>
      <c r="AE140" s="31">
        <f t="shared" si="27"/>
        <v>0</v>
      </c>
      <c r="AF140" s="17">
        <f t="shared" si="28"/>
        <v>0</v>
      </c>
      <c r="AG140" s="17">
        <f t="shared" si="29"/>
        <v>0</v>
      </c>
      <c r="BG140" s="20"/>
    </row>
    <row r="141" spans="1:123" s="19" customFormat="1" ht="18" customHeight="1" outlineLevel="2" x14ac:dyDescent="0.25">
      <c r="A141" s="48" t="s">
        <v>145</v>
      </c>
      <c r="B141" s="53"/>
      <c r="C141" s="49"/>
      <c r="D141" s="68"/>
      <c r="E141" s="68"/>
      <c r="F141" s="68">
        <v>0</v>
      </c>
      <c r="G141" s="68"/>
      <c r="H141" s="68">
        <v>0</v>
      </c>
      <c r="I141" s="68"/>
      <c r="J141" s="68">
        <v>0</v>
      </c>
      <c r="K141" s="68"/>
      <c r="L141" s="68">
        <v>0</v>
      </c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51">
        <f t="shared" si="24"/>
        <v>0</v>
      </c>
      <c r="AB141" s="51">
        <f t="shared" si="30"/>
        <v>0</v>
      </c>
      <c r="AD141" s="31">
        <f t="shared" si="26"/>
        <v>0</v>
      </c>
      <c r="AE141" s="31">
        <f t="shared" si="27"/>
        <v>0</v>
      </c>
      <c r="AF141" s="17">
        <f t="shared" si="28"/>
        <v>0</v>
      </c>
      <c r="AG141" s="17">
        <f t="shared" si="29"/>
        <v>0</v>
      </c>
      <c r="BG141" s="20"/>
    </row>
    <row r="142" spans="1:123" s="19" customFormat="1" ht="18" customHeight="1" outlineLevel="2" x14ac:dyDescent="0.25">
      <c r="A142" s="48" t="s">
        <v>146</v>
      </c>
      <c r="B142" s="53"/>
      <c r="C142" s="49"/>
      <c r="D142" s="68"/>
      <c r="E142" s="68"/>
      <c r="F142" s="68">
        <v>0</v>
      </c>
      <c r="G142" s="68"/>
      <c r="H142" s="68">
        <v>0</v>
      </c>
      <c r="I142" s="68"/>
      <c r="J142" s="68">
        <v>0</v>
      </c>
      <c r="K142" s="68"/>
      <c r="L142" s="68">
        <v>0</v>
      </c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51">
        <f t="shared" si="24"/>
        <v>0</v>
      </c>
      <c r="AB142" s="51">
        <f t="shared" si="30"/>
        <v>0</v>
      </c>
      <c r="AD142" s="31">
        <f t="shared" si="26"/>
        <v>0</v>
      </c>
      <c r="AE142" s="31">
        <f t="shared" si="27"/>
        <v>0</v>
      </c>
      <c r="AF142" s="17">
        <f t="shared" si="28"/>
        <v>0</v>
      </c>
      <c r="AG142" s="17">
        <f t="shared" si="29"/>
        <v>0</v>
      </c>
      <c r="BG142" s="20"/>
    </row>
    <row r="143" spans="1:123" s="19" customFormat="1" ht="18" customHeight="1" outlineLevel="1" x14ac:dyDescent="0.25">
      <c r="A143" s="48" t="s">
        <v>147</v>
      </c>
      <c r="B143" s="53"/>
      <c r="C143" s="49"/>
      <c r="D143" s="68"/>
      <c r="E143" s="68"/>
      <c r="F143" s="68">
        <v>0</v>
      </c>
      <c r="G143" s="68"/>
      <c r="H143" s="68">
        <v>0</v>
      </c>
      <c r="I143" s="68"/>
      <c r="J143" s="68">
        <v>0</v>
      </c>
      <c r="K143" s="68"/>
      <c r="L143" s="68">
        <v>0</v>
      </c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51">
        <f t="shared" si="24"/>
        <v>0</v>
      </c>
      <c r="AB143" s="51">
        <f t="shared" si="30"/>
        <v>0</v>
      </c>
      <c r="AD143" s="31">
        <f t="shared" si="26"/>
        <v>0</v>
      </c>
      <c r="AE143" s="31">
        <f t="shared" si="27"/>
        <v>0</v>
      </c>
      <c r="AF143" s="17">
        <f t="shared" si="28"/>
        <v>0</v>
      </c>
      <c r="AG143" s="17">
        <f t="shared" si="29"/>
        <v>0</v>
      </c>
      <c r="BG143" s="20"/>
    </row>
    <row r="144" spans="1:123" s="19" customFormat="1" ht="18" customHeight="1" outlineLevel="1" x14ac:dyDescent="0.25">
      <c r="A144" s="48" t="s">
        <v>148</v>
      </c>
      <c r="B144" s="53"/>
      <c r="C144" s="49"/>
      <c r="D144" s="68"/>
      <c r="E144" s="68"/>
      <c r="F144" s="68">
        <v>0</v>
      </c>
      <c r="G144" s="68"/>
      <c r="H144" s="68">
        <v>0</v>
      </c>
      <c r="I144" s="68"/>
      <c r="J144" s="68">
        <v>0</v>
      </c>
      <c r="K144" s="68"/>
      <c r="L144" s="68">
        <v>0</v>
      </c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51">
        <f t="shared" si="24"/>
        <v>0</v>
      </c>
      <c r="AB144" s="51">
        <f t="shared" si="30"/>
        <v>0</v>
      </c>
      <c r="AD144" s="31">
        <f t="shared" si="26"/>
        <v>0</v>
      </c>
      <c r="AE144" s="31">
        <f t="shared" si="27"/>
        <v>0</v>
      </c>
      <c r="AF144" s="17">
        <f t="shared" si="28"/>
        <v>0</v>
      </c>
      <c r="AG144" s="17">
        <f t="shared" si="29"/>
        <v>0</v>
      </c>
      <c r="BG144" s="20"/>
    </row>
    <row r="145" spans="1:59" s="19" customFormat="1" ht="18" customHeight="1" outlineLevel="1" x14ac:dyDescent="0.25">
      <c r="A145" s="48" t="s">
        <v>149</v>
      </c>
      <c r="B145" s="53"/>
      <c r="C145" s="49"/>
      <c r="D145" s="68"/>
      <c r="E145" s="68"/>
      <c r="F145" s="68">
        <v>0</v>
      </c>
      <c r="G145" s="68"/>
      <c r="H145" s="68">
        <v>0</v>
      </c>
      <c r="I145" s="68"/>
      <c r="J145" s="68">
        <v>0</v>
      </c>
      <c r="K145" s="68"/>
      <c r="L145" s="68">
        <v>0</v>
      </c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51">
        <f t="shared" si="24"/>
        <v>0</v>
      </c>
      <c r="AB145" s="51">
        <f t="shared" si="30"/>
        <v>0</v>
      </c>
      <c r="AD145" s="31">
        <f t="shared" si="26"/>
        <v>0</v>
      </c>
      <c r="AE145" s="31">
        <f t="shared" si="27"/>
        <v>0</v>
      </c>
      <c r="AF145" s="17">
        <f t="shared" si="28"/>
        <v>0</v>
      </c>
      <c r="AG145" s="17">
        <f t="shared" si="29"/>
        <v>0</v>
      </c>
      <c r="BG145" s="20"/>
    </row>
    <row r="146" spans="1:59" s="19" customFormat="1" ht="18" customHeight="1" outlineLevel="1" x14ac:dyDescent="0.25">
      <c r="A146" s="48" t="s">
        <v>150</v>
      </c>
      <c r="B146" s="53"/>
      <c r="C146" s="49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51">
        <f t="shared" si="24"/>
        <v>0</v>
      </c>
      <c r="AB146" s="51">
        <f t="shared" si="30"/>
        <v>0</v>
      </c>
      <c r="AD146" s="31">
        <f t="shared" si="26"/>
        <v>0</v>
      </c>
      <c r="AE146" s="31">
        <f t="shared" si="27"/>
        <v>0</v>
      </c>
      <c r="AF146" s="17">
        <f t="shared" si="28"/>
        <v>0</v>
      </c>
      <c r="AG146" s="17">
        <f t="shared" si="29"/>
        <v>0</v>
      </c>
      <c r="BG146" s="20"/>
    </row>
    <row r="147" spans="1:59" s="19" customFormat="1" ht="18" customHeight="1" outlineLevel="1" x14ac:dyDescent="0.25">
      <c r="A147" s="48" t="s">
        <v>151</v>
      </c>
      <c r="B147" s="53"/>
      <c r="C147" s="49"/>
      <c r="D147" s="68"/>
      <c r="E147" s="68"/>
      <c r="F147" s="68">
        <v>0</v>
      </c>
      <c r="G147" s="68"/>
      <c r="H147" s="68">
        <v>0</v>
      </c>
      <c r="I147" s="68"/>
      <c r="J147" s="68">
        <v>0</v>
      </c>
      <c r="K147" s="68"/>
      <c r="L147" s="68">
        <v>0</v>
      </c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51">
        <f t="shared" si="24"/>
        <v>0</v>
      </c>
      <c r="AB147" s="51">
        <f t="shared" si="30"/>
        <v>0</v>
      </c>
      <c r="AD147" s="31">
        <f t="shared" si="26"/>
        <v>0</v>
      </c>
      <c r="AE147" s="31">
        <f t="shared" si="27"/>
        <v>0</v>
      </c>
      <c r="AF147" s="17">
        <f t="shared" si="28"/>
        <v>0</v>
      </c>
      <c r="AG147" s="17">
        <f t="shared" si="29"/>
        <v>0</v>
      </c>
      <c r="BG147" s="20"/>
    </row>
    <row r="148" spans="1:59" s="19" customFormat="1" ht="18" customHeight="1" outlineLevel="1" x14ac:dyDescent="0.25">
      <c r="A148" s="48" t="s">
        <v>152</v>
      </c>
      <c r="B148" s="53"/>
      <c r="C148" s="49"/>
      <c r="D148" s="68"/>
      <c r="E148" s="68"/>
      <c r="F148" s="68">
        <v>0</v>
      </c>
      <c r="G148" s="68"/>
      <c r="H148" s="68">
        <v>0</v>
      </c>
      <c r="I148" s="68"/>
      <c r="J148" s="68">
        <v>0</v>
      </c>
      <c r="K148" s="68"/>
      <c r="L148" s="68">
        <v>0</v>
      </c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51">
        <f t="shared" si="24"/>
        <v>0</v>
      </c>
      <c r="AB148" s="51">
        <f t="shared" si="30"/>
        <v>0</v>
      </c>
      <c r="AD148" s="31">
        <f t="shared" si="26"/>
        <v>0</v>
      </c>
      <c r="AE148" s="31">
        <f t="shared" si="27"/>
        <v>0</v>
      </c>
      <c r="AF148" s="17">
        <f t="shared" si="28"/>
        <v>0</v>
      </c>
      <c r="AG148" s="17">
        <f t="shared" si="29"/>
        <v>0</v>
      </c>
      <c r="BG148" s="20"/>
    </row>
    <row r="149" spans="1:59" s="19" customFormat="1" ht="18" customHeight="1" outlineLevel="1" x14ac:dyDescent="0.25">
      <c r="A149" s="48" t="s">
        <v>153</v>
      </c>
      <c r="B149" s="53"/>
      <c r="C149" s="49"/>
      <c r="D149" s="68"/>
      <c r="E149" s="68"/>
      <c r="F149" s="68">
        <v>0</v>
      </c>
      <c r="G149" s="68"/>
      <c r="H149" s="68">
        <v>0</v>
      </c>
      <c r="I149" s="68"/>
      <c r="J149" s="68">
        <v>0</v>
      </c>
      <c r="K149" s="68"/>
      <c r="L149" s="68">
        <v>0</v>
      </c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51">
        <f t="shared" si="24"/>
        <v>0</v>
      </c>
      <c r="AB149" s="51">
        <f t="shared" si="30"/>
        <v>0</v>
      </c>
      <c r="AD149" s="31">
        <f t="shared" si="26"/>
        <v>0</v>
      </c>
      <c r="AE149" s="31">
        <f t="shared" si="27"/>
        <v>0</v>
      </c>
      <c r="AF149" s="17">
        <f t="shared" si="28"/>
        <v>0</v>
      </c>
      <c r="AG149" s="17">
        <f t="shared" si="29"/>
        <v>0</v>
      </c>
      <c r="BG149" s="20"/>
    </row>
    <row r="150" spans="1:59" s="19" customFormat="1" ht="18" customHeight="1" outlineLevel="1" x14ac:dyDescent="0.25">
      <c r="A150" s="48" t="s">
        <v>154</v>
      </c>
      <c r="B150" s="53"/>
      <c r="C150" s="49"/>
      <c r="D150" s="68"/>
      <c r="E150" s="68"/>
      <c r="F150" s="68">
        <v>0</v>
      </c>
      <c r="G150" s="68"/>
      <c r="H150" s="68">
        <v>0</v>
      </c>
      <c r="I150" s="68"/>
      <c r="J150" s="68">
        <v>0</v>
      </c>
      <c r="K150" s="68"/>
      <c r="L150" s="68">
        <v>0</v>
      </c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51">
        <f t="shared" si="24"/>
        <v>0</v>
      </c>
      <c r="AB150" s="51">
        <f t="shared" si="30"/>
        <v>0</v>
      </c>
      <c r="AD150" s="31">
        <f t="shared" si="26"/>
        <v>0</v>
      </c>
      <c r="AE150" s="31">
        <f t="shared" si="27"/>
        <v>0</v>
      </c>
      <c r="AF150" s="17">
        <f t="shared" si="28"/>
        <v>0</v>
      </c>
      <c r="AG150" s="17">
        <f t="shared" si="29"/>
        <v>0</v>
      </c>
      <c r="BG150" s="20"/>
    </row>
    <row r="151" spans="1:59" s="19" customFormat="1" ht="18" customHeight="1" outlineLevel="1" x14ac:dyDescent="0.25">
      <c r="A151" s="48" t="s">
        <v>155</v>
      </c>
      <c r="B151" s="53"/>
      <c r="C151" s="49"/>
      <c r="D151" s="68"/>
      <c r="E151" s="68"/>
      <c r="F151" s="68">
        <v>0</v>
      </c>
      <c r="G151" s="68"/>
      <c r="H151" s="68">
        <v>0</v>
      </c>
      <c r="I151" s="68"/>
      <c r="J151" s="68">
        <v>0</v>
      </c>
      <c r="K151" s="68"/>
      <c r="L151" s="68">
        <v>0</v>
      </c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51">
        <f t="shared" si="24"/>
        <v>0</v>
      </c>
      <c r="AB151" s="51">
        <f t="shared" si="30"/>
        <v>0</v>
      </c>
      <c r="AD151" s="31">
        <f t="shared" si="26"/>
        <v>0</v>
      </c>
      <c r="AE151" s="31">
        <f t="shared" si="27"/>
        <v>0</v>
      </c>
      <c r="AF151" s="17">
        <f t="shared" si="28"/>
        <v>0</v>
      </c>
      <c r="AG151" s="17">
        <f t="shared" si="29"/>
        <v>0</v>
      </c>
      <c r="BG151" s="20"/>
    </row>
    <row r="152" spans="1:59" s="19" customFormat="1" ht="18" customHeight="1" outlineLevel="1" x14ac:dyDescent="0.25">
      <c r="A152" s="48" t="s">
        <v>156</v>
      </c>
      <c r="B152" s="53"/>
      <c r="C152" s="49"/>
      <c r="D152" s="68"/>
      <c r="E152" s="68"/>
      <c r="F152" s="68">
        <v>0</v>
      </c>
      <c r="G152" s="68"/>
      <c r="H152" s="68">
        <v>0</v>
      </c>
      <c r="I152" s="68"/>
      <c r="J152" s="68">
        <v>0</v>
      </c>
      <c r="K152" s="68"/>
      <c r="L152" s="68">
        <v>0</v>
      </c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51">
        <f t="shared" si="24"/>
        <v>0</v>
      </c>
      <c r="AB152" s="51">
        <f t="shared" si="30"/>
        <v>0</v>
      </c>
      <c r="AD152" s="31">
        <f t="shared" si="26"/>
        <v>0</v>
      </c>
      <c r="AE152" s="31">
        <f t="shared" si="27"/>
        <v>0</v>
      </c>
      <c r="AF152" s="17">
        <f t="shared" si="28"/>
        <v>0</v>
      </c>
      <c r="AG152" s="17">
        <f t="shared" si="29"/>
        <v>0</v>
      </c>
      <c r="BG152" s="20"/>
    </row>
    <row r="153" spans="1:59" s="19" customFormat="1" ht="18" customHeight="1" outlineLevel="1" x14ac:dyDescent="0.25">
      <c r="A153" s="48" t="s">
        <v>157</v>
      </c>
      <c r="B153" s="53"/>
      <c r="C153" s="49"/>
      <c r="D153" s="68"/>
      <c r="E153" s="68"/>
      <c r="F153" s="68">
        <v>0</v>
      </c>
      <c r="G153" s="68"/>
      <c r="H153" s="68">
        <v>0</v>
      </c>
      <c r="I153" s="68"/>
      <c r="J153" s="68">
        <v>0</v>
      </c>
      <c r="K153" s="68"/>
      <c r="L153" s="68">
        <v>0</v>
      </c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51">
        <f t="shared" si="24"/>
        <v>0</v>
      </c>
      <c r="AB153" s="51">
        <f t="shared" si="30"/>
        <v>0</v>
      </c>
      <c r="AD153" s="31">
        <f t="shared" si="26"/>
        <v>0</v>
      </c>
      <c r="AE153" s="31">
        <f t="shared" si="27"/>
        <v>0</v>
      </c>
      <c r="AF153" s="17">
        <f t="shared" si="28"/>
        <v>0</v>
      </c>
      <c r="AG153" s="17">
        <f t="shared" si="29"/>
        <v>0</v>
      </c>
      <c r="BG153" s="20"/>
    </row>
    <row r="154" spans="1:59" s="19" customFormat="1" ht="18" customHeight="1" outlineLevel="1" x14ac:dyDescent="0.25">
      <c r="A154" s="48" t="s">
        <v>158</v>
      </c>
      <c r="B154" s="53"/>
      <c r="C154" s="49"/>
      <c r="D154" s="68"/>
      <c r="E154" s="68"/>
      <c r="F154" s="68">
        <v>0</v>
      </c>
      <c r="G154" s="68"/>
      <c r="H154" s="68">
        <v>0</v>
      </c>
      <c r="I154" s="68"/>
      <c r="J154" s="68">
        <v>0</v>
      </c>
      <c r="K154" s="68"/>
      <c r="L154" s="68">
        <v>0</v>
      </c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51">
        <f t="shared" si="24"/>
        <v>0</v>
      </c>
      <c r="AB154" s="51">
        <f t="shared" si="30"/>
        <v>0</v>
      </c>
      <c r="AD154" s="31">
        <f t="shared" si="26"/>
        <v>0</v>
      </c>
      <c r="AE154" s="31">
        <f t="shared" si="27"/>
        <v>0</v>
      </c>
      <c r="AF154" s="17">
        <f t="shared" si="28"/>
        <v>0</v>
      </c>
      <c r="AG154" s="17">
        <f t="shared" si="29"/>
        <v>0</v>
      </c>
      <c r="BG154" s="20"/>
    </row>
    <row r="155" spans="1:59" s="19" customFormat="1" ht="18" customHeight="1" outlineLevel="1" x14ac:dyDescent="0.25">
      <c r="A155" s="48" t="s">
        <v>100</v>
      </c>
      <c r="B155" s="53"/>
      <c r="C155" s="49"/>
      <c r="D155" s="68"/>
      <c r="E155" s="68"/>
      <c r="F155" s="68">
        <v>0</v>
      </c>
      <c r="G155" s="68"/>
      <c r="H155" s="68">
        <v>0</v>
      </c>
      <c r="I155" s="68"/>
      <c r="J155" s="68">
        <v>0</v>
      </c>
      <c r="K155" s="68"/>
      <c r="L155" s="68">
        <v>0</v>
      </c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51">
        <f t="shared" si="24"/>
        <v>0</v>
      </c>
      <c r="AB155" s="51">
        <f t="shared" si="30"/>
        <v>0</v>
      </c>
      <c r="AD155" s="31">
        <f t="shared" si="26"/>
        <v>0</v>
      </c>
      <c r="AE155" s="31">
        <f t="shared" si="27"/>
        <v>0</v>
      </c>
      <c r="AF155" s="17">
        <f t="shared" si="28"/>
        <v>0</v>
      </c>
      <c r="AG155" s="17">
        <f t="shared" si="29"/>
        <v>0</v>
      </c>
      <c r="BG155" s="20"/>
    </row>
    <row r="156" spans="1:59" s="19" customFormat="1" ht="18" customHeight="1" outlineLevel="1" x14ac:dyDescent="0.25">
      <c r="A156" s="48" t="s">
        <v>159</v>
      </c>
      <c r="B156" s="53"/>
      <c r="C156" s="49"/>
      <c r="D156" s="68"/>
      <c r="E156" s="68"/>
      <c r="F156" s="68">
        <v>0</v>
      </c>
      <c r="G156" s="68"/>
      <c r="H156" s="68">
        <v>0</v>
      </c>
      <c r="I156" s="68"/>
      <c r="J156" s="68">
        <v>0</v>
      </c>
      <c r="K156" s="68"/>
      <c r="L156" s="68">
        <v>0</v>
      </c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51">
        <f t="shared" ref="AA156:AA219" si="31">C156+E156+G156+I156+K156+M156+O156+Q156+S156+U156+W156+Y156</f>
        <v>0</v>
      </c>
      <c r="AB156" s="51">
        <f t="shared" si="30"/>
        <v>0</v>
      </c>
      <c r="AD156" s="31">
        <f t="shared" ref="AD156:AD219" si="32">SUMIF($C$5:$Z$5,$AD$5,C156:Z156)</f>
        <v>0</v>
      </c>
      <c r="AE156" s="31">
        <f t="shared" ref="AE156:AE219" si="33">SUMIF($C$5:$Z$5,$AD$5,D156:AA156)</f>
        <v>0</v>
      </c>
      <c r="AF156" s="17">
        <f t="shared" si="28"/>
        <v>0</v>
      </c>
      <c r="AG156" s="17">
        <f t="shared" si="29"/>
        <v>0</v>
      </c>
      <c r="BG156" s="20"/>
    </row>
    <row r="157" spans="1:59" s="19" customFormat="1" ht="18" customHeight="1" outlineLevel="1" x14ac:dyDescent="0.25">
      <c r="A157" s="48" t="s">
        <v>160</v>
      </c>
      <c r="B157" s="53"/>
      <c r="C157" s="49"/>
      <c r="D157" s="68"/>
      <c r="E157" s="68"/>
      <c r="F157" s="68">
        <v>0</v>
      </c>
      <c r="G157" s="68"/>
      <c r="H157" s="68">
        <v>0</v>
      </c>
      <c r="I157" s="68"/>
      <c r="J157" s="68">
        <v>0</v>
      </c>
      <c r="K157" s="68"/>
      <c r="L157" s="68">
        <v>0</v>
      </c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51">
        <f t="shared" si="31"/>
        <v>0</v>
      </c>
      <c r="AB157" s="51">
        <f t="shared" si="30"/>
        <v>0</v>
      </c>
      <c r="AD157" s="31">
        <f t="shared" si="32"/>
        <v>0</v>
      </c>
      <c r="AE157" s="31">
        <f t="shared" si="33"/>
        <v>0</v>
      </c>
      <c r="AF157" s="17">
        <f t="shared" si="28"/>
        <v>0</v>
      </c>
      <c r="AG157" s="17">
        <f t="shared" si="29"/>
        <v>0</v>
      </c>
      <c r="BG157" s="20"/>
    </row>
    <row r="158" spans="1:59" s="19" customFormat="1" ht="18" customHeight="1" outlineLevel="1" x14ac:dyDescent="0.25">
      <c r="A158" s="48" t="s">
        <v>161</v>
      </c>
      <c r="B158" s="53"/>
      <c r="C158" s="49"/>
      <c r="D158" s="68"/>
      <c r="E158" s="68"/>
      <c r="F158" s="68">
        <v>0</v>
      </c>
      <c r="G158" s="68"/>
      <c r="H158" s="68">
        <v>0</v>
      </c>
      <c r="I158" s="68"/>
      <c r="J158" s="68">
        <v>0</v>
      </c>
      <c r="K158" s="68"/>
      <c r="L158" s="68">
        <v>0</v>
      </c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51">
        <f t="shared" si="31"/>
        <v>0</v>
      </c>
      <c r="AB158" s="51">
        <f t="shared" si="30"/>
        <v>0</v>
      </c>
      <c r="AD158" s="31">
        <f t="shared" si="32"/>
        <v>0</v>
      </c>
      <c r="AE158" s="31">
        <f t="shared" si="33"/>
        <v>0</v>
      </c>
      <c r="AF158" s="17">
        <f t="shared" ref="AF158:AF221" si="34">AA158-AD158</f>
        <v>0</v>
      </c>
      <c r="AG158" s="17">
        <f t="shared" ref="AG158:AG221" si="35">AB158-AE158</f>
        <v>0</v>
      </c>
      <c r="BG158" s="20"/>
    </row>
    <row r="159" spans="1:59" s="19" customFormat="1" ht="18" customHeight="1" outlineLevel="1" x14ac:dyDescent="0.25">
      <c r="A159" s="48" t="s">
        <v>162</v>
      </c>
      <c r="B159" s="53"/>
      <c r="C159" s="49"/>
      <c r="D159" s="68"/>
      <c r="E159" s="68"/>
      <c r="F159" s="68">
        <v>0</v>
      </c>
      <c r="G159" s="68"/>
      <c r="H159" s="68">
        <v>0</v>
      </c>
      <c r="I159" s="68"/>
      <c r="J159" s="68">
        <v>0</v>
      </c>
      <c r="K159" s="68"/>
      <c r="L159" s="68">
        <v>0</v>
      </c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51">
        <f t="shared" si="31"/>
        <v>0</v>
      </c>
      <c r="AB159" s="51">
        <f t="shared" si="30"/>
        <v>0</v>
      </c>
      <c r="AD159" s="31">
        <f t="shared" si="32"/>
        <v>0</v>
      </c>
      <c r="AE159" s="31">
        <f t="shared" si="33"/>
        <v>0</v>
      </c>
      <c r="AF159" s="17">
        <f t="shared" si="34"/>
        <v>0</v>
      </c>
      <c r="AG159" s="17">
        <f t="shared" si="35"/>
        <v>0</v>
      </c>
      <c r="BG159" s="20"/>
    </row>
    <row r="160" spans="1:59" s="19" customFormat="1" ht="18" customHeight="1" outlineLevel="1" x14ac:dyDescent="0.25">
      <c r="A160" s="48" t="s">
        <v>163</v>
      </c>
      <c r="B160" s="53"/>
      <c r="C160" s="49"/>
      <c r="D160" s="68"/>
      <c r="E160" s="68"/>
      <c r="F160" s="68">
        <v>0</v>
      </c>
      <c r="G160" s="68"/>
      <c r="H160" s="68">
        <v>0</v>
      </c>
      <c r="I160" s="68"/>
      <c r="J160" s="68">
        <v>0</v>
      </c>
      <c r="K160" s="68"/>
      <c r="L160" s="68">
        <v>0</v>
      </c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51">
        <f t="shared" si="31"/>
        <v>0</v>
      </c>
      <c r="AB160" s="51">
        <f t="shared" si="30"/>
        <v>0</v>
      </c>
      <c r="AD160" s="31">
        <f t="shared" si="32"/>
        <v>0</v>
      </c>
      <c r="AE160" s="31">
        <f t="shared" si="33"/>
        <v>0</v>
      </c>
      <c r="AF160" s="17">
        <f t="shared" si="34"/>
        <v>0</v>
      </c>
      <c r="AG160" s="17">
        <f t="shared" si="35"/>
        <v>0</v>
      </c>
      <c r="BG160" s="20"/>
    </row>
    <row r="161" spans="1:59" s="19" customFormat="1" ht="18" customHeight="1" outlineLevel="1" x14ac:dyDescent="0.25">
      <c r="A161" s="48" t="s">
        <v>164</v>
      </c>
      <c r="B161" s="53"/>
      <c r="C161" s="49"/>
      <c r="D161" s="68"/>
      <c r="E161" s="68"/>
      <c r="F161" s="68">
        <v>0</v>
      </c>
      <c r="G161" s="68"/>
      <c r="H161" s="68">
        <v>0</v>
      </c>
      <c r="I161" s="68"/>
      <c r="J161" s="68">
        <v>0</v>
      </c>
      <c r="K161" s="68"/>
      <c r="L161" s="68">
        <v>0</v>
      </c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51">
        <f t="shared" si="31"/>
        <v>0</v>
      </c>
      <c r="AB161" s="51">
        <f t="shared" si="30"/>
        <v>0</v>
      </c>
      <c r="AD161" s="31">
        <f t="shared" si="32"/>
        <v>0</v>
      </c>
      <c r="AE161" s="31">
        <f t="shared" si="33"/>
        <v>0</v>
      </c>
      <c r="AF161" s="17">
        <f t="shared" si="34"/>
        <v>0</v>
      </c>
      <c r="AG161" s="17">
        <f t="shared" si="35"/>
        <v>0</v>
      </c>
      <c r="BG161" s="20"/>
    </row>
    <row r="162" spans="1:59" s="19" customFormat="1" ht="18" customHeight="1" outlineLevel="1" x14ac:dyDescent="0.25">
      <c r="A162" s="48" t="s">
        <v>165</v>
      </c>
      <c r="B162" s="53"/>
      <c r="C162" s="49"/>
      <c r="D162" s="68"/>
      <c r="E162" s="68"/>
      <c r="F162" s="68">
        <v>0</v>
      </c>
      <c r="G162" s="68"/>
      <c r="H162" s="68">
        <v>0</v>
      </c>
      <c r="I162" s="68"/>
      <c r="J162" s="68">
        <v>0</v>
      </c>
      <c r="K162" s="68"/>
      <c r="L162" s="68">
        <v>0</v>
      </c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51">
        <f t="shared" si="31"/>
        <v>0</v>
      </c>
      <c r="AB162" s="51">
        <f t="shared" si="30"/>
        <v>0</v>
      </c>
      <c r="AD162" s="31">
        <f t="shared" si="32"/>
        <v>0</v>
      </c>
      <c r="AE162" s="31">
        <f t="shared" si="33"/>
        <v>0</v>
      </c>
      <c r="AF162" s="17">
        <f t="shared" si="34"/>
        <v>0</v>
      </c>
      <c r="AG162" s="17">
        <f t="shared" si="35"/>
        <v>0</v>
      </c>
      <c r="BG162" s="20"/>
    </row>
    <row r="163" spans="1:59" s="19" customFormat="1" ht="18" customHeight="1" outlineLevel="1" x14ac:dyDescent="0.25">
      <c r="A163" s="48" t="s">
        <v>166</v>
      </c>
      <c r="B163" s="53"/>
      <c r="C163" s="49"/>
      <c r="D163" s="68"/>
      <c r="E163" s="68"/>
      <c r="F163" s="68">
        <v>0</v>
      </c>
      <c r="G163" s="68"/>
      <c r="H163" s="68">
        <v>0</v>
      </c>
      <c r="I163" s="68"/>
      <c r="J163" s="68">
        <v>0</v>
      </c>
      <c r="K163" s="68"/>
      <c r="L163" s="68">
        <v>0</v>
      </c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51">
        <f t="shared" si="31"/>
        <v>0</v>
      </c>
      <c r="AB163" s="51">
        <f t="shared" si="30"/>
        <v>0</v>
      </c>
      <c r="AD163" s="31">
        <f t="shared" si="32"/>
        <v>0</v>
      </c>
      <c r="AE163" s="31">
        <f t="shared" si="33"/>
        <v>0</v>
      </c>
      <c r="AF163" s="17">
        <f t="shared" si="34"/>
        <v>0</v>
      </c>
      <c r="AG163" s="17">
        <f t="shared" si="35"/>
        <v>0</v>
      </c>
      <c r="BG163" s="20"/>
    </row>
    <row r="164" spans="1:59" s="19" customFormat="1" ht="18" customHeight="1" outlineLevel="1" x14ac:dyDescent="0.25">
      <c r="A164" s="48" t="s">
        <v>167</v>
      </c>
      <c r="B164" s="53"/>
      <c r="C164" s="49"/>
      <c r="D164" s="68"/>
      <c r="E164" s="68"/>
      <c r="F164" s="68">
        <v>0</v>
      </c>
      <c r="G164" s="68"/>
      <c r="H164" s="68">
        <v>0</v>
      </c>
      <c r="I164" s="68"/>
      <c r="J164" s="68">
        <v>0</v>
      </c>
      <c r="K164" s="68"/>
      <c r="L164" s="68">
        <v>0</v>
      </c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51">
        <f t="shared" si="31"/>
        <v>0</v>
      </c>
      <c r="AB164" s="51">
        <f t="shared" si="30"/>
        <v>0</v>
      </c>
      <c r="AD164" s="31">
        <f t="shared" si="32"/>
        <v>0</v>
      </c>
      <c r="AE164" s="31">
        <f t="shared" si="33"/>
        <v>0</v>
      </c>
      <c r="AF164" s="17">
        <f t="shared" si="34"/>
        <v>0</v>
      </c>
      <c r="AG164" s="17">
        <f t="shared" si="35"/>
        <v>0</v>
      </c>
      <c r="BG164" s="20"/>
    </row>
    <row r="165" spans="1:59" s="19" customFormat="1" ht="18" customHeight="1" outlineLevel="1" x14ac:dyDescent="0.25">
      <c r="A165" s="48" t="s">
        <v>168</v>
      </c>
      <c r="B165" s="53"/>
      <c r="C165" s="49"/>
      <c r="D165" s="68"/>
      <c r="E165" s="68"/>
      <c r="F165" s="68">
        <v>0</v>
      </c>
      <c r="G165" s="68"/>
      <c r="H165" s="68">
        <v>0</v>
      </c>
      <c r="I165" s="68"/>
      <c r="J165" s="68">
        <v>0</v>
      </c>
      <c r="K165" s="68"/>
      <c r="L165" s="68">
        <v>0</v>
      </c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51">
        <f t="shared" si="31"/>
        <v>0</v>
      </c>
      <c r="AB165" s="51">
        <f t="shared" si="30"/>
        <v>0</v>
      </c>
      <c r="AD165" s="31">
        <f t="shared" si="32"/>
        <v>0</v>
      </c>
      <c r="AE165" s="31">
        <f t="shared" si="33"/>
        <v>0</v>
      </c>
      <c r="AF165" s="17">
        <f t="shared" si="34"/>
        <v>0</v>
      </c>
      <c r="AG165" s="17">
        <f t="shared" si="35"/>
        <v>0</v>
      </c>
      <c r="BG165" s="20"/>
    </row>
    <row r="166" spans="1:59" s="19" customFormat="1" ht="18" customHeight="1" outlineLevel="1" x14ac:dyDescent="0.25">
      <c r="A166" s="48" t="s">
        <v>169</v>
      </c>
      <c r="B166" s="53"/>
      <c r="C166" s="49"/>
      <c r="D166" s="68"/>
      <c r="E166" s="68"/>
      <c r="F166" s="68">
        <v>0</v>
      </c>
      <c r="G166" s="68"/>
      <c r="H166" s="68">
        <v>0</v>
      </c>
      <c r="I166" s="68"/>
      <c r="J166" s="68">
        <v>0</v>
      </c>
      <c r="K166" s="68"/>
      <c r="L166" s="68">
        <v>0</v>
      </c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51">
        <f t="shared" si="31"/>
        <v>0</v>
      </c>
      <c r="AB166" s="51">
        <f t="shared" si="30"/>
        <v>0</v>
      </c>
      <c r="AD166" s="31">
        <f t="shared" si="32"/>
        <v>0</v>
      </c>
      <c r="AE166" s="31">
        <f t="shared" si="33"/>
        <v>0</v>
      </c>
      <c r="AF166" s="17">
        <f t="shared" si="34"/>
        <v>0</v>
      </c>
      <c r="AG166" s="17">
        <f t="shared" si="35"/>
        <v>0</v>
      </c>
      <c r="BG166" s="20"/>
    </row>
    <row r="167" spans="1:59" s="19" customFormat="1" ht="18" customHeight="1" outlineLevel="1" x14ac:dyDescent="0.25">
      <c r="A167" s="48" t="s">
        <v>170</v>
      </c>
      <c r="B167" s="53"/>
      <c r="C167" s="49"/>
      <c r="D167" s="68"/>
      <c r="E167" s="68"/>
      <c r="F167" s="68">
        <v>0</v>
      </c>
      <c r="G167" s="68"/>
      <c r="H167" s="68">
        <v>0</v>
      </c>
      <c r="I167" s="68"/>
      <c r="J167" s="68">
        <v>0</v>
      </c>
      <c r="K167" s="68"/>
      <c r="L167" s="68">
        <v>0</v>
      </c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51">
        <f t="shared" si="31"/>
        <v>0</v>
      </c>
      <c r="AB167" s="51">
        <f t="shared" ref="AB167:AB175" si="36">D167+F167+H167+J167+L167+N167+P167+R167+T167+V167+X167+Z167</f>
        <v>0</v>
      </c>
      <c r="AD167" s="31">
        <f t="shared" si="32"/>
        <v>0</v>
      </c>
      <c r="AE167" s="31">
        <f t="shared" si="33"/>
        <v>0</v>
      </c>
      <c r="AF167" s="17">
        <f t="shared" si="34"/>
        <v>0</v>
      </c>
      <c r="AG167" s="17">
        <f t="shared" si="35"/>
        <v>0</v>
      </c>
      <c r="BG167" s="20"/>
    </row>
    <row r="168" spans="1:59" s="19" customFormat="1" ht="18" customHeight="1" outlineLevel="1" x14ac:dyDescent="0.25">
      <c r="A168" s="48" t="s">
        <v>171</v>
      </c>
      <c r="B168" s="53"/>
      <c r="C168" s="49"/>
      <c r="D168" s="68"/>
      <c r="E168" s="68"/>
      <c r="F168" s="68">
        <v>0</v>
      </c>
      <c r="G168" s="68"/>
      <c r="H168" s="68">
        <v>0</v>
      </c>
      <c r="I168" s="68"/>
      <c r="J168" s="68">
        <v>0</v>
      </c>
      <c r="K168" s="68"/>
      <c r="L168" s="68">
        <v>0</v>
      </c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51">
        <f t="shared" si="31"/>
        <v>0</v>
      </c>
      <c r="AB168" s="51">
        <f t="shared" si="36"/>
        <v>0</v>
      </c>
      <c r="AD168" s="31">
        <f t="shared" si="32"/>
        <v>0</v>
      </c>
      <c r="AE168" s="31">
        <f t="shared" si="33"/>
        <v>0</v>
      </c>
      <c r="AF168" s="17">
        <f t="shared" si="34"/>
        <v>0</v>
      </c>
      <c r="AG168" s="17">
        <f t="shared" si="35"/>
        <v>0</v>
      </c>
      <c r="BG168" s="20"/>
    </row>
    <row r="169" spans="1:59" s="19" customFormat="1" ht="18" customHeight="1" outlineLevel="1" x14ac:dyDescent="0.25">
      <c r="A169" s="48" t="s">
        <v>172</v>
      </c>
      <c r="B169" s="53"/>
      <c r="C169" s="49"/>
      <c r="D169" s="68"/>
      <c r="E169" s="68"/>
      <c r="F169" s="68">
        <v>0</v>
      </c>
      <c r="G169" s="68"/>
      <c r="H169" s="68">
        <v>0</v>
      </c>
      <c r="I169" s="68"/>
      <c r="J169" s="68">
        <v>0</v>
      </c>
      <c r="K169" s="68"/>
      <c r="L169" s="68">
        <v>0</v>
      </c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51">
        <f t="shared" si="31"/>
        <v>0</v>
      </c>
      <c r="AB169" s="51">
        <f t="shared" si="36"/>
        <v>0</v>
      </c>
      <c r="AD169" s="31">
        <f t="shared" si="32"/>
        <v>0</v>
      </c>
      <c r="AE169" s="31">
        <f t="shared" si="33"/>
        <v>0</v>
      </c>
      <c r="AF169" s="17">
        <f t="shared" si="34"/>
        <v>0</v>
      </c>
      <c r="AG169" s="17">
        <f t="shared" si="35"/>
        <v>0</v>
      </c>
      <c r="BG169" s="20"/>
    </row>
    <row r="170" spans="1:59" s="19" customFormat="1" ht="18" customHeight="1" outlineLevel="1" x14ac:dyDescent="0.25">
      <c r="A170" s="48" t="s">
        <v>173</v>
      </c>
      <c r="B170" s="53"/>
      <c r="C170" s="49"/>
      <c r="D170" s="68"/>
      <c r="E170" s="68"/>
      <c r="F170" s="68">
        <v>0</v>
      </c>
      <c r="G170" s="68"/>
      <c r="H170" s="68">
        <v>0</v>
      </c>
      <c r="I170" s="68"/>
      <c r="J170" s="68">
        <v>0</v>
      </c>
      <c r="K170" s="68"/>
      <c r="L170" s="68">
        <v>0</v>
      </c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51">
        <f t="shared" si="31"/>
        <v>0</v>
      </c>
      <c r="AB170" s="51">
        <f t="shared" si="36"/>
        <v>0</v>
      </c>
      <c r="AD170" s="31">
        <f t="shared" si="32"/>
        <v>0</v>
      </c>
      <c r="AE170" s="31">
        <f t="shared" si="33"/>
        <v>0</v>
      </c>
      <c r="AF170" s="17">
        <f t="shared" si="34"/>
        <v>0</v>
      </c>
      <c r="AG170" s="17">
        <f t="shared" si="35"/>
        <v>0</v>
      </c>
      <c r="BG170" s="20"/>
    </row>
    <row r="171" spans="1:59" s="19" customFormat="1" ht="18" customHeight="1" outlineLevel="1" x14ac:dyDescent="0.25">
      <c r="A171" s="48" t="s">
        <v>174</v>
      </c>
      <c r="B171" s="53"/>
      <c r="C171" s="49"/>
      <c r="D171" s="68"/>
      <c r="E171" s="68"/>
      <c r="F171" s="68">
        <v>0</v>
      </c>
      <c r="G171" s="68"/>
      <c r="H171" s="68">
        <v>0</v>
      </c>
      <c r="I171" s="68"/>
      <c r="J171" s="68">
        <v>0</v>
      </c>
      <c r="K171" s="68"/>
      <c r="L171" s="68">
        <v>0</v>
      </c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51">
        <f t="shared" si="31"/>
        <v>0</v>
      </c>
      <c r="AB171" s="51">
        <f t="shared" si="36"/>
        <v>0</v>
      </c>
      <c r="AD171" s="31">
        <f t="shared" si="32"/>
        <v>0</v>
      </c>
      <c r="AE171" s="31">
        <f t="shared" si="33"/>
        <v>0</v>
      </c>
      <c r="AF171" s="17">
        <f t="shared" si="34"/>
        <v>0</v>
      </c>
      <c r="AG171" s="17">
        <f t="shared" si="35"/>
        <v>0</v>
      </c>
      <c r="BG171" s="20"/>
    </row>
    <row r="172" spans="1:59" s="19" customFormat="1" ht="18" customHeight="1" outlineLevel="1" x14ac:dyDescent="0.25">
      <c r="A172" s="48" t="s">
        <v>175</v>
      </c>
      <c r="B172" s="53"/>
      <c r="C172" s="49"/>
      <c r="D172" s="68"/>
      <c r="E172" s="68"/>
      <c r="F172" s="68">
        <v>0</v>
      </c>
      <c r="G172" s="68"/>
      <c r="H172" s="68">
        <v>0</v>
      </c>
      <c r="I172" s="68"/>
      <c r="J172" s="68">
        <v>0</v>
      </c>
      <c r="K172" s="68"/>
      <c r="L172" s="68">
        <v>0</v>
      </c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51">
        <f t="shared" si="31"/>
        <v>0</v>
      </c>
      <c r="AB172" s="51">
        <f t="shared" si="36"/>
        <v>0</v>
      </c>
      <c r="AD172" s="31">
        <f t="shared" si="32"/>
        <v>0</v>
      </c>
      <c r="AE172" s="31">
        <f t="shared" si="33"/>
        <v>0</v>
      </c>
      <c r="AF172" s="17">
        <f t="shared" si="34"/>
        <v>0</v>
      </c>
      <c r="AG172" s="17">
        <f t="shared" si="35"/>
        <v>0</v>
      </c>
      <c r="BG172" s="20"/>
    </row>
    <row r="173" spans="1:59" s="19" customFormat="1" ht="18" customHeight="1" outlineLevel="1" x14ac:dyDescent="0.25">
      <c r="A173" s="48" t="s">
        <v>176</v>
      </c>
      <c r="B173" s="53"/>
      <c r="C173" s="49"/>
      <c r="D173" s="68"/>
      <c r="E173" s="68"/>
      <c r="F173" s="68">
        <v>0</v>
      </c>
      <c r="G173" s="68"/>
      <c r="H173" s="68">
        <v>0</v>
      </c>
      <c r="I173" s="68"/>
      <c r="J173" s="68">
        <v>0</v>
      </c>
      <c r="K173" s="68"/>
      <c r="L173" s="68">
        <v>0</v>
      </c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51">
        <f t="shared" si="31"/>
        <v>0</v>
      </c>
      <c r="AB173" s="51">
        <f t="shared" si="36"/>
        <v>0</v>
      </c>
      <c r="AD173" s="31">
        <f t="shared" si="32"/>
        <v>0</v>
      </c>
      <c r="AE173" s="31">
        <f t="shared" si="33"/>
        <v>0</v>
      </c>
      <c r="AF173" s="17">
        <f t="shared" si="34"/>
        <v>0</v>
      </c>
      <c r="AG173" s="17">
        <f t="shared" si="35"/>
        <v>0</v>
      </c>
      <c r="BG173" s="20"/>
    </row>
    <row r="174" spans="1:59" s="19" customFormat="1" ht="18" customHeight="1" outlineLevel="1" x14ac:dyDescent="0.25">
      <c r="A174" s="48" t="s">
        <v>177</v>
      </c>
      <c r="B174" s="53"/>
      <c r="C174" s="49"/>
      <c r="D174" s="68"/>
      <c r="E174" s="68"/>
      <c r="F174" s="68">
        <v>0</v>
      </c>
      <c r="G174" s="68"/>
      <c r="H174" s="68">
        <v>0</v>
      </c>
      <c r="I174" s="68"/>
      <c r="J174" s="68">
        <v>0</v>
      </c>
      <c r="K174" s="68"/>
      <c r="L174" s="68">
        <v>0</v>
      </c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51">
        <f t="shared" si="31"/>
        <v>0</v>
      </c>
      <c r="AB174" s="51">
        <f t="shared" si="36"/>
        <v>0</v>
      </c>
      <c r="AD174" s="31">
        <f t="shared" si="32"/>
        <v>0</v>
      </c>
      <c r="AE174" s="31">
        <f t="shared" si="33"/>
        <v>0</v>
      </c>
      <c r="AF174" s="17">
        <f t="shared" si="34"/>
        <v>0</v>
      </c>
      <c r="AG174" s="17">
        <f t="shared" si="35"/>
        <v>0</v>
      </c>
      <c r="BG174" s="20"/>
    </row>
    <row r="175" spans="1:59" s="19" customFormat="1" ht="18" customHeight="1" outlineLevel="1" x14ac:dyDescent="0.25">
      <c r="A175" s="48" t="s">
        <v>178</v>
      </c>
      <c r="B175" s="53"/>
      <c r="C175" s="49"/>
      <c r="D175" s="68"/>
      <c r="E175" s="68"/>
      <c r="F175" s="68">
        <v>0</v>
      </c>
      <c r="G175" s="68"/>
      <c r="H175" s="68">
        <v>0</v>
      </c>
      <c r="I175" s="68"/>
      <c r="J175" s="68">
        <v>0</v>
      </c>
      <c r="K175" s="68"/>
      <c r="L175" s="68">
        <v>0</v>
      </c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51">
        <f t="shared" si="31"/>
        <v>0</v>
      </c>
      <c r="AB175" s="51">
        <f t="shared" si="36"/>
        <v>0</v>
      </c>
      <c r="AD175" s="31">
        <f t="shared" si="32"/>
        <v>0</v>
      </c>
      <c r="AE175" s="31">
        <f t="shared" si="33"/>
        <v>0</v>
      </c>
      <c r="AF175" s="17">
        <f t="shared" si="34"/>
        <v>0</v>
      </c>
      <c r="AG175" s="17">
        <f t="shared" si="35"/>
        <v>0</v>
      </c>
      <c r="BG175" s="20"/>
    </row>
    <row r="176" spans="1:59" s="21" customFormat="1" ht="18" customHeight="1" x14ac:dyDescent="0.25">
      <c r="A176" s="52" t="s">
        <v>181</v>
      </c>
      <c r="B176" s="45">
        <v>8</v>
      </c>
      <c r="C176" s="69"/>
      <c r="D176" s="65"/>
      <c r="E176" s="65"/>
      <c r="F176" s="65">
        <f>SUM(F177:F249)-F177-F180-F189-F200-F212</f>
        <v>0</v>
      </c>
      <c r="G176" s="65"/>
      <c r="H176" s="65">
        <f>SUM(H177:H249)-H177-H180-H189-H200-H212</f>
        <v>0</v>
      </c>
      <c r="I176" s="65"/>
      <c r="J176" s="65">
        <f>SUM(J177:J249)-J177-J180-J189-J200-J212</f>
        <v>0</v>
      </c>
      <c r="K176" s="65"/>
      <c r="L176" s="65">
        <f>SUM(L177:L249)-L177-L180-L189-L200-L212</f>
        <v>0</v>
      </c>
      <c r="M176" s="65"/>
      <c r="N176" s="65">
        <f>SUM(N177:N249)-N177-N180-N189-N200-N212</f>
        <v>0</v>
      </c>
      <c r="O176" s="65"/>
      <c r="P176" s="65">
        <f>SUM(P177:P249)-P177-P180-P189-P200-P212</f>
        <v>0</v>
      </c>
      <c r="Q176" s="65"/>
      <c r="R176" s="65">
        <f>SUM(R177:R249)-R177-R180-R189-R200-R212</f>
        <v>0</v>
      </c>
      <c r="S176" s="65"/>
      <c r="T176" s="65">
        <f>SUM(T177:T249)-T177-T180-T189-T200-T212</f>
        <v>0</v>
      </c>
      <c r="U176" s="65"/>
      <c r="V176" s="65">
        <f>SUM(V177:V249)-V177-V180-V189-V200-V212</f>
        <v>0</v>
      </c>
      <c r="W176" s="65"/>
      <c r="X176" s="65">
        <f>SUM(X177:X249)-X177-X180-X189-X200-X212</f>
        <v>0</v>
      </c>
      <c r="Y176" s="65"/>
      <c r="Z176" s="65">
        <f>SUM(Z177:Z249)-Z177-Z180-Z189-Z200-Z212</f>
        <v>0</v>
      </c>
      <c r="AA176" s="51">
        <f t="shared" si="31"/>
        <v>0</v>
      </c>
      <c r="AB176" s="70">
        <f>SUM(D176:Z176)</f>
        <v>0</v>
      </c>
      <c r="AD176" s="31">
        <f t="shared" si="32"/>
        <v>0</v>
      </c>
      <c r="AE176" s="31">
        <f t="shared" si="33"/>
        <v>0</v>
      </c>
      <c r="AF176" s="17">
        <f t="shared" si="34"/>
        <v>0</v>
      </c>
      <c r="AG176" s="17">
        <f t="shared" si="35"/>
        <v>0</v>
      </c>
      <c r="BG176" s="66"/>
    </row>
    <row r="177" spans="1:123" s="17" customFormat="1" ht="18" customHeight="1" outlineLevel="1" x14ac:dyDescent="0.25">
      <c r="A177" s="67" t="s">
        <v>107</v>
      </c>
      <c r="B177" s="45"/>
      <c r="C177" s="69"/>
      <c r="D177" s="65"/>
      <c r="E177" s="65"/>
      <c r="F177" s="65">
        <f>SUM(F178:F179)</f>
        <v>0</v>
      </c>
      <c r="G177" s="65"/>
      <c r="H177" s="65">
        <f>SUM(H178:H179)</f>
        <v>0</v>
      </c>
      <c r="I177" s="65"/>
      <c r="J177" s="65">
        <f>SUM(J178:J179)</f>
        <v>0</v>
      </c>
      <c r="K177" s="65"/>
      <c r="L177" s="65">
        <f>SUM(L178:L179)</f>
        <v>0</v>
      </c>
      <c r="M177" s="65"/>
      <c r="N177" s="65">
        <f>SUM(N178:N179)</f>
        <v>0</v>
      </c>
      <c r="O177" s="65"/>
      <c r="P177" s="65">
        <f>SUM(P178:P179)</f>
        <v>0</v>
      </c>
      <c r="Q177" s="65"/>
      <c r="R177" s="65">
        <f>SUM(R178:R179)</f>
        <v>0</v>
      </c>
      <c r="S177" s="65"/>
      <c r="T177" s="65">
        <f>SUM(T178:T179)</f>
        <v>0</v>
      </c>
      <c r="U177" s="65"/>
      <c r="V177" s="65">
        <f>SUM(V178:V179)</f>
        <v>0</v>
      </c>
      <c r="W177" s="65"/>
      <c r="X177" s="65">
        <f>SUM(X178:X179)</f>
        <v>0</v>
      </c>
      <c r="Y177" s="65"/>
      <c r="Z177" s="65">
        <f>SUM(Z178:Z179)</f>
        <v>0</v>
      </c>
      <c r="AA177" s="51">
        <f t="shared" si="31"/>
        <v>0</v>
      </c>
      <c r="AB177" s="51">
        <f t="shared" ref="AB177:AB240" si="37">D177+F177+H177+J177+L177+N177+P177+R177+T177+V177+X177+Z177</f>
        <v>0</v>
      </c>
      <c r="AC177" s="21"/>
      <c r="AD177" s="31">
        <f t="shared" si="32"/>
        <v>0</v>
      </c>
      <c r="AE177" s="31">
        <f t="shared" si="33"/>
        <v>0</v>
      </c>
      <c r="AF177" s="17">
        <f t="shared" si="34"/>
        <v>0</v>
      </c>
      <c r="AG177" s="17">
        <f t="shared" si="35"/>
        <v>0</v>
      </c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</row>
    <row r="178" spans="1:123" s="19" customFormat="1" ht="18" customHeight="1" outlineLevel="2" x14ac:dyDescent="0.25">
      <c r="A178" s="48" t="s">
        <v>108</v>
      </c>
      <c r="B178" s="53"/>
      <c r="C178" s="49"/>
      <c r="D178" s="68"/>
      <c r="E178" s="68"/>
      <c r="F178" s="68">
        <v>0</v>
      </c>
      <c r="G178" s="68"/>
      <c r="H178" s="68">
        <v>0</v>
      </c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51">
        <f t="shared" si="31"/>
        <v>0</v>
      </c>
      <c r="AB178" s="51">
        <f t="shared" si="37"/>
        <v>0</v>
      </c>
      <c r="AD178" s="31">
        <f t="shared" si="32"/>
        <v>0</v>
      </c>
      <c r="AE178" s="31">
        <f t="shared" si="33"/>
        <v>0</v>
      </c>
      <c r="AF178" s="17">
        <f t="shared" si="34"/>
        <v>0</v>
      </c>
      <c r="AG178" s="17">
        <f t="shared" si="35"/>
        <v>0</v>
      </c>
    </row>
    <row r="179" spans="1:123" s="19" customFormat="1" ht="18" customHeight="1" outlineLevel="2" x14ac:dyDescent="0.25">
      <c r="A179" s="48" t="s">
        <v>109</v>
      </c>
      <c r="B179" s="53"/>
      <c r="C179" s="49"/>
      <c r="D179" s="68"/>
      <c r="E179" s="68"/>
      <c r="F179" s="68">
        <v>0</v>
      </c>
      <c r="G179" s="68"/>
      <c r="H179" s="68">
        <v>0</v>
      </c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51">
        <f t="shared" si="31"/>
        <v>0</v>
      </c>
      <c r="AB179" s="51">
        <f t="shared" si="37"/>
        <v>0</v>
      </c>
      <c r="AD179" s="31">
        <f t="shared" si="32"/>
        <v>0</v>
      </c>
      <c r="AE179" s="31">
        <f t="shared" si="33"/>
        <v>0</v>
      </c>
      <c r="AF179" s="17">
        <f t="shared" si="34"/>
        <v>0</v>
      </c>
      <c r="AG179" s="17">
        <f t="shared" si="35"/>
        <v>0</v>
      </c>
    </row>
    <row r="180" spans="1:123" s="17" customFormat="1" ht="18" customHeight="1" outlineLevel="1" x14ac:dyDescent="0.25">
      <c r="A180" s="67" t="s">
        <v>110</v>
      </c>
      <c r="B180" s="45"/>
      <c r="C180" s="69"/>
      <c r="D180" s="65"/>
      <c r="E180" s="65"/>
      <c r="F180" s="65">
        <f>SUM(F181:F185)</f>
        <v>0</v>
      </c>
      <c r="G180" s="65"/>
      <c r="H180" s="65">
        <f>SUM(H181:H185)</f>
        <v>0</v>
      </c>
      <c r="I180" s="65"/>
      <c r="J180" s="65">
        <f>SUM(J181:J185)</f>
        <v>0</v>
      </c>
      <c r="K180" s="65"/>
      <c r="L180" s="65">
        <f>SUM(L181:L185)</f>
        <v>0</v>
      </c>
      <c r="M180" s="65"/>
      <c r="N180" s="65">
        <f>SUM(N181:N185)</f>
        <v>0</v>
      </c>
      <c r="O180" s="65"/>
      <c r="P180" s="65">
        <f>SUM(P181:P185)</f>
        <v>0</v>
      </c>
      <c r="Q180" s="65"/>
      <c r="R180" s="65">
        <f>SUM(R181:R185)</f>
        <v>0</v>
      </c>
      <c r="S180" s="65"/>
      <c r="T180" s="65">
        <f>SUM(T181:T185)</f>
        <v>0</v>
      </c>
      <c r="U180" s="65"/>
      <c r="V180" s="65">
        <f>SUM(V181:V185)</f>
        <v>0</v>
      </c>
      <c r="W180" s="65"/>
      <c r="X180" s="65">
        <f>SUM(X181:X185)</f>
        <v>0</v>
      </c>
      <c r="Y180" s="65"/>
      <c r="Z180" s="65">
        <f>SUM(Z181:Z185)</f>
        <v>0</v>
      </c>
      <c r="AA180" s="51">
        <f t="shared" si="31"/>
        <v>0</v>
      </c>
      <c r="AB180" s="51">
        <f t="shared" si="37"/>
        <v>0</v>
      </c>
      <c r="AC180" s="21"/>
      <c r="AD180" s="31">
        <f t="shared" si="32"/>
        <v>0</v>
      </c>
      <c r="AE180" s="31">
        <f t="shared" si="33"/>
        <v>0</v>
      </c>
      <c r="AF180" s="17">
        <f t="shared" si="34"/>
        <v>0</v>
      </c>
      <c r="AG180" s="17">
        <f t="shared" si="35"/>
        <v>0</v>
      </c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</row>
    <row r="181" spans="1:123" s="19" customFormat="1" ht="18" customHeight="1" outlineLevel="2" x14ac:dyDescent="0.25">
      <c r="A181" s="48" t="s">
        <v>111</v>
      </c>
      <c r="B181" s="53"/>
      <c r="C181" s="49"/>
      <c r="D181" s="68"/>
      <c r="E181" s="68"/>
      <c r="F181" s="68">
        <v>0</v>
      </c>
      <c r="G181" s="68"/>
      <c r="H181" s="68">
        <v>0</v>
      </c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51">
        <f t="shared" si="31"/>
        <v>0</v>
      </c>
      <c r="AB181" s="51">
        <f t="shared" si="37"/>
        <v>0</v>
      </c>
      <c r="AD181" s="31">
        <f t="shared" si="32"/>
        <v>0</v>
      </c>
      <c r="AE181" s="31">
        <f t="shared" si="33"/>
        <v>0</v>
      </c>
      <c r="AF181" s="17">
        <f t="shared" si="34"/>
        <v>0</v>
      </c>
      <c r="AG181" s="17">
        <f t="shared" si="35"/>
        <v>0</v>
      </c>
    </row>
    <row r="182" spans="1:123" s="19" customFormat="1" ht="18" customHeight="1" outlineLevel="2" x14ac:dyDescent="0.25">
      <c r="A182" s="48" t="s">
        <v>112</v>
      </c>
      <c r="B182" s="53"/>
      <c r="C182" s="49"/>
      <c r="D182" s="68"/>
      <c r="E182" s="68"/>
      <c r="F182" s="68">
        <v>0</v>
      </c>
      <c r="G182" s="68"/>
      <c r="H182" s="68">
        <v>0</v>
      </c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51">
        <f t="shared" si="31"/>
        <v>0</v>
      </c>
      <c r="AB182" s="51">
        <f t="shared" si="37"/>
        <v>0</v>
      </c>
      <c r="AD182" s="31">
        <f t="shared" si="32"/>
        <v>0</v>
      </c>
      <c r="AE182" s="31">
        <f t="shared" si="33"/>
        <v>0</v>
      </c>
      <c r="AF182" s="17">
        <f t="shared" si="34"/>
        <v>0</v>
      </c>
      <c r="AG182" s="17">
        <f t="shared" si="35"/>
        <v>0</v>
      </c>
    </row>
    <row r="183" spans="1:123" s="19" customFormat="1" ht="18" customHeight="1" outlineLevel="2" x14ac:dyDescent="0.25">
      <c r="A183" s="48" t="s">
        <v>113</v>
      </c>
      <c r="B183" s="53"/>
      <c r="C183" s="49"/>
      <c r="D183" s="68"/>
      <c r="E183" s="68"/>
      <c r="F183" s="68">
        <v>0</v>
      </c>
      <c r="G183" s="68"/>
      <c r="H183" s="68">
        <v>0</v>
      </c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51">
        <f t="shared" si="31"/>
        <v>0</v>
      </c>
      <c r="AB183" s="51">
        <f t="shared" si="37"/>
        <v>0</v>
      </c>
      <c r="AD183" s="31">
        <f t="shared" si="32"/>
        <v>0</v>
      </c>
      <c r="AE183" s="31">
        <f t="shared" si="33"/>
        <v>0</v>
      </c>
      <c r="AF183" s="17">
        <f t="shared" si="34"/>
        <v>0</v>
      </c>
      <c r="AG183" s="17">
        <f t="shared" si="35"/>
        <v>0</v>
      </c>
    </row>
    <row r="184" spans="1:123" s="19" customFormat="1" ht="18" customHeight="1" outlineLevel="2" x14ac:dyDescent="0.25">
      <c r="A184" s="48" t="s">
        <v>114</v>
      </c>
      <c r="B184" s="53"/>
      <c r="C184" s="49"/>
      <c r="D184" s="68"/>
      <c r="E184" s="68"/>
      <c r="F184" s="68">
        <v>0</v>
      </c>
      <c r="G184" s="68"/>
      <c r="H184" s="68">
        <v>0</v>
      </c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51">
        <f t="shared" si="31"/>
        <v>0</v>
      </c>
      <c r="AB184" s="51">
        <f t="shared" si="37"/>
        <v>0</v>
      </c>
      <c r="AD184" s="31">
        <f t="shared" si="32"/>
        <v>0</v>
      </c>
      <c r="AE184" s="31">
        <f t="shared" si="33"/>
        <v>0</v>
      </c>
      <c r="AF184" s="17">
        <f t="shared" si="34"/>
        <v>0</v>
      </c>
      <c r="AG184" s="17">
        <f t="shared" si="35"/>
        <v>0</v>
      </c>
    </row>
    <row r="185" spans="1:123" s="19" customFormat="1" ht="18" customHeight="1" outlineLevel="2" x14ac:dyDescent="0.25">
      <c r="A185" s="48" t="s">
        <v>115</v>
      </c>
      <c r="B185" s="53"/>
      <c r="C185" s="49"/>
      <c r="D185" s="68"/>
      <c r="E185" s="68"/>
      <c r="F185" s="68">
        <v>0</v>
      </c>
      <c r="G185" s="68"/>
      <c r="H185" s="68">
        <v>0</v>
      </c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51">
        <f t="shared" si="31"/>
        <v>0</v>
      </c>
      <c r="AB185" s="51">
        <f t="shared" si="37"/>
        <v>0</v>
      </c>
      <c r="AD185" s="31">
        <f t="shared" si="32"/>
        <v>0</v>
      </c>
      <c r="AE185" s="31">
        <f t="shared" si="33"/>
        <v>0</v>
      </c>
      <c r="AF185" s="17">
        <f t="shared" si="34"/>
        <v>0</v>
      </c>
      <c r="AG185" s="17">
        <f t="shared" si="35"/>
        <v>0</v>
      </c>
    </row>
    <row r="186" spans="1:123" s="19" customFormat="1" ht="18" customHeight="1" outlineLevel="1" x14ac:dyDescent="0.25">
      <c r="A186" s="48" t="s">
        <v>116</v>
      </c>
      <c r="B186" s="53"/>
      <c r="C186" s="49"/>
      <c r="D186" s="68"/>
      <c r="E186" s="68"/>
      <c r="F186" s="68">
        <v>0</v>
      </c>
      <c r="G186" s="68"/>
      <c r="H186" s="68">
        <v>0</v>
      </c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51">
        <f t="shared" si="31"/>
        <v>0</v>
      </c>
      <c r="AB186" s="51">
        <f t="shared" si="37"/>
        <v>0</v>
      </c>
      <c r="AD186" s="31">
        <f t="shared" si="32"/>
        <v>0</v>
      </c>
      <c r="AE186" s="31">
        <f t="shared" si="33"/>
        <v>0</v>
      </c>
      <c r="AF186" s="17">
        <f t="shared" si="34"/>
        <v>0</v>
      </c>
      <c r="AG186" s="17">
        <f t="shared" si="35"/>
        <v>0</v>
      </c>
    </row>
    <row r="187" spans="1:123" s="19" customFormat="1" ht="18" customHeight="1" outlineLevel="1" x14ac:dyDescent="0.25">
      <c r="A187" s="48" t="s">
        <v>117</v>
      </c>
      <c r="B187" s="53"/>
      <c r="C187" s="49"/>
      <c r="D187" s="68"/>
      <c r="E187" s="68"/>
      <c r="F187" s="68">
        <v>0</v>
      </c>
      <c r="G187" s="68"/>
      <c r="H187" s="68">
        <v>0</v>
      </c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51">
        <f t="shared" si="31"/>
        <v>0</v>
      </c>
      <c r="AB187" s="51">
        <f t="shared" si="37"/>
        <v>0</v>
      </c>
      <c r="AD187" s="31">
        <f t="shared" si="32"/>
        <v>0</v>
      </c>
      <c r="AE187" s="31">
        <f t="shared" si="33"/>
        <v>0</v>
      </c>
      <c r="AF187" s="17">
        <f t="shared" si="34"/>
        <v>0</v>
      </c>
      <c r="AG187" s="17">
        <f t="shared" si="35"/>
        <v>0</v>
      </c>
    </row>
    <row r="188" spans="1:123" s="19" customFormat="1" ht="18" customHeight="1" outlineLevel="1" x14ac:dyDescent="0.25">
      <c r="A188" s="48" t="s">
        <v>118</v>
      </c>
      <c r="B188" s="53"/>
      <c r="C188" s="49"/>
      <c r="D188" s="68"/>
      <c r="E188" s="68"/>
      <c r="F188" s="68">
        <v>0</v>
      </c>
      <c r="G188" s="68"/>
      <c r="H188" s="68">
        <v>0</v>
      </c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51">
        <f t="shared" si="31"/>
        <v>0</v>
      </c>
      <c r="AB188" s="51">
        <f t="shared" si="37"/>
        <v>0</v>
      </c>
      <c r="AD188" s="31">
        <f t="shared" si="32"/>
        <v>0</v>
      </c>
      <c r="AE188" s="31">
        <f t="shared" si="33"/>
        <v>0</v>
      </c>
      <c r="AF188" s="17">
        <f t="shared" si="34"/>
        <v>0</v>
      </c>
      <c r="AG188" s="17">
        <f t="shared" si="35"/>
        <v>0</v>
      </c>
    </row>
    <row r="189" spans="1:123" s="17" customFormat="1" ht="18" customHeight="1" outlineLevel="1" x14ac:dyDescent="0.25">
      <c r="A189" s="67" t="s">
        <v>119</v>
      </c>
      <c r="B189" s="45"/>
      <c r="C189" s="69"/>
      <c r="D189" s="65"/>
      <c r="E189" s="65"/>
      <c r="F189" s="65">
        <f>SUM(F190:F196)</f>
        <v>0</v>
      </c>
      <c r="G189" s="65"/>
      <c r="H189" s="65">
        <f>SUM(H190:H196)</f>
        <v>0</v>
      </c>
      <c r="I189" s="65"/>
      <c r="J189" s="65">
        <f>SUM(J190:J196)</f>
        <v>0</v>
      </c>
      <c r="K189" s="65"/>
      <c r="L189" s="65">
        <f>SUM(L190:L196)</f>
        <v>0</v>
      </c>
      <c r="M189" s="65"/>
      <c r="N189" s="65">
        <f>SUM(N190:N196)</f>
        <v>0</v>
      </c>
      <c r="O189" s="65"/>
      <c r="P189" s="65">
        <f>SUM(P190:P196)</f>
        <v>0</v>
      </c>
      <c r="Q189" s="65"/>
      <c r="R189" s="65">
        <f>SUM(R190:R196)</f>
        <v>0</v>
      </c>
      <c r="S189" s="65"/>
      <c r="T189" s="65">
        <f>SUM(T190:T196)</f>
        <v>0</v>
      </c>
      <c r="U189" s="65"/>
      <c r="V189" s="65">
        <f>SUM(V190:V196)</f>
        <v>0</v>
      </c>
      <c r="W189" s="65"/>
      <c r="X189" s="65">
        <f>SUM(X190:X196)</f>
        <v>0</v>
      </c>
      <c r="Y189" s="65"/>
      <c r="Z189" s="65">
        <f>SUM(Z190:Z196)</f>
        <v>0</v>
      </c>
      <c r="AA189" s="51">
        <f t="shared" si="31"/>
        <v>0</v>
      </c>
      <c r="AB189" s="51">
        <f t="shared" si="37"/>
        <v>0</v>
      </c>
      <c r="AC189" s="21"/>
      <c r="AD189" s="31">
        <f t="shared" si="32"/>
        <v>0</v>
      </c>
      <c r="AE189" s="31">
        <f t="shared" si="33"/>
        <v>0</v>
      </c>
      <c r="AF189" s="17">
        <f t="shared" si="34"/>
        <v>0</v>
      </c>
      <c r="AG189" s="17">
        <f t="shared" si="35"/>
        <v>0</v>
      </c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</row>
    <row r="190" spans="1:123" s="19" customFormat="1" ht="18" customHeight="1" outlineLevel="2" x14ac:dyDescent="0.25">
      <c r="A190" s="48" t="s">
        <v>120</v>
      </c>
      <c r="B190" s="53"/>
      <c r="C190" s="49"/>
      <c r="D190" s="68"/>
      <c r="E190" s="68"/>
      <c r="F190" s="68">
        <v>0</v>
      </c>
      <c r="G190" s="68"/>
      <c r="H190" s="68">
        <v>0</v>
      </c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51">
        <f t="shared" si="31"/>
        <v>0</v>
      </c>
      <c r="AB190" s="51">
        <f t="shared" si="37"/>
        <v>0</v>
      </c>
      <c r="AD190" s="31">
        <f t="shared" si="32"/>
        <v>0</v>
      </c>
      <c r="AE190" s="31">
        <f t="shared" si="33"/>
        <v>0</v>
      </c>
      <c r="AF190" s="17">
        <f t="shared" si="34"/>
        <v>0</v>
      </c>
      <c r="AG190" s="17">
        <f t="shared" si="35"/>
        <v>0</v>
      </c>
    </row>
    <row r="191" spans="1:123" s="19" customFormat="1" ht="18" customHeight="1" outlineLevel="2" x14ac:dyDescent="0.25">
      <c r="A191" s="48" t="s">
        <v>121</v>
      </c>
      <c r="B191" s="53"/>
      <c r="C191" s="49"/>
      <c r="D191" s="68"/>
      <c r="E191" s="68"/>
      <c r="F191" s="68">
        <v>0</v>
      </c>
      <c r="G191" s="68"/>
      <c r="H191" s="68">
        <v>0</v>
      </c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51">
        <f t="shared" si="31"/>
        <v>0</v>
      </c>
      <c r="AB191" s="51">
        <f t="shared" si="37"/>
        <v>0</v>
      </c>
      <c r="AD191" s="31">
        <f t="shared" si="32"/>
        <v>0</v>
      </c>
      <c r="AE191" s="31">
        <f t="shared" si="33"/>
        <v>0</v>
      </c>
      <c r="AF191" s="17">
        <f t="shared" si="34"/>
        <v>0</v>
      </c>
      <c r="AG191" s="17">
        <f t="shared" si="35"/>
        <v>0</v>
      </c>
    </row>
    <row r="192" spans="1:123" s="19" customFormat="1" ht="18" customHeight="1" outlineLevel="2" x14ac:dyDescent="0.25">
      <c r="A192" s="48" t="s">
        <v>122</v>
      </c>
      <c r="B192" s="53"/>
      <c r="C192" s="49"/>
      <c r="D192" s="68"/>
      <c r="E192" s="68"/>
      <c r="F192" s="68">
        <v>0</v>
      </c>
      <c r="G192" s="68"/>
      <c r="H192" s="68">
        <v>0</v>
      </c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51">
        <f t="shared" si="31"/>
        <v>0</v>
      </c>
      <c r="AB192" s="51">
        <f t="shared" si="37"/>
        <v>0</v>
      </c>
      <c r="AD192" s="31">
        <f t="shared" si="32"/>
        <v>0</v>
      </c>
      <c r="AE192" s="31">
        <f t="shared" si="33"/>
        <v>0</v>
      </c>
      <c r="AF192" s="17">
        <f t="shared" si="34"/>
        <v>0</v>
      </c>
      <c r="AG192" s="17">
        <f t="shared" si="35"/>
        <v>0</v>
      </c>
    </row>
    <row r="193" spans="1:123" s="19" customFormat="1" ht="18" customHeight="1" outlineLevel="2" x14ac:dyDescent="0.25">
      <c r="A193" s="48" t="s">
        <v>123</v>
      </c>
      <c r="B193" s="53"/>
      <c r="C193" s="49"/>
      <c r="D193" s="68"/>
      <c r="E193" s="68"/>
      <c r="F193" s="68">
        <v>0</v>
      </c>
      <c r="G193" s="68"/>
      <c r="H193" s="68">
        <v>0</v>
      </c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51">
        <f t="shared" si="31"/>
        <v>0</v>
      </c>
      <c r="AB193" s="51">
        <f t="shared" si="37"/>
        <v>0</v>
      </c>
      <c r="AD193" s="31">
        <f t="shared" si="32"/>
        <v>0</v>
      </c>
      <c r="AE193" s="31">
        <f t="shared" si="33"/>
        <v>0</v>
      </c>
      <c r="AF193" s="17">
        <f t="shared" si="34"/>
        <v>0</v>
      </c>
      <c r="AG193" s="17">
        <f t="shared" si="35"/>
        <v>0</v>
      </c>
    </row>
    <row r="194" spans="1:123" s="19" customFormat="1" ht="18" customHeight="1" outlineLevel="2" x14ac:dyDescent="0.25">
      <c r="A194" s="48" t="s">
        <v>124</v>
      </c>
      <c r="B194" s="53"/>
      <c r="C194" s="49"/>
      <c r="D194" s="68"/>
      <c r="E194" s="68"/>
      <c r="F194" s="68">
        <v>0</v>
      </c>
      <c r="G194" s="68"/>
      <c r="H194" s="68">
        <v>0</v>
      </c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51">
        <f t="shared" si="31"/>
        <v>0</v>
      </c>
      <c r="AB194" s="51">
        <f t="shared" si="37"/>
        <v>0</v>
      </c>
      <c r="AD194" s="31">
        <f t="shared" si="32"/>
        <v>0</v>
      </c>
      <c r="AE194" s="31">
        <f t="shared" si="33"/>
        <v>0</v>
      </c>
      <c r="AF194" s="17">
        <f t="shared" si="34"/>
        <v>0</v>
      </c>
      <c r="AG194" s="17">
        <f t="shared" si="35"/>
        <v>0</v>
      </c>
    </row>
    <row r="195" spans="1:123" s="19" customFormat="1" ht="18" customHeight="1" outlineLevel="2" x14ac:dyDescent="0.25">
      <c r="A195" s="48" t="s">
        <v>125</v>
      </c>
      <c r="B195" s="53"/>
      <c r="C195" s="49"/>
      <c r="D195" s="68"/>
      <c r="E195" s="68"/>
      <c r="F195" s="68">
        <v>0</v>
      </c>
      <c r="G195" s="68"/>
      <c r="H195" s="68">
        <v>0</v>
      </c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51">
        <f t="shared" si="31"/>
        <v>0</v>
      </c>
      <c r="AB195" s="51">
        <f t="shared" si="37"/>
        <v>0</v>
      </c>
      <c r="AD195" s="31">
        <f t="shared" si="32"/>
        <v>0</v>
      </c>
      <c r="AE195" s="31">
        <f t="shared" si="33"/>
        <v>0</v>
      </c>
      <c r="AF195" s="17">
        <f t="shared" si="34"/>
        <v>0</v>
      </c>
      <c r="AG195" s="17">
        <f t="shared" si="35"/>
        <v>0</v>
      </c>
    </row>
    <row r="196" spans="1:123" s="19" customFormat="1" ht="18" customHeight="1" outlineLevel="2" x14ac:dyDescent="0.25">
      <c r="A196" s="48" t="s">
        <v>126</v>
      </c>
      <c r="B196" s="53"/>
      <c r="C196" s="49"/>
      <c r="D196" s="68"/>
      <c r="E196" s="68"/>
      <c r="F196" s="68">
        <v>0</v>
      </c>
      <c r="G196" s="68"/>
      <c r="H196" s="68">
        <v>0</v>
      </c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51">
        <f t="shared" si="31"/>
        <v>0</v>
      </c>
      <c r="AB196" s="51">
        <f t="shared" si="37"/>
        <v>0</v>
      </c>
      <c r="AD196" s="31">
        <f t="shared" si="32"/>
        <v>0</v>
      </c>
      <c r="AE196" s="31">
        <f t="shared" si="33"/>
        <v>0</v>
      </c>
      <c r="AF196" s="17">
        <f t="shared" si="34"/>
        <v>0</v>
      </c>
      <c r="AG196" s="17">
        <f t="shared" si="35"/>
        <v>0</v>
      </c>
    </row>
    <row r="197" spans="1:123" s="19" customFormat="1" ht="18" customHeight="1" outlineLevel="1" x14ac:dyDescent="0.25">
      <c r="A197" s="48" t="s">
        <v>127</v>
      </c>
      <c r="B197" s="53"/>
      <c r="C197" s="49"/>
      <c r="D197" s="68"/>
      <c r="E197" s="68"/>
      <c r="F197" s="68">
        <v>0</v>
      </c>
      <c r="G197" s="68"/>
      <c r="H197" s="68">
        <v>0</v>
      </c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51">
        <f t="shared" si="31"/>
        <v>0</v>
      </c>
      <c r="AB197" s="51">
        <f t="shared" si="37"/>
        <v>0</v>
      </c>
      <c r="AD197" s="31">
        <f t="shared" si="32"/>
        <v>0</v>
      </c>
      <c r="AE197" s="31">
        <f t="shared" si="33"/>
        <v>0</v>
      </c>
      <c r="AF197" s="17">
        <f t="shared" si="34"/>
        <v>0</v>
      </c>
      <c r="AG197" s="17">
        <f t="shared" si="35"/>
        <v>0</v>
      </c>
    </row>
    <row r="198" spans="1:123" s="19" customFormat="1" ht="18" customHeight="1" outlineLevel="1" x14ac:dyDescent="0.25">
      <c r="A198" s="48" t="s">
        <v>128</v>
      </c>
      <c r="B198" s="53"/>
      <c r="C198" s="49"/>
      <c r="D198" s="68"/>
      <c r="E198" s="68"/>
      <c r="F198" s="68">
        <v>0</v>
      </c>
      <c r="G198" s="68"/>
      <c r="H198" s="68">
        <v>0</v>
      </c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51">
        <f t="shared" si="31"/>
        <v>0</v>
      </c>
      <c r="AB198" s="51">
        <f t="shared" si="37"/>
        <v>0</v>
      </c>
      <c r="AD198" s="31">
        <f t="shared" si="32"/>
        <v>0</v>
      </c>
      <c r="AE198" s="31">
        <f t="shared" si="33"/>
        <v>0</v>
      </c>
      <c r="AF198" s="17">
        <f t="shared" si="34"/>
        <v>0</v>
      </c>
      <c r="AG198" s="17">
        <f t="shared" si="35"/>
        <v>0</v>
      </c>
    </row>
    <row r="199" spans="1:123" s="19" customFormat="1" ht="18" customHeight="1" outlineLevel="1" x14ac:dyDescent="0.25">
      <c r="A199" s="48" t="s">
        <v>129</v>
      </c>
      <c r="B199" s="53"/>
      <c r="C199" s="49"/>
      <c r="D199" s="68"/>
      <c r="E199" s="68"/>
      <c r="F199" s="68">
        <v>0</v>
      </c>
      <c r="G199" s="68"/>
      <c r="H199" s="68">
        <v>0</v>
      </c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51">
        <f t="shared" si="31"/>
        <v>0</v>
      </c>
      <c r="AB199" s="51">
        <f t="shared" si="37"/>
        <v>0</v>
      </c>
      <c r="AD199" s="31">
        <f t="shared" si="32"/>
        <v>0</v>
      </c>
      <c r="AE199" s="31">
        <f t="shared" si="33"/>
        <v>0</v>
      </c>
      <c r="AF199" s="17">
        <f t="shared" si="34"/>
        <v>0</v>
      </c>
      <c r="AG199" s="17">
        <f t="shared" si="35"/>
        <v>0</v>
      </c>
    </row>
    <row r="200" spans="1:123" s="17" customFormat="1" ht="18" customHeight="1" outlineLevel="1" x14ac:dyDescent="0.25">
      <c r="A200" s="67" t="s">
        <v>130</v>
      </c>
      <c r="B200" s="45"/>
      <c r="C200" s="69"/>
      <c r="D200" s="65"/>
      <c r="E200" s="65"/>
      <c r="F200" s="65">
        <f>SUM(F201:F205)</f>
        <v>0</v>
      </c>
      <c r="G200" s="65"/>
      <c r="H200" s="65">
        <f>SUM(H201:H205)</f>
        <v>0</v>
      </c>
      <c r="I200" s="65"/>
      <c r="J200" s="65">
        <f>SUM(J201:J205)</f>
        <v>0</v>
      </c>
      <c r="K200" s="65"/>
      <c r="L200" s="65">
        <f>SUM(L201:L205)</f>
        <v>0</v>
      </c>
      <c r="M200" s="65"/>
      <c r="N200" s="65">
        <f>SUM(N201:N205)</f>
        <v>0</v>
      </c>
      <c r="O200" s="65"/>
      <c r="P200" s="65">
        <f>SUM(P201:P205)</f>
        <v>0</v>
      </c>
      <c r="Q200" s="65"/>
      <c r="R200" s="65">
        <f>SUM(R201:R205)</f>
        <v>0</v>
      </c>
      <c r="S200" s="65"/>
      <c r="T200" s="65">
        <f>SUM(T201:T205)</f>
        <v>0</v>
      </c>
      <c r="U200" s="65"/>
      <c r="V200" s="65">
        <f>SUM(V201:V205)</f>
        <v>0</v>
      </c>
      <c r="W200" s="65"/>
      <c r="X200" s="65">
        <f>SUM(X201:X205)</f>
        <v>0</v>
      </c>
      <c r="Y200" s="65"/>
      <c r="Z200" s="65">
        <f>SUM(Z201:Z205)</f>
        <v>0</v>
      </c>
      <c r="AA200" s="51">
        <f t="shared" si="31"/>
        <v>0</v>
      </c>
      <c r="AB200" s="51">
        <f t="shared" si="37"/>
        <v>0</v>
      </c>
      <c r="AC200" s="21"/>
      <c r="AD200" s="31">
        <f t="shared" si="32"/>
        <v>0</v>
      </c>
      <c r="AE200" s="31">
        <f t="shared" si="33"/>
        <v>0</v>
      </c>
      <c r="AF200" s="17">
        <f t="shared" si="34"/>
        <v>0</v>
      </c>
      <c r="AG200" s="17">
        <f t="shared" si="35"/>
        <v>0</v>
      </c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</row>
    <row r="201" spans="1:123" s="19" customFormat="1" ht="18" customHeight="1" outlineLevel="2" x14ac:dyDescent="0.25">
      <c r="A201" s="48" t="s">
        <v>131</v>
      </c>
      <c r="B201" s="53"/>
      <c r="C201" s="49"/>
      <c r="D201" s="68"/>
      <c r="E201" s="68"/>
      <c r="F201" s="68">
        <v>0</v>
      </c>
      <c r="G201" s="68"/>
      <c r="H201" s="68">
        <v>0</v>
      </c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51">
        <f t="shared" si="31"/>
        <v>0</v>
      </c>
      <c r="AB201" s="51">
        <f t="shared" si="37"/>
        <v>0</v>
      </c>
      <c r="AD201" s="31">
        <f t="shared" si="32"/>
        <v>0</v>
      </c>
      <c r="AE201" s="31">
        <f t="shared" si="33"/>
        <v>0</v>
      </c>
      <c r="AF201" s="17">
        <f t="shared" si="34"/>
        <v>0</v>
      </c>
      <c r="AG201" s="17">
        <f t="shared" si="35"/>
        <v>0</v>
      </c>
    </row>
    <row r="202" spans="1:123" s="19" customFormat="1" ht="18" customHeight="1" outlineLevel="2" x14ac:dyDescent="0.25">
      <c r="A202" s="48" t="s">
        <v>132</v>
      </c>
      <c r="B202" s="53"/>
      <c r="C202" s="49"/>
      <c r="D202" s="68"/>
      <c r="E202" s="68"/>
      <c r="F202" s="68">
        <v>0</v>
      </c>
      <c r="G202" s="68"/>
      <c r="H202" s="68">
        <v>0</v>
      </c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51">
        <f t="shared" si="31"/>
        <v>0</v>
      </c>
      <c r="AB202" s="51">
        <f t="shared" si="37"/>
        <v>0</v>
      </c>
      <c r="AD202" s="31">
        <f t="shared" si="32"/>
        <v>0</v>
      </c>
      <c r="AE202" s="31">
        <f t="shared" si="33"/>
        <v>0</v>
      </c>
      <c r="AF202" s="17">
        <f t="shared" si="34"/>
        <v>0</v>
      </c>
      <c r="AG202" s="17">
        <f t="shared" si="35"/>
        <v>0</v>
      </c>
    </row>
    <row r="203" spans="1:123" s="19" customFormat="1" ht="18" customHeight="1" outlineLevel="2" x14ac:dyDescent="0.25">
      <c r="A203" s="48" t="s">
        <v>180</v>
      </c>
      <c r="B203" s="53"/>
      <c r="C203" s="49"/>
      <c r="D203" s="68"/>
      <c r="E203" s="68"/>
      <c r="F203" s="68">
        <v>0</v>
      </c>
      <c r="G203" s="68"/>
      <c r="H203" s="68">
        <v>0</v>
      </c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51">
        <f t="shared" si="31"/>
        <v>0</v>
      </c>
      <c r="AB203" s="51">
        <f t="shared" si="37"/>
        <v>0</v>
      </c>
      <c r="AD203" s="31">
        <f t="shared" si="32"/>
        <v>0</v>
      </c>
      <c r="AE203" s="31">
        <f t="shared" si="33"/>
        <v>0</v>
      </c>
      <c r="AF203" s="17">
        <f t="shared" si="34"/>
        <v>0</v>
      </c>
      <c r="AG203" s="17">
        <f t="shared" si="35"/>
        <v>0</v>
      </c>
    </row>
    <row r="204" spans="1:123" s="19" customFormat="1" ht="18" customHeight="1" outlineLevel="2" x14ac:dyDescent="0.25">
      <c r="A204" s="48" t="s">
        <v>134</v>
      </c>
      <c r="B204" s="53"/>
      <c r="C204" s="49"/>
      <c r="D204" s="68"/>
      <c r="E204" s="68"/>
      <c r="F204" s="68">
        <v>0</v>
      </c>
      <c r="G204" s="68"/>
      <c r="H204" s="68">
        <v>0</v>
      </c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51">
        <f t="shared" si="31"/>
        <v>0</v>
      </c>
      <c r="AB204" s="51">
        <f t="shared" si="37"/>
        <v>0</v>
      </c>
      <c r="AD204" s="31">
        <f t="shared" si="32"/>
        <v>0</v>
      </c>
      <c r="AE204" s="31">
        <f t="shared" si="33"/>
        <v>0</v>
      </c>
      <c r="AF204" s="17">
        <f t="shared" si="34"/>
        <v>0</v>
      </c>
      <c r="AG204" s="17">
        <f t="shared" si="35"/>
        <v>0</v>
      </c>
    </row>
    <row r="205" spans="1:123" s="19" customFormat="1" ht="18" customHeight="1" outlineLevel="2" x14ac:dyDescent="0.25">
      <c r="A205" s="48" t="s">
        <v>135</v>
      </c>
      <c r="B205" s="53"/>
      <c r="C205" s="49"/>
      <c r="D205" s="68"/>
      <c r="E205" s="68"/>
      <c r="F205" s="68">
        <v>0</v>
      </c>
      <c r="G205" s="68"/>
      <c r="H205" s="68">
        <v>0</v>
      </c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51">
        <f t="shared" si="31"/>
        <v>0</v>
      </c>
      <c r="AB205" s="51">
        <f t="shared" si="37"/>
        <v>0</v>
      </c>
      <c r="AD205" s="31">
        <f t="shared" si="32"/>
        <v>0</v>
      </c>
      <c r="AE205" s="31">
        <f t="shared" si="33"/>
        <v>0</v>
      </c>
      <c r="AF205" s="17">
        <f t="shared" si="34"/>
        <v>0</v>
      </c>
      <c r="AG205" s="17">
        <f t="shared" si="35"/>
        <v>0</v>
      </c>
    </row>
    <row r="206" spans="1:123" s="19" customFormat="1" ht="18" customHeight="1" outlineLevel="1" x14ac:dyDescent="0.25">
      <c r="A206" s="48" t="s">
        <v>136</v>
      </c>
      <c r="B206" s="53"/>
      <c r="C206" s="49"/>
      <c r="D206" s="68"/>
      <c r="E206" s="68"/>
      <c r="F206" s="68">
        <v>0</v>
      </c>
      <c r="G206" s="68"/>
      <c r="H206" s="68">
        <v>0</v>
      </c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51">
        <f t="shared" si="31"/>
        <v>0</v>
      </c>
      <c r="AB206" s="51">
        <f t="shared" si="37"/>
        <v>0</v>
      </c>
      <c r="AD206" s="31">
        <f t="shared" si="32"/>
        <v>0</v>
      </c>
      <c r="AE206" s="31">
        <f t="shared" si="33"/>
        <v>0</v>
      </c>
      <c r="AF206" s="17">
        <f t="shared" si="34"/>
        <v>0</v>
      </c>
      <c r="AG206" s="17">
        <f t="shared" si="35"/>
        <v>0</v>
      </c>
    </row>
    <row r="207" spans="1:123" s="19" customFormat="1" ht="18" customHeight="1" outlineLevel="1" x14ac:dyDescent="0.25">
      <c r="A207" s="48" t="s">
        <v>137</v>
      </c>
      <c r="B207" s="53"/>
      <c r="C207" s="49"/>
      <c r="D207" s="68"/>
      <c r="E207" s="68"/>
      <c r="F207" s="68">
        <v>0</v>
      </c>
      <c r="G207" s="68"/>
      <c r="H207" s="68">
        <v>0</v>
      </c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51">
        <f t="shared" si="31"/>
        <v>0</v>
      </c>
      <c r="AB207" s="51">
        <f t="shared" si="37"/>
        <v>0</v>
      </c>
      <c r="AD207" s="31">
        <f t="shared" si="32"/>
        <v>0</v>
      </c>
      <c r="AE207" s="31">
        <f t="shared" si="33"/>
        <v>0</v>
      </c>
      <c r="AF207" s="17">
        <f t="shared" si="34"/>
        <v>0</v>
      </c>
      <c r="AG207" s="17">
        <f t="shared" si="35"/>
        <v>0</v>
      </c>
    </row>
    <row r="208" spans="1:123" s="19" customFormat="1" ht="18" customHeight="1" outlineLevel="1" x14ac:dyDescent="0.25">
      <c r="A208" s="48" t="s">
        <v>138</v>
      </c>
      <c r="B208" s="53"/>
      <c r="C208" s="49"/>
      <c r="D208" s="68"/>
      <c r="E208" s="68"/>
      <c r="F208" s="68">
        <v>0</v>
      </c>
      <c r="G208" s="68"/>
      <c r="H208" s="68">
        <v>0</v>
      </c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51">
        <f t="shared" si="31"/>
        <v>0</v>
      </c>
      <c r="AB208" s="51">
        <f t="shared" si="37"/>
        <v>0</v>
      </c>
      <c r="AD208" s="31">
        <f t="shared" si="32"/>
        <v>0</v>
      </c>
      <c r="AE208" s="31">
        <f t="shared" si="33"/>
        <v>0</v>
      </c>
      <c r="AF208" s="17">
        <f t="shared" si="34"/>
        <v>0</v>
      </c>
      <c r="AG208" s="17">
        <f t="shared" si="35"/>
        <v>0</v>
      </c>
    </row>
    <row r="209" spans="1:123" s="19" customFormat="1" ht="18" customHeight="1" outlineLevel="1" x14ac:dyDescent="0.25">
      <c r="A209" s="48" t="s">
        <v>139</v>
      </c>
      <c r="B209" s="53"/>
      <c r="C209" s="49"/>
      <c r="D209" s="68"/>
      <c r="E209" s="68"/>
      <c r="F209" s="68">
        <v>0</v>
      </c>
      <c r="G209" s="68"/>
      <c r="H209" s="68">
        <v>0</v>
      </c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51">
        <f t="shared" si="31"/>
        <v>0</v>
      </c>
      <c r="AB209" s="51">
        <f t="shared" si="37"/>
        <v>0</v>
      </c>
      <c r="AD209" s="31">
        <f t="shared" si="32"/>
        <v>0</v>
      </c>
      <c r="AE209" s="31">
        <f t="shared" si="33"/>
        <v>0</v>
      </c>
      <c r="AF209" s="17">
        <f t="shared" si="34"/>
        <v>0</v>
      </c>
      <c r="AG209" s="17">
        <f t="shared" si="35"/>
        <v>0</v>
      </c>
    </row>
    <row r="210" spans="1:123" s="19" customFormat="1" ht="18" customHeight="1" outlineLevel="1" x14ac:dyDescent="0.25">
      <c r="A210" s="48" t="s">
        <v>140</v>
      </c>
      <c r="B210" s="53"/>
      <c r="C210" s="49"/>
      <c r="D210" s="68"/>
      <c r="E210" s="68"/>
      <c r="F210" s="68">
        <v>0</v>
      </c>
      <c r="G210" s="68"/>
      <c r="H210" s="68">
        <v>0</v>
      </c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51">
        <f t="shared" si="31"/>
        <v>0</v>
      </c>
      <c r="AB210" s="51">
        <f t="shared" si="37"/>
        <v>0</v>
      </c>
      <c r="AD210" s="31">
        <f t="shared" si="32"/>
        <v>0</v>
      </c>
      <c r="AE210" s="31">
        <f t="shared" si="33"/>
        <v>0</v>
      </c>
      <c r="AF210" s="17">
        <f t="shared" si="34"/>
        <v>0</v>
      </c>
      <c r="AG210" s="17">
        <f t="shared" si="35"/>
        <v>0</v>
      </c>
    </row>
    <row r="211" spans="1:123" s="19" customFormat="1" ht="18" customHeight="1" outlineLevel="1" x14ac:dyDescent="0.25">
      <c r="A211" s="48" t="s">
        <v>141</v>
      </c>
      <c r="B211" s="53"/>
      <c r="C211" s="49"/>
      <c r="D211" s="68"/>
      <c r="E211" s="68"/>
      <c r="F211" s="68">
        <v>0</v>
      </c>
      <c r="G211" s="68"/>
      <c r="H211" s="68">
        <v>0</v>
      </c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51">
        <f t="shared" si="31"/>
        <v>0</v>
      </c>
      <c r="AB211" s="51">
        <f t="shared" si="37"/>
        <v>0</v>
      </c>
      <c r="AD211" s="31">
        <f t="shared" si="32"/>
        <v>0</v>
      </c>
      <c r="AE211" s="31">
        <f t="shared" si="33"/>
        <v>0</v>
      </c>
      <c r="AF211" s="17">
        <f t="shared" si="34"/>
        <v>0</v>
      </c>
      <c r="AG211" s="17">
        <f t="shared" si="35"/>
        <v>0</v>
      </c>
    </row>
    <row r="212" spans="1:123" s="17" customFormat="1" ht="18" customHeight="1" outlineLevel="1" x14ac:dyDescent="0.25">
      <c r="A212" s="67" t="s">
        <v>142</v>
      </c>
      <c r="B212" s="71"/>
      <c r="C212" s="69"/>
      <c r="D212" s="65"/>
      <c r="E212" s="65"/>
      <c r="F212" s="65">
        <f>SUM(F213:F216)</f>
        <v>0</v>
      </c>
      <c r="G212" s="65"/>
      <c r="H212" s="65">
        <f>SUM(H213:H216)</f>
        <v>0</v>
      </c>
      <c r="I212" s="65"/>
      <c r="J212" s="65">
        <f>SUM(J213:J216)</f>
        <v>0</v>
      </c>
      <c r="K212" s="65"/>
      <c r="L212" s="65">
        <f>SUM(L213:L216)</f>
        <v>0</v>
      </c>
      <c r="M212" s="65"/>
      <c r="N212" s="65">
        <f>SUM(N213:N216)</f>
        <v>0</v>
      </c>
      <c r="O212" s="65"/>
      <c r="P212" s="65">
        <f>SUM(P213:P216)</f>
        <v>0</v>
      </c>
      <c r="Q212" s="65"/>
      <c r="R212" s="65">
        <f>SUM(R213:R216)</f>
        <v>0</v>
      </c>
      <c r="S212" s="65"/>
      <c r="T212" s="65">
        <f>SUM(T213:T216)</f>
        <v>0</v>
      </c>
      <c r="U212" s="65"/>
      <c r="V212" s="65">
        <f>SUM(V213:V216)</f>
        <v>0</v>
      </c>
      <c r="W212" s="65"/>
      <c r="X212" s="65">
        <f>SUM(X213:X216)</f>
        <v>0</v>
      </c>
      <c r="Y212" s="65"/>
      <c r="Z212" s="65">
        <f>SUM(Z213:Z216)</f>
        <v>0</v>
      </c>
      <c r="AA212" s="51">
        <f t="shared" si="31"/>
        <v>0</v>
      </c>
      <c r="AB212" s="51">
        <f t="shared" si="37"/>
        <v>0</v>
      </c>
      <c r="AC212" s="21"/>
      <c r="AD212" s="31">
        <f t="shared" si="32"/>
        <v>0</v>
      </c>
      <c r="AE212" s="31">
        <f t="shared" si="33"/>
        <v>0</v>
      </c>
      <c r="AF212" s="17">
        <f t="shared" si="34"/>
        <v>0</v>
      </c>
      <c r="AG212" s="17">
        <f t="shared" si="35"/>
        <v>0</v>
      </c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</row>
    <row r="213" spans="1:123" s="19" customFormat="1" ht="18" customHeight="1" outlineLevel="2" x14ac:dyDescent="0.25">
      <c r="A213" s="48" t="s">
        <v>143</v>
      </c>
      <c r="B213" s="53"/>
      <c r="C213" s="49"/>
      <c r="D213" s="68"/>
      <c r="E213" s="68"/>
      <c r="F213" s="68">
        <v>0</v>
      </c>
      <c r="G213" s="68"/>
      <c r="H213" s="68">
        <v>0</v>
      </c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51">
        <f t="shared" si="31"/>
        <v>0</v>
      </c>
      <c r="AB213" s="51">
        <f t="shared" si="37"/>
        <v>0</v>
      </c>
      <c r="AD213" s="31">
        <f t="shared" si="32"/>
        <v>0</v>
      </c>
      <c r="AE213" s="31">
        <f t="shared" si="33"/>
        <v>0</v>
      </c>
      <c r="AF213" s="17">
        <f t="shared" si="34"/>
        <v>0</v>
      </c>
      <c r="AG213" s="17">
        <f t="shared" si="35"/>
        <v>0</v>
      </c>
    </row>
    <row r="214" spans="1:123" s="19" customFormat="1" ht="18" customHeight="1" outlineLevel="2" x14ac:dyDescent="0.25">
      <c r="A214" s="48" t="s">
        <v>144</v>
      </c>
      <c r="B214" s="53"/>
      <c r="C214" s="49"/>
      <c r="D214" s="68"/>
      <c r="E214" s="68"/>
      <c r="F214" s="68">
        <v>0</v>
      </c>
      <c r="G214" s="68"/>
      <c r="H214" s="68">
        <v>0</v>
      </c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51">
        <f t="shared" si="31"/>
        <v>0</v>
      </c>
      <c r="AB214" s="51">
        <f t="shared" si="37"/>
        <v>0</v>
      </c>
      <c r="AD214" s="31">
        <f t="shared" si="32"/>
        <v>0</v>
      </c>
      <c r="AE214" s="31">
        <f t="shared" si="33"/>
        <v>0</v>
      </c>
      <c r="AF214" s="17">
        <f t="shared" si="34"/>
        <v>0</v>
      </c>
      <c r="AG214" s="17">
        <f t="shared" si="35"/>
        <v>0</v>
      </c>
    </row>
    <row r="215" spans="1:123" s="19" customFormat="1" ht="18" customHeight="1" outlineLevel="2" x14ac:dyDescent="0.25">
      <c r="A215" s="48" t="s">
        <v>145</v>
      </c>
      <c r="B215" s="53"/>
      <c r="C215" s="49"/>
      <c r="D215" s="68"/>
      <c r="E215" s="68"/>
      <c r="F215" s="68">
        <v>0</v>
      </c>
      <c r="G215" s="68"/>
      <c r="H215" s="68">
        <v>0</v>
      </c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51">
        <f t="shared" si="31"/>
        <v>0</v>
      </c>
      <c r="AB215" s="51">
        <f t="shared" si="37"/>
        <v>0</v>
      </c>
      <c r="AD215" s="31">
        <f t="shared" si="32"/>
        <v>0</v>
      </c>
      <c r="AE215" s="31">
        <f t="shared" si="33"/>
        <v>0</v>
      </c>
      <c r="AF215" s="17">
        <f t="shared" si="34"/>
        <v>0</v>
      </c>
      <c r="AG215" s="17">
        <f t="shared" si="35"/>
        <v>0</v>
      </c>
    </row>
    <row r="216" spans="1:123" s="19" customFormat="1" ht="18" customHeight="1" outlineLevel="2" x14ac:dyDescent="0.25">
      <c r="A216" s="48" t="s">
        <v>146</v>
      </c>
      <c r="B216" s="53"/>
      <c r="C216" s="49"/>
      <c r="D216" s="68"/>
      <c r="E216" s="68"/>
      <c r="F216" s="68">
        <v>0</v>
      </c>
      <c r="G216" s="68"/>
      <c r="H216" s="68">
        <v>0</v>
      </c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51">
        <f t="shared" si="31"/>
        <v>0</v>
      </c>
      <c r="AB216" s="51">
        <f t="shared" si="37"/>
        <v>0</v>
      </c>
      <c r="AD216" s="31">
        <f t="shared" si="32"/>
        <v>0</v>
      </c>
      <c r="AE216" s="31">
        <f t="shared" si="33"/>
        <v>0</v>
      </c>
      <c r="AF216" s="17">
        <f t="shared" si="34"/>
        <v>0</v>
      </c>
      <c r="AG216" s="17">
        <f t="shared" si="35"/>
        <v>0</v>
      </c>
    </row>
    <row r="217" spans="1:123" s="19" customFormat="1" ht="18" customHeight="1" outlineLevel="1" x14ac:dyDescent="0.25">
      <c r="A217" s="48" t="s">
        <v>147</v>
      </c>
      <c r="B217" s="53"/>
      <c r="C217" s="49"/>
      <c r="D217" s="68"/>
      <c r="E217" s="68"/>
      <c r="F217" s="68">
        <v>0</v>
      </c>
      <c r="G217" s="68"/>
      <c r="H217" s="68">
        <v>0</v>
      </c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51">
        <f t="shared" si="31"/>
        <v>0</v>
      </c>
      <c r="AB217" s="51">
        <f t="shared" si="37"/>
        <v>0</v>
      </c>
      <c r="AD217" s="31">
        <f t="shared" si="32"/>
        <v>0</v>
      </c>
      <c r="AE217" s="31">
        <f t="shared" si="33"/>
        <v>0</v>
      </c>
      <c r="AF217" s="17">
        <f t="shared" si="34"/>
        <v>0</v>
      </c>
      <c r="AG217" s="17">
        <f t="shared" si="35"/>
        <v>0</v>
      </c>
    </row>
    <row r="218" spans="1:123" s="19" customFormat="1" ht="18" customHeight="1" outlineLevel="1" x14ac:dyDescent="0.25">
      <c r="A218" s="48" t="s">
        <v>148</v>
      </c>
      <c r="B218" s="53"/>
      <c r="C218" s="49"/>
      <c r="D218" s="68"/>
      <c r="E218" s="68"/>
      <c r="F218" s="68">
        <v>0</v>
      </c>
      <c r="G218" s="68"/>
      <c r="H218" s="68">
        <v>0</v>
      </c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51">
        <f t="shared" si="31"/>
        <v>0</v>
      </c>
      <c r="AB218" s="51">
        <f t="shared" si="37"/>
        <v>0</v>
      </c>
      <c r="AD218" s="31">
        <f t="shared" si="32"/>
        <v>0</v>
      </c>
      <c r="AE218" s="31">
        <f t="shared" si="33"/>
        <v>0</v>
      </c>
      <c r="AF218" s="17">
        <f t="shared" si="34"/>
        <v>0</v>
      </c>
      <c r="AG218" s="17">
        <f t="shared" si="35"/>
        <v>0</v>
      </c>
    </row>
    <row r="219" spans="1:123" s="19" customFormat="1" ht="18" customHeight="1" outlineLevel="1" x14ac:dyDescent="0.25">
      <c r="A219" s="48" t="s">
        <v>149</v>
      </c>
      <c r="B219" s="53"/>
      <c r="C219" s="49"/>
      <c r="D219" s="68"/>
      <c r="E219" s="68"/>
      <c r="F219" s="68">
        <v>0</v>
      </c>
      <c r="G219" s="68"/>
      <c r="H219" s="68">
        <v>0</v>
      </c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51">
        <f t="shared" si="31"/>
        <v>0</v>
      </c>
      <c r="AB219" s="51">
        <f t="shared" si="37"/>
        <v>0</v>
      </c>
      <c r="AD219" s="31">
        <f t="shared" si="32"/>
        <v>0</v>
      </c>
      <c r="AE219" s="31">
        <f t="shared" si="33"/>
        <v>0</v>
      </c>
      <c r="AF219" s="17">
        <f t="shared" si="34"/>
        <v>0</v>
      </c>
      <c r="AG219" s="17">
        <f t="shared" si="35"/>
        <v>0</v>
      </c>
    </row>
    <row r="220" spans="1:123" s="19" customFormat="1" ht="18" customHeight="1" outlineLevel="1" x14ac:dyDescent="0.25">
      <c r="A220" s="48" t="s">
        <v>150</v>
      </c>
      <c r="B220" s="53"/>
      <c r="C220" s="49"/>
      <c r="D220" s="68"/>
      <c r="E220" s="68"/>
      <c r="F220" s="68">
        <v>0</v>
      </c>
      <c r="G220" s="68"/>
      <c r="H220" s="68">
        <v>0</v>
      </c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51">
        <f t="shared" ref="AA220:AA257" si="38">C220+E220+G220+I220+K220+M220+O220+Q220+S220+U220+W220+Y220</f>
        <v>0</v>
      </c>
      <c r="AB220" s="51">
        <f t="shared" si="37"/>
        <v>0</v>
      </c>
      <c r="AD220" s="31">
        <f t="shared" ref="AD220:AD263" si="39">SUMIF($C$5:$Z$5,$AD$5,C220:Z220)</f>
        <v>0</v>
      </c>
      <c r="AE220" s="31">
        <f t="shared" ref="AE220:AE263" si="40">SUMIF($C$5:$Z$5,$AD$5,D220:AA220)</f>
        <v>0</v>
      </c>
      <c r="AF220" s="17">
        <f t="shared" si="34"/>
        <v>0</v>
      </c>
      <c r="AG220" s="17">
        <f t="shared" si="35"/>
        <v>0</v>
      </c>
    </row>
    <row r="221" spans="1:123" s="19" customFormat="1" ht="18" customHeight="1" outlineLevel="1" x14ac:dyDescent="0.25">
      <c r="A221" s="48" t="s">
        <v>151</v>
      </c>
      <c r="B221" s="53"/>
      <c r="C221" s="49"/>
      <c r="D221" s="68"/>
      <c r="E221" s="68"/>
      <c r="F221" s="68">
        <v>0</v>
      </c>
      <c r="G221" s="68"/>
      <c r="H221" s="68">
        <v>0</v>
      </c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51">
        <f t="shared" si="38"/>
        <v>0</v>
      </c>
      <c r="AB221" s="51">
        <f t="shared" si="37"/>
        <v>0</v>
      </c>
      <c r="AD221" s="31">
        <f t="shared" si="39"/>
        <v>0</v>
      </c>
      <c r="AE221" s="31">
        <f t="shared" si="40"/>
        <v>0</v>
      </c>
      <c r="AF221" s="17">
        <f t="shared" si="34"/>
        <v>0</v>
      </c>
      <c r="AG221" s="17">
        <f t="shared" si="35"/>
        <v>0</v>
      </c>
    </row>
    <row r="222" spans="1:123" s="19" customFormat="1" ht="18" customHeight="1" outlineLevel="1" x14ac:dyDescent="0.25">
      <c r="A222" s="48" t="s">
        <v>152</v>
      </c>
      <c r="B222" s="53"/>
      <c r="C222" s="49"/>
      <c r="D222" s="68"/>
      <c r="E222" s="68"/>
      <c r="F222" s="68">
        <v>0</v>
      </c>
      <c r="G222" s="68"/>
      <c r="H222" s="68">
        <v>0</v>
      </c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51">
        <f t="shared" si="38"/>
        <v>0</v>
      </c>
      <c r="AB222" s="51">
        <f t="shared" si="37"/>
        <v>0</v>
      </c>
      <c r="AD222" s="31">
        <f t="shared" si="39"/>
        <v>0</v>
      </c>
      <c r="AE222" s="31">
        <f t="shared" si="40"/>
        <v>0</v>
      </c>
      <c r="AF222" s="17">
        <f t="shared" ref="AF222:AF260" si="41">AA222-AD222</f>
        <v>0</v>
      </c>
      <c r="AG222" s="17">
        <f t="shared" ref="AG222:AG260" si="42">AB222-AE222</f>
        <v>0</v>
      </c>
    </row>
    <row r="223" spans="1:123" s="19" customFormat="1" ht="18" customHeight="1" outlineLevel="1" x14ac:dyDescent="0.25">
      <c r="A223" s="48" t="s">
        <v>153</v>
      </c>
      <c r="B223" s="53"/>
      <c r="C223" s="49"/>
      <c r="D223" s="68"/>
      <c r="E223" s="68"/>
      <c r="F223" s="68">
        <v>0</v>
      </c>
      <c r="G223" s="68"/>
      <c r="H223" s="68">
        <v>0</v>
      </c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51">
        <f t="shared" si="38"/>
        <v>0</v>
      </c>
      <c r="AB223" s="51">
        <f t="shared" si="37"/>
        <v>0</v>
      </c>
      <c r="AD223" s="31">
        <f t="shared" si="39"/>
        <v>0</v>
      </c>
      <c r="AE223" s="31">
        <f t="shared" si="40"/>
        <v>0</v>
      </c>
      <c r="AF223" s="17">
        <f t="shared" si="41"/>
        <v>0</v>
      </c>
      <c r="AG223" s="17">
        <f t="shared" si="42"/>
        <v>0</v>
      </c>
    </row>
    <row r="224" spans="1:123" s="19" customFormat="1" ht="18" customHeight="1" outlineLevel="1" x14ac:dyDescent="0.25">
      <c r="A224" s="48" t="s">
        <v>154</v>
      </c>
      <c r="B224" s="53"/>
      <c r="C224" s="49"/>
      <c r="D224" s="68"/>
      <c r="E224" s="68"/>
      <c r="F224" s="68">
        <v>0</v>
      </c>
      <c r="G224" s="68"/>
      <c r="H224" s="68">
        <v>0</v>
      </c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51">
        <f t="shared" si="38"/>
        <v>0</v>
      </c>
      <c r="AB224" s="51">
        <f t="shared" si="37"/>
        <v>0</v>
      </c>
      <c r="AD224" s="31">
        <f t="shared" si="39"/>
        <v>0</v>
      </c>
      <c r="AE224" s="31">
        <f t="shared" si="40"/>
        <v>0</v>
      </c>
      <c r="AF224" s="17">
        <f t="shared" si="41"/>
        <v>0</v>
      </c>
      <c r="AG224" s="17">
        <f t="shared" si="42"/>
        <v>0</v>
      </c>
    </row>
    <row r="225" spans="1:33" s="19" customFormat="1" ht="18" customHeight="1" outlineLevel="1" x14ac:dyDescent="0.25">
      <c r="A225" s="48" t="s">
        <v>155</v>
      </c>
      <c r="B225" s="53"/>
      <c r="C225" s="49"/>
      <c r="D225" s="68"/>
      <c r="E225" s="68"/>
      <c r="F225" s="68">
        <v>0</v>
      </c>
      <c r="G225" s="68"/>
      <c r="H225" s="68">
        <v>0</v>
      </c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51">
        <f t="shared" si="38"/>
        <v>0</v>
      </c>
      <c r="AB225" s="51">
        <f t="shared" si="37"/>
        <v>0</v>
      </c>
      <c r="AD225" s="31">
        <f t="shared" si="39"/>
        <v>0</v>
      </c>
      <c r="AE225" s="31">
        <f t="shared" si="40"/>
        <v>0</v>
      </c>
      <c r="AF225" s="17">
        <f t="shared" si="41"/>
        <v>0</v>
      </c>
      <c r="AG225" s="17">
        <f t="shared" si="42"/>
        <v>0</v>
      </c>
    </row>
    <row r="226" spans="1:33" s="19" customFormat="1" ht="18" customHeight="1" outlineLevel="1" x14ac:dyDescent="0.25">
      <c r="A226" s="48" t="s">
        <v>156</v>
      </c>
      <c r="B226" s="53"/>
      <c r="C226" s="49"/>
      <c r="D226" s="68"/>
      <c r="E226" s="68"/>
      <c r="F226" s="68">
        <v>0</v>
      </c>
      <c r="G226" s="68"/>
      <c r="H226" s="68">
        <v>0</v>
      </c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51">
        <f t="shared" si="38"/>
        <v>0</v>
      </c>
      <c r="AB226" s="51">
        <f t="shared" si="37"/>
        <v>0</v>
      </c>
      <c r="AD226" s="31">
        <f t="shared" si="39"/>
        <v>0</v>
      </c>
      <c r="AE226" s="31">
        <f t="shared" si="40"/>
        <v>0</v>
      </c>
      <c r="AF226" s="17">
        <f t="shared" si="41"/>
        <v>0</v>
      </c>
      <c r="AG226" s="17">
        <f t="shared" si="42"/>
        <v>0</v>
      </c>
    </row>
    <row r="227" spans="1:33" s="19" customFormat="1" ht="18" customHeight="1" outlineLevel="1" x14ac:dyDescent="0.25">
      <c r="A227" s="48" t="s">
        <v>157</v>
      </c>
      <c r="B227" s="53"/>
      <c r="C227" s="49"/>
      <c r="D227" s="68"/>
      <c r="E227" s="68"/>
      <c r="F227" s="68">
        <v>0</v>
      </c>
      <c r="G227" s="68"/>
      <c r="H227" s="68">
        <v>0</v>
      </c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51">
        <f t="shared" si="38"/>
        <v>0</v>
      </c>
      <c r="AB227" s="51">
        <f t="shared" si="37"/>
        <v>0</v>
      </c>
      <c r="AD227" s="31">
        <f t="shared" si="39"/>
        <v>0</v>
      </c>
      <c r="AE227" s="31">
        <f t="shared" si="40"/>
        <v>0</v>
      </c>
      <c r="AF227" s="17">
        <f t="shared" si="41"/>
        <v>0</v>
      </c>
      <c r="AG227" s="17">
        <f t="shared" si="42"/>
        <v>0</v>
      </c>
    </row>
    <row r="228" spans="1:33" s="19" customFormat="1" ht="18" customHeight="1" outlineLevel="1" x14ac:dyDescent="0.25">
      <c r="A228" s="48" t="s">
        <v>158</v>
      </c>
      <c r="B228" s="53"/>
      <c r="C228" s="49"/>
      <c r="D228" s="68"/>
      <c r="E228" s="68"/>
      <c r="F228" s="68">
        <v>0</v>
      </c>
      <c r="G228" s="68"/>
      <c r="H228" s="68">
        <v>0</v>
      </c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51">
        <f t="shared" si="38"/>
        <v>0</v>
      </c>
      <c r="AB228" s="51">
        <f t="shared" si="37"/>
        <v>0</v>
      </c>
      <c r="AD228" s="31">
        <f t="shared" si="39"/>
        <v>0</v>
      </c>
      <c r="AE228" s="31">
        <f t="shared" si="40"/>
        <v>0</v>
      </c>
      <c r="AF228" s="17">
        <f t="shared" si="41"/>
        <v>0</v>
      </c>
      <c r="AG228" s="17">
        <f t="shared" si="42"/>
        <v>0</v>
      </c>
    </row>
    <row r="229" spans="1:33" s="19" customFormat="1" ht="18" customHeight="1" outlineLevel="1" x14ac:dyDescent="0.25">
      <c r="A229" s="48" t="s">
        <v>100</v>
      </c>
      <c r="B229" s="53"/>
      <c r="C229" s="49"/>
      <c r="D229" s="68"/>
      <c r="E229" s="68"/>
      <c r="F229" s="68">
        <v>0</v>
      </c>
      <c r="G229" s="68"/>
      <c r="H229" s="68">
        <v>0</v>
      </c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51">
        <f t="shared" si="38"/>
        <v>0</v>
      </c>
      <c r="AB229" s="51">
        <f t="shared" si="37"/>
        <v>0</v>
      </c>
      <c r="AD229" s="31">
        <f t="shared" si="39"/>
        <v>0</v>
      </c>
      <c r="AE229" s="31">
        <f t="shared" si="40"/>
        <v>0</v>
      </c>
      <c r="AF229" s="17">
        <f t="shared" si="41"/>
        <v>0</v>
      </c>
      <c r="AG229" s="17">
        <f t="shared" si="42"/>
        <v>0</v>
      </c>
    </row>
    <row r="230" spans="1:33" s="19" customFormat="1" ht="18" customHeight="1" outlineLevel="1" x14ac:dyDescent="0.25">
      <c r="A230" s="48" t="s">
        <v>159</v>
      </c>
      <c r="B230" s="53"/>
      <c r="C230" s="49"/>
      <c r="D230" s="68"/>
      <c r="E230" s="68"/>
      <c r="F230" s="68">
        <v>0</v>
      </c>
      <c r="G230" s="68"/>
      <c r="H230" s="68">
        <v>0</v>
      </c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51">
        <f t="shared" si="38"/>
        <v>0</v>
      </c>
      <c r="AB230" s="51">
        <f t="shared" si="37"/>
        <v>0</v>
      </c>
      <c r="AD230" s="31">
        <f t="shared" si="39"/>
        <v>0</v>
      </c>
      <c r="AE230" s="31">
        <f t="shared" si="40"/>
        <v>0</v>
      </c>
      <c r="AF230" s="17">
        <f t="shared" si="41"/>
        <v>0</v>
      </c>
      <c r="AG230" s="17">
        <f t="shared" si="42"/>
        <v>0</v>
      </c>
    </row>
    <row r="231" spans="1:33" s="19" customFormat="1" ht="18" customHeight="1" outlineLevel="1" x14ac:dyDescent="0.25">
      <c r="A231" s="48" t="s">
        <v>160</v>
      </c>
      <c r="B231" s="53"/>
      <c r="C231" s="49"/>
      <c r="D231" s="68"/>
      <c r="E231" s="68"/>
      <c r="F231" s="68">
        <v>0</v>
      </c>
      <c r="G231" s="68"/>
      <c r="H231" s="68">
        <v>0</v>
      </c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51">
        <f t="shared" si="38"/>
        <v>0</v>
      </c>
      <c r="AB231" s="51">
        <f t="shared" si="37"/>
        <v>0</v>
      </c>
      <c r="AD231" s="31">
        <f t="shared" si="39"/>
        <v>0</v>
      </c>
      <c r="AE231" s="31">
        <f t="shared" si="40"/>
        <v>0</v>
      </c>
      <c r="AF231" s="17">
        <f t="shared" si="41"/>
        <v>0</v>
      </c>
      <c r="AG231" s="17">
        <f t="shared" si="42"/>
        <v>0</v>
      </c>
    </row>
    <row r="232" spans="1:33" s="19" customFormat="1" ht="18" customHeight="1" outlineLevel="1" x14ac:dyDescent="0.25">
      <c r="A232" s="48" t="s">
        <v>161</v>
      </c>
      <c r="B232" s="53"/>
      <c r="C232" s="49"/>
      <c r="D232" s="68"/>
      <c r="E232" s="68"/>
      <c r="F232" s="68">
        <v>0</v>
      </c>
      <c r="G232" s="68"/>
      <c r="H232" s="68">
        <v>0</v>
      </c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51">
        <f t="shared" si="38"/>
        <v>0</v>
      </c>
      <c r="AB232" s="51">
        <f t="shared" si="37"/>
        <v>0</v>
      </c>
      <c r="AD232" s="31">
        <f t="shared" si="39"/>
        <v>0</v>
      </c>
      <c r="AE232" s="31">
        <f t="shared" si="40"/>
        <v>0</v>
      </c>
      <c r="AF232" s="17">
        <f t="shared" si="41"/>
        <v>0</v>
      </c>
      <c r="AG232" s="17">
        <f t="shared" si="42"/>
        <v>0</v>
      </c>
    </row>
    <row r="233" spans="1:33" s="19" customFormat="1" ht="18" customHeight="1" outlineLevel="1" x14ac:dyDescent="0.25">
      <c r="A233" s="48" t="s">
        <v>162</v>
      </c>
      <c r="B233" s="53"/>
      <c r="C233" s="49"/>
      <c r="D233" s="68"/>
      <c r="E233" s="68"/>
      <c r="F233" s="68">
        <v>0</v>
      </c>
      <c r="G233" s="68"/>
      <c r="H233" s="68">
        <v>0</v>
      </c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51">
        <f t="shared" si="38"/>
        <v>0</v>
      </c>
      <c r="AB233" s="51">
        <f t="shared" si="37"/>
        <v>0</v>
      </c>
      <c r="AD233" s="31">
        <f t="shared" si="39"/>
        <v>0</v>
      </c>
      <c r="AE233" s="31">
        <f t="shared" si="40"/>
        <v>0</v>
      </c>
      <c r="AF233" s="17">
        <f t="shared" si="41"/>
        <v>0</v>
      </c>
      <c r="AG233" s="17">
        <f t="shared" si="42"/>
        <v>0</v>
      </c>
    </row>
    <row r="234" spans="1:33" s="19" customFormat="1" ht="18" customHeight="1" outlineLevel="1" x14ac:dyDescent="0.25">
      <c r="A234" s="48" t="s">
        <v>163</v>
      </c>
      <c r="B234" s="53"/>
      <c r="C234" s="49"/>
      <c r="D234" s="68"/>
      <c r="E234" s="68"/>
      <c r="F234" s="68">
        <v>0</v>
      </c>
      <c r="G234" s="68"/>
      <c r="H234" s="68">
        <v>0</v>
      </c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51">
        <f t="shared" si="38"/>
        <v>0</v>
      </c>
      <c r="AB234" s="51">
        <f t="shared" si="37"/>
        <v>0</v>
      </c>
      <c r="AD234" s="31">
        <f t="shared" si="39"/>
        <v>0</v>
      </c>
      <c r="AE234" s="31">
        <f t="shared" si="40"/>
        <v>0</v>
      </c>
      <c r="AF234" s="17">
        <f t="shared" si="41"/>
        <v>0</v>
      </c>
      <c r="AG234" s="17">
        <f t="shared" si="42"/>
        <v>0</v>
      </c>
    </row>
    <row r="235" spans="1:33" s="19" customFormat="1" ht="18" customHeight="1" outlineLevel="1" x14ac:dyDescent="0.25">
      <c r="A235" s="48" t="s">
        <v>164</v>
      </c>
      <c r="B235" s="53"/>
      <c r="C235" s="49"/>
      <c r="D235" s="68"/>
      <c r="E235" s="68"/>
      <c r="F235" s="68">
        <v>0</v>
      </c>
      <c r="G235" s="68"/>
      <c r="H235" s="68">
        <v>0</v>
      </c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51">
        <f t="shared" si="38"/>
        <v>0</v>
      </c>
      <c r="AB235" s="51">
        <f t="shared" si="37"/>
        <v>0</v>
      </c>
      <c r="AD235" s="31">
        <f t="shared" si="39"/>
        <v>0</v>
      </c>
      <c r="AE235" s="31">
        <f t="shared" si="40"/>
        <v>0</v>
      </c>
      <c r="AF235" s="17">
        <f t="shared" si="41"/>
        <v>0</v>
      </c>
      <c r="AG235" s="17">
        <f t="shared" si="42"/>
        <v>0</v>
      </c>
    </row>
    <row r="236" spans="1:33" s="19" customFormat="1" ht="18" customHeight="1" outlineLevel="1" x14ac:dyDescent="0.25">
      <c r="A236" s="48" t="s">
        <v>165</v>
      </c>
      <c r="B236" s="53"/>
      <c r="C236" s="49"/>
      <c r="D236" s="68"/>
      <c r="E236" s="68"/>
      <c r="F236" s="68">
        <v>0</v>
      </c>
      <c r="G236" s="68"/>
      <c r="H236" s="68">
        <v>0</v>
      </c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51">
        <f t="shared" si="38"/>
        <v>0</v>
      </c>
      <c r="AB236" s="51">
        <f t="shared" si="37"/>
        <v>0</v>
      </c>
      <c r="AD236" s="31">
        <f t="shared" si="39"/>
        <v>0</v>
      </c>
      <c r="AE236" s="31">
        <f t="shared" si="40"/>
        <v>0</v>
      </c>
      <c r="AF236" s="17">
        <f t="shared" si="41"/>
        <v>0</v>
      </c>
      <c r="AG236" s="17">
        <f t="shared" si="42"/>
        <v>0</v>
      </c>
    </row>
    <row r="237" spans="1:33" s="19" customFormat="1" ht="18" customHeight="1" outlineLevel="1" x14ac:dyDescent="0.25">
      <c r="A237" s="48" t="s">
        <v>166</v>
      </c>
      <c r="B237" s="53"/>
      <c r="C237" s="49"/>
      <c r="D237" s="68"/>
      <c r="E237" s="68"/>
      <c r="F237" s="68">
        <v>0</v>
      </c>
      <c r="G237" s="68"/>
      <c r="H237" s="68">
        <v>0</v>
      </c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51">
        <f t="shared" si="38"/>
        <v>0</v>
      </c>
      <c r="AB237" s="51">
        <f t="shared" si="37"/>
        <v>0</v>
      </c>
      <c r="AD237" s="31">
        <f t="shared" si="39"/>
        <v>0</v>
      </c>
      <c r="AE237" s="31">
        <f t="shared" si="40"/>
        <v>0</v>
      </c>
      <c r="AF237" s="17">
        <f t="shared" si="41"/>
        <v>0</v>
      </c>
      <c r="AG237" s="17">
        <f t="shared" si="42"/>
        <v>0</v>
      </c>
    </row>
    <row r="238" spans="1:33" s="19" customFormat="1" ht="18" customHeight="1" outlineLevel="1" x14ac:dyDescent="0.25">
      <c r="A238" s="48" t="s">
        <v>167</v>
      </c>
      <c r="B238" s="53"/>
      <c r="C238" s="49"/>
      <c r="D238" s="68"/>
      <c r="E238" s="68"/>
      <c r="F238" s="68">
        <v>0</v>
      </c>
      <c r="G238" s="68"/>
      <c r="H238" s="68">
        <v>0</v>
      </c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51">
        <f t="shared" si="38"/>
        <v>0</v>
      </c>
      <c r="AB238" s="51">
        <f t="shared" si="37"/>
        <v>0</v>
      </c>
      <c r="AD238" s="31">
        <f t="shared" si="39"/>
        <v>0</v>
      </c>
      <c r="AE238" s="31">
        <f t="shared" si="40"/>
        <v>0</v>
      </c>
      <c r="AF238" s="17">
        <f t="shared" si="41"/>
        <v>0</v>
      </c>
      <c r="AG238" s="17">
        <f t="shared" si="42"/>
        <v>0</v>
      </c>
    </row>
    <row r="239" spans="1:33" s="19" customFormat="1" ht="18" customHeight="1" outlineLevel="1" x14ac:dyDescent="0.25">
      <c r="A239" s="48" t="s">
        <v>168</v>
      </c>
      <c r="B239" s="53"/>
      <c r="C239" s="49"/>
      <c r="D239" s="68"/>
      <c r="E239" s="68"/>
      <c r="F239" s="68">
        <v>0</v>
      </c>
      <c r="G239" s="68"/>
      <c r="H239" s="68">
        <v>0</v>
      </c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51">
        <f t="shared" si="38"/>
        <v>0</v>
      </c>
      <c r="AB239" s="51">
        <f t="shared" si="37"/>
        <v>0</v>
      </c>
      <c r="AD239" s="31">
        <f t="shared" si="39"/>
        <v>0</v>
      </c>
      <c r="AE239" s="31">
        <f t="shared" si="40"/>
        <v>0</v>
      </c>
      <c r="AF239" s="17">
        <f t="shared" si="41"/>
        <v>0</v>
      </c>
      <c r="AG239" s="17">
        <f t="shared" si="42"/>
        <v>0</v>
      </c>
    </row>
    <row r="240" spans="1:33" s="19" customFormat="1" ht="18" customHeight="1" outlineLevel="1" x14ac:dyDescent="0.25">
      <c r="A240" s="48" t="s">
        <v>169</v>
      </c>
      <c r="B240" s="53"/>
      <c r="C240" s="49"/>
      <c r="D240" s="68"/>
      <c r="E240" s="68"/>
      <c r="F240" s="68">
        <v>0</v>
      </c>
      <c r="G240" s="68"/>
      <c r="H240" s="68">
        <v>0</v>
      </c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51">
        <f t="shared" si="38"/>
        <v>0</v>
      </c>
      <c r="AB240" s="51">
        <f t="shared" si="37"/>
        <v>0</v>
      </c>
      <c r="AD240" s="31">
        <f t="shared" si="39"/>
        <v>0</v>
      </c>
      <c r="AE240" s="31">
        <f t="shared" si="40"/>
        <v>0</v>
      </c>
      <c r="AF240" s="17">
        <f t="shared" si="41"/>
        <v>0</v>
      </c>
      <c r="AG240" s="17">
        <f t="shared" si="42"/>
        <v>0</v>
      </c>
    </row>
    <row r="241" spans="1:59" s="19" customFormat="1" ht="18" customHeight="1" outlineLevel="1" x14ac:dyDescent="0.25">
      <c r="A241" s="48" t="s">
        <v>170</v>
      </c>
      <c r="B241" s="53"/>
      <c r="C241" s="49"/>
      <c r="D241" s="68"/>
      <c r="E241" s="68"/>
      <c r="F241" s="68">
        <v>0</v>
      </c>
      <c r="G241" s="68"/>
      <c r="H241" s="68">
        <v>0</v>
      </c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51">
        <f t="shared" si="38"/>
        <v>0</v>
      </c>
      <c r="AB241" s="51">
        <f t="shared" ref="AB241:AB252" si="43">D241+F241+H241+J241+L241+N241+P241+R241+T241+V241+X241+Z241</f>
        <v>0</v>
      </c>
      <c r="AD241" s="31">
        <f t="shared" si="39"/>
        <v>0</v>
      </c>
      <c r="AE241" s="31">
        <f t="shared" si="40"/>
        <v>0</v>
      </c>
      <c r="AF241" s="17">
        <f t="shared" si="41"/>
        <v>0</v>
      </c>
      <c r="AG241" s="17">
        <f t="shared" si="42"/>
        <v>0</v>
      </c>
    </row>
    <row r="242" spans="1:59" s="19" customFormat="1" ht="18" customHeight="1" outlineLevel="1" x14ac:dyDescent="0.25">
      <c r="A242" s="48" t="s">
        <v>171</v>
      </c>
      <c r="B242" s="53"/>
      <c r="C242" s="49"/>
      <c r="D242" s="68"/>
      <c r="E242" s="68"/>
      <c r="F242" s="68">
        <v>0</v>
      </c>
      <c r="G242" s="68"/>
      <c r="H242" s="68">
        <v>0</v>
      </c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51">
        <f t="shared" si="38"/>
        <v>0</v>
      </c>
      <c r="AB242" s="51">
        <f t="shared" si="43"/>
        <v>0</v>
      </c>
      <c r="AD242" s="31">
        <f t="shared" si="39"/>
        <v>0</v>
      </c>
      <c r="AE242" s="31">
        <f t="shared" si="40"/>
        <v>0</v>
      </c>
      <c r="AF242" s="17">
        <f t="shared" si="41"/>
        <v>0</v>
      </c>
      <c r="AG242" s="17">
        <f t="shared" si="42"/>
        <v>0</v>
      </c>
    </row>
    <row r="243" spans="1:59" s="19" customFormat="1" ht="18" customHeight="1" outlineLevel="1" x14ac:dyDescent="0.25">
      <c r="A243" s="48" t="s">
        <v>172</v>
      </c>
      <c r="B243" s="53"/>
      <c r="C243" s="49"/>
      <c r="D243" s="68"/>
      <c r="E243" s="68"/>
      <c r="F243" s="68">
        <v>0</v>
      </c>
      <c r="G243" s="68"/>
      <c r="H243" s="68">
        <v>0</v>
      </c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51">
        <f t="shared" si="38"/>
        <v>0</v>
      </c>
      <c r="AB243" s="51">
        <f t="shared" si="43"/>
        <v>0</v>
      </c>
      <c r="AD243" s="31">
        <f t="shared" si="39"/>
        <v>0</v>
      </c>
      <c r="AE243" s="31">
        <f t="shared" si="40"/>
        <v>0</v>
      </c>
      <c r="AF243" s="17">
        <f t="shared" si="41"/>
        <v>0</v>
      </c>
      <c r="AG243" s="17">
        <f t="shared" si="42"/>
        <v>0</v>
      </c>
    </row>
    <row r="244" spans="1:59" s="19" customFormat="1" ht="18" customHeight="1" outlineLevel="1" x14ac:dyDescent="0.25">
      <c r="A244" s="48" t="s">
        <v>173</v>
      </c>
      <c r="B244" s="53"/>
      <c r="C244" s="49"/>
      <c r="D244" s="68"/>
      <c r="E244" s="68"/>
      <c r="F244" s="68">
        <v>0</v>
      </c>
      <c r="G244" s="68"/>
      <c r="H244" s="68">
        <v>0</v>
      </c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51">
        <f t="shared" si="38"/>
        <v>0</v>
      </c>
      <c r="AB244" s="51">
        <f t="shared" si="43"/>
        <v>0</v>
      </c>
      <c r="AD244" s="31">
        <f t="shared" si="39"/>
        <v>0</v>
      </c>
      <c r="AE244" s="31">
        <f t="shared" si="40"/>
        <v>0</v>
      </c>
      <c r="AF244" s="17">
        <f t="shared" si="41"/>
        <v>0</v>
      </c>
      <c r="AG244" s="17">
        <f t="shared" si="42"/>
        <v>0</v>
      </c>
    </row>
    <row r="245" spans="1:59" s="19" customFormat="1" ht="18" customHeight="1" outlineLevel="1" x14ac:dyDescent="0.25">
      <c r="A245" s="48" t="s">
        <v>174</v>
      </c>
      <c r="B245" s="53"/>
      <c r="C245" s="49"/>
      <c r="D245" s="68"/>
      <c r="E245" s="68"/>
      <c r="F245" s="68">
        <v>0</v>
      </c>
      <c r="G245" s="68"/>
      <c r="H245" s="68">
        <v>0</v>
      </c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51">
        <f t="shared" si="38"/>
        <v>0</v>
      </c>
      <c r="AB245" s="51">
        <f t="shared" si="43"/>
        <v>0</v>
      </c>
      <c r="AD245" s="31">
        <f t="shared" si="39"/>
        <v>0</v>
      </c>
      <c r="AE245" s="31">
        <f t="shared" si="40"/>
        <v>0</v>
      </c>
      <c r="AF245" s="17">
        <f t="shared" si="41"/>
        <v>0</v>
      </c>
      <c r="AG245" s="17">
        <f t="shared" si="42"/>
        <v>0</v>
      </c>
    </row>
    <row r="246" spans="1:59" s="19" customFormat="1" ht="18" customHeight="1" outlineLevel="1" x14ac:dyDescent="0.25">
      <c r="A246" s="48" t="s">
        <v>175</v>
      </c>
      <c r="B246" s="53"/>
      <c r="C246" s="49"/>
      <c r="D246" s="68"/>
      <c r="E246" s="68"/>
      <c r="F246" s="68">
        <v>0</v>
      </c>
      <c r="G246" s="68"/>
      <c r="H246" s="68">
        <v>0</v>
      </c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51">
        <f t="shared" si="38"/>
        <v>0</v>
      </c>
      <c r="AB246" s="51">
        <f t="shared" si="43"/>
        <v>0</v>
      </c>
      <c r="AD246" s="31">
        <f t="shared" si="39"/>
        <v>0</v>
      </c>
      <c r="AE246" s="31">
        <f t="shared" si="40"/>
        <v>0</v>
      </c>
      <c r="AF246" s="17">
        <f t="shared" si="41"/>
        <v>0</v>
      </c>
      <c r="AG246" s="17">
        <f t="shared" si="42"/>
        <v>0</v>
      </c>
    </row>
    <row r="247" spans="1:59" s="19" customFormat="1" ht="18" customHeight="1" outlineLevel="1" x14ac:dyDescent="0.25">
      <c r="A247" s="48" t="s">
        <v>176</v>
      </c>
      <c r="B247" s="53"/>
      <c r="C247" s="49"/>
      <c r="D247" s="68"/>
      <c r="E247" s="68"/>
      <c r="F247" s="68">
        <v>0</v>
      </c>
      <c r="G247" s="68"/>
      <c r="H247" s="68">
        <v>0</v>
      </c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51">
        <f t="shared" si="38"/>
        <v>0</v>
      </c>
      <c r="AB247" s="51">
        <f t="shared" si="43"/>
        <v>0</v>
      </c>
      <c r="AD247" s="31">
        <f t="shared" si="39"/>
        <v>0</v>
      </c>
      <c r="AE247" s="31">
        <f t="shared" si="40"/>
        <v>0</v>
      </c>
      <c r="AF247" s="17">
        <f t="shared" si="41"/>
        <v>0</v>
      </c>
      <c r="AG247" s="17">
        <f t="shared" si="42"/>
        <v>0</v>
      </c>
    </row>
    <row r="248" spans="1:59" s="19" customFormat="1" ht="18" customHeight="1" outlineLevel="1" x14ac:dyDescent="0.25">
      <c r="A248" s="48" t="s">
        <v>177</v>
      </c>
      <c r="B248" s="53"/>
      <c r="C248" s="49"/>
      <c r="D248" s="68"/>
      <c r="E248" s="68"/>
      <c r="F248" s="68">
        <v>0</v>
      </c>
      <c r="G248" s="68"/>
      <c r="H248" s="68">
        <v>0</v>
      </c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51">
        <f t="shared" si="38"/>
        <v>0</v>
      </c>
      <c r="AB248" s="51">
        <f t="shared" si="43"/>
        <v>0</v>
      </c>
      <c r="AD248" s="31">
        <f t="shared" si="39"/>
        <v>0</v>
      </c>
      <c r="AE248" s="31">
        <f t="shared" si="40"/>
        <v>0</v>
      </c>
      <c r="AF248" s="17">
        <f t="shared" si="41"/>
        <v>0</v>
      </c>
      <c r="AG248" s="17">
        <f t="shared" si="42"/>
        <v>0</v>
      </c>
    </row>
    <row r="249" spans="1:59" s="19" customFormat="1" ht="18" customHeight="1" outlineLevel="1" x14ac:dyDescent="0.25">
      <c r="A249" s="48" t="s">
        <v>178</v>
      </c>
      <c r="B249" s="53"/>
      <c r="C249" s="49"/>
      <c r="D249" s="68"/>
      <c r="E249" s="68"/>
      <c r="F249" s="68">
        <v>0</v>
      </c>
      <c r="G249" s="68"/>
      <c r="H249" s="68">
        <v>0</v>
      </c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51">
        <f t="shared" si="38"/>
        <v>0</v>
      </c>
      <c r="AB249" s="51">
        <f t="shared" si="43"/>
        <v>0</v>
      </c>
      <c r="AD249" s="31">
        <f t="shared" si="39"/>
        <v>0</v>
      </c>
      <c r="AE249" s="31">
        <f t="shared" si="40"/>
        <v>0</v>
      </c>
      <c r="AF249" s="17">
        <f t="shared" si="41"/>
        <v>0</v>
      </c>
      <c r="AG249" s="17">
        <f t="shared" si="42"/>
        <v>0</v>
      </c>
    </row>
    <row r="250" spans="1:59" s="19" customFormat="1" ht="18" customHeight="1" x14ac:dyDescent="0.25">
      <c r="A250" s="63" t="s">
        <v>182</v>
      </c>
      <c r="B250" s="53">
        <v>9</v>
      </c>
      <c r="C250" s="49"/>
      <c r="D250" s="68"/>
      <c r="E250" s="68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1">
        <f t="shared" si="38"/>
        <v>0</v>
      </c>
      <c r="AB250" s="51">
        <f t="shared" si="43"/>
        <v>0</v>
      </c>
      <c r="AD250" s="31">
        <f t="shared" si="39"/>
        <v>0</v>
      </c>
      <c r="AE250" s="31">
        <f t="shared" si="40"/>
        <v>0</v>
      </c>
      <c r="AF250" s="17">
        <f t="shared" si="41"/>
        <v>0</v>
      </c>
      <c r="AG250" s="17">
        <f t="shared" si="42"/>
        <v>0</v>
      </c>
      <c r="BG250" s="21"/>
    </row>
    <row r="251" spans="1:59" s="19" customFormat="1" ht="18" customHeight="1" x14ac:dyDescent="0.25">
      <c r="A251" s="63" t="s">
        <v>183</v>
      </c>
      <c r="B251" s="53">
        <v>10</v>
      </c>
      <c r="C251" s="49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1">
        <f t="shared" si="38"/>
        <v>0</v>
      </c>
      <c r="AB251" s="51">
        <f t="shared" si="43"/>
        <v>0</v>
      </c>
      <c r="AD251" s="31">
        <f t="shared" si="39"/>
        <v>0</v>
      </c>
      <c r="AE251" s="31">
        <f t="shared" si="40"/>
        <v>0</v>
      </c>
      <c r="AF251" s="17">
        <f t="shared" si="41"/>
        <v>0</v>
      </c>
      <c r="AG251" s="17">
        <f t="shared" si="42"/>
        <v>0</v>
      </c>
      <c r="BG251" s="21"/>
    </row>
    <row r="252" spans="1:59" s="19" customFormat="1" ht="18" customHeight="1" x14ac:dyDescent="0.25">
      <c r="A252" s="63" t="s">
        <v>184</v>
      </c>
      <c r="B252" s="53">
        <v>11</v>
      </c>
      <c r="C252" s="49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1">
        <f t="shared" si="38"/>
        <v>0</v>
      </c>
      <c r="AB252" s="51">
        <f t="shared" si="43"/>
        <v>0</v>
      </c>
      <c r="AD252" s="31">
        <f t="shared" si="39"/>
        <v>0</v>
      </c>
      <c r="AE252" s="31">
        <f t="shared" si="40"/>
        <v>0</v>
      </c>
      <c r="AF252" s="17">
        <f t="shared" si="41"/>
        <v>0</v>
      </c>
      <c r="AG252" s="17">
        <f t="shared" si="42"/>
        <v>0</v>
      </c>
      <c r="BG252" s="21"/>
    </row>
    <row r="253" spans="1:59" s="19" customFormat="1" ht="18" customHeight="1" outlineLevel="1" x14ac:dyDescent="0.25">
      <c r="A253" s="63" t="s">
        <v>185</v>
      </c>
      <c r="B253" s="53">
        <v>12</v>
      </c>
      <c r="C253" s="49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1">
        <f t="shared" si="38"/>
        <v>0</v>
      </c>
      <c r="AB253" s="70">
        <f>SUM(D253:Z253)</f>
        <v>0</v>
      </c>
      <c r="AD253" s="31">
        <f t="shared" si="39"/>
        <v>0</v>
      </c>
      <c r="AE253" s="31">
        <f t="shared" si="40"/>
        <v>0</v>
      </c>
      <c r="AF253" s="17">
        <f t="shared" si="41"/>
        <v>0</v>
      </c>
      <c r="AG253" s="17">
        <f t="shared" si="42"/>
        <v>0</v>
      </c>
      <c r="BG253" s="21"/>
    </row>
    <row r="254" spans="1:59" s="19" customFormat="1" ht="18" customHeight="1" outlineLevel="1" x14ac:dyDescent="0.25">
      <c r="A254" s="63" t="s">
        <v>186</v>
      </c>
      <c r="B254" s="53">
        <v>13</v>
      </c>
      <c r="C254" s="49"/>
      <c r="D254" s="72"/>
      <c r="E254" s="72"/>
      <c r="F254" s="72"/>
      <c r="G254" s="72"/>
      <c r="H254" s="72"/>
      <c r="I254" s="72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3"/>
      <c r="X254" s="72"/>
      <c r="Y254" s="72"/>
      <c r="Z254" s="72"/>
      <c r="AA254" s="51">
        <f t="shared" si="38"/>
        <v>0</v>
      </c>
      <c r="AB254" s="70">
        <f>SUM(D254:Z254)</f>
        <v>0</v>
      </c>
      <c r="AD254" s="31">
        <f t="shared" si="39"/>
        <v>0</v>
      </c>
      <c r="AE254" s="31">
        <f t="shared" si="40"/>
        <v>0</v>
      </c>
      <c r="AF254" s="17">
        <f t="shared" si="41"/>
        <v>0</v>
      </c>
      <c r="AG254" s="17">
        <f t="shared" si="42"/>
        <v>0</v>
      </c>
      <c r="BG254" s="21"/>
    </row>
    <row r="255" spans="1:59" s="19" customFormat="1" ht="18" customHeight="1" outlineLevel="1" x14ac:dyDescent="0.25">
      <c r="A255" s="63" t="s">
        <v>187</v>
      </c>
      <c r="B255" s="53">
        <v>14</v>
      </c>
      <c r="C255" s="49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4"/>
      <c r="R255" s="74"/>
      <c r="S255" s="74"/>
      <c r="T255" s="74"/>
      <c r="U255" s="74"/>
      <c r="V255" s="74"/>
      <c r="W255" s="75"/>
      <c r="X255" s="74"/>
      <c r="Y255" s="74"/>
      <c r="Z255" s="74"/>
      <c r="AA255" s="51">
        <f t="shared" si="38"/>
        <v>0</v>
      </c>
      <c r="AB255" s="70">
        <f>SUM(D255:Z255)</f>
        <v>0</v>
      </c>
      <c r="AD255" s="31">
        <f t="shared" si="39"/>
        <v>0</v>
      </c>
      <c r="AE255" s="31">
        <f t="shared" si="40"/>
        <v>0</v>
      </c>
      <c r="AF255" s="17">
        <f t="shared" si="41"/>
        <v>0</v>
      </c>
      <c r="AG255" s="17">
        <f t="shared" si="42"/>
        <v>0</v>
      </c>
    </row>
    <row r="256" spans="1:59" s="19" customFormat="1" ht="18" customHeight="1" outlineLevel="1" x14ac:dyDescent="0.25">
      <c r="A256" s="63" t="s">
        <v>188</v>
      </c>
      <c r="B256" s="53">
        <v>15</v>
      </c>
      <c r="C256" s="49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4"/>
      <c r="P256" s="74"/>
      <c r="Q256" s="74"/>
      <c r="R256" s="74"/>
      <c r="S256" s="74"/>
      <c r="T256" s="74"/>
      <c r="U256" s="74"/>
      <c r="V256" s="74"/>
      <c r="W256" s="75"/>
      <c r="X256" s="74"/>
      <c r="Y256" s="74"/>
      <c r="Z256" s="74"/>
      <c r="AA256" s="51">
        <f t="shared" si="38"/>
        <v>0</v>
      </c>
      <c r="AB256" s="70">
        <f>SUM(D256:Z256)</f>
        <v>0</v>
      </c>
      <c r="AD256" s="31">
        <f t="shared" si="39"/>
        <v>0</v>
      </c>
      <c r="AE256" s="31">
        <f t="shared" si="40"/>
        <v>0</v>
      </c>
      <c r="AF256" s="17">
        <f t="shared" si="41"/>
        <v>0</v>
      </c>
      <c r="AG256" s="17">
        <f t="shared" si="42"/>
        <v>0</v>
      </c>
    </row>
    <row r="257" spans="1:123" s="19" customFormat="1" ht="18" customHeight="1" x14ac:dyDescent="0.25">
      <c r="A257" s="63" t="s">
        <v>189</v>
      </c>
      <c r="B257" s="53">
        <v>16</v>
      </c>
      <c r="C257" s="49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4"/>
      <c r="P257" s="74"/>
      <c r="Q257" s="74"/>
      <c r="R257" s="74"/>
      <c r="S257" s="74"/>
      <c r="T257" s="74"/>
      <c r="U257" s="74"/>
      <c r="V257" s="74"/>
      <c r="W257" s="75"/>
      <c r="X257" s="74"/>
      <c r="Y257" s="74"/>
      <c r="Z257" s="74"/>
      <c r="AA257" s="51">
        <f t="shared" si="38"/>
        <v>0</v>
      </c>
      <c r="AB257" s="51">
        <f>D257+F257+H257+J257+L257+N257+P257+R257+T257+V257+X257+Z257</f>
        <v>0</v>
      </c>
      <c r="AD257" s="31">
        <f t="shared" si="39"/>
        <v>0</v>
      </c>
      <c r="AE257" s="31">
        <f t="shared" si="40"/>
        <v>0</v>
      </c>
      <c r="AF257" s="17">
        <f t="shared" si="41"/>
        <v>0</v>
      </c>
      <c r="AG257" s="17">
        <f t="shared" si="42"/>
        <v>0</v>
      </c>
      <c r="BG257" s="21"/>
    </row>
    <row r="258" spans="1:123" s="17" customFormat="1" ht="18" customHeight="1" x14ac:dyDescent="0.25">
      <c r="A258" s="44" t="s">
        <v>190</v>
      </c>
      <c r="B258" s="45">
        <v>17</v>
      </c>
      <c r="C258" s="76">
        <f t="shared" ref="C258:AA258" si="44">C6-C16-C28-C29-C102-C176-C250-C251-C252+C253+C254+C256+C257</f>
        <v>55240.959599999987</v>
      </c>
      <c r="D258" s="76">
        <f t="shared" si="44"/>
        <v>125041.93100000017</v>
      </c>
      <c r="E258" s="76">
        <f t="shared" si="44"/>
        <v>18691.500800000009</v>
      </c>
      <c r="F258" s="76">
        <f t="shared" si="44"/>
        <v>44654.82620000001</v>
      </c>
      <c r="G258" s="76">
        <f t="shared" si="44"/>
        <v>63977.413000000102</v>
      </c>
      <c r="H258" s="76">
        <f t="shared" si="44"/>
        <v>23060.531000000003</v>
      </c>
      <c r="I258" s="76">
        <f t="shared" si="44"/>
        <v>103124.89840000005</v>
      </c>
      <c r="J258" s="76">
        <f t="shared" si="44"/>
        <v>154736.96739999991</v>
      </c>
      <c r="K258" s="76">
        <f t="shared" si="44"/>
        <v>91073.125400000092</v>
      </c>
      <c r="L258" s="76">
        <f t="shared" si="44"/>
        <v>2600.4762000001501</v>
      </c>
      <c r="M258" s="76">
        <f t="shared" si="44"/>
        <v>108131.25700000007</v>
      </c>
      <c r="N258" s="76">
        <f t="shared" si="44"/>
        <v>115363.77280000001</v>
      </c>
      <c r="O258" s="76">
        <f t="shared" si="44"/>
        <v>140999.74200000003</v>
      </c>
      <c r="P258" s="76">
        <f t="shared" si="44"/>
        <v>119697.97360000004</v>
      </c>
      <c r="Q258" s="76">
        <f t="shared" si="44"/>
        <v>123255.00160000003</v>
      </c>
      <c r="R258" s="76">
        <f t="shared" si="44"/>
        <v>137524.30579999991</v>
      </c>
      <c r="S258" s="76">
        <f t="shared" si="44"/>
        <v>176349.53480000017</v>
      </c>
      <c r="T258" s="76">
        <f t="shared" si="44"/>
        <v>141513.31819999989</v>
      </c>
      <c r="U258" s="76">
        <f t="shared" si="44"/>
        <v>109015.73080000003</v>
      </c>
      <c r="V258" s="76">
        <f t="shared" si="44"/>
        <v>162078.58759999988</v>
      </c>
      <c r="W258" s="77">
        <f t="shared" si="44"/>
        <v>173964.78900000002</v>
      </c>
      <c r="X258" s="76">
        <f t="shared" si="44"/>
        <v>91457.349000000075</v>
      </c>
      <c r="Y258" s="76">
        <f t="shared" si="44"/>
        <v>282366.86660000012</v>
      </c>
      <c r="Z258" s="76">
        <f t="shared" si="44"/>
        <v>185988.73520000026</v>
      </c>
      <c r="AA258" s="78">
        <f t="shared" si="44"/>
        <v>1446190.8190000027</v>
      </c>
      <c r="AB258" s="47">
        <f>D258+F258+H258+J258+L258+N258+P258+R258+T258+V258+X258+Z258</f>
        <v>1303718.7740000002</v>
      </c>
      <c r="AD258" s="31">
        <f t="shared" si="39"/>
        <v>1446190.8190000006</v>
      </c>
      <c r="AE258" s="31">
        <f t="shared" si="40"/>
        <v>1303718.7740000002</v>
      </c>
      <c r="AF258" s="17">
        <f t="shared" si="41"/>
        <v>2.0954757928848267E-9</v>
      </c>
      <c r="AG258" s="17">
        <f t="shared" si="42"/>
        <v>0</v>
      </c>
      <c r="BG258" s="21"/>
    </row>
    <row r="259" spans="1:123" s="19" customFormat="1" ht="22" customHeight="1" x14ac:dyDescent="0.25">
      <c r="A259" s="63" t="s">
        <v>191</v>
      </c>
      <c r="B259" s="53">
        <v>18</v>
      </c>
      <c r="C259" s="49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1">
        <f>C259+E259+G259+I259+K259+M259+O259+Q259+S259+U259+W259+Y259</f>
        <v>0</v>
      </c>
      <c r="AB259" s="51">
        <f>D259+F259+H259+J259+L259+N259+P259+R259+T259+V259+X259+Z259</f>
        <v>0</v>
      </c>
      <c r="AD259" s="31">
        <f t="shared" si="39"/>
        <v>0</v>
      </c>
      <c r="AE259" s="31">
        <f t="shared" si="40"/>
        <v>0</v>
      </c>
      <c r="AF259" s="17">
        <f t="shared" si="41"/>
        <v>0</v>
      </c>
      <c r="AG259" s="17">
        <f t="shared" si="42"/>
        <v>0</v>
      </c>
      <c r="BG259" s="21"/>
    </row>
    <row r="260" spans="1:123" s="19" customFormat="1" ht="22" customHeight="1" x14ac:dyDescent="0.25">
      <c r="A260" s="63" t="s">
        <v>192</v>
      </c>
      <c r="B260" s="53">
        <v>19</v>
      </c>
      <c r="C260" s="49"/>
      <c r="D260" s="68"/>
      <c r="E260" s="68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1">
        <f>C260+E260+G260+I260+K260+M260+O260+Q260+S260+U260+W260+Y260</f>
        <v>0</v>
      </c>
      <c r="AB260" s="51">
        <f>D260+F260+H260+J260+L260+N260+P260+R260+T260+V260+X260+Z260</f>
        <v>0</v>
      </c>
      <c r="AD260" s="31">
        <f t="shared" si="39"/>
        <v>0</v>
      </c>
      <c r="AE260" s="31">
        <f t="shared" si="40"/>
        <v>0</v>
      </c>
      <c r="AF260" s="17">
        <f t="shared" si="41"/>
        <v>0</v>
      </c>
      <c r="AG260" s="17">
        <f t="shared" si="42"/>
        <v>0</v>
      </c>
      <c r="BG260" s="21"/>
    </row>
    <row r="261" spans="1:123" s="17" customFormat="1" ht="22" customHeight="1" x14ac:dyDescent="0.25">
      <c r="A261" s="44" t="s">
        <v>193</v>
      </c>
      <c r="B261" s="45">
        <v>20</v>
      </c>
      <c r="C261" s="76">
        <f t="shared" ref="C261:AB261" si="45">C258+C259-C260</f>
        <v>55240.959599999987</v>
      </c>
      <c r="D261" s="76">
        <f t="shared" si="45"/>
        <v>125041.93100000017</v>
      </c>
      <c r="E261" s="76">
        <f t="shared" si="45"/>
        <v>18691.500800000009</v>
      </c>
      <c r="F261" s="76">
        <f t="shared" si="45"/>
        <v>44654.82620000001</v>
      </c>
      <c r="G261" s="76">
        <f t="shared" si="45"/>
        <v>63977.413000000102</v>
      </c>
      <c r="H261" s="76">
        <f t="shared" si="45"/>
        <v>23060.531000000003</v>
      </c>
      <c r="I261" s="76">
        <f t="shared" si="45"/>
        <v>103124.89840000005</v>
      </c>
      <c r="J261" s="76">
        <f t="shared" si="45"/>
        <v>154736.96739999991</v>
      </c>
      <c r="K261" s="76">
        <f t="shared" si="45"/>
        <v>91073.125400000092</v>
      </c>
      <c r="L261" s="76">
        <f t="shared" si="45"/>
        <v>2600.4762000001501</v>
      </c>
      <c r="M261" s="76">
        <f t="shared" si="45"/>
        <v>108131.25700000007</v>
      </c>
      <c r="N261" s="76">
        <f t="shared" si="45"/>
        <v>115363.77280000001</v>
      </c>
      <c r="O261" s="76">
        <f t="shared" si="45"/>
        <v>140999.74200000003</v>
      </c>
      <c r="P261" s="76">
        <f t="shared" si="45"/>
        <v>119697.97360000004</v>
      </c>
      <c r="Q261" s="76">
        <f t="shared" si="45"/>
        <v>123255.00160000003</v>
      </c>
      <c r="R261" s="76">
        <f t="shared" si="45"/>
        <v>137524.30579999991</v>
      </c>
      <c r="S261" s="76">
        <f t="shared" si="45"/>
        <v>176349.53480000017</v>
      </c>
      <c r="T261" s="76">
        <f t="shared" si="45"/>
        <v>141513.31819999989</v>
      </c>
      <c r="U261" s="76">
        <f t="shared" si="45"/>
        <v>109015.73080000003</v>
      </c>
      <c r="V261" s="76">
        <f t="shared" si="45"/>
        <v>162078.58759999988</v>
      </c>
      <c r="W261" s="77">
        <f t="shared" si="45"/>
        <v>173964.78900000002</v>
      </c>
      <c r="X261" s="76">
        <f t="shared" si="45"/>
        <v>91457.349000000075</v>
      </c>
      <c r="Y261" s="76">
        <f t="shared" si="45"/>
        <v>282366.86660000012</v>
      </c>
      <c r="Z261" s="76">
        <f t="shared" si="45"/>
        <v>185988.73520000026</v>
      </c>
      <c r="AA261" s="78">
        <f t="shared" si="45"/>
        <v>1446190.8190000027</v>
      </c>
      <c r="AB261" s="78">
        <f t="shared" si="45"/>
        <v>1303718.7740000002</v>
      </c>
      <c r="AD261" s="31">
        <f t="shared" si="39"/>
        <v>1446190.8190000006</v>
      </c>
      <c r="AE261" s="31">
        <f t="shared" si="40"/>
        <v>1303718.7740000002</v>
      </c>
      <c r="AF261" s="55">
        <f>AD26-AD28-AD29-AD102-AD176-AD250-AD251-AD252+AD257+AD259-AD260-AA261</f>
        <v>-1.862645149230957E-9</v>
      </c>
      <c r="AG261" s="55">
        <f>AE26-AE28-AE29-AE102-AE176-AE250-AE251-AE252+AE257+AE259-AE260-AB261</f>
        <v>0</v>
      </c>
      <c r="BG261" s="21"/>
    </row>
    <row r="262" spans="1:123" s="19" customFormat="1" ht="22" customHeight="1" x14ac:dyDescent="0.25">
      <c r="A262" s="63" t="s">
        <v>194</v>
      </c>
      <c r="B262" s="53">
        <v>21</v>
      </c>
      <c r="C262" s="49"/>
      <c r="D262" s="68"/>
      <c r="E262" s="68"/>
      <c r="F262" s="74"/>
      <c r="G262" s="74"/>
      <c r="H262" s="74"/>
      <c r="I262" s="74">
        <v>6134.02</v>
      </c>
      <c r="J262" s="74"/>
      <c r="K262" s="74">
        <v>3291.5</v>
      </c>
      <c r="L262" s="74"/>
      <c r="M262" s="74">
        <v>6030.93</v>
      </c>
      <c r="N262" s="74"/>
      <c r="O262" s="74">
        <v>6800.41</v>
      </c>
      <c r="P262" s="74"/>
      <c r="Q262" s="74">
        <v>6038.19</v>
      </c>
      <c r="R262" s="74"/>
      <c r="S262" s="74">
        <v>12146.11</v>
      </c>
      <c r="T262" s="74"/>
      <c r="U262" s="74">
        <v>4357.7299999999996</v>
      </c>
      <c r="V262" s="74"/>
      <c r="W262" s="75">
        <v>11190.01</v>
      </c>
      <c r="X262" s="74"/>
      <c r="Y262" s="74">
        <v>23300.2</v>
      </c>
      <c r="Z262" s="74"/>
      <c r="AA262" s="51">
        <f>C262+E262+G262+I262+K262+M262+O262+Q262+S262+U262+W262+Y262</f>
        <v>79289.100000000006</v>
      </c>
      <c r="AB262" s="51">
        <f>D262+F262+H262+J262+L262+N262+P262+R262+T262+V262+X262+Z262</f>
        <v>0</v>
      </c>
      <c r="AD262" s="31">
        <f t="shared" si="39"/>
        <v>79289.100000000006</v>
      </c>
      <c r="AE262" s="31">
        <f t="shared" si="40"/>
        <v>0</v>
      </c>
      <c r="AF262" s="17">
        <f>AA262-AD262</f>
        <v>0</v>
      </c>
      <c r="AG262" s="17" t="e">
        <f>IF(AB262-AE262=AB262-#REF!,0,AE262-#REF!)</f>
        <v>#REF!</v>
      </c>
      <c r="BG262" s="21"/>
    </row>
    <row r="263" spans="1:123" s="17" customFormat="1" ht="22" customHeight="1" x14ac:dyDescent="0.25">
      <c r="A263" s="44" t="s">
        <v>196</v>
      </c>
      <c r="B263" s="45">
        <v>22</v>
      </c>
      <c r="C263" s="76">
        <f t="shared" ref="C263:AB263" si="46">C261-C262</f>
        <v>55240.959599999987</v>
      </c>
      <c r="D263" s="76">
        <f t="shared" si="46"/>
        <v>125041.93100000017</v>
      </c>
      <c r="E263" s="76">
        <f t="shared" si="46"/>
        <v>18691.500800000009</v>
      </c>
      <c r="F263" s="76">
        <f t="shared" si="46"/>
        <v>44654.82620000001</v>
      </c>
      <c r="G263" s="76">
        <f t="shared" si="46"/>
        <v>63977.413000000102</v>
      </c>
      <c r="H263" s="76">
        <f t="shared" si="46"/>
        <v>23060.531000000003</v>
      </c>
      <c r="I263" s="76">
        <f t="shared" si="46"/>
        <v>96990.878400000045</v>
      </c>
      <c r="J263" s="76">
        <f t="shared" si="46"/>
        <v>154736.96739999991</v>
      </c>
      <c r="K263" s="76">
        <f t="shared" si="46"/>
        <v>87781.625400000092</v>
      </c>
      <c r="L263" s="76">
        <f t="shared" si="46"/>
        <v>2600.4762000001501</v>
      </c>
      <c r="M263" s="76">
        <f t="shared" si="46"/>
        <v>102100.32700000008</v>
      </c>
      <c r="N263" s="76">
        <f t="shared" si="46"/>
        <v>115363.77280000001</v>
      </c>
      <c r="O263" s="76">
        <f t="shared" si="46"/>
        <v>134199.33200000002</v>
      </c>
      <c r="P263" s="76">
        <f t="shared" si="46"/>
        <v>119697.97360000004</v>
      </c>
      <c r="Q263" s="76">
        <f t="shared" si="46"/>
        <v>117216.81160000003</v>
      </c>
      <c r="R263" s="76">
        <f t="shared" si="46"/>
        <v>137524.30579999991</v>
      </c>
      <c r="S263" s="76">
        <f t="shared" si="46"/>
        <v>164203.42480000015</v>
      </c>
      <c r="T263" s="76">
        <f t="shared" si="46"/>
        <v>141513.31819999989</v>
      </c>
      <c r="U263" s="76">
        <f t="shared" si="46"/>
        <v>104658.00080000004</v>
      </c>
      <c r="V263" s="76">
        <f t="shared" si="46"/>
        <v>162078.58759999988</v>
      </c>
      <c r="W263" s="77">
        <f t="shared" si="46"/>
        <v>162774.77900000001</v>
      </c>
      <c r="X263" s="76">
        <f t="shared" si="46"/>
        <v>91457.349000000075</v>
      </c>
      <c r="Y263" s="76">
        <f t="shared" si="46"/>
        <v>259066.66660000011</v>
      </c>
      <c r="Z263" s="76">
        <f t="shared" si="46"/>
        <v>185988.73520000026</v>
      </c>
      <c r="AA263" s="78">
        <f t="shared" si="46"/>
        <v>1366901.7190000026</v>
      </c>
      <c r="AB263" s="78">
        <f t="shared" si="46"/>
        <v>1303718.7740000002</v>
      </c>
      <c r="AD263" s="31">
        <f t="shared" si="39"/>
        <v>1366901.7190000007</v>
      </c>
      <c r="AE263" s="31">
        <f t="shared" si="40"/>
        <v>1303718.7740000002</v>
      </c>
      <c r="AF263" s="17">
        <f>AA263-AD263</f>
        <v>1.862645149230957E-9</v>
      </c>
      <c r="AG263" s="17">
        <f>AB263-AE263</f>
        <v>0</v>
      </c>
      <c r="BG263" s="21"/>
    </row>
    <row r="264" spans="1:123" s="17" customFormat="1" ht="22" customHeight="1" x14ac:dyDescent="0.25">
      <c r="A264" s="79" t="s">
        <v>197</v>
      </c>
      <c r="B264" s="45">
        <v>23</v>
      </c>
      <c r="C264" s="77"/>
      <c r="D264" s="77"/>
      <c r="E264" s="77"/>
      <c r="F264" s="77">
        <v>1081</v>
      </c>
      <c r="G264" s="77"/>
      <c r="H264" s="77"/>
      <c r="I264" s="77"/>
      <c r="J264" s="77"/>
      <c r="K264" s="77"/>
      <c r="L264" s="77">
        <v>9114</v>
      </c>
      <c r="M264" s="77"/>
      <c r="N264" s="77">
        <f>5986+23962-9114+13574</f>
        <v>34408</v>
      </c>
      <c r="O264" s="77"/>
      <c r="P264" s="77">
        <f>7907+4528</f>
        <v>12435</v>
      </c>
      <c r="Q264" s="77"/>
      <c r="R264" s="77">
        <f>9599</f>
        <v>9599</v>
      </c>
      <c r="S264" s="77"/>
      <c r="T264" s="77">
        <f>2903+10532</f>
        <v>13435</v>
      </c>
      <c r="U264" s="77"/>
      <c r="V264" s="77">
        <f>768+18647</f>
        <v>19415</v>
      </c>
      <c r="W264" s="77"/>
      <c r="X264" s="77">
        <f>9708</f>
        <v>9708</v>
      </c>
      <c r="Y264" s="77"/>
      <c r="Z264" s="77">
        <f>1978-33351+30913</f>
        <v>-460</v>
      </c>
      <c r="AA264" s="51">
        <f>C264+E264+G264+I264+K264+M264+O264+Q264+S264+U264+W264+Y264</f>
        <v>0</v>
      </c>
      <c r="AB264" s="51">
        <f>D264+F264+H264+J264+L264+N264+P264+R264+T264+V264+X264+Z264</f>
        <v>108735</v>
      </c>
      <c r="AD264" s="80">
        <f>SUMIF($C$5:$Z$263,$AD$5,$A264:Z523)</f>
        <v>0</v>
      </c>
      <c r="AE264" s="80">
        <f>SUMIF($C$5:$Z$263,$AE$5,$C264:Z523)</f>
        <v>108735</v>
      </c>
      <c r="BG264" s="21"/>
    </row>
    <row r="265" spans="1:123" s="17" customFormat="1" ht="22" customHeight="1" x14ac:dyDescent="0.25">
      <c r="A265" s="81" t="s">
        <v>198</v>
      </c>
      <c r="B265" s="45">
        <v>24</v>
      </c>
      <c r="C265" s="77">
        <f t="shared" ref="C265:Z265" si="47">C263-C264</f>
        <v>55240.959599999987</v>
      </c>
      <c r="D265" s="77">
        <f t="shared" si="47"/>
        <v>125041.93100000017</v>
      </c>
      <c r="E265" s="77">
        <f t="shared" si="47"/>
        <v>18691.500800000009</v>
      </c>
      <c r="F265" s="77">
        <f t="shared" si="47"/>
        <v>43573.82620000001</v>
      </c>
      <c r="G265" s="77">
        <f t="shared" si="47"/>
        <v>63977.413000000102</v>
      </c>
      <c r="H265" s="77">
        <f t="shared" si="47"/>
        <v>23060.531000000003</v>
      </c>
      <c r="I265" s="77">
        <f t="shared" si="47"/>
        <v>96990.878400000045</v>
      </c>
      <c r="J265" s="77">
        <f t="shared" si="47"/>
        <v>154736.96739999991</v>
      </c>
      <c r="K265" s="77">
        <f t="shared" si="47"/>
        <v>87781.625400000092</v>
      </c>
      <c r="L265" s="77">
        <f t="shared" si="47"/>
        <v>-6513.5237999998499</v>
      </c>
      <c r="M265" s="77">
        <f t="shared" si="47"/>
        <v>102100.32700000008</v>
      </c>
      <c r="N265" s="77">
        <f t="shared" si="47"/>
        <v>80955.772800000006</v>
      </c>
      <c r="O265" s="77">
        <f t="shared" si="47"/>
        <v>134199.33200000002</v>
      </c>
      <c r="P265" s="77">
        <f t="shared" si="47"/>
        <v>107262.97360000004</v>
      </c>
      <c r="Q265" s="77">
        <f t="shared" si="47"/>
        <v>117216.81160000003</v>
      </c>
      <c r="R265" s="77">
        <f t="shared" si="47"/>
        <v>127925.30579999991</v>
      </c>
      <c r="S265" s="77">
        <f t="shared" si="47"/>
        <v>164203.42480000015</v>
      </c>
      <c r="T265" s="77">
        <f t="shared" si="47"/>
        <v>128078.31819999989</v>
      </c>
      <c r="U265" s="77">
        <f t="shared" si="47"/>
        <v>104658.00080000004</v>
      </c>
      <c r="V265" s="77">
        <f t="shared" si="47"/>
        <v>142663.58759999988</v>
      </c>
      <c r="W265" s="77">
        <f t="shared" si="47"/>
        <v>162774.77900000001</v>
      </c>
      <c r="X265" s="77">
        <f t="shared" si="47"/>
        <v>81749.349000000075</v>
      </c>
      <c r="Y265" s="77">
        <f t="shared" si="47"/>
        <v>259066.66660000011</v>
      </c>
      <c r="Z265" s="77">
        <f t="shared" si="47"/>
        <v>186448.73520000026</v>
      </c>
      <c r="AA265" s="47">
        <f>C265+E265+G265+I265+K265+M265+O265+Q265+S265+U265+W265+Y265</f>
        <v>1366901.7190000007</v>
      </c>
      <c r="AB265" s="47">
        <f>D265+F265+H265+J265+L265+N265+P265+R265+T265+V265+X265+Z265</f>
        <v>1194983.7740000002</v>
      </c>
      <c r="AD265" s="80">
        <f>SUMIF($C$5:$Z$263,$AD$5,$A265:Z524)</f>
        <v>1107835.0524000006</v>
      </c>
      <c r="AE265" s="80">
        <f>SUMIF($C$5:$Z$263,$AE$5,$C265:Z524)</f>
        <v>1194983.7740000002</v>
      </c>
      <c r="BG265" s="21"/>
    </row>
    <row r="266" spans="1:123" s="20" customFormat="1" ht="22" customHeight="1" x14ac:dyDescent="0.25">
      <c r="A266" s="82" t="s">
        <v>211</v>
      </c>
      <c r="B266" s="83"/>
      <c r="C266" s="84">
        <f t="shared" ref="C266:AB266" si="48">C263/C6</f>
        <v>0.1263123187493157</v>
      </c>
      <c r="D266" s="84">
        <f t="shared" si="48"/>
        <v>0.21245081251775025</v>
      </c>
      <c r="E266" s="84">
        <f t="shared" si="48"/>
        <v>6.3959086990787645E-2</v>
      </c>
      <c r="F266" s="84">
        <f t="shared" si="48"/>
        <v>0.16407562704279269</v>
      </c>
      <c r="G266" s="84">
        <f t="shared" si="48"/>
        <v>0.11934576661321837</v>
      </c>
      <c r="H266" s="84">
        <f t="shared" si="48"/>
        <v>7.8323902489918773E-2</v>
      </c>
      <c r="I266" s="84">
        <f t="shared" si="48"/>
        <v>0.15407747744141254</v>
      </c>
      <c r="J266" s="84">
        <f t="shared" si="48"/>
        <v>0.21669640571530932</v>
      </c>
      <c r="K266" s="84">
        <f t="shared" si="48"/>
        <v>0.1467593359980244</v>
      </c>
      <c r="L266" s="84">
        <f t="shared" si="48"/>
        <v>7.3854117000943841E-3</v>
      </c>
      <c r="M266" s="84">
        <f t="shared" si="48"/>
        <v>0.15781341938387747</v>
      </c>
      <c r="N266" s="84">
        <f t="shared" si="48"/>
        <v>0.19820427684836467</v>
      </c>
      <c r="O266" s="84">
        <f t="shared" si="48"/>
        <v>0.17620423722092762</v>
      </c>
      <c r="P266" s="84">
        <f t="shared" si="48"/>
        <v>0.18634639091688193</v>
      </c>
      <c r="Q266" s="84">
        <f t="shared" si="48"/>
        <v>0.1633740960606998</v>
      </c>
      <c r="R266" s="84">
        <f t="shared" si="48"/>
        <v>0.18488684010545589</v>
      </c>
      <c r="S266" s="84">
        <f t="shared" si="48"/>
        <v>0.15441876760914425</v>
      </c>
      <c r="T266" s="84">
        <f t="shared" si="48"/>
        <v>0.16996770529339156</v>
      </c>
      <c r="U266" s="84">
        <f t="shared" si="48"/>
        <v>0.15172495813349168</v>
      </c>
      <c r="V266" s="84">
        <f t="shared" si="48"/>
        <v>0.2126643390334429</v>
      </c>
      <c r="W266" s="84">
        <f t="shared" si="48"/>
        <v>0.1809724250015454</v>
      </c>
      <c r="X266" s="84">
        <f t="shared" si="48"/>
        <v>0.16253586468649828</v>
      </c>
      <c r="Y266" s="84">
        <f t="shared" si="48"/>
        <v>0.20633408028819067</v>
      </c>
      <c r="Z266" s="84">
        <f t="shared" si="48"/>
        <v>0.19521846773024554</v>
      </c>
      <c r="AA266" s="85">
        <f t="shared" si="48"/>
        <v>0.16029346472791861</v>
      </c>
      <c r="AB266" s="85">
        <f t="shared" si="48"/>
        <v>0.1785992877921013</v>
      </c>
      <c r="AC266" s="61"/>
      <c r="AD266" s="61">
        <f>SUM(AD6,-AD16,-AD28,-AD29,-AD102,-AD176,-AD250,-AD251,-AD252,AD257,AD259,-AD260,-AD262)/AD6</f>
        <v>0.16029346472791861</v>
      </c>
      <c r="AE266" s="61">
        <f>SUM(AE6,-AE16,-AE28,-AE29,-AE102,-AE176,-AE250,-AE251,-AE252,AE257,AE259,-AE260,-AE262)/AE6</f>
        <v>0.17859928779210119</v>
      </c>
      <c r="AF266" s="17">
        <f>AA266-AD266</f>
        <v>0</v>
      </c>
      <c r="AG266" s="17">
        <f>AB266-AE266</f>
        <v>0</v>
      </c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61"/>
      <c r="AX266" s="61"/>
      <c r="AY266" s="61"/>
      <c r="AZ266" s="61"/>
      <c r="BA266" s="61"/>
      <c r="BB266" s="61"/>
      <c r="BC266" s="61"/>
      <c r="BD266" s="61"/>
      <c r="BE266" s="61"/>
      <c r="BF266" s="61"/>
      <c r="BG266" s="61"/>
      <c r="BH266" s="61"/>
      <c r="BI266" s="6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  <c r="BV266" s="61"/>
      <c r="BW266" s="61"/>
      <c r="BX266" s="61"/>
      <c r="BY266" s="61"/>
      <c r="BZ266" s="61"/>
      <c r="CA266" s="61"/>
      <c r="CB266" s="61"/>
      <c r="CC266" s="61"/>
      <c r="CD266" s="61"/>
      <c r="CE266" s="61"/>
      <c r="CF266" s="61"/>
      <c r="CG266" s="61"/>
      <c r="CH266" s="61"/>
      <c r="CI266" s="61"/>
      <c r="CJ266" s="61"/>
      <c r="CK266" s="61"/>
      <c r="CL266" s="61"/>
      <c r="CM266" s="61"/>
      <c r="CN266" s="61"/>
      <c r="CO266" s="61"/>
      <c r="CP266" s="61"/>
      <c r="CQ266" s="61"/>
      <c r="CR266" s="61"/>
      <c r="CS266" s="61"/>
      <c r="CT266" s="61"/>
      <c r="CU266" s="61"/>
      <c r="CV266" s="61"/>
      <c r="CW266" s="61"/>
      <c r="CX266" s="61"/>
      <c r="CY266" s="61"/>
      <c r="CZ266" s="61"/>
      <c r="DA266" s="61"/>
      <c r="DB266" s="61"/>
      <c r="DC266" s="61"/>
      <c r="DD266" s="61"/>
      <c r="DE266" s="61"/>
      <c r="DF266" s="61"/>
      <c r="DG266" s="61"/>
      <c r="DH266" s="61"/>
      <c r="DI266" s="61"/>
      <c r="DJ266" s="61"/>
      <c r="DK266" s="61"/>
      <c r="DL266" s="61"/>
      <c r="DM266" s="61"/>
      <c r="DN266" s="61"/>
      <c r="DO266" s="61"/>
      <c r="DP266" s="61"/>
      <c r="DQ266" s="61"/>
      <c r="DR266" s="61"/>
      <c r="DS266" s="61"/>
    </row>
    <row r="267" spans="1:123" s="19" customFormat="1" ht="21" customHeight="1" x14ac:dyDescent="0.25">
      <c r="A267" s="82" t="s">
        <v>212</v>
      </c>
      <c r="B267" s="83"/>
      <c r="C267" s="84"/>
      <c r="D267" s="84">
        <f>D6/C6</f>
        <v>1.3458038578459579</v>
      </c>
      <c r="E267" s="84"/>
      <c r="F267" s="84">
        <f>F6/E6</f>
        <v>0.9312845813284848</v>
      </c>
      <c r="G267" s="84"/>
      <c r="H267" s="84">
        <f>H6/G6</f>
        <v>0.54923136278379148</v>
      </c>
      <c r="I267" s="84"/>
      <c r="J267" s="84">
        <f>J6/I6</f>
        <v>1.1343593113328128</v>
      </c>
      <c r="K267" s="84"/>
      <c r="L267" s="84">
        <f>L6/K6</f>
        <v>0.58868137188715652</v>
      </c>
      <c r="M267" s="84"/>
      <c r="N267" s="84">
        <f>N6/M6</f>
        <v>0.89964925778468985</v>
      </c>
      <c r="O267" s="84"/>
      <c r="P267" s="84">
        <f>P6/O6</f>
        <v>0.84339652243056973</v>
      </c>
      <c r="Q267" s="84"/>
      <c r="R267" s="84">
        <f>R6/Q6</f>
        <v>1.0367325997987189</v>
      </c>
      <c r="S267" s="84"/>
      <c r="T267" s="84">
        <f>T6/S6</f>
        <v>0.78297658461267128</v>
      </c>
      <c r="U267" s="84"/>
      <c r="V267" s="84">
        <f>V6/U6</f>
        <v>1.1048811509582859</v>
      </c>
      <c r="W267" s="84"/>
      <c r="X267" s="84">
        <f>X6/W6</f>
        <v>0.62559705293885615</v>
      </c>
      <c r="Y267" s="84"/>
      <c r="Z267" s="84">
        <f>Z6/Y6</f>
        <v>0.75879624102844978</v>
      </c>
      <c r="AA267" s="85"/>
      <c r="AB267" s="86">
        <f>AB6/AA6</f>
        <v>0.85601765798748619</v>
      </c>
      <c r="AD267" s="61"/>
      <c r="AE267" s="61">
        <f>AE6/AD6</f>
        <v>0.85601765798748619</v>
      </c>
      <c r="AF267" s="17"/>
      <c r="AG267" s="87">
        <f>AB267-AE267</f>
        <v>0</v>
      </c>
    </row>
    <row r="268" spans="1:123" s="19" customFormat="1" ht="21" customHeight="1" x14ac:dyDescent="0.25">
      <c r="A268" s="88" t="s">
        <v>201</v>
      </c>
      <c r="B268" s="89"/>
      <c r="C268" s="90"/>
      <c r="D268" s="90">
        <f>D263/C263</f>
        <v>2.263572752997582</v>
      </c>
      <c r="E268" s="90"/>
      <c r="F268" s="90">
        <f>F263/E263</f>
        <v>2.3890444474100221</v>
      </c>
      <c r="G268" s="90"/>
      <c r="H268" s="90">
        <f>H263/G263</f>
        <v>0.36044800686142103</v>
      </c>
      <c r="I268" s="90"/>
      <c r="J268" s="90">
        <f>J263/I263</f>
        <v>1.5953764926413929</v>
      </c>
      <c r="K268" s="90"/>
      <c r="L268" s="90">
        <f>L263/K263</f>
        <v>2.9624379682540572E-2</v>
      </c>
      <c r="M268" s="90"/>
      <c r="N268" s="90">
        <f>N263/M263</f>
        <v>1.1299060070591147</v>
      </c>
      <c r="O268" s="90"/>
      <c r="P268" s="90">
        <f>P263/O263</f>
        <v>0.89194164990329472</v>
      </c>
      <c r="Q268" s="90"/>
      <c r="R268" s="90">
        <f>R263/Q263</f>
        <v>1.1732472835833379</v>
      </c>
      <c r="S268" s="90"/>
      <c r="T268" s="90">
        <f>T263/S263</f>
        <v>0.86181709286735753</v>
      </c>
      <c r="U268" s="90"/>
      <c r="V268" s="90">
        <f>V263/U263</f>
        <v>1.5486497578883605</v>
      </c>
      <c r="W268" s="90"/>
      <c r="X268" s="90">
        <f>X263/W263</f>
        <v>0.56186437212118756</v>
      </c>
      <c r="Y268" s="90"/>
      <c r="Z268" s="90">
        <f>Z263/Y263</f>
        <v>0.71791843250589837</v>
      </c>
      <c r="AA268" s="91"/>
      <c r="AB268" s="92">
        <f>AB263/AA263</f>
        <v>0.95377652678187741</v>
      </c>
      <c r="AD268" s="22"/>
      <c r="AE268" s="66">
        <f>ROUND(AE263/AD263,4)</f>
        <v>0.95379999999999998</v>
      </c>
      <c r="AF268" s="17"/>
      <c r="AG268" s="87"/>
    </row>
    <row r="269" spans="1:123" s="19" customFormat="1" ht="14.5" x14ac:dyDescent="0.25">
      <c r="A269" s="206"/>
      <c r="B269" s="207"/>
      <c r="C269" s="207"/>
      <c r="D269" s="207"/>
      <c r="E269" s="207"/>
      <c r="F269" s="207"/>
      <c r="G269" s="207"/>
      <c r="H269" s="207"/>
      <c r="I269" s="207"/>
      <c r="J269" s="207"/>
      <c r="K269" s="207"/>
      <c r="L269" s="207"/>
      <c r="M269" s="207"/>
      <c r="N269" s="207"/>
      <c r="O269" s="207"/>
      <c r="P269" s="207"/>
      <c r="Q269" s="207"/>
      <c r="R269" s="207"/>
      <c r="S269" s="207"/>
      <c r="T269" s="207"/>
      <c r="U269" s="207"/>
      <c r="V269" s="207"/>
      <c r="W269" s="207"/>
      <c r="X269" s="207"/>
      <c r="Y269" s="207"/>
      <c r="Z269" s="207"/>
      <c r="AA269" s="207"/>
      <c r="AB269" s="207"/>
      <c r="AD269" s="61"/>
      <c r="AE269" s="66"/>
      <c r="AF269" s="17"/>
      <c r="AG269" s="87"/>
    </row>
    <row r="270" spans="1:123" s="19" customFormat="1" ht="83" customHeight="1" x14ac:dyDescent="0.25">
      <c r="A270" s="93" t="s">
        <v>72</v>
      </c>
      <c r="B270" s="204" t="str">
        <f>索引!C7</f>
        <v>1、营业收入的取数来源为2025年1-12月销售明细表中的金额-2025年1-12月客户计提返利的金额；
2、营业成本的取数来源为2025年1-12月销售明细表中销售结算成本+运费核对表中的运费+销售的原材料的成本；
3、税金及附加核算的是城建税、教育费附加、印花税，城建和教育费附加为当月收入的0.85%，印花税为收入的0.03%；
4、销售费用为分部人员的费用及后台职能协助挂到分部的费用（如有）；
5、所得税与所得税分摊表中数据一致。</v>
      </c>
      <c r="C270" s="204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  <c r="AA270" s="204"/>
      <c r="AB270" s="204"/>
      <c r="AD270" s="22"/>
      <c r="AE270" s="22"/>
      <c r="AF270" s="22"/>
      <c r="AG270" s="22"/>
    </row>
    <row r="271" spans="1:123" s="19" customFormat="1" ht="21" customHeight="1" x14ac:dyDescent="0.25">
      <c r="B271" s="94"/>
      <c r="C271" s="95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5"/>
      <c r="AD271" s="22"/>
      <c r="AE271" s="22"/>
      <c r="AF271" s="22"/>
      <c r="AG271" s="22"/>
    </row>
    <row r="272" spans="1:123" s="19" customFormat="1" ht="21" customHeight="1" x14ac:dyDescent="0.25">
      <c r="B272" s="94"/>
      <c r="C272" s="95"/>
      <c r="D272" s="96"/>
      <c r="E272" s="96"/>
      <c r="F272" s="97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6"/>
      <c r="AB272" s="95"/>
      <c r="AD272" s="22"/>
      <c r="AE272" s="22"/>
      <c r="AF272" s="22"/>
      <c r="AG272" s="22"/>
    </row>
    <row r="273" spans="2:33" s="19" customFormat="1" ht="21" customHeight="1" x14ac:dyDescent="0.25">
      <c r="B273" s="94"/>
      <c r="C273" s="95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6"/>
      <c r="AB273" s="95"/>
      <c r="AD273" s="22"/>
      <c r="AE273" s="22"/>
      <c r="AF273" s="22"/>
      <c r="AG273" s="22"/>
    </row>
    <row r="274" spans="2:33" s="19" customFormat="1" ht="21" customHeight="1" x14ac:dyDescent="0.25">
      <c r="B274" s="94"/>
      <c r="C274" s="95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6"/>
      <c r="AB274" s="95"/>
      <c r="AD274" s="22"/>
      <c r="AE274" s="22"/>
      <c r="AF274" s="22"/>
      <c r="AG274" s="22"/>
    </row>
    <row r="275" spans="2:33" s="19" customFormat="1" ht="21" customHeight="1" x14ac:dyDescent="0.25">
      <c r="B275" s="94"/>
      <c r="C275" s="95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6"/>
      <c r="AB275" s="95"/>
      <c r="AD275" s="22"/>
      <c r="AE275" s="22"/>
      <c r="AF275" s="22"/>
      <c r="AG275" s="22"/>
    </row>
    <row r="276" spans="2:33" s="19" customFormat="1" ht="21" customHeight="1" x14ac:dyDescent="0.25">
      <c r="B276" s="94"/>
      <c r="C276" s="95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  <c r="AA276" s="96"/>
      <c r="AB276" s="95"/>
      <c r="AD276" s="22"/>
      <c r="AE276" s="22"/>
      <c r="AF276" s="22"/>
      <c r="AG276" s="22"/>
    </row>
    <row r="277" spans="2:33" s="19" customFormat="1" ht="21" customHeight="1" x14ac:dyDescent="0.25">
      <c r="B277" s="94"/>
      <c r="C277" s="95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  <c r="AA277" s="96"/>
      <c r="AB277" s="95"/>
      <c r="AD277" s="22"/>
      <c r="AE277" s="22"/>
      <c r="AF277" s="22"/>
      <c r="AG277" s="22"/>
    </row>
    <row r="278" spans="2:33" s="19" customFormat="1" ht="21" customHeight="1" x14ac:dyDescent="0.25">
      <c r="B278" s="94"/>
      <c r="C278" s="95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6"/>
      <c r="AB278" s="95"/>
      <c r="AD278" s="22"/>
      <c r="AE278" s="22"/>
      <c r="AF278" s="22"/>
      <c r="AG278" s="22"/>
    </row>
    <row r="279" spans="2:33" s="19" customFormat="1" ht="21" customHeight="1" x14ac:dyDescent="0.25">
      <c r="B279" s="94"/>
      <c r="C279" s="95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95"/>
      <c r="AD279" s="22"/>
      <c r="AE279" s="22"/>
      <c r="AF279" s="22"/>
      <c r="AG279" s="22"/>
    </row>
    <row r="280" spans="2:33" s="19" customFormat="1" ht="21" customHeight="1" x14ac:dyDescent="0.25">
      <c r="B280" s="94"/>
      <c r="C280" s="95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  <c r="AA280" s="96"/>
      <c r="AB280" s="95"/>
      <c r="AD280" s="22"/>
      <c r="AE280" s="22"/>
      <c r="AF280" s="22"/>
      <c r="AG280" s="22"/>
    </row>
    <row r="281" spans="2:33" s="19" customFormat="1" ht="21" customHeight="1" x14ac:dyDescent="0.25">
      <c r="B281" s="94"/>
      <c r="C281" s="95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  <c r="AA281" s="96"/>
      <c r="AB281" s="95"/>
      <c r="AD281" s="22"/>
      <c r="AE281" s="22"/>
      <c r="AF281" s="22"/>
      <c r="AG281" s="22"/>
    </row>
    <row r="282" spans="2:33" s="19" customFormat="1" ht="21" customHeight="1" x14ac:dyDescent="0.25">
      <c r="B282" s="94"/>
      <c r="C282" s="95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  <c r="AA282" s="96"/>
      <c r="AB282" s="95"/>
      <c r="AD282" s="22"/>
      <c r="AE282" s="22"/>
      <c r="AF282" s="22"/>
      <c r="AG282" s="22"/>
    </row>
    <row r="283" spans="2:33" s="19" customFormat="1" ht="21" customHeight="1" x14ac:dyDescent="0.25">
      <c r="B283" s="94"/>
      <c r="C283" s="95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6"/>
      <c r="AB283" s="95"/>
      <c r="AD283" s="22"/>
      <c r="AE283" s="22"/>
      <c r="AF283" s="22"/>
      <c r="AG283" s="22"/>
    </row>
    <row r="284" spans="2:33" s="19" customFormat="1" ht="21" customHeight="1" x14ac:dyDescent="0.25">
      <c r="B284" s="94"/>
      <c r="C284" s="95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  <c r="AA284" s="96"/>
      <c r="AB284" s="95"/>
      <c r="AD284" s="22"/>
      <c r="AE284" s="22"/>
      <c r="AF284" s="22"/>
      <c r="AG284" s="22"/>
    </row>
    <row r="285" spans="2:33" s="19" customFormat="1" ht="21" customHeight="1" x14ac:dyDescent="0.25">
      <c r="B285" s="94"/>
      <c r="C285" s="95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  <c r="AB285" s="95"/>
      <c r="AD285" s="22"/>
      <c r="AE285" s="22"/>
      <c r="AF285" s="22"/>
      <c r="AG285" s="22"/>
    </row>
    <row r="286" spans="2:33" s="19" customFormat="1" ht="21" customHeight="1" x14ac:dyDescent="0.25">
      <c r="B286" s="94"/>
      <c r="C286" s="95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6"/>
      <c r="AB286" s="95"/>
      <c r="AD286" s="22"/>
      <c r="AE286" s="22"/>
      <c r="AF286" s="22"/>
      <c r="AG286" s="22"/>
    </row>
    <row r="287" spans="2:33" s="19" customFormat="1" ht="21" customHeight="1" x14ac:dyDescent="0.25">
      <c r="B287" s="94"/>
      <c r="C287" s="95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6"/>
      <c r="AB287" s="95"/>
      <c r="AD287" s="22"/>
      <c r="AE287" s="22"/>
      <c r="AF287" s="22"/>
      <c r="AG287" s="22"/>
    </row>
  </sheetData>
  <mergeCells count="20">
    <mergeCell ref="AD4:AE4"/>
    <mergeCell ref="AF4:AG4"/>
    <mergeCell ref="A269:AB269"/>
    <mergeCell ref="B270:AB270"/>
    <mergeCell ref="A4:A5"/>
    <mergeCell ref="B4:B5"/>
    <mergeCell ref="A1:AB1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  <mergeCell ref="AA4:AB4"/>
  </mergeCells>
  <phoneticPr fontId="40" type="noConversion"/>
  <hyperlinks>
    <hyperlink ref="A1" location="'索引'!A1" tooltip="返回索引" display="江西省区利润表 " xr:uid="{00000000-0004-0000-0A00-000000000000}"/>
  </hyperlinks>
  <pageMargins left="0.27916666666666701" right="0.156944444444444" top="0.27916666666666701" bottom="0.31458333333333299" header="0.23958333333333301" footer="0.118055555555556"/>
  <pageSetup paperSize="9" scale="37" orientation="landscape" r:id="rId1"/>
  <headerFooter>
    <oddFooter>&amp;C第 &amp;P 页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9"/>
  <sheetViews>
    <sheetView topLeftCell="A46" workbookViewId="0">
      <selection activeCell="F71" sqref="F71"/>
    </sheetView>
  </sheetViews>
  <sheetFormatPr defaultColWidth="9" defaultRowHeight="15" x14ac:dyDescent="0.25"/>
  <cols>
    <col min="1" max="1" width="11" customWidth="1"/>
    <col min="3" max="3" width="48.25" customWidth="1"/>
    <col min="4" max="4" width="12.83203125" style="9" customWidth="1"/>
    <col min="5" max="5" width="10.08203125" customWidth="1"/>
    <col min="6" max="6" width="8.58203125" customWidth="1"/>
  </cols>
  <sheetData>
    <row r="1" spans="1:6" x14ac:dyDescent="0.25">
      <c r="A1" s="10" t="s">
        <v>219</v>
      </c>
      <c r="B1" s="10" t="s">
        <v>220</v>
      </c>
      <c r="C1" s="10" t="s">
        <v>221</v>
      </c>
      <c r="D1" s="11" t="s">
        <v>222</v>
      </c>
      <c r="E1" s="10" t="s">
        <v>44</v>
      </c>
      <c r="F1" s="10" t="s">
        <v>223</v>
      </c>
    </row>
    <row r="2" spans="1:6" x14ac:dyDescent="0.25">
      <c r="A2" s="1" t="s">
        <v>224</v>
      </c>
      <c r="B2" s="1" t="s">
        <v>225</v>
      </c>
      <c r="C2" s="1" t="s">
        <v>226</v>
      </c>
      <c r="D2" s="12">
        <v>-6216.81</v>
      </c>
      <c r="E2" s="2" t="s">
        <v>61</v>
      </c>
      <c r="F2" s="2" t="s">
        <v>227</v>
      </c>
    </row>
    <row r="3" spans="1:6" x14ac:dyDescent="0.25">
      <c r="A3" s="1" t="s">
        <v>224</v>
      </c>
      <c r="B3" s="1" t="s">
        <v>225</v>
      </c>
      <c r="C3" s="1" t="s">
        <v>228</v>
      </c>
      <c r="D3" s="12">
        <v>-1801.77</v>
      </c>
      <c r="E3" s="2" t="s">
        <v>63</v>
      </c>
      <c r="F3" s="2" t="s">
        <v>229</v>
      </c>
    </row>
    <row r="4" spans="1:6" x14ac:dyDescent="0.25">
      <c r="A4" s="1" t="s">
        <v>224</v>
      </c>
      <c r="B4" s="1" t="s">
        <v>225</v>
      </c>
      <c r="C4" s="1" t="s">
        <v>230</v>
      </c>
      <c r="D4" s="12">
        <v>-1860.18</v>
      </c>
      <c r="E4" s="2" t="s">
        <v>63</v>
      </c>
      <c r="F4" s="2" t="s">
        <v>231</v>
      </c>
    </row>
    <row r="5" spans="1:6" x14ac:dyDescent="0.25">
      <c r="A5" s="1" t="s">
        <v>224</v>
      </c>
      <c r="B5" s="1" t="s">
        <v>225</v>
      </c>
      <c r="C5" s="1" t="s">
        <v>232</v>
      </c>
      <c r="D5" s="12">
        <v>3229.93</v>
      </c>
      <c r="E5" s="2" t="s">
        <v>61</v>
      </c>
      <c r="F5" s="2" t="s">
        <v>227</v>
      </c>
    </row>
    <row r="6" spans="1:6" x14ac:dyDescent="0.25">
      <c r="A6" s="1" t="s">
        <v>224</v>
      </c>
      <c r="B6" s="1" t="s">
        <v>225</v>
      </c>
      <c r="C6" s="1" t="s">
        <v>233</v>
      </c>
      <c r="D6" s="12">
        <v>-7622.12</v>
      </c>
      <c r="E6" s="2" t="s">
        <v>61</v>
      </c>
      <c r="F6" s="2" t="s">
        <v>227</v>
      </c>
    </row>
    <row r="7" spans="1:6" x14ac:dyDescent="0.25">
      <c r="A7" s="1" t="s">
        <v>234</v>
      </c>
      <c r="B7" s="1" t="s">
        <v>225</v>
      </c>
      <c r="C7" s="1" t="s">
        <v>235</v>
      </c>
      <c r="D7" s="12">
        <v>-2592.92</v>
      </c>
      <c r="E7" s="2" t="s">
        <v>62</v>
      </c>
      <c r="F7" s="2" t="s">
        <v>236</v>
      </c>
    </row>
    <row r="8" spans="1:6" x14ac:dyDescent="0.25">
      <c r="A8" s="1" t="s">
        <v>234</v>
      </c>
      <c r="B8" s="1" t="s">
        <v>225</v>
      </c>
      <c r="C8" s="1" t="s">
        <v>237</v>
      </c>
      <c r="D8" s="12">
        <v>-9088.5</v>
      </c>
      <c r="E8" s="2" t="s">
        <v>62</v>
      </c>
      <c r="F8" s="2" t="s">
        <v>238</v>
      </c>
    </row>
    <row r="9" spans="1:6" x14ac:dyDescent="0.25">
      <c r="A9" s="1" t="s">
        <v>234</v>
      </c>
      <c r="B9" s="1" t="s">
        <v>225</v>
      </c>
      <c r="C9" s="1" t="s">
        <v>239</v>
      </c>
      <c r="D9" s="12">
        <v>2332.5100000000002</v>
      </c>
      <c r="E9" s="2" t="s">
        <v>62</v>
      </c>
      <c r="F9" s="2" t="s">
        <v>240</v>
      </c>
    </row>
    <row r="10" spans="1:6" x14ac:dyDescent="0.25">
      <c r="A10" s="1" t="s">
        <v>234</v>
      </c>
      <c r="B10" s="1" t="s">
        <v>225</v>
      </c>
      <c r="C10" s="1" t="s">
        <v>241</v>
      </c>
      <c r="D10" s="12">
        <v>-5504.42</v>
      </c>
      <c r="E10" s="2" t="s">
        <v>62</v>
      </c>
      <c r="F10" s="2" t="s">
        <v>240</v>
      </c>
    </row>
    <row r="11" spans="1:6" x14ac:dyDescent="0.25">
      <c r="A11" s="1" t="s">
        <v>234</v>
      </c>
      <c r="B11" s="1" t="s">
        <v>225</v>
      </c>
      <c r="C11" s="1" t="s">
        <v>242</v>
      </c>
      <c r="D11" s="12">
        <v>-3045.13</v>
      </c>
      <c r="E11" s="2" t="s">
        <v>62</v>
      </c>
      <c r="F11" s="2" t="s">
        <v>240</v>
      </c>
    </row>
    <row r="12" spans="1:6" x14ac:dyDescent="0.25">
      <c r="A12" s="1" t="s">
        <v>243</v>
      </c>
      <c r="B12" s="1" t="s">
        <v>225</v>
      </c>
      <c r="C12" s="1" t="s">
        <v>244</v>
      </c>
      <c r="D12" s="12">
        <v>65166.75</v>
      </c>
      <c r="E12" s="2" t="s">
        <v>245</v>
      </c>
      <c r="F12" s="2" t="s">
        <v>246</v>
      </c>
    </row>
    <row r="13" spans="1:6" x14ac:dyDescent="0.25">
      <c r="A13" s="1" t="s">
        <v>243</v>
      </c>
      <c r="B13" s="1" t="s">
        <v>225</v>
      </c>
      <c r="C13" s="1" t="s">
        <v>247</v>
      </c>
      <c r="D13" s="12">
        <v>-47546.9</v>
      </c>
      <c r="E13" s="2" t="s">
        <v>245</v>
      </c>
      <c r="F13" s="2" t="s">
        <v>246</v>
      </c>
    </row>
    <row r="14" spans="1:6" x14ac:dyDescent="0.25">
      <c r="A14" s="1" t="s">
        <v>248</v>
      </c>
      <c r="B14" s="1" t="s">
        <v>225</v>
      </c>
      <c r="C14" s="1" t="s">
        <v>249</v>
      </c>
      <c r="D14" s="12">
        <v>2891.94</v>
      </c>
      <c r="E14" s="2" t="s">
        <v>63</v>
      </c>
      <c r="F14" s="2" t="s">
        <v>250</v>
      </c>
    </row>
    <row r="15" spans="1:6" x14ac:dyDescent="0.25">
      <c r="A15" s="1" t="s">
        <v>251</v>
      </c>
      <c r="B15" s="1" t="s">
        <v>252</v>
      </c>
      <c r="C15" s="1" t="s">
        <v>253</v>
      </c>
      <c r="D15" s="12">
        <v>3302.75</v>
      </c>
      <c r="E15" s="2" t="s">
        <v>61</v>
      </c>
      <c r="F15" s="2" t="s">
        <v>254</v>
      </c>
    </row>
    <row r="16" spans="1:6" x14ac:dyDescent="0.25">
      <c r="A16" s="1" t="s">
        <v>255</v>
      </c>
      <c r="B16" s="1" t="s">
        <v>256</v>
      </c>
      <c r="C16" s="1" t="s">
        <v>257</v>
      </c>
      <c r="D16" s="12">
        <v>-7383.52</v>
      </c>
      <c r="E16" s="2" t="s">
        <v>62</v>
      </c>
      <c r="F16" s="2" t="s">
        <v>238</v>
      </c>
    </row>
    <row r="17" spans="1:6" x14ac:dyDescent="0.25">
      <c r="A17" s="1" t="s">
        <v>255</v>
      </c>
      <c r="B17" s="1" t="s">
        <v>256</v>
      </c>
      <c r="C17" s="1" t="s">
        <v>258</v>
      </c>
      <c r="D17" s="12">
        <v>-8981.1</v>
      </c>
      <c r="E17" s="2" t="s">
        <v>62</v>
      </c>
      <c r="F17" s="2" t="s">
        <v>238</v>
      </c>
    </row>
    <row r="18" spans="1:6" x14ac:dyDescent="0.25">
      <c r="A18" s="1" t="s">
        <v>224</v>
      </c>
      <c r="B18" s="1" t="s">
        <v>225</v>
      </c>
      <c r="C18" s="1" t="s">
        <v>259</v>
      </c>
      <c r="D18" s="12">
        <v>11306.92</v>
      </c>
      <c r="E18" s="2" t="s">
        <v>61</v>
      </c>
      <c r="F18" s="2" t="s">
        <v>227</v>
      </c>
    </row>
    <row r="19" spans="1:6" x14ac:dyDescent="0.25">
      <c r="A19" s="1" t="s">
        <v>224</v>
      </c>
      <c r="B19" s="1" t="s">
        <v>225</v>
      </c>
      <c r="C19" s="1" t="s">
        <v>260</v>
      </c>
      <c r="D19" s="12">
        <v>-6269.91</v>
      </c>
      <c r="E19" s="2" t="s">
        <v>61</v>
      </c>
      <c r="F19" s="2" t="s">
        <v>227</v>
      </c>
    </row>
    <row r="20" spans="1:6" x14ac:dyDescent="0.25">
      <c r="A20" s="1" t="s">
        <v>224</v>
      </c>
      <c r="B20" s="1" t="s">
        <v>225</v>
      </c>
      <c r="C20" s="1" t="s">
        <v>261</v>
      </c>
      <c r="D20" s="12">
        <v>-3188.5</v>
      </c>
      <c r="E20" s="2" t="s">
        <v>63</v>
      </c>
      <c r="F20" s="2" t="s">
        <v>229</v>
      </c>
    </row>
    <row r="21" spans="1:6" x14ac:dyDescent="0.25">
      <c r="A21" s="1" t="s">
        <v>224</v>
      </c>
      <c r="B21" s="1" t="s">
        <v>225</v>
      </c>
      <c r="C21" s="1" t="s">
        <v>262</v>
      </c>
      <c r="D21" s="12">
        <v>4584.1400000000003</v>
      </c>
      <c r="E21" s="2" t="s">
        <v>63</v>
      </c>
      <c r="F21" s="2" t="s">
        <v>231</v>
      </c>
    </row>
    <row r="22" spans="1:6" x14ac:dyDescent="0.25">
      <c r="A22" s="1" t="s">
        <v>224</v>
      </c>
      <c r="B22" s="1" t="s">
        <v>225</v>
      </c>
      <c r="C22" s="1" t="s">
        <v>263</v>
      </c>
      <c r="D22" s="12">
        <v>-2196.46</v>
      </c>
      <c r="E22" s="2" t="s">
        <v>63</v>
      </c>
      <c r="F22" s="2" t="s">
        <v>231</v>
      </c>
    </row>
    <row r="23" spans="1:6" x14ac:dyDescent="0.25">
      <c r="A23" s="1" t="s">
        <v>224</v>
      </c>
      <c r="B23" s="1" t="s">
        <v>225</v>
      </c>
      <c r="C23" s="1" t="s">
        <v>232</v>
      </c>
      <c r="D23" s="12">
        <v>40251.17</v>
      </c>
      <c r="E23" s="2" t="s">
        <v>61</v>
      </c>
      <c r="F23" s="2" t="s">
        <v>227</v>
      </c>
    </row>
    <row r="24" spans="1:6" x14ac:dyDescent="0.25">
      <c r="A24" s="1" t="s">
        <v>224</v>
      </c>
      <c r="B24" s="1" t="s">
        <v>225</v>
      </c>
      <c r="C24" s="1" t="s">
        <v>264</v>
      </c>
      <c r="D24" s="12">
        <v>-30856.639999999999</v>
      </c>
      <c r="E24" s="2" t="s">
        <v>61</v>
      </c>
      <c r="F24" s="2" t="s">
        <v>227</v>
      </c>
    </row>
    <row r="25" spans="1:6" x14ac:dyDescent="0.25">
      <c r="A25" s="1" t="s">
        <v>234</v>
      </c>
      <c r="B25" s="1" t="s">
        <v>225</v>
      </c>
      <c r="C25" s="1" t="s">
        <v>265</v>
      </c>
      <c r="D25" s="12">
        <v>-3152.21</v>
      </c>
      <c r="E25" s="2" t="s">
        <v>62</v>
      </c>
      <c r="F25" s="2" t="s">
        <v>236</v>
      </c>
    </row>
    <row r="26" spans="1:6" x14ac:dyDescent="0.25">
      <c r="A26" s="1" t="s">
        <v>234</v>
      </c>
      <c r="B26" s="1" t="s">
        <v>225</v>
      </c>
      <c r="C26" s="1" t="s">
        <v>266</v>
      </c>
      <c r="D26" s="12">
        <v>43877.63</v>
      </c>
      <c r="E26" s="2" t="s">
        <v>62</v>
      </c>
      <c r="F26" s="2" t="s">
        <v>238</v>
      </c>
    </row>
    <row r="27" spans="1:6" x14ac:dyDescent="0.25">
      <c r="A27" s="1" t="s">
        <v>234</v>
      </c>
      <c r="B27" s="1" t="s">
        <v>225</v>
      </c>
      <c r="C27" s="1" t="s">
        <v>267</v>
      </c>
      <c r="D27" s="12">
        <v>-27171.68</v>
      </c>
      <c r="E27" s="2" t="s">
        <v>62</v>
      </c>
      <c r="F27" s="2" t="s">
        <v>238</v>
      </c>
    </row>
    <row r="28" spans="1:6" x14ac:dyDescent="0.25">
      <c r="A28" s="1" t="s">
        <v>234</v>
      </c>
      <c r="B28" s="1" t="s">
        <v>225</v>
      </c>
      <c r="C28" s="1" t="s">
        <v>268</v>
      </c>
      <c r="D28" s="12">
        <v>7011.42</v>
      </c>
      <c r="E28" s="2" t="s">
        <v>62</v>
      </c>
      <c r="F28" s="2" t="s">
        <v>240</v>
      </c>
    </row>
    <row r="29" spans="1:6" x14ac:dyDescent="0.25">
      <c r="A29" s="1" t="s">
        <v>234</v>
      </c>
      <c r="B29" s="1" t="s">
        <v>225</v>
      </c>
      <c r="C29" s="1" t="s">
        <v>269</v>
      </c>
      <c r="D29" s="12">
        <v>-5846.02</v>
      </c>
      <c r="E29" s="2" t="s">
        <v>62</v>
      </c>
      <c r="F29" s="2" t="s">
        <v>240</v>
      </c>
    </row>
    <row r="30" spans="1:6" x14ac:dyDescent="0.25">
      <c r="A30" s="1" t="s">
        <v>234</v>
      </c>
      <c r="B30" s="1" t="s">
        <v>225</v>
      </c>
      <c r="C30" s="1" t="s">
        <v>270</v>
      </c>
      <c r="D30" s="12">
        <v>4882</v>
      </c>
      <c r="E30" s="2" t="s">
        <v>62</v>
      </c>
      <c r="F30" s="2" t="s">
        <v>240</v>
      </c>
    </row>
    <row r="31" spans="1:6" x14ac:dyDescent="0.25">
      <c r="A31" s="1" t="s">
        <v>234</v>
      </c>
      <c r="B31" s="1" t="s">
        <v>225</v>
      </c>
      <c r="C31" s="1" t="s">
        <v>271</v>
      </c>
      <c r="D31" s="12">
        <v>-1442.48</v>
      </c>
      <c r="E31" s="2" t="s">
        <v>62</v>
      </c>
      <c r="F31" s="2" t="s">
        <v>240</v>
      </c>
    </row>
    <row r="32" spans="1:6" x14ac:dyDescent="0.25">
      <c r="A32" s="1" t="s">
        <v>272</v>
      </c>
      <c r="B32" s="1" t="s">
        <v>225</v>
      </c>
      <c r="C32" s="1" t="s">
        <v>273</v>
      </c>
      <c r="D32" s="12">
        <v>11203.33</v>
      </c>
      <c r="E32" s="2" t="s">
        <v>63</v>
      </c>
      <c r="F32" s="2" t="s">
        <v>274</v>
      </c>
    </row>
    <row r="33" spans="1:6" x14ac:dyDescent="0.25">
      <c r="A33" s="1" t="s">
        <v>272</v>
      </c>
      <c r="B33" s="1" t="s">
        <v>225</v>
      </c>
      <c r="C33" s="1" t="s">
        <v>275</v>
      </c>
      <c r="D33" s="12">
        <v>-11709.73</v>
      </c>
      <c r="E33" s="2" t="s">
        <v>63</v>
      </c>
      <c r="F33" s="2" t="s">
        <v>274</v>
      </c>
    </row>
    <row r="34" spans="1:6" x14ac:dyDescent="0.25">
      <c r="A34" s="1" t="s">
        <v>248</v>
      </c>
      <c r="B34" s="1" t="s">
        <v>225</v>
      </c>
      <c r="C34" s="1" t="s">
        <v>276</v>
      </c>
      <c r="D34" s="12">
        <v>-2313</v>
      </c>
      <c r="E34" s="2" t="s">
        <v>61</v>
      </c>
      <c r="F34" s="2" t="s">
        <v>227</v>
      </c>
    </row>
    <row r="35" spans="1:6" x14ac:dyDescent="0.25">
      <c r="A35" s="1" t="s">
        <v>248</v>
      </c>
      <c r="B35" s="1" t="s">
        <v>225</v>
      </c>
      <c r="C35" s="1" t="s">
        <v>277</v>
      </c>
      <c r="D35" s="12">
        <v>-2475</v>
      </c>
      <c r="E35" s="2" t="s">
        <v>61</v>
      </c>
      <c r="F35" s="2" t="s">
        <v>254</v>
      </c>
    </row>
    <row r="36" spans="1:6" x14ac:dyDescent="0.25">
      <c r="A36" s="1" t="s">
        <v>248</v>
      </c>
      <c r="B36" s="1" t="s">
        <v>225</v>
      </c>
      <c r="C36" s="1" t="s">
        <v>278</v>
      </c>
      <c r="D36" s="12">
        <v>-11701</v>
      </c>
      <c r="E36" s="2" t="s">
        <v>61</v>
      </c>
      <c r="F36" s="2" t="s">
        <v>279</v>
      </c>
    </row>
    <row r="37" spans="1:6" x14ac:dyDescent="0.25">
      <c r="A37" s="1" t="s">
        <v>248</v>
      </c>
      <c r="B37" s="1" t="s">
        <v>225</v>
      </c>
      <c r="C37" s="1" t="s">
        <v>280</v>
      </c>
      <c r="D37" s="12">
        <v>-2755</v>
      </c>
      <c r="E37" s="2" t="s">
        <v>62</v>
      </c>
      <c r="F37" s="2" t="s">
        <v>281</v>
      </c>
    </row>
    <row r="38" spans="1:6" x14ac:dyDescent="0.25">
      <c r="A38" s="1" t="s">
        <v>248</v>
      </c>
      <c r="B38" s="1" t="s">
        <v>225</v>
      </c>
      <c r="C38" s="1" t="s">
        <v>282</v>
      </c>
      <c r="D38" s="12">
        <v>-4499</v>
      </c>
      <c r="E38" s="2" t="s">
        <v>62</v>
      </c>
      <c r="F38" s="2" t="s">
        <v>283</v>
      </c>
    </row>
    <row r="39" spans="1:6" x14ac:dyDescent="0.25">
      <c r="A39" s="1" t="s">
        <v>248</v>
      </c>
      <c r="B39" s="1" t="s">
        <v>225</v>
      </c>
      <c r="C39" s="1" t="s">
        <v>257</v>
      </c>
      <c r="D39" s="12">
        <v>-3631</v>
      </c>
      <c r="E39" s="2" t="s">
        <v>62</v>
      </c>
      <c r="F39" s="2" t="s">
        <v>238</v>
      </c>
    </row>
    <row r="40" spans="1:6" x14ac:dyDescent="0.25">
      <c r="A40" s="1" t="s">
        <v>248</v>
      </c>
      <c r="B40" s="1" t="s">
        <v>225</v>
      </c>
      <c r="C40" s="1" t="s">
        <v>253</v>
      </c>
      <c r="D40" s="12">
        <v>259</v>
      </c>
      <c r="E40" s="2" t="s">
        <v>61</v>
      </c>
      <c r="F40" s="2" t="s">
        <v>254</v>
      </c>
    </row>
    <row r="41" spans="1:6" x14ac:dyDescent="0.25">
      <c r="A41" s="1" t="s">
        <v>248</v>
      </c>
      <c r="B41" s="1" t="s">
        <v>225</v>
      </c>
      <c r="C41" s="1" t="s">
        <v>284</v>
      </c>
      <c r="D41" s="12">
        <v>1061.95</v>
      </c>
      <c r="E41" s="2" t="s">
        <v>285</v>
      </c>
      <c r="F41" s="2" t="s">
        <v>286</v>
      </c>
    </row>
    <row r="42" spans="1:6" x14ac:dyDescent="0.25">
      <c r="A42" s="1" t="s">
        <v>248</v>
      </c>
      <c r="B42" s="1" t="s">
        <v>225</v>
      </c>
      <c r="C42" s="1" t="s">
        <v>249</v>
      </c>
      <c r="D42" s="12">
        <v>-2891.94</v>
      </c>
      <c r="E42" s="2" t="s">
        <v>63</v>
      </c>
      <c r="F42" s="2" t="s">
        <v>250</v>
      </c>
    </row>
    <row r="43" spans="1:6" x14ac:dyDescent="0.25">
      <c r="A43" s="1" t="s">
        <v>287</v>
      </c>
      <c r="B43" s="1" t="s">
        <v>252</v>
      </c>
      <c r="C43" s="1" t="s">
        <v>288</v>
      </c>
      <c r="D43" s="12">
        <v>46473.38</v>
      </c>
      <c r="E43" s="2" t="s">
        <v>285</v>
      </c>
      <c r="F43" s="2" t="s">
        <v>286</v>
      </c>
    </row>
    <row r="44" spans="1:6" x14ac:dyDescent="0.25">
      <c r="A44" s="1" t="s">
        <v>287</v>
      </c>
      <c r="B44" s="1" t="s">
        <v>252</v>
      </c>
      <c r="C44" s="1" t="s">
        <v>289</v>
      </c>
      <c r="D44" s="12">
        <v>-41126.550000000003</v>
      </c>
      <c r="E44" s="2" t="s">
        <v>285</v>
      </c>
      <c r="F44" s="2" t="s">
        <v>286</v>
      </c>
    </row>
    <row r="45" spans="1:6" x14ac:dyDescent="0.25">
      <c r="A45" s="1" t="s">
        <v>290</v>
      </c>
      <c r="B45" s="1" t="s">
        <v>252</v>
      </c>
      <c r="C45" s="1" t="s">
        <v>291</v>
      </c>
      <c r="D45" s="12">
        <v>3631</v>
      </c>
      <c r="E45" s="2" t="s">
        <v>62</v>
      </c>
      <c r="F45" s="2" t="s">
        <v>238</v>
      </c>
    </row>
    <row r="46" spans="1:6" x14ac:dyDescent="0.25">
      <c r="A46" s="1" t="s">
        <v>290</v>
      </c>
      <c r="B46" s="1" t="s">
        <v>252</v>
      </c>
      <c r="C46" s="1" t="s">
        <v>292</v>
      </c>
      <c r="D46" s="12">
        <v>-3213.27</v>
      </c>
      <c r="E46" s="2" t="s">
        <v>62</v>
      </c>
      <c r="F46" s="2" t="s">
        <v>238</v>
      </c>
    </row>
    <row r="47" spans="1:6" x14ac:dyDescent="0.25">
      <c r="A47" s="1" t="s">
        <v>290</v>
      </c>
      <c r="B47" s="1" t="s">
        <v>252</v>
      </c>
      <c r="C47" s="1" t="s">
        <v>293</v>
      </c>
      <c r="D47" s="12">
        <v>11701</v>
      </c>
      <c r="E47" s="2" t="s">
        <v>61</v>
      </c>
      <c r="F47" s="2" t="s">
        <v>279</v>
      </c>
    </row>
    <row r="48" spans="1:6" x14ac:dyDescent="0.25">
      <c r="A48" s="1" t="s">
        <v>290</v>
      </c>
      <c r="B48" s="1" t="s">
        <v>252</v>
      </c>
      <c r="C48" s="1" t="s">
        <v>294</v>
      </c>
      <c r="D48" s="12">
        <v>-10354.870000000001</v>
      </c>
      <c r="E48" s="2" t="s">
        <v>61</v>
      </c>
      <c r="F48" s="2" t="s">
        <v>279</v>
      </c>
    </row>
    <row r="49" spans="1:6" x14ac:dyDescent="0.25">
      <c r="A49" s="1" t="s">
        <v>290</v>
      </c>
      <c r="B49" s="1" t="s">
        <v>252</v>
      </c>
      <c r="C49" s="1" t="s">
        <v>295</v>
      </c>
      <c r="D49" s="12">
        <v>2755</v>
      </c>
      <c r="E49" s="2" t="s">
        <v>62</v>
      </c>
      <c r="F49" s="2" t="s">
        <v>281</v>
      </c>
    </row>
    <row r="50" spans="1:6" x14ac:dyDescent="0.25">
      <c r="A50" s="1" t="s">
        <v>290</v>
      </c>
      <c r="B50" s="1" t="s">
        <v>252</v>
      </c>
      <c r="C50" s="1" t="s">
        <v>296</v>
      </c>
      <c r="D50" s="12">
        <v>-2438.0500000000002</v>
      </c>
      <c r="E50" s="2" t="s">
        <v>62</v>
      </c>
      <c r="F50" s="2" t="s">
        <v>281</v>
      </c>
    </row>
    <row r="51" spans="1:6" x14ac:dyDescent="0.25">
      <c r="A51" s="1" t="s">
        <v>290</v>
      </c>
      <c r="B51" s="1" t="s">
        <v>252</v>
      </c>
      <c r="C51" s="1" t="s">
        <v>297</v>
      </c>
      <c r="D51" s="12">
        <v>1191.25</v>
      </c>
      <c r="E51" s="2" t="s">
        <v>61</v>
      </c>
      <c r="F51" s="2" t="s">
        <v>254</v>
      </c>
    </row>
    <row r="52" spans="1:6" x14ac:dyDescent="0.25">
      <c r="A52" s="1" t="s">
        <v>290</v>
      </c>
      <c r="B52" s="1" t="s">
        <v>252</v>
      </c>
      <c r="C52" s="1" t="s">
        <v>298</v>
      </c>
      <c r="D52" s="12">
        <v>-3976.99</v>
      </c>
      <c r="E52" s="2" t="s">
        <v>61</v>
      </c>
      <c r="F52" s="2" t="s">
        <v>254</v>
      </c>
    </row>
    <row r="53" spans="1:6" x14ac:dyDescent="0.25">
      <c r="A53" s="1" t="s">
        <v>290</v>
      </c>
      <c r="B53" s="1" t="s">
        <v>252</v>
      </c>
      <c r="C53" s="1" t="s">
        <v>299</v>
      </c>
      <c r="D53" s="12">
        <v>4499</v>
      </c>
      <c r="E53" s="2" t="s">
        <v>62</v>
      </c>
      <c r="F53" s="2" t="s">
        <v>283</v>
      </c>
    </row>
    <row r="54" spans="1:6" x14ac:dyDescent="0.25">
      <c r="A54" s="1" t="s">
        <v>290</v>
      </c>
      <c r="B54" s="1" t="s">
        <v>252</v>
      </c>
      <c r="C54" s="1" t="s">
        <v>300</v>
      </c>
      <c r="D54" s="12">
        <v>-3981.42</v>
      </c>
      <c r="E54" s="2" t="s">
        <v>62</v>
      </c>
      <c r="F54" s="2" t="s">
        <v>283</v>
      </c>
    </row>
    <row r="55" spans="1:6" x14ac:dyDescent="0.25">
      <c r="A55" s="1" t="s">
        <v>290</v>
      </c>
      <c r="B55" s="1" t="s">
        <v>252</v>
      </c>
      <c r="C55" s="1" t="s">
        <v>301</v>
      </c>
      <c r="D55" s="12">
        <v>2475</v>
      </c>
      <c r="E55" s="2" t="s">
        <v>61</v>
      </c>
      <c r="F55" s="2" t="s">
        <v>254</v>
      </c>
    </row>
    <row r="56" spans="1:6" x14ac:dyDescent="0.25">
      <c r="A56" s="1" t="s">
        <v>290</v>
      </c>
      <c r="B56" s="1" t="s">
        <v>252</v>
      </c>
      <c r="C56" s="1" t="s">
        <v>302</v>
      </c>
      <c r="D56" s="12">
        <v>-1769.91</v>
      </c>
      <c r="E56" s="2" t="s">
        <v>61</v>
      </c>
      <c r="F56" s="2" t="s">
        <v>254</v>
      </c>
    </row>
    <row r="57" spans="1:6" x14ac:dyDescent="0.25">
      <c r="A57" s="1" t="s">
        <v>303</v>
      </c>
      <c r="B57" s="1" t="s">
        <v>304</v>
      </c>
      <c r="C57" s="1" t="s">
        <v>305</v>
      </c>
      <c r="D57" s="12">
        <v>2313</v>
      </c>
      <c r="E57" s="2" t="s">
        <v>61</v>
      </c>
      <c r="F57" s="2" t="s">
        <v>227</v>
      </c>
    </row>
    <row r="58" spans="1:6" x14ac:dyDescent="0.25">
      <c r="A58" s="1" t="s">
        <v>303</v>
      </c>
      <c r="B58" s="1" t="s">
        <v>304</v>
      </c>
      <c r="C58" s="1" t="s">
        <v>306</v>
      </c>
      <c r="D58" s="12">
        <v>-2046.9</v>
      </c>
      <c r="E58" s="2" t="s">
        <v>61</v>
      </c>
      <c r="F58" s="2" t="s">
        <v>227</v>
      </c>
    </row>
    <row r="59" spans="1:6" ht="16.5" x14ac:dyDescent="0.25">
      <c r="A59" s="13"/>
      <c r="B59" s="13"/>
      <c r="C59" s="13" t="s">
        <v>57</v>
      </c>
      <c r="D59" s="14">
        <f>SUBTOTAL(9,D2:D58)</f>
        <v>-16250.83</v>
      </c>
      <c r="E59" s="13"/>
      <c r="F59" s="15"/>
    </row>
  </sheetData>
  <phoneticPr fontId="40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10</vt:i4>
      </vt:variant>
    </vt:vector>
  </HeadingPairs>
  <TitlesOfParts>
    <vt:vector size="21" baseType="lpstr">
      <vt:lpstr>索引</vt:lpstr>
      <vt:lpstr>收入及净利简表</vt:lpstr>
      <vt:lpstr>2025年销售1中心利润表</vt:lpstr>
      <vt:lpstr>2025年中心利润表 </vt:lpstr>
      <vt:lpstr>2025年江苏分部利润表</vt:lpstr>
      <vt:lpstr>2025年浙江分部利润表</vt:lpstr>
      <vt:lpstr>2025年上海分部利润表</vt:lpstr>
      <vt:lpstr>2025年赣皖区域利润表</vt:lpstr>
      <vt:lpstr>2025年安徽省区利润表</vt:lpstr>
      <vt:lpstr>2025年江西省区利润表</vt:lpstr>
      <vt:lpstr>24年返利明细</vt:lpstr>
      <vt:lpstr>'2025年安徽省区利润表'!Print_Area</vt:lpstr>
      <vt:lpstr>'2025年赣皖区域利润表'!Print_Area</vt:lpstr>
      <vt:lpstr>'2025年江苏分部利润表'!Print_Area</vt:lpstr>
      <vt:lpstr>'2025年江西省区利润表'!Print_Area</vt:lpstr>
      <vt:lpstr>'2025年上海分部利润表'!Print_Area</vt:lpstr>
      <vt:lpstr>'2025年销售1中心利润表'!Print_Area</vt:lpstr>
      <vt:lpstr>'2025年浙江分部利润表'!Print_Area</vt:lpstr>
      <vt:lpstr>'2025年中心利润表 '!Print_Area</vt:lpstr>
      <vt:lpstr>收入及净利简表!Print_Area</vt:lpstr>
      <vt:lpstr>'2025年销售1中心利润表'!Print_Titles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张亮</cp:lastModifiedBy>
  <dcterms:created xsi:type="dcterms:W3CDTF">2019-12-03T12:45:00Z</dcterms:created>
  <dcterms:modified xsi:type="dcterms:W3CDTF">2026-01-22T01:51:17Z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KSORubyTemplateID">
    <vt:lpwstr>14</vt:lpwstr>
  </property>
  <property fmtid="{D5CDD505-2E9C-101B-9397-08002B2CF9AE}" pid="4" name="KSOReadingLayout">
    <vt:bool>false</vt:bool>
  </property>
  <property fmtid="{D5CDD505-2E9C-101B-9397-08002B2CF9AE}" pid="5" name="ICV">
    <vt:lpwstr>536F77F4D685461597E80D7173A869DD_13</vt:lpwstr>
  </property>
  <property fmtid="{D5CDD505-2E9C-101B-9397-08002B2CF9AE}" pid="6" name="CalculationRule">
    <vt:i4>0</vt:i4>
  </property>
</Properties>
</file>