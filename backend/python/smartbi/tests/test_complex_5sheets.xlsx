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利润表" sheetId="1" state="visible" r:id="rId1"/>
    <sheet name="销售明细" sheetId="2" state="visible" r:id="rId2"/>
    <sheet name="部门预算对比" sheetId="3" state="visible" r:id="rId3"/>
    <sheet name="产品成本分析" sheetId="4" state="visible" r:id="rId4"/>
    <sheet name="待补充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宁波某某食品有限公司利润表</t>
        </is>
      </c>
    </row>
    <row r="2">
      <c r="A2" t="inlineStr">
        <is>
          <t>单位：万元</t>
        </is>
      </c>
      <c r="E2" t="inlineStr">
        <is>
          <t>编制日期：2025年1月</t>
        </is>
      </c>
    </row>
    <row r="3">
      <c r="A3" t="inlineStr">
        <is>
          <t>项目</t>
        </is>
      </c>
      <c r="B3" t="inlineStr">
        <is>
          <t>行次</t>
        </is>
      </c>
      <c r="C3" t="inlineStr">
        <is>
          <t>2025年1月</t>
        </is>
      </c>
      <c r="E3" t="inlineStr">
        <is>
          <t>2025年2月</t>
        </is>
      </c>
      <c r="G3" t="inlineStr">
        <is>
          <t>累计</t>
        </is>
      </c>
    </row>
    <row r="4">
      <c r="C4" t="inlineStr">
        <is>
          <t>预算数</t>
        </is>
      </c>
      <c r="D4" t="inlineStr">
        <is>
          <t>实际数</t>
        </is>
      </c>
      <c r="E4" t="inlineStr">
        <is>
          <t>预算数</t>
        </is>
      </c>
      <c r="F4" t="inlineStr">
        <is>
          <t>实际数</t>
        </is>
      </c>
      <c r="G4" t="inlineStr">
        <is>
          <t>预算数</t>
        </is>
      </c>
      <c r="H4" t="inlineStr">
        <is>
          <t>实际数</t>
        </is>
      </c>
    </row>
    <row r="5">
      <c r="A5" t="inlineStr">
        <is>
          <t>一、营业收入</t>
        </is>
      </c>
      <c r="B5" t="n">
        <v>1</v>
      </c>
      <c r="C5" t="n">
        <v>500</v>
      </c>
      <c r="D5" t="n">
        <v>520</v>
      </c>
      <c r="E5" t="n">
        <v>600</v>
      </c>
      <c r="F5" t="n">
        <v>580</v>
      </c>
      <c r="G5" t="n">
        <v>1100</v>
      </c>
      <c r="H5" t="n">
        <v>1100</v>
      </c>
    </row>
    <row r="6">
      <c r="A6" t="inlineStr">
        <is>
          <t xml:space="preserve">  主营业务收入</t>
        </is>
      </c>
      <c r="B6" t="n">
        <v>2</v>
      </c>
      <c r="C6" t="n">
        <v>450</v>
      </c>
      <c r="D6" t="n">
        <v>470</v>
      </c>
      <c r="E6" t="n">
        <v>540</v>
      </c>
      <c r="F6" t="n">
        <v>530</v>
      </c>
      <c r="G6" t="n">
        <v>990</v>
      </c>
      <c r="H6" t="n">
        <v>1000</v>
      </c>
    </row>
    <row r="7">
      <c r="A7" t="inlineStr">
        <is>
          <t xml:space="preserve">  其他业务收入</t>
        </is>
      </c>
      <c r="B7" t="n">
        <v>3</v>
      </c>
      <c r="C7" t="n">
        <v>50</v>
      </c>
      <c r="D7" t="n">
        <v>50</v>
      </c>
      <c r="E7" t="n">
        <v>60</v>
      </c>
      <c r="F7" t="n">
        <v>50</v>
      </c>
      <c r="G7" t="n">
        <v>110</v>
      </c>
      <c r="H7" t="n">
        <v>100</v>
      </c>
    </row>
    <row r="8">
      <c r="A8" t="inlineStr">
        <is>
          <t>二、营业成本</t>
        </is>
      </c>
      <c r="B8" t="n">
        <v>4</v>
      </c>
      <c r="C8" t="n">
        <v>300</v>
      </c>
      <c r="D8" t="n">
        <v>310</v>
      </c>
      <c r="E8" t="n">
        <v>360</v>
      </c>
      <c r="F8" t="n">
        <v>350</v>
      </c>
      <c r="G8" t="n">
        <v>660</v>
      </c>
      <c r="H8" t="n">
        <v>660</v>
      </c>
    </row>
    <row r="9">
      <c r="A9" t="inlineStr">
        <is>
          <t xml:space="preserve">  主营业务成本</t>
        </is>
      </c>
      <c r="B9" t="n">
        <v>5</v>
      </c>
      <c r="C9" t="n">
        <v>270</v>
      </c>
      <c r="D9" t="n">
        <v>280</v>
      </c>
      <c r="E9" t="n">
        <v>320</v>
      </c>
      <c r="F9" t="n">
        <v>310</v>
      </c>
      <c r="G9" t="n">
        <v>590</v>
      </c>
      <c r="H9" t="n">
        <v>590</v>
      </c>
    </row>
    <row r="10">
      <c r="A10" t="inlineStr">
        <is>
          <t xml:space="preserve">  其他业务成本</t>
        </is>
      </c>
      <c r="B10" t="n">
        <v>6</v>
      </c>
      <c r="C10" t="n">
        <v>30</v>
      </c>
      <c r="D10" t="n">
        <v>30</v>
      </c>
      <c r="E10" t="n">
        <v>40</v>
      </c>
      <c r="F10" t="n">
        <v>40</v>
      </c>
      <c r="G10" t="n">
        <v>70</v>
      </c>
      <c r="H10" t="n">
        <v>70</v>
      </c>
    </row>
    <row r="11">
      <c r="A11" t="inlineStr">
        <is>
          <t>三、营业毛利</t>
        </is>
      </c>
      <c r="B11" t="n">
        <v>7</v>
      </c>
      <c r="C11" t="n">
        <v>200</v>
      </c>
      <c r="D11" t="n">
        <v>210</v>
      </c>
      <c r="E11" t="n">
        <v>240</v>
      </c>
      <c r="F11" t="n">
        <v>230</v>
      </c>
      <c r="G11" t="n">
        <v>440</v>
      </c>
      <c r="H11" t="n">
        <v>440</v>
      </c>
    </row>
    <row r="12">
      <c r="A12" t="inlineStr">
        <is>
          <t>四、期间费用</t>
        </is>
      </c>
      <c r="B12" t="n">
        <v>8</v>
      </c>
      <c r="C12" t="n">
        <v>80</v>
      </c>
      <c r="D12" t="n">
        <v>85</v>
      </c>
      <c r="E12" t="n">
        <v>90</v>
      </c>
      <c r="F12" t="n">
        <v>88</v>
      </c>
      <c r="G12" t="n">
        <v>170</v>
      </c>
      <c r="H12" t="n">
        <v>173</v>
      </c>
    </row>
    <row r="13">
      <c r="A13" t="inlineStr">
        <is>
          <t xml:space="preserve">  销售费用</t>
        </is>
      </c>
      <c r="B13" t="n">
        <v>9</v>
      </c>
      <c r="C13" t="n">
        <v>30</v>
      </c>
      <c r="D13" t="n">
        <v>32</v>
      </c>
      <c r="E13" t="n">
        <v>35</v>
      </c>
      <c r="F13" t="n">
        <v>33</v>
      </c>
      <c r="G13" t="n">
        <v>65</v>
      </c>
      <c r="H13" t="n">
        <v>65</v>
      </c>
    </row>
    <row r="14">
      <c r="A14" t="inlineStr">
        <is>
          <t xml:space="preserve">  管理费用</t>
        </is>
      </c>
      <c r="B14" t="n">
        <v>10</v>
      </c>
      <c r="C14" t="n">
        <v>40</v>
      </c>
      <c r="D14" t="n">
        <v>43</v>
      </c>
      <c r="E14" t="n">
        <v>45</v>
      </c>
      <c r="F14" t="n">
        <v>45</v>
      </c>
      <c r="G14" t="n">
        <v>85</v>
      </c>
      <c r="H14" t="n">
        <v>88</v>
      </c>
    </row>
    <row r="15">
      <c r="A15" t="inlineStr">
        <is>
          <t xml:space="preserve">  财务费用</t>
        </is>
      </c>
      <c r="B15" t="n">
        <v>11</v>
      </c>
      <c r="C15" t="n">
        <v>10</v>
      </c>
      <c r="D15" t="n">
        <v>10</v>
      </c>
      <c r="E15" t="n">
        <v>10</v>
      </c>
      <c r="F15" t="n">
        <v>10</v>
      </c>
      <c r="G15" t="n">
        <v>20</v>
      </c>
      <c r="H15" t="n">
        <v>20</v>
      </c>
    </row>
    <row r="16">
      <c r="A16" t="inlineStr">
        <is>
          <t>五、营业利润</t>
        </is>
      </c>
      <c r="B16" t="n">
        <v>12</v>
      </c>
      <c r="C16" t="n">
        <v>120</v>
      </c>
      <c r="D16" t="n">
        <v>125</v>
      </c>
      <c r="E16" t="n">
        <v>150</v>
      </c>
      <c r="F16" t="n">
        <v>142</v>
      </c>
      <c r="G16" t="n">
        <v>270</v>
      </c>
      <c r="H16" t="n">
        <v>267</v>
      </c>
    </row>
    <row r="17">
      <c r="A17" t="inlineStr">
        <is>
          <t>六、利润总额</t>
        </is>
      </c>
      <c r="B17" t="n">
        <v>13</v>
      </c>
      <c r="C17" t="n">
        <v>120</v>
      </c>
      <c r="D17" t="n">
        <v>125</v>
      </c>
      <c r="E17" t="n">
        <v>150</v>
      </c>
      <c r="F17" t="n">
        <v>142</v>
      </c>
      <c r="G17" t="n">
        <v>270</v>
      </c>
      <c r="H17" t="n">
        <v>267</v>
      </c>
    </row>
    <row r="18">
      <c r="A18" t="inlineStr">
        <is>
          <t>七、净利润</t>
        </is>
      </c>
      <c r="B18" t="n">
        <v>14</v>
      </c>
      <c r="C18" t="n">
        <v>102</v>
      </c>
      <c r="D18" t="n">
        <v>106</v>
      </c>
      <c r="E18" t="n">
        <v>127.5</v>
      </c>
      <c r="F18" t="n">
        <v>120.7</v>
      </c>
      <c r="G18" t="n">
        <v>229.5</v>
      </c>
      <c r="H18" t="n">
        <v>226.7</v>
      </c>
    </row>
    <row r="19">
      <c r="A19" t="inlineStr">
        <is>
          <t>编制说明：</t>
        </is>
      </c>
      <c r="B19" t="inlineStr">
        <is>
          <t>本表按权责发生制编制，营业收入按实际发货确认，成本按配比原则计算。</t>
        </is>
      </c>
    </row>
  </sheetData>
  <mergeCells count="7">
    <mergeCell ref="B19:H19"/>
    <mergeCell ref="B3:B4"/>
    <mergeCell ref="A3:A4"/>
    <mergeCell ref="A1:H1"/>
    <mergeCell ref="C3:D3"/>
    <mergeCell ref="G3:H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销售明细表</t>
        </is>
      </c>
    </row>
    <row r="2">
      <c r="A2" t="inlineStr">
        <is>
          <t>统计期间：2025年1月1日-2025年1月31日</t>
        </is>
      </c>
    </row>
    <row r="3">
      <c r="A3" s="3" t="inlineStr">
        <is>
          <t>序号</t>
        </is>
      </c>
      <c r="B3" s="3" t="inlineStr">
        <is>
          <t>日期</t>
        </is>
      </c>
      <c r="C3" s="3" t="inlineStr">
        <is>
          <t>客户名称</t>
        </is>
      </c>
      <c r="D3" s="3" t="inlineStr">
        <is>
          <t>产品名称</t>
        </is>
      </c>
      <c r="E3" s="3" t="inlineStr">
        <is>
          <t>规格</t>
        </is>
      </c>
      <c r="F3" s="3" t="inlineStr">
        <is>
          <t>数量</t>
        </is>
      </c>
      <c r="G3" s="3" t="inlineStr">
        <is>
          <t>单价</t>
        </is>
      </c>
      <c r="H3" s="3" t="inlineStr">
        <is>
          <t>金额</t>
        </is>
      </c>
      <c r="I3" s="3" t="inlineStr">
        <is>
          <t>业务员</t>
        </is>
      </c>
      <c r="J3" s="3" t="inlineStr">
        <is>
          <t>备注</t>
        </is>
      </c>
    </row>
    <row r="4">
      <c r="A4" t="n">
        <v>1</v>
      </c>
      <c r="B4" t="inlineStr">
        <is>
          <t>2025-01-02</t>
        </is>
      </c>
      <c r="C4" t="inlineStr">
        <is>
          <t>杭州联华</t>
        </is>
      </c>
      <c r="D4" t="inlineStr">
        <is>
          <t>火锅底料</t>
        </is>
      </c>
      <c r="E4" t="inlineStr">
        <is>
          <t>250g/盒</t>
        </is>
      </c>
      <c r="F4" t="n">
        <v>217</v>
      </c>
      <c r="G4" t="n">
        <v>43.87</v>
      </c>
      <c r="H4" t="n">
        <v>9519.790000000001</v>
      </c>
      <c r="I4" t="inlineStr">
        <is>
          <t>张三</t>
        </is>
      </c>
    </row>
    <row r="5">
      <c r="A5" t="n">
        <v>2</v>
      </c>
      <c r="B5" t="inlineStr">
        <is>
          <t>2025-01-03</t>
        </is>
      </c>
      <c r="C5" t="inlineStr">
        <is>
          <t>宁波大润发</t>
        </is>
      </c>
      <c r="D5" t="inlineStr">
        <is>
          <t>菌菇底料</t>
        </is>
      </c>
      <c r="E5" t="inlineStr">
        <is>
          <t>500g/袋</t>
        </is>
      </c>
      <c r="F5" t="n">
        <v>703</v>
      </c>
      <c r="G5" t="n">
        <v>26.72</v>
      </c>
      <c r="H5" t="n">
        <v>18784.16</v>
      </c>
      <c r="I5" t="inlineStr">
        <is>
          <t>赵六</t>
        </is>
      </c>
    </row>
    <row r="6">
      <c r="A6" t="n">
        <v>3</v>
      </c>
      <c r="B6" t="inlineStr">
        <is>
          <t>2025-01-04</t>
        </is>
      </c>
      <c r="C6" t="inlineStr">
        <is>
          <t>杭州联华</t>
        </is>
      </c>
      <c r="D6" t="inlineStr">
        <is>
          <t>麻辣烫底料</t>
        </is>
      </c>
      <c r="E6" t="inlineStr">
        <is>
          <t>500g/盒</t>
        </is>
      </c>
      <c r="F6" t="n">
        <v>931</v>
      </c>
      <c r="G6" t="n">
        <v>29.29</v>
      </c>
      <c r="H6" t="n">
        <v>27268.99</v>
      </c>
      <c r="I6" t="inlineStr">
        <is>
          <t>王五</t>
        </is>
      </c>
    </row>
    <row r="7">
      <c r="A7" t="n">
        <v>4</v>
      </c>
      <c r="B7" t="inlineStr">
        <is>
          <t>2025-01-05</t>
        </is>
      </c>
      <c r="C7" t="inlineStr">
        <is>
          <t>上海沃尔玛</t>
        </is>
      </c>
      <c r="D7" t="inlineStr">
        <is>
          <t>酸菜鱼底料</t>
        </is>
      </c>
      <c r="E7" t="inlineStr">
        <is>
          <t>500g/盒</t>
        </is>
      </c>
      <c r="F7" t="n">
        <v>793</v>
      </c>
      <c r="G7" t="n">
        <v>22.3</v>
      </c>
      <c r="H7" t="n">
        <v>17683.9</v>
      </c>
      <c r="I7" t="inlineStr">
        <is>
          <t>张三</t>
        </is>
      </c>
    </row>
    <row r="8">
      <c r="A8" t="n">
        <v>5</v>
      </c>
      <c r="B8" t="inlineStr">
        <is>
          <t>2025-01-06</t>
        </is>
      </c>
      <c r="C8" t="inlineStr">
        <is>
          <t>温州永辉</t>
        </is>
      </c>
      <c r="D8" t="inlineStr">
        <is>
          <t>酸菜鱼底料</t>
        </is>
      </c>
      <c r="E8" t="inlineStr">
        <is>
          <t>250g/盒</t>
        </is>
      </c>
      <c r="F8" t="n">
        <v>911</v>
      </c>
      <c r="G8" t="n">
        <v>36.34</v>
      </c>
      <c r="H8" t="n">
        <v>33105.74</v>
      </c>
      <c r="I8" t="inlineStr">
        <is>
          <t>赵六</t>
        </is>
      </c>
    </row>
    <row r="9">
      <c r="A9" t="n">
        <v>6</v>
      </c>
      <c r="B9" t="inlineStr">
        <is>
          <t>2025-01-07</t>
        </is>
      </c>
      <c r="C9" t="inlineStr">
        <is>
          <t>上海沃尔玛</t>
        </is>
      </c>
      <c r="D9" t="inlineStr">
        <is>
          <t>麻辣烫底料</t>
        </is>
      </c>
      <c r="E9" t="inlineStr">
        <is>
          <t>250g/盒</t>
        </is>
      </c>
      <c r="F9" t="n">
        <v>226</v>
      </c>
      <c r="G9" t="n">
        <v>18.2</v>
      </c>
      <c r="H9" t="n">
        <v>4113.2</v>
      </c>
      <c r="I9" t="inlineStr">
        <is>
          <t>李四</t>
        </is>
      </c>
    </row>
    <row r="10">
      <c r="A10" t="n">
        <v>7</v>
      </c>
      <c r="B10" t="inlineStr">
        <is>
          <t>2025-01-08</t>
        </is>
      </c>
      <c r="C10" t="inlineStr">
        <is>
          <t>宁波大润发</t>
        </is>
      </c>
      <c r="D10" t="inlineStr">
        <is>
          <t>火锅底料</t>
        </is>
      </c>
      <c r="E10" t="inlineStr">
        <is>
          <t>500g/盒</t>
        </is>
      </c>
      <c r="F10" t="n">
        <v>950</v>
      </c>
      <c r="G10" t="n">
        <v>38.34</v>
      </c>
      <c r="H10" t="n">
        <v>36423</v>
      </c>
      <c r="I10" t="inlineStr">
        <is>
          <t>张三</t>
        </is>
      </c>
    </row>
    <row r="11">
      <c r="A11" t="n">
        <v>8</v>
      </c>
      <c r="B11" t="inlineStr">
        <is>
          <t>2025-01-09</t>
        </is>
      </c>
      <c r="C11" t="inlineStr">
        <is>
          <t>杭州联华</t>
        </is>
      </c>
      <c r="D11" t="inlineStr">
        <is>
          <t>火锅底料</t>
        </is>
      </c>
      <c r="E11" t="inlineStr">
        <is>
          <t>500g/袋</t>
        </is>
      </c>
      <c r="F11" t="n">
        <v>856</v>
      </c>
      <c r="G11" t="n">
        <v>16.31</v>
      </c>
      <c r="H11" t="n">
        <v>13961.36</v>
      </c>
      <c r="I11" t="inlineStr">
        <is>
          <t>李四</t>
        </is>
      </c>
    </row>
    <row r="12">
      <c r="A12" t="n">
        <v>9</v>
      </c>
      <c r="B12" t="inlineStr">
        <is>
          <t>2025-01-10</t>
        </is>
      </c>
      <c r="C12" t="inlineStr">
        <is>
          <t>嘉兴世纪联华</t>
        </is>
      </c>
      <c r="D12" t="inlineStr">
        <is>
          <t>酸菜鱼底料</t>
        </is>
      </c>
      <c r="E12" t="inlineStr">
        <is>
          <t>250g/盒</t>
        </is>
      </c>
      <c r="F12" t="n">
        <v>196</v>
      </c>
      <c r="G12" t="n">
        <v>21.96</v>
      </c>
      <c r="H12" t="n">
        <v>4304.16</v>
      </c>
      <c r="I12" t="inlineStr">
        <is>
          <t>张三</t>
        </is>
      </c>
    </row>
    <row r="13">
      <c r="A13" t="n">
        <v>10</v>
      </c>
      <c r="B13" t="inlineStr">
        <is>
          <t>2025-01-11</t>
        </is>
      </c>
      <c r="C13" t="inlineStr">
        <is>
          <t>宁波大润发</t>
        </is>
      </c>
      <c r="D13" t="inlineStr">
        <is>
          <t>酸菜鱼底料</t>
        </is>
      </c>
      <c r="E13" t="inlineStr">
        <is>
          <t>500g/袋</t>
        </is>
      </c>
      <c r="F13" t="n">
        <v>562</v>
      </c>
      <c r="G13" t="n">
        <v>21.19</v>
      </c>
      <c r="H13" t="n">
        <v>11908.78</v>
      </c>
      <c r="I13" t="inlineStr">
        <is>
          <t>王五</t>
        </is>
      </c>
      <c r="J13" t="inlineStr">
        <is>
          <t>促销订单</t>
        </is>
      </c>
    </row>
    <row r="14">
      <c r="A14" t="n">
        <v>11</v>
      </c>
      <c r="B14" t="inlineStr">
        <is>
          <t>2025-01-12</t>
        </is>
      </c>
      <c r="C14" t="inlineStr">
        <is>
          <t>杭州联华</t>
        </is>
      </c>
      <c r="D14" t="inlineStr">
        <is>
          <t>麻辣烫底料</t>
        </is>
      </c>
      <c r="E14" t="inlineStr">
        <is>
          <t>500g/袋</t>
        </is>
      </c>
      <c r="F14" t="n">
        <v>697</v>
      </c>
      <c r="G14" t="n">
        <v>22.96</v>
      </c>
      <c r="H14" t="n">
        <v>16003.12</v>
      </c>
      <c r="I14" t="inlineStr">
        <is>
          <t>张三</t>
        </is>
      </c>
    </row>
    <row r="15">
      <c r="A15" t="n">
        <v>12</v>
      </c>
      <c r="B15" t="inlineStr">
        <is>
          <t>2025-01-13</t>
        </is>
      </c>
      <c r="C15" t="inlineStr">
        <is>
          <t>宁波大润发</t>
        </is>
      </c>
      <c r="D15" t="inlineStr">
        <is>
          <t>酸菜鱼底料</t>
        </is>
      </c>
      <c r="E15" t="inlineStr">
        <is>
          <t>250g/盒</t>
        </is>
      </c>
      <c r="F15" t="n">
        <v>812</v>
      </c>
      <c r="G15" t="n">
        <v>18.46</v>
      </c>
      <c r="H15" t="n">
        <v>14989.52</v>
      </c>
      <c r="I15" t="inlineStr">
        <is>
          <t>李四</t>
        </is>
      </c>
    </row>
    <row r="16">
      <c r="A16" t="n">
        <v>13</v>
      </c>
      <c r="B16" t="inlineStr">
        <is>
          <t>2025-01-14</t>
        </is>
      </c>
      <c r="C16" t="inlineStr">
        <is>
          <t>上海沃尔玛</t>
        </is>
      </c>
      <c r="D16" t="inlineStr">
        <is>
          <t>火锅底料</t>
        </is>
      </c>
      <c r="E16" t="inlineStr">
        <is>
          <t>250g/盒</t>
        </is>
      </c>
      <c r="F16" t="n">
        <v>724</v>
      </c>
      <c r="G16" t="n">
        <v>15.43</v>
      </c>
      <c r="H16" t="n">
        <v>11171.32</v>
      </c>
      <c r="I16" t="inlineStr">
        <is>
          <t>王五</t>
        </is>
      </c>
    </row>
    <row r="17">
      <c r="A17" t="n">
        <v>14</v>
      </c>
      <c r="B17" t="inlineStr">
        <is>
          <t>2025-01-15</t>
        </is>
      </c>
      <c r="C17" t="inlineStr">
        <is>
          <t>嘉兴世纪联华</t>
        </is>
      </c>
      <c r="D17" t="inlineStr">
        <is>
          <t>酸菜鱼底料</t>
        </is>
      </c>
      <c r="E17" t="inlineStr">
        <is>
          <t>500g/袋</t>
        </is>
      </c>
      <c r="F17" t="n">
        <v>100</v>
      </c>
      <c r="G17" t="n">
        <v>40.19</v>
      </c>
      <c r="H17" t="n">
        <v>4019</v>
      </c>
      <c r="I17" t="inlineStr">
        <is>
          <t>王五</t>
        </is>
      </c>
    </row>
    <row r="18">
      <c r="A18" t="n">
        <v>15</v>
      </c>
      <c r="B18" t="inlineStr">
        <is>
          <t>2025-01-16</t>
        </is>
      </c>
      <c r="C18" t="inlineStr">
        <is>
          <t>上海沃尔玛</t>
        </is>
      </c>
      <c r="D18" t="inlineStr">
        <is>
          <t>火锅底料</t>
        </is>
      </c>
      <c r="E18" t="inlineStr">
        <is>
          <t>500g/盒</t>
        </is>
      </c>
      <c r="F18" t="n">
        <v>901</v>
      </c>
      <c r="G18" t="n">
        <v>18.26</v>
      </c>
      <c r="H18" t="n">
        <v>16452.26</v>
      </c>
      <c r="I18" t="inlineStr">
        <is>
          <t>张三</t>
        </is>
      </c>
    </row>
    <row r="19">
      <c r="A19" t="n">
        <v>16</v>
      </c>
      <c r="B19" t="inlineStr">
        <is>
          <t>2025-01-17</t>
        </is>
      </c>
      <c r="C19" t="inlineStr">
        <is>
          <t>上海沃尔玛</t>
        </is>
      </c>
      <c r="D19" t="inlineStr">
        <is>
          <t>番茄底料</t>
        </is>
      </c>
      <c r="E19" t="inlineStr">
        <is>
          <t>500g/盒</t>
        </is>
      </c>
      <c r="F19" t="n">
        <v>829</v>
      </c>
      <c r="G19" t="n">
        <v>18.6</v>
      </c>
      <c r="H19" t="n">
        <v>15419.4</v>
      </c>
      <c r="I19" t="inlineStr">
        <is>
          <t>李四</t>
        </is>
      </c>
    </row>
    <row r="20">
      <c r="A20" t="n">
        <v>17</v>
      </c>
      <c r="B20" t="inlineStr">
        <is>
          <t>2025-01-18</t>
        </is>
      </c>
      <c r="C20" t="inlineStr">
        <is>
          <t>杭州联华</t>
        </is>
      </c>
      <c r="D20" t="inlineStr">
        <is>
          <t>酸菜鱼底料</t>
        </is>
      </c>
      <c r="E20" t="inlineStr">
        <is>
          <t>500g/袋</t>
        </is>
      </c>
      <c r="F20" t="n">
        <v>988</v>
      </c>
      <c r="G20" t="n">
        <v>30.43</v>
      </c>
      <c r="H20" t="n">
        <v>30064.84</v>
      </c>
      <c r="I20" t="inlineStr">
        <is>
          <t>赵六</t>
        </is>
      </c>
    </row>
    <row r="21">
      <c r="A21" t="n">
        <v>18</v>
      </c>
      <c r="B21" t="inlineStr">
        <is>
          <t>2025-01-19</t>
        </is>
      </c>
      <c r="C21" t="inlineStr">
        <is>
          <t>上海沃尔玛</t>
        </is>
      </c>
      <c r="D21" t="inlineStr">
        <is>
          <t>火锅底料</t>
        </is>
      </c>
      <c r="E21" t="inlineStr">
        <is>
          <t>1kg/袋</t>
        </is>
      </c>
      <c r="F21" t="n">
        <v>848</v>
      </c>
      <c r="G21" t="n">
        <v>24.55</v>
      </c>
      <c r="H21" t="n">
        <v>20818.4</v>
      </c>
      <c r="I21" t="inlineStr">
        <is>
          <t>张三</t>
        </is>
      </c>
    </row>
    <row r="22">
      <c r="A22" t="n">
        <v>19</v>
      </c>
      <c r="B22" t="inlineStr">
        <is>
          <t>2025-01-20</t>
        </is>
      </c>
      <c r="C22" t="inlineStr">
        <is>
          <t>宁波大润发</t>
        </is>
      </c>
      <c r="D22" t="inlineStr">
        <is>
          <t>酸菜鱼底料</t>
        </is>
      </c>
      <c r="E22" t="inlineStr">
        <is>
          <t>250g/盒</t>
        </is>
      </c>
      <c r="F22" t="n">
        <v>989</v>
      </c>
      <c r="G22" t="n">
        <v>25.52</v>
      </c>
      <c r="H22" t="n">
        <v>25239.28</v>
      </c>
      <c r="I22" t="inlineStr">
        <is>
          <t>赵六</t>
        </is>
      </c>
    </row>
    <row r="23">
      <c r="A23" t="n">
        <v>20</v>
      </c>
      <c r="B23" t="inlineStr">
        <is>
          <t>2025-01-21</t>
        </is>
      </c>
      <c r="C23" t="inlineStr">
        <is>
          <t>杭州联华</t>
        </is>
      </c>
      <c r="D23" t="inlineStr">
        <is>
          <t>菌菇底料</t>
        </is>
      </c>
      <c r="E23" t="inlineStr">
        <is>
          <t>1kg/袋</t>
        </is>
      </c>
      <c r="F23" t="n">
        <v>290</v>
      </c>
      <c r="G23" t="n">
        <v>15.36</v>
      </c>
      <c r="H23" t="n">
        <v>4454.4</v>
      </c>
      <c r="I23" t="inlineStr">
        <is>
          <t>王五</t>
        </is>
      </c>
      <c r="J23" t="inlineStr">
        <is>
          <t>促销订单</t>
        </is>
      </c>
    </row>
    <row r="24">
      <c r="A24" t="n">
        <v>21</v>
      </c>
      <c r="B24" t="inlineStr">
        <is>
          <t>2025-01-22</t>
        </is>
      </c>
      <c r="C24" t="inlineStr">
        <is>
          <t>嘉兴世纪联华</t>
        </is>
      </c>
      <c r="D24" t="inlineStr">
        <is>
          <t>菌菇底料</t>
        </is>
      </c>
      <c r="E24" t="inlineStr">
        <is>
          <t>500g/袋</t>
        </is>
      </c>
      <c r="F24" t="n">
        <v>661</v>
      </c>
      <c r="G24" t="n">
        <v>43.22</v>
      </c>
      <c r="H24" t="n">
        <v>28568.42</v>
      </c>
      <c r="I24" t="inlineStr">
        <is>
          <t>赵六</t>
        </is>
      </c>
    </row>
    <row r="25">
      <c r="A25" t="n">
        <v>22</v>
      </c>
      <c r="B25" t="inlineStr">
        <is>
          <t>2025-01-23</t>
        </is>
      </c>
      <c r="C25" t="inlineStr">
        <is>
          <t>宁波大润发</t>
        </is>
      </c>
      <c r="D25" t="inlineStr">
        <is>
          <t>酸菜鱼底料</t>
        </is>
      </c>
      <c r="E25" t="inlineStr">
        <is>
          <t>1kg/袋</t>
        </is>
      </c>
      <c r="F25" t="n">
        <v>742</v>
      </c>
      <c r="G25" t="n">
        <v>29.89</v>
      </c>
      <c r="H25" t="n">
        <v>22178.38</v>
      </c>
      <c r="I25" t="inlineStr">
        <is>
          <t>张三</t>
        </is>
      </c>
    </row>
    <row r="26">
      <c r="A26" t="n">
        <v>23</v>
      </c>
      <c r="B26" t="inlineStr">
        <is>
          <t>2025-01-24</t>
        </is>
      </c>
      <c r="C26" t="inlineStr">
        <is>
          <t>杭州联华</t>
        </is>
      </c>
      <c r="D26" t="inlineStr">
        <is>
          <t>麻辣烫底料</t>
        </is>
      </c>
      <c r="E26" t="inlineStr">
        <is>
          <t>500g/袋</t>
        </is>
      </c>
      <c r="F26" t="n">
        <v>208</v>
      </c>
      <c r="G26" t="n">
        <v>22.77</v>
      </c>
      <c r="H26" t="n">
        <v>4736.16</v>
      </c>
      <c r="I26" t="inlineStr">
        <is>
          <t>张三</t>
        </is>
      </c>
    </row>
    <row r="27">
      <c r="A27" t="n">
        <v>24</v>
      </c>
      <c r="B27" t="inlineStr">
        <is>
          <t>2025-01-25</t>
        </is>
      </c>
      <c r="C27" t="inlineStr">
        <is>
          <t>嘉兴世纪联华</t>
        </is>
      </c>
      <c r="D27" t="inlineStr">
        <is>
          <t>菌菇底料</t>
        </is>
      </c>
      <c r="E27" t="inlineStr">
        <is>
          <t>500g/袋</t>
        </is>
      </c>
      <c r="F27" t="n">
        <v>148</v>
      </c>
      <c r="G27" t="n">
        <v>36.14</v>
      </c>
      <c r="H27" t="n">
        <v>5348.72</v>
      </c>
      <c r="I27" t="inlineStr">
        <is>
          <t>王五</t>
        </is>
      </c>
    </row>
    <row r="28">
      <c r="A28" t="n">
        <v>25</v>
      </c>
      <c r="B28" t="inlineStr">
        <is>
          <t>2025-01-26</t>
        </is>
      </c>
      <c r="C28" t="inlineStr">
        <is>
          <t>宁波大润发</t>
        </is>
      </c>
      <c r="D28" t="inlineStr">
        <is>
          <t>番茄底料</t>
        </is>
      </c>
      <c r="E28" t="inlineStr">
        <is>
          <t>500g/袋</t>
        </is>
      </c>
      <c r="F28" t="n">
        <v>149</v>
      </c>
      <c r="G28" t="n">
        <v>23.08</v>
      </c>
      <c r="H28" t="n">
        <v>3438.92</v>
      </c>
      <c r="I28" t="inlineStr">
        <is>
          <t>赵六</t>
        </is>
      </c>
    </row>
    <row r="29">
      <c r="A29" t="n">
        <v>26</v>
      </c>
      <c r="B29" t="inlineStr">
        <is>
          <t>2025-01-27</t>
        </is>
      </c>
      <c r="C29" t="inlineStr">
        <is>
          <t>温州永辉</t>
        </is>
      </c>
      <c r="D29" t="inlineStr">
        <is>
          <t>菌菇底料</t>
        </is>
      </c>
      <c r="E29" t="inlineStr">
        <is>
          <t>250g/盒</t>
        </is>
      </c>
      <c r="F29" t="n">
        <v>560</v>
      </c>
      <c r="G29" t="n">
        <v>35.27</v>
      </c>
      <c r="H29" t="n">
        <v>19751.2</v>
      </c>
      <c r="I29" t="inlineStr">
        <is>
          <t>王五</t>
        </is>
      </c>
    </row>
    <row r="30">
      <c r="A30" t="n">
        <v>27</v>
      </c>
      <c r="B30" t="inlineStr">
        <is>
          <t>2025-01-28</t>
        </is>
      </c>
      <c r="C30" t="inlineStr">
        <is>
          <t>嘉兴世纪联华</t>
        </is>
      </c>
      <c r="D30" t="inlineStr">
        <is>
          <t>麻辣烫底料</t>
        </is>
      </c>
      <c r="E30" t="inlineStr">
        <is>
          <t>500g/盒</t>
        </is>
      </c>
      <c r="F30" t="n">
        <v>474</v>
      </c>
      <c r="G30" t="n">
        <v>28.26</v>
      </c>
      <c r="H30" t="n">
        <v>13395.24</v>
      </c>
      <c r="I30" t="inlineStr">
        <is>
          <t>王五</t>
        </is>
      </c>
    </row>
    <row r="31">
      <c r="A31" t="n">
        <v>28</v>
      </c>
      <c r="B31" t="inlineStr">
        <is>
          <t>2025-01-01</t>
        </is>
      </c>
      <c r="C31" t="inlineStr">
        <is>
          <t>上海沃尔玛</t>
        </is>
      </c>
      <c r="D31" t="inlineStr">
        <is>
          <t>麻辣烫底料</t>
        </is>
      </c>
      <c r="E31" t="inlineStr">
        <is>
          <t>500g/袋</t>
        </is>
      </c>
      <c r="F31" t="n">
        <v>238</v>
      </c>
      <c r="G31" t="n">
        <v>16.11</v>
      </c>
      <c r="H31" t="n">
        <v>3834.18</v>
      </c>
      <c r="I31" t="inlineStr">
        <is>
          <t>张三</t>
        </is>
      </c>
    </row>
    <row r="32">
      <c r="A32" t="n">
        <v>29</v>
      </c>
      <c r="B32" t="inlineStr">
        <is>
          <t>2025-01-02</t>
        </is>
      </c>
      <c r="C32" t="inlineStr">
        <is>
          <t>杭州联华</t>
        </is>
      </c>
      <c r="D32" t="inlineStr">
        <is>
          <t>菌菇底料</t>
        </is>
      </c>
      <c r="E32" t="inlineStr">
        <is>
          <t>500g/盒</t>
        </is>
      </c>
      <c r="F32" t="n">
        <v>712</v>
      </c>
      <c r="G32" t="n">
        <v>44.4</v>
      </c>
      <c r="H32" t="n">
        <v>31612.8</v>
      </c>
      <c r="I32" t="inlineStr">
        <is>
          <t>王五</t>
        </is>
      </c>
    </row>
    <row r="33">
      <c r="A33" t="n">
        <v>30</v>
      </c>
      <c r="B33" t="inlineStr">
        <is>
          <t>2025-01-03</t>
        </is>
      </c>
      <c r="C33" t="inlineStr">
        <is>
          <t>宁波大润发</t>
        </is>
      </c>
      <c r="D33" t="inlineStr">
        <is>
          <t>番茄底料</t>
        </is>
      </c>
      <c r="E33" t="inlineStr">
        <is>
          <t>1kg/袋</t>
        </is>
      </c>
      <c r="F33" t="n">
        <v>509</v>
      </c>
      <c r="G33" t="n">
        <v>40.33</v>
      </c>
      <c r="H33" t="n">
        <v>20527.97</v>
      </c>
      <c r="I33" t="inlineStr">
        <is>
          <t>李四</t>
        </is>
      </c>
      <c r="J33" t="inlineStr">
        <is>
          <t>促销订单</t>
        </is>
      </c>
    </row>
    <row r="34">
      <c r="A34" t="n">
        <v>31</v>
      </c>
      <c r="B34" t="inlineStr">
        <is>
          <t>2025-01-04</t>
        </is>
      </c>
      <c r="C34" t="inlineStr">
        <is>
          <t>上海沃尔玛</t>
        </is>
      </c>
      <c r="D34" t="inlineStr">
        <is>
          <t>火锅底料</t>
        </is>
      </c>
      <c r="E34" t="inlineStr">
        <is>
          <t>250g/盒</t>
        </is>
      </c>
      <c r="F34" t="n">
        <v>216</v>
      </c>
      <c r="G34" t="n">
        <v>18</v>
      </c>
      <c r="H34" t="n">
        <v>3888</v>
      </c>
      <c r="I34" t="inlineStr">
        <is>
          <t>张三</t>
        </is>
      </c>
    </row>
    <row r="35">
      <c r="A35" t="n">
        <v>32</v>
      </c>
      <c r="B35" t="inlineStr">
        <is>
          <t>2025-01-05</t>
        </is>
      </c>
      <c r="C35" t="inlineStr">
        <is>
          <t>上海沃尔玛</t>
        </is>
      </c>
      <c r="D35" t="inlineStr">
        <is>
          <t>菌菇底料</t>
        </is>
      </c>
      <c r="E35" t="inlineStr">
        <is>
          <t>500g/盒</t>
        </is>
      </c>
      <c r="F35" t="n">
        <v>825</v>
      </c>
      <c r="G35" t="n">
        <v>25.85</v>
      </c>
      <c r="H35" t="n">
        <v>21326.25</v>
      </c>
      <c r="I35" t="inlineStr">
        <is>
          <t>赵六</t>
        </is>
      </c>
    </row>
    <row r="36">
      <c r="A36" t="n">
        <v>33</v>
      </c>
      <c r="B36" t="inlineStr">
        <is>
          <t>2025-01-06</t>
        </is>
      </c>
      <c r="C36" t="inlineStr">
        <is>
          <t>嘉兴世纪联华</t>
        </is>
      </c>
      <c r="D36" t="inlineStr">
        <is>
          <t>麻辣烫底料</t>
        </is>
      </c>
      <c r="E36" t="inlineStr">
        <is>
          <t>500g/盒</t>
        </is>
      </c>
      <c r="F36" t="n">
        <v>715</v>
      </c>
      <c r="G36" t="n">
        <v>26.99</v>
      </c>
      <c r="H36" t="n">
        <v>19297.85</v>
      </c>
      <c r="I36" t="inlineStr">
        <is>
          <t>赵六</t>
        </is>
      </c>
    </row>
    <row r="37">
      <c r="A37" t="n">
        <v>34</v>
      </c>
      <c r="B37" t="inlineStr">
        <is>
          <t>2025-01-07</t>
        </is>
      </c>
      <c r="C37" t="inlineStr">
        <is>
          <t>杭州联华</t>
        </is>
      </c>
      <c r="D37" t="inlineStr">
        <is>
          <t>番茄底料</t>
        </is>
      </c>
      <c r="E37" t="inlineStr">
        <is>
          <t>250g/盒</t>
        </is>
      </c>
      <c r="F37" t="n">
        <v>455</v>
      </c>
      <c r="G37" t="n">
        <v>17.34</v>
      </c>
      <c r="H37" t="n">
        <v>7889.7</v>
      </c>
      <c r="I37" t="inlineStr">
        <is>
          <t>赵六</t>
        </is>
      </c>
    </row>
    <row r="38">
      <c r="A38" t="n">
        <v>35</v>
      </c>
      <c r="B38" t="inlineStr">
        <is>
          <t>2025-01-08</t>
        </is>
      </c>
      <c r="C38" t="inlineStr">
        <is>
          <t>上海沃尔玛</t>
        </is>
      </c>
      <c r="D38" t="inlineStr">
        <is>
          <t>火锅底料</t>
        </is>
      </c>
      <c r="E38" t="inlineStr">
        <is>
          <t>250g/盒</t>
        </is>
      </c>
      <c r="F38" t="n">
        <v>328</v>
      </c>
      <c r="G38" t="n">
        <v>25.98</v>
      </c>
      <c r="H38" t="n">
        <v>8521.440000000001</v>
      </c>
      <c r="I38" t="inlineStr">
        <is>
          <t>李四</t>
        </is>
      </c>
    </row>
    <row r="39">
      <c r="A39" t="n">
        <v>36</v>
      </c>
      <c r="B39" t="inlineStr">
        <is>
          <t>2025-01-09</t>
        </is>
      </c>
      <c r="C39" t="inlineStr">
        <is>
          <t>杭州联华</t>
        </is>
      </c>
      <c r="D39" t="inlineStr">
        <is>
          <t>火锅底料</t>
        </is>
      </c>
      <c r="E39" t="inlineStr">
        <is>
          <t>500g/袋</t>
        </is>
      </c>
      <c r="F39" t="n">
        <v>875</v>
      </c>
      <c r="G39" t="n">
        <v>15.93</v>
      </c>
      <c r="H39" t="n">
        <v>13938.75</v>
      </c>
      <c r="I39" t="inlineStr">
        <is>
          <t>赵六</t>
        </is>
      </c>
    </row>
    <row r="40">
      <c r="A40" t="n">
        <v>37</v>
      </c>
      <c r="B40" t="inlineStr">
        <is>
          <t>2025-01-10</t>
        </is>
      </c>
      <c r="C40" t="inlineStr">
        <is>
          <t>温州永辉</t>
        </is>
      </c>
      <c r="D40" t="inlineStr">
        <is>
          <t>菌菇底料</t>
        </is>
      </c>
      <c r="E40" t="inlineStr">
        <is>
          <t>250g/盒</t>
        </is>
      </c>
      <c r="F40" t="n">
        <v>340</v>
      </c>
      <c r="G40" t="n">
        <v>19.88</v>
      </c>
      <c r="H40" t="n">
        <v>6759.2</v>
      </c>
      <c r="I40" t="inlineStr">
        <is>
          <t>王五</t>
        </is>
      </c>
    </row>
    <row r="41">
      <c r="A41" t="n">
        <v>38</v>
      </c>
      <c r="B41" t="inlineStr">
        <is>
          <t>2025-01-11</t>
        </is>
      </c>
      <c r="C41" t="inlineStr">
        <is>
          <t>嘉兴世纪联华</t>
        </is>
      </c>
      <c r="D41" t="inlineStr">
        <is>
          <t>麻辣烫底料</t>
        </is>
      </c>
      <c r="E41" t="inlineStr">
        <is>
          <t>500g/袋</t>
        </is>
      </c>
      <c r="F41" t="n">
        <v>782</v>
      </c>
      <c r="G41" t="n">
        <v>35.62</v>
      </c>
      <c r="H41" t="n">
        <v>27854.84</v>
      </c>
      <c r="I41" t="inlineStr">
        <is>
          <t>赵六</t>
        </is>
      </c>
    </row>
    <row r="42">
      <c r="A42" t="n">
        <v>39</v>
      </c>
      <c r="B42" t="inlineStr">
        <is>
          <t>2025-01-12</t>
        </is>
      </c>
      <c r="C42" t="inlineStr">
        <is>
          <t>宁波大润发</t>
        </is>
      </c>
      <c r="D42" t="inlineStr">
        <is>
          <t>酸菜鱼底料</t>
        </is>
      </c>
      <c r="E42" t="inlineStr">
        <is>
          <t>1kg/袋</t>
        </is>
      </c>
      <c r="F42" t="n">
        <v>611</v>
      </c>
      <c r="G42" t="n">
        <v>34.74</v>
      </c>
      <c r="H42" t="n">
        <v>21226.14</v>
      </c>
      <c r="I42" t="inlineStr">
        <is>
          <t>张三</t>
        </is>
      </c>
    </row>
    <row r="43">
      <c r="A43" t="n">
        <v>40</v>
      </c>
      <c r="B43" t="inlineStr">
        <is>
          <t>2025-01-13</t>
        </is>
      </c>
      <c r="C43" t="inlineStr">
        <is>
          <t>温州永辉</t>
        </is>
      </c>
      <c r="D43" t="inlineStr">
        <is>
          <t>火锅底料</t>
        </is>
      </c>
      <c r="E43" t="inlineStr">
        <is>
          <t>500g/盒</t>
        </is>
      </c>
      <c r="F43" t="n">
        <v>825</v>
      </c>
      <c r="G43" t="n">
        <v>41.83</v>
      </c>
      <c r="H43" t="n">
        <v>34509.75</v>
      </c>
      <c r="I43" t="inlineStr">
        <is>
          <t>李四</t>
        </is>
      </c>
      <c r="J43" t="inlineStr">
        <is>
          <t>促销订单</t>
        </is>
      </c>
    </row>
    <row r="44">
      <c r="A44" t="n">
        <v>41</v>
      </c>
      <c r="B44" t="inlineStr">
        <is>
          <t>2025-01-14</t>
        </is>
      </c>
      <c r="C44" t="inlineStr">
        <is>
          <t>嘉兴世纪联华</t>
        </is>
      </c>
      <c r="D44" t="inlineStr">
        <is>
          <t>麻辣烫底料</t>
        </is>
      </c>
      <c r="E44" t="inlineStr">
        <is>
          <t>500g/袋</t>
        </is>
      </c>
      <c r="F44" t="n">
        <v>568</v>
      </c>
      <c r="G44" t="n">
        <v>15.12</v>
      </c>
      <c r="H44" t="n">
        <v>8588.16</v>
      </c>
      <c r="I44" t="inlineStr">
        <is>
          <t>张三</t>
        </is>
      </c>
    </row>
    <row r="45">
      <c r="A45" t="n">
        <v>42</v>
      </c>
      <c r="B45" t="inlineStr">
        <is>
          <t>2025-01-15</t>
        </is>
      </c>
      <c r="C45" t="inlineStr">
        <is>
          <t>温州永辉</t>
        </is>
      </c>
      <c r="D45" t="inlineStr">
        <is>
          <t>番茄底料</t>
        </is>
      </c>
      <c r="E45" t="inlineStr">
        <is>
          <t>250g/盒</t>
        </is>
      </c>
      <c r="F45" t="n">
        <v>596</v>
      </c>
      <c r="G45" t="n">
        <v>16.4</v>
      </c>
      <c r="H45" t="n">
        <v>9774.4</v>
      </c>
      <c r="I45" t="inlineStr">
        <is>
          <t>赵六</t>
        </is>
      </c>
    </row>
    <row r="46">
      <c r="A46" t="n">
        <v>43</v>
      </c>
      <c r="B46" t="inlineStr">
        <is>
          <t>2025-01-16</t>
        </is>
      </c>
      <c r="C46" t="inlineStr">
        <is>
          <t>宁波大润发</t>
        </is>
      </c>
      <c r="D46" t="inlineStr">
        <is>
          <t>菌菇底料</t>
        </is>
      </c>
      <c r="E46" t="inlineStr">
        <is>
          <t>1kg/袋</t>
        </is>
      </c>
      <c r="F46" t="n">
        <v>142</v>
      </c>
      <c r="G46" t="n">
        <v>36.82</v>
      </c>
      <c r="H46" t="n">
        <v>5228.44</v>
      </c>
      <c r="I46" t="inlineStr">
        <is>
          <t>王五</t>
        </is>
      </c>
    </row>
    <row r="47">
      <c r="A47" t="n">
        <v>44</v>
      </c>
      <c r="B47" t="inlineStr">
        <is>
          <t>2025-01-17</t>
        </is>
      </c>
      <c r="C47" t="inlineStr">
        <is>
          <t>嘉兴世纪联华</t>
        </is>
      </c>
      <c r="D47" t="inlineStr">
        <is>
          <t>火锅底料</t>
        </is>
      </c>
      <c r="E47" t="inlineStr">
        <is>
          <t>500g/盒</t>
        </is>
      </c>
      <c r="F47" t="n">
        <v>173</v>
      </c>
      <c r="G47" t="n">
        <v>23.97</v>
      </c>
      <c r="H47" t="n">
        <v>4146.81</v>
      </c>
      <c r="I47" t="inlineStr">
        <is>
          <t>赵六</t>
        </is>
      </c>
    </row>
    <row r="48">
      <c r="A48" t="n">
        <v>45</v>
      </c>
      <c r="B48" t="inlineStr">
        <is>
          <t>2025-01-18</t>
        </is>
      </c>
      <c r="C48" t="inlineStr">
        <is>
          <t>宁波大润发</t>
        </is>
      </c>
      <c r="D48" t="inlineStr">
        <is>
          <t>麻辣烫底料</t>
        </is>
      </c>
      <c r="E48" t="inlineStr">
        <is>
          <t>500g/盒</t>
        </is>
      </c>
      <c r="F48" t="n">
        <v>870</v>
      </c>
      <c r="G48" t="n">
        <v>37.04</v>
      </c>
      <c r="H48" t="n">
        <v>32224.8</v>
      </c>
      <c r="I48" t="inlineStr">
        <is>
          <t>张三</t>
        </is>
      </c>
    </row>
    <row r="49">
      <c r="A49" t="n">
        <v>46</v>
      </c>
      <c r="B49" t="inlineStr">
        <is>
          <t>2025-01-19</t>
        </is>
      </c>
      <c r="C49" t="inlineStr">
        <is>
          <t>温州永辉</t>
        </is>
      </c>
      <c r="D49" t="inlineStr">
        <is>
          <t>番茄底料</t>
        </is>
      </c>
      <c r="E49" t="inlineStr">
        <is>
          <t>500g/袋</t>
        </is>
      </c>
      <c r="F49" t="n">
        <v>885</v>
      </c>
      <c r="G49" t="n">
        <v>19.39</v>
      </c>
      <c r="H49" t="n">
        <v>17160.15</v>
      </c>
      <c r="I49" t="inlineStr">
        <is>
          <t>王五</t>
        </is>
      </c>
    </row>
    <row r="50">
      <c r="A50" t="n">
        <v>47</v>
      </c>
      <c r="B50" t="inlineStr">
        <is>
          <t>2025-01-20</t>
        </is>
      </c>
      <c r="C50" t="inlineStr">
        <is>
          <t>温州永辉</t>
        </is>
      </c>
      <c r="D50" t="inlineStr">
        <is>
          <t>火锅底料</t>
        </is>
      </c>
      <c r="E50" t="inlineStr">
        <is>
          <t>1kg/袋</t>
        </is>
      </c>
      <c r="F50" t="n">
        <v>335</v>
      </c>
      <c r="G50" t="n">
        <v>28.79</v>
      </c>
      <c r="H50" t="n">
        <v>9644.65</v>
      </c>
      <c r="I50" t="inlineStr">
        <is>
          <t>张三</t>
        </is>
      </c>
    </row>
    <row r="51">
      <c r="A51" t="n">
        <v>48</v>
      </c>
      <c r="B51" t="inlineStr">
        <is>
          <t>2025-01-21</t>
        </is>
      </c>
      <c r="C51" t="inlineStr">
        <is>
          <t>宁波大润发</t>
        </is>
      </c>
      <c r="D51" t="inlineStr">
        <is>
          <t>番茄底料</t>
        </is>
      </c>
      <c r="E51" t="inlineStr">
        <is>
          <t>500g/袋</t>
        </is>
      </c>
      <c r="F51" t="n">
        <v>411</v>
      </c>
      <c r="G51" t="n">
        <v>18.15</v>
      </c>
      <c r="H51" t="n">
        <v>7459.65</v>
      </c>
      <c r="I51" t="inlineStr">
        <is>
          <t>李四</t>
        </is>
      </c>
    </row>
    <row r="52">
      <c r="A52" t="n">
        <v>49</v>
      </c>
      <c r="B52" t="inlineStr">
        <is>
          <t>2025-01-22</t>
        </is>
      </c>
      <c r="C52" t="inlineStr">
        <is>
          <t>宁波大润发</t>
        </is>
      </c>
      <c r="D52" t="inlineStr">
        <is>
          <t>酸菜鱼底料</t>
        </is>
      </c>
      <c r="E52" t="inlineStr">
        <is>
          <t>250g/盒</t>
        </is>
      </c>
      <c r="F52" t="n">
        <v>212</v>
      </c>
      <c r="G52" t="n">
        <v>22.42</v>
      </c>
      <c r="H52" t="n">
        <v>4753.04</v>
      </c>
      <c r="I52" t="inlineStr">
        <is>
          <t>李四</t>
        </is>
      </c>
    </row>
    <row r="53">
      <c r="A53" t="n">
        <v>50</v>
      </c>
      <c r="B53" t="inlineStr">
        <is>
          <t>2025-01-23</t>
        </is>
      </c>
      <c r="C53" t="inlineStr">
        <is>
          <t>嘉兴世纪联华</t>
        </is>
      </c>
      <c r="D53" t="inlineStr">
        <is>
          <t>菌菇底料</t>
        </is>
      </c>
      <c r="E53" t="inlineStr">
        <is>
          <t>500g/袋</t>
        </is>
      </c>
      <c r="F53" t="n">
        <v>968</v>
      </c>
      <c r="G53" t="n">
        <v>27.01</v>
      </c>
      <c r="H53" t="n">
        <v>26145.68</v>
      </c>
      <c r="I53" t="inlineStr">
        <is>
          <t>赵六</t>
        </is>
      </c>
      <c r="J53" t="inlineStr">
        <is>
          <t>促销订单</t>
        </is>
      </c>
    </row>
    <row r="54">
      <c r="A54" t="inlineStr">
        <is>
          <t>合计</t>
        </is>
      </c>
      <c r="F54">
        <f>SUM(F4:F53)</f>
        <v/>
      </c>
      <c r="H54">
        <f>SUM(H4:H53)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2025年各部门预算完成情况</t>
        </is>
      </c>
    </row>
    <row r="3">
      <c r="A3" t="inlineStr">
        <is>
          <t>部门</t>
        </is>
      </c>
      <c r="B3" t="inlineStr">
        <is>
          <t>年度预算</t>
        </is>
      </c>
      <c r="C3" t="inlineStr">
        <is>
          <t>1月完成</t>
        </is>
      </c>
      <c r="D3" t="inlineStr">
        <is>
          <t>2月完成</t>
        </is>
      </c>
      <c r="E3" t="inlineStr">
        <is>
          <t>累计完成</t>
        </is>
      </c>
      <c r="F3" t="inlineStr">
        <is>
          <t>完成率</t>
        </is>
      </c>
      <c r="G3" t="inlineStr">
        <is>
          <t>排名</t>
        </is>
      </c>
    </row>
    <row r="4">
      <c r="A4" t="inlineStr">
        <is>
          <t>销售一部</t>
        </is>
      </c>
      <c r="B4" t="n">
        <v>1200</v>
      </c>
      <c r="C4" t="n">
        <v>110</v>
      </c>
      <c r="D4" t="n">
        <v>105</v>
      </c>
      <c r="E4" t="n">
        <v>215</v>
      </c>
      <c r="F4" t="inlineStr">
        <is>
          <t>17.9%</t>
        </is>
      </c>
      <c r="G4" t="n">
        <v>1</v>
      </c>
    </row>
    <row r="5">
      <c r="A5" t="inlineStr">
        <is>
          <t>销售二部</t>
        </is>
      </c>
      <c r="B5" t="n">
        <v>1000</v>
      </c>
      <c r="C5" t="n">
        <v>85</v>
      </c>
      <c r="D5" t="n">
        <v>90</v>
      </c>
      <c r="E5" t="n">
        <v>175</v>
      </c>
      <c r="F5" t="inlineStr">
        <is>
          <t>17.5%</t>
        </is>
      </c>
      <c r="G5" t="n">
        <v>2</v>
      </c>
    </row>
    <row r="6">
      <c r="A6" t="inlineStr">
        <is>
          <t>销售三部</t>
        </is>
      </c>
      <c r="B6" t="n">
        <v>800</v>
      </c>
      <c r="C6" t="n">
        <v>70</v>
      </c>
      <c r="D6" t="n">
        <v>72</v>
      </c>
      <c r="E6" t="n">
        <v>142</v>
      </c>
      <c r="F6" t="inlineStr">
        <is>
          <t>17.8%</t>
        </is>
      </c>
      <c r="G6" t="n">
        <v>3</v>
      </c>
    </row>
    <row r="7">
      <c r="A7" t="inlineStr">
        <is>
          <t>电商部</t>
        </is>
      </c>
      <c r="B7" t="n">
        <v>600</v>
      </c>
      <c r="C7" t="n">
        <v>55</v>
      </c>
      <c r="D7" t="n">
        <v>58</v>
      </c>
      <c r="E7" t="n">
        <v>113</v>
      </c>
      <c r="F7" t="inlineStr">
        <is>
          <t>18.8%</t>
        </is>
      </c>
      <c r="G7" t="n">
        <v>4</v>
      </c>
    </row>
    <row r="8">
      <c r="A8" t="inlineStr">
        <is>
          <t>大客户部</t>
        </is>
      </c>
      <c r="B8" t="n">
        <v>1500</v>
      </c>
      <c r="C8" t="n">
        <v>130</v>
      </c>
      <c r="D8" t="n">
        <v>125</v>
      </c>
      <c r="E8" t="n">
        <v>255</v>
      </c>
      <c r="F8" t="inlineStr">
        <is>
          <t>17.0%</t>
        </is>
      </c>
      <c r="G8" t="n">
        <v>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产品成本构成分析表</t>
        </is>
      </c>
    </row>
    <row r="2">
      <c r="A2" t="inlineStr">
        <is>
          <t>分析期间：2025年Q1</t>
        </is>
      </c>
      <c r="E2" t="inlineStr">
        <is>
          <t>单位：元/kg</t>
        </is>
      </c>
    </row>
    <row r="3">
      <c r="A3" t="inlineStr">
        <is>
          <t>产品</t>
        </is>
      </c>
      <c r="B3" t="inlineStr">
        <is>
          <t>直接成本</t>
        </is>
      </c>
      <c r="E3" t="inlineStr">
        <is>
          <t>间接成本</t>
        </is>
      </c>
      <c r="G3" t="inlineStr">
        <is>
          <t>总成本</t>
        </is>
      </c>
      <c r="H3" t="inlineStr">
        <is>
          <t>毛利率</t>
        </is>
      </c>
    </row>
    <row r="4">
      <c r="B4" t="inlineStr">
        <is>
          <t>原料</t>
        </is>
      </c>
      <c r="C4" t="inlineStr">
        <is>
          <t>人工</t>
        </is>
      </c>
      <c r="D4" t="inlineStr">
        <is>
          <t>能耗</t>
        </is>
      </c>
      <c r="E4" t="inlineStr">
        <is>
          <t>制造费用</t>
        </is>
      </c>
      <c r="F4" t="inlineStr">
        <is>
          <t>折旧</t>
        </is>
      </c>
      <c r="G4" t="inlineStr"/>
      <c r="H4" t="inlineStr"/>
    </row>
    <row r="5">
      <c r="A5" t="inlineStr">
        <is>
          <t>火锅底料A</t>
        </is>
      </c>
      <c r="B5" t="n">
        <v>8.5</v>
      </c>
      <c r="C5" t="n">
        <v>2</v>
      </c>
      <c r="D5" t="n">
        <v>0.8</v>
      </c>
      <c r="E5" t="n">
        <v>1.2</v>
      </c>
      <c r="F5" t="n">
        <v>0.5</v>
      </c>
      <c r="G5" t="n">
        <v>13</v>
      </c>
      <c r="H5" t="inlineStr">
        <is>
          <t>48%</t>
        </is>
      </c>
    </row>
    <row r="6">
      <c r="A6" t="inlineStr">
        <is>
          <t>火锅底料B</t>
        </is>
      </c>
      <c r="B6" t="n">
        <v>10.2</v>
      </c>
      <c r="C6" t="n">
        <v>2.2</v>
      </c>
      <c r="D6" t="n">
        <v>0.9</v>
      </c>
      <c r="E6" t="n">
        <v>1.3</v>
      </c>
      <c r="F6" t="n">
        <v>0.6</v>
      </c>
      <c r="G6" t="n">
        <v>15.2</v>
      </c>
      <c r="H6" t="inlineStr">
        <is>
          <t>49%</t>
        </is>
      </c>
    </row>
    <row r="7">
      <c r="A7" t="inlineStr">
        <is>
          <t>麻辣底料</t>
        </is>
      </c>
      <c r="B7" t="n">
        <v>9</v>
      </c>
      <c r="C7" t="n">
        <v>1.8</v>
      </c>
      <c r="D7" t="n">
        <v>0.7</v>
      </c>
      <c r="E7" t="n">
        <v>1.1</v>
      </c>
      <c r="F7" t="n">
        <v>0.4</v>
      </c>
      <c r="G7" t="n">
        <v>13</v>
      </c>
      <c r="H7" t="inlineStr">
        <is>
          <t>41%</t>
        </is>
      </c>
    </row>
    <row r="8">
      <c r="A8" t="inlineStr">
        <is>
          <t>番茄底料</t>
        </is>
      </c>
      <c r="B8" t="n">
        <v>7.5</v>
      </c>
      <c r="C8" t="n">
        <v>1.5</v>
      </c>
      <c r="D8" t="n">
        <v>0.6</v>
      </c>
      <c r="E8" t="n">
        <v>1</v>
      </c>
      <c r="F8" t="n">
        <v>0.4</v>
      </c>
      <c r="G8" t="n">
        <v>11</v>
      </c>
      <c r="H8" t="inlineStr">
        <is>
          <t>39%</t>
        </is>
      </c>
    </row>
    <row r="9">
      <c r="A9" t="inlineStr">
        <is>
          <t>菌菇底料</t>
        </is>
      </c>
      <c r="B9" t="n">
        <v>12</v>
      </c>
      <c r="C9" t="n">
        <v>2.5</v>
      </c>
      <c r="D9" t="n">
        <v>1</v>
      </c>
      <c r="E9" t="n">
        <v>1.5</v>
      </c>
      <c r="F9" t="n">
        <v>0.7</v>
      </c>
      <c r="G9" t="n">
        <v>17.7</v>
      </c>
      <c r="H9" t="inlineStr">
        <is>
          <t>49%</t>
        </is>
      </c>
    </row>
    <row r="11">
      <c r="A11" t="inlineStr">
        <is>
          <t>备注：</t>
        </is>
      </c>
      <c r="B11" t="inlineStr">
        <is>
          <t>1. 原料成本按实际采购价加权平均计算；2. 人工成本包含社保公积金；3. 毛利率=(售价-总成本)/售价</t>
        </is>
      </c>
    </row>
  </sheetData>
  <mergeCells count="4">
    <mergeCell ref="B3:D3"/>
    <mergeCell ref="A3:A4"/>
    <mergeCell ref="E3:F3"/>
    <mergeCell ref="B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2025年客户满意度调查结果</t>
        </is>
      </c>
    </row>
    <row r="2">
      <c r="A2" t="inlineStr">
        <is>
          <t>（数据收集中，预计3月完成）</t>
        </is>
      </c>
    </row>
    <row r="4">
      <c r="A4" t="inlineStr">
        <is>
          <t>调查维度</t>
        </is>
      </c>
      <c r="B4" t="inlineStr">
        <is>
          <t>非常满意</t>
        </is>
      </c>
      <c r="C4" t="inlineStr">
        <is>
          <t>满意</t>
        </is>
      </c>
      <c r="D4" t="inlineStr">
        <is>
          <t>一般</t>
        </is>
      </c>
      <c r="E4" t="inlineStr">
        <is>
          <t>不满意</t>
        </is>
      </c>
      <c r="F4" t="inlineStr">
        <is>
          <t>平均分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2026-03-09T02:34:40Z</dcterms:created>
  <dcterms:modified xsi:type="dcterms:W3CDTF">2026-03-09T02:34:40Z</dcterms:modified>
</cp:coreProperties>
</file>